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288B4666-39BA-4BCA-8294-5EB0EAC1773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4001" sheetId="11" r:id="rId3"/>
    <sheet name="MD4001" sheetId="12" r:id="rId4"/>
    <sheet name="MD4002" sheetId="14" r:id="rId5"/>
    <sheet name="テンプレート" sheetId="7" r:id="rId6"/>
  </sheets>
  <definedNames>
    <definedName name="_xlnm.Print_Area" localSheetId="3">'MD4001'!$A$1:$BK$47</definedName>
    <definedName name="_xlnm.Print_Area" localSheetId="4">'MD4002'!$A$1:$BK$70</definedName>
    <definedName name="_xlnm.Print_Area" localSheetId="2">'SC4001'!$A$1:$BK$186</definedName>
    <definedName name="_xlnm.Print_Area" localSheetId="5">テンプレート!$A$1:$BK$54</definedName>
    <definedName name="_xlnm.Print_Area" localSheetId="1">改訂履歴!$A$1:$BK$56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14"/>
  <c r="Z4" i="14"/>
  <c r="H4" i="14"/>
  <c r="AT2" i="14"/>
  <c r="K2" i="14"/>
  <c r="A2" i="14"/>
  <c r="W1" i="14"/>
  <c r="AP4" i="12"/>
  <c r="Z4" i="12"/>
  <c r="H4" i="12"/>
  <c r="AT2" i="12"/>
  <c r="K2" i="12"/>
  <c r="A2" i="12"/>
  <c r="W1" i="12"/>
  <c r="AP4" i="11"/>
  <c r="Z4" i="11"/>
  <c r="H4" i="11"/>
  <c r="AT2" i="11"/>
  <c r="K2" i="11"/>
  <c r="A2" i="11"/>
  <c r="W1" i="11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1" s="1"/>
  <c r="BC2" i="4"/>
  <c r="BC2" i="7" s="1"/>
  <c r="AY2" i="4"/>
  <c r="AY2" i="14" s="1"/>
  <c r="AT2" i="4"/>
  <c r="AT2" i="7" s="1"/>
  <c r="AP2" i="4"/>
  <c r="AP2" i="11" s="1"/>
  <c r="AY2" i="12" l="1"/>
  <c r="BC2" i="14"/>
  <c r="AP2" i="7"/>
  <c r="BH2" i="7"/>
  <c r="AY2" i="3"/>
  <c r="AY2" i="11"/>
  <c r="BC2" i="12"/>
  <c r="AP2" i="14"/>
  <c r="BH2" i="14"/>
  <c r="BC2" i="3"/>
  <c r="BC2" i="11"/>
  <c r="AP2" i="12"/>
  <c r="BH2" i="12"/>
  <c r="AY2" i="7"/>
  <c r="AP2" i="3"/>
  <c r="BH2" i="3"/>
</calcChain>
</file>

<file path=xl/sharedStrings.xml><?xml version="1.0" encoding="utf-8"?>
<sst xmlns="http://schemas.openxmlformats.org/spreadsheetml/2006/main" count="379" uniqueCount="216">
  <si>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</si>
  <si>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</si>
  <si>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</si>
  <si>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</si>
  <si>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</si>
  <si>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</si>
  <si>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</si>
  <si>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</si>
  <si>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</si>
  <si>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</si>
  <si>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</si>
  <si>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FFFFFF"/>
        <rFont val="Meiryo UI"/>
        <family val="3"/>
        <charset val="128"/>
      </rPr>
      <t>画面ID</t>
    </r>
  </si>
  <si>
    <r>
      <rPr>
        <sz val="11"/>
        <color rgb="FFFFFFFF"/>
        <rFont val="Meiryo UI"/>
        <family val="3"/>
        <charset val="128"/>
      </rPr>
      <t>画面名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</si>
  <si>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</si>
  <si>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KN1010201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</si>
  <si>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</si>
  <si>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</si>
  <si>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</si>
  <si>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</si>
  <si>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</si>
  <si>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SCxxxxxx</t>
    </r>
  </si>
  <si>
    <t xml:space="preserve"> </t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</si>
  <si>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</si>
  <si>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000000"/>
        <rFont val="Meiryo UI"/>
        <family val="2"/>
      </rPr>
      <t>40_従業員設定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</si>
  <si>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</si>
  <si>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SC4001</t>
    </r>
  </si>
  <si>
    <r>
      <rPr>
        <sz val="11"/>
        <color rgb="FF000000"/>
        <rFont val="Meiryo UI"/>
        <family val="2"/>
      </rPr>
      <t>SC4001_01</t>
    </r>
  </si>
  <si>
    <r>
      <rPr>
        <sz val="11"/>
        <color rgb="FF000000"/>
        <rFont val="Meiryo UI"/>
        <family val="2"/>
      </rPr>
      <t>画面初期化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</si>
  <si>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画面項目の初期化を実行する。</t>
    </r>
  </si>
  <si>
    <r>
      <rPr>
        <sz val="11"/>
        <color rgb="FF000000"/>
        <rFont val="Meiryo UI"/>
        <family val="2"/>
      </rPr>
      <t>20_画面設計_40_従業員設定.xlsx</t>
    </r>
  </si>
  <si>
    <r>
      <rPr>
        <sz val="11"/>
        <color rgb="FF000000"/>
        <rFont val="Meiryo UI"/>
        <family val="2"/>
      </rPr>
      <t>20_画面設計_40_従業員設定.xlsxのファイルをご参照ください。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</si>
  <si>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</si>
  <si>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</si>
  <si>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</si>
  <si>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選択された店舗一覧</t>
    </r>
  </si>
  <si>
    <r>
      <rPr>
        <sz val="11"/>
        <color rgb="FF000000"/>
        <rFont val="Meiryo UI"/>
        <family val="2"/>
      </rPr>
      <t>employee_code</t>
    </r>
  </si>
  <si>
    <r>
      <rPr>
        <sz val="11"/>
        <color rgb="FF000000"/>
        <rFont val="Meiryo UI"/>
        <family val="2"/>
      </rPr>
      <t>employee_code_type</t>
    </r>
  </si>
  <si>
    <r>
      <rPr>
        <sz val="11"/>
        <color rgb="FF000000"/>
        <rFont val="Meiryo UI"/>
        <family val="2"/>
      </rPr>
      <t>employee_name</t>
    </r>
  </si>
  <si>
    <r>
      <rPr>
        <sz val="11"/>
        <color rgb="FF000000"/>
        <rFont val="Meiryo UI"/>
        <family val="2"/>
      </rPr>
      <t>employee_name_type</t>
    </r>
  </si>
  <si>
    <r>
      <rPr>
        <sz val="11"/>
        <color rgb="FF000000"/>
        <rFont val="Meiryo UI"/>
        <family val="2"/>
      </rPr>
      <t>画面で入力した従業員コード</t>
    </r>
  </si>
  <si>
    <r>
      <rPr>
        <sz val="11"/>
        <color rgb="FF000000"/>
        <rFont val="Meiryo UI"/>
        <family val="2"/>
      </rPr>
      <t>画面で選択した従業員コードの検索タイプ</t>
    </r>
  </si>
  <si>
    <r>
      <rPr>
        <sz val="11"/>
        <color rgb="FF000000"/>
        <rFont val="Meiryo UI"/>
        <family val="2"/>
      </rPr>
      <t>画面で入力した従業員名</t>
    </r>
  </si>
  <si>
    <r>
      <rPr>
        <sz val="11"/>
        <color rgb="FF000000"/>
        <rFont val="Meiryo UI"/>
        <family val="2"/>
      </rPr>
      <t>画面で選択した従業員名の検索タイプ</t>
    </r>
  </si>
  <si>
    <r>
      <rPr>
        <sz val="11"/>
        <color rgb="FF000000"/>
        <rFont val="Meiryo UI"/>
        <family val="2"/>
      </rPr>
      <t>「40_API設計_AP4001_店舗従業員一覧取得.xlsx」をご参照ください。</t>
    </r>
  </si>
  <si>
    <r>
      <rPr>
        <sz val="11"/>
        <color rgb="FF000000"/>
        <rFont val="Meiryo UI"/>
        <family val="2"/>
      </rPr>
      <t>SC4001_02</t>
    </r>
  </si>
  <si>
    <r>
      <rPr>
        <sz val="11"/>
        <color rgb="FF000000"/>
        <rFont val="Meiryo UI"/>
        <family val="2"/>
      </rPr>
      <t>従業員情報検索</t>
    </r>
  </si>
  <si>
    <r>
      <rPr>
        <sz val="11"/>
        <color rgb="FF000000"/>
        <rFont val="Meiryo UI"/>
        <family val="2"/>
      </rPr>
      <t>SC4001_03</t>
    </r>
  </si>
  <si>
    <r>
      <rPr>
        <sz val="11"/>
        <color rgb="FF000000"/>
        <rFont val="Meiryo UI"/>
        <family val="2"/>
      </rPr>
      <t>従業員バーコード帳票印刷</t>
    </r>
  </si>
  <si>
    <r>
      <rPr>
        <sz val="11"/>
        <color rgb="FF000000"/>
        <rFont val="Meiryo UI"/>
        <family val="2"/>
      </rPr>
      <t>▪バリデーションチェックのエラーがある：</t>
    </r>
  </si>
  <si>
    <r>
      <rPr>
        <sz val="11"/>
        <color rgb="FF000000"/>
        <rFont val="Meiryo UI"/>
        <family val="2"/>
      </rPr>
      <t>▪従業員一覧取得が成功した場合、</t>
    </r>
  </si>
  <si>
    <r>
      <rPr>
        <sz val="11"/>
        <color rgb="FF000000"/>
        <rFont val="Meiryo UI"/>
        <family val="2"/>
      </rPr>
      <t>・返されるレスポンスは「40_API設計_AP4001_店舗従業員一覧取得.xlsx」をご参照ください。</t>
    </r>
  </si>
  <si>
    <r>
      <rPr>
        <sz val="11"/>
        <color rgb="FF000000"/>
        <rFont val="Meiryo UI"/>
        <family val="2"/>
      </rPr>
      <t>・以下の画面設計に従って画面に返されるAPIレスポンスのマッピングを実行する。</t>
    </r>
  </si>
  <si>
    <r>
      <rPr>
        <sz val="11"/>
        <color rgb="FF000000"/>
        <rFont val="Meiryo UI"/>
        <family val="2"/>
      </rPr>
      <t>・エラーメッセージを画面に表示する。</t>
    </r>
  </si>
  <si>
    <r>
      <rPr>
        <sz val="11"/>
        <color rgb="FF000000"/>
        <rFont val="Meiryo UI"/>
        <family val="2"/>
      </rPr>
      <t>▪ 従業員一覧取得が失敗した場合、</t>
    </r>
  </si>
  <si>
    <r>
      <rPr>
        <sz val="11"/>
        <color rgb="FF000000"/>
        <rFont val="Meiryo UI"/>
        <family val="2"/>
      </rPr>
      <t>・PDFファイルの出力にエラーが発生した場合</t>
    </r>
  </si>
  <si>
    <r>
      <rPr>
        <sz val="11"/>
        <color rgb="FF000000"/>
        <rFont val="Meiryo UI"/>
        <family val="2"/>
      </rPr>
      <t>SC4001_04</t>
    </r>
  </si>
  <si>
    <r>
      <rPr>
        <sz val="11"/>
        <color rgb="FF000000"/>
        <rFont val="Meiryo UI"/>
        <family val="2"/>
      </rPr>
      <t>SC4001_05</t>
    </r>
  </si>
  <si>
    <r>
      <rPr>
        <sz val="11"/>
        <color rgb="FF000000"/>
        <rFont val="Meiryo UI"/>
        <family val="2"/>
      </rPr>
      <t>▪バリデーションチェックのエラーがある。</t>
    </r>
  </si>
  <si>
    <r>
      <rPr>
        <sz val="11"/>
        <color rgb="FF000000"/>
        <rFont val="Meiryo UI"/>
        <family val="2"/>
      </rPr>
      <t>・レコードが選択されていない場合、 message = MSG_VAL_009を表示する。</t>
    </r>
  </si>
  <si>
    <r>
      <rPr>
        <sz val="11"/>
        <color rgb="FF000000"/>
        <rFont val="Meiryo UI"/>
        <family val="2"/>
      </rPr>
      <t>▪バリデーションチェックのエラーがない。</t>
    </r>
  </si>
  <si>
    <r>
      <rPr>
        <sz val="11"/>
        <color rgb="FF000000"/>
        <rFont val="Meiryo UI"/>
        <family val="2"/>
      </rPr>
      <t>・MD4001_従業員編集モーダルを表示する。</t>
    </r>
  </si>
  <si>
    <r>
      <rPr>
        <sz val="11"/>
        <color rgb="FF000000"/>
        <rFont val="Meiryo UI"/>
        <family val="2"/>
      </rPr>
      <t>従業員情報編集</t>
    </r>
  </si>
  <si>
    <r>
      <rPr>
        <sz val="11"/>
        <color rgb="FF000000"/>
        <rFont val="Meiryo UI"/>
        <family val="2"/>
      </rPr>
      <t>従業員情報削除</t>
    </r>
  </si>
  <si>
    <r>
      <rPr>
        <sz val="11"/>
        <color rgb="FF000000"/>
        <rFont val="Meiryo UI"/>
        <family val="2"/>
      </rPr>
      <t>・従業員が選択されていない場合、message = MSG_VAL_008を表示する。</t>
    </r>
  </si>
  <si>
    <r>
      <rPr>
        <sz val="11"/>
        <color rgb="FF000000"/>
        <rFont val="Meiryo UI"/>
        <family val="2"/>
      </rPr>
      <t>・選択されたレコードが一時削除状態になっている場合、message = MSG_VAL_010を表示する。</t>
    </r>
  </si>
  <si>
    <r>
      <rPr>
        <sz val="11"/>
        <color rgb="FF000000"/>
        <rFont val="Meiryo UI"/>
        <family val="2"/>
      </rPr>
      <t>SC4001_06</t>
    </r>
  </si>
  <si>
    <r>
      <rPr>
        <sz val="11"/>
        <color rgb="FF000000"/>
        <rFont val="Meiryo UI"/>
        <family val="2"/>
      </rPr>
      <t>従業員情報新規作成</t>
    </r>
  </si>
  <si>
    <r>
      <rPr>
        <sz val="11"/>
        <color rgb="FF000000"/>
        <rFont val="Meiryo UI"/>
        <family val="2"/>
      </rPr>
      <t>▪MD4002_従業員新規モーダルを表示する。</t>
    </r>
  </si>
  <si>
    <r>
      <rPr>
        <sz val="11"/>
        <color rgb="FF000000"/>
        <rFont val="Meiryo UI"/>
        <family val="2"/>
      </rPr>
      <t>SC4001_07</t>
    </r>
  </si>
  <si>
    <r>
      <rPr>
        <sz val="11"/>
        <color rgb="FF000000"/>
        <rFont val="Meiryo UI"/>
        <family val="2"/>
      </rPr>
      <t>変更された従業員情報を保存する。</t>
    </r>
  </si>
  <si>
    <r>
      <rPr>
        <sz val="11"/>
        <color rgb="FF000000"/>
        <rFont val="Meiryo UI"/>
        <family val="2"/>
      </rPr>
      <t>1.1「AP4002」APIを呼び出す。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</si>
  <si>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</si>
  <si>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</si>
  <si>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description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</si>
  <si>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</si>
  <si>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選択された店舗</t>
    </r>
  </si>
  <si>
    <r>
      <rPr>
        <sz val="11"/>
        <color rgb="FF000000"/>
        <rFont val="Meiryo UI"/>
        <family val="2"/>
      </rPr>
      <t>画面で新規作成又は編集された従業員コード</t>
    </r>
  </si>
  <si>
    <r>
      <rPr>
        <sz val="11"/>
        <color rgb="FF000000"/>
        <rFont val="Meiryo UI"/>
        <family val="2"/>
      </rPr>
      <t>レコードのID(新規作成の場合、NULLを渡す)</t>
    </r>
  </si>
  <si>
    <r>
      <rPr>
        <sz val="11"/>
        <color rgb="FF000000"/>
        <rFont val="Meiryo UI"/>
        <family val="2"/>
      </rPr>
      <t>画面で新規作成又は編集された従業員名</t>
    </r>
  </si>
  <si>
    <r>
      <rPr>
        <sz val="11"/>
        <color rgb="FF000000"/>
        <rFont val="Meiryo UI"/>
        <family val="2"/>
      </rPr>
      <t>画面で新規作成又は編集された従業員説明</t>
    </r>
  </si>
  <si>
    <r>
      <rPr>
        <sz val="11"/>
        <color rgb="FF000000"/>
        <rFont val="Meiryo UI"/>
        <family val="2"/>
      </rPr>
      <t>1.2 返却された結果情報</t>
    </r>
  </si>
  <si>
    <r>
      <rPr>
        <sz val="11"/>
        <color rgb="FF000000"/>
        <rFont val="Meiryo UI"/>
        <family val="2"/>
      </rPr>
      <t>▪従業員保存が成功した場合</t>
    </r>
  </si>
  <si>
    <r>
      <rPr>
        <sz val="11"/>
        <color rgb="FF000000"/>
        <rFont val="Meiryo UI"/>
        <family val="2"/>
      </rPr>
      <t>・エラーレコードがある場合、画面にエラー情報を表示する。</t>
    </r>
  </si>
  <si>
    <r>
      <rPr>
        <sz val="11"/>
        <color rgb="FF000000"/>
        <rFont val="Meiryo UI"/>
        <family val="2"/>
      </rPr>
      <t>▪ 従業員保存が失敗した場合</t>
    </r>
  </si>
  <si>
    <r>
      <rPr>
        <sz val="11"/>
        <color rgb="FF000000"/>
        <rFont val="Meiryo UI"/>
        <family val="2"/>
      </rPr>
      <t>従業員一覧画面に戻る。</t>
    </r>
  </si>
  <si>
    <r>
      <rPr>
        <sz val="11"/>
        <color rgb="FF000000"/>
        <rFont val="Meiryo UI"/>
        <family val="2"/>
      </rPr>
      <t>従業員情報更新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</si>
  <si>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項目のバリデーションチェックを行う。</t>
    </r>
  </si>
  <si>
    <r>
      <rPr>
        <sz val="11"/>
        <color rgb="FF000000"/>
        <rFont val="Meiryo UI"/>
        <family val="2"/>
      </rPr>
      <t>・「従業員名」項目：</t>
    </r>
  </si>
  <si>
    <r>
      <rPr>
        <sz val="11"/>
        <color rgb="FF000000"/>
        <rFont val="Meiryo UI"/>
        <family val="2"/>
      </rPr>
      <t>入力必須のバリデーションチェック：メッセージ = MSG_VAL_001。その中 ：{0}が「従業員名」である。</t>
    </r>
  </si>
  <si>
    <r>
      <rPr>
        <sz val="11"/>
        <color rgb="FF000000"/>
        <rFont val="Meiryo UI"/>
        <family val="2"/>
      </rPr>
      <t>・SC4001画面に戻り、変更情報を表示する。</t>
    </r>
  </si>
  <si>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従業員編集モーダル</t>
    </r>
  </si>
  <si>
    <r>
      <rPr>
        <sz val="11"/>
        <color rgb="FF000000"/>
        <rFont val="Meiryo UI"/>
        <family val="2"/>
      </rPr>
      <t>MD4001</t>
    </r>
  </si>
  <si>
    <r>
      <rPr>
        <sz val="11"/>
        <color rgb="FF000000"/>
        <rFont val="Meiryo UI"/>
        <family val="2"/>
      </rPr>
      <t>MD4002</t>
    </r>
  </si>
  <si>
    <r>
      <rPr>
        <sz val="11"/>
        <color rgb="FF000000"/>
        <rFont val="Meiryo UI"/>
        <family val="2"/>
      </rPr>
      <t>MD4001-02</t>
    </r>
  </si>
  <si>
    <r>
      <rPr>
        <sz val="11"/>
        <color rgb="FF000000"/>
        <rFont val="Meiryo UI"/>
        <family val="2"/>
      </rPr>
      <t>SC4002_01</t>
    </r>
  </si>
  <si>
    <r>
      <rPr>
        <sz val="11"/>
        <color rgb="FF000000"/>
        <rFont val="Meiryo UI"/>
        <family val="2"/>
      </rPr>
      <t>MD4002-02</t>
    </r>
  </si>
  <si>
    <r>
      <rPr>
        <sz val="11"/>
        <color rgb="FF000000"/>
        <rFont val="Meiryo UI"/>
        <family val="2"/>
      </rPr>
      <t>SC4002_03</t>
    </r>
  </si>
  <si>
    <r>
      <rPr>
        <sz val="11"/>
        <color rgb="FF000000"/>
        <rFont val="Meiryo UI"/>
        <family val="2"/>
      </rPr>
      <t>従業員情報作成</t>
    </r>
  </si>
  <si>
    <r>
      <rPr>
        <sz val="11"/>
        <color rgb="FF000000"/>
        <rFont val="Meiryo UI"/>
        <family val="2"/>
      </rPr>
      <t>・「店舗」項目：</t>
    </r>
  </si>
  <si>
    <r>
      <rPr>
        <sz val="11"/>
        <color rgb="FF000000"/>
        <rFont val="Meiryo UI"/>
        <family val="2"/>
      </rPr>
      <t>・入力必須のバリデーションチェック：メッセージ = MSG_VAL_001。その中 ：{0}が店舗である。</t>
    </r>
  </si>
  <si>
    <r>
      <rPr>
        <sz val="11"/>
        <color rgb="FF000000"/>
        <rFont val="Meiryo UI"/>
        <family val="2"/>
      </rPr>
      <t>・「従業員コード」項目：</t>
    </r>
  </si>
  <si>
    <r>
      <rPr>
        <sz val="11"/>
        <color rgb="FF000000"/>
        <rFont val="Meiryo UI"/>
        <family val="2"/>
      </rPr>
      <t>・入力必須のバリデーションチェック：メッセージ = MSG_VAL_001。その中 ：{0}が「従業員コード」である。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</si>
  <si>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MD4001モーダルを閉じてSC4001画面に戻る。</t>
    </r>
  </si>
  <si>
    <r>
      <rPr>
        <sz val="11"/>
        <color rgb="FF000000"/>
        <rFont val="Meiryo UI"/>
        <family val="2"/>
      </rPr>
      <t>▪バリデーションチェックのエラーがない：</t>
    </r>
  </si>
  <si>
    <r>
      <rPr>
        <sz val="11"/>
        <color rgb="FF000000"/>
        <rFont val="Meiryo UI"/>
        <family val="2"/>
      </rPr>
      <t>▪成功した場合、</t>
    </r>
  </si>
  <si>
    <r>
      <rPr>
        <sz val="11"/>
        <color rgb="FF000000"/>
        <rFont val="Meiryo UI"/>
        <family val="2"/>
      </rPr>
      <t>▪失敗した場合、</t>
    </r>
  </si>
  <si>
    <r>
      <rPr>
        <sz val="11"/>
        <color rgb="FF000000"/>
        <rFont val="Meiryo UI"/>
        <family val="2"/>
      </rPr>
      <t>2.1 作成された従業員重複を画面上の表示データ一覧で確認する。</t>
    </r>
  </si>
  <si>
    <r>
      <rPr>
        <sz val="11"/>
        <color rgb="FF000000"/>
        <rFont val="Meiryo UI"/>
        <family val="2"/>
      </rPr>
      <t>▪ 重複した場合、message = MSG_ERR_003を表示する。</t>
    </r>
  </si>
  <si>
    <r>
      <rPr>
        <sz val="11"/>
        <color rgb="FF000000"/>
        <rFont val="Meiryo UI"/>
        <family val="2"/>
      </rPr>
      <t>▪ 重複しない場合、「AP4003」APIを呼び出してデータベースのデータ重複を確認する。</t>
    </r>
  </si>
  <si>
    <r>
      <rPr>
        <sz val="11"/>
        <color rgb="FF000000"/>
        <rFont val="Meiryo UI"/>
        <family val="2"/>
      </rPr>
      <t>・重複した場合、message = MSG_ERR_003を表示する。</t>
    </r>
  </si>
  <si>
    <r>
      <rPr>
        <sz val="11"/>
        <color rgb="FF000000"/>
        <rFont val="Meiryo UI"/>
        <family val="2"/>
      </rPr>
      <t>・重複しない場合、SC4001画面に戻り、作成された従業員を表示する。</t>
    </r>
  </si>
  <si>
    <r>
      <rPr>
        <sz val="11"/>
        <color rgb="FF000000"/>
        <rFont val="Meiryo UI"/>
        <family val="2"/>
      </rPr>
      <t>2.2 「AP4003」API呼出処理を実行する。</t>
    </r>
  </si>
  <si>
    <r>
      <rPr>
        <sz val="11"/>
        <color rgb="FF000000"/>
        <rFont val="Meiryo UI"/>
        <family val="2"/>
      </rPr>
      <t>2.3 返却された結果情報</t>
    </r>
  </si>
  <si>
    <r>
      <rPr>
        <sz val="11"/>
        <color rgb="FF000000"/>
        <rFont val="Meiryo UI"/>
        <family val="2"/>
      </rPr>
      <t>・画面を再度リロードし、以前の検索条件に従ってデータを表示する。</t>
    </r>
  </si>
  <si>
    <r>
      <rPr>
        <sz val="11"/>
        <color rgb="FF000000"/>
        <rFont val="Meiryo UI"/>
        <family val="2"/>
      </rPr>
      <t>40_API設計_AP4002_店舗従業員新規作成・編集・削除.xlsxをご参照ください。</t>
    </r>
  </si>
  <si>
    <r>
      <rPr>
        <sz val="11"/>
        <color rgb="FF000000"/>
        <rFont val="Meiryo UI"/>
        <family val="2"/>
      </rPr>
      <t>・返却レスポンスは「40_API設計_AP4002_店舗従業員新規作成・編集・削除.xlsx」をご参照ください。</t>
    </r>
  </si>
  <si>
    <r>
      <rPr>
        <sz val="11"/>
        <color rgb="FF000000"/>
        <rFont val="Meiryo UI"/>
        <family val="2"/>
      </rPr>
      <t>「40_API設計_AP4003_従業員重複確認.xlsx」をご参照ください。</t>
    </r>
  </si>
  <si>
    <r>
      <rPr>
        <sz val="11"/>
        <color rgb="FF000000"/>
        <rFont val="Meiryo UI"/>
        <family val="2"/>
      </rPr>
      <t>・返却レスポンスは「40_API設計_AP4003_従業員重複確認.xlsx」をご参照ください。</t>
    </r>
  </si>
  <si>
    <r>
      <rPr>
        <sz val="11"/>
        <color rgb="FF000000"/>
        <rFont val="Meiryo UI"/>
        <family val="2"/>
      </rPr>
      <t>従業員名の検索と新規作成・更新時に「,」のバリデーションチェックを削除する。</t>
    </r>
  </si>
  <si>
    <r>
      <rPr>
        <sz val="11"/>
        <color rgb="FF000000"/>
        <rFont val="Meiryo UI"/>
        <family val="2"/>
      </rPr>
      <t>シート：SC4001、MD4001、MD4002</t>
    </r>
  </si>
  <si>
    <r>
      <rPr>
        <sz val="11"/>
        <color rgb="FF000000"/>
        <rFont val="Meiryo UI"/>
        <family val="2"/>
      </rPr>
      <t>1.1 「AP4001」API呼出処理を実行する。</t>
    </r>
  </si>
  <si>
    <r>
      <rPr>
        <sz val="11"/>
        <color rgb="FF000000"/>
        <rFont val="Meiryo UI"/>
        <family val="2"/>
      </rPr>
      <t>を元の状態（取り消し線の削除、黒いテキスト）に戻す。</t>
    </r>
  </si>
  <si>
    <r>
      <rPr>
        <sz val="11"/>
        <color rgb="FF000000"/>
        <rFont val="Meiryo UI"/>
        <family val="2"/>
      </rPr>
      <t>MD4001: 入力最大長のバリデーションチェックを削除する。</t>
    </r>
  </si>
  <si>
    <r>
      <rPr>
        <sz val="11"/>
        <color rgb="FF000000"/>
        <rFont val="Meiryo UI"/>
        <family val="2"/>
      </rPr>
      <t>MD4002: 入力最大長のバリデーションチェックを削除し、数字のみの入力のバリデーションチェックを削除する</t>
    </r>
  </si>
  <si>
    <r>
      <rPr>
        <sz val="11"/>
        <color rgb="FF000000"/>
        <rFont val="Meiryo UI"/>
        <family val="2"/>
      </rPr>
      <t>出力項目は60_帳票設計_40_従業員設定のPR4401_従業員バーコード.xlsxをご参照ください。</t>
    </r>
  </si>
  <si>
    <r>
      <rPr>
        <sz val="11"/>
        <color rgb="FF000000"/>
        <rFont val="Meiryo UI"/>
        <family val="2"/>
      </rPr>
      <t>・選択された従業員のバーコードリストを含むPDFファイルの出力に成功した場合、</t>
    </r>
  </si>
  <si>
    <r>
      <rPr>
        <sz val="11"/>
        <color rgb="FF000000"/>
        <rFont val="Meiryo UI"/>
        <family val="2"/>
      </rPr>
      <t>SC4001_08</t>
    </r>
  </si>
  <si>
    <r>
      <rPr>
        <sz val="11"/>
        <color rgb="FF000000"/>
        <rFont val="Meiryo UI"/>
        <family val="2"/>
      </rPr>
      <t>従業員情報のCSVファイルを取り込む。</t>
    </r>
  </si>
  <si>
    <r>
      <rPr>
        <sz val="11"/>
        <color rgb="FF000000"/>
        <rFont val="Meiryo UI"/>
        <family val="2"/>
      </rPr>
      <t>csvファイルであるかをバリデーションチェックする。</t>
    </r>
  </si>
  <si>
    <r>
      <rPr>
        <sz val="11"/>
        <color rgb="FF000000"/>
        <rFont val="Meiryo UI"/>
        <family val="2"/>
      </rPr>
      <t>file</t>
    </r>
  </si>
  <si>
    <r>
      <rPr>
        <sz val="11"/>
        <color rgb="FF000000"/>
        <rFont val="Meiryo UI"/>
        <family val="2"/>
      </rPr>
      <t>ユーザーが選択したcsvファイル</t>
    </r>
  </si>
  <si>
    <r>
      <rPr>
        <sz val="11"/>
        <color rgb="FF000000"/>
        <rFont val="Meiryo UI"/>
        <family val="2"/>
      </rPr>
      <t>3.2 返却された結果情報</t>
    </r>
  </si>
  <si>
    <r>
      <rPr>
        <sz val="11"/>
        <color rgb="FF000000"/>
        <rFont val="Meiryo UI"/>
        <family val="2"/>
      </rPr>
      <t>①．取込が成功した場合、</t>
    </r>
  </si>
  <si>
    <r>
      <rPr>
        <b/>
        <sz val="11"/>
        <color rgb="FF000000"/>
        <rFont val="Meiryo UI"/>
        <family val="2"/>
      </rPr>
      <t>返却された結果</t>
    </r>
  </si>
  <si>
    <r>
      <rPr>
        <sz val="11"/>
        <color rgb="FF000000"/>
        <rFont val="Meiryo UI"/>
        <family val="2"/>
      </rPr>
      <t>1. status_code</t>
    </r>
  </si>
  <si>
    <r>
      <rPr>
        <sz val="11"/>
        <color rgb="FF000000"/>
        <rFont val="Meiryo UI"/>
        <family val="2"/>
      </rPr>
      <t>200 (OK)</t>
    </r>
  </si>
  <si>
    <r>
      <rPr>
        <sz val="11"/>
        <color rgb="FF000000"/>
        <rFont val="Meiryo UI"/>
        <family val="2"/>
      </rPr>
      <t>2. message</t>
    </r>
  </si>
  <si>
    <r>
      <rPr>
        <sz val="11"/>
        <color rgb="FF000000"/>
        <rFont val="Meiryo UI"/>
        <family val="2"/>
      </rPr>
      <t>エラーレコード一覧（ある場合）</t>
    </r>
  </si>
  <si>
    <r>
      <rPr>
        <sz val="11"/>
        <color rgb="FF000000"/>
        <rFont val="Meiryo UI"/>
        <family val="2"/>
      </rPr>
      <t>3. data</t>
    </r>
  </si>
  <si>
    <r>
      <rPr>
        <sz val="11"/>
        <color rgb="FF000000"/>
        <rFont val="Meiryo UI"/>
        <family val="2"/>
      </rPr>
      <t>ブランク</t>
    </r>
  </si>
  <si>
    <r>
      <rPr>
        <sz val="11"/>
        <color rgb="FF000000"/>
        <rFont val="Meiryo UI"/>
        <family val="2"/>
      </rPr>
      <t>取込レコード一覧にバリデーションチェックエラーのレコードがあり、そのレコードの取込が失敗した。</t>
    </r>
  </si>
  <si>
    <r>
      <rPr>
        <sz val="11"/>
        <color rgb="FF000000"/>
        <rFont val="Meiryo UI"/>
        <family val="2"/>
      </rPr>
      <t>②．エラーの場合、以下のように実行する。</t>
    </r>
  </si>
  <si>
    <r>
      <rPr>
        <sz val="11"/>
        <color rgb="FF000000"/>
        <rFont val="Meiryo UI"/>
        <family val="2"/>
      </rPr>
      <t>APIエラーの共通表示処理を実行する。</t>
    </r>
  </si>
  <si>
    <r>
      <rPr>
        <sz val="11"/>
        <color rgb="FF000000"/>
        <rFont val="Meiryo UI"/>
        <family val="2"/>
      </rPr>
      <t>3.1 API「AP4004_店舗の従業員CSVアップロード」を呼び出す。</t>
    </r>
  </si>
  <si>
    <r>
      <rPr>
        <sz val="11"/>
        <color rgb="FF000000"/>
        <rFont val="Meiryo UI"/>
        <family val="2"/>
      </rPr>
      <t>40_API設計_AP4004_店舗従業員取込.xlsxのレスポンスをご参照ください。</t>
    </r>
  </si>
  <si>
    <r>
      <rPr>
        <sz val="10"/>
        <color rgb="FF000000"/>
        <rFont val="Meiryo UI"/>
        <family val="2"/>
      </rPr>
      <t>40_API設計_AP4004_店舗従業員取込.xlsx</t>
    </r>
  </si>
  <si>
    <r>
      <rPr>
        <sz val="11"/>
        <color rgb="FF000000"/>
        <rFont val="Meiryo UI"/>
        <family val="2"/>
      </rPr>
      <t>DuNT</t>
    </r>
  </si>
  <si>
    <t>システム名</t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</si>
  <si>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</si>
  <si>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</si>
  <si>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</si>
  <si>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</si>
  <si>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</si>
  <si>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</si>
  <si>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</si>
  <si>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</si>
  <si>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</si>
  <si>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</si>
  <si>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</si>
  <si>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</si>
  <si>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</si>
  <si>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</si>
  <si>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</si>
  <si>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更新内容</t>
    </r>
  </si>
  <si>
    <t>TuyenNH</t>
  </si>
  <si>
    <r>
      <rPr>
        <sz val="11"/>
        <color rgb="FF000000"/>
        <rFont val="Meiryo UI"/>
        <family val="2"/>
      </rPr>
      <t>SC4001: 検索条件のバリデーションチェックを削除し、削除取消を追加し、最大1000件の制限を削除する。</t>
    </r>
  </si>
  <si>
    <r>
      <rPr>
        <sz val="11"/>
        <color rgb="FF000000"/>
        <rFont val="Meiryo UI"/>
        <family val="2"/>
      </rPr>
      <t>SC4001: CSV取込イベントを追加</t>
    </r>
  </si>
  <si>
    <t>DuNT</t>
  </si>
  <si>
    <t>SC4001：従業員バーコードPDFファイル名を追加する。</t>
  </si>
  <si>
    <t>バーコード生成形式を追加</t>
  </si>
  <si>
    <t>AnhDD</t>
  </si>
  <si>
    <t>CSVファイル形式のバリデーションチェックエラーを修正</t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</si>
  <si>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</si>
  <si>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</si>
  <si>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</si>
  <si>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従業員一覧画面 </t>
    </r>
  </si>
  <si>
    <r>
      <rPr>
        <b/>
        <sz val="11"/>
        <color rgb="FF000000"/>
        <rFont val="Meiryo UI"/>
        <family val="2"/>
      </rPr>
      <t>1. 画面項目の初期化を実行する。</t>
    </r>
  </si>
  <si>
    <r>
      <rPr>
        <b/>
        <sz val="11"/>
        <color rgb="FF000000"/>
        <rFont val="Meiryo UI"/>
        <family val="2"/>
      </rPr>
      <t>1. KN4001_従業員情報一覧取得機能</t>
    </r>
  </si>
  <si>
    <r>
      <rPr>
        <b/>
        <sz val="11"/>
        <color rgb="FF000000"/>
        <rFont val="Meiryo UI"/>
        <family val="2"/>
      </rPr>
      <t>1. 帳票印刷条件を確認する。</t>
    </r>
  </si>
  <si>
    <r>
      <rPr>
        <sz val="11"/>
        <color rgb="FF000000"/>
        <rFont val="Meiryo UI"/>
        <family val="2"/>
      </rPr>
      <t>▪バリデーションチェックのエラーがない：ステップ2を実行する。</t>
    </r>
  </si>
  <si>
    <r>
      <rPr>
        <b/>
        <sz val="11"/>
        <color rgb="FF000000"/>
        <rFont val="Meiryo UI"/>
        <family val="2"/>
      </rPr>
      <t>2. 従業員バーコードリストのPDFファイルを作成する。</t>
    </r>
  </si>
  <si>
    <t>▪カスミ会社の従業員の場合、</t>
  </si>
  <si>
    <t>▪いなげや会社の従業員の場合、</t>
  </si>
  <si>
    <t>以下の形式でバーコードを作成する。1701 + {7桁の従業員コード} + 0 + CD</t>
  </si>
  <si>
    <t>CD (チェックデジット)：EAN規格に準拠する。</t>
  </si>
  <si>
    <t xml:space="preserve">例：従業員コード「1430556」の場合、バーコード作成は以下の通り </t>
  </si>
  <si>
    <t>ステップ1: 以下の形式で文字列を作成する。1701 + {7桁の従業員コード} + 0</t>
  </si>
  <si>
    <t>ステップ2: ステップ1で作成された文字列のチェックディジットを計算する。</t>
  </si>
  <si>
    <t>ファイル名：PR4001_従業員バーコード.pdf</t>
  </si>
  <si>
    <r>
      <rPr>
        <sz val="11"/>
        <color rgb="FF000000"/>
        <rFont val="Meiryo UI"/>
        <family val="2"/>
      </rPr>
      <t xml:space="preserve"> 「MSG_ERR_004」メッセージを表示する。</t>
    </r>
  </si>
  <si>
    <r>
      <rPr>
        <b/>
        <sz val="11"/>
        <color rgb="FF000000"/>
        <rFont val="Meiryo UI"/>
        <family val="2"/>
      </rPr>
      <t>1. 削除条件を確認する。</t>
    </r>
  </si>
  <si>
    <r>
      <rPr>
        <sz val="11"/>
        <color rgb="FF000000"/>
        <rFont val="Meiryo UI"/>
        <family val="2"/>
      </rPr>
      <t>・選択されたレコードがまだ削除されていない場合、一時削除する。削除されたレコードが赤い取り消し線で表示される。</t>
    </r>
  </si>
  <si>
    <r>
      <rPr>
        <b/>
        <sz val="11"/>
        <color rgb="FF000000"/>
        <rFont val="Meiryo UI"/>
        <family val="2"/>
      </rPr>
      <t>1. 編集条件を確認する。</t>
    </r>
  </si>
  <si>
    <r>
      <rPr>
        <b/>
        <sz val="11"/>
        <color rgb="FF000000"/>
        <rFont val="Meiryo UI"/>
        <family val="2"/>
      </rPr>
      <t>1. KN4002_従業員情報保存を実行する。</t>
    </r>
  </si>
  <si>
    <r>
      <rPr>
        <sz val="11"/>
        <color rgb="FF000000"/>
        <rFont val="Meiryo UI"/>
        <family val="2"/>
      </rPr>
      <t>操作種別：新規作成・編集・削除</t>
    </r>
  </si>
  <si>
    <r>
      <rPr>
        <b/>
        <sz val="11"/>
        <color rgb="FF000000"/>
        <rFont val="Meiryo UI"/>
        <family val="2"/>
      </rPr>
      <t>1. ブラウザのデフォルトピッカーファイルを有効にし、1つの.csvファイルのみを選択可能とする。</t>
    </r>
  </si>
  <si>
    <r>
      <rPr>
        <b/>
        <sz val="11"/>
        <color rgb="FF000000"/>
        <rFont val="Meiryo UI"/>
        <family val="2"/>
      </rPr>
      <t>2. 選択されたファイルのバリデーションチェックを行う。</t>
    </r>
  </si>
  <si>
    <r>
      <rPr>
        <sz val="11"/>
        <color rgb="FF000000"/>
        <rFont val="Meiryo UI"/>
        <family val="2"/>
      </rPr>
      <t>▪csvファイルである場合：ステップ3を実行する。</t>
    </r>
  </si>
  <si>
    <r>
      <rPr>
        <sz val="11"/>
        <color rgb="FF000000"/>
        <rFont val="Meiryo UI"/>
        <family val="2"/>
      </rPr>
      <t>▪csvファイルではない場合：エラーモーダルを表示する（エラーメッセージ = 03</t>
    </r>
    <r>
      <rPr>
        <sz val="11"/>
        <color rgb="FFFF0000"/>
        <rFont val="Meiryo UI"/>
        <family val="2"/>
      </rPr>
      <t>3</t>
    </r>
    <r>
      <rPr>
        <sz val="11"/>
        <color rgb="FF000000"/>
        <rFont val="Meiryo UI"/>
        <family val="2"/>
      </rPr>
      <t>）</t>
    </r>
  </si>
  <si>
    <r>
      <rPr>
        <b/>
        <sz val="11"/>
        <color rgb="FF000000"/>
        <rFont val="Meiryo UI"/>
        <family val="2"/>
      </rPr>
      <t>3. 「AP4004」API を実行する。</t>
    </r>
  </si>
  <si>
    <r>
      <rPr>
        <sz val="11"/>
        <color rgb="FF000000"/>
        <rFont val="Meiryo UI"/>
        <family val="2"/>
      </rPr>
      <t>レスポンスにメッセージがある場合：メッセージをMD_INFOに表示する。以下の場合はエラーメッセージを返す。</t>
    </r>
  </si>
  <si>
    <r>
      <rPr>
        <sz val="11"/>
        <color rgb="FF000000"/>
        <rFont val="Meiryo UI"/>
        <family val="2"/>
      </rPr>
      <t>形式：MSG_INFO_003（{0}：APIから返されたメッセージ）</t>
    </r>
  </si>
  <si>
    <t>250000{7桁の従業員コード}</t>
  </si>
  <si>
    <t>以下の形式でバーコードを作成する。</t>
  </si>
  <si>
    <r>
      <t>・</t>
    </r>
    <r>
      <rPr>
        <sz val="11"/>
        <color rgb="FF000000"/>
        <rFont val="Meiryo UI"/>
        <family val="2"/>
      </rPr>
      <t xml:space="preserve">選択されたレコードが削除済みとしてマークされている場合、削除状態を取り消し、そのレコード </t>
    </r>
  </si>
  <si>
    <t>▪20_画面設計_40_従業員設定.xlsx</t>
  </si>
  <si>
    <t>▪20_画面設計_40_従業員設定.xlsx
▪ 40_API設計_AP4001_店舗従業員一覧取得.xlsx</t>
  </si>
  <si>
    <t>▪20_画面設計_40_従業員設定.xlsx
▪ 40_API設計_AP4003_従業員重複確認.xlsx</t>
  </si>
  <si>
    <t>▪20_画面設計_40_従業員設定.xlsx
▪40_API設計_AP4002_店舗従業員新規作成・編集・削除.xlsx</t>
  </si>
  <si>
    <r>
      <rPr>
        <sz val="11"/>
        <color rgb="FF000000"/>
        <rFont val="Meiryo UI"/>
        <family val="2"/>
      </rPr>
      <t xml:space="preserve"> 従業員新規作成モーダル</t>
    </r>
  </si>
  <si>
    <r>
      <rPr>
        <b/>
        <sz val="11"/>
        <color rgb="FF000000"/>
        <rFont val="Meiryo UI"/>
        <family val="2"/>
      </rPr>
      <t>1. MD4002モーダルを閉じてSC4001画面に戻る。</t>
    </r>
  </si>
  <si>
    <r>
      <rPr>
        <b/>
        <sz val="11"/>
        <color rgb="FF000000"/>
        <rFont val="Meiryo UI"/>
        <family val="2"/>
      </rPr>
      <t>1. 項目のバリデーションチェックを行う。</t>
    </r>
  </si>
  <si>
    <r>
      <rPr>
        <sz val="11"/>
        <color rgb="FF000000"/>
        <rFont val="Meiryo UI"/>
        <family val="2"/>
      </rPr>
      <t>▪バリデーションチェックのエラーがない：KN4004_従業員重複確認機能を実行する。</t>
    </r>
  </si>
  <si>
    <r>
      <rPr>
        <b/>
        <sz val="11"/>
        <color rgb="FF000000"/>
        <rFont val="Meiryo UI"/>
        <family val="2"/>
      </rPr>
      <t>2. KN4004_従業員重複確認機能</t>
    </r>
  </si>
  <si>
    <r>
      <rPr>
        <sz val="11"/>
        <color rgb="FF000000"/>
        <rFont val="Meiryo UI"/>
        <family val="2"/>
      </rPr>
      <t>1. ロジック1</t>
    </r>
  </si>
  <si>
    <r>
      <rPr>
        <sz val="11"/>
        <color rgb="FF000000"/>
        <rFont val="Meiryo UI"/>
        <family val="2"/>
      </rPr>
      <t>2. ロジック2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</si>
</sst>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8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sz val="11"/>
      <color theme="5"/>
      <name val="Meiryo UI"/>
      <family val="2"/>
    </font>
    <font>
      <b/>
      <sz val="11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11"/>
      <color rgb="FF0070C0"/>
      <name val="Meiryo UI"/>
      <family val="2"/>
    </font>
    <font>
      <sz val="9"/>
      <color theme="1"/>
      <name val="Meiryo UI"/>
      <family val="2"/>
    </font>
    <font>
      <sz val="10"/>
      <color theme="1"/>
      <name val="Meiryo UI"/>
      <family val="2"/>
    </font>
    <font>
      <sz val="10"/>
      <color rgb="FF0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rgb="FFFFFFFF"/>
      <name val="Meiryo UI"/>
      <family val="2"/>
    </font>
    <font>
      <sz val="11"/>
      <color theme="0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B050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9" fillId="0" borderId="0">
      <alignment vertical="center"/>
    </xf>
    <xf numFmtId="0" fontId="5" fillId="0" borderId="0">
      <alignment vertical="center"/>
    </xf>
  </cellStyleXfs>
  <cellXfs count="350">
    <xf numFmtId="0" fontId="0" fillId="0" borderId="0" xfId="0"/>
    <xf numFmtId="0" fontId="7" fillId="0" borderId="1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8" fillId="2" borderId="16" xfId="0" applyFont="1" applyFill="1" applyBorder="1" applyAlignment="1">
      <alignment vertical="center"/>
    </xf>
    <xf numFmtId="0" fontId="0" fillId="2" borderId="16" xfId="0" applyFill="1" applyBorder="1" applyAlignment="1">
      <alignment horizontal="left" vertical="top" wrapText="1" shrinkToFit="1"/>
    </xf>
    <xf numFmtId="49" fontId="9" fillId="2" borderId="17" xfId="8" applyNumberFormat="1" applyFont="1" applyFill="1" applyBorder="1" applyAlignment="1">
      <alignment vertical="top" wrapText="1"/>
    </xf>
    <xf numFmtId="49" fontId="9" fillId="2" borderId="18" xfId="8" applyNumberFormat="1" applyFont="1" applyFill="1" applyBorder="1" applyAlignment="1">
      <alignment vertical="top" wrapText="1"/>
    </xf>
    <xf numFmtId="49" fontId="9" fillId="2" borderId="19" xfId="8" applyNumberFormat="1" applyFont="1" applyFill="1" applyBorder="1" applyAlignment="1">
      <alignment vertical="top" wrapText="1"/>
    </xf>
    <xf numFmtId="0" fontId="0" fillId="2" borderId="18" xfId="0" applyFill="1" applyBorder="1" applyAlignment="1">
      <alignment vertical="center"/>
    </xf>
    <xf numFmtId="49" fontId="9" fillId="2" borderId="1" xfId="8" applyNumberFormat="1" applyFont="1" applyFill="1" applyBorder="1" applyAlignment="1">
      <alignment vertical="top" wrapText="1"/>
    </xf>
    <xf numFmtId="49" fontId="9" fillId="2" borderId="4" xfId="8" applyNumberFormat="1" applyFont="1" applyFill="1" applyBorder="1" applyAlignment="1">
      <alignment vertical="top" wrapText="1"/>
    </xf>
    <xf numFmtId="49" fontId="9" fillId="2" borderId="2" xfId="8" applyNumberFormat="1" applyFont="1" applyFill="1" applyBorder="1" applyAlignment="1">
      <alignment vertical="top" wrapText="1"/>
    </xf>
    <xf numFmtId="49" fontId="9" fillId="2" borderId="3" xfId="8" applyNumberFormat="1" applyFont="1" applyFill="1" applyBorder="1" applyAlignment="1">
      <alignment vertical="top" wrapText="1"/>
    </xf>
    <xf numFmtId="49" fontId="9" fillId="2" borderId="5" xfId="8" applyNumberFormat="1" applyFont="1" applyFill="1" applyBorder="1" applyAlignment="1">
      <alignment vertical="top" wrapText="1"/>
    </xf>
    <xf numFmtId="0" fontId="0" fillId="2" borderId="3" xfId="0" applyFill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20" xfId="0" applyFill="1" applyBorder="1" applyAlignment="1">
      <alignment horizontal="left" vertical="top" wrapText="1" shrinkToFit="1"/>
    </xf>
    <xf numFmtId="49" fontId="9" fillId="2" borderId="0" xfId="8" applyNumberFormat="1" applyFont="1" applyFill="1" applyAlignment="1">
      <alignment vertical="top" wrapText="1"/>
    </xf>
    <xf numFmtId="0" fontId="0" fillId="2" borderId="0" xfId="0" applyFill="1" applyAlignment="1">
      <alignment vertical="center"/>
    </xf>
    <xf numFmtId="0" fontId="0" fillId="2" borderId="0" xfId="0" quotePrefix="1" applyFill="1" applyAlignment="1">
      <alignment vertical="center"/>
    </xf>
    <xf numFmtId="0" fontId="0" fillId="2" borderId="1" xfId="0" applyFill="1" applyBorder="1" applyAlignment="1">
      <alignment vertical="center"/>
    </xf>
    <xf numFmtId="0" fontId="6" fillId="2" borderId="0" xfId="0" quotePrefix="1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0" fillId="2" borderId="2" xfId="0" applyFill="1" applyBorder="1" applyAlignment="1">
      <alignment vertical="center"/>
    </xf>
    <xf numFmtId="49" fontId="0" fillId="2" borderId="3" xfId="8" applyNumberFormat="1" applyFont="1" applyFill="1" applyBorder="1" applyAlignment="1">
      <alignment horizontal="left" vertical="center"/>
    </xf>
    <xf numFmtId="0" fontId="11" fillId="2" borderId="3" xfId="0" applyFont="1" applyFill="1" applyBorder="1" applyAlignment="1">
      <alignment vertical="center"/>
    </xf>
    <xf numFmtId="0" fontId="6" fillId="0" borderId="1" xfId="6" applyFont="1" applyBorder="1" applyAlignment="1">
      <alignment vertical="center"/>
    </xf>
    <xf numFmtId="0" fontId="11" fillId="2" borderId="0" xfId="0" quotePrefix="1" applyFont="1" applyFill="1" applyAlignment="1">
      <alignment vertical="center"/>
    </xf>
    <xf numFmtId="49" fontId="9" fillId="2" borderId="1" xfId="8" applyNumberFormat="1" applyFont="1" applyFill="1" applyBorder="1" applyAlignment="1">
      <alignment horizontal="left" vertical="top" wrapText="1"/>
    </xf>
    <xf numFmtId="49" fontId="9" fillId="2" borderId="0" xfId="8" applyNumberFormat="1" applyFont="1" applyFill="1" applyAlignment="1">
      <alignment horizontal="left" vertical="top" wrapText="1"/>
    </xf>
    <xf numFmtId="49" fontId="9" fillId="2" borderId="4" xfId="8" applyNumberFormat="1" applyFont="1" applyFill="1" applyBorder="1" applyAlignment="1">
      <alignment horizontal="left" vertical="top" wrapText="1"/>
    </xf>
    <xf numFmtId="0" fontId="11" fillId="2" borderId="0" xfId="0" applyFont="1" applyFill="1" applyAlignment="1">
      <alignment vertical="center"/>
    </xf>
    <xf numFmtId="0" fontId="12" fillId="3" borderId="21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20" xfId="0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14" fillId="2" borderId="0" xfId="0" quotePrefix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6" fillId="0" borderId="0" xfId="0" quotePrefix="1" applyFont="1" applyAlignment="1">
      <alignment vertical="center"/>
    </xf>
    <xf numFmtId="0" fontId="6" fillId="2" borderId="16" xfId="0" applyFont="1" applyFill="1" applyBorder="1" applyAlignment="1">
      <alignment vertical="center"/>
    </xf>
    <xf numFmtId="0" fontId="15" fillId="2" borderId="16" xfId="0" applyFont="1" applyFill="1" applyBorder="1" applyAlignment="1">
      <alignment vertical="center"/>
    </xf>
    <xf numFmtId="0" fontId="6" fillId="2" borderId="16" xfId="0" applyFont="1" applyFill="1" applyBorder="1" applyAlignment="1">
      <alignment horizontal="left" vertical="top" wrapText="1" shrinkToFit="1"/>
    </xf>
    <xf numFmtId="0" fontId="6" fillId="2" borderId="20" xfId="0" applyFont="1" applyFill="1" applyBorder="1" applyAlignment="1">
      <alignment horizontal="left" vertical="top" wrapText="1" shrinkToFit="1"/>
    </xf>
    <xf numFmtId="49" fontId="16" fillId="2" borderId="17" xfId="8" applyNumberFormat="1" applyFont="1" applyFill="1" applyBorder="1" applyAlignment="1">
      <alignment vertical="top" wrapText="1"/>
    </xf>
    <xf numFmtId="49" fontId="16" fillId="2" borderId="18" xfId="8" applyNumberFormat="1" applyFont="1" applyFill="1" applyBorder="1" applyAlignment="1">
      <alignment vertical="top" wrapText="1"/>
    </xf>
    <xf numFmtId="49" fontId="16" fillId="2" borderId="19" xfId="8" applyNumberFormat="1" applyFont="1" applyFill="1" applyBorder="1" applyAlignment="1">
      <alignment vertical="top" wrapText="1"/>
    </xf>
    <xf numFmtId="0" fontId="6" fillId="2" borderId="18" xfId="0" applyFont="1" applyFill="1" applyBorder="1" applyAlignment="1">
      <alignment vertical="center"/>
    </xf>
    <xf numFmtId="49" fontId="16" fillId="2" borderId="1" xfId="8" applyNumberFormat="1" applyFont="1" applyFill="1" applyBorder="1" applyAlignment="1">
      <alignment vertical="top" wrapText="1"/>
    </xf>
    <xf numFmtId="49" fontId="16" fillId="2" borderId="0" xfId="8" applyNumberFormat="1" applyFont="1" applyFill="1" applyAlignment="1">
      <alignment vertical="top" wrapText="1"/>
    </xf>
    <xf numFmtId="49" fontId="16" fillId="2" borderId="4" xfId="8" applyNumberFormat="1" applyFont="1" applyFill="1" applyBorder="1" applyAlignment="1">
      <alignment vertical="top" wrapText="1"/>
    </xf>
    <xf numFmtId="0" fontId="12" fillId="2" borderId="0" xfId="0" quotePrefix="1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6" fillId="2" borderId="21" xfId="8" applyNumberFormat="1" applyFont="1" applyFill="1" applyBorder="1">
      <alignment vertical="center"/>
    </xf>
    <xf numFmtId="49" fontId="6" fillId="2" borderId="16" xfId="8" applyNumberFormat="1" applyFont="1" applyFill="1" applyBorder="1">
      <alignment vertical="center"/>
    </xf>
    <xf numFmtId="0" fontId="6" fillId="2" borderId="17" xfId="0" quotePrefix="1" applyFont="1" applyFill="1" applyBorder="1" applyAlignment="1">
      <alignment horizontal="left" vertical="center"/>
    </xf>
    <xf numFmtId="0" fontId="6" fillId="2" borderId="18" xfId="0" quotePrefix="1" applyFont="1" applyFill="1" applyBorder="1" applyAlignment="1">
      <alignment horizontal="left" vertical="center" indent="1"/>
    </xf>
    <xf numFmtId="0" fontId="6" fillId="2" borderId="19" xfId="0" applyFont="1" applyFill="1" applyBorder="1" applyAlignment="1">
      <alignment vertical="center"/>
    </xf>
    <xf numFmtId="0" fontId="6" fillId="2" borderId="18" xfId="0" applyFont="1" applyFill="1" applyBorder="1" applyAlignment="1">
      <alignment horizontal="left" vertical="center" indent="1"/>
    </xf>
    <xf numFmtId="0" fontId="6" fillId="2" borderId="17" xfId="0" applyFont="1" applyFill="1" applyBorder="1" applyAlignment="1">
      <alignment horizontal="left" vertical="center"/>
    </xf>
    <xf numFmtId="0" fontId="6" fillId="2" borderId="21" xfId="0" quotePrefix="1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 indent="1"/>
    </xf>
    <xf numFmtId="0" fontId="6" fillId="2" borderId="21" xfId="0" applyFont="1" applyFill="1" applyBorder="1" applyAlignment="1">
      <alignment horizontal="left" vertical="center"/>
    </xf>
    <xf numFmtId="0" fontId="6" fillId="2" borderId="20" xfId="0" applyFont="1" applyFill="1" applyBorder="1" applyAlignment="1">
      <alignment vertical="center"/>
    </xf>
    <xf numFmtId="49" fontId="16" fillId="2" borderId="2" xfId="8" applyNumberFormat="1" applyFont="1" applyFill="1" applyBorder="1" applyAlignment="1">
      <alignment vertical="top" wrapText="1"/>
    </xf>
    <xf numFmtId="49" fontId="16" fillId="2" borderId="3" xfId="8" applyNumberFormat="1" applyFont="1" applyFill="1" applyBorder="1" applyAlignment="1">
      <alignment vertical="top" wrapText="1"/>
    </xf>
    <xf numFmtId="49" fontId="16" fillId="2" borderId="5" xfId="8" applyNumberFormat="1" applyFont="1" applyFill="1" applyBorder="1" applyAlignment="1">
      <alignment vertical="top" wrapText="1"/>
    </xf>
    <xf numFmtId="0" fontId="6" fillId="2" borderId="3" xfId="0" applyFont="1" applyFill="1" applyBorder="1" applyAlignment="1">
      <alignment vertical="center"/>
    </xf>
    <xf numFmtId="0" fontId="6" fillId="2" borderId="3" xfId="0" quotePrefix="1" applyFont="1" applyFill="1" applyBorder="1" applyAlignment="1">
      <alignment vertical="center"/>
    </xf>
    <xf numFmtId="0" fontId="7" fillId="0" borderId="21" xfId="0" applyFon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3" fillId="0" borderId="17" xfId="0" applyFont="1" applyBorder="1"/>
    <xf numFmtId="0" fontId="13" fillId="0" borderId="18" xfId="0" applyFont="1" applyBorder="1"/>
    <xf numFmtId="0" fontId="13" fillId="0" borderId="19" xfId="0" applyFont="1" applyBorder="1"/>
    <xf numFmtId="0" fontId="13" fillId="0" borderId="2" xfId="0" applyFont="1" applyBorder="1"/>
    <xf numFmtId="0" fontId="13" fillId="0" borderId="3" xfId="0" applyFont="1" applyBorder="1"/>
    <xf numFmtId="0" fontId="13" fillId="0" borderId="5" xfId="0" applyFont="1" applyBorder="1"/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14" fontId="14" fillId="0" borderId="17" xfId="0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2" xfId="0" applyFont="1" applyBorder="1"/>
    <xf numFmtId="0" fontId="14" fillId="0" borderId="23" xfId="0" applyFont="1" applyBorder="1"/>
    <xf numFmtId="0" fontId="14" fillId="0" borderId="24" xfId="0" applyFont="1" applyBorder="1"/>
    <xf numFmtId="14" fontId="13" fillId="0" borderId="17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2" xfId="0" applyFont="1" applyBorder="1"/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49" fontId="9" fillId="2" borderId="2" xfId="8" applyNumberFormat="1" applyFont="1" applyFill="1" applyBorder="1" applyAlignment="1">
      <alignment horizontal="center" vertical="top" wrapText="1"/>
    </xf>
    <xf numFmtId="49" fontId="9" fillId="2" borderId="3" xfId="8" applyNumberFormat="1" applyFont="1" applyFill="1" applyBorder="1" applyAlignment="1">
      <alignment horizontal="center" vertical="top" wrapText="1"/>
    </xf>
    <xf numFmtId="49" fontId="9" fillId="2" borderId="5" xfId="8" applyNumberFormat="1" applyFont="1" applyFill="1" applyBorder="1" applyAlignment="1">
      <alignment horizontal="center" vertical="top" wrapText="1"/>
    </xf>
    <xf numFmtId="49" fontId="9" fillId="2" borderId="17" xfId="8" applyNumberFormat="1" applyFont="1" applyFill="1" applyBorder="1" applyAlignment="1">
      <alignment horizontal="left" vertical="top" wrapText="1"/>
    </xf>
    <xf numFmtId="49" fontId="9" fillId="2" borderId="18" xfId="8" applyNumberFormat="1" applyFont="1" applyFill="1" applyBorder="1" applyAlignment="1">
      <alignment horizontal="left" vertical="top" wrapText="1"/>
    </xf>
    <xf numFmtId="49" fontId="9" fillId="2" borderId="19" xfId="8" applyNumberFormat="1" applyFont="1" applyFill="1" applyBorder="1" applyAlignment="1">
      <alignment horizontal="left" vertical="top" wrapText="1"/>
    </xf>
    <xf numFmtId="49" fontId="9" fillId="2" borderId="1" xfId="8" applyNumberFormat="1" applyFont="1" applyFill="1" applyBorder="1" applyAlignment="1">
      <alignment horizontal="left" vertical="top" wrapText="1"/>
    </xf>
    <xf numFmtId="49" fontId="9" fillId="2" borderId="0" xfId="8" applyNumberFormat="1" applyFont="1" applyFill="1" applyAlignment="1">
      <alignment horizontal="left" vertical="top" wrapText="1"/>
    </xf>
    <xf numFmtId="49" fontId="9" fillId="2" borderId="4" xfId="8" applyNumberFormat="1" applyFont="1" applyFill="1" applyBorder="1" applyAlignment="1">
      <alignment horizontal="left" vertical="top" wrapText="1"/>
    </xf>
    <xf numFmtId="0" fontId="0" fillId="5" borderId="21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0" borderId="31" xfId="0" applyBorder="1" applyAlignment="1">
      <alignment horizontal="left" vertical="top"/>
    </xf>
    <xf numFmtId="0" fontId="0" fillId="5" borderId="17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7" fillId="0" borderId="21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2" fillId="4" borderId="21" xfId="6" applyFont="1" applyFill="1" applyBorder="1" applyAlignment="1">
      <alignment horizontal="center" vertical="center"/>
    </xf>
    <xf numFmtId="0" fontId="2" fillId="4" borderId="16" xfId="6" applyFont="1" applyFill="1" applyBorder="1" applyAlignment="1">
      <alignment horizontal="center" vertical="center"/>
    </xf>
    <xf numFmtId="0" fontId="2" fillId="4" borderId="20" xfId="6" applyFont="1" applyFill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4" fillId="4" borderId="21" xfId="6" applyFont="1" applyFill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0" fillId="0" borderId="21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49" fontId="6" fillId="2" borderId="21" xfId="8" quotePrefix="1" applyNumberFormat="1" applyFont="1" applyFill="1" applyBorder="1" applyAlignment="1">
      <alignment horizontal="left" vertical="top" wrapText="1"/>
    </xf>
    <xf numFmtId="49" fontId="6" fillId="2" borderId="16" xfId="8" quotePrefix="1" applyNumberFormat="1" applyFont="1" applyFill="1" applyBorder="1" applyAlignment="1">
      <alignment horizontal="left" vertical="top" wrapText="1"/>
    </xf>
    <xf numFmtId="49" fontId="6" fillId="2" borderId="20" xfId="8" quotePrefix="1" applyNumberFormat="1" applyFont="1" applyFill="1" applyBorder="1" applyAlignment="1">
      <alignment horizontal="left" vertical="top" wrapText="1"/>
    </xf>
    <xf numFmtId="49" fontId="16" fillId="2" borderId="17" xfId="8" applyNumberFormat="1" applyFont="1" applyFill="1" applyBorder="1" applyAlignment="1">
      <alignment horizontal="center" vertical="top" wrapText="1"/>
    </xf>
    <xf numFmtId="49" fontId="16" fillId="2" borderId="18" xfId="8" applyNumberFormat="1" applyFont="1" applyFill="1" applyBorder="1" applyAlignment="1">
      <alignment horizontal="center" vertical="top" wrapText="1"/>
    </xf>
    <xf numFmtId="49" fontId="16" fillId="2" borderId="19" xfId="8" applyNumberFormat="1" applyFont="1" applyFill="1" applyBorder="1" applyAlignment="1">
      <alignment horizontal="center" vertical="top" wrapText="1"/>
    </xf>
    <xf numFmtId="49" fontId="16" fillId="2" borderId="1" xfId="8" applyNumberFormat="1" applyFont="1" applyFill="1" applyBorder="1" applyAlignment="1">
      <alignment horizontal="center" vertical="top" wrapText="1"/>
    </xf>
    <xf numFmtId="49" fontId="16" fillId="2" borderId="0" xfId="8" applyNumberFormat="1" applyFont="1" applyFill="1" applyAlignment="1">
      <alignment horizontal="center" vertical="top" wrapText="1"/>
    </xf>
    <xf numFmtId="49" fontId="16" fillId="2" borderId="4" xfId="8" applyNumberFormat="1" applyFont="1" applyFill="1" applyBorder="1" applyAlignment="1">
      <alignment horizontal="center" vertical="top" wrapText="1"/>
    </xf>
    <xf numFmtId="49" fontId="16" fillId="2" borderId="2" xfId="8" applyNumberFormat="1" applyFont="1" applyFill="1" applyBorder="1" applyAlignment="1">
      <alignment horizontal="center" vertical="top" wrapText="1"/>
    </xf>
    <xf numFmtId="49" fontId="16" fillId="2" borderId="3" xfId="8" applyNumberFormat="1" applyFont="1" applyFill="1" applyBorder="1" applyAlignment="1">
      <alignment horizontal="center" vertical="top" wrapText="1"/>
    </xf>
    <xf numFmtId="49" fontId="16" fillId="2" borderId="5" xfId="8" applyNumberFormat="1" applyFont="1" applyFill="1" applyBorder="1" applyAlignment="1">
      <alignment horizontal="center" vertical="top" wrapText="1"/>
    </xf>
    <xf numFmtId="0" fontId="6" fillId="5" borderId="17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top"/>
    </xf>
    <xf numFmtId="49" fontId="9" fillId="2" borderId="17" xfId="8" applyNumberFormat="1" applyFont="1" applyFill="1" applyBorder="1" applyAlignment="1">
      <alignment horizontal="center" vertical="top" wrapText="1"/>
    </xf>
    <xf numFmtId="49" fontId="9" fillId="2" borderId="18" xfId="8" applyNumberFormat="1" applyFont="1" applyFill="1" applyBorder="1" applyAlignment="1">
      <alignment horizontal="center" vertical="top" wrapText="1"/>
    </xf>
    <xf numFmtId="49" fontId="9" fillId="2" borderId="19" xfId="8" applyNumberFormat="1" applyFont="1" applyFill="1" applyBorder="1" applyAlignment="1">
      <alignment horizontal="center" vertical="top" wrapText="1"/>
    </xf>
    <xf numFmtId="49" fontId="9" fillId="2" borderId="1" xfId="8" applyNumberFormat="1" applyFont="1" applyFill="1" applyBorder="1" applyAlignment="1">
      <alignment horizontal="center" vertical="top" wrapText="1"/>
    </xf>
    <xf numFmtId="49" fontId="9" fillId="2" borderId="0" xfId="8" applyNumberFormat="1" applyFont="1" applyFill="1" applyAlignment="1">
      <alignment horizontal="center" vertical="top" wrapText="1"/>
    </xf>
    <xf numFmtId="49" fontId="9" fillId="2" borderId="4" xfId="8" applyNumberFormat="1" applyFont="1" applyFill="1" applyBorder="1" applyAlignment="1">
      <alignment horizontal="center" vertical="top" wrapText="1"/>
    </xf>
    <xf numFmtId="0" fontId="20" fillId="4" borderId="21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0" fontId="21" fillId="4" borderId="20" xfId="0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4" fillId="0" borderId="0" xfId="0" applyFont="1"/>
    <xf numFmtId="0" fontId="24" fillId="0" borderId="18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4" fontId="24" fillId="0" borderId="17" xfId="0" applyNumberFormat="1" applyFont="1" applyBorder="1" applyAlignment="1">
      <alignment horizontal="center" vertical="center"/>
    </xf>
    <xf numFmtId="14" fontId="24" fillId="0" borderId="18" xfId="0" applyNumberFormat="1" applyFont="1" applyBorder="1" applyAlignment="1">
      <alignment horizontal="center" vertical="center"/>
    </xf>
    <xf numFmtId="14" fontId="24" fillId="0" borderId="19" xfId="0" applyNumberFormat="1" applyFont="1" applyBorder="1" applyAlignment="1">
      <alignment horizontal="center" vertical="center"/>
    </xf>
    <xf numFmtId="2" fontId="24" fillId="0" borderId="17" xfId="0" applyNumberFormat="1" applyFont="1" applyBorder="1" applyAlignment="1">
      <alignment horizontal="center" vertical="center"/>
    </xf>
    <xf numFmtId="2" fontId="24" fillId="0" borderId="18" xfId="0" applyNumberFormat="1" applyFont="1" applyBorder="1" applyAlignment="1">
      <alignment horizontal="center" vertical="center"/>
    </xf>
    <xf numFmtId="2" fontId="24" fillId="0" borderId="19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4" fontId="24" fillId="0" borderId="2" xfId="0" applyNumberFormat="1" applyFont="1" applyBorder="1" applyAlignment="1">
      <alignment horizontal="center" vertical="center"/>
    </xf>
    <xf numFmtId="14" fontId="24" fillId="0" borderId="3" xfId="0" applyNumberFormat="1" applyFont="1" applyBorder="1" applyAlignment="1">
      <alignment horizontal="center" vertical="center"/>
    </xf>
    <xf numFmtId="14" fontId="24" fillId="0" borderId="5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4" fillId="0" borderId="3" xfId="0" applyNumberFormat="1" applyFont="1" applyBorder="1" applyAlignment="1">
      <alignment horizontal="center" vertical="center"/>
    </xf>
    <xf numFmtId="2" fontId="24" fillId="0" borderId="5" xfId="0" applyNumberFormat="1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" xfId="0" applyFont="1" applyBorder="1"/>
    <xf numFmtId="0" fontId="24" fillId="0" borderId="3" xfId="0" applyFont="1" applyBorder="1"/>
    <xf numFmtId="0" fontId="24" fillId="0" borderId="5" xfId="0" applyFont="1" applyBorder="1"/>
    <xf numFmtId="0" fontId="24" fillId="0" borderId="1" xfId="0" applyFont="1" applyBorder="1"/>
    <xf numFmtId="0" fontId="24" fillId="0" borderId="4" xfId="0" applyFont="1" applyBorder="1"/>
    <xf numFmtId="0" fontId="24" fillId="0" borderId="7" xfId="0" applyFont="1" applyBorder="1"/>
    <xf numFmtId="0" fontId="24" fillId="0" borderId="8" xfId="0" applyFont="1" applyBorder="1"/>
    <xf numFmtId="0" fontId="24" fillId="0" borderId="11" xfId="0" applyFont="1" applyBorder="1"/>
    <xf numFmtId="0" fontId="24" fillId="0" borderId="6" xfId="0" applyFont="1" applyBorder="1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12" xfId="0" applyFont="1" applyBorder="1"/>
    <xf numFmtId="0" fontId="24" fillId="0" borderId="14" xfId="0" applyFont="1" applyBorder="1"/>
    <xf numFmtId="0" fontId="24" fillId="0" borderId="15" xfId="0" applyFont="1" applyBorder="1"/>
    <xf numFmtId="0" fontId="24" fillId="0" borderId="9" xfId="0" applyFont="1" applyBorder="1"/>
    <xf numFmtId="0" fontId="24" fillId="0" borderId="10" xfId="0" applyFont="1" applyBorder="1"/>
    <xf numFmtId="0" fontId="24" fillId="0" borderId="13" xfId="0" applyFont="1" applyBorder="1"/>
    <xf numFmtId="0" fontId="21" fillId="4" borderId="17" xfId="0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center" vertical="center"/>
    </xf>
    <xf numFmtId="0" fontId="21" fillId="4" borderId="19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1" fillId="4" borderId="0" xfId="0" applyFont="1" applyFill="1"/>
    <xf numFmtId="0" fontId="24" fillId="0" borderId="22" xfId="0" applyFont="1" applyBorder="1"/>
    <xf numFmtId="0" fontId="24" fillId="0" borderId="23" xfId="0" applyFont="1" applyBorder="1"/>
    <xf numFmtId="0" fontId="24" fillId="0" borderId="24" xfId="0" applyFont="1" applyBorder="1"/>
    <xf numFmtId="0" fontId="24" fillId="0" borderId="18" xfId="0" applyFont="1" applyBorder="1"/>
    <xf numFmtId="0" fontId="24" fillId="0" borderId="19" xfId="0" applyFont="1" applyBorder="1"/>
    <xf numFmtId="0" fontId="24" fillId="0" borderId="17" xfId="0" applyFont="1" applyBorder="1"/>
    <xf numFmtId="0" fontId="24" fillId="0" borderId="25" xfId="0" applyFont="1" applyBorder="1"/>
    <xf numFmtId="0" fontId="24" fillId="0" borderId="26" xfId="0" applyFont="1" applyBorder="1"/>
    <xf numFmtId="0" fontId="24" fillId="0" borderId="27" xfId="0" applyFont="1" applyBorder="1"/>
    <xf numFmtId="0" fontId="24" fillId="0" borderId="3" xfId="0" applyFont="1" applyBorder="1"/>
    <xf numFmtId="0" fontId="24" fillId="0" borderId="5" xfId="0" applyFont="1" applyBorder="1"/>
    <xf numFmtId="0" fontId="24" fillId="0" borderId="2" xfId="0" applyFont="1" applyBorder="1"/>
    <xf numFmtId="14" fontId="24" fillId="0" borderId="1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left"/>
    </xf>
    <xf numFmtId="0" fontId="24" fillId="0" borderId="29" xfId="0" applyFont="1" applyBorder="1" applyAlignment="1">
      <alignment horizontal="left"/>
    </xf>
    <xf numFmtId="0" fontId="24" fillId="0" borderId="30" xfId="0" applyFont="1" applyBorder="1" applyAlignment="1">
      <alignment horizontal="left"/>
    </xf>
    <xf numFmtId="0" fontId="24" fillId="0" borderId="0" xfId="0" applyFont="1"/>
    <xf numFmtId="0" fontId="24" fillId="0" borderId="4" xfId="0" applyFont="1" applyBorder="1"/>
    <xf numFmtId="0" fontId="24" fillId="0" borderId="1" xfId="0" applyFont="1" applyBorder="1"/>
    <xf numFmtId="14" fontId="27" fillId="0" borderId="17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22" xfId="0" applyFont="1" applyBorder="1"/>
    <xf numFmtId="0" fontId="27" fillId="0" borderId="23" xfId="0" applyFont="1" applyBorder="1"/>
    <xf numFmtId="0" fontId="27" fillId="0" borderId="24" xfId="0" applyFont="1" applyBorder="1"/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25" xfId="0" applyFont="1" applyBorder="1"/>
    <xf numFmtId="0" fontId="27" fillId="0" borderId="26" xfId="0" applyFont="1" applyBorder="1"/>
    <xf numFmtId="0" fontId="27" fillId="0" borderId="27" xfId="0" applyFont="1" applyBorder="1"/>
    <xf numFmtId="0" fontId="21" fillId="4" borderId="21" xfId="6" applyFont="1" applyFill="1" applyBorder="1" applyAlignment="1">
      <alignment horizontal="center" vertical="center"/>
    </xf>
    <xf numFmtId="0" fontId="21" fillId="4" borderId="16" xfId="6" applyFont="1" applyFill="1" applyBorder="1" applyAlignment="1">
      <alignment horizontal="center" vertical="center"/>
    </xf>
    <xf numFmtId="0" fontId="21" fillId="4" borderId="20" xfId="6" applyFont="1" applyFill="1" applyBorder="1" applyAlignment="1">
      <alignment horizontal="center" vertical="center"/>
    </xf>
    <xf numFmtId="0" fontId="23" fillId="0" borderId="17" xfId="6" applyFont="1" applyBorder="1" applyAlignment="1">
      <alignment horizontal="center" vertical="center"/>
    </xf>
    <xf numFmtId="0" fontId="23" fillId="0" borderId="18" xfId="6" applyFont="1" applyBorder="1" applyAlignment="1">
      <alignment horizontal="center" vertical="center"/>
    </xf>
    <xf numFmtId="0" fontId="23" fillId="0" borderId="19" xfId="6" applyFont="1" applyBorder="1" applyAlignment="1">
      <alignment horizontal="center" vertical="center"/>
    </xf>
    <xf numFmtId="0" fontId="23" fillId="0" borderId="1" xfId="6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3" fillId="0" borderId="4" xfId="6" applyFont="1" applyBorder="1" applyAlignment="1">
      <alignment horizontal="center" vertical="center"/>
    </xf>
    <xf numFmtId="0" fontId="23" fillId="0" borderId="2" xfId="6" applyFont="1" applyBorder="1" applyAlignment="1">
      <alignment horizontal="center" vertical="center"/>
    </xf>
    <xf numFmtId="0" fontId="23" fillId="0" borderId="3" xfId="6" applyFont="1" applyBorder="1" applyAlignment="1">
      <alignment horizontal="center" vertical="center"/>
    </xf>
    <xf numFmtId="0" fontId="23" fillId="0" borderId="5" xfId="6" applyFont="1" applyBorder="1" applyAlignment="1">
      <alignment horizontal="center" vertical="center"/>
    </xf>
    <xf numFmtId="0" fontId="20" fillId="4" borderId="21" xfId="6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31" xfId="0" applyFont="1" applyBorder="1" applyAlignment="1">
      <alignment horizontal="left" vertical="top"/>
    </xf>
    <xf numFmtId="0" fontId="24" fillId="0" borderId="21" xfId="0" applyFont="1" applyBorder="1" applyAlignment="1">
      <alignment horizontal="left" vertical="top"/>
    </xf>
    <xf numFmtId="0" fontId="24" fillId="0" borderId="16" xfId="0" applyFont="1" applyBorder="1" applyAlignment="1">
      <alignment horizontal="left" vertical="top"/>
    </xf>
    <xf numFmtId="0" fontId="24" fillId="0" borderId="20" xfId="0" applyFont="1" applyBorder="1" applyAlignment="1">
      <alignment horizontal="left" vertical="top"/>
    </xf>
    <xf numFmtId="0" fontId="24" fillId="5" borderId="21" xfId="0" applyFont="1" applyFill="1" applyBorder="1" applyAlignment="1">
      <alignment horizontal="center" vertical="center" wrapText="1"/>
    </xf>
    <xf numFmtId="0" fontId="24" fillId="5" borderId="16" xfId="0" applyFont="1" applyFill="1" applyBorder="1" applyAlignment="1">
      <alignment horizontal="center" vertical="center" wrapText="1"/>
    </xf>
    <xf numFmtId="0" fontId="24" fillId="5" borderId="20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vertical="center"/>
    </xf>
    <xf numFmtId="0" fontId="24" fillId="2" borderId="16" xfId="0" applyFont="1" applyFill="1" applyBorder="1" applyAlignment="1">
      <alignment horizontal="left" vertical="top" wrapText="1" shrinkToFit="1"/>
    </xf>
    <xf numFmtId="0" fontId="24" fillId="2" borderId="20" xfId="0" applyFont="1" applyFill="1" applyBorder="1" applyAlignment="1">
      <alignment horizontal="left" vertical="top" wrapText="1" shrinkToFit="1"/>
    </xf>
    <xf numFmtId="0" fontId="24" fillId="5" borderId="17" xfId="0" applyFont="1" applyFill="1" applyBorder="1" applyAlignment="1">
      <alignment horizontal="center" vertical="center" wrapText="1"/>
    </xf>
    <xf numFmtId="0" fontId="24" fillId="5" borderId="18" xfId="0" applyFont="1" applyFill="1" applyBorder="1" applyAlignment="1">
      <alignment horizontal="center" vertical="center" wrapText="1"/>
    </xf>
    <xf numFmtId="0" fontId="24" fillId="5" borderId="19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wrapText="1"/>
    </xf>
    <xf numFmtId="0" fontId="24" fillId="5" borderId="5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vertical="center"/>
    </xf>
    <xf numFmtId="0" fontId="24" fillId="2" borderId="18" xfId="0" applyFont="1" applyFill="1" applyBorder="1" applyAlignment="1">
      <alignment vertical="center"/>
    </xf>
    <xf numFmtId="0" fontId="24" fillId="2" borderId="1" xfId="0" applyFont="1" applyFill="1" applyBorder="1" applyAlignment="1">
      <alignment vertical="center"/>
    </xf>
    <xf numFmtId="0" fontId="24" fillId="2" borderId="0" xfId="0" quotePrefix="1" applyFont="1" applyFill="1" applyAlignment="1">
      <alignment vertical="center"/>
    </xf>
    <xf numFmtId="0" fontId="24" fillId="2" borderId="2" xfId="0" applyFont="1" applyFill="1" applyBorder="1" applyAlignment="1">
      <alignment vertical="center"/>
    </xf>
    <xf numFmtId="49" fontId="24" fillId="2" borderId="3" xfId="8" applyNumberFormat="1" applyFont="1" applyFill="1" applyBorder="1" applyAlignment="1">
      <alignment horizontal="left" vertical="center"/>
    </xf>
    <xf numFmtId="0" fontId="24" fillId="2" borderId="3" xfId="0" applyFont="1" applyFill="1" applyBorder="1" applyAlignment="1">
      <alignment vertical="center"/>
    </xf>
    <xf numFmtId="49" fontId="24" fillId="2" borderId="21" xfId="8" applyNumberFormat="1" applyFont="1" applyFill="1" applyBorder="1">
      <alignment vertical="center"/>
    </xf>
    <xf numFmtId="49" fontId="24" fillId="2" borderId="16" xfId="8" applyNumberFormat="1" applyFont="1" applyFill="1" applyBorder="1">
      <alignment vertical="center"/>
    </xf>
    <xf numFmtId="49" fontId="24" fillId="2" borderId="21" xfId="8" quotePrefix="1" applyNumberFormat="1" applyFont="1" applyFill="1" applyBorder="1" applyAlignment="1">
      <alignment horizontal="left" vertical="top" wrapText="1"/>
    </xf>
    <xf numFmtId="49" fontId="24" fillId="2" borderId="16" xfId="8" quotePrefix="1" applyNumberFormat="1" applyFont="1" applyFill="1" applyBorder="1" applyAlignment="1">
      <alignment horizontal="left" vertical="top" wrapText="1"/>
    </xf>
    <xf numFmtId="49" fontId="24" fillId="2" borderId="20" xfId="8" quotePrefix="1" applyNumberFormat="1" applyFont="1" applyFill="1" applyBorder="1" applyAlignment="1">
      <alignment horizontal="left" vertical="top" wrapText="1"/>
    </xf>
    <xf numFmtId="0" fontId="27" fillId="2" borderId="0" xfId="0" quotePrefix="1" applyFont="1" applyFill="1" applyAlignment="1">
      <alignment vertical="center"/>
    </xf>
    <xf numFmtId="49" fontId="17" fillId="2" borderId="17" xfId="8" applyNumberFormat="1" applyFont="1" applyFill="1" applyBorder="1" applyAlignment="1">
      <alignment horizontal="left" vertical="top" wrapText="1"/>
    </xf>
    <xf numFmtId="0" fontId="24" fillId="2" borderId="21" xfId="0" applyFont="1" applyFill="1" applyBorder="1" applyAlignment="1">
      <alignment horizontal="center" vertical="top" wrapText="1" shrinkToFit="1"/>
    </xf>
    <xf numFmtId="0" fontId="24" fillId="2" borderId="0" xfId="0" applyFont="1" applyFill="1" applyAlignment="1">
      <alignment horizontal="center" vertical="top" wrapText="1" shrinkToFit="1"/>
    </xf>
    <xf numFmtId="0" fontId="24" fillId="2" borderId="0" xfId="0" applyFont="1" applyFill="1" applyAlignment="1">
      <alignment horizontal="left" vertical="top" wrapText="1" shrinkToFit="1"/>
    </xf>
    <xf numFmtId="0" fontId="24" fillId="2" borderId="0" xfId="0" applyFont="1" applyFill="1" applyAlignment="1">
      <alignment horizontal="center" vertical="top"/>
    </xf>
    <xf numFmtId="0" fontId="24" fillId="2" borderId="0" xfId="0" applyFont="1" applyFill="1" applyAlignment="1">
      <alignment horizontal="left" vertical="top"/>
    </xf>
    <xf numFmtId="0" fontId="24" fillId="2" borderId="0" xfId="0" quotePrefix="1" applyFont="1" applyFill="1" applyAlignment="1">
      <alignment vertical="top" wrapText="1" shrinkToFit="1"/>
    </xf>
    <xf numFmtId="0" fontId="24" fillId="2" borderId="0" xfId="0" applyFont="1" applyFill="1" applyAlignment="1">
      <alignment vertical="top" wrapText="1" shrinkToFit="1"/>
    </xf>
    <xf numFmtId="0" fontId="24" fillId="2" borderId="4" xfId="0" applyFont="1" applyFill="1" applyBorder="1" applyAlignment="1">
      <alignment horizontal="left" vertical="top" wrapText="1" shrinkToFi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画面初期化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13</xdr:row>
      <xdr:rowOff>168088</xdr:rowOff>
    </xdr:from>
    <xdr:to>
      <xdr:col>56</xdr:col>
      <xdr:colOff>0</xdr:colOff>
      <xdr:row>17</xdr:row>
      <xdr:rowOff>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>
          <a:grpSpLocks/>
        </xdr:cNvGrpSpPr>
      </xdr:nvGrpSpPr>
      <xdr:grpSpPr>
        <a:xfrm>
          <a:off x="10354235" y="2756647"/>
          <a:ext cx="2823883" cy="593912"/>
          <a:chOff x="8681645" y="-2596021"/>
          <a:chExt cx="2803761" cy="2324291"/>
        </a:xfrm>
      </xdr:grpSpPr>
      <xdr:sp macro="" textlink="" fLocksText="0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SC4001_従業員一覧画面 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3" name="直線矢印コネクタ 4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>
            <a:endCxn id="12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11206</xdr:colOff>
      <xdr:row>25</xdr:row>
      <xdr:rowOff>0</xdr:rowOff>
    </xdr:from>
    <xdr:to>
      <xdr:col>12</xdr:col>
      <xdr:colOff>169644</xdr:colOff>
      <xdr:row>27</xdr:row>
      <xdr:rowOff>51266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>
          <a:grpSpLocks/>
        </xdr:cNvGrpSpPr>
      </xdr:nvGrpSpPr>
      <xdr:grpSpPr>
        <a:xfrm>
          <a:off x="11206" y="4874559"/>
          <a:ext cx="2982320" cy="432266"/>
          <a:chOff x="166534" y="4879323"/>
          <a:chExt cx="2982320" cy="622766"/>
        </a:xfrm>
      </xdr:grpSpPr>
      <xdr:sp macro="" textlink="" fLocksText="0">
        <xdr:nvSpPr>
          <xdr:cNvPr id="21" name="フローチャート: 代替処理 27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/>
        </xdr:nvSpPr>
        <xdr:spPr>
          <a:xfrm>
            <a:off x="166534" y="4879323"/>
            <a:ext cx="2186786" cy="622766"/>
          </a:xfrm>
          <a:prstGeom prst="flowChartAlternateProcess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FFFFFF"/>
                </a:solidFill>
                <a:latin typeface="Meiryo UI"/>
                <a:ea typeface="Meiryo UI"/>
              </a:rPr>
              <a:t>F12:検索</a:t>
            </a:r>
          </a:p>
        </xdr:txBody>
      </xdr:sp>
      <xdr:cxnSp macro="">
        <xdr:nvCxnSpPr>
          <xdr:cNvPr id="22" name="直線矢印コネクタ 4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21" idx="3"/>
          </xdr:cNvCxnSpPr>
        </xdr:nvCxnSpPr>
        <xdr:spPr>
          <a:xfrm>
            <a:off x="2353320" y="5196311"/>
            <a:ext cx="795534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143883</xdr:colOff>
      <xdr:row>38</xdr:row>
      <xdr:rowOff>168088</xdr:rowOff>
    </xdr:from>
    <xdr:to>
      <xdr:col>55</xdr:col>
      <xdr:colOff>143885</xdr:colOff>
      <xdr:row>41</xdr:row>
      <xdr:rowOff>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pSpPr>
          <a:grpSpLocks/>
        </xdr:cNvGrpSpPr>
      </xdr:nvGrpSpPr>
      <xdr:grpSpPr>
        <a:xfrm>
          <a:off x="10262795" y="7519147"/>
          <a:ext cx="2823884" cy="403412"/>
          <a:chOff x="8357211" y="12314519"/>
          <a:chExt cx="2803762" cy="2324291"/>
        </a:xfrm>
      </xdr:grpSpPr>
      <xdr:sp macro="" textlink="" fLocksText="0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SC4001_従業員一覧画面 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5" name="直線矢印コネクタ 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CxnSpPr>
            <a:endCxn id="24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33617</xdr:colOff>
      <xdr:row>43</xdr:row>
      <xdr:rowOff>56030</xdr:rowOff>
    </xdr:from>
    <xdr:to>
      <xdr:col>53</xdr:col>
      <xdr:colOff>166294</xdr:colOff>
      <xdr:row>45</xdr:row>
      <xdr:rowOff>44824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pSpPr>
          <a:grpSpLocks/>
        </xdr:cNvGrpSpPr>
      </xdr:nvGrpSpPr>
      <xdr:grpSpPr>
        <a:xfrm>
          <a:off x="10387852" y="8359589"/>
          <a:ext cx="2250589" cy="369794"/>
          <a:chOff x="8994954" y="-1771293"/>
          <a:chExt cx="2234552" cy="777600"/>
        </a:xfrm>
      </xdr:grpSpPr>
      <xdr:sp macro="" textlink="" fLocksText="0">
        <xdr:nvSpPr>
          <xdr:cNvPr id="30" name="Rectangle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1" name="直線矢印コネクタ 4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CxnSpPr>
            <a:endCxn id="30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53</xdr:row>
      <xdr:rowOff>4764</xdr:rowOff>
    </xdr:from>
    <xdr:to>
      <xdr:col>10</xdr:col>
      <xdr:colOff>0</xdr:colOff>
      <xdr:row>56</xdr:row>
      <xdr:rowOff>56030</xdr:rowOff>
    </xdr:to>
    <xdr:sp macro="" textlink="" fLocksText="0">
      <xdr:nvSpPr>
        <xdr:cNvPr id="32" name="フローチャート: 代替処理 2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61925" y="102203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F07：印刷</a:t>
          </a:r>
        </a:p>
      </xdr:txBody>
    </xdr:sp>
    <xdr:clientData/>
  </xdr:twoCellAnchor>
  <xdr:twoCellAnchor>
    <xdr:from>
      <xdr:col>10</xdr:col>
      <xdr:colOff>0</xdr:colOff>
      <xdr:row>54</xdr:row>
      <xdr:rowOff>131250</xdr:rowOff>
    </xdr:from>
    <xdr:to>
      <xdr:col>13</xdr:col>
      <xdr:colOff>89648</xdr:colOff>
      <xdr:row>54</xdr:row>
      <xdr:rowOff>131250</xdr:rowOff>
    </xdr:to>
    <xdr:cxnSp macro="">
      <xdr:nvCxnSpPr>
        <xdr:cNvPr id="33" name="直線矢印コネクタ 4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>
          <a:stCxn id="32" idx="3"/>
        </xdr:cNvCxnSpPr>
      </xdr:nvCxnSpPr>
      <xdr:spPr>
        <a:xfrm>
          <a:off x="2667000" y="10534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225912</xdr:colOff>
      <xdr:row>53</xdr:row>
      <xdr:rowOff>134472</xdr:rowOff>
    </xdr:from>
    <xdr:to>
      <xdr:col>53</xdr:col>
      <xdr:colOff>123266</xdr:colOff>
      <xdr:row>55</xdr:row>
      <xdr:rowOff>123266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pSpPr>
          <a:grpSpLocks/>
        </xdr:cNvGrpSpPr>
      </xdr:nvGrpSpPr>
      <xdr:grpSpPr>
        <a:xfrm>
          <a:off x="10344824" y="10343031"/>
          <a:ext cx="2250589" cy="369794"/>
          <a:chOff x="8994954" y="-1771293"/>
          <a:chExt cx="2234552" cy="777600"/>
        </a:xfrm>
      </xdr:grpSpPr>
      <xdr:sp macro="" textlink="" fLocksText="0">
        <xdr:nvSpPr>
          <xdr:cNvPr id="38" name="Rectangle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9" name="直線矢印コネクタ 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CxnSpPr>
            <a:endCxn id="38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82</xdr:row>
      <xdr:rowOff>4764</xdr:rowOff>
    </xdr:from>
    <xdr:to>
      <xdr:col>10</xdr:col>
      <xdr:colOff>0</xdr:colOff>
      <xdr:row>85</xdr:row>
      <xdr:rowOff>56030</xdr:rowOff>
    </xdr:to>
    <xdr:sp macro="" textlink="" fLocksText="0">
      <xdr:nvSpPr>
        <xdr:cNvPr id="43" name="フローチャート: 代替処理 27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61925" y="157448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F08：削除</a:t>
          </a:r>
        </a:p>
      </xdr:txBody>
    </xdr:sp>
    <xdr:clientData/>
  </xdr:twoCellAnchor>
  <xdr:twoCellAnchor>
    <xdr:from>
      <xdr:col>10</xdr:col>
      <xdr:colOff>0</xdr:colOff>
      <xdr:row>83</xdr:row>
      <xdr:rowOff>131250</xdr:rowOff>
    </xdr:from>
    <xdr:to>
      <xdr:col>13</xdr:col>
      <xdr:colOff>89648</xdr:colOff>
      <xdr:row>83</xdr:row>
      <xdr:rowOff>131250</xdr:rowOff>
    </xdr:to>
    <xdr:cxnSp macro="">
      <xdr:nvCxnSpPr>
        <xdr:cNvPr id="44" name="直線矢印コネクタ 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stCxn id="43" idx="3"/>
        </xdr:cNvCxnSpPr>
      </xdr:nvCxnSpPr>
      <xdr:spPr>
        <a:xfrm>
          <a:off x="2667000" y="16059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81</xdr:row>
      <xdr:rowOff>145676</xdr:rowOff>
    </xdr:from>
    <xdr:to>
      <xdr:col>53</xdr:col>
      <xdr:colOff>132677</xdr:colOff>
      <xdr:row>83</xdr:row>
      <xdr:rowOff>134470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>
          <a:grpSpLocks/>
        </xdr:cNvGrpSpPr>
      </xdr:nvGrpSpPr>
      <xdr:grpSpPr>
        <a:xfrm>
          <a:off x="10354235" y="15688235"/>
          <a:ext cx="2250589" cy="369794"/>
          <a:chOff x="8994954" y="-1771293"/>
          <a:chExt cx="2234552" cy="777600"/>
        </a:xfrm>
      </xdr:grpSpPr>
      <xdr:sp macro="" textlink="" fLocksText="0">
        <xdr:nvSpPr>
          <xdr:cNvPr id="49" name="Rectangle 48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0" name="直線矢印コネクタ 4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CxnSpPr>
            <a:endCxn id="49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134470</xdr:colOff>
      <xdr:row>84</xdr:row>
      <xdr:rowOff>89646</xdr:rowOff>
    </xdr:from>
    <xdr:to>
      <xdr:col>55</xdr:col>
      <xdr:colOff>134472</xdr:colOff>
      <xdr:row>87</xdr:row>
      <xdr:rowOff>112058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>
          <a:grpSpLocks/>
        </xdr:cNvGrpSpPr>
      </xdr:nvGrpSpPr>
      <xdr:grpSpPr>
        <a:xfrm>
          <a:off x="10253382" y="16203705"/>
          <a:ext cx="2823884" cy="593912"/>
          <a:chOff x="8357211" y="12314519"/>
          <a:chExt cx="2803762" cy="2324291"/>
        </a:xfrm>
      </xdr:grpSpPr>
      <xdr:sp macro="" textlink="" fLocksText="0">
        <xdr:nvSpPr>
          <xdr:cNvPr id="55" name="Rectangle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SC4001_従業員一覧画面 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6" name="直線矢印コネクタ 4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CxnSpPr>
            <a:endCxn id="55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97</xdr:row>
      <xdr:rowOff>4764</xdr:rowOff>
    </xdr:from>
    <xdr:to>
      <xdr:col>10</xdr:col>
      <xdr:colOff>0</xdr:colOff>
      <xdr:row>100</xdr:row>
      <xdr:rowOff>56030</xdr:rowOff>
    </xdr:to>
    <xdr:sp macro="" textlink="" fLocksText="0">
      <xdr:nvSpPr>
        <xdr:cNvPr id="57" name="フローチャート: 代替処理 27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161925" y="186023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編集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98</xdr:row>
      <xdr:rowOff>131250</xdr:rowOff>
    </xdr:from>
    <xdr:to>
      <xdr:col>13</xdr:col>
      <xdr:colOff>89648</xdr:colOff>
      <xdr:row>98</xdr:row>
      <xdr:rowOff>131250</xdr:rowOff>
    </xdr:to>
    <xdr:cxnSp macro="">
      <xdr:nvCxnSpPr>
        <xdr:cNvPr id="58" name="直線矢印コネクタ 4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>
          <a:stCxn id="57" idx="3"/>
        </xdr:cNvCxnSpPr>
      </xdr:nvCxnSpPr>
      <xdr:spPr>
        <a:xfrm>
          <a:off x="2667000" y="18916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98</xdr:row>
      <xdr:rowOff>11206</xdr:rowOff>
    </xdr:from>
    <xdr:to>
      <xdr:col>53</xdr:col>
      <xdr:colOff>132677</xdr:colOff>
      <xdr:row>100</xdr:row>
      <xdr:rowOff>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GrpSpPr>
          <a:grpSpLocks/>
        </xdr:cNvGrpSpPr>
      </xdr:nvGrpSpPr>
      <xdr:grpSpPr>
        <a:xfrm>
          <a:off x="10354235" y="18792265"/>
          <a:ext cx="2250589" cy="369794"/>
          <a:chOff x="8994954" y="-1771293"/>
          <a:chExt cx="2234552" cy="777600"/>
        </a:xfrm>
      </xdr:grpSpPr>
      <xdr:sp macro="" textlink="" fLocksText="0">
        <xdr:nvSpPr>
          <xdr:cNvPr id="60" name="Rectangle 59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1" name="直線矢印コネクタ 4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CxnSpPr>
            <a:endCxn id="60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134469</xdr:colOff>
      <xdr:row>101</xdr:row>
      <xdr:rowOff>168088</xdr:rowOff>
    </xdr:from>
    <xdr:to>
      <xdr:col>55</xdr:col>
      <xdr:colOff>134471</xdr:colOff>
      <xdr:row>105</xdr:row>
      <xdr:rowOff>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GrpSpPr>
          <a:grpSpLocks/>
        </xdr:cNvGrpSpPr>
      </xdr:nvGrpSpPr>
      <xdr:grpSpPr>
        <a:xfrm>
          <a:off x="10253381" y="19520647"/>
          <a:ext cx="2823884" cy="593912"/>
          <a:chOff x="8357211" y="12314519"/>
          <a:chExt cx="2803762" cy="2324291"/>
        </a:xfrm>
      </xdr:grpSpPr>
      <xdr:sp macro="" textlink="" fLocksText="0">
        <xdr:nvSpPr>
          <xdr:cNvPr id="63" name="Rectangle 62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MD4001_ 従業員編集モーダル</a:t>
            </a:r>
          </a:p>
        </xdr:txBody>
      </xdr:sp>
      <xdr:cxnSp macro="">
        <xdr:nvCxnSpPr>
          <xdr:cNvPr id="64" name="直線矢印コネクタ 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CxnSpPr>
            <a:endCxn id="63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71</xdr:row>
      <xdr:rowOff>145676</xdr:rowOff>
    </xdr:from>
    <xdr:to>
      <xdr:col>53</xdr:col>
      <xdr:colOff>132677</xdr:colOff>
      <xdr:row>73</xdr:row>
      <xdr:rowOff>134470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GrpSpPr>
          <a:grpSpLocks/>
        </xdr:cNvGrpSpPr>
      </xdr:nvGrpSpPr>
      <xdr:grpSpPr>
        <a:xfrm>
          <a:off x="10354235" y="13783235"/>
          <a:ext cx="2250589" cy="369794"/>
          <a:chOff x="8994954" y="-1771293"/>
          <a:chExt cx="2234552" cy="777600"/>
        </a:xfrm>
      </xdr:grpSpPr>
      <xdr:sp macro="" textlink="" fLocksText="0">
        <xdr:nvSpPr>
          <xdr:cNvPr id="66" name="Rectangle 65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7" name="直線矢印コネクタ 4">
            <a:extLst>
              <a:ext uri="{FF2B5EF4-FFF2-40B4-BE49-F238E27FC236}">
                <a16:creationId xmlns:a16="http://schemas.microsoft.com/office/drawing/2014/main" id="{00000000-0008-0000-0200-000043000000}"/>
              </a:ext>
            </a:extLst>
          </xdr:cNvPr>
          <xdr:cNvCxnSpPr>
            <a:endCxn id="66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113</xdr:row>
      <xdr:rowOff>4764</xdr:rowOff>
    </xdr:from>
    <xdr:to>
      <xdr:col>10</xdr:col>
      <xdr:colOff>0</xdr:colOff>
      <xdr:row>116</xdr:row>
      <xdr:rowOff>0</xdr:rowOff>
    </xdr:to>
    <xdr:sp macro="" textlink="" fLocksText="0">
      <xdr:nvSpPr>
        <xdr:cNvPr id="68" name="フローチャート: 代替処理 2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161925" y="216503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新規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114</xdr:row>
      <xdr:rowOff>131250</xdr:rowOff>
    </xdr:from>
    <xdr:to>
      <xdr:col>13</xdr:col>
      <xdr:colOff>89648</xdr:colOff>
      <xdr:row>114</xdr:row>
      <xdr:rowOff>131250</xdr:rowOff>
    </xdr:to>
    <xdr:cxnSp macro="">
      <xdr:nvCxnSpPr>
        <xdr:cNvPr id="69" name="直線矢印コネクタ 4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CxnSpPr>
          <a:stCxn id="68" idx="3"/>
        </xdr:cNvCxnSpPr>
      </xdr:nvCxnSpPr>
      <xdr:spPr>
        <a:xfrm>
          <a:off x="2667000" y="21964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134469</xdr:colOff>
      <xdr:row>113</xdr:row>
      <xdr:rowOff>0</xdr:rowOff>
    </xdr:from>
    <xdr:to>
      <xdr:col>55</xdr:col>
      <xdr:colOff>134471</xdr:colOff>
      <xdr:row>116</xdr:row>
      <xdr:rowOff>0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GrpSpPr>
          <a:grpSpLocks/>
        </xdr:cNvGrpSpPr>
      </xdr:nvGrpSpPr>
      <xdr:grpSpPr>
        <a:xfrm>
          <a:off x="10253381" y="21638559"/>
          <a:ext cx="2823884" cy="571500"/>
          <a:chOff x="8357211" y="12314519"/>
          <a:chExt cx="2803762" cy="2324291"/>
        </a:xfrm>
      </xdr:grpSpPr>
      <xdr:sp macro="" textlink="" fLocksText="0">
        <xdr:nvSpPr>
          <xdr:cNvPr id="74" name="Rectangle 73">
            <a:extLst>
              <a:ext uri="{FF2B5EF4-FFF2-40B4-BE49-F238E27FC236}">
                <a16:creationId xmlns:a16="http://schemas.microsoft.com/office/drawing/2014/main" id="{00000000-0008-0000-0200-00004A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MD4002_従業員新規モーダル</a:t>
            </a:r>
          </a:p>
        </xdr:txBody>
      </xdr:sp>
      <xdr:cxnSp macro="">
        <xdr:nvCxnSpPr>
          <xdr:cNvPr id="75" name="直線矢印コネクタ 4">
            <a:extLst>
              <a:ext uri="{FF2B5EF4-FFF2-40B4-BE49-F238E27FC236}">
                <a16:creationId xmlns:a16="http://schemas.microsoft.com/office/drawing/2014/main" id="{00000000-0008-0000-0200-00004B000000}"/>
              </a:ext>
            </a:extLst>
          </xdr:cNvPr>
          <xdr:cNvCxnSpPr>
            <a:endCxn id="74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124</xdr:row>
      <xdr:rowOff>4764</xdr:rowOff>
    </xdr:from>
    <xdr:to>
      <xdr:col>10</xdr:col>
      <xdr:colOff>0</xdr:colOff>
      <xdr:row>127</xdr:row>
      <xdr:rowOff>56030</xdr:rowOff>
    </xdr:to>
    <xdr:sp macro="" textlink="" fLocksText="0">
      <xdr:nvSpPr>
        <xdr:cNvPr id="76" name="フローチャート: 代替処理 27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161925" y="237458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F12:確認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125</xdr:row>
      <xdr:rowOff>131250</xdr:rowOff>
    </xdr:from>
    <xdr:to>
      <xdr:col>13</xdr:col>
      <xdr:colOff>89648</xdr:colOff>
      <xdr:row>125</xdr:row>
      <xdr:rowOff>131250</xdr:rowOff>
    </xdr:to>
    <xdr:cxnSp macro="">
      <xdr:nvCxnSpPr>
        <xdr:cNvPr id="77" name="直線矢印コネクタ 4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CxnSpPr>
          <a:stCxn id="76" idx="3"/>
        </xdr:cNvCxnSpPr>
      </xdr:nvCxnSpPr>
      <xdr:spPr>
        <a:xfrm>
          <a:off x="2667000" y="24060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123263</xdr:colOff>
      <xdr:row>137</xdr:row>
      <xdr:rowOff>0</xdr:rowOff>
    </xdr:from>
    <xdr:to>
      <xdr:col>55</xdr:col>
      <xdr:colOff>123267</xdr:colOff>
      <xdr:row>139</xdr:row>
      <xdr:rowOff>0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GrpSpPr>
          <a:grpSpLocks/>
        </xdr:cNvGrpSpPr>
      </xdr:nvGrpSpPr>
      <xdr:grpSpPr>
        <a:xfrm>
          <a:off x="10242175" y="26210559"/>
          <a:ext cx="2823886" cy="381000"/>
          <a:chOff x="8379463" y="12314519"/>
          <a:chExt cx="2803764" cy="2324291"/>
        </a:xfrm>
      </xdr:grpSpPr>
      <xdr:sp macro="" textlink="" fLocksText="0">
        <xdr:nvSpPr>
          <xdr:cNvPr id="79" name="Rectangle 78">
            <a:extLst>
              <a:ext uri="{FF2B5EF4-FFF2-40B4-BE49-F238E27FC236}">
                <a16:creationId xmlns:a16="http://schemas.microsoft.com/office/drawing/2014/main" id="{00000000-0008-0000-0200-00004F000000}"/>
              </a:ext>
            </a:extLst>
          </xdr:cNvPr>
          <xdr:cNvSpPr/>
        </xdr:nvSpPr>
        <xdr:spPr>
          <a:xfrm>
            <a:off x="9060077" y="12314519"/>
            <a:ext cx="2123150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SC4001_従業員一覧画面 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0" name="直線矢印コネクタ 4">
            <a:extLst>
              <a:ext uri="{FF2B5EF4-FFF2-40B4-BE49-F238E27FC236}">
                <a16:creationId xmlns:a16="http://schemas.microsoft.com/office/drawing/2014/main" id="{00000000-0008-0000-0200-000050000000}"/>
              </a:ext>
            </a:extLst>
          </xdr:cNvPr>
          <xdr:cNvCxnSpPr>
            <a:endCxn id="79" idx="1"/>
          </xdr:cNvCxnSpPr>
        </xdr:nvCxnSpPr>
        <xdr:spPr>
          <a:xfrm>
            <a:off x="8379463" y="13476665"/>
            <a:ext cx="680614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224120</xdr:colOff>
      <xdr:row>143</xdr:row>
      <xdr:rowOff>11206</xdr:rowOff>
    </xdr:from>
    <xdr:to>
      <xdr:col>53</xdr:col>
      <xdr:colOff>121474</xdr:colOff>
      <xdr:row>145</xdr:row>
      <xdr:rowOff>0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GrpSpPr>
          <a:grpSpLocks/>
        </xdr:cNvGrpSpPr>
      </xdr:nvGrpSpPr>
      <xdr:grpSpPr>
        <a:xfrm>
          <a:off x="10343032" y="27364765"/>
          <a:ext cx="2250589" cy="369794"/>
          <a:chOff x="8870788" y="-2171875"/>
          <a:chExt cx="2234552" cy="777600"/>
        </a:xfrm>
      </xdr:grpSpPr>
      <xdr:sp macro="" textlink="" fLocksText="0">
        <xdr:nvSpPr>
          <xdr:cNvPr id="85" name="Rectangle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SpPr/>
        </xdr:nvSpPr>
        <xdr:spPr>
          <a:xfrm>
            <a:off x="9449537" y="-217187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6" name="直線矢印コネクタ 4">
            <a:extLst>
              <a:ext uri="{FF2B5EF4-FFF2-40B4-BE49-F238E27FC236}">
                <a16:creationId xmlns:a16="http://schemas.microsoft.com/office/drawing/2014/main" id="{00000000-0008-0000-0200-000056000000}"/>
              </a:ext>
            </a:extLst>
          </xdr:cNvPr>
          <xdr:cNvCxnSpPr>
            <a:endCxn id="85" idx="1"/>
          </xdr:cNvCxnSpPr>
        </xdr:nvCxnSpPr>
        <xdr:spPr>
          <a:xfrm>
            <a:off x="8870788" y="-178307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153</xdr:row>
      <xdr:rowOff>4764</xdr:rowOff>
    </xdr:from>
    <xdr:to>
      <xdr:col>10</xdr:col>
      <xdr:colOff>0</xdr:colOff>
      <xdr:row>156</xdr:row>
      <xdr:rowOff>56030</xdr:rowOff>
    </xdr:to>
    <xdr:sp macro="" textlink="" fLocksText="0">
      <xdr:nvSpPr>
        <xdr:cNvPr id="5" name="フローチャート: 代替処理 27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61925" y="292703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CSV取込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154</xdr:row>
      <xdr:rowOff>131250</xdr:rowOff>
    </xdr:from>
    <xdr:to>
      <xdr:col>13</xdr:col>
      <xdr:colOff>89648</xdr:colOff>
      <xdr:row>154</xdr:row>
      <xdr:rowOff>131250</xdr:rowOff>
    </xdr:to>
    <xdr:cxnSp macro="">
      <xdr:nvCxnSpPr>
        <xdr:cNvPr id="6" name="直線矢印コネクタ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>
          <a:stCxn id="5" idx="3"/>
        </xdr:cNvCxnSpPr>
      </xdr:nvCxnSpPr>
      <xdr:spPr>
        <a:xfrm>
          <a:off x="2667000" y="29584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123263</xdr:colOff>
      <xdr:row>166</xdr:row>
      <xdr:rowOff>0</xdr:rowOff>
    </xdr:from>
    <xdr:to>
      <xdr:col>55</xdr:col>
      <xdr:colOff>123267</xdr:colOff>
      <xdr:row>168</xdr:row>
      <xdr:rowOff>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>
          <a:grpSpLocks/>
        </xdr:cNvGrpSpPr>
      </xdr:nvGrpSpPr>
      <xdr:grpSpPr>
        <a:xfrm>
          <a:off x="10242175" y="31735059"/>
          <a:ext cx="2823886" cy="381000"/>
          <a:chOff x="8379463" y="12314519"/>
          <a:chExt cx="2803764" cy="2324291"/>
        </a:xfrm>
      </xdr:grpSpPr>
      <xdr:sp macro="" textlink="" fLocksText="0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9060077" y="12314519"/>
            <a:ext cx="2123150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SC4001_従業員一覧画面 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" name="直線矢印コネクタ 4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CxnSpPr>
            <a:endCxn id="8" idx="1"/>
          </xdr:cNvCxnSpPr>
        </xdr:nvCxnSpPr>
        <xdr:spPr>
          <a:xfrm>
            <a:off x="8379463" y="13476665"/>
            <a:ext cx="680614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224120</xdr:colOff>
      <xdr:row>172</xdr:row>
      <xdr:rowOff>11206</xdr:rowOff>
    </xdr:from>
    <xdr:to>
      <xdr:col>53</xdr:col>
      <xdr:colOff>121474</xdr:colOff>
      <xdr:row>174</xdr:row>
      <xdr:rowOff>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pSpPr>
          <a:grpSpLocks/>
        </xdr:cNvGrpSpPr>
      </xdr:nvGrpSpPr>
      <xdr:grpSpPr>
        <a:xfrm>
          <a:off x="10343032" y="32889265"/>
          <a:ext cx="2250589" cy="369794"/>
          <a:chOff x="8870788" y="-2171875"/>
          <a:chExt cx="2234552" cy="777600"/>
        </a:xfrm>
      </xdr:grpSpPr>
      <xdr:sp macro="" textlink="" fLocksText="0">
        <xdr:nvSpPr>
          <xdr:cNvPr id="14" name="Rectangle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>
          <a:xfrm>
            <a:off x="9449537" y="-217187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5" name="直線矢印コネクタ 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>
            <a:endCxn id="14" idx="1"/>
          </xdr:cNvCxnSpPr>
        </xdr:nvCxnSpPr>
        <xdr:spPr>
          <a:xfrm>
            <a:off x="8870788" y="-178307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25</xdr:row>
      <xdr:rowOff>4764</xdr:rowOff>
    </xdr:from>
    <xdr:to>
      <xdr:col>10</xdr:col>
      <xdr:colOff>0</xdr:colOff>
      <xdr:row>28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1925" y="48863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戻る</a:t>
          </a:r>
        </a:p>
      </xdr:txBody>
    </xdr:sp>
    <xdr:clientData/>
  </xdr:twoCellAnchor>
  <xdr:twoCellAnchor>
    <xdr:from>
      <xdr:col>10</xdr:col>
      <xdr:colOff>0</xdr:colOff>
      <xdr:row>26</xdr:row>
      <xdr:rowOff>131250</xdr:rowOff>
    </xdr:from>
    <xdr:to>
      <xdr:col>13</xdr:col>
      <xdr:colOff>89648</xdr:colOff>
      <xdr:row>26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stCxn id="2" idx="3"/>
        </xdr:cNvCxnSpPr>
      </xdr:nvCxnSpPr>
      <xdr:spPr>
        <a:xfrm>
          <a:off x="2667000" y="5200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24</xdr:row>
      <xdr:rowOff>168088</xdr:rowOff>
    </xdr:from>
    <xdr:to>
      <xdr:col>56</xdr:col>
      <xdr:colOff>0</xdr:colOff>
      <xdr:row>28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>
          <a:grpSpLocks/>
        </xdr:cNvGrpSpPr>
      </xdr:nvGrpSpPr>
      <xdr:grpSpPr>
        <a:xfrm>
          <a:off x="10354235" y="4852147"/>
          <a:ext cx="2823883" cy="593912"/>
          <a:chOff x="8681645" y="-2596021"/>
          <a:chExt cx="2803761" cy="2324291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SC4001_従業員一覧画面 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>
            <a:endCxn id="5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36</xdr:row>
      <xdr:rowOff>4764</xdr:rowOff>
    </xdr:from>
    <xdr:to>
      <xdr:col>10</xdr:col>
      <xdr:colOff>0</xdr:colOff>
      <xdr:row>39</xdr:row>
      <xdr:rowOff>56030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61925" y="69818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更新</a:t>
          </a:r>
        </a:p>
      </xdr:txBody>
    </xdr:sp>
    <xdr:clientData/>
  </xdr:twoCellAnchor>
  <xdr:twoCellAnchor>
    <xdr:from>
      <xdr:col>10</xdr:col>
      <xdr:colOff>0</xdr:colOff>
      <xdr:row>37</xdr:row>
      <xdr:rowOff>131250</xdr:rowOff>
    </xdr:from>
    <xdr:to>
      <xdr:col>13</xdr:col>
      <xdr:colOff>89648</xdr:colOff>
      <xdr:row>37</xdr:row>
      <xdr:rowOff>131250</xdr:rowOff>
    </xdr:to>
    <xdr:cxnSp macro="">
      <xdr:nvCxnSpPr>
        <xdr:cNvPr id="8" name="直線矢印コネクタ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>
          <a:stCxn id="7" idx="3"/>
        </xdr:cNvCxnSpPr>
      </xdr:nvCxnSpPr>
      <xdr:spPr>
        <a:xfrm>
          <a:off x="2667000" y="7296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143883</xdr:colOff>
      <xdr:row>41</xdr:row>
      <xdr:rowOff>0</xdr:rowOff>
    </xdr:from>
    <xdr:to>
      <xdr:col>55</xdr:col>
      <xdr:colOff>143885</xdr:colOff>
      <xdr:row>44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>
          <a:grpSpLocks/>
        </xdr:cNvGrpSpPr>
      </xdr:nvGrpSpPr>
      <xdr:grpSpPr>
        <a:xfrm>
          <a:off x="10262795" y="7922559"/>
          <a:ext cx="2823884" cy="571500"/>
          <a:chOff x="8357211" y="11539755"/>
          <a:chExt cx="2803762" cy="2324291"/>
        </a:xfrm>
      </xdr:grpSpPr>
      <xdr:sp macro="" textlink="" fLocksText="0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9037824" y="11539755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SC4001_従業員一覧画面 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1" name="直線矢印コネクタ 4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CxnSpPr>
            <a:endCxn id="10" idx="1"/>
          </xdr:cNvCxnSpPr>
        </xdr:nvCxnSpPr>
        <xdr:spPr>
          <a:xfrm>
            <a:off x="8357211" y="12701901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38</xdr:row>
      <xdr:rowOff>11206</xdr:rowOff>
    </xdr:from>
    <xdr:to>
      <xdr:col>53</xdr:col>
      <xdr:colOff>132677</xdr:colOff>
      <xdr:row>40</xdr:row>
      <xdr:rowOff>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pSpPr>
          <a:grpSpLocks/>
        </xdr:cNvGrpSpPr>
      </xdr:nvGrpSpPr>
      <xdr:grpSpPr>
        <a:xfrm>
          <a:off x="10354235" y="7362265"/>
          <a:ext cx="2250589" cy="369794"/>
          <a:chOff x="8994954" y="-1771293"/>
          <a:chExt cx="2234552" cy="777600"/>
        </a:xfrm>
      </xdr:grpSpPr>
      <xdr:sp macro="" textlink="" fLocksText="0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4" name="直線矢印コネクタ 4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CxnSpPr>
            <a:endCxn id="13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58" name="フローチャート: 代替処理 2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画面初期化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59" name="直線矢印コネクタ 4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>
          <a:stCxn id="58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13</xdr:row>
      <xdr:rowOff>168088</xdr:rowOff>
    </xdr:from>
    <xdr:to>
      <xdr:col>56</xdr:col>
      <xdr:colOff>0</xdr:colOff>
      <xdr:row>17</xdr:row>
      <xdr:rowOff>0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GrpSpPr>
          <a:grpSpLocks/>
        </xdr:cNvGrpSpPr>
      </xdr:nvGrpSpPr>
      <xdr:grpSpPr>
        <a:xfrm>
          <a:off x="10354235" y="2756647"/>
          <a:ext cx="2823883" cy="593912"/>
          <a:chOff x="8681645" y="-2596021"/>
          <a:chExt cx="2803761" cy="2324291"/>
        </a:xfrm>
      </xdr:grpSpPr>
      <xdr:sp macro="" textlink="" fLocksText="0">
        <xdr:nvSpPr>
          <xdr:cNvPr id="61" name="Rectangle 60">
            <a:extLst>
              <a:ext uri="{FF2B5EF4-FFF2-40B4-BE49-F238E27FC236}">
                <a16:creationId xmlns:a16="http://schemas.microsoft.com/office/drawing/2014/main" id="{00000000-0008-0000-0300-00003D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MD4001_従業員編集モーダル</a:t>
            </a:r>
          </a:p>
        </xdr:txBody>
      </xdr:sp>
      <xdr:cxnSp macro="">
        <xdr:nvCxnSpPr>
          <xdr:cNvPr id="62" name="直線矢印コネクタ 4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CxnSpPr>
            <a:endCxn id="61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25</xdr:row>
      <xdr:rowOff>4764</xdr:rowOff>
    </xdr:from>
    <xdr:to>
      <xdr:col>10</xdr:col>
      <xdr:colOff>0</xdr:colOff>
      <xdr:row>28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61925" y="48863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戻る</a:t>
          </a:r>
        </a:p>
      </xdr:txBody>
    </xdr:sp>
    <xdr:clientData/>
  </xdr:twoCellAnchor>
  <xdr:twoCellAnchor>
    <xdr:from>
      <xdr:col>10</xdr:col>
      <xdr:colOff>0</xdr:colOff>
      <xdr:row>26</xdr:row>
      <xdr:rowOff>131250</xdr:rowOff>
    </xdr:from>
    <xdr:to>
      <xdr:col>13</xdr:col>
      <xdr:colOff>89648</xdr:colOff>
      <xdr:row>26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>
          <a:stCxn id="2" idx="3"/>
        </xdr:cNvCxnSpPr>
      </xdr:nvCxnSpPr>
      <xdr:spPr>
        <a:xfrm>
          <a:off x="2667000" y="5200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24</xdr:row>
      <xdr:rowOff>168088</xdr:rowOff>
    </xdr:from>
    <xdr:to>
      <xdr:col>56</xdr:col>
      <xdr:colOff>0</xdr:colOff>
      <xdr:row>28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>
          <a:grpSpLocks/>
        </xdr:cNvGrpSpPr>
      </xdr:nvGrpSpPr>
      <xdr:grpSpPr>
        <a:xfrm>
          <a:off x="10354235" y="4852147"/>
          <a:ext cx="2823883" cy="593912"/>
          <a:chOff x="8681645" y="-2596021"/>
          <a:chExt cx="2803761" cy="2324291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SC4001_従業員一覧画面 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CxnSpPr>
            <a:endCxn id="5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36</xdr:row>
      <xdr:rowOff>4764</xdr:rowOff>
    </xdr:from>
    <xdr:to>
      <xdr:col>10</xdr:col>
      <xdr:colOff>0</xdr:colOff>
      <xdr:row>39</xdr:row>
      <xdr:rowOff>56030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61925" y="69818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登録</a:t>
          </a:r>
        </a:p>
      </xdr:txBody>
    </xdr:sp>
    <xdr:clientData/>
  </xdr:twoCellAnchor>
  <xdr:twoCellAnchor>
    <xdr:from>
      <xdr:col>10</xdr:col>
      <xdr:colOff>0</xdr:colOff>
      <xdr:row>37</xdr:row>
      <xdr:rowOff>131250</xdr:rowOff>
    </xdr:from>
    <xdr:to>
      <xdr:col>13</xdr:col>
      <xdr:colOff>89648</xdr:colOff>
      <xdr:row>37</xdr:row>
      <xdr:rowOff>131250</xdr:rowOff>
    </xdr:to>
    <xdr:cxnSp macro="">
      <xdr:nvCxnSpPr>
        <xdr:cNvPr id="8" name="直線矢印コネクタ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7" idx="3"/>
        </xdr:cNvCxnSpPr>
      </xdr:nvCxnSpPr>
      <xdr:spPr>
        <a:xfrm>
          <a:off x="2667000" y="7296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134470</xdr:colOff>
      <xdr:row>40</xdr:row>
      <xdr:rowOff>0</xdr:rowOff>
    </xdr:from>
    <xdr:to>
      <xdr:col>53</xdr:col>
      <xdr:colOff>31824</xdr:colOff>
      <xdr:row>42</xdr:row>
      <xdr:rowOff>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pSpPr>
          <a:grpSpLocks/>
        </xdr:cNvGrpSpPr>
      </xdr:nvGrpSpPr>
      <xdr:grpSpPr>
        <a:xfrm>
          <a:off x="10253382" y="7732059"/>
          <a:ext cx="2250589" cy="381000"/>
          <a:chOff x="8994954" y="-1771293"/>
          <a:chExt cx="2234552" cy="777600"/>
        </a:xfrm>
      </xdr:grpSpPr>
      <xdr:sp macro="" textlink="" fLocksText="0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4" name="直線矢印コネクタ 4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CxnSpPr>
            <a:endCxn id="13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15" name="フローチャート: 代替処理 27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画面初期化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16" name="直線矢印コネクタ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5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13</xdr:row>
      <xdr:rowOff>168088</xdr:rowOff>
    </xdr:from>
    <xdr:to>
      <xdr:col>56</xdr:col>
      <xdr:colOff>0</xdr:colOff>
      <xdr:row>17</xdr:row>
      <xdr:rowOff>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pSpPr>
          <a:grpSpLocks/>
        </xdr:cNvGrpSpPr>
      </xdr:nvGrpSpPr>
      <xdr:grpSpPr>
        <a:xfrm>
          <a:off x="10354235" y="2756647"/>
          <a:ext cx="2823883" cy="593912"/>
          <a:chOff x="8681645" y="-2596021"/>
          <a:chExt cx="2803761" cy="2324291"/>
        </a:xfrm>
      </xdr:grpSpPr>
      <xdr:sp macro="" textlink="" fLocksText="0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MD4002_従業員新規モーダル</a:t>
            </a:r>
          </a:p>
        </xdr:txBody>
      </xdr:sp>
      <xdr:cxnSp macro="">
        <xdr:nvCxnSpPr>
          <xdr:cNvPr id="19" name="直線矢印コネクタ 4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CxnSpPr>
            <a:endCxn id="18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63</xdr:row>
      <xdr:rowOff>11206</xdr:rowOff>
    </xdr:from>
    <xdr:to>
      <xdr:col>53</xdr:col>
      <xdr:colOff>132677</xdr:colOff>
      <xdr:row>65</xdr:row>
      <xdr:rowOff>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pSpPr>
          <a:grpSpLocks/>
        </xdr:cNvGrpSpPr>
      </xdr:nvGrpSpPr>
      <xdr:grpSpPr>
        <a:xfrm>
          <a:off x="10354235" y="12124765"/>
          <a:ext cx="2250589" cy="369794"/>
          <a:chOff x="8994954" y="-1771293"/>
          <a:chExt cx="2234552" cy="777600"/>
        </a:xfrm>
      </xdr:grpSpPr>
      <xdr:sp macro="" textlink="" fLocksText="0">
        <xdr:nvSpPr>
          <xdr:cNvPr id="21" name="Rectangle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2" name="直線矢印コネクタ 4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CxnSpPr>
            <a:endCxn id="21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46</xdr:row>
      <xdr:rowOff>0</xdr:rowOff>
    </xdr:from>
    <xdr:to>
      <xdr:col>53</xdr:col>
      <xdr:colOff>132677</xdr:colOff>
      <xdr:row>47</xdr:row>
      <xdr:rowOff>179294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GrpSpPr>
          <a:grpSpLocks/>
        </xdr:cNvGrpSpPr>
      </xdr:nvGrpSpPr>
      <xdr:grpSpPr>
        <a:xfrm>
          <a:off x="10354235" y="8875059"/>
          <a:ext cx="2250589" cy="369794"/>
          <a:chOff x="8994954" y="-1771293"/>
          <a:chExt cx="2234552" cy="777600"/>
        </a:xfrm>
      </xdr:grpSpPr>
      <xdr:sp macro="" textlink="" fLocksText="0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9" name="直線矢印コネクタ 4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CxnSpPr>
            <a:endCxn id="28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134468</xdr:colOff>
      <xdr:row>57</xdr:row>
      <xdr:rowOff>168088</xdr:rowOff>
    </xdr:from>
    <xdr:to>
      <xdr:col>55</xdr:col>
      <xdr:colOff>134470</xdr:colOff>
      <xdr:row>61</xdr:row>
      <xdr:rowOff>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GrpSpPr>
          <a:grpSpLocks/>
        </xdr:cNvGrpSpPr>
      </xdr:nvGrpSpPr>
      <xdr:grpSpPr>
        <a:xfrm>
          <a:off x="10253380" y="11138647"/>
          <a:ext cx="2823884" cy="593912"/>
          <a:chOff x="8357211" y="12314519"/>
          <a:chExt cx="2803762" cy="2324291"/>
        </a:xfrm>
      </xdr:grpSpPr>
      <xdr:sp macro="" textlink="" fLocksText="0">
        <xdr:nvSpPr>
          <xdr:cNvPr id="31" name="Rectangle 30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SC4001_従業員一覧画面 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2" name="直線矢印コネクタ 4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CxnSpPr>
            <a:endCxn id="31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56030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61925" y="2790825"/>
          <a:ext cx="2505075" cy="6191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アクション (例: 画面初期化、SCxxxxx画面でボタンを押下など)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39782</xdr:colOff>
      <xdr:row>23</xdr:row>
      <xdr:rowOff>67235</xdr:rowOff>
    </xdr:from>
    <xdr:to>
      <xdr:col>55</xdr:col>
      <xdr:colOff>0</xdr:colOff>
      <xdr:row>25</xdr:row>
      <xdr:rowOff>121022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>
          <a:grpSpLocks/>
        </xdr:cNvGrpSpPr>
      </xdr:nvGrpSpPr>
      <xdr:grpSpPr>
        <a:xfrm>
          <a:off x="9217400" y="4560794"/>
          <a:ext cx="3725394" cy="434787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39782</xdr:colOff>
      <xdr:row>31</xdr:row>
      <xdr:rowOff>0</xdr:rowOff>
    </xdr:from>
    <xdr:to>
      <xdr:col>55</xdr:col>
      <xdr:colOff>0</xdr:colOff>
      <xdr:row>33</xdr:row>
      <xdr:rowOff>53787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pSpPr>
          <a:grpSpLocks/>
        </xdr:cNvGrpSpPr>
      </xdr:nvGrpSpPr>
      <xdr:grpSpPr>
        <a:xfrm>
          <a:off x="9217400" y="6017559"/>
          <a:ext cx="3725394" cy="434787"/>
          <a:chOff x="8080531" y="514467"/>
          <a:chExt cx="2042145" cy="777600"/>
        </a:xfrm>
      </xdr:grpSpPr>
      <xdr:sp macro="" textlink="" fLocksText="0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2" name="直線矢印コネクタ 4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>
            <a:endCxn id="11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08" customWidth="1"/>
    <col min="61" max="16384" width="2.77734375" style="208"/>
  </cols>
  <sheetData>
    <row r="1" spans="1:63" ht="24.95" customHeight="1" x14ac:dyDescent="0.25">
      <c r="A1" s="201" t="s">
        <v>147</v>
      </c>
      <c r="B1" s="202"/>
      <c r="C1" s="202"/>
      <c r="D1" s="202"/>
      <c r="E1" s="202"/>
      <c r="F1" s="202"/>
      <c r="G1" s="202"/>
      <c r="H1" s="202"/>
      <c r="I1" s="202"/>
      <c r="J1" s="203"/>
      <c r="K1" s="204" t="s">
        <v>148</v>
      </c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3"/>
      <c r="W1" s="205" t="s">
        <v>149</v>
      </c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7"/>
      <c r="AP1" s="204" t="s">
        <v>150</v>
      </c>
      <c r="AQ1" s="202"/>
      <c r="AR1" s="202"/>
      <c r="AS1" s="203"/>
      <c r="AT1" s="204" t="s">
        <v>151</v>
      </c>
      <c r="AU1" s="202"/>
      <c r="AV1" s="202"/>
      <c r="AW1" s="202"/>
      <c r="AX1" s="203"/>
      <c r="AY1" s="204" t="s">
        <v>152</v>
      </c>
      <c r="AZ1" s="202"/>
      <c r="BA1" s="202"/>
      <c r="BB1" s="203"/>
      <c r="BC1" s="204" t="s">
        <v>153</v>
      </c>
      <c r="BD1" s="202"/>
      <c r="BE1" s="202"/>
      <c r="BF1" s="202"/>
      <c r="BG1" s="203"/>
      <c r="BH1" s="204" t="s">
        <v>154</v>
      </c>
      <c r="BI1" s="202"/>
      <c r="BJ1" s="202"/>
      <c r="BK1" s="203"/>
    </row>
    <row r="2" spans="1:63" ht="15" customHeight="1" x14ac:dyDescent="0.25">
      <c r="A2" s="1" t="s">
        <v>155</v>
      </c>
      <c r="B2" s="209"/>
      <c r="C2" s="209"/>
      <c r="D2" s="209"/>
      <c r="E2" s="209"/>
      <c r="F2" s="209"/>
      <c r="G2" s="209"/>
      <c r="H2" s="209"/>
      <c r="I2" s="209"/>
      <c r="J2" s="210"/>
      <c r="K2" s="211" t="s">
        <v>9</v>
      </c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10"/>
      <c r="W2" s="212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4"/>
      <c r="AP2" s="211" t="str">
        <f>改訂履歴!$H$11</f>
        <v>TuyenNH</v>
      </c>
      <c r="AQ2" s="209"/>
      <c r="AR2" s="209"/>
      <c r="AS2" s="210"/>
      <c r="AT2" s="215">
        <f>改訂履歴!$B$11</f>
        <v>45462</v>
      </c>
      <c r="AU2" s="216"/>
      <c r="AV2" s="216"/>
      <c r="AW2" s="216"/>
      <c r="AX2" s="217"/>
      <c r="AY2" s="211" t="str">
        <f>LOOKUP(2,1/(改訂履歴!H11:H30001&lt;&gt;""),改訂履歴!H11:H30001)</f>
        <v>AnhDD</v>
      </c>
      <c r="AZ2" s="209"/>
      <c r="BA2" s="209"/>
      <c r="BB2" s="210"/>
      <c r="BC2" s="215">
        <f>LOOKUP(2,1/(改訂履歴!B11:B30001&lt;&gt;""),改訂履歴!B11:B30001)</f>
        <v>45630</v>
      </c>
      <c r="BD2" s="216"/>
      <c r="BE2" s="216"/>
      <c r="BF2" s="216"/>
      <c r="BG2" s="217"/>
      <c r="BH2" s="218">
        <f>LOOKUP(2,1/(改訂履歴!O11:O30001&lt;&gt;""),改訂履歴!O11:O30001)</f>
        <v>0.43</v>
      </c>
      <c r="BI2" s="219"/>
      <c r="BJ2" s="219"/>
      <c r="BK2" s="220"/>
    </row>
    <row r="3" spans="1:63" ht="15" customHeight="1" x14ac:dyDescent="0.25">
      <c r="A3" s="221"/>
      <c r="B3" s="222"/>
      <c r="C3" s="222"/>
      <c r="D3" s="222"/>
      <c r="E3" s="222"/>
      <c r="F3" s="222"/>
      <c r="G3" s="222"/>
      <c r="H3" s="222"/>
      <c r="I3" s="222"/>
      <c r="J3" s="223"/>
      <c r="K3" s="221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3"/>
      <c r="W3" s="224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6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30"/>
      <c r="BI3" s="231"/>
      <c r="BJ3" s="231"/>
      <c r="BK3" s="232"/>
    </row>
    <row r="4" spans="1:63" ht="24.95" customHeight="1" x14ac:dyDescent="0.25">
      <c r="A4" s="204" t="s">
        <v>156</v>
      </c>
      <c r="B4" s="202"/>
      <c r="C4" s="202"/>
      <c r="D4" s="202"/>
      <c r="E4" s="202"/>
      <c r="F4" s="202"/>
      <c r="G4" s="203"/>
      <c r="H4" s="233" t="s">
        <v>23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5"/>
      <c r="U4" s="204" t="s">
        <v>157</v>
      </c>
      <c r="V4" s="202"/>
      <c r="W4" s="202"/>
      <c r="X4" s="202"/>
      <c r="Y4" s="203"/>
      <c r="Z4" s="89" t="s">
        <v>158</v>
      </c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34"/>
      <c r="AM4" s="234"/>
      <c r="AN4" s="234"/>
      <c r="AO4" s="235"/>
      <c r="AP4" s="233" t="str">
        <f t="array" aca="1" ref="AP4" ca="1">RIGHT(CELL("filename",$A$1),LEN(CELL("filename",$A$1))-FIND("]",CELL("filename",$A$1)))</f>
        <v>表紙</v>
      </c>
      <c r="AQ4" s="234"/>
      <c r="AR4" s="234"/>
      <c r="AS4" s="234"/>
      <c r="AT4" s="234"/>
      <c r="AU4" s="234"/>
      <c r="AV4" s="234"/>
      <c r="AW4" s="234"/>
      <c r="AX4" s="234"/>
      <c r="AY4" s="234"/>
      <c r="AZ4" s="234"/>
      <c r="BA4" s="234"/>
      <c r="BB4" s="234"/>
      <c r="BC4" s="234"/>
      <c r="BD4" s="234"/>
      <c r="BE4" s="234"/>
      <c r="BF4" s="234"/>
      <c r="BG4" s="234"/>
      <c r="BH4" s="234"/>
      <c r="BI4" s="234"/>
      <c r="BJ4" s="234"/>
      <c r="BK4" s="235"/>
    </row>
    <row r="5" spans="1:63" ht="5.0999999999999996" customHeight="1" x14ac:dyDescent="0.25">
      <c r="A5" s="236"/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7"/>
      <c r="BD5" s="237"/>
      <c r="BE5" s="237"/>
      <c r="BF5" s="237"/>
      <c r="BG5" s="237"/>
      <c r="BH5" s="237"/>
      <c r="BI5" s="237"/>
      <c r="BJ5" s="237"/>
      <c r="BK5" s="238"/>
    </row>
    <row r="6" spans="1:63" ht="15" customHeight="1" x14ac:dyDescent="0.25">
      <c r="A6" s="239"/>
      <c r="BK6" s="240"/>
    </row>
    <row r="7" spans="1:63" ht="15" customHeight="1" x14ac:dyDescent="0.25">
      <c r="A7" s="239"/>
      <c r="BK7" s="240"/>
    </row>
    <row r="8" spans="1:63" ht="15" customHeight="1" x14ac:dyDescent="0.25">
      <c r="A8" s="239"/>
      <c r="BK8" s="240"/>
    </row>
    <row r="9" spans="1:63" ht="15" customHeight="1" x14ac:dyDescent="0.25">
      <c r="A9" s="239"/>
      <c r="BK9" s="240"/>
    </row>
    <row r="10" spans="1:63" ht="15" customHeight="1" x14ac:dyDescent="0.25">
      <c r="A10" s="239"/>
      <c r="BK10" s="240"/>
    </row>
    <row r="11" spans="1:63" ht="15" customHeight="1" x14ac:dyDescent="0.25">
      <c r="A11" s="239"/>
      <c r="BK11" s="240"/>
    </row>
    <row r="12" spans="1:63" ht="15" customHeight="1" x14ac:dyDescent="0.25">
      <c r="A12" s="239"/>
      <c r="BK12" s="240"/>
    </row>
    <row r="13" spans="1:63" ht="15" customHeight="1" x14ac:dyDescent="0.25">
      <c r="A13" s="239"/>
      <c r="BK13" s="240"/>
    </row>
    <row r="14" spans="1:63" ht="15" customHeight="1" thickBot="1" x14ac:dyDescent="0.3">
      <c r="A14" s="239"/>
      <c r="BK14" s="240"/>
    </row>
    <row r="15" spans="1:63" ht="15" customHeight="1" thickTop="1" x14ac:dyDescent="0.25">
      <c r="A15" s="239"/>
      <c r="K15" s="241"/>
      <c r="L15" s="242"/>
      <c r="M15" s="242"/>
      <c r="N15" s="242"/>
      <c r="O15" s="242"/>
      <c r="P15" s="242"/>
      <c r="Q15" s="242"/>
      <c r="R15" s="242"/>
      <c r="S15" s="242"/>
      <c r="T15" s="24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3"/>
      <c r="BK15" s="240"/>
    </row>
    <row r="16" spans="1:63" ht="15" customHeight="1" x14ac:dyDescent="0.25">
      <c r="A16" s="239"/>
      <c r="K16" s="244"/>
      <c r="L16" s="245" t="s">
        <v>159</v>
      </c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6"/>
      <c r="AA16" s="246"/>
      <c r="AB16" s="246"/>
      <c r="AC16" s="246"/>
      <c r="AD16" s="246"/>
      <c r="AE16" s="246"/>
      <c r="AF16" s="246"/>
      <c r="AG16" s="246"/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7"/>
      <c r="BK16" s="240"/>
    </row>
    <row r="17" spans="1:63" ht="15" customHeight="1" x14ac:dyDescent="0.25">
      <c r="A17" s="239"/>
      <c r="K17" s="244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  <c r="AD17" s="246"/>
      <c r="AE17" s="246"/>
      <c r="AF17" s="246"/>
      <c r="AG17" s="246"/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7"/>
      <c r="BK17" s="240"/>
    </row>
    <row r="18" spans="1:63" ht="15" customHeight="1" x14ac:dyDescent="0.25">
      <c r="A18" s="239"/>
      <c r="K18" s="244"/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  <c r="AA18" s="246"/>
      <c r="AB18" s="246"/>
      <c r="AC18" s="246"/>
      <c r="AD18" s="246"/>
      <c r="AE18" s="246"/>
      <c r="AF18" s="24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7"/>
      <c r="BK18" s="240"/>
    </row>
    <row r="19" spans="1:63" ht="15" customHeight="1" x14ac:dyDescent="0.25">
      <c r="A19" s="239"/>
      <c r="K19" s="244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7"/>
      <c r="BK19" s="240"/>
    </row>
    <row r="20" spans="1:63" ht="15" customHeight="1" x14ac:dyDescent="0.25">
      <c r="A20" s="239"/>
      <c r="K20" s="244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  <c r="AD20" s="246"/>
      <c r="AE20" s="246"/>
      <c r="AF20" s="246"/>
      <c r="AG20" s="246"/>
      <c r="AH20" s="246"/>
      <c r="AI20" s="246"/>
      <c r="AJ20" s="246"/>
      <c r="AK20" s="246"/>
      <c r="AL20" s="246"/>
      <c r="AM20" s="246"/>
      <c r="AN20" s="246"/>
      <c r="AO20" s="246"/>
      <c r="AP20" s="246"/>
      <c r="AQ20" s="246"/>
      <c r="AR20" s="246"/>
      <c r="AS20" s="246"/>
      <c r="AT20" s="246"/>
      <c r="AU20" s="246"/>
      <c r="AV20" s="246"/>
      <c r="AW20" s="246"/>
      <c r="AX20" s="246"/>
      <c r="AY20" s="246"/>
      <c r="AZ20" s="246"/>
      <c r="BA20" s="247"/>
      <c r="BK20" s="240"/>
    </row>
    <row r="21" spans="1:63" ht="15" customHeight="1" x14ac:dyDescent="0.25">
      <c r="A21" s="239"/>
      <c r="K21" s="244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  <c r="AK21" s="246"/>
      <c r="AL21" s="246"/>
      <c r="AM21" s="246"/>
      <c r="AN21" s="246"/>
      <c r="AO21" s="246"/>
      <c r="AP21" s="246"/>
      <c r="AQ21" s="246"/>
      <c r="AR21" s="246"/>
      <c r="AS21" s="246"/>
      <c r="AT21" s="246"/>
      <c r="AU21" s="246"/>
      <c r="AV21" s="246"/>
      <c r="AW21" s="246"/>
      <c r="AX21" s="246"/>
      <c r="AY21" s="246"/>
      <c r="AZ21" s="246"/>
      <c r="BA21" s="247"/>
      <c r="BK21" s="240"/>
    </row>
    <row r="22" spans="1:63" ht="15" customHeight="1" thickBot="1" x14ac:dyDescent="0.3">
      <c r="A22" s="239"/>
      <c r="K22" s="244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8"/>
      <c r="AH22" s="248"/>
      <c r="AI22" s="248"/>
      <c r="AJ22" s="248"/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8"/>
      <c r="AW22" s="248"/>
      <c r="AX22" s="248"/>
      <c r="AY22" s="248"/>
      <c r="AZ22" s="248"/>
      <c r="BA22" s="247"/>
      <c r="BK22" s="240"/>
    </row>
    <row r="23" spans="1:63" ht="15" customHeight="1" x14ac:dyDescent="0.25">
      <c r="A23" s="239"/>
      <c r="K23" s="244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49"/>
      <c r="AA23" s="249"/>
      <c r="AB23" s="249"/>
      <c r="AC23" s="249"/>
      <c r="AD23" s="249"/>
      <c r="AE23" s="249"/>
      <c r="AF23" s="249"/>
      <c r="AG23" s="249"/>
      <c r="AH23" s="249"/>
      <c r="AI23" s="249"/>
      <c r="AJ23" s="249"/>
      <c r="AK23" s="249"/>
      <c r="AL23" s="249"/>
      <c r="AM23" s="249"/>
      <c r="AN23" s="249"/>
      <c r="AO23" s="249"/>
      <c r="AP23" s="249"/>
      <c r="AQ23" s="249"/>
      <c r="AR23" s="249"/>
      <c r="AS23" s="249"/>
      <c r="AT23" s="249"/>
      <c r="AU23" s="249"/>
      <c r="AV23" s="249"/>
      <c r="AW23" s="249"/>
      <c r="AX23" s="249"/>
      <c r="AY23" s="249"/>
      <c r="AZ23" s="249"/>
      <c r="BA23" s="247"/>
      <c r="BK23" s="240"/>
    </row>
    <row r="24" spans="1:63" ht="15" customHeight="1" x14ac:dyDescent="0.25">
      <c r="A24" s="239"/>
      <c r="K24" s="244"/>
      <c r="L24" s="246" t="str">
        <f>K2&amp;"/"&amp;H4&amp;"/"&amp;Z4</f>
        <v>POSサーバ/40_従業員設定/機能設計書</v>
      </c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  <c r="AK24" s="246"/>
      <c r="AL24" s="246"/>
      <c r="AM24" s="246"/>
      <c r="AN24" s="246"/>
      <c r="AO24" s="246"/>
      <c r="AP24" s="246"/>
      <c r="AQ24" s="246"/>
      <c r="AR24" s="246"/>
      <c r="AS24" s="246"/>
      <c r="AT24" s="246"/>
      <c r="AU24" s="246"/>
      <c r="AV24" s="246"/>
      <c r="AW24" s="246"/>
      <c r="AX24" s="246"/>
      <c r="AY24" s="246"/>
      <c r="AZ24" s="246"/>
      <c r="BA24" s="247"/>
      <c r="BK24" s="240"/>
    </row>
    <row r="25" spans="1:63" ht="15" customHeight="1" x14ac:dyDescent="0.25">
      <c r="A25" s="239"/>
      <c r="K25" s="244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  <c r="AK25" s="246"/>
      <c r="AL25" s="246"/>
      <c r="AM25" s="246"/>
      <c r="AN25" s="246"/>
      <c r="AO25" s="246"/>
      <c r="AP25" s="246"/>
      <c r="AQ25" s="246"/>
      <c r="AR25" s="246"/>
      <c r="AS25" s="246"/>
      <c r="AT25" s="246"/>
      <c r="AU25" s="246"/>
      <c r="AV25" s="246"/>
      <c r="AW25" s="246"/>
      <c r="AX25" s="246"/>
      <c r="AY25" s="246"/>
      <c r="AZ25" s="246"/>
      <c r="BA25" s="247"/>
      <c r="BK25" s="240"/>
    </row>
    <row r="26" spans="1:63" ht="15" customHeight="1" x14ac:dyDescent="0.25">
      <c r="A26" s="239"/>
      <c r="K26" s="244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  <c r="AK26" s="246"/>
      <c r="AL26" s="246"/>
      <c r="AM26" s="246"/>
      <c r="AN26" s="246"/>
      <c r="AO26" s="246"/>
      <c r="AP26" s="246"/>
      <c r="AQ26" s="246"/>
      <c r="AR26" s="246"/>
      <c r="AS26" s="246"/>
      <c r="AT26" s="246"/>
      <c r="AU26" s="246"/>
      <c r="AV26" s="246"/>
      <c r="AW26" s="246"/>
      <c r="AX26" s="246"/>
      <c r="AY26" s="246"/>
      <c r="AZ26" s="246"/>
      <c r="BA26" s="247"/>
      <c r="BK26" s="240"/>
    </row>
    <row r="27" spans="1:63" ht="15" customHeight="1" x14ac:dyDescent="0.25">
      <c r="A27" s="239"/>
      <c r="K27" s="244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  <c r="AK27" s="246"/>
      <c r="AL27" s="246"/>
      <c r="AM27" s="246"/>
      <c r="AN27" s="246"/>
      <c r="AO27" s="246"/>
      <c r="AP27" s="246"/>
      <c r="AQ27" s="246"/>
      <c r="AR27" s="246"/>
      <c r="AS27" s="246"/>
      <c r="AT27" s="246"/>
      <c r="AU27" s="246"/>
      <c r="AV27" s="246"/>
      <c r="AW27" s="246"/>
      <c r="AX27" s="246"/>
      <c r="AY27" s="246"/>
      <c r="AZ27" s="246"/>
      <c r="BA27" s="247"/>
      <c r="BK27" s="240"/>
    </row>
    <row r="28" spans="1:63" ht="15" customHeight="1" x14ac:dyDescent="0.25">
      <c r="A28" s="239"/>
      <c r="K28" s="244"/>
      <c r="L28" s="246"/>
      <c r="M28" s="246"/>
      <c r="N28" s="246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  <c r="AA28" s="246"/>
      <c r="AB28" s="246"/>
      <c r="AC28" s="246"/>
      <c r="AD28" s="246"/>
      <c r="AE28" s="246"/>
      <c r="AF28" s="246"/>
      <c r="AG28" s="246"/>
      <c r="AH28" s="246"/>
      <c r="AI28" s="246"/>
      <c r="AJ28" s="246"/>
      <c r="AK28" s="246"/>
      <c r="AL28" s="246"/>
      <c r="AM28" s="246"/>
      <c r="AN28" s="246"/>
      <c r="AO28" s="246"/>
      <c r="AP28" s="246"/>
      <c r="AQ28" s="246"/>
      <c r="AR28" s="246"/>
      <c r="AS28" s="246"/>
      <c r="AT28" s="246"/>
      <c r="AU28" s="246"/>
      <c r="AV28" s="246"/>
      <c r="AW28" s="246"/>
      <c r="AX28" s="246"/>
      <c r="AY28" s="246"/>
      <c r="AZ28" s="246"/>
      <c r="BA28" s="247"/>
      <c r="BK28" s="240"/>
    </row>
    <row r="29" spans="1:63" ht="15" customHeight="1" x14ac:dyDescent="0.25">
      <c r="A29" s="239"/>
      <c r="K29" s="244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  <c r="AD29" s="246"/>
      <c r="AE29" s="246"/>
      <c r="AF29" s="246"/>
      <c r="AG29" s="246"/>
      <c r="AH29" s="246"/>
      <c r="AI29" s="246"/>
      <c r="AJ29" s="246"/>
      <c r="AK29" s="246"/>
      <c r="AL29" s="246"/>
      <c r="AM29" s="246"/>
      <c r="AN29" s="246"/>
      <c r="AO29" s="246"/>
      <c r="AP29" s="246"/>
      <c r="AQ29" s="246"/>
      <c r="AR29" s="246"/>
      <c r="AS29" s="246"/>
      <c r="AT29" s="246"/>
      <c r="AU29" s="246"/>
      <c r="AV29" s="246"/>
      <c r="AW29" s="246"/>
      <c r="AX29" s="246"/>
      <c r="AY29" s="246"/>
      <c r="AZ29" s="246"/>
      <c r="BA29" s="247"/>
      <c r="BK29" s="240"/>
    </row>
    <row r="30" spans="1:63" ht="15" customHeight="1" x14ac:dyDescent="0.25">
      <c r="A30" s="239"/>
      <c r="K30" s="244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  <c r="AF30" s="246"/>
      <c r="AG30" s="246"/>
      <c r="AH30" s="246"/>
      <c r="AI30" s="246"/>
      <c r="AJ30" s="246"/>
      <c r="AK30" s="246"/>
      <c r="AL30" s="246"/>
      <c r="AM30" s="246"/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  <c r="AZ30" s="246"/>
      <c r="BA30" s="247"/>
      <c r="BK30" s="240"/>
    </row>
    <row r="31" spans="1:63" ht="15" customHeight="1" x14ac:dyDescent="0.25">
      <c r="A31" s="239"/>
      <c r="K31" s="244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  <c r="AF31" s="246"/>
      <c r="AG31" s="246"/>
      <c r="AH31" s="246"/>
      <c r="AI31" s="246"/>
      <c r="AJ31" s="246"/>
      <c r="AK31" s="246"/>
      <c r="AL31" s="246"/>
      <c r="AM31" s="246"/>
      <c r="AN31" s="246"/>
      <c r="AO31" s="246"/>
      <c r="AP31" s="246"/>
      <c r="AQ31" s="246"/>
      <c r="AR31" s="246"/>
      <c r="AS31" s="246"/>
      <c r="AT31" s="246"/>
      <c r="AU31" s="246"/>
      <c r="AV31" s="246"/>
      <c r="AW31" s="246"/>
      <c r="AX31" s="246"/>
      <c r="AY31" s="246"/>
      <c r="AZ31" s="246"/>
      <c r="BA31" s="247"/>
      <c r="BK31" s="240"/>
    </row>
    <row r="32" spans="1:63" ht="15" customHeight="1" x14ac:dyDescent="0.25">
      <c r="A32" s="239"/>
      <c r="K32" s="244"/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  <c r="AD32" s="246"/>
      <c r="AE32" s="246"/>
      <c r="AF32" s="246"/>
      <c r="AG32" s="246"/>
      <c r="AH32" s="246"/>
      <c r="AI32" s="246"/>
      <c r="AJ32" s="246"/>
      <c r="AK32" s="246"/>
      <c r="AL32" s="246"/>
      <c r="AM32" s="246"/>
      <c r="AN32" s="246"/>
      <c r="AO32" s="246"/>
      <c r="AP32" s="246"/>
      <c r="AQ32" s="246"/>
      <c r="AR32" s="246"/>
      <c r="AS32" s="246"/>
      <c r="AT32" s="246"/>
      <c r="AU32" s="246"/>
      <c r="AV32" s="246"/>
      <c r="AW32" s="246"/>
      <c r="AX32" s="246"/>
      <c r="AY32" s="246"/>
      <c r="AZ32" s="246"/>
      <c r="BA32" s="247"/>
      <c r="BK32" s="240"/>
    </row>
    <row r="33" spans="1:63" ht="15" customHeight="1" x14ac:dyDescent="0.25">
      <c r="A33" s="239"/>
      <c r="K33" s="244"/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  <c r="AE33" s="246"/>
      <c r="AF33" s="246"/>
      <c r="AG33" s="246"/>
      <c r="AH33" s="246"/>
      <c r="AI33" s="246"/>
      <c r="AJ33" s="246"/>
      <c r="AK33" s="246"/>
      <c r="AL33" s="246"/>
      <c r="AM33" s="246"/>
      <c r="AN33" s="246"/>
      <c r="AO33" s="246"/>
      <c r="AP33" s="246"/>
      <c r="AQ33" s="246"/>
      <c r="AR33" s="246"/>
      <c r="AS33" s="246"/>
      <c r="AT33" s="246"/>
      <c r="AU33" s="246"/>
      <c r="AV33" s="246"/>
      <c r="AW33" s="246"/>
      <c r="AX33" s="246"/>
      <c r="AY33" s="246"/>
      <c r="AZ33" s="246"/>
      <c r="BA33" s="247"/>
      <c r="BK33" s="240"/>
    </row>
    <row r="34" spans="1:63" ht="15" customHeight="1" x14ac:dyDescent="0.25">
      <c r="A34" s="239"/>
      <c r="K34" s="244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  <c r="AK34" s="246"/>
      <c r="AL34" s="246"/>
      <c r="AM34" s="246"/>
      <c r="AN34" s="246"/>
      <c r="AO34" s="246"/>
      <c r="AP34" s="246"/>
      <c r="AQ34" s="246"/>
      <c r="AR34" s="246"/>
      <c r="AS34" s="246"/>
      <c r="AT34" s="246"/>
      <c r="AU34" s="246"/>
      <c r="AV34" s="246"/>
      <c r="AW34" s="246"/>
      <c r="AX34" s="246"/>
      <c r="AY34" s="246"/>
      <c r="AZ34" s="246"/>
      <c r="BA34" s="247"/>
      <c r="BK34" s="240"/>
    </row>
    <row r="35" spans="1:63" ht="15" customHeight="1" x14ac:dyDescent="0.25">
      <c r="A35" s="239"/>
      <c r="K35" s="244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  <c r="AZ35" s="246"/>
      <c r="BA35" s="247"/>
      <c r="BK35" s="240"/>
    </row>
    <row r="36" spans="1:63" ht="15" customHeight="1" x14ac:dyDescent="0.25">
      <c r="A36" s="239"/>
      <c r="K36" s="244"/>
      <c r="L36" s="246"/>
      <c r="M36" s="246"/>
      <c r="N36" s="246"/>
      <c r="O36" s="246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  <c r="AA36" s="246"/>
      <c r="AB36" s="246"/>
      <c r="AC36" s="246"/>
      <c r="AD36" s="246"/>
      <c r="AE36" s="246"/>
      <c r="AF36" s="246"/>
      <c r="AG36" s="246"/>
      <c r="AH36" s="246"/>
      <c r="AI36" s="246"/>
      <c r="AJ36" s="246"/>
      <c r="AK36" s="246"/>
      <c r="AL36" s="246"/>
      <c r="AM36" s="246"/>
      <c r="AN36" s="246"/>
      <c r="AO36" s="246"/>
      <c r="AP36" s="246"/>
      <c r="AQ36" s="246"/>
      <c r="AR36" s="246"/>
      <c r="AS36" s="246"/>
      <c r="AT36" s="246"/>
      <c r="AU36" s="246"/>
      <c r="AV36" s="246"/>
      <c r="AW36" s="246"/>
      <c r="AX36" s="246"/>
      <c r="AY36" s="246"/>
      <c r="AZ36" s="246"/>
      <c r="BA36" s="247"/>
      <c r="BK36" s="240"/>
    </row>
    <row r="37" spans="1:63" ht="15" customHeight="1" thickBot="1" x14ac:dyDescent="0.3">
      <c r="A37" s="239"/>
      <c r="K37" s="250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51"/>
      <c r="Y37" s="251"/>
      <c r="Z37" s="251"/>
      <c r="AA37" s="251"/>
      <c r="AB37" s="251"/>
      <c r="AC37" s="251"/>
      <c r="AD37" s="251"/>
      <c r="AE37" s="251"/>
      <c r="AF37" s="251"/>
      <c r="AG37" s="251"/>
      <c r="AH37" s="251"/>
      <c r="AI37" s="251"/>
      <c r="AJ37" s="251"/>
      <c r="AK37" s="251"/>
      <c r="AL37" s="251"/>
      <c r="AM37" s="251"/>
      <c r="AN37" s="251"/>
      <c r="AO37" s="251"/>
      <c r="AP37" s="251"/>
      <c r="AQ37" s="251"/>
      <c r="AR37" s="251"/>
      <c r="AS37" s="251"/>
      <c r="AT37" s="251"/>
      <c r="AU37" s="251"/>
      <c r="AV37" s="251"/>
      <c r="AW37" s="251"/>
      <c r="AX37" s="251"/>
      <c r="AY37" s="251"/>
      <c r="AZ37" s="251"/>
      <c r="BA37" s="252"/>
      <c r="BK37" s="240"/>
    </row>
    <row r="38" spans="1:63" ht="15" customHeight="1" thickTop="1" x14ac:dyDescent="0.25">
      <c r="A38" s="239"/>
      <c r="BK38" s="240"/>
    </row>
    <row r="39" spans="1:63" ht="15" customHeight="1" x14ac:dyDescent="0.25">
      <c r="A39" s="239"/>
      <c r="BK39" s="240"/>
    </row>
    <row r="40" spans="1:63" ht="15" customHeight="1" x14ac:dyDescent="0.25">
      <c r="A40" s="239"/>
      <c r="BK40" s="240"/>
    </row>
    <row r="41" spans="1:63" ht="15" customHeight="1" x14ac:dyDescent="0.25">
      <c r="A41" s="239"/>
      <c r="BK41" s="240"/>
    </row>
    <row r="42" spans="1:63" ht="15" customHeight="1" x14ac:dyDescent="0.25">
      <c r="A42" s="239"/>
      <c r="BK42" s="240"/>
    </row>
    <row r="43" spans="1:63" ht="15" customHeight="1" x14ac:dyDescent="0.25">
      <c r="A43" s="239"/>
      <c r="BK43" s="240"/>
    </row>
    <row r="44" spans="1:63" ht="15" customHeight="1" x14ac:dyDescent="0.25">
      <c r="A44" s="239"/>
      <c r="Q44" s="253" t="s">
        <v>160</v>
      </c>
      <c r="R44" s="254"/>
      <c r="S44" s="254"/>
      <c r="T44" s="254"/>
      <c r="U44" s="254"/>
      <c r="V44" s="254"/>
      <c r="W44" s="254"/>
      <c r="X44" s="254"/>
      <c r="Y44" s="254"/>
      <c r="Z44" s="255"/>
      <c r="AA44" s="253" t="s">
        <v>161</v>
      </c>
      <c r="AB44" s="254"/>
      <c r="AC44" s="254"/>
      <c r="AD44" s="254"/>
      <c r="AE44" s="254"/>
      <c r="AF44" s="254"/>
      <c r="AG44" s="254"/>
      <c r="AH44" s="254"/>
      <c r="AI44" s="254"/>
      <c r="AJ44" s="254"/>
      <c r="AK44" s="254"/>
      <c r="AL44" s="254"/>
      <c r="AM44" s="254"/>
      <c r="AN44" s="254"/>
      <c r="AO44" s="254"/>
      <c r="AP44" s="255"/>
      <c r="AQ44" s="253" t="s">
        <v>154</v>
      </c>
      <c r="AR44" s="254"/>
      <c r="AS44" s="254"/>
      <c r="AT44" s="254"/>
      <c r="AU44" s="255"/>
      <c r="BK44" s="240"/>
    </row>
    <row r="45" spans="1:63" ht="15" customHeight="1" x14ac:dyDescent="0.25">
      <c r="A45" s="239"/>
      <c r="Q45" s="256"/>
      <c r="R45" s="257"/>
      <c r="S45" s="257"/>
      <c r="T45" s="257"/>
      <c r="U45" s="257"/>
      <c r="V45" s="257"/>
      <c r="W45" s="257"/>
      <c r="X45" s="257"/>
      <c r="Y45" s="257"/>
      <c r="Z45" s="258"/>
      <c r="AA45" s="256"/>
      <c r="AB45" s="257"/>
      <c r="AC45" s="257"/>
      <c r="AD45" s="257"/>
      <c r="AE45" s="257"/>
      <c r="AF45" s="257"/>
      <c r="AG45" s="257"/>
      <c r="AH45" s="257"/>
      <c r="AI45" s="257"/>
      <c r="AJ45" s="257"/>
      <c r="AK45" s="257"/>
      <c r="AL45" s="257"/>
      <c r="AM45" s="257"/>
      <c r="AN45" s="257"/>
      <c r="AO45" s="257"/>
      <c r="AP45" s="258"/>
      <c r="AQ45" s="256"/>
      <c r="AR45" s="257"/>
      <c r="AS45" s="257"/>
      <c r="AT45" s="257"/>
      <c r="AU45" s="258"/>
      <c r="BK45" s="240"/>
    </row>
    <row r="46" spans="1:63" ht="15" customHeight="1" x14ac:dyDescent="0.25">
      <c r="A46" s="239"/>
      <c r="Q46" s="211"/>
      <c r="R46" s="209"/>
      <c r="S46" s="209"/>
      <c r="T46" s="209"/>
      <c r="U46" s="209"/>
      <c r="V46" s="209"/>
      <c r="W46" s="209"/>
      <c r="X46" s="209"/>
      <c r="Y46" s="209"/>
      <c r="Z46" s="210"/>
      <c r="AA46" s="211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10"/>
      <c r="AQ46" s="211"/>
      <c r="AR46" s="209"/>
      <c r="AS46" s="209"/>
      <c r="AT46" s="209"/>
      <c r="AU46" s="210"/>
      <c r="BK46" s="240"/>
    </row>
    <row r="47" spans="1:63" ht="15" customHeight="1" x14ac:dyDescent="0.25">
      <c r="A47" s="239"/>
      <c r="Q47" s="259"/>
      <c r="R47" s="260"/>
      <c r="S47" s="260"/>
      <c r="T47" s="260"/>
      <c r="U47" s="260"/>
      <c r="V47" s="260"/>
      <c r="W47" s="260"/>
      <c r="X47" s="260"/>
      <c r="Y47" s="260"/>
      <c r="Z47" s="261"/>
      <c r="AA47" s="259"/>
      <c r="AB47" s="260"/>
      <c r="AC47" s="260"/>
      <c r="AD47" s="260"/>
      <c r="AE47" s="260"/>
      <c r="AF47" s="260"/>
      <c r="AG47" s="260"/>
      <c r="AH47" s="260"/>
      <c r="AI47" s="260"/>
      <c r="AJ47" s="260"/>
      <c r="AK47" s="260"/>
      <c r="AL47" s="260"/>
      <c r="AM47" s="260"/>
      <c r="AN47" s="260"/>
      <c r="AO47" s="260"/>
      <c r="AP47" s="261"/>
      <c r="AQ47" s="259"/>
      <c r="AR47" s="260"/>
      <c r="AS47" s="260"/>
      <c r="AT47" s="260"/>
      <c r="AU47" s="261"/>
      <c r="BK47" s="240"/>
    </row>
    <row r="48" spans="1:63" ht="15" customHeight="1" x14ac:dyDescent="0.25">
      <c r="A48" s="239"/>
      <c r="Q48" s="259"/>
      <c r="R48" s="260"/>
      <c r="S48" s="260"/>
      <c r="T48" s="260"/>
      <c r="U48" s="260"/>
      <c r="V48" s="260"/>
      <c r="W48" s="260"/>
      <c r="X48" s="260"/>
      <c r="Y48" s="260"/>
      <c r="Z48" s="261"/>
      <c r="AA48" s="259"/>
      <c r="AB48" s="260"/>
      <c r="AC48" s="260"/>
      <c r="AD48" s="260"/>
      <c r="AE48" s="260"/>
      <c r="AF48" s="260"/>
      <c r="AG48" s="260"/>
      <c r="AH48" s="260"/>
      <c r="AI48" s="260"/>
      <c r="AJ48" s="260"/>
      <c r="AK48" s="260"/>
      <c r="AL48" s="260"/>
      <c r="AM48" s="260"/>
      <c r="AN48" s="260"/>
      <c r="AO48" s="260"/>
      <c r="AP48" s="261"/>
      <c r="AQ48" s="259"/>
      <c r="AR48" s="260"/>
      <c r="AS48" s="260"/>
      <c r="AT48" s="260"/>
      <c r="AU48" s="261"/>
      <c r="BK48" s="240"/>
    </row>
    <row r="49" spans="1:63" ht="15" customHeight="1" x14ac:dyDescent="0.25">
      <c r="A49" s="239"/>
      <c r="Q49" s="221"/>
      <c r="R49" s="222"/>
      <c r="S49" s="222"/>
      <c r="T49" s="222"/>
      <c r="U49" s="222"/>
      <c r="V49" s="222"/>
      <c r="W49" s="222"/>
      <c r="X49" s="222"/>
      <c r="Y49" s="222"/>
      <c r="Z49" s="223"/>
      <c r="AA49" s="221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222"/>
      <c r="AP49" s="223"/>
      <c r="AQ49" s="221"/>
      <c r="AR49" s="222"/>
      <c r="AS49" s="222"/>
      <c r="AT49" s="222"/>
      <c r="AU49" s="223"/>
      <c r="BK49" s="240"/>
    </row>
    <row r="50" spans="1:63" ht="15" customHeight="1" x14ac:dyDescent="0.25">
      <c r="A50" s="239"/>
      <c r="BK50" s="240"/>
    </row>
    <row r="51" spans="1:63" ht="15" customHeight="1" x14ac:dyDescent="0.25">
      <c r="A51" s="239"/>
      <c r="BK51" s="240"/>
    </row>
    <row r="52" spans="1:63" ht="15" customHeight="1" x14ac:dyDescent="0.25">
      <c r="A52" s="239"/>
      <c r="BK52" s="240"/>
    </row>
    <row r="53" spans="1:63" ht="15" customHeight="1" x14ac:dyDescent="0.25">
      <c r="A53" s="239"/>
      <c r="BK53" s="240"/>
    </row>
    <row r="54" spans="1:63" ht="15" customHeight="1" x14ac:dyDescent="0.25">
      <c r="A54" s="239"/>
      <c r="BK54" s="240"/>
    </row>
    <row r="55" spans="1:63" ht="15" customHeight="1" x14ac:dyDescent="0.25">
      <c r="A55" s="236"/>
      <c r="B55" s="237"/>
      <c r="C55" s="237"/>
      <c r="D55" s="237"/>
      <c r="E55" s="237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  <c r="AA55" s="237"/>
      <c r="AB55" s="237"/>
      <c r="AC55" s="237"/>
      <c r="AD55" s="237"/>
      <c r="AE55" s="237"/>
      <c r="AF55" s="237"/>
      <c r="AG55" s="237"/>
      <c r="AH55" s="237"/>
      <c r="AI55" s="237"/>
      <c r="AJ55" s="237"/>
      <c r="AK55" s="237"/>
      <c r="AL55" s="237"/>
      <c r="AM55" s="237"/>
      <c r="AN55" s="237"/>
      <c r="AO55" s="237"/>
      <c r="AP55" s="237"/>
      <c r="AQ55" s="237"/>
      <c r="AR55" s="237"/>
      <c r="AS55" s="237"/>
      <c r="AT55" s="237"/>
      <c r="AU55" s="237"/>
      <c r="AV55" s="237"/>
      <c r="AW55" s="237"/>
      <c r="AX55" s="237"/>
      <c r="AY55" s="237"/>
      <c r="AZ55" s="237"/>
      <c r="BA55" s="237"/>
      <c r="BB55" s="237"/>
      <c r="BC55" s="237"/>
      <c r="BD55" s="237"/>
      <c r="BE55" s="237"/>
      <c r="BF55" s="237"/>
      <c r="BG55" s="237"/>
      <c r="BH55" s="237"/>
      <c r="BI55" s="237"/>
      <c r="BJ55" s="237"/>
      <c r="BK55" s="238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pageSetUpPr fitToPage="1"/>
  </sheetPr>
  <dimension ref="A1:BK56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08" customWidth="1"/>
    <col min="61" max="16384" width="2.77734375" style="208"/>
  </cols>
  <sheetData>
    <row r="1" spans="1:63" ht="24.95" customHeight="1" x14ac:dyDescent="0.25">
      <c r="A1" s="204" t="s">
        <v>162</v>
      </c>
      <c r="B1" s="202"/>
      <c r="C1" s="202"/>
      <c r="D1" s="202"/>
      <c r="E1" s="202"/>
      <c r="F1" s="202"/>
      <c r="G1" s="202"/>
      <c r="H1" s="202"/>
      <c r="I1" s="202"/>
      <c r="J1" s="203"/>
      <c r="K1" s="204" t="s">
        <v>148</v>
      </c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3"/>
      <c r="W1" s="262" t="str">
        <f>IF(表紙!W1="","",表紙!W1)</f>
        <v>詳細設計書</v>
      </c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7"/>
      <c r="AP1" s="204" t="s">
        <v>150</v>
      </c>
      <c r="AQ1" s="202"/>
      <c r="AR1" s="202"/>
      <c r="AS1" s="203"/>
      <c r="AT1" s="204" t="s">
        <v>151</v>
      </c>
      <c r="AU1" s="202"/>
      <c r="AV1" s="202"/>
      <c r="AW1" s="202"/>
      <c r="AX1" s="203"/>
      <c r="AY1" s="204" t="s">
        <v>152</v>
      </c>
      <c r="AZ1" s="202"/>
      <c r="BA1" s="202"/>
      <c r="BB1" s="203"/>
      <c r="BC1" s="204" t="s">
        <v>153</v>
      </c>
      <c r="BD1" s="202"/>
      <c r="BE1" s="202"/>
      <c r="BF1" s="202"/>
      <c r="BG1" s="203"/>
      <c r="BH1" s="204" t="s">
        <v>154</v>
      </c>
      <c r="BI1" s="202"/>
      <c r="BJ1" s="202"/>
      <c r="BK1" s="203"/>
    </row>
    <row r="2" spans="1:63" ht="15" customHeight="1" x14ac:dyDescent="0.25">
      <c r="A2" s="211" t="str">
        <f>IF(表紙!A2="","",表紙!A2)</f>
        <v>POSサーバー</v>
      </c>
      <c r="B2" s="209"/>
      <c r="C2" s="209"/>
      <c r="D2" s="209"/>
      <c r="E2" s="209"/>
      <c r="F2" s="209"/>
      <c r="G2" s="209"/>
      <c r="H2" s="209"/>
      <c r="I2" s="209"/>
      <c r="J2" s="210"/>
      <c r="K2" s="211" t="str">
        <f>IF(表紙!K2="","",表紙!K2)</f>
        <v>POSサーバ</v>
      </c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10"/>
      <c r="W2" s="212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4"/>
      <c r="AP2" s="211" t="str">
        <f>IF(表紙!AP2="","",表紙!AP2)</f>
        <v>TuyenNH</v>
      </c>
      <c r="AQ2" s="209"/>
      <c r="AR2" s="209"/>
      <c r="AS2" s="210"/>
      <c r="AT2" s="215">
        <f>IF(表紙!AT2="","",表紙!AT2)</f>
        <v>45462</v>
      </c>
      <c r="AU2" s="216"/>
      <c r="AV2" s="216"/>
      <c r="AW2" s="216"/>
      <c r="AX2" s="217"/>
      <c r="AY2" s="211" t="str">
        <f>IF(表紙!AY2="","",表紙!AY2)</f>
        <v>AnhDD</v>
      </c>
      <c r="AZ2" s="209"/>
      <c r="BA2" s="209"/>
      <c r="BB2" s="210"/>
      <c r="BC2" s="215">
        <f>IF(表紙!BC2="","",表紙!BC2)</f>
        <v>45630</v>
      </c>
      <c r="BD2" s="216"/>
      <c r="BE2" s="216"/>
      <c r="BF2" s="216"/>
      <c r="BG2" s="217"/>
      <c r="BH2" s="211">
        <f>IF(表紙!BH2="","",表紙!BH2)</f>
        <v>0.43</v>
      </c>
      <c r="BI2" s="209"/>
      <c r="BJ2" s="209"/>
      <c r="BK2" s="210"/>
    </row>
    <row r="3" spans="1:63" ht="15" customHeight="1" x14ac:dyDescent="0.25">
      <c r="A3" s="221"/>
      <c r="B3" s="222"/>
      <c r="C3" s="222"/>
      <c r="D3" s="222"/>
      <c r="E3" s="222"/>
      <c r="F3" s="222"/>
      <c r="G3" s="222"/>
      <c r="H3" s="222"/>
      <c r="I3" s="222"/>
      <c r="J3" s="223"/>
      <c r="K3" s="221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3"/>
      <c r="W3" s="224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6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21"/>
      <c r="BI3" s="222"/>
      <c r="BJ3" s="222"/>
      <c r="BK3" s="223"/>
    </row>
    <row r="4" spans="1:63" ht="24.95" customHeight="1" x14ac:dyDescent="0.25">
      <c r="A4" s="204" t="s">
        <v>156</v>
      </c>
      <c r="B4" s="202"/>
      <c r="C4" s="202"/>
      <c r="D4" s="202"/>
      <c r="E4" s="202"/>
      <c r="F4" s="202"/>
      <c r="G4" s="203"/>
      <c r="H4" s="233" t="str">
        <f>IF(表紙!H4="","",表紙!H4)</f>
        <v>40_従業員設定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5"/>
      <c r="U4" s="204" t="s">
        <v>157</v>
      </c>
      <c r="V4" s="202"/>
      <c r="W4" s="202"/>
      <c r="X4" s="202"/>
      <c r="Y4" s="203"/>
      <c r="Z4" s="233" t="str">
        <f>IF(表紙!Z4="","",表紙!Z4)</f>
        <v>機能設計書</v>
      </c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34"/>
      <c r="AM4" s="234"/>
      <c r="AN4" s="234"/>
      <c r="AO4" s="235"/>
      <c r="AP4" s="233" t="str">
        <f t="array" aca="1" ref="AP4" ca="1">RIGHT(CELL("filename",$A$1),LEN(CELL("filename",$A$1))-FIND("]",CELL("filename",$A$1)))</f>
        <v>改訂履歴</v>
      </c>
      <c r="AQ4" s="234"/>
      <c r="AR4" s="234"/>
      <c r="AS4" s="234"/>
      <c r="AT4" s="234"/>
      <c r="AU4" s="234"/>
      <c r="AV4" s="234"/>
      <c r="AW4" s="234"/>
      <c r="AX4" s="234"/>
      <c r="AY4" s="234"/>
      <c r="AZ4" s="234"/>
      <c r="BA4" s="234"/>
      <c r="BB4" s="234"/>
      <c r="BC4" s="234"/>
      <c r="BD4" s="234"/>
      <c r="BE4" s="234"/>
      <c r="BF4" s="234"/>
      <c r="BG4" s="234"/>
      <c r="BH4" s="234"/>
      <c r="BI4" s="234"/>
      <c r="BJ4" s="234"/>
      <c r="BK4" s="235"/>
    </row>
    <row r="5" spans="1:63" ht="5.0999999999999996" customHeight="1" x14ac:dyDescent="0.25">
      <c r="A5" s="236"/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7"/>
      <c r="BD5" s="237"/>
      <c r="BE5" s="237"/>
      <c r="BF5" s="237"/>
      <c r="BG5" s="237"/>
      <c r="BH5" s="237"/>
      <c r="BI5" s="237"/>
      <c r="BJ5" s="237"/>
      <c r="BK5" s="238"/>
    </row>
    <row r="6" spans="1:63" ht="15" customHeight="1" x14ac:dyDescent="0.25">
      <c r="A6" s="239"/>
      <c r="BK6" s="240"/>
    </row>
    <row r="7" spans="1:63" ht="15" customHeight="1" x14ac:dyDescent="0.25">
      <c r="A7" s="239"/>
      <c r="BK7" s="240"/>
    </row>
    <row r="8" spans="1:63" ht="15" customHeight="1" x14ac:dyDescent="0.25">
      <c r="A8" s="239"/>
      <c r="B8" s="208" t="s">
        <v>8</v>
      </c>
      <c r="BK8" s="240"/>
    </row>
    <row r="9" spans="1:63" ht="15" customHeight="1" x14ac:dyDescent="0.25">
      <c r="A9" s="239"/>
      <c r="BK9" s="240"/>
    </row>
    <row r="10" spans="1:63" ht="15" customHeight="1" x14ac:dyDescent="0.25">
      <c r="A10" s="239"/>
      <c r="B10" s="263" t="s">
        <v>153</v>
      </c>
      <c r="C10" s="263"/>
      <c r="D10" s="263"/>
      <c r="E10" s="263"/>
      <c r="F10" s="263"/>
      <c r="G10" s="263"/>
      <c r="H10" s="263" t="s">
        <v>152</v>
      </c>
      <c r="I10" s="263"/>
      <c r="J10" s="263"/>
      <c r="K10" s="263"/>
      <c r="L10" s="263"/>
      <c r="M10" s="263"/>
      <c r="N10" s="263"/>
      <c r="O10" s="263" t="s">
        <v>154</v>
      </c>
      <c r="P10" s="263"/>
      <c r="Q10" s="263"/>
      <c r="R10" s="263"/>
      <c r="S10" s="263" t="s">
        <v>163</v>
      </c>
      <c r="T10" s="263"/>
      <c r="U10" s="263"/>
      <c r="V10" s="263"/>
      <c r="W10" s="263"/>
      <c r="X10" s="263"/>
      <c r="Y10" s="263"/>
      <c r="Z10" s="263"/>
      <c r="AA10" s="263"/>
      <c r="AB10" s="263"/>
      <c r="AC10" s="263"/>
      <c r="AD10" s="263"/>
      <c r="AE10" s="263"/>
      <c r="AF10" s="263"/>
      <c r="AG10" s="263"/>
      <c r="AH10" s="263"/>
      <c r="AI10" s="263"/>
      <c r="AJ10" s="263"/>
      <c r="AK10" s="263"/>
      <c r="AL10" s="263"/>
      <c r="AM10" s="263"/>
      <c r="AN10" s="263"/>
      <c r="AO10" s="263"/>
      <c r="AP10" s="263"/>
      <c r="AQ10" s="263"/>
      <c r="AR10" s="263"/>
      <c r="AS10" s="263"/>
      <c r="AT10" s="263"/>
      <c r="AU10" s="263"/>
      <c r="AV10" s="263"/>
      <c r="AW10" s="263"/>
      <c r="AX10" s="263" t="s">
        <v>160</v>
      </c>
      <c r="AY10" s="263"/>
      <c r="AZ10" s="263"/>
      <c r="BA10" s="263"/>
      <c r="BB10" s="263"/>
      <c r="BC10" s="263"/>
      <c r="BD10" s="263" t="s">
        <v>161</v>
      </c>
      <c r="BE10" s="263"/>
      <c r="BF10" s="263"/>
      <c r="BG10" s="263"/>
      <c r="BH10" s="263"/>
      <c r="BI10" s="263"/>
      <c r="BJ10" s="263"/>
      <c r="BK10" s="240"/>
    </row>
    <row r="11" spans="1:63" ht="15" customHeight="1" x14ac:dyDescent="0.25">
      <c r="A11" s="239"/>
      <c r="B11" s="215">
        <v>45462</v>
      </c>
      <c r="C11" s="209"/>
      <c r="D11" s="209"/>
      <c r="E11" s="209"/>
      <c r="F11" s="209"/>
      <c r="G11" s="210"/>
      <c r="H11" s="1" t="s">
        <v>164</v>
      </c>
      <c r="I11" s="209"/>
      <c r="J11" s="209"/>
      <c r="K11" s="209"/>
      <c r="L11" s="209"/>
      <c r="M11" s="209"/>
      <c r="N11" s="210"/>
      <c r="O11" s="211">
        <v>0.1</v>
      </c>
      <c r="P11" s="209"/>
      <c r="Q11" s="209"/>
      <c r="R11" s="209"/>
      <c r="S11" s="264" t="s">
        <v>10</v>
      </c>
      <c r="T11" s="265"/>
      <c r="U11" s="265"/>
      <c r="V11" s="265"/>
      <c r="W11" s="265"/>
      <c r="X11" s="265"/>
      <c r="Y11" s="265"/>
      <c r="Z11" s="265"/>
      <c r="AA11" s="265"/>
      <c r="AB11" s="265"/>
      <c r="AC11" s="265"/>
      <c r="AD11" s="265"/>
      <c r="AE11" s="265"/>
      <c r="AF11" s="265"/>
      <c r="AG11" s="265"/>
      <c r="AH11" s="265"/>
      <c r="AI11" s="265"/>
      <c r="AJ11" s="265"/>
      <c r="AK11" s="265"/>
      <c r="AL11" s="265"/>
      <c r="AM11" s="265"/>
      <c r="AN11" s="265"/>
      <c r="AO11" s="265"/>
      <c r="AP11" s="265"/>
      <c r="AQ11" s="265"/>
      <c r="AR11" s="265"/>
      <c r="AS11" s="265"/>
      <c r="AT11" s="265"/>
      <c r="AU11" s="265"/>
      <c r="AV11" s="265"/>
      <c r="AW11" s="266"/>
      <c r="AX11" s="267"/>
      <c r="AY11" s="267"/>
      <c r="AZ11" s="267"/>
      <c r="BA11" s="267"/>
      <c r="BB11" s="267"/>
      <c r="BC11" s="268"/>
      <c r="BD11" s="269"/>
      <c r="BE11" s="267"/>
      <c r="BF11" s="267"/>
      <c r="BG11" s="267"/>
      <c r="BH11" s="267"/>
      <c r="BI11" s="267"/>
      <c r="BJ11" s="268"/>
      <c r="BK11" s="240"/>
    </row>
    <row r="12" spans="1:63" ht="15" customHeight="1" x14ac:dyDescent="0.25">
      <c r="A12" s="239"/>
      <c r="B12" s="221"/>
      <c r="C12" s="222"/>
      <c r="D12" s="222"/>
      <c r="E12" s="222"/>
      <c r="F12" s="222"/>
      <c r="G12" s="223"/>
      <c r="H12" s="221"/>
      <c r="I12" s="222"/>
      <c r="J12" s="222"/>
      <c r="K12" s="222"/>
      <c r="L12" s="222"/>
      <c r="M12" s="222"/>
      <c r="N12" s="223"/>
      <c r="O12" s="221"/>
      <c r="P12" s="222"/>
      <c r="Q12" s="222"/>
      <c r="R12" s="222"/>
      <c r="S12" s="270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71"/>
      <c r="AN12" s="271"/>
      <c r="AO12" s="271"/>
      <c r="AP12" s="271"/>
      <c r="AQ12" s="271"/>
      <c r="AR12" s="271"/>
      <c r="AS12" s="271"/>
      <c r="AT12" s="271"/>
      <c r="AU12" s="271"/>
      <c r="AV12" s="271"/>
      <c r="AW12" s="272"/>
      <c r="AX12" s="273"/>
      <c r="AY12" s="273"/>
      <c r="AZ12" s="273"/>
      <c r="BA12" s="273"/>
      <c r="BB12" s="273"/>
      <c r="BC12" s="274"/>
      <c r="BD12" s="275"/>
      <c r="BE12" s="273"/>
      <c r="BF12" s="273"/>
      <c r="BG12" s="273"/>
      <c r="BH12" s="273"/>
      <c r="BI12" s="273"/>
      <c r="BJ12" s="274"/>
      <c r="BK12" s="240"/>
    </row>
    <row r="13" spans="1:63" ht="15" customHeight="1" x14ac:dyDescent="0.25">
      <c r="A13" s="239"/>
      <c r="B13" s="215">
        <v>45459</v>
      </c>
      <c r="C13" s="209"/>
      <c r="D13" s="209"/>
      <c r="E13" s="209"/>
      <c r="F13" s="209"/>
      <c r="G13" s="210"/>
      <c r="H13" s="211" t="s">
        <v>24</v>
      </c>
      <c r="I13" s="209"/>
      <c r="J13" s="209"/>
      <c r="K13" s="209"/>
      <c r="L13" s="209"/>
      <c r="M13" s="209"/>
      <c r="N13" s="210"/>
      <c r="O13" s="211">
        <v>0.2</v>
      </c>
      <c r="P13" s="209"/>
      <c r="Q13" s="209"/>
      <c r="R13" s="209"/>
      <c r="S13" s="264" t="s">
        <v>118</v>
      </c>
      <c r="T13" s="265"/>
      <c r="U13" s="265"/>
      <c r="V13" s="265"/>
      <c r="W13" s="265"/>
      <c r="X13" s="265"/>
      <c r="Y13" s="265"/>
      <c r="Z13" s="265"/>
      <c r="AA13" s="265"/>
      <c r="AB13" s="265"/>
      <c r="AC13" s="265"/>
      <c r="AD13" s="265"/>
      <c r="AE13" s="265"/>
      <c r="AF13" s="265"/>
      <c r="AG13" s="265"/>
      <c r="AH13" s="265"/>
      <c r="AI13" s="265"/>
      <c r="AJ13" s="265"/>
      <c r="AK13" s="265"/>
      <c r="AL13" s="265"/>
      <c r="AM13" s="265"/>
      <c r="AN13" s="265"/>
      <c r="AO13" s="265"/>
      <c r="AP13" s="265"/>
      <c r="AQ13" s="265"/>
      <c r="AR13" s="265"/>
      <c r="AS13" s="265"/>
      <c r="AT13" s="265"/>
      <c r="AU13" s="265"/>
      <c r="AV13" s="265"/>
      <c r="AW13" s="266"/>
      <c r="AX13" s="97"/>
      <c r="AY13" s="97"/>
      <c r="AZ13" s="97"/>
      <c r="BA13" s="97"/>
      <c r="BB13" s="97"/>
      <c r="BC13" s="98"/>
      <c r="BD13" s="96"/>
      <c r="BE13" s="97"/>
      <c r="BF13" s="97"/>
      <c r="BG13" s="97"/>
      <c r="BH13" s="97"/>
      <c r="BI13" s="97"/>
      <c r="BJ13" s="98"/>
      <c r="BK13" s="240"/>
    </row>
    <row r="14" spans="1:63" ht="15" customHeight="1" x14ac:dyDescent="0.25">
      <c r="A14" s="239"/>
      <c r="B14" s="221"/>
      <c r="C14" s="222"/>
      <c r="D14" s="222"/>
      <c r="E14" s="222"/>
      <c r="F14" s="222"/>
      <c r="G14" s="223"/>
      <c r="H14" s="221"/>
      <c r="I14" s="222"/>
      <c r="J14" s="222"/>
      <c r="K14" s="222"/>
      <c r="L14" s="222"/>
      <c r="M14" s="222"/>
      <c r="N14" s="223"/>
      <c r="O14" s="221"/>
      <c r="P14" s="222"/>
      <c r="Q14" s="222"/>
      <c r="R14" s="222"/>
      <c r="S14" s="270" t="s">
        <v>119</v>
      </c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271"/>
      <c r="AL14" s="271"/>
      <c r="AM14" s="271"/>
      <c r="AN14" s="271"/>
      <c r="AO14" s="271"/>
      <c r="AP14" s="271"/>
      <c r="AQ14" s="271"/>
      <c r="AR14" s="271"/>
      <c r="AS14" s="271"/>
      <c r="AT14" s="271"/>
      <c r="AU14" s="271"/>
      <c r="AV14" s="271"/>
      <c r="AW14" s="272"/>
      <c r="AX14" s="100"/>
      <c r="AY14" s="100"/>
      <c r="AZ14" s="100"/>
      <c r="BA14" s="100"/>
      <c r="BB14" s="100"/>
      <c r="BC14" s="101"/>
      <c r="BD14" s="99"/>
      <c r="BE14" s="100"/>
      <c r="BF14" s="100"/>
      <c r="BG14" s="100"/>
      <c r="BH14" s="100"/>
      <c r="BI14" s="100"/>
      <c r="BJ14" s="101"/>
      <c r="BK14" s="240"/>
    </row>
    <row r="15" spans="1:63" ht="15" customHeight="1" x14ac:dyDescent="0.25">
      <c r="A15" s="239"/>
      <c r="B15" s="215">
        <v>45545</v>
      </c>
      <c r="C15" s="209"/>
      <c r="D15" s="209"/>
      <c r="E15" s="209"/>
      <c r="F15" s="209"/>
      <c r="G15" s="210"/>
      <c r="H15" s="211" t="s">
        <v>146</v>
      </c>
      <c r="I15" s="209"/>
      <c r="J15" s="209"/>
      <c r="K15" s="209"/>
      <c r="L15" s="209"/>
      <c r="M15" s="209"/>
      <c r="N15" s="210"/>
      <c r="O15" s="211">
        <v>0.3</v>
      </c>
      <c r="P15" s="209"/>
      <c r="Q15" s="209"/>
      <c r="R15" s="209"/>
      <c r="S15" s="264" t="s">
        <v>165</v>
      </c>
      <c r="T15" s="265"/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65"/>
      <c r="AU15" s="265"/>
      <c r="AV15" s="265"/>
      <c r="AW15" s="266"/>
      <c r="AX15" s="267"/>
      <c r="AY15" s="267"/>
      <c r="AZ15" s="267"/>
      <c r="BA15" s="267"/>
      <c r="BB15" s="267"/>
      <c r="BC15" s="268"/>
      <c r="BD15" s="269"/>
      <c r="BE15" s="267"/>
      <c r="BF15" s="267"/>
      <c r="BG15" s="267"/>
      <c r="BH15" s="267"/>
      <c r="BI15" s="267"/>
      <c r="BJ15" s="268"/>
      <c r="BK15" s="240"/>
    </row>
    <row r="16" spans="1:63" ht="15" customHeight="1" x14ac:dyDescent="0.25">
      <c r="A16" s="239"/>
      <c r="B16" s="276"/>
      <c r="C16" s="260"/>
      <c r="D16" s="260"/>
      <c r="E16" s="260"/>
      <c r="F16" s="260"/>
      <c r="G16" s="261"/>
      <c r="H16" s="259"/>
      <c r="I16" s="260"/>
      <c r="J16" s="260"/>
      <c r="K16" s="260"/>
      <c r="L16" s="260"/>
      <c r="M16" s="260"/>
      <c r="N16" s="261"/>
      <c r="O16" s="259"/>
      <c r="P16" s="260"/>
      <c r="Q16" s="260"/>
      <c r="R16" s="260"/>
      <c r="S16" s="277" t="s">
        <v>122</v>
      </c>
      <c r="T16" s="278"/>
      <c r="U16" s="278"/>
      <c r="V16" s="278"/>
      <c r="W16" s="278"/>
      <c r="X16" s="278"/>
      <c r="Y16" s="278"/>
      <c r="Z16" s="278"/>
      <c r="AA16" s="278"/>
      <c r="AB16" s="278"/>
      <c r="AC16" s="278"/>
      <c r="AD16" s="278"/>
      <c r="AE16" s="278"/>
      <c r="AF16" s="278"/>
      <c r="AG16" s="278"/>
      <c r="AH16" s="278"/>
      <c r="AI16" s="278"/>
      <c r="AJ16" s="278"/>
      <c r="AK16" s="278"/>
      <c r="AL16" s="278"/>
      <c r="AM16" s="278"/>
      <c r="AN16" s="278"/>
      <c r="AO16" s="278"/>
      <c r="AP16" s="278"/>
      <c r="AQ16" s="278"/>
      <c r="AR16" s="278"/>
      <c r="AS16" s="278"/>
      <c r="AT16" s="278"/>
      <c r="AU16" s="278"/>
      <c r="AV16" s="278"/>
      <c r="AW16" s="279"/>
      <c r="AX16" s="280"/>
      <c r="AY16" s="280"/>
      <c r="AZ16" s="280"/>
      <c r="BA16" s="280"/>
      <c r="BB16" s="280"/>
      <c r="BC16" s="281"/>
      <c r="BD16" s="282"/>
      <c r="BE16" s="280"/>
      <c r="BF16" s="280"/>
      <c r="BG16" s="280"/>
      <c r="BH16" s="280"/>
      <c r="BI16" s="280"/>
      <c r="BJ16" s="281"/>
      <c r="BK16" s="240"/>
    </row>
    <row r="17" spans="1:63" ht="15" customHeight="1" x14ac:dyDescent="0.25">
      <c r="A17" s="239"/>
      <c r="B17" s="221"/>
      <c r="C17" s="222"/>
      <c r="D17" s="222"/>
      <c r="E17" s="222"/>
      <c r="F17" s="222"/>
      <c r="G17" s="223"/>
      <c r="H17" s="221"/>
      <c r="I17" s="222"/>
      <c r="J17" s="222"/>
      <c r="K17" s="222"/>
      <c r="L17" s="222"/>
      <c r="M17" s="222"/>
      <c r="N17" s="223"/>
      <c r="O17" s="221"/>
      <c r="P17" s="222"/>
      <c r="Q17" s="222"/>
      <c r="R17" s="222"/>
      <c r="S17" s="270" t="s">
        <v>123</v>
      </c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/>
      <c r="AI17" s="271"/>
      <c r="AJ17" s="271"/>
      <c r="AK17" s="271"/>
      <c r="AL17" s="271"/>
      <c r="AM17" s="271"/>
      <c r="AN17" s="271"/>
      <c r="AO17" s="271"/>
      <c r="AP17" s="271"/>
      <c r="AQ17" s="271"/>
      <c r="AR17" s="271"/>
      <c r="AS17" s="271"/>
      <c r="AT17" s="271"/>
      <c r="AU17" s="271"/>
      <c r="AV17" s="271"/>
      <c r="AW17" s="272"/>
      <c r="AX17" s="273"/>
      <c r="AY17" s="273"/>
      <c r="AZ17" s="273"/>
      <c r="BA17" s="273"/>
      <c r="BB17" s="273"/>
      <c r="BC17" s="274"/>
      <c r="BD17" s="275"/>
      <c r="BE17" s="273"/>
      <c r="BF17" s="273"/>
      <c r="BG17" s="273"/>
      <c r="BH17" s="273"/>
      <c r="BI17" s="273"/>
      <c r="BJ17" s="274"/>
      <c r="BK17" s="240"/>
    </row>
    <row r="18" spans="1:63" ht="15" customHeight="1" x14ac:dyDescent="0.25">
      <c r="A18" s="239"/>
      <c r="B18" s="215">
        <v>45555</v>
      </c>
      <c r="C18" s="209"/>
      <c r="D18" s="209"/>
      <c r="E18" s="209"/>
      <c r="F18" s="209"/>
      <c r="G18" s="210"/>
      <c r="H18" s="211" t="s">
        <v>146</v>
      </c>
      <c r="I18" s="209"/>
      <c r="J18" s="209"/>
      <c r="K18" s="209"/>
      <c r="L18" s="209"/>
      <c r="M18" s="209"/>
      <c r="N18" s="210"/>
      <c r="O18" s="211">
        <v>0.4</v>
      </c>
      <c r="P18" s="209"/>
      <c r="Q18" s="209"/>
      <c r="R18" s="209"/>
      <c r="S18" s="264" t="s">
        <v>166</v>
      </c>
      <c r="T18" s="265"/>
      <c r="U18" s="265"/>
      <c r="V18" s="265"/>
      <c r="W18" s="265"/>
      <c r="X18" s="265"/>
      <c r="Y18" s="265"/>
      <c r="Z18" s="265"/>
      <c r="AA18" s="265"/>
      <c r="AB18" s="265"/>
      <c r="AC18" s="265"/>
      <c r="AD18" s="265"/>
      <c r="AE18" s="265"/>
      <c r="AF18" s="265"/>
      <c r="AG18" s="265"/>
      <c r="AH18" s="265"/>
      <c r="AI18" s="265"/>
      <c r="AJ18" s="265"/>
      <c r="AK18" s="265"/>
      <c r="AL18" s="265"/>
      <c r="AM18" s="265"/>
      <c r="AN18" s="265"/>
      <c r="AO18" s="265"/>
      <c r="AP18" s="265"/>
      <c r="AQ18" s="265"/>
      <c r="AR18" s="265"/>
      <c r="AS18" s="265"/>
      <c r="AT18" s="265"/>
      <c r="AU18" s="265"/>
      <c r="AV18" s="265"/>
      <c r="AW18" s="266"/>
      <c r="AX18" s="267"/>
      <c r="AY18" s="267"/>
      <c r="AZ18" s="267"/>
      <c r="BA18" s="267"/>
      <c r="BB18" s="267"/>
      <c r="BC18" s="268"/>
      <c r="BD18" s="269"/>
      <c r="BE18" s="267"/>
      <c r="BF18" s="267"/>
      <c r="BG18" s="267"/>
      <c r="BH18" s="267"/>
      <c r="BI18" s="267"/>
      <c r="BJ18" s="268"/>
      <c r="BK18" s="240"/>
    </row>
    <row r="19" spans="1:63" ht="15" customHeight="1" x14ac:dyDescent="0.25">
      <c r="A19" s="239"/>
      <c r="B19" s="221"/>
      <c r="C19" s="222"/>
      <c r="D19" s="222"/>
      <c r="E19" s="222"/>
      <c r="F19" s="222"/>
      <c r="G19" s="223"/>
      <c r="H19" s="221"/>
      <c r="I19" s="222"/>
      <c r="J19" s="222"/>
      <c r="K19" s="222"/>
      <c r="L19" s="222"/>
      <c r="M19" s="222"/>
      <c r="N19" s="223"/>
      <c r="O19" s="221"/>
      <c r="P19" s="222"/>
      <c r="Q19" s="222"/>
      <c r="R19" s="222"/>
      <c r="S19" s="270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71"/>
      <c r="AN19" s="271"/>
      <c r="AO19" s="271"/>
      <c r="AP19" s="271"/>
      <c r="AQ19" s="271"/>
      <c r="AR19" s="271"/>
      <c r="AS19" s="271"/>
      <c r="AT19" s="271"/>
      <c r="AU19" s="271"/>
      <c r="AV19" s="271"/>
      <c r="AW19" s="272"/>
      <c r="AX19" s="273"/>
      <c r="AY19" s="273"/>
      <c r="AZ19" s="273"/>
      <c r="BA19" s="273"/>
      <c r="BB19" s="273"/>
      <c r="BC19" s="274"/>
      <c r="BD19" s="275"/>
      <c r="BE19" s="273"/>
      <c r="BF19" s="273"/>
      <c r="BG19" s="273"/>
      <c r="BH19" s="273"/>
      <c r="BI19" s="273"/>
      <c r="BJ19" s="274"/>
      <c r="BK19" s="240"/>
    </row>
    <row r="20" spans="1:63" ht="15" customHeight="1" x14ac:dyDescent="0.25">
      <c r="A20" s="239"/>
      <c r="B20" s="105">
        <v>45613</v>
      </c>
      <c r="C20" s="106"/>
      <c r="D20" s="106"/>
      <c r="E20" s="106"/>
      <c r="F20" s="106"/>
      <c r="G20" s="107"/>
      <c r="H20" s="111" t="s">
        <v>167</v>
      </c>
      <c r="I20" s="106"/>
      <c r="J20" s="106"/>
      <c r="K20" s="106"/>
      <c r="L20" s="106"/>
      <c r="M20" s="106"/>
      <c r="N20" s="107"/>
      <c r="O20" s="111">
        <v>0.41</v>
      </c>
      <c r="P20" s="106"/>
      <c r="Q20" s="106"/>
      <c r="R20" s="106"/>
      <c r="S20" s="112" t="s">
        <v>168</v>
      </c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4"/>
      <c r="AX20" s="267"/>
      <c r="AY20" s="267"/>
      <c r="AZ20" s="267"/>
      <c r="BA20" s="267"/>
      <c r="BB20" s="267"/>
      <c r="BC20" s="268"/>
      <c r="BD20" s="269"/>
      <c r="BE20" s="267"/>
      <c r="BF20" s="267"/>
      <c r="BG20" s="267"/>
      <c r="BH20" s="267"/>
      <c r="BI20" s="267"/>
      <c r="BJ20" s="268"/>
      <c r="BK20" s="240"/>
    </row>
    <row r="21" spans="1:63" ht="15" customHeight="1" x14ac:dyDescent="0.25">
      <c r="A21" s="239"/>
      <c r="B21" s="108"/>
      <c r="C21" s="109"/>
      <c r="D21" s="109"/>
      <c r="E21" s="109"/>
      <c r="F21" s="109"/>
      <c r="G21" s="110"/>
      <c r="H21" s="108"/>
      <c r="I21" s="109"/>
      <c r="J21" s="109"/>
      <c r="K21" s="109"/>
      <c r="L21" s="109"/>
      <c r="M21" s="109"/>
      <c r="N21" s="110"/>
      <c r="O21" s="108"/>
      <c r="P21" s="109"/>
      <c r="Q21" s="109"/>
      <c r="R21" s="109"/>
      <c r="S21" s="102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4"/>
      <c r="AX21" s="273"/>
      <c r="AY21" s="273"/>
      <c r="AZ21" s="273"/>
      <c r="BA21" s="273"/>
      <c r="BB21" s="273"/>
      <c r="BC21" s="274"/>
      <c r="BD21" s="275"/>
      <c r="BE21" s="273"/>
      <c r="BF21" s="273"/>
      <c r="BG21" s="273"/>
      <c r="BH21" s="273"/>
      <c r="BI21" s="273"/>
      <c r="BJ21" s="274"/>
      <c r="BK21" s="240"/>
    </row>
    <row r="22" spans="1:63" ht="15" customHeight="1" x14ac:dyDescent="0.25">
      <c r="A22" s="239"/>
      <c r="B22" s="283">
        <v>45629</v>
      </c>
      <c r="C22" s="284"/>
      <c r="D22" s="284"/>
      <c r="E22" s="284"/>
      <c r="F22" s="284"/>
      <c r="G22" s="285"/>
      <c r="H22" s="286" t="s">
        <v>167</v>
      </c>
      <c r="I22" s="284"/>
      <c r="J22" s="284"/>
      <c r="K22" s="284"/>
      <c r="L22" s="284"/>
      <c r="M22" s="284"/>
      <c r="N22" s="285"/>
      <c r="O22" s="286">
        <v>0.42</v>
      </c>
      <c r="P22" s="284"/>
      <c r="Q22" s="284"/>
      <c r="R22" s="284"/>
      <c r="S22" s="287" t="s">
        <v>169</v>
      </c>
      <c r="T22" s="288"/>
      <c r="U22" s="288"/>
      <c r="V22" s="288"/>
      <c r="W22" s="288"/>
      <c r="X22" s="288"/>
      <c r="Y22" s="288"/>
      <c r="Z22" s="288"/>
      <c r="AA22" s="288"/>
      <c r="AB22" s="288"/>
      <c r="AC22" s="288"/>
      <c r="AD22" s="288"/>
      <c r="AE22" s="288"/>
      <c r="AF22" s="288"/>
      <c r="AG22" s="288"/>
      <c r="AH22" s="288"/>
      <c r="AI22" s="288"/>
      <c r="AJ22" s="288"/>
      <c r="AK22" s="288"/>
      <c r="AL22" s="288"/>
      <c r="AM22" s="288"/>
      <c r="AN22" s="288"/>
      <c r="AO22" s="288"/>
      <c r="AP22" s="288"/>
      <c r="AQ22" s="288"/>
      <c r="AR22" s="288"/>
      <c r="AS22" s="288"/>
      <c r="AT22" s="288"/>
      <c r="AU22" s="288"/>
      <c r="AV22" s="288"/>
      <c r="AW22" s="289"/>
      <c r="AX22" s="267"/>
      <c r="AY22" s="267"/>
      <c r="AZ22" s="267"/>
      <c r="BA22" s="267"/>
      <c r="BB22" s="267"/>
      <c r="BC22" s="268"/>
      <c r="BD22" s="269"/>
      <c r="BE22" s="267"/>
      <c r="BF22" s="267"/>
      <c r="BG22" s="267"/>
      <c r="BH22" s="267"/>
      <c r="BI22" s="267"/>
      <c r="BJ22" s="268"/>
      <c r="BK22" s="240"/>
    </row>
    <row r="23" spans="1:63" ht="15" customHeight="1" x14ac:dyDescent="0.25">
      <c r="A23" s="239"/>
      <c r="B23" s="290"/>
      <c r="C23" s="291"/>
      <c r="D23" s="291"/>
      <c r="E23" s="291"/>
      <c r="F23" s="291"/>
      <c r="G23" s="292"/>
      <c r="H23" s="290"/>
      <c r="I23" s="291"/>
      <c r="J23" s="291"/>
      <c r="K23" s="291"/>
      <c r="L23" s="291"/>
      <c r="M23" s="291"/>
      <c r="N23" s="292"/>
      <c r="O23" s="290"/>
      <c r="P23" s="291"/>
      <c r="Q23" s="291"/>
      <c r="R23" s="291"/>
      <c r="S23" s="293"/>
      <c r="T23" s="294"/>
      <c r="U23" s="294"/>
      <c r="V23" s="294"/>
      <c r="W23" s="294"/>
      <c r="X23" s="294"/>
      <c r="Y23" s="294"/>
      <c r="Z23" s="294"/>
      <c r="AA23" s="294"/>
      <c r="AB23" s="294"/>
      <c r="AC23" s="294"/>
      <c r="AD23" s="294"/>
      <c r="AE23" s="294"/>
      <c r="AF23" s="294"/>
      <c r="AG23" s="294"/>
      <c r="AH23" s="294"/>
      <c r="AI23" s="294"/>
      <c r="AJ23" s="294"/>
      <c r="AK23" s="294"/>
      <c r="AL23" s="294"/>
      <c r="AM23" s="294"/>
      <c r="AN23" s="294"/>
      <c r="AO23" s="294"/>
      <c r="AP23" s="294"/>
      <c r="AQ23" s="294"/>
      <c r="AR23" s="294"/>
      <c r="AS23" s="294"/>
      <c r="AT23" s="294"/>
      <c r="AU23" s="294"/>
      <c r="AV23" s="294"/>
      <c r="AW23" s="295"/>
      <c r="AX23" s="273"/>
      <c r="AY23" s="273"/>
      <c r="AZ23" s="273"/>
      <c r="BA23" s="273"/>
      <c r="BB23" s="273"/>
      <c r="BC23" s="274"/>
      <c r="BD23" s="275"/>
      <c r="BE23" s="273"/>
      <c r="BF23" s="273"/>
      <c r="BG23" s="273"/>
      <c r="BH23" s="273"/>
      <c r="BI23" s="273"/>
      <c r="BJ23" s="274"/>
      <c r="BK23" s="240"/>
    </row>
    <row r="24" spans="1:63" ht="15" customHeight="1" x14ac:dyDescent="0.25">
      <c r="A24" s="239"/>
      <c r="B24" s="115">
        <v>45630</v>
      </c>
      <c r="C24" s="116"/>
      <c r="D24" s="116"/>
      <c r="E24" s="116"/>
      <c r="F24" s="116"/>
      <c r="G24" s="117"/>
      <c r="H24" s="121" t="s">
        <v>170</v>
      </c>
      <c r="I24" s="116"/>
      <c r="J24" s="116"/>
      <c r="K24" s="116"/>
      <c r="L24" s="116"/>
      <c r="M24" s="116"/>
      <c r="N24" s="117"/>
      <c r="O24" s="121">
        <v>0.43</v>
      </c>
      <c r="P24" s="116"/>
      <c r="Q24" s="116"/>
      <c r="R24" s="116"/>
      <c r="S24" s="122" t="s">
        <v>171</v>
      </c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4"/>
      <c r="AX24" s="267"/>
      <c r="AY24" s="267"/>
      <c r="AZ24" s="267"/>
      <c r="BA24" s="267"/>
      <c r="BB24" s="267"/>
      <c r="BC24" s="268"/>
      <c r="BD24" s="269"/>
      <c r="BE24" s="267"/>
      <c r="BF24" s="267"/>
      <c r="BG24" s="267"/>
      <c r="BH24" s="267"/>
      <c r="BI24" s="267"/>
      <c r="BJ24" s="268"/>
      <c r="BK24" s="240"/>
    </row>
    <row r="25" spans="1:63" ht="15" customHeight="1" x14ac:dyDescent="0.25">
      <c r="A25" s="239"/>
      <c r="B25" s="118"/>
      <c r="C25" s="119"/>
      <c r="D25" s="119"/>
      <c r="E25" s="119"/>
      <c r="F25" s="119"/>
      <c r="G25" s="120"/>
      <c r="H25" s="118"/>
      <c r="I25" s="119"/>
      <c r="J25" s="119"/>
      <c r="K25" s="119"/>
      <c r="L25" s="119"/>
      <c r="M25" s="119"/>
      <c r="N25" s="120"/>
      <c r="O25" s="118"/>
      <c r="P25" s="119"/>
      <c r="Q25" s="119"/>
      <c r="R25" s="119"/>
      <c r="S25" s="125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7"/>
      <c r="AX25" s="273"/>
      <c r="AY25" s="273"/>
      <c r="AZ25" s="273"/>
      <c r="BA25" s="273"/>
      <c r="BB25" s="273"/>
      <c r="BC25" s="274"/>
      <c r="BD25" s="275"/>
      <c r="BE25" s="273"/>
      <c r="BF25" s="273"/>
      <c r="BG25" s="273"/>
      <c r="BH25" s="273"/>
      <c r="BI25" s="273"/>
      <c r="BJ25" s="274"/>
      <c r="BK25" s="240"/>
    </row>
    <row r="26" spans="1:63" ht="15" customHeight="1" x14ac:dyDescent="0.25">
      <c r="A26" s="239"/>
      <c r="B26" s="211"/>
      <c r="C26" s="209"/>
      <c r="D26" s="209"/>
      <c r="E26" s="209"/>
      <c r="F26" s="209"/>
      <c r="G26" s="210"/>
      <c r="H26" s="211"/>
      <c r="I26" s="209"/>
      <c r="J26" s="209"/>
      <c r="K26" s="209"/>
      <c r="L26" s="209"/>
      <c r="M26" s="209"/>
      <c r="N26" s="210"/>
      <c r="O26" s="211"/>
      <c r="P26" s="209"/>
      <c r="Q26" s="209"/>
      <c r="R26" s="209"/>
      <c r="S26" s="264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265"/>
      <c r="AE26" s="265"/>
      <c r="AF26" s="265"/>
      <c r="AG26" s="265"/>
      <c r="AH26" s="265"/>
      <c r="AI26" s="265"/>
      <c r="AJ26" s="265"/>
      <c r="AK26" s="265"/>
      <c r="AL26" s="265"/>
      <c r="AM26" s="265"/>
      <c r="AN26" s="265"/>
      <c r="AO26" s="265"/>
      <c r="AP26" s="265"/>
      <c r="AQ26" s="265"/>
      <c r="AR26" s="265"/>
      <c r="AS26" s="265"/>
      <c r="AT26" s="265"/>
      <c r="AU26" s="265"/>
      <c r="AV26" s="265"/>
      <c r="AW26" s="266"/>
      <c r="AX26" s="267"/>
      <c r="AY26" s="267"/>
      <c r="AZ26" s="267"/>
      <c r="BA26" s="267"/>
      <c r="BB26" s="267"/>
      <c r="BC26" s="268"/>
      <c r="BD26" s="269"/>
      <c r="BE26" s="267"/>
      <c r="BF26" s="267"/>
      <c r="BG26" s="267"/>
      <c r="BH26" s="267"/>
      <c r="BI26" s="267"/>
      <c r="BJ26" s="268"/>
      <c r="BK26" s="240"/>
    </row>
    <row r="27" spans="1:63" ht="15" customHeight="1" x14ac:dyDescent="0.25">
      <c r="A27" s="239"/>
      <c r="B27" s="221"/>
      <c r="C27" s="222"/>
      <c r="D27" s="222"/>
      <c r="E27" s="222"/>
      <c r="F27" s="222"/>
      <c r="G27" s="223"/>
      <c r="H27" s="221"/>
      <c r="I27" s="222"/>
      <c r="J27" s="222"/>
      <c r="K27" s="222"/>
      <c r="L27" s="222"/>
      <c r="M27" s="222"/>
      <c r="N27" s="223"/>
      <c r="O27" s="221"/>
      <c r="P27" s="222"/>
      <c r="Q27" s="222"/>
      <c r="R27" s="222"/>
      <c r="S27" s="270"/>
      <c r="T27" s="271"/>
      <c r="U27" s="271"/>
      <c r="V27" s="271"/>
      <c r="W27" s="271"/>
      <c r="X27" s="271"/>
      <c r="Y27" s="271"/>
      <c r="Z27" s="271"/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1"/>
      <c r="AP27" s="271"/>
      <c r="AQ27" s="271"/>
      <c r="AR27" s="271"/>
      <c r="AS27" s="271"/>
      <c r="AT27" s="271"/>
      <c r="AU27" s="271"/>
      <c r="AV27" s="271"/>
      <c r="AW27" s="272"/>
      <c r="AX27" s="273"/>
      <c r="AY27" s="273"/>
      <c r="AZ27" s="273"/>
      <c r="BA27" s="273"/>
      <c r="BB27" s="273"/>
      <c r="BC27" s="274"/>
      <c r="BD27" s="275"/>
      <c r="BE27" s="273"/>
      <c r="BF27" s="273"/>
      <c r="BG27" s="273"/>
      <c r="BH27" s="273"/>
      <c r="BI27" s="273"/>
      <c r="BJ27" s="274"/>
      <c r="BK27" s="240"/>
    </row>
    <row r="28" spans="1:63" ht="15" customHeight="1" x14ac:dyDescent="0.25">
      <c r="A28" s="239"/>
      <c r="B28" s="211"/>
      <c r="C28" s="209"/>
      <c r="D28" s="209"/>
      <c r="E28" s="209"/>
      <c r="F28" s="209"/>
      <c r="G28" s="210"/>
      <c r="H28" s="211"/>
      <c r="I28" s="209"/>
      <c r="J28" s="209"/>
      <c r="K28" s="209"/>
      <c r="L28" s="209"/>
      <c r="M28" s="209"/>
      <c r="N28" s="210"/>
      <c r="O28" s="211"/>
      <c r="P28" s="209"/>
      <c r="Q28" s="209"/>
      <c r="R28" s="209"/>
      <c r="S28" s="264"/>
      <c r="T28" s="265"/>
      <c r="U28" s="265"/>
      <c r="V28" s="265"/>
      <c r="W28" s="265"/>
      <c r="X28" s="265"/>
      <c r="Y28" s="265"/>
      <c r="Z28" s="265"/>
      <c r="AA28" s="265"/>
      <c r="AB28" s="265"/>
      <c r="AC28" s="265"/>
      <c r="AD28" s="265"/>
      <c r="AE28" s="265"/>
      <c r="AF28" s="265"/>
      <c r="AG28" s="265"/>
      <c r="AH28" s="265"/>
      <c r="AI28" s="265"/>
      <c r="AJ28" s="265"/>
      <c r="AK28" s="265"/>
      <c r="AL28" s="265"/>
      <c r="AM28" s="265"/>
      <c r="AN28" s="265"/>
      <c r="AO28" s="265"/>
      <c r="AP28" s="265"/>
      <c r="AQ28" s="265"/>
      <c r="AR28" s="265"/>
      <c r="AS28" s="265"/>
      <c r="AT28" s="265"/>
      <c r="AU28" s="265"/>
      <c r="AV28" s="265"/>
      <c r="AW28" s="266"/>
      <c r="AX28" s="267"/>
      <c r="AY28" s="267"/>
      <c r="AZ28" s="267"/>
      <c r="BA28" s="267"/>
      <c r="BB28" s="267"/>
      <c r="BC28" s="268"/>
      <c r="BD28" s="269"/>
      <c r="BE28" s="267"/>
      <c r="BF28" s="267"/>
      <c r="BG28" s="267"/>
      <c r="BH28" s="267"/>
      <c r="BI28" s="267"/>
      <c r="BJ28" s="268"/>
      <c r="BK28" s="240"/>
    </row>
    <row r="29" spans="1:63" ht="15" customHeight="1" x14ac:dyDescent="0.25">
      <c r="A29" s="239"/>
      <c r="B29" s="221"/>
      <c r="C29" s="222"/>
      <c r="D29" s="222"/>
      <c r="E29" s="222"/>
      <c r="F29" s="222"/>
      <c r="G29" s="223"/>
      <c r="H29" s="221"/>
      <c r="I29" s="222"/>
      <c r="J29" s="222"/>
      <c r="K29" s="222"/>
      <c r="L29" s="222"/>
      <c r="M29" s="222"/>
      <c r="N29" s="223"/>
      <c r="O29" s="221"/>
      <c r="P29" s="222"/>
      <c r="Q29" s="222"/>
      <c r="R29" s="222"/>
      <c r="S29" s="270"/>
      <c r="T29" s="271"/>
      <c r="U29" s="271"/>
      <c r="V29" s="271"/>
      <c r="W29" s="271"/>
      <c r="X29" s="271"/>
      <c r="Y29" s="271"/>
      <c r="Z29" s="271"/>
      <c r="AA29" s="271"/>
      <c r="AB29" s="271"/>
      <c r="AC29" s="271"/>
      <c r="AD29" s="271"/>
      <c r="AE29" s="271"/>
      <c r="AF29" s="271"/>
      <c r="AG29" s="271"/>
      <c r="AH29" s="271"/>
      <c r="AI29" s="271"/>
      <c r="AJ29" s="271"/>
      <c r="AK29" s="271"/>
      <c r="AL29" s="271"/>
      <c r="AM29" s="271"/>
      <c r="AN29" s="271"/>
      <c r="AO29" s="271"/>
      <c r="AP29" s="271"/>
      <c r="AQ29" s="271"/>
      <c r="AR29" s="271"/>
      <c r="AS29" s="271"/>
      <c r="AT29" s="271"/>
      <c r="AU29" s="271"/>
      <c r="AV29" s="271"/>
      <c r="AW29" s="272"/>
      <c r="AX29" s="273"/>
      <c r="AY29" s="273"/>
      <c r="AZ29" s="273"/>
      <c r="BA29" s="273"/>
      <c r="BB29" s="273"/>
      <c r="BC29" s="274"/>
      <c r="BD29" s="275"/>
      <c r="BE29" s="273"/>
      <c r="BF29" s="273"/>
      <c r="BG29" s="273"/>
      <c r="BH29" s="273"/>
      <c r="BI29" s="273"/>
      <c r="BJ29" s="274"/>
      <c r="BK29" s="240"/>
    </row>
    <row r="30" spans="1:63" ht="15" customHeight="1" x14ac:dyDescent="0.25">
      <c r="A30" s="239"/>
      <c r="B30" s="211"/>
      <c r="C30" s="209"/>
      <c r="D30" s="209"/>
      <c r="E30" s="209"/>
      <c r="F30" s="209"/>
      <c r="G30" s="210"/>
      <c r="H30" s="211"/>
      <c r="I30" s="209"/>
      <c r="J30" s="209"/>
      <c r="K30" s="209"/>
      <c r="L30" s="209"/>
      <c r="M30" s="209"/>
      <c r="N30" s="210"/>
      <c r="O30" s="211"/>
      <c r="P30" s="209"/>
      <c r="Q30" s="209"/>
      <c r="R30" s="209"/>
      <c r="S30" s="264"/>
      <c r="T30" s="265"/>
      <c r="U30" s="265"/>
      <c r="V30" s="265"/>
      <c r="W30" s="265"/>
      <c r="X30" s="265"/>
      <c r="Y30" s="265"/>
      <c r="Z30" s="265"/>
      <c r="AA30" s="265"/>
      <c r="AB30" s="265"/>
      <c r="AC30" s="265"/>
      <c r="AD30" s="265"/>
      <c r="AE30" s="265"/>
      <c r="AF30" s="265"/>
      <c r="AG30" s="265"/>
      <c r="AH30" s="265"/>
      <c r="AI30" s="265"/>
      <c r="AJ30" s="265"/>
      <c r="AK30" s="265"/>
      <c r="AL30" s="265"/>
      <c r="AM30" s="265"/>
      <c r="AN30" s="265"/>
      <c r="AO30" s="265"/>
      <c r="AP30" s="265"/>
      <c r="AQ30" s="265"/>
      <c r="AR30" s="265"/>
      <c r="AS30" s="265"/>
      <c r="AT30" s="265"/>
      <c r="AU30" s="265"/>
      <c r="AV30" s="265"/>
      <c r="AW30" s="266"/>
      <c r="AX30" s="267"/>
      <c r="AY30" s="267"/>
      <c r="AZ30" s="267"/>
      <c r="BA30" s="267"/>
      <c r="BB30" s="267"/>
      <c r="BC30" s="268"/>
      <c r="BD30" s="269"/>
      <c r="BE30" s="267"/>
      <c r="BF30" s="267"/>
      <c r="BG30" s="267"/>
      <c r="BH30" s="267"/>
      <c r="BI30" s="267"/>
      <c r="BJ30" s="268"/>
      <c r="BK30" s="240"/>
    </row>
    <row r="31" spans="1:63" ht="15" customHeight="1" x14ac:dyDescent="0.25">
      <c r="A31" s="239"/>
      <c r="B31" s="221"/>
      <c r="C31" s="222"/>
      <c r="D31" s="222"/>
      <c r="E31" s="222"/>
      <c r="F31" s="222"/>
      <c r="G31" s="223"/>
      <c r="H31" s="221"/>
      <c r="I31" s="222"/>
      <c r="J31" s="222"/>
      <c r="K31" s="222"/>
      <c r="L31" s="222"/>
      <c r="M31" s="222"/>
      <c r="N31" s="223"/>
      <c r="O31" s="221"/>
      <c r="P31" s="222"/>
      <c r="Q31" s="222"/>
      <c r="R31" s="222"/>
      <c r="S31" s="270"/>
      <c r="T31" s="271"/>
      <c r="U31" s="271"/>
      <c r="V31" s="271"/>
      <c r="W31" s="271"/>
      <c r="X31" s="271"/>
      <c r="Y31" s="271"/>
      <c r="Z31" s="271"/>
      <c r="AA31" s="271"/>
      <c r="AB31" s="271"/>
      <c r="AC31" s="271"/>
      <c r="AD31" s="271"/>
      <c r="AE31" s="271"/>
      <c r="AF31" s="271"/>
      <c r="AG31" s="271"/>
      <c r="AH31" s="271"/>
      <c r="AI31" s="271"/>
      <c r="AJ31" s="271"/>
      <c r="AK31" s="271"/>
      <c r="AL31" s="271"/>
      <c r="AM31" s="271"/>
      <c r="AN31" s="271"/>
      <c r="AO31" s="271"/>
      <c r="AP31" s="271"/>
      <c r="AQ31" s="271"/>
      <c r="AR31" s="271"/>
      <c r="AS31" s="271"/>
      <c r="AT31" s="271"/>
      <c r="AU31" s="271"/>
      <c r="AV31" s="271"/>
      <c r="AW31" s="272"/>
      <c r="AX31" s="273"/>
      <c r="AY31" s="273"/>
      <c r="AZ31" s="273"/>
      <c r="BA31" s="273"/>
      <c r="BB31" s="273"/>
      <c r="BC31" s="274"/>
      <c r="BD31" s="275"/>
      <c r="BE31" s="273"/>
      <c r="BF31" s="273"/>
      <c r="BG31" s="273"/>
      <c r="BH31" s="273"/>
      <c r="BI31" s="273"/>
      <c r="BJ31" s="274"/>
      <c r="BK31" s="240"/>
    </row>
    <row r="32" spans="1:63" ht="15" customHeight="1" x14ac:dyDescent="0.25">
      <c r="A32" s="239"/>
      <c r="B32" s="211"/>
      <c r="C32" s="209"/>
      <c r="D32" s="209"/>
      <c r="E32" s="209"/>
      <c r="F32" s="209"/>
      <c r="G32" s="210"/>
      <c r="H32" s="211"/>
      <c r="I32" s="209"/>
      <c r="J32" s="209"/>
      <c r="K32" s="209"/>
      <c r="L32" s="209"/>
      <c r="M32" s="209"/>
      <c r="N32" s="210"/>
      <c r="O32" s="211"/>
      <c r="P32" s="209"/>
      <c r="Q32" s="209"/>
      <c r="R32" s="209"/>
      <c r="S32" s="264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  <c r="AD32" s="265"/>
      <c r="AE32" s="265"/>
      <c r="AF32" s="265"/>
      <c r="AG32" s="265"/>
      <c r="AH32" s="265"/>
      <c r="AI32" s="265"/>
      <c r="AJ32" s="265"/>
      <c r="AK32" s="265"/>
      <c r="AL32" s="265"/>
      <c r="AM32" s="265"/>
      <c r="AN32" s="265"/>
      <c r="AO32" s="265"/>
      <c r="AP32" s="265"/>
      <c r="AQ32" s="265"/>
      <c r="AR32" s="265"/>
      <c r="AS32" s="265"/>
      <c r="AT32" s="265"/>
      <c r="AU32" s="265"/>
      <c r="AV32" s="265"/>
      <c r="AW32" s="266"/>
      <c r="AX32" s="267"/>
      <c r="AY32" s="267"/>
      <c r="AZ32" s="267"/>
      <c r="BA32" s="267"/>
      <c r="BB32" s="267"/>
      <c r="BC32" s="268"/>
      <c r="BD32" s="269"/>
      <c r="BE32" s="267"/>
      <c r="BF32" s="267"/>
      <c r="BG32" s="267"/>
      <c r="BH32" s="267"/>
      <c r="BI32" s="267"/>
      <c r="BJ32" s="268"/>
      <c r="BK32" s="240"/>
    </row>
    <row r="33" spans="1:63" ht="15" customHeight="1" x14ac:dyDescent="0.25">
      <c r="A33" s="239"/>
      <c r="B33" s="221"/>
      <c r="C33" s="222"/>
      <c r="D33" s="222"/>
      <c r="E33" s="222"/>
      <c r="F33" s="222"/>
      <c r="G33" s="223"/>
      <c r="H33" s="221"/>
      <c r="I33" s="222"/>
      <c r="J33" s="222"/>
      <c r="K33" s="222"/>
      <c r="L33" s="222"/>
      <c r="M33" s="222"/>
      <c r="N33" s="223"/>
      <c r="O33" s="221"/>
      <c r="P33" s="222"/>
      <c r="Q33" s="222"/>
      <c r="R33" s="222"/>
      <c r="S33" s="270"/>
      <c r="T33" s="271"/>
      <c r="U33" s="271"/>
      <c r="V33" s="271"/>
      <c r="W33" s="271"/>
      <c r="X33" s="271"/>
      <c r="Y33" s="271"/>
      <c r="Z33" s="271"/>
      <c r="AA33" s="271"/>
      <c r="AB33" s="271"/>
      <c r="AC33" s="271"/>
      <c r="AD33" s="271"/>
      <c r="AE33" s="271"/>
      <c r="AF33" s="271"/>
      <c r="AG33" s="271"/>
      <c r="AH33" s="271"/>
      <c r="AI33" s="271"/>
      <c r="AJ33" s="271"/>
      <c r="AK33" s="271"/>
      <c r="AL33" s="271"/>
      <c r="AM33" s="271"/>
      <c r="AN33" s="271"/>
      <c r="AO33" s="271"/>
      <c r="AP33" s="271"/>
      <c r="AQ33" s="271"/>
      <c r="AR33" s="271"/>
      <c r="AS33" s="271"/>
      <c r="AT33" s="271"/>
      <c r="AU33" s="271"/>
      <c r="AV33" s="271"/>
      <c r="AW33" s="272"/>
      <c r="AX33" s="273"/>
      <c r="AY33" s="273"/>
      <c r="AZ33" s="273"/>
      <c r="BA33" s="273"/>
      <c r="BB33" s="273"/>
      <c r="BC33" s="274"/>
      <c r="BD33" s="275"/>
      <c r="BE33" s="273"/>
      <c r="BF33" s="273"/>
      <c r="BG33" s="273"/>
      <c r="BH33" s="273"/>
      <c r="BI33" s="273"/>
      <c r="BJ33" s="274"/>
      <c r="BK33" s="240"/>
    </row>
    <row r="34" spans="1:63" ht="15" customHeight="1" x14ac:dyDescent="0.25">
      <c r="A34" s="239"/>
      <c r="B34" s="211"/>
      <c r="C34" s="209"/>
      <c r="D34" s="209"/>
      <c r="E34" s="209"/>
      <c r="F34" s="209"/>
      <c r="G34" s="210"/>
      <c r="H34" s="211"/>
      <c r="I34" s="209"/>
      <c r="J34" s="209"/>
      <c r="K34" s="209"/>
      <c r="L34" s="209"/>
      <c r="M34" s="209"/>
      <c r="N34" s="210"/>
      <c r="O34" s="211"/>
      <c r="P34" s="209"/>
      <c r="Q34" s="209"/>
      <c r="R34" s="209"/>
      <c r="S34" s="264"/>
      <c r="T34" s="265"/>
      <c r="U34" s="265"/>
      <c r="V34" s="265"/>
      <c r="W34" s="265"/>
      <c r="X34" s="265"/>
      <c r="Y34" s="265"/>
      <c r="Z34" s="265"/>
      <c r="AA34" s="265"/>
      <c r="AB34" s="265"/>
      <c r="AC34" s="265"/>
      <c r="AD34" s="265"/>
      <c r="AE34" s="265"/>
      <c r="AF34" s="265"/>
      <c r="AG34" s="265"/>
      <c r="AH34" s="265"/>
      <c r="AI34" s="265"/>
      <c r="AJ34" s="265"/>
      <c r="AK34" s="265"/>
      <c r="AL34" s="265"/>
      <c r="AM34" s="265"/>
      <c r="AN34" s="265"/>
      <c r="AO34" s="265"/>
      <c r="AP34" s="265"/>
      <c r="AQ34" s="265"/>
      <c r="AR34" s="265"/>
      <c r="AS34" s="265"/>
      <c r="AT34" s="265"/>
      <c r="AU34" s="265"/>
      <c r="AV34" s="265"/>
      <c r="AW34" s="266"/>
      <c r="AX34" s="267"/>
      <c r="AY34" s="267"/>
      <c r="AZ34" s="267"/>
      <c r="BA34" s="267"/>
      <c r="BB34" s="267"/>
      <c r="BC34" s="268"/>
      <c r="BD34" s="269"/>
      <c r="BE34" s="267"/>
      <c r="BF34" s="267"/>
      <c r="BG34" s="267"/>
      <c r="BH34" s="267"/>
      <c r="BI34" s="267"/>
      <c r="BJ34" s="268"/>
      <c r="BK34" s="240"/>
    </row>
    <row r="35" spans="1:63" ht="15" customHeight="1" x14ac:dyDescent="0.25">
      <c r="A35" s="239"/>
      <c r="B35" s="221"/>
      <c r="C35" s="222"/>
      <c r="D35" s="222"/>
      <c r="E35" s="222"/>
      <c r="F35" s="222"/>
      <c r="G35" s="223"/>
      <c r="H35" s="221"/>
      <c r="I35" s="222"/>
      <c r="J35" s="222"/>
      <c r="K35" s="222"/>
      <c r="L35" s="222"/>
      <c r="M35" s="222"/>
      <c r="N35" s="223"/>
      <c r="O35" s="221"/>
      <c r="P35" s="222"/>
      <c r="Q35" s="222"/>
      <c r="R35" s="222"/>
      <c r="S35" s="270"/>
      <c r="T35" s="271"/>
      <c r="U35" s="271"/>
      <c r="V35" s="271"/>
      <c r="W35" s="271"/>
      <c r="X35" s="271"/>
      <c r="Y35" s="271"/>
      <c r="Z35" s="271"/>
      <c r="AA35" s="271"/>
      <c r="AB35" s="271"/>
      <c r="AC35" s="271"/>
      <c r="AD35" s="271"/>
      <c r="AE35" s="271"/>
      <c r="AF35" s="271"/>
      <c r="AG35" s="271"/>
      <c r="AH35" s="271"/>
      <c r="AI35" s="271"/>
      <c r="AJ35" s="271"/>
      <c r="AK35" s="271"/>
      <c r="AL35" s="271"/>
      <c r="AM35" s="271"/>
      <c r="AN35" s="271"/>
      <c r="AO35" s="271"/>
      <c r="AP35" s="271"/>
      <c r="AQ35" s="271"/>
      <c r="AR35" s="271"/>
      <c r="AS35" s="271"/>
      <c r="AT35" s="271"/>
      <c r="AU35" s="271"/>
      <c r="AV35" s="271"/>
      <c r="AW35" s="272"/>
      <c r="AX35" s="273"/>
      <c r="AY35" s="273"/>
      <c r="AZ35" s="273"/>
      <c r="BA35" s="273"/>
      <c r="BB35" s="273"/>
      <c r="BC35" s="274"/>
      <c r="BD35" s="275"/>
      <c r="BE35" s="273"/>
      <c r="BF35" s="273"/>
      <c r="BG35" s="273"/>
      <c r="BH35" s="273"/>
      <c r="BI35" s="273"/>
      <c r="BJ35" s="274"/>
      <c r="BK35" s="240"/>
    </row>
    <row r="36" spans="1:63" ht="15" customHeight="1" x14ac:dyDescent="0.25">
      <c r="A36" s="239"/>
      <c r="B36" s="211"/>
      <c r="C36" s="209"/>
      <c r="D36" s="209"/>
      <c r="E36" s="209"/>
      <c r="F36" s="209"/>
      <c r="G36" s="210"/>
      <c r="H36" s="211"/>
      <c r="I36" s="209"/>
      <c r="J36" s="209"/>
      <c r="K36" s="209"/>
      <c r="L36" s="209"/>
      <c r="M36" s="209"/>
      <c r="N36" s="210"/>
      <c r="O36" s="211"/>
      <c r="P36" s="209"/>
      <c r="Q36" s="209"/>
      <c r="R36" s="209"/>
      <c r="S36" s="264"/>
      <c r="T36" s="265"/>
      <c r="U36" s="265"/>
      <c r="V36" s="265"/>
      <c r="W36" s="265"/>
      <c r="X36" s="265"/>
      <c r="Y36" s="265"/>
      <c r="Z36" s="265"/>
      <c r="AA36" s="265"/>
      <c r="AB36" s="265"/>
      <c r="AC36" s="265"/>
      <c r="AD36" s="265"/>
      <c r="AE36" s="265"/>
      <c r="AF36" s="265"/>
      <c r="AG36" s="265"/>
      <c r="AH36" s="265"/>
      <c r="AI36" s="265"/>
      <c r="AJ36" s="265"/>
      <c r="AK36" s="265"/>
      <c r="AL36" s="265"/>
      <c r="AM36" s="265"/>
      <c r="AN36" s="265"/>
      <c r="AO36" s="265"/>
      <c r="AP36" s="265"/>
      <c r="AQ36" s="265"/>
      <c r="AR36" s="265"/>
      <c r="AS36" s="265"/>
      <c r="AT36" s="265"/>
      <c r="AU36" s="265"/>
      <c r="AV36" s="265"/>
      <c r="AW36" s="266"/>
      <c r="AX36" s="267"/>
      <c r="AY36" s="267"/>
      <c r="AZ36" s="267"/>
      <c r="BA36" s="267"/>
      <c r="BB36" s="267"/>
      <c r="BC36" s="268"/>
      <c r="BD36" s="269"/>
      <c r="BE36" s="267"/>
      <c r="BF36" s="267"/>
      <c r="BG36" s="267"/>
      <c r="BH36" s="267"/>
      <c r="BI36" s="267"/>
      <c r="BJ36" s="268"/>
      <c r="BK36" s="240"/>
    </row>
    <row r="37" spans="1:63" ht="15" customHeight="1" x14ac:dyDescent="0.25">
      <c r="A37" s="239"/>
      <c r="B37" s="221"/>
      <c r="C37" s="222"/>
      <c r="D37" s="222"/>
      <c r="E37" s="222"/>
      <c r="F37" s="222"/>
      <c r="G37" s="223"/>
      <c r="H37" s="221"/>
      <c r="I37" s="222"/>
      <c r="J37" s="222"/>
      <c r="K37" s="222"/>
      <c r="L37" s="222"/>
      <c r="M37" s="222"/>
      <c r="N37" s="223"/>
      <c r="O37" s="221"/>
      <c r="P37" s="222"/>
      <c r="Q37" s="222"/>
      <c r="R37" s="222"/>
      <c r="S37" s="270"/>
      <c r="T37" s="271"/>
      <c r="U37" s="271"/>
      <c r="V37" s="271"/>
      <c r="W37" s="271"/>
      <c r="X37" s="271"/>
      <c r="Y37" s="271"/>
      <c r="Z37" s="271"/>
      <c r="AA37" s="271"/>
      <c r="AB37" s="271"/>
      <c r="AC37" s="271"/>
      <c r="AD37" s="271"/>
      <c r="AE37" s="271"/>
      <c r="AF37" s="271"/>
      <c r="AG37" s="271"/>
      <c r="AH37" s="271"/>
      <c r="AI37" s="271"/>
      <c r="AJ37" s="271"/>
      <c r="AK37" s="271"/>
      <c r="AL37" s="271"/>
      <c r="AM37" s="271"/>
      <c r="AN37" s="271"/>
      <c r="AO37" s="271"/>
      <c r="AP37" s="271"/>
      <c r="AQ37" s="271"/>
      <c r="AR37" s="271"/>
      <c r="AS37" s="271"/>
      <c r="AT37" s="271"/>
      <c r="AU37" s="271"/>
      <c r="AV37" s="271"/>
      <c r="AW37" s="272"/>
      <c r="AX37" s="273"/>
      <c r="AY37" s="273"/>
      <c r="AZ37" s="273"/>
      <c r="BA37" s="273"/>
      <c r="BB37" s="273"/>
      <c r="BC37" s="274"/>
      <c r="BD37" s="275"/>
      <c r="BE37" s="273"/>
      <c r="BF37" s="273"/>
      <c r="BG37" s="273"/>
      <c r="BH37" s="273"/>
      <c r="BI37" s="273"/>
      <c r="BJ37" s="274"/>
      <c r="BK37" s="240"/>
    </row>
    <row r="38" spans="1:63" ht="15" customHeight="1" x14ac:dyDescent="0.25">
      <c r="A38" s="239"/>
      <c r="B38" s="211"/>
      <c r="C38" s="209"/>
      <c r="D38" s="209"/>
      <c r="E38" s="209"/>
      <c r="F38" s="209"/>
      <c r="G38" s="210"/>
      <c r="H38" s="211"/>
      <c r="I38" s="209"/>
      <c r="J38" s="209"/>
      <c r="K38" s="209"/>
      <c r="L38" s="209"/>
      <c r="M38" s="209"/>
      <c r="N38" s="210"/>
      <c r="O38" s="211"/>
      <c r="P38" s="209"/>
      <c r="Q38" s="209"/>
      <c r="R38" s="209"/>
      <c r="S38" s="264"/>
      <c r="T38" s="265"/>
      <c r="U38" s="265"/>
      <c r="V38" s="265"/>
      <c r="W38" s="265"/>
      <c r="X38" s="265"/>
      <c r="Y38" s="265"/>
      <c r="Z38" s="265"/>
      <c r="AA38" s="265"/>
      <c r="AB38" s="265"/>
      <c r="AC38" s="265"/>
      <c r="AD38" s="265"/>
      <c r="AE38" s="265"/>
      <c r="AF38" s="265"/>
      <c r="AG38" s="265"/>
      <c r="AH38" s="265"/>
      <c r="AI38" s="265"/>
      <c r="AJ38" s="265"/>
      <c r="AK38" s="265"/>
      <c r="AL38" s="265"/>
      <c r="AM38" s="265"/>
      <c r="AN38" s="265"/>
      <c r="AO38" s="265"/>
      <c r="AP38" s="265"/>
      <c r="AQ38" s="265"/>
      <c r="AR38" s="265"/>
      <c r="AS38" s="265"/>
      <c r="AT38" s="265"/>
      <c r="AU38" s="265"/>
      <c r="AV38" s="265"/>
      <c r="AW38" s="266"/>
      <c r="AX38" s="267"/>
      <c r="AY38" s="267"/>
      <c r="AZ38" s="267"/>
      <c r="BA38" s="267"/>
      <c r="BB38" s="267"/>
      <c r="BC38" s="268"/>
      <c r="BD38" s="269"/>
      <c r="BE38" s="267"/>
      <c r="BF38" s="267"/>
      <c r="BG38" s="267"/>
      <c r="BH38" s="267"/>
      <c r="BI38" s="267"/>
      <c r="BJ38" s="268"/>
      <c r="BK38" s="240"/>
    </row>
    <row r="39" spans="1:63" ht="15" customHeight="1" x14ac:dyDescent="0.25">
      <c r="A39" s="239"/>
      <c r="B39" s="221"/>
      <c r="C39" s="222"/>
      <c r="D39" s="222"/>
      <c r="E39" s="222"/>
      <c r="F39" s="222"/>
      <c r="G39" s="223"/>
      <c r="H39" s="221"/>
      <c r="I39" s="222"/>
      <c r="J39" s="222"/>
      <c r="K39" s="222"/>
      <c r="L39" s="222"/>
      <c r="M39" s="222"/>
      <c r="N39" s="223"/>
      <c r="O39" s="221"/>
      <c r="P39" s="222"/>
      <c r="Q39" s="222"/>
      <c r="R39" s="222"/>
      <c r="S39" s="270"/>
      <c r="T39" s="271"/>
      <c r="U39" s="271"/>
      <c r="V39" s="271"/>
      <c r="W39" s="271"/>
      <c r="X39" s="271"/>
      <c r="Y39" s="271"/>
      <c r="Z39" s="271"/>
      <c r="AA39" s="271"/>
      <c r="AB39" s="271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271"/>
      <c r="AO39" s="271"/>
      <c r="AP39" s="271"/>
      <c r="AQ39" s="271"/>
      <c r="AR39" s="271"/>
      <c r="AS39" s="271"/>
      <c r="AT39" s="271"/>
      <c r="AU39" s="271"/>
      <c r="AV39" s="271"/>
      <c r="AW39" s="272"/>
      <c r="AX39" s="273"/>
      <c r="AY39" s="273"/>
      <c r="AZ39" s="273"/>
      <c r="BA39" s="273"/>
      <c r="BB39" s="273"/>
      <c r="BC39" s="274"/>
      <c r="BD39" s="275"/>
      <c r="BE39" s="273"/>
      <c r="BF39" s="273"/>
      <c r="BG39" s="273"/>
      <c r="BH39" s="273"/>
      <c r="BI39" s="273"/>
      <c r="BJ39" s="274"/>
      <c r="BK39" s="240"/>
    </row>
    <row r="40" spans="1:63" ht="15" customHeight="1" x14ac:dyDescent="0.25">
      <c r="A40" s="239"/>
      <c r="B40" s="211"/>
      <c r="C40" s="209"/>
      <c r="D40" s="209"/>
      <c r="E40" s="209"/>
      <c r="F40" s="209"/>
      <c r="G40" s="210"/>
      <c r="H40" s="211"/>
      <c r="I40" s="209"/>
      <c r="J40" s="209"/>
      <c r="K40" s="209"/>
      <c r="L40" s="209"/>
      <c r="M40" s="209"/>
      <c r="N40" s="210"/>
      <c r="O40" s="211"/>
      <c r="P40" s="209"/>
      <c r="Q40" s="209"/>
      <c r="R40" s="209"/>
      <c r="S40" s="264"/>
      <c r="T40" s="265"/>
      <c r="U40" s="265"/>
      <c r="V40" s="265"/>
      <c r="W40" s="265"/>
      <c r="X40" s="265"/>
      <c r="Y40" s="265"/>
      <c r="Z40" s="265"/>
      <c r="AA40" s="265"/>
      <c r="AB40" s="265"/>
      <c r="AC40" s="265"/>
      <c r="AD40" s="265"/>
      <c r="AE40" s="265"/>
      <c r="AF40" s="265"/>
      <c r="AG40" s="265"/>
      <c r="AH40" s="265"/>
      <c r="AI40" s="265"/>
      <c r="AJ40" s="265"/>
      <c r="AK40" s="265"/>
      <c r="AL40" s="265"/>
      <c r="AM40" s="265"/>
      <c r="AN40" s="265"/>
      <c r="AO40" s="265"/>
      <c r="AP40" s="265"/>
      <c r="AQ40" s="265"/>
      <c r="AR40" s="265"/>
      <c r="AS40" s="265"/>
      <c r="AT40" s="265"/>
      <c r="AU40" s="265"/>
      <c r="AV40" s="265"/>
      <c r="AW40" s="266"/>
      <c r="AX40" s="267"/>
      <c r="AY40" s="267"/>
      <c r="AZ40" s="267"/>
      <c r="BA40" s="267"/>
      <c r="BB40" s="267"/>
      <c r="BC40" s="268"/>
      <c r="BD40" s="269"/>
      <c r="BE40" s="267"/>
      <c r="BF40" s="267"/>
      <c r="BG40" s="267"/>
      <c r="BH40" s="267"/>
      <c r="BI40" s="267"/>
      <c r="BJ40" s="268"/>
      <c r="BK40" s="240"/>
    </row>
    <row r="41" spans="1:63" ht="15" customHeight="1" x14ac:dyDescent="0.25">
      <c r="A41" s="239"/>
      <c r="B41" s="221"/>
      <c r="C41" s="222"/>
      <c r="D41" s="222"/>
      <c r="E41" s="222"/>
      <c r="F41" s="222"/>
      <c r="G41" s="223"/>
      <c r="H41" s="221"/>
      <c r="I41" s="222"/>
      <c r="J41" s="222"/>
      <c r="K41" s="222"/>
      <c r="L41" s="222"/>
      <c r="M41" s="222"/>
      <c r="N41" s="223"/>
      <c r="O41" s="221"/>
      <c r="P41" s="222"/>
      <c r="Q41" s="222"/>
      <c r="R41" s="222"/>
      <c r="S41" s="270"/>
      <c r="T41" s="271"/>
      <c r="U41" s="271"/>
      <c r="V41" s="271"/>
      <c r="W41" s="271"/>
      <c r="X41" s="271"/>
      <c r="Y41" s="271"/>
      <c r="Z41" s="271"/>
      <c r="AA41" s="271"/>
      <c r="AB41" s="271"/>
      <c r="AC41" s="271"/>
      <c r="AD41" s="271"/>
      <c r="AE41" s="271"/>
      <c r="AF41" s="271"/>
      <c r="AG41" s="271"/>
      <c r="AH41" s="271"/>
      <c r="AI41" s="271"/>
      <c r="AJ41" s="271"/>
      <c r="AK41" s="271"/>
      <c r="AL41" s="271"/>
      <c r="AM41" s="271"/>
      <c r="AN41" s="271"/>
      <c r="AO41" s="271"/>
      <c r="AP41" s="271"/>
      <c r="AQ41" s="271"/>
      <c r="AR41" s="271"/>
      <c r="AS41" s="271"/>
      <c r="AT41" s="271"/>
      <c r="AU41" s="271"/>
      <c r="AV41" s="271"/>
      <c r="AW41" s="272"/>
      <c r="AX41" s="273"/>
      <c r="AY41" s="273"/>
      <c r="AZ41" s="273"/>
      <c r="BA41" s="273"/>
      <c r="BB41" s="273"/>
      <c r="BC41" s="274"/>
      <c r="BD41" s="275"/>
      <c r="BE41" s="273"/>
      <c r="BF41" s="273"/>
      <c r="BG41" s="273"/>
      <c r="BH41" s="273"/>
      <c r="BI41" s="273"/>
      <c r="BJ41" s="274"/>
      <c r="BK41" s="240"/>
    </row>
    <row r="42" spans="1:63" ht="15" customHeight="1" x14ac:dyDescent="0.25">
      <c r="A42" s="239"/>
      <c r="B42" s="211"/>
      <c r="C42" s="209"/>
      <c r="D42" s="209"/>
      <c r="E42" s="209"/>
      <c r="F42" s="209"/>
      <c r="G42" s="210"/>
      <c r="H42" s="211"/>
      <c r="I42" s="209"/>
      <c r="J42" s="209"/>
      <c r="K42" s="209"/>
      <c r="L42" s="209"/>
      <c r="M42" s="209"/>
      <c r="N42" s="210"/>
      <c r="O42" s="211"/>
      <c r="P42" s="209"/>
      <c r="Q42" s="209"/>
      <c r="R42" s="209"/>
      <c r="S42" s="264"/>
      <c r="T42" s="265"/>
      <c r="U42" s="265"/>
      <c r="V42" s="265"/>
      <c r="W42" s="265"/>
      <c r="X42" s="265"/>
      <c r="Y42" s="265"/>
      <c r="Z42" s="265"/>
      <c r="AA42" s="265"/>
      <c r="AB42" s="265"/>
      <c r="AC42" s="265"/>
      <c r="AD42" s="265"/>
      <c r="AE42" s="265"/>
      <c r="AF42" s="265"/>
      <c r="AG42" s="265"/>
      <c r="AH42" s="265"/>
      <c r="AI42" s="265"/>
      <c r="AJ42" s="265"/>
      <c r="AK42" s="265"/>
      <c r="AL42" s="265"/>
      <c r="AM42" s="265"/>
      <c r="AN42" s="265"/>
      <c r="AO42" s="265"/>
      <c r="AP42" s="265"/>
      <c r="AQ42" s="265"/>
      <c r="AR42" s="265"/>
      <c r="AS42" s="265"/>
      <c r="AT42" s="265"/>
      <c r="AU42" s="265"/>
      <c r="AV42" s="265"/>
      <c r="AW42" s="266"/>
      <c r="AX42" s="267"/>
      <c r="AY42" s="267"/>
      <c r="AZ42" s="267"/>
      <c r="BA42" s="267"/>
      <c r="BB42" s="267"/>
      <c r="BC42" s="268"/>
      <c r="BD42" s="269"/>
      <c r="BE42" s="267"/>
      <c r="BF42" s="267"/>
      <c r="BG42" s="267"/>
      <c r="BH42" s="267"/>
      <c r="BI42" s="267"/>
      <c r="BJ42" s="268"/>
      <c r="BK42" s="240"/>
    </row>
    <row r="43" spans="1:63" ht="15" customHeight="1" x14ac:dyDescent="0.25">
      <c r="A43" s="239"/>
      <c r="B43" s="221"/>
      <c r="C43" s="222"/>
      <c r="D43" s="222"/>
      <c r="E43" s="222"/>
      <c r="F43" s="222"/>
      <c r="G43" s="223"/>
      <c r="H43" s="221"/>
      <c r="I43" s="222"/>
      <c r="J43" s="222"/>
      <c r="K43" s="222"/>
      <c r="L43" s="222"/>
      <c r="M43" s="222"/>
      <c r="N43" s="223"/>
      <c r="O43" s="221"/>
      <c r="P43" s="222"/>
      <c r="Q43" s="222"/>
      <c r="R43" s="222"/>
      <c r="S43" s="270"/>
      <c r="T43" s="271"/>
      <c r="U43" s="271"/>
      <c r="V43" s="271"/>
      <c r="W43" s="271"/>
      <c r="X43" s="271"/>
      <c r="Y43" s="271"/>
      <c r="Z43" s="271"/>
      <c r="AA43" s="271"/>
      <c r="AB43" s="271"/>
      <c r="AC43" s="271"/>
      <c r="AD43" s="271"/>
      <c r="AE43" s="271"/>
      <c r="AF43" s="271"/>
      <c r="AG43" s="271"/>
      <c r="AH43" s="271"/>
      <c r="AI43" s="271"/>
      <c r="AJ43" s="271"/>
      <c r="AK43" s="271"/>
      <c r="AL43" s="271"/>
      <c r="AM43" s="271"/>
      <c r="AN43" s="271"/>
      <c r="AO43" s="271"/>
      <c r="AP43" s="271"/>
      <c r="AQ43" s="271"/>
      <c r="AR43" s="271"/>
      <c r="AS43" s="271"/>
      <c r="AT43" s="271"/>
      <c r="AU43" s="271"/>
      <c r="AV43" s="271"/>
      <c r="AW43" s="272"/>
      <c r="AX43" s="273"/>
      <c r="AY43" s="273"/>
      <c r="AZ43" s="273"/>
      <c r="BA43" s="273"/>
      <c r="BB43" s="273"/>
      <c r="BC43" s="274"/>
      <c r="BD43" s="275"/>
      <c r="BE43" s="273"/>
      <c r="BF43" s="273"/>
      <c r="BG43" s="273"/>
      <c r="BH43" s="273"/>
      <c r="BI43" s="273"/>
      <c r="BJ43" s="274"/>
      <c r="BK43" s="240"/>
    </row>
    <row r="44" spans="1:63" ht="15" customHeight="1" x14ac:dyDescent="0.25">
      <c r="A44" s="239"/>
      <c r="B44" s="211"/>
      <c r="C44" s="209"/>
      <c r="D44" s="209"/>
      <c r="E44" s="209"/>
      <c r="F44" s="209"/>
      <c r="G44" s="210"/>
      <c r="H44" s="211"/>
      <c r="I44" s="209"/>
      <c r="J44" s="209"/>
      <c r="K44" s="209"/>
      <c r="L44" s="209"/>
      <c r="M44" s="209"/>
      <c r="N44" s="210"/>
      <c r="O44" s="211"/>
      <c r="P44" s="209"/>
      <c r="Q44" s="209"/>
      <c r="R44" s="209"/>
      <c r="S44" s="264"/>
      <c r="T44" s="265"/>
      <c r="U44" s="265"/>
      <c r="V44" s="265"/>
      <c r="W44" s="265"/>
      <c r="X44" s="265"/>
      <c r="Y44" s="265"/>
      <c r="Z44" s="265"/>
      <c r="AA44" s="265"/>
      <c r="AB44" s="265"/>
      <c r="AC44" s="265"/>
      <c r="AD44" s="265"/>
      <c r="AE44" s="265"/>
      <c r="AF44" s="265"/>
      <c r="AG44" s="265"/>
      <c r="AH44" s="265"/>
      <c r="AI44" s="265"/>
      <c r="AJ44" s="265"/>
      <c r="AK44" s="265"/>
      <c r="AL44" s="265"/>
      <c r="AM44" s="265"/>
      <c r="AN44" s="265"/>
      <c r="AO44" s="265"/>
      <c r="AP44" s="265"/>
      <c r="AQ44" s="265"/>
      <c r="AR44" s="265"/>
      <c r="AS44" s="265"/>
      <c r="AT44" s="265"/>
      <c r="AU44" s="265"/>
      <c r="AV44" s="265"/>
      <c r="AW44" s="266"/>
      <c r="AX44" s="267"/>
      <c r="AY44" s="267"/>
      <c r="AZ44" s="267"/>
      <c r="BA44" s="267"/>
      <c r="BB44" s="267"/>
      <c r="BC44" s="268"/>
      <c r="BD44" s="269"/>
      <c r="BE44" s="267"/>
      <c r="BF44" s="267"/>
      <c r="BG44" s="267"/>
      <c r="BH44" s="267"/>
      <c r="BI44" s="267"/>
      <c r="BJ44" s="268"/>
      <c r="BK44" s="240"/>
    </row>
    <row r="45" spans="1:63" ht="15" customHeight="1" x14ac:dyDescent="0.25">
      <c r="A45" s="239"/>
      <c r="B45" s="221"/>
      <c r="C45" s="222"/>
      <c r="D45" s="222"/>
      <c r="E45" s="222"/>
      <c r="F45" s="222"/>
      <c r="G45" s="223"/>
      <c r="H45" s="221"/>
      <c r="I45" s="222"/>
      <c r="J45" s="222"/>
      <c r="K45" s="222"/>
      <c r="L45" s="222"/>
      <c r="M45" s="222"/>
      <c r="N45" s="223"/>
      <c r="O45" s="221"/>
      <c r="P45" s="222"/>
      <c r="Q45" s="222"/>
      <c r="R45" s="222"/>
      <c r="S45" s="270"/>
      <c r="T45" s="271"/>
      <c r="U45" s="271"/>
      <c r="V45" s="271"/>
      <c r="W45" s="271"/>
      <c r="X45" s="271"/>
      <c r="Y45" s="271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271"/>
      <c r="AO45" s="271"/>
      <c r="AP45" s="271"/>
      <c r="AQ45" s="271"/>
      <c r="AR45" s="271"/>
      <c r="AS45" s="271"/>
      <c r="AT45" s="271"/>
      <c r="AU45" s="271"/>
      <c r="AV45" s="271"/>
      <c r="AW45" s="272"/>
      <c r="AX45" s="273"/>
      <c r="AY45" s="273"/>
      <c r="AZ45" s="273"/>
      <c r="BA45" s="273"/>
      <c r="BB45" s="273"/>
      <c r="BC45" s="274"/>
      <c r="BD45" s="275"/>
      <c r="BE45" s="273"/>
      <c r="BF45" s="273"/>
      <c r="BG45" s="273"/>
      <c r="BH45" s="273"/>
      <c r="BI45" s="273"/>
      <c r="BJ45" s="274"/>
      <c r="BK45" s="240"/>
    </row>
    <row r="46" spans="1:63" ht="15" customHeight="1" x14ac:dyDescent="0.25">
      <c r="A46" s="239"/>
      <c r="B46" s="211"/>
      <c r="C46" s="209"/>
      <c r="D46" s="209"/>
      <c r="E46" s="209"/>
      <c r="F46" s="209"/>
      <c r="G46" s="210"/>
      <c r="H46" s="211"/>
      <c r="I46" s="209"/>
      <c r="J46" s="209"/>
      <c r="K46" s="209"/>
      <c r="L46" s="209"/>
      <c r="M46" s="209"/>
      <c r="N46" s="210"/>
      <c r="O46" s="211"/>
      <c r="P46" s="209"/>
      <c r="Q46" s="209"/>
      <c r="R46" s="209"/>
      <c r="S46" s="264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65"/>
      <c r="AE46" s="265"/>
      <c r="AF46" s="265"/>
      <c r="AG46" s="265"/>
      <c r="AH46" s="265"/>
      <c r="AI46" s="265"/>
      <c r="AJ46" s="265"/>
      <c r="AK46" s="265"/>
      <c r="AL46" s="265"/>
      <c r="AM46" s="265"/>
      <c r="AN46" s="265"/>
      <c r="AO46" s="265"/>
      <c r="AP46" s="265"/>
      <c r="AQ46" s="265"/>
      <c r="AR46" s="265"/>
      <c r="AS46" s="265"/>
      <c r="AT46" s="265"/>
      <c r="AU46" s="265"/>
      <c r="AV46" s="265"/>
      <c r="AW46" s="266"/>
      <c r="AX46" s="267"/>
      <c r="AY46" s="267"/>
      <c r="AZ46" s="267"/>
      <c r="BA46" s="267"/>
      <c r="BB46" s="267"/>
      <c r="BC46" s="268"/>
      <c r="BD46" s="269"/>
      <c r="BE46" s="267"/>
      <c r="BF46" s="267"/>
      <c r="BG46" s="267"/>
      <c r="BH46" s="267"/>
      <c r="BI46" s="267"/>
      <c r="BJ46" s="268"/>
      <c r="BK46" s="240"/>
    </row>
    <row r="47" spans="1:63" ht="15" customHeight="1" x14ac:dyDescent="0.25">
      <c r="A47" s="239"/>
      <c r="B47" s="221"/>
      <c r="C47" s="222"/>
      <c r="D47" s="222"/>
      <c r="E47" s="222"/>
      <c r="F47" s="222"/>
      <c r="G47" s="223"/>
      <c r="H47" s="221"/>
      <c r="I47" s="222"/>
      <c r="J47" s="222"/>
      <c r="K47" s="222"/>
      <c r="L47" s="222"/>
      <c r="M47" s="222"/>
      <c r="N47" s="223"/>
      <c r="O47" s="221"/>
      <c r="P47" s="222"/>
      <c r="Q47" s="222"/>
      <c r="R47" s="222"/>
      <c r="S47" s="270"/>
      <c r="T47" s="271"/>
      <c r="U47" s="271"/>
      <c r="V47" s="271"/>
      <c r="W47" s="271"/>
      <c r="X47" s="271"/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1"/>
      <c r="AO47" s="271"/>
      <c r="AP47" s="271"/>
      <c r="AQ47" s="271"/>
      <c r="AR47" s="271"/>
      <c r="AS47" s="271"/>
      <c r="AT47" s="271"/>
      <c r="AU47" s="271"/>
      <c r="AV47" s="271"/>
      <c r="AW47" s="272"/>
      <c r="AX47" s="273"/>
      <c r="AY47" s="273"/>
      <c r="AZ47" s="273"/>
      <c r="BA47" s="273"/>
      <c r="BB47" s="273"/>
      <c r="BC47" s="274"/>
      <c r="BD47" s="275"/>
      <c r="BE47" s="273"/>
      <c r="BF47" s="273"/>
      <c r="BG47" s="273"/>
      <c r="BH47" s="273"/>
      <c r="BI47" s="273"/>
      <c r="BJ47" s="274"/>
      <c r="BK47" s="240"/>
    </row>
    <row r="48" spans="1:63" ht="15" customHeight="1" x14ac:dyDescent="0.25">
      <c r="A48" s="239"/>
      <c r="B48" s="211"/>
      <c r="C48" s="209"/>
      <c r="D48" s="209"/>
      <c r="E48" s="209"/>
      <c r="F48" s="209"/>
      <c r="G48" s="210"/>
      <c r="H48" s="211"/>
      <c r="I48" s="209"/>
      <c r="J48" s="209"/>
      <c r="K48" s="209"/>
      <c r="L48" s="209"/>
      <c r="M48" s="209"/>
      <c r="N48" s="210"/>
      <c r="O48" s="211"/>
      <c r="P48" s="209"/>
      <c r="Q48" s="209"/>
      <c r="R48" s="209"/>
      <c r="S48" s="264"/>
      <c r="T48" s="265"/>
      <c r="U48" s="265"/>
      <c r="V48" s="265"/>
      <c r="W48" s="265"/>
      <c r="X48" s="265"/>
      <c r="Y48" s="265"/>
      <c r="Z48" s="265"/>
      <c r="AA48" s="265"/>
      <c r="AB48" s="265"/>
      <c r="AC48" s="265"/>
      <c r="AD48" s="265"/>
      <c r="AE48" s="265"/>
      <c r="AF48" s="265"/>
      <c r="AG48" s="265"/>
      <c r="AH48" s="265"/>
      <c r="AI48" s="265"/>
      <c r="AJ48" s="265"/>
      <c r="AK48" s="265"/>
      <c r="AL48" s="265"/>
      <c r="AM48" s="265"/>
      <c r="AN48" s="265"/>
      <c r="AO48" s="265"/>
      <c r="AP48" s="265"/>
      <c r="AQ48" s="265"/>
      <c r="AR48" s="265"/>
      <c r="AS48" s="265"/>
      <c r="AT48" s="265"/>
      <c r="AU48" s="265"/>
      <c r="AV48" s="265"/>
      <c r="AW48" s="266"/>
      <c r="AX48" s="267"/>
      <c r="AY48" s="267"/>
      <c r="AZ48" s="267"/>
      <c r="BA48" s="267"/>
      <c r="BB48" s="267"/>
      <c r="BC48" s="268"/>
      <c r="BD48" s="269"/>
      <c r="BE48" s="267"/>
      <c r="BF48" s="267"/>
      <c r="BG48" s="267"/>
      <c r="BH48" s="267"/>
      <c r="BI48" s="267"/>
      <c r="BJ48" s="268"/>
      <c r="BK48" s="240"/>
    </row>
    <row r="49" spans="1:63" ht="15" customHeight="1" x14ac:dyDescent="0.25">
      <c r="A49" s="239"/>
      <c r="B49" s="221"/>
      <c r="C49" s="222"/>
      <c r="D49" s="222"/>
      <c r="E49" s="222"/>
      <c r="F49" s="222"/>
      <c r="G49" s="223"/>
      <c r="H49" s="221"/>
      <c r="I49" s="222"/>
      <c r="J49" s="222"/>
      <c r="K49" s="222"/>
      <c r="L49" s="222"/>
      <c r="M49" s="222"/>
      <c r="N49" s="223"/>
      <c r="O49" s="221"/>
      <c r="P49" s="222"/>
      <c r="Q49" s="222"/>
      <c r="R49" s="222"/>
      <c r="S49" s="270"/>
      <c r="T49" s="271"/>
      <c r="U49" s="271"/>
      <c r="V49" s="271"/>
      <c r="W49" s="271"/>
      <c r="X49" s="271"/>
      <c r="Y49" s="271"/>
      <c r="Z49" s="271"/>
      <c r="AA49" s="271"/>
      <c r="AB49" s="271"/>
      <c r="AC49" s="271"/>
      <c r="AD49" s="271"/>
      <c r="AE49" s="271"/>
      <c r="AF49" s="271"/>
      <c r="AG49" s="271"/>
      <c r="AH49" s="271"/>
      <c r="AI49" s="271"/>
      <c r="AJ49" s="271"/>
      <c r="AK49" s="271"/>
      <c r="AL49" s="271"/>
      <c r="AM49" s="271"/>
      <c r="AN49" s="271"/>
      <c r="AO49" s="271"/>
      <c r="AP49" s="271"/>
      <c r="AQ49" s="271"/>
      <c r="AR49" s="271"/>
      <c r="AS49" s="271"/>
      <c r="AT49" s="271"/>
      <c r="AU49" s="271"/>
      <c r="AV49" s="271"/>
      <c r="AW49" s="272"/>
      <c r="AX49" s="273"/>
      <c r="AY49" s="273"/>
      <c r="AZ49" s="273"/>
      <c r="BA49" s="273"/>
      <c r="BB49" s="273"/>
      <c r="BC49" s="274"/>
      <c r="BD49" s="275"/>
      <c r="BE49" s="273"/>
      <c r="BF49" s="273"/>
      <c r="BG49" s="273"/>
      <c r="BH49" s="273"/>
      <c r="BI49" s="273"/>
      <c r="BJ49" s="274"/>
      <c r="BK49" s="240"/>
    </row>
    <row r="50" spans="1:63" ht="15" customHeight="1" x14ac:dyDescent="0.25">
      <c r="A50" s="239"/>
      <c r="B50" s="211"/>
      <c r="C50" s="209"/>
      <c r="D50" s="209"/>
      <c r="E50" s="209"/>
      <c r="F50" s="209"/>
      <c r="G50" s="210"/>
      <c r="H50" s="211"/>
      <c r="I50" s="209"/>
      <c r="J50" s="209"/>
      <c r="K50" s="209"/>
      <c r="L50" s="209"/>
      <c r="M50" s="209"/>
      <c r="N50" s="210"/>
      <c r="O50" s="211"/>
      <c r="P50" s="209"/>
      <c r="Q50" s="209"/>
      <c r="R50" s="209"/>
      <c r="S50" s="264"/>
      <c r="T50" s="265"/>
      <c r="U50" s="265"/>
      <c r="V50" s="265"/>
      <c r="W50" s="265"/>
      <c r="X50" s="265"/>
      <c r="Y50" s="265"/>
      <c r="Z50" s="265"/>
      <c r="AA50" s="265"/>
      <c r="AB50" s="265"/>
      <c r="AC50" s="265"/>
      <c r="AD50" s="265"/>
      <c r="AE50" s="265"/>
      <c r="AF50" s="265"/>
      <c r="AG50" s="265"/>
      <c r="AH50" s="265"/>
      <c r="AI50" s="265"/>
      <c r="AJ50" s="265"/>
      <c r="AK50" s="265"/>
      <c r="AL50" s="265"/>
      <c r="AM50" s="265"/>
      <c r="AN50" s="265"/>
      <c r="AO50" s="265"/>
      <c r="AP50" s="265"/>
      <c r="AQ50" s="265"/>
      <c r="AR50" s="265"/>
      <c r="AS50" s="265"/>
      <c r="AT50" s="265"/>
      <c r="AU50" s="265"/>
      <c r="AV50" s="265"/>
      <c r="AW50" s="266"/>
      <c r="AX50" s="267"/>
      <c r="AY50" s="267"/>
      <c r="AZ50" s="267"/>
      <c r="BA50" s="267"/>
      <c r="BB50" s="267"/>
      <c r="BC50" s="268"/>
      <c r="BD50" s="269"/>
      <c r="BE50" s="267"/>
      <c r="BF50" s="267"/>
      <c r="BG50" s="267"/>
      <c r="BH50" s="267"/>
      <c r="BI50" s="267"/>
      <c r="BJ50" s="268"/>
      <c r="BK50" s="240"/>
    </row>
    <row r="51" spans="1:63" ht="15" customHeight="1" x14ac:dyDescent="0.25">
      <c r="A51" s="239"/>
      <c r="B51" s="221"/>
      <c r="C51" s="222"/>
      <c r="D51" s="222"/>
      <c r="E51" s="222"/>
      <c r="F51" s="222"/>
      <c r="G51" s="223"/>
      <c r="H51" s="221"/>
      <c r="I51" s="222"/>
      <c r="J51" s="222"/>
      <c r="K51" s="222"/>
      <c r="L51" s="222"/>
      <c r="M51" s="222"/>
      <c r="N51" s="223"/>
      <c r="O51" s="221"/>
      <c r="P51" s="222"/>
      <c r="Q51" s="222"/>
      <c r="R51" s="222"/>
      <c r="S51" s="270"/>
      <c r="T51" s="271"/>
      <c r="U51" s="271"/>
      <c r="V51" s="271"/>
      <c r="W51" s="271"/>
      <c r="X51" s="271"/>
      <c r="Y51" s="271"/>
      <c r="Z51" s="271"/>
      <c r="AA51" s="271"/>
      <c r="AB51" s="271"/>
      <c r="AC51" s="271"/>
      <c r="AD51" s="271"/>
      <c r="AE51" s="271"/>
      <c r="AF51" s="271"/>
      <c r="AG51" s="271"/>
      <c r="AH51" s="271"/>
      <c r="AI51" s="271"/>
      <c r="AJ51" s="271"/>
      <c r="AK51" s="271"/>
      <c r="AL51" s="271"/>
      <c r="AM51" s="271"/>
      <c r="AN51" s="271"/>
      <c r="AO51" s="271"/>
      <c r="AP51" s="271"/>
      <c r="AQ51" s="271"/>
      <c r="AR51" s="271"/>
      <c r="AS51" s="271"/>
      <c r="AT51" s="271"/>
      <c r="AU51" s="271"/>
      <c r="AV51" s="271"/>
      <c r="AW51" s="272"/>
      <c r="AX51" s="273"/>
      <c r="AY51" s="273"/>
      <c r="AZ51" s="273"/>
      <c r="BA51" s="273"/>
      <c r="BB51" s="273"/>
      <c r="BC51" s="274"/>
      <c r="BD51" s="275"/>
      <c r="BE51" s="273"/>
      <c r="BF51" s="273"/>
      <c r="BG51" s="273"/>
      <c r="BH51" s="273"/>
      <c r="BI51" s="273"/>
      <c r="BJ51" s="274"/>
      <c r="BK51" s="240"/>
    </row>
    <row r="52" spans="1:63" ht="15" customHeight="1" x14ac:dyDescent="0.25">
      <c r="A52" s="239"/>
      <c r="B52" s="211"/>
      <c r="C52" s="209"/>
      <c r="D52" s="209"/>
      <c r="E52" s="209"/>
      <c r="F52" s="209"/>
      <c r="G52" s="210"/>
      <c r="H52" s="211"/>
      <c r="I52" s="209"/>
      <c r="J52" s="209"/>
      <c r="K52" s="209"/>
      <c r="L52" s="209"/>
      <c r="M52" s="209"/>
      <c r="N52" s="210"/>
      <c r="O52" s="211"/>
      <c r="P52" s="209"/>
      <c r="Q52" s="209"/>
      <c r="R52" s="209"/>
      <c r="S52" s="264"/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65"/>
      <c r="AE52" s="265"/>
      <c r="AF52" s="265"/>
      <c r="AG52" s="265"/>
      <c r="AH52" s="265"/>
      <c r="AI52" s="265"/>
      <c r="AJ52" s="265"/>
      <c r="AK52" s="265"/>
      <c r="AL52" s="265"/>
      <c r="AM52" s="265"/>
      <c r="AN52" s="265"/>
      <c r="AO52" s="265"/>
      <c r="AP52" s="265"/>
      <c r="AQ52" s="265"/>
      <c r="AR52" s="265"/>
      <c r="AS52" s="265"/>
      <c r="AT52" s="265"/>
      <c r="AU52" s="265"/>
      <c r="AV52" s="265"/>
      <c r="AW52" s="266"/>
      <c r="AX52" s="267"/>
      <c r="AY52" s="267"/>
      <c r="AZ52" s="267"/>
      <c r="BA52" s="267"/>
      <c r="BB52" s="267"/>
      <c r="BC52" s="268"/>
      <c r="BD52" s="269"/>
      <c r="BE52" s="267"/>
      <c r="BF52" s="267"/>
      <c r="BG52" s="267"/>
      <c r="BH52" s="267"/>
      <c r="BI52" s="267"/>
      <c r="BJ52" s="268"/>
      <c r="BK52" s="240"/>
    </row>
    <row r="53" spans="1:63" ht="15" customHeight="1" x14ac:dyDescent="0.25">
      <c r="A53" s="239"/>
      <c r="B53" s="221"/>
      <c r="C53" s="222"/>
      <c r="D53" s="222"/>
      <c r="E53" s="222"/>
      <c r="F53" s="222"/>
      <c r="G53" s="223"/>
      <c r="H53" s="221"/>
      <c r="I53" s="222"/>
      <c r="J53" s="222"/>
      <c r="K53" s="222"/>
      <c r="L53" s="222"/>
      <c r="M53" s="222"/>
      <c r="N53" s="223"/>
      <c r="O53" s="221"/>
      <c r="P53" s="222"/>
      <c r="Q53" s="222"/>
      <c r="R53" s="222"/>
      <c r="S53" s="270"/>
      <c r="T53" s="271"/>
      <c r="U53" s="271"/>
      <c r="V53" s="271"/>
      <c r="W53" s="271"/>
      <c r="X53" s="271"/>
      <c r="Y53" s="271"/>
      <c r="Z53" s="271"/>
      <c r="AA53" s="271"/>
      <c r="AB53" s="271"/>
      <c r="AC53" s="271"/>
      <c r="AD53" s="271"/>
      <c r="AE53" s="271"/>
      <c r="AF53" s="271"/>
      <c r="AG53" s="271"/>
      <c r="AH53" s="271"/>
      <c r="AI53" s="271"/>
      <c r="AJ53" s="271"/>
      <c r="AK53" s="271"/>
      <c r="AL53" s="271"/>
      <c r="AM53" s="271"/>
      <c r="AN53" s="271"/>
      <c r="AO53" s="271"/>
      <c r="AP53" s="271"/>
      <c r="AQ53" s="271"/>
      <c r="AR53" s="271"/>
      <c r="AS53" s="271"/>
      <c r="AT53" s="271"/>
      <c r="AU53" s="271"/>
      <c r="AV53" s="271"/>
      <c r="AW53" s="272"/>
      <c r="AX53" s="273"/>
      <c r="AY53" s="273"/>
      <c r="AZ53" s="273"/>
      <c r="BA53" s="273"/>
      <c r="BB53" s="273"/>
      <c r="BC53" s="274"/>
      <c r="BD53" s="275"/>
      <c r="BE53" s="273"/>
      <c r="BF53" s="273"/>
      <c r="BG53" s="273"/>
      <c r="BH53" s="273"/>
      <c r="BI53" s="273"/>
      <c r="BJ53" s="274"/>
      <c r="BK53" s="240"/>
    </row>
    <row r="54" spans="1:63" ht="15" customHeight="1" x14ac:dyDescent="0.25">
      <c r="A54" s="239"/>
      <c r="B54" s="211"/>
      <c r="C54" s="209"/>
      <c r="D54" s="209"/>
      <c r="E54" s="209"/>
      <c r="F54" s="209"/>
      <c r="G54" s="210"/>
      <c r="H54" s="211"/>
      <c r="I54" s="209"/>
      <c r="J54" s="209"/>
      <c r="K54" s="209"/>
      <c r="L54" s="209"/>
      <c r="M54" s="209"/>
      <c r="N54" s="210"/>
      <c r="O54" s="211"/>
      <c r="P54" s="209"/>
      <c r="Q54" s="209"/>
      <c r="R54" s="209"/>
      <c r="S54" s="264"/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65"/>
      <c r="AE54" s="265"/>
      <c r="AF54" s="265"/>
      <c r="AG54" s="265"/>
      <c r="AH54" s="265"/>
      <c r="AI54" s="265"/>
      <c r="AJ54" s="265"/>
      <c r="AK54" s="265"/>
      <c r="AL54" s="265"/>
      <c r="AM54" s="265"/>
      <c r="AN54" s="265"/>
      <c r="AO54" s="265"/>
      <c r="AP54" s="265"/>
      <c r="AQ54" s="265"/>
      <c r="AR54" s="265"/>
      <c r="AS54" s="265"/>
      <c r="AT54" s="265"/>
      <c r="AU54" s="265"/>
      <c r="AV54" s="265"/>
      <c r="AW54" s="266"/>
      <c r="AX54" s="267"/>
      <c r="AY54" s="267"/>
      <c r="AZ54" s="267"/>
      <c r="BA54" s="267"/>
      <c r="BB54" s="267"/>
      <c r="BC54" s="268"/>
      <c r="BD54" s="269"/>
      <c r="BE54" s="267"/>
      <c r="BF54" s="267"/>
      <c r="BG54" s="267"/>
      <c r="BH54" s="267"/>
      <c r="BI54" s="267"/>
      <c r="BJ54" s="268"/>
      <c r="BK54" s="240"/>
    </row>
    <row r="55" spans="1:63" ht="15" customHeight="1" x14ac:dyDescent="0.25">
      <c r="A55" s="239"/>
      <c r="B55" s="221"/>
      <c r="C55" s="222"/>
      <c r="D55" s="222"/>
      <c r="E55" s="222"/>
      <c r="F55" s="222"/>
      <c r="G55" s="223"/>
      <c r="H55" s="221"/>
      <c r="I55" s="222"/>
      <c r="J55" s="222"/>
      <c r="K55" s="222"/>
      <c r="L55" s="222"/>
      <c r="M55" s="222"/>
      <c r="N55" s="223"/>
      <c r="O55" s="221"/>
      <c r="P55" s="222"/>
      <c r="Q55" s="222"/>
      <c r="R55" s="222"/>
      <c r="S55" s="270"/>
      <c r="T55" s="271"/>
      <c r="U55" s="271"/>
      <c r="V55" s="271"/>
      <c r="W55" s="271"/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1"/>
      <c r="AN55" s="271"/>
      <c r="AO55" s="271"/>
      <c r="AP55" s="271"/>
      <c r="AQ55" s="271"/>
      <c r="AR55" s="271"/>
      <c r="AS55" s="271"/>
      <c r="AT55" s="271"/>
      <c r="AU55" s="271"/>
      <c r="AV55" s="271"/>
      <c r="AW55" s="272"/>
      <c r="AX55" s="273"/>
      <c r="AY55" s="273"/>
      <c r="AZ55" s="273"/>
      <c r="BA55" s="273"/>
      <c r="BB55" s="273"/>
      <c r="BC55" s="274"/>
      <c r="BD55" s="275"/>
      <c r="BE55" s="273"/>
      <c r="BF55" s="273"/>
      <c r="BG55" s="273"/>
      <c r="BH55" s="273"/>
      <c r="BI55" s="273"/>
      <c r="BJ55" s="274"/>
      <c r="BK55" s="240"/>
    </row>
    <row r="56" spans="1:63" ht="15" customHeight="1" x14ac:dyDescent="0.25">
      <c r="A56" s="236"/>
      <c r="B56" s="237"/>
      <c r="C56" s="237"/>
      <c r="D56" s="237"/>
      <c r="E56" s="237"/>
      <c r="F56" s="237"/>
      <c r="G56" s="237"/>
      <c r="H56" s="237"/>
      <c r="I56" s="237"/>
      <c r="J56" s="237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  <c r="AA56" s="237"/>
      <c r="AB56" s="237"/>
      <c r="AC56" s="237"/>
      <c r="AD56" s="237"/>
      <c r="AE56" s="237"/>
      <c r="AF56" s="237"/>
      <c r="AG56" s="237"/>
      <c r="AH56" s="237"/>
      <c r="AI56" s="237"/>
      <c r="AJ56" s="237"/>
      <c r="AK56" s="237"/>
      <c r="AL56" s="237"/>
      <c r="AM56" s="237"/>
      <c r="AN56" s="237"/>
      <c r="AO56" s="237"/>
      <c r="AP56" s="237"/>
      <c r="AQ56" s="237"/>
      <c r="AR56" s="237"/>
      <c r="AS56" s="237"/>
      <c r="AT56" s="237"/>
      <c r="AU56" s="237"/>
      <c r="AV56" s="237"/>
      <c r="AW56" s="237"/>
      <c r="AX56" s="237"/>
      <c r="AY56" s="237"/>
      <c r="AZ56" s="237"/>
      <c r="BA56" s="237"/>
      <c r="BB56" s="237"/>
      <c r="BC56" s="237"/>
      <c r="BD56" s="237"/>
      <c r="BE56" s="237"/>
      <c r="BF56" s="237"/>
      <c r="BG56" s="237"/>
      <c r="BH56" s="237"/>
      <c r="BI56" s="237"/>
      <c r="BJ56" s="237"/>
      <c r="BK56" s="238"/>
    </row>
  </sheetData>
  <mergeCells count="181">
    <mergeCell ref="B50:G51"/>
    <mergeCell ref="H50:N51"/>
    <mergeCell ref="O50:R51"/>
    <mergeCell ref="S50:AW50"/>
    <mergeCell ref="AX50:BC51"/>
    <mergeCell ref="BD50:BJ51"/>
    <mergeCell ref="S51:AW51"/>
    <mergeCell ref="B48:G49"/>
    <mergeCell ref="H48:N49"/>
    <mergeCell ref="O48:R49"/>
    <mergeCell ref="S48:AW48"/>
    <mergeCell ref="AX48:BC49"/>
    <mergeCell ref="BD48:BJ49"/>
    <mergeCell ref="S49:AW49"/>
    <mergeCell ref="B54:G55"/>
    <mergeCell ref="H54:N55"/>
    <mergeCell ref="O54:R55"/>
    <mergeCell ref="S54:AW54"/>
    <mergeCell ref="AX54:BC55"/>
    <mergeCell ref="BD54:BJ55"/>
    <mergeCell ref="S55:AW55"/>
    <mergeCell ref="B52:G53"/>
    <mergeCell ref="H52:N53"/>
    <mergeCell ref="O52:R53"/>
    <mergeCell ref="S52:AW52"/>
    <mergeCell ref="AX52:BC53"/>
    <mergeCell ref="BD52:BJ53"/>
    <mergeCell ref="S53:AW53"/>
    <mergeCell ref="B46:G47"/>
    <mergeCell ref="H46:N47"/>
    <mergeCell ref="O46:R47"/>
    <mergeCell ref="S46:AW46"/>
    <mergeCell ref="AX46:BC47"/>
    <mergeCell ref="BD46:BJ47"/>
    <mergeCell ref="S47:AW47"/>
    <mergeCell ref="B44:G45"/>
    <mergeCell ref="H44:N45"/>
    <mergeCell ref="O44:R45"/>
    <mergeCell ref="S44:AW44"/>
    <mergeCell ref="AX44:BC45"/>
    <mergeCell ref="BD44:BJ45"/>
    <mergeCell ref="S45:AW45"/>
    <mergeCell ref="B42:G43"/>
    <mergeCell ref="H42:N43"/>
    <mergeCell ref="O42:R43"/>
    <mergeCell ref="S42:AW42"/>
    <mergeCell ref="AX42:BC43"/>
    <mergeCell ref="BD42:BJ43"/>
    <mergeCell ref="S43:AW43"/>
    <mergeCell ref="B40:G41"/>
    <mergeCell ref="H40:N41"/>
    <mergeCell ref="O40:R41"/>
    <mergeCell ref="S40:AW40"/>
    <mergeCell ref="AX40:BC41"/>
    <mergeCell ref="BD40:BJ41"/>
    <mergeCell ref="S41:AW41"/>
    <mergeCell ref="B38:G39"/>
    <mergeCell ref="H38:N39"/>
    <mergeCell ref="O38:R39"/>
    <mergeCell ref="S38:AW38"/>
    <mergeCell ref="AX38:BC39"/>
    <mergeCell ref="BD38:BJ39"/>
    <mergeCell ref="S39:AW39"/>
    <mergeCell ref="B36:G37"/>
    <mergeCell ref="H36:N37"/>
    <mergeCell ref="O36:R37"/>
    <mergeCell ref="S36:AW36"/>
    <mergeCell ref="AX36:BC37"/>
    <mergeCell ref="BD36:BJ37"/>
    <mergeCell ref="S37:AW37"/>
    <mergeCell ref="B34:G35"/>
    <mergeCell ref="H34:N35"/>
    <mergeCell ref="O34:R35"/>
    <mergeCell ref="S34:AW34"/>
    <mergeCell ref="AX34:BC35"/>
    <mergeCell ref="BD34:BJ35"/>
    <mergeCell ref="S35:AW35"/>
    <mergeCell ref="B32:G33"/>
    <mergeCell ref="H32:N33"/>
    <mergeCell ref="O32:R33"/>
    <mergeCell ref="S32:AW32"/>
    <mergeCell ref="AX32:BC33"/>
    <mergeCell ref="BD32:BJ33"/>
    <mergeCell ref="S33:AW33"/>
    <mergeCell ref="B30:G31"/>
    <mergeCell ref="H30:N31"/>
    <mergeCell ref="O30:R31"/>
    <mergeCell ref="S30:AW30"/>
    <mergeCell ref="AX30:BC31"/>
    <mergeCell ref="BD30:BJ31"/>
    <mergeCell ref="S31:AW31"/>
    <mergeCell ref="B28:G29"/>
    <mergeCell ref="H28:N29"/>
    <mergeCell ref="O28:R29"/>
    <mergeCell ref="S28:AW28"/>
    <mergeCell ref="AX28:BC29"/>
    <mergeCell ref="BD28:BJ29"/>
    <mergeCell ref="S29:AW29"/>
    <mergeCell ref="B26:G27"/>
    <mergeCell ref="H26:N27"/>
    <mergeCell ref="O26:R27"/>
    <mergeCell ref="S26:AW26"/>
    <mergeCell ref="AX26:BC27"/>
    <mergeCell ref="BD26:BJ27"/>
    <mergeCell ref="S27:AW27"/>
    <mergeCell ref="B24:G25"/>
    <mergeCell ref="H24:N25"/>
    <mergeCell ref="O24:R25"/>
    <mergeCell ref="S24:AW24"/>
    <mergeCell ref="AX24:BC25"/>
    <mergeCell ref="BD24:BJ25"/>
    <mergeCell ref="S25:AW25"/>
    <mergeCell ref="B22:G23"/>
    <mergeCell ref="H22:N23"/>
    <mergeCell ref="O22:R23"/>
    <mergeCell ref="S22:AW22"/>
    <mergeCell ref="AX22:BC23"/>
    <mergeCell ref="BD22:BJ23"/>
    <mergeCell ref="S23:AW23"/>
    <mergeCell ref="BD20:BJ21"/>
    <mergeCell ref="S21:AW21"/>
    <mergeCell ref="B20:G21"/>
    <mergeCell ref="H20:N21"/>
    <mergeCell ref="O20:R21"/>
    <mergeCell ref="S20:AW20"/>
    <mergeCell ref="AX20:BC21"/>
    <mergeCell ref="BD10:BJ10"/>
    <mergeCell ref="AX10:BC10"/>
    <mergeCell ref="S10:AW10"/>
    <mergeCell ref="O10:R10"/>
    <mergeCell ref="H10:N10"/>
    <mergeCell ref="B10:G10"/>
    <mergeCell ref="BD11:BJ12"/>
    <mergeCell ref="AX11:BC12"/>
    <mergeCell ref="S12:AW12"/>
    <mergeCell ref="S11:AW11"/>
    <mergeCell ref="O11:R12"/>
    <mergeCell ref="H11:N12"/>
    <mergeCell ref="B11:G12"/>
    <mergeCell ref="B18:G19"/>
    <mergeCell ref="H18:N19"/>
    <mergeCell ref="O18:R19"/>
    <mergeCell ref="S18:AW18"/>
    <mergeCell ref="AX18:BC19"/>
    <mergeCell ref="BD18:BJ19"/>
    <mergeCell ref="S19:AW19"/>
    <mergeCell ref="BD13:BJ14"/>
    <mergeCell ref="S14:AW14"/>
    <mergeCell ref="B15:G17"/>
    <mergeCell ref="H15:N17"/>
    <mergeCell ref="O15:R17"/>
    <mergeCell ref="S15:AW15"/>
    <mergeCell ref="AX15:BC17"/>
    <mergeCell ref="BD15:BJ17"/>
    <mergeCell ref="S17:AW17"/>
    <mergeCell ref="S16:AW16"/>
    <mergeCell ref="B13:G14"/>
    <mergeCell ref="H13:N14"/>
    <mergeCell ref="O13:R14"/>
    <mergeCell ref="S13:AW13"/>
    <mergeCell ref="AX13:BC14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K2:V3"/>
    <mergeCell ref="A2:J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D249-BF9F-4572-AF05-C562D8E6D11A}">
  <sheetPr>
    <pageSetUpPr fitToPage="1"/>
  </sheetPr>
  <dimension ref="A1:BO546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96" t="s">
        <v>162</v>
      </c>
      <c r="B1" s="297"/>
      <c r="C1" s="297"/>
      <c r="D1" s="297"/>
      <c r="E1" s="297"/>
      <c r="F1" s="297"/>
      <c r="G1" s="297"/>
      <c r="H1" s="297"/>
      <c r="I1" s="297"/>
      <c r="J1" s="298"/>
      <c r="K1" s="296" t="s">
        <v>148</v>
      </c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8"/>
      <c r="W1" s="299" t="str">
        <f>IF(表紙!W1="","",表紙!W1)</f>
        <v>詳細設計書</v>
      </c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  <c r="AM1" s="300"/>
      <c r="AN1" s="300"/>
      <c r="AO1" s="301"/>
      <c r="AP1" s="204" t="s">
        <v>150</v>
      </c>
      <c r="AQ1" s="202"/>
      <c r="AR1" s="202"/>
      <c r="AS1" s="203"/>
      <c r="AT1" s="204" t="s">
        <v>151</v>
      </c>
      <c r="AU1" s="202"/>
      <c r="AV1" s="202"/>
      <c r="AW1" s="202"/>
      <c r="AX1" s="203"/>
      <c r="AY1" s="204" t="s">
        <v>152</v>
      </c>
      <c r="AZ1" s="202"/>
      <c r="BA1" s="202"/>
      <c r="BB1" s="203"/>
      <c r="BC1" s="204" t="s">
        <v>153</v>
      </c>
      <c r="BD1" s="202"/>
      <c r="BE1" s="202"/>
      <c r="BF1" s="202"/>
      <c r="BG1" s="203"/>
      <c r="BH1" s="204" t="s">
        <v>154</v>
      </c>
      <c r="BI1" s="202"/>
      <c r="BJ1" s="202"/>
      <c r="BK1" s="203"/>
    </row>
    <row r="2" spans="1:63" ht="15" customHeight="1" x14ac:dyDescent="0.25">
      <c r="A2" s="167" t="str">
        <f>IF(表紙!A2="","",表紙!A2)</f>
        <v>POSサーバー</v>
      </c>
      <c r="B2" s="168"/>
      <c r="C2" s="168"/>
      <c r="D2" s="168"/>
      <c r="E2" s="168"/>
      <c r="F2" s="168"/>
      <c r="G2" s="168"/>
      <c r="H2" s="168"/>
      <c r="I2" s="168"/>
      <c r="J2" s="169"/>
      <c r="K2" s="167" t="str">
        <f>IF(表紙!K2="","",表紙!K2)</f>
        <v>POSサーバ</v>
      </c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9"/>
      <c r="W2" s="302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4"/>
      <c r="AP2" s="211" t="str">
        <f>IF(表紙!AP2="","",表紙!AP2)</f>
        <v>TuyenNH</v>
      </c>
      <c r="AQ2" s="209"/>
      <c r="AR2" s="209"/>
      <c r="AS2" s="210"/>
      <c r="AT2" s="215">
        <f>IF(表紙!AT2="","",表紙!AT2)</f>
        <v>45462</v>
      </c>
      <c r="AU2" s="216"/>
      <c r="AV2" s="216"/>
      <c r="AW2" s="216"/>
      <c r="AX2" s="217"/>
      <c r="AY2" s="211" t="str">
        <f>IF(表紙!AY2="","",表紙!AY2)</f>
        <v>AnhDD</v>
      </c>
      <c r="AZ2" s="209"/>
      <c r="BA2" s="209"/>
      <c r="BB2" s="210"/>
      <c r="BC2" s="215">
        <f>IF(表紙!BC2="","",表紙!BC2)</f>
        <v>45630</v>
      </c>
      <c r="BD2" s="216"/>
      <c r="BE2" s="216"/>
      <c r="BF2" s="216"/>
      <c r="BG2" s="217"/>
      <c r="BH2" s="211">
        <f>IF(表紙!BH2="","",表紙!BH2)</f>
        <v>0.43</v>
      </c>
      <c r="BI2" s="209"/>
      <c r="BJ2" s="209"/>
      <c r="BK2" s="210"/>
    </row>
    <row r="3" spans="1:63" ht="15" customHeight="1" x14ac:dyDescent="0.25">
      <c r="A3" s="170"/>
      <c r="B3" s="171"/>
      <c r="C3" s="171"/>
      <c r="D3" s="171"/>
      <c r="E3" s="171"/>
      <c r="F3" s="171"/>
      <c r="G3" s="171"/>
      <c r="H3" s="171"/>
      <c r="I3" s="171"/>
      <c r="J3" s="172"/>
      <c r="K3" s="170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2"/>
      <c r="W3" s="305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6"/>
      <c r="AN3" s="306"/>
      <c r="AO3" s="307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21"/>
      <c r="BI3" s="222"/>
      <c r="BJ3" s="222"/>
      <c r="BK3" s="223"/>
    </row>
    <row r="4" spans="1:63" ht="24.95" customHeight="1" x14ac:dyDescent="0.25">
      <c r="A4" s="308" t="s">
        <v>172</v>
      </c>
      <c r="B4" s="297"/>
      <c r="C4" s="297"/>
      <c r="D4" s="297"/>
      <c r="E4" s="297"/>
      <c r="F4" s="297"/>
      <c r="G4" s="298"/>
      <c r="H4" s="163" t="str">
        <f>IF(表紙!H4="","",表紙!H4)</f>
        <v>40_従業員設定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296" t="s">
        <v>157</v>
      </c>
      <c r="V4" s="297"/>
      <c r="W4" s="297"/>
      <c r="X4" s="297"/>
      <c r="Y4" s="298"/>
      <c r="Z4" s="163" t="str">
        <f>IF(表紙!Z4="","",表紙!Z4)</f>
        <v>機能設計書</v>
      </c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9"/>
      <c r="AP4" s="147" t="str">
        <f ca="1">MID(CELL("filename",A1),FIND("]",CELL("filename",A1))+1,255)</f>
        <v>SC4001</v>
      </c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9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2"/>
    </row>
    <row r="7" spans="1:63" s="310" customFormat="1" ht="15" customHeight="1" x14ac:dyDescent="0.25">
      <c r="A7" s="309" t="s">
        <v>19</v>
      </c>
      <c r="BK7" s="311"/>
    </row>
    <row r="8" spans="1:63" s="310" customFormat="1" ht="15" customHeight="1" x14ac:dyDescent="0.25">
      <c r="A8" s="309"/>
      <c r="BK8" s="311"/>
    </row>
    <row r="9" spans="1:63" s="310" customFormat="1" ht="15" customHeight="1" x14ac:dyDescent="0.25">
      <c r="A9" s="204" t="s">
        <v>173</v>
      </c>
      <c r="B9" s="202"/>
      <c r="C9" s="202"/>
      <c r="D9" s="202"/>
      <c r="E9" s="312" t="s">
        <v>25</v>
      </c>
      <c r="F9" s="312"/>
      <c r="G9" s="312"/>
      <c r="H9" s="312"/>
      <c r="I9" s="312"/>
      <c r="J9" s="312"/>
      <c r="K9" s="312"/>
      <c r="L9" s="312"/>
      <c r="M9" s="312"/>
      <c r="N9" s="312"/>
      <c r="O9" s="204" t="s">
        <v>174</v>
      </c>
      <c r="P9" s="202"/>
      <c r="Q9" s="202"/>
      <c r="R9" s="202"/>
      <c r="S9" s="202"/>
      <c r="T9" s="203"/>
      <c r="U9" s="313" t="s">
        <v>175</v>
      </c>
      <c r="V9" s="314"/>
      <c r="W9" s="314"/>
      <c r="X9" s="314"/>
      <c r="Y9" s="314"/>
      <c r="Z9" s="314"/>
      <c r="AA9" s="314"/>
      <c r="AB9" s="314"/>
      <c r="AC9" s="314"/>
      <c r="AD9" s="314"/>
      <c r="AE9" s="314"/>
      <c r="AF9" s="314"/>
      <c r="AG9" s="314"/>
      <c r="AH9" s="314"/>
      <c r="AI9" s="314"/>
      <c r="AJ9" s="314"/>
      <c r="AK9" s="314"/>
      <c r="AL9" s="314"/>
      <c r="AM9" s="314"/>
      <c r="AN9" s="314"/>
      <c r="AO9" s="314"/>
      <c r="AP9" s="314"/>
      <c r="AQ9" s="314"/>
      <c r="AR9" s="314"/>
      <c r="AS9" s="314"/>
      <c r="AT9" s="314"/>
      <c r="AU9" s="314"/>
      <c r="AV9" s="314"/>
      <c r="AW9" s="314"/>
      <c r="AX9" s="314"/>
      <c r="AY9" s="314"/>
      <c r="AZ9" s="314"/>
      <c r="BA9" s="314"/>
      <c r="BB9" s="314"/>
      <c r="BC9" s="314"/>
      <c r="BD9" s="314"/>
      <c r="BE9" s="314"/>
      <c r="BF9" s="314"/>
      <c r="BG9" s="314"/>
      <c r="BH9" s="314"/>
      <c r="BI9" s="314"/>
      <c r="BJ9" s="314"/>
      <c r="BK9" s="315"/>
    </row>
    <row r="10" spans="1:63" ht="15" customHeight="1" x14ac:dyDescent="0.25">
      <c r="A10" s="44"/>
      <c r="BK10" s="15"/>
    </row>
    <row r="11" spans="1:63" s="310" customFormat="1" ht="15" customHeight="1" x14ac:dyDescent="0.25">
      <c r="A11" s="316" t="s">
        <v>13</v>
      </c>
      <c r="B11" s="317"/>
      <c r="C11" s="317"/>
      <c r="D11" s="317"/>
      <c r="E11" s="317"/>
      <c r="F11" s="318"/>
      <c r="G11" s="312" t="s">
        <v>26</v>
      </c>
      <c r="H11" s="312"/>
      <c r="I11" s="312"/>
      <c r="J11" s="312"/>
      <c r="K11" s="312"/>
      <c r="L11" s="312"/>
      <c r="M11" s="319" t="s">
        <v>27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320"/>
      <c r="BI11" s="320"/>
      <c r="BJ11" s="320"/>
      <c r="BK11" s="321"/>
    </row>
    <row r="12" spans="1:63" s="310" customFormat="1" ht="15" customHeight="1" x14ac:dyDescent="0.25">
      <c r="A12" s="322" t="s">
        <v>15</v>
      </c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4"/>
      <c r="M12" s="322" t="s">
        <v>16</v>
      </c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3"/>
      <c r="AM12" s="323"/>
      <c r="AN12" s="323"/>
      <c r="AO12" s="323"/>
      <c r="AP12" s="323"/>
      <c r="AQ12" s="323"/>
      <c r="AR12" s="323"/>
      <c r="AS12" s="323"/>
      <c r="AT12" s="324"/>
      <c r="AU12" s="322" t="s">
        <v>17</v>
      </c>
      <c r="AV12" s="323"/>
      <c r="AW12" s="323"/>
      <c r="AX12" s="323"/>
      <c r="AY12" s="323"/>
      <c r="AZ12" s="323"/>
      <c r="BA12" s="323"/>
      <c r="BB12" s="323"/>
      <c r="BC12" s="323"/>
      <c r="BD12" s="323"/>
      <c r="BE12" s="323"/>
      <c r="BF12" s="322" t="s">
        <v>18</v>
      </c>
      <c r="BG12" s="323"/>
      <c r="BH12" s="323"/>
      <c r="BI12" s="323"/>
      <c r="BJ12" s="323"/>
      <c r="BK12" s="324"/>
    </row>
    <row r="13" spans="1:63" s="310" customFormat="1" ht="15" customHeight="1" x14ac:dyDescent="0.25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  <c r="M13" s="325"/>
      <c r="N13" s="326"/>
      <c r="O13" s="326"/>
      <c r="P13" s="326"/>
      <c r="Q13" s="326"/>
      <c r="R13" s="326"/>
      <c r="S13" s="326"/>
      <c r="T13" s="326"/>
      <c r="U13" s="326"/>
      <c r="V13" s="326"/>
      <c r="W13" s="326"/>
      <c r="X13" s="326"/>
      <c r="Y13" s="326"/>
      <c r="Z13" s="326"/>
      <c r="AA13" s="326"/>
      <c r="AB13" s="326"/>
      <c r="AC13" s="326"/>
      <c r="AD13" s="326"/>
      <c r="AE13" s="326"/>
      <c r="AF13" s="326"/>
      <c r="AG13" s="326"/>
      <c r="AH13" s="326"/>
      <c r="AI13" s="326"/>
      <c r="AJ13" s="326"/>
      <c r="AK13" s="326"/>
      <c r="AL13" s="326"/>
      <c r="AM13" s="326"/>
      <c r="AN13" s="326"/>
      <c r="AO13" s="326"/>
      <c r="AP13" s="326"/>
      <c r="AQ13" s="326"/>
      <c r="AR13" s="326"/>
      <c r="AS13" s="326"/>
      <c r="AT13" s="327"/>
      <c r="AU13" s="325"/>
      <c r="AV13" s="326"/>
      <c r="AW13" s="326"/>
      <c r="AX13" s="326"/>
      <c r="AY13" s="326"/>
      <c r="AZ13" s="326"/>
      <c r="BA13" s="326"/>
      <c r="BB13" s="326"/>
      <c r="BC13" s="326"/>
      <c r="BD13" s="326"/>
      <c r="BE13" s="326"/>
      <c r="BF13" s="325"/>
      <c r="BG13" s="326"/>
      <c r="BH13" s="326"/>
      <c r="BI13" s="326"/>
      <c r="BJ13" s="326"/>
      <c r="BK13" s="327"/>
    </row>
    <row r="14" spans="1:63" s="310" customFormat="1" ht="15" customHeight="1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2"/>
      <c r="M14" s="328"/>
      <c r="N14" s="328"/>
      <c r="O14" s="328"/>
      <c r="P14" s="328"/>
      <c r="Q14" s="328"/>
      <c r="R14" s="329"/>
      <c r="S14" s="329"/>
      <c r="T14" s="329"/>
      <c r="U14" s="329"/>
      <c r="V14" s="329"/>
      <c r="W14" s="329"/>
      <c r="X14" s="329"/>
      <c r="Y14" s="329"/>
      <c r="Z14" s="329"/>
      <c r="AA14" s="329"/>
      <c r="AB14" s="329"/>
      <c r="AC14" s="329"/>
      <c r="AD14" s="329"/>
      <c r="AE14" s="329"/>
      <c r="AF14" s="329"/>
      <c r="AG14" s="329"/>
      <c r="AH14" s="329"/>
      <c r="AI14" s="329"/>
      <c r="AJ14" s="329"/>
      <c r="AK14" s="329"/>
      <c r="AL14" s="329"/>
      <c r="AM14" s="329"/>
      <c r="AN14" s="329"/>
      <c r="AO14" s="329"/>
      <c r="AP14" s="329"/>
      <c r="AQ14" s="329"/>
      <c r="AR14" s="329"/>
      <c r="AS14" s="329"/>
      <c r="AT14" s="329"/>
      <c r="AU14" s="20"/>
      <c r="AV14" s="21"/>
      <c r="AW14" s="21"/>
      <c r="AX14" s="21"/>
      <c r="AY14" s="21"/>
      <c r="AZ14" s="21"/>
      <c r="BA14" s="21"/>
      <c r="BB14" s="21"/>
      <c r="BC14" s="21"/>
      <c r="BD14" s="21"/>
      <c r="BE14" s="22"/>
      <c r="BF14" s="131" t="s">
        <v>205</v>
      </c>
      <c r="BG14" s="132"/>
      <c r="BH14" s="132"/>
      <c r="BI14" s="132"/>
      <c r="BJ14" s="132"/>
      <c r="BK14" s="133"/>
    </row>
    <row r="15" spans="1:63" s="310" customFormat="1" ht="15" customHeight="1" x14ac:dyDescent="0.25">
      <c r="A15" s="2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5"/>
      <c r="M15" s="328"/>
      <c r="N15" s="45" t="s">
        <v>176</v>
      </c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28"/>
      <c r="AD15" s="328"/>
      <c r="AE15" s="328"/>
      <c r="AF15" s="328"/>
      <c r="AG15" s="328"/>
      <c r="AH15" s="328"/>
      <c r="AI15" s="328"/>
      <c r="AJ15" s="328"/>
      <c r="AK15" s="328"/>
      <c r="AL15" s="328"/>
      <c r="AM15" s="328"/>
      <c r="AN15" s="328"/>
      <c r="AO15" s="328"/>
      <c r="AP15" s="328"/>
      <c r="AQ15" s="328"/>
      <c r="AR15" s="328"/>
      <c r="AS15" s="328"/>
      <c r="AT15" s="328"/>
      <c r="AU15" s="24"/>
      <c r="AV15" s="35"/>
      <c r="AW15" s="35"/>
      <c r="AX15" s="35"/>
      <c r="AY15" s="35"/>
      <c r="AZ15" s="35"/>
      <c r="BA15" s="35"/>
      <c r="BB15" s="35"/>
      <c r="BC15" s="35"/>
      <c r="BD15" s="35"/>
      <c r="BE15" s="25"/>
      <c r="BF15" s="134"/>
      <c r="BG15" s="135"/>
      <c r="BH15" s="135"/>
      <c r="BI15" s="135"/>
      <c r="BJ15" s="135"/>
      <c r="BK15" s="136"/>
    </row>
    <row r="16" spans="1:63" s="310" customFormat="1" ht="15" customHeight="1" x14ac:dyDescent="0.25">
      <c r="A16" s="2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5"/>
      <c r="M16" s="330"/>
      <c r="N16" s="328"/>
      <c r="O16" s="331" t="s">
        <v>30</v>
      </c>
      <c r="P16" s="331"/>
      <c r="Q16" s="331"/>
      <c r="R16" s="331"/>
      <c r="S16" s="331"/>
      <c r="T16" s="331"/>
      <c r="U16" s="331"/>
      <c r="V16" s="331"/>
      <c r="W16" s="331"/>
      <c r="X16" s="331"/>
      <c r="Y16" s="331"/>
      <c r="Z16" s="331"/>
      <c r="AA16" s="331"/>
      <c r="AB16" s="331"/>
      <c r="AC16" s="331"/>
      <c r="AD16" s="331"/>
      <c r="AE16" s="331"/>
      <c r="AF16" s="331"/>
      <c r="AG16" s="331"/>
      <c r="AH16" s="331"/>
      <c r="AI16" s="331"/>
      <c r="AJ16" s="328"/>
      <c r="AK16" s="328"/>
      <c r="AL16" s="328"/>
      <c r="AM16" s="328"/>
      <c r="AN16" s="328"/>
      <c r="AO16" s="328"/>
      <c r="AP16" s="328"/>
      <c r="AQ16" s="328"/>
      <c r="AR16" s="328"/>
      <c r="AS16" s="328"/>
      <c r="AT16" s="328"/>
      <c r="AU16" s="24"/>
      <c r="AV16" s="35"/>
      <c r="AW16" s="35"/>
      <c r="AX16" s="35"/>
      <c r="AY16" s="35"/>
      <c r="AZ16" s="35"/>
      <c r="BA16" s="35"/>
      <c r="BB16" s="35"/>
      <c r="BC16" s="35"/>
      <c r="BD16" s="35"/>
      <c r="BE16" s="25"/>
      <c r="BF16" s="134"/>
      <c r="BG16" s="135"/>
      <c r="BH16" s="135"/>
      <c r="BI16" s="135"/>
      <c r="BJ16" s="135"/>
      <c r="BK16" s="136"/>
    </row>
    <row r="17" spans="1:63" s="310" customFormat="1" ht="15" customHeight="1" x14ac:dyDescent="0.25">
      <c r="A17" s="2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25"/>
      <c r="M17" s="328"/>
      <c r="O17" s="331"/>
      <c r="P17" s="331"/>
      <c r="Q17" s="331"/>
      <c r="R17" s="331"/>
      <c r="S17" s="331"/>
      <c r="T17" s="331"/>
      <c r="U17" s="331"/>
      <c r="V17" s="331"/>
      <c r="W17" s="331"/>
      <c r="X17" s="331"/>
      <c r="Y17" s="331"/>
      <c r="Z17" s="331"/>
      <c r="AA17" s="331"/>
      <c r="AB17" s="331"/>
      <c r="AC17" s="331"/>
      <c r="AD17" s="331"/>
      <c r="AE17" s="331"/>
      <c r="AF17" s="331"/>
      <c r="AG17" s="331"/>
      <c r="AH17" s="331"/>
      <c r="AI17" s="331"/>
      <c r="AJ17" s="328"/>
      <c r="AK17" s="328"/>
      <c r="AL17" s="328"/>
      <c r="AM17" s="328"/>
      <c r="AN17" s="328"/>
      <c r="AO17" s="328"/>
      <c r="AP17" s="328"/>
      <c r="AQ17" s="328"/>
      <c r="AR17" s="328"/>
      <c r="AS17" s="328"/>
      <c r="AT17" s="328"/>
      <c r="AU17" s="24"/>
      <c r="AV17" s="35"/>
      <c r="AW17" s="35"/>
      <c r="AX17" s="35"/>
      <c r="AY17" s="35"/>
      <c r="AZ17" s="35"/>
      <c r="BA17" s="35"/>
      <c r="BB17" s="35"/>
      <c r="BC17" s="35"/>
      <c r="BD17" s="35"/>
      <c r="BE17" s="25"/>
      <c r="BF17" s="134"/>
      <c r="BG17" s="135"/>
      <c r="BH17" s="135"/>
      <c r="BI17" s="135"/>
      <c r="BJ17" s="135"/>
      <c r="BK17" s="136"/>
    </row>
    <row r="18" spans="1:63" s="310" customFormat="1" ht="15" customHeight="1" x14ac:dyDescent="0.2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8"/>
      <c r="M18" s="332"/>
      <c r="N18" s="333"/>
      <c r="O18" s="333"/>
      <c r="P18" s="333"/>
      <c r="Q18" s="33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334"/>
      <c r="AQ18" s="334"/>
      <c r="AR18" s="334"/>
      <c r="AS18" s="334"/>
      <c r="AT18" s="334"/>
      <c r="AU18" s="26"/>
      <c r="AV18" s="27"/>
      <c r="AW18" s="27"/>
      <c r="AX18" s="27"/>
      <c r="AY18" s="27"/>
      <c r="AZ18" s="27"/>
      <c r="BA18" s="27"/>
      <c r="BB18" s="27"/>
      <c r="BC18" s="27"/>
      <c r="BD18" s="27"/>
      <c r="BE18" s="28"/>
      <c r="BF18" s="128"/>
      <c r="BG18" s="129"/>
      <c r="BH18" s="129"/>
      <c r="BI18" s="129"/>
      <c r="BJ18" s="129"/>
      <c r="BK18" s="130"/>
    </row>
    <row r="19" spans="1:63" ht="15" customHeight="1" x14ac:dyDescent="0.25">
      <c r="A19" s="30"/>
      <c r="BK19" s="15"/>
    </row>
    <row r="20" spans="1:63" ht="15" customHeight="1" x14ac:dyDescent="0.25">
      <c r="A20" s="44"/>
      <c r="BK20" s="15"/>
    </row>
    <row r="21" spans="1:63" ht="15" customHeight="1" x14ac:dyDescent="0.25">
      <c r="A21" s="44"/>
      <c r="BK21" s="15"/>
    </row>
    <row r="22" spans="1:63" s="310" customFormat="1" ht="15" customHeight="1" x14ac:dyDescent="0.25">
      <c r="A22" s="316" t="s">
        <v>13</v>
      </c>
      <c r="B22" s="317"/>
      <c r="C22" s="317"/>
      <c r="D22" s="317"/>
      <c r="E22" s="317"/>
      <c r="F22" s="318"/>
      <c r="G22" s="312" t="s">
        <v>44</v>
      </c>
      <c r="H22" s="312"/>
      <c r="I22" s="312"/>
      <c r="J22" s="312"/>
      <c r="K22" s="312"/>
      <c r="L22" s="312"/>
      <c r="M22" s="319" t="s">
        <v>45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320"/>
      <c r="BI22" s="320"/>
      <c r="BJ22" s="320"/>
      <c r="BK22" s="321"/>
    </row>
    <row r="23" spans="1:63" s="310" customFormat="1" ht="15" customHeight="1" x14ac:dyDescent="0.25">
      <c r="A23" s="322" t="s">
        <v>15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4"/>
      <c r="M23" s="322" t="s">
        <v>16</v>
      </c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  <c r="AA23" s="323"/>
      <c r="AB23" s="323"/>
      <c r="AC23" s="323"/>
      <c r="AD23" s="323"/>
      <c r="AE23" s="323"/>
      <c r="AF23" s="323"/>
      <c r="AG23" s="323"/>
      <c r="AH23" s="323"/>
      <c r="AI23" s="323"/>
      <c r="AJ23" s="323"/>
      <c r="AK23" s="323"/>
      <c r="AL23" s="323"/>
      <c r="AM23" s="323"/>
      <c r="AN23" s="323"/>
      <c r="AO23" s="323"/>
      <c r="AP23" s="323"/>
      <c r="AQ23" s="323"/>
      <c r="AR23" s="323"/>
      <c r="AS23" s="323"/>
      <c r="AT23" s="324"/>
      <c r="AU23" s="322" t="s">
        <v>17</v>
      </c>
      <c r="AV23" s="323"/>
      <c r="AW23" s="323"/>
      <c r="AX23" s="323"/>
      <c r="AY23" s="323"/>
      <c r="AZ23" s="323"/>
      <c r="BA23" s="323"/>
      <c r="BB23" s="323"/>
      <c r="BC23" s="323"/>
      <c r="BD23" s="323"/>
      <c r="BE23" s="323"/>
      <c r="BF23" s="322" t="s">
        <v>18</v>
      </c>
      <c r="BG23" s="323"/>
      <c r="BH23" s="323"/>
      <c r="BI23" s="323"/>
      <c r="BJ23" s="323"/>
      <c r="BK23" s="324"/>
    </row>
    <row r="24" spans="1:63" s="310" customFormat="1" ht="15" customHeight="1" x14ac:dyDescent="0.25">
      <c r="A24" s="325"/>
      <c r="B24" s="326"/>
      <c r="C24" s="326"/>
      <c r="D24" s="326"/>
      <c r="E24" s="326"/>
      <c r="F24" s="326"/>
      <c r="G24" s="326"/>
      <c r="H24" s="326"/>
      <c r="I24" s="326"/>
      <c r="J24" s="326"/>
      <c r="K24" s="326"/>
      <c r="L24" s="327"/>
      <c r="M24" s="325"/>
      <c r="N24" s="326"/>
      <c r="O24" s="326"/>
      <c r="P24" s="326"/>
      <c r="Q24" s="326"/>
      <c r="R24" s="326"/>
      <c r="S24" s="326"/>
      <c r="T24" s="326"/>
      <c r="U24" s="326"/>
      <c r="V24" s="326"/>
      <c r="W24" s="326"/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6"/>
      <c r="AT24" s="327"/>
      <c r="AU24" s="325"/>
      <c r="AV24" s="326"/>
      <c r="AW24" s="326"/>
      <c r="AX24" s="326"/>
      <c r="AY24" s="326"/>
      <c r="AZ24" s="326"/>
      <c r="BA24" s="326"/>
      <c r="BB24" s="326"/>
      <c r="BC24" s="326"/>
      <c r="BD24" s="326"/>
      <c r="BE24" s="326"/>
      <c r="BF24" s="325"/>
      <c r="BG24" s="326"/>
      <c r="BH24" s="326"/>
      <c r="BI24" s="326"/>
      <c r="BJ24" s="326"/>
      <c r="BK24" s="327"/>
    </row>
    <row r="25" spans="1:63" s="310" customFormat="1" ht="15" customHeight="1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328"/>
      <c r="N25" s="328"/>
      <c r="O25" s="328"/>
      <c r="P25" s="328"/>
      <c r="Q25" s="328"/>
      <c r="R25" s="329"/>
      <c r="S25" s="329"/>
      <c r="T25" s="329"/>
      <c r="U25" s="329"/>
      <c r="V25" s="329"/>
      <c r="W25" s="329"/>
      <c r="X25" s="329"/>
      <c r="Y25" s="329"/>
      <c r="Z25" s="329"/>
      <c r="AA25" s="329"/>
      <c r="AB25" s="329"/>
      <c r="AC25" s="329"/>
      <c r="AD25" s="329"/>
      <c r="AE25" s="329"/>
      <c r="AF25" s="329"/>
      <c r="AG25" s="329"/>
      <c r="AH25" s="329"/>
      <c r="AI25" s="329"/>
      <c r="AJ25" s="329"/>
      <c r="AK25" s="329"/>
      <c r="AL25" s="329"/>
      <c r="AM25" s="329"/>
      <c r="AN25" s="329"/>
      <c r="AO25" s="329"/>
      <c r="AP25" s="329"/>
      <c r="AQ25" s="329"/>
      <c r="AR25" s="329"/>
      <c r="AS25" s="329"/>
      <c r="AT25" s="329"/>
      <c r="AU25" s="20"/>
      <c r="AV25" s="21"/>
      <c r="AW25" s="21"/>
      <c r="AX25" s="21"/>
      <c r="AY25" s="21"/>
      <c r="AZ25" s="21"/>
      <c r="BA25" s="21"/>
      <c r="BB25" s="21"/>
      <c r="BC25" s="21"/>
      <c r="BD25" s="21"/>
      <c r="BE25" s="22"/>
      <c r="BF25" s="131" t="s">
        <v>206</v>
      </c>
      <c r="BG25" s="132"/>
      <c r="BH25" s="132"/>
      <c r="BI25" s="132"/>
      <c r="BJ25" s="132"/>
      <c r="BK25" s="133"/>
    </row>
    <row r="26" spans="1:63" s="310" customFormat="1" ht="15" customHeight="1" x14ac:dyDescent="0.25">
      <c r="A26" s="2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25"/>
      <c r="M26" s="328"/>
      <c r="N26" s="49" t="s">
        <v>177</v>
      </c>
      <c r="O26" s="331"/>
      <c r="P26" s="331"/>
      <c r="Q26" s="331"/>
      <c r="R26" s="33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331"/>
      <c r="AI26" s="331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24"/>
      <c r="AV26" s="35"/>
      <c r="AW26" s="35"/>
      <c r="AX26" s="35"/>
      <c r="AY26" s="35"/>
      <c r="AZ26" s="35"/>
      <c r="BA26" s="35"/>
      <c r="BB26" s="35"/>
      <c r="BC26" s="35"/>
      <c r="BD26" s="35"/>
      <c r="BE26" s="25"/>
      <c r="BF26" s="134"/>
      <c r="BG26" s="135"/>
      <c r="BH26" s="135"/>
      <c r="BI26" s="135"/>
      <c r="BJ26" s="135"/>
      <c r="BK26" s="136"/>
    </row>
    <row r="27" spans="1:63" s="310" customFormat="1" ht="15" customHeight="1" x14ac:dyDescent="0.25">
      <c r="A27" s="2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25"/>
      <c r="M27" s="328"/>
      <c r="N27" s="328"/>
      <c r="O27" s="331" t="s">
        <v>120</v>
      </c>
      <c r="P27" s="331"/>
      <c r="Q27" s="331"/>
      <c r="R27" s="331"/>
      <c r="S27" s="331"/>
      <c r="T27" s="331"/>
      <c r="U27" s="331"/>
      <c r="V27" s="331"/>
      <c r="W27" s="331"/>
      <c r="X27" s="331"/>
      <c r="Y27" s="331"/>
      <c r="Z27" s="331"/>
      <c r="AA27" s="331"/>
      <c r="AB27" s="331"/>
      <c r="AC27" s="331"/>
      <c r="AD27" s="331"/>
      <c r="AE27" s="331"/>
      <c r="AF27" s="331"/>
      <c r="AG27" s="331"/>
      <c r="AH27" s="331"/>
      <c r="AI27" s="331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24"/>
      <c r="AV27" s="35"/>
      <c r="AW27" s="35"/>
      <c r="AX27" s="35"/>
      <c r="AY27" s="35"/>
      <c r="AZ27" s="35"/>
      <c r="BA27" s="35"/>
      <c r="BB27" s="35"/>
      <c r="BC27" s="35"/>
      <c r="BD27" s="35"/>
      <c r="BE27" s="25"/>
      <c r="BF27" s="134"/>
      <c r="BG27" s="135"/>
      <c r="BH27" s="135"/>
      <c r="BI27" s="135"/>
      <c r="BJ27" s="135"/>
      <c r="BK27" s="136"/>
    </row>
    <row r="28" spans="1:63" s="310" customFormat="1" ht="15" customHeight="1" x14ac:dyDescent="0.25">
      <c r="A28" s="2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25"/>
      <c r="M28" s="328"/>
      <c r="N28" s="328"/>
      <c r="O28" s="331"/>
      <c r="P28" s="50" t="s">
        <v>31</v>
      </c>
      <c r="Q28" s="51"/>
      <c r="R28" s="51"/>
      <c r="S28" s="51"/>
      <c r="T28" s="51"/>
      <c r="U28" s="51"/>
      <c r="V28" s="51"/>
      <c r="W28" s="50" t="s">
        <v>32</v>
      </c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2"/>
      <c r="AN28" s="328"/>
      <c r="AO28" s="328"/>
      <c r="AP28" s="328"/>
      <c r="AQ28" s="328"/>
      <c r="AR28" s="328"/>
      <c r="AS28" s="328"/>
      <c r="AT28" s="328"/>
      <c r="AU28" s="24"/>
      <c r="AV28" s="35"/>
      <c r="AW28" s="35"/>
      <c r="AX28" s="35"/>
      <c r="AY28" s="35"/>
      <c r="AZ28" s="35"/>
      <c r="BA28" s="35"/>
      <c r="BB28" s="35"/>
      <c r="BC28" s="35"/>
      <c r="BD28" s="35"/>
      <c r="BE28" s="25"/>
      <c r="BF28" s="134"/>
      <c r="BG28" s="135"/>
      <c r="BH28" s="135"/>
      <c r="BI28" s="135"/>
      <c r="BJ28" s="135"/>
      <c r="BK28" s="136"/>
    </row>
    <row r="29" spans="1:63" s="310" customFormat="1" ht="15" customHeight="1" x14ac:dyDescent="0.25">
      <c r="A29" s="2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25"/>
      <c r="M29" s="328"/>
      <c r="N29" s="328"/>
      <c r="O29" s="331"/>
      <c r="P29" s="335" t="s">
        <v>33</v>
      </c>
      <c r="Q29" s="336"/>
      <c r="R29" s="336"/>
      <c r="S29" s="336"/>
      <c r="T29" s="336"/>
      <c r="U29" s="336"/>
      <c r="V29" s="336"/>
      <c r="W29" s="337" t="s">
        <v>34</v>
      </c>
      <c r="X29" s="338"/>
      <c r="Y29" s="338"/>
      <c r="Z29" s="338"/>
      <c r="AA29" s="338"/>
      <c r="AB29" s="338"/>
      <c r="AC29" s="338"/>
      <c r="AD29" s="338"/>
      <c r="AE29" s="338"/>
      <c r="AF29" s="338"/>
      <c r="AG29" s="338"/>
      <c r="AH29" s="338"/>
      <c r="AI29" s="338"/>
      <c r="AJ29" s="338"/>
      <c r="AK29" s="338"/>
      <c r="AL29" s="338"/>
      <c r="AM29" s="339"/>
      <c r="AN29" s="328"/>
      <c r="AO29" s="328"/>
      <c r="AP29" s="328"/>
      <c r="AQ29" s="328"/>
      <c r="AR29" s="328"/>
      <c r="AS29" s="328"/>
      <c r="AT29" s="328"/>
      <c r="AU29" s="24"/>
      <c r="AV29" s="35"/>
      <c r="AW29" s="35"/>
      <c r="AX29" s="35"/>
      <c r="AY29" s="35"/>
      <c r="AZ29" s="35"/>
      <c r="BA29" s="35"/>
      <c r="BB29" s="35"/>
      <c r="BC29" s="35"/>
      <c r="BD29" s="35"/>
      <c r="BE29" s="25"/>
      <c r="BF29" s="134"/>
      <c r="BG29" s="135"/>
      <c r="BH29" s="135"/>
      <c r="BI29" s="135"/>
      <c r="BJ29" s="135"/>
      <c r="BK29" s="136"/>
    </row>
    <row r="30" spans="1:63" s="310" customFormat="1" ht="15" customHeight="1" x14ac:dyDescent="0.25">
      <c r="A30" s="2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25"/>
      <c r="M30" s="328"/>
      <c r="N30" s="328"/>
      <c r="O30" s="331"/>
      <c r="P30" s="335" t="s">
        <v>35</v>
      </c>
      <c r="Q30" s="336"/>
      <c r="R30" s="336"/>
      <c r="S30" s="336"/>
      <c r="T30" s="336"/>
      <c r="U30" s="336"/>
      <c r="V30" s="336"/>
      <c r="W30" s="337" t="s">
        <v>39</v>
      </c>
      <c r="X30" s="338"/>
      <c r="Y30" s="338"/>
      <c r="Z30" s="338"/>
      <c r="AA30" s="338"/>
      <c r="AB30" s="338"/>
      <c r="AC30" s="338"/>
      <c r="AD30" s="338"/>
      <c r="AE30" s="338"/>
      <c r="AF30" s="338"/>
      <c r="AG30" s="338"/>
      <c r="AH30" s="338"/>
      <c r="AI30" s="338"/>
      <c r="AJ30" s="338"/>
      <c r="AK30" s="338"/>
      <c r="AL30" s="338"/>
      <c r="AM30" s="339"/>
      <c r="AN30" s="328"/>
      <c r="AO30" s="328"/>
      <c r="AP30" s="328"/>
      <c r="AQ30" s="328"/>
      <c r="AR30" s="328"/>
      <c r="AS30" s="328"/>
      <c r="AT30" s="328"/>
      <c r="AU30" s="24"/>
      <c r="AV30" s="35"/>
      <c r="AW30" s="35"/>
      <c r="AX30" s="35"/>
      <c r="AY30" s="35"/>
      <c r="AZ30" s="35"/>
      <c r="BA30" s="35"/>
      <c r="BB30" s="35"/>
      <c r="BC30" s="35"/>
      <c r="BD30" s="35"/>
      <c r="BE30" s="25"/>
      <c r="BF30" s="134"/>
      <c r="BG30" s="135"/>
      <c r="BH30" s="135"/>
      <c r="BI30" s="135"/>
      <c r="BJ30" s="135"/>
      <c r="BK30" s="136"/>
    </row>
    <row r="31" spans="1:63" s="310" customFormat="1" ht="15" customHeight="1" x14ac:dyDescent="0.25">
      <c r="A31" s="2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25"/>
      <c r="M31" s="328"/>
      <c r="N31" s="328"/>
      <c r="O31" s="331"/>
      <c r="P31" s="335" t="s">
        <v>36</v>
      </c>
      <c r="Q31" s="336"/>
      <c r="R31" s="336"/>
      <c r="S31" s="336"/>
      <c r="T31" s="336"/>
      <c r="U31" s="336"/>
      <c r="V31" s="336"/>
      <c r="W31" s="337" t="s">
        <v>40</v>
      </c>
      <c r="X31" s="338"/>
      <c r="Y31" s="338"/>
      <c r="Z31" s="338"/>
      <c r="AA31" s="338"/>
      <c r="AB31" s="338"/>
      <c r="AC31" s="338"/>
      <c r="AD31" s="338"/>
      <c r="AE31" s="338"/>
      <c r="AF31" s="338"/>
      <c r="AG31" s="338"/>
      <c r="AH31" s="338"/>
      <c r="AI31" s="338"/>
      <c r="AJ31" s="338"/>
      <c r="AK31" s="338"/>
      <c r="AL31" s="338"/>
      <c r="AM31" s="339"/>
      <c r="AN31" s="328"/>
      <c r="AO31" s="328"/>
      <c r="AP31" s="328"/>
      <c r="AQ31" s="328"/>
      <c r="AR31" s="328"/>
      <c r="AS31" s="328"/>
      <c r="AT31" s="328"/>
      <c r="AU31" s="24"/>
      <c r="AV31" s="35"/>
      <c r="AW31" s="35"/>
      <c r="AX31" s="35"/>
      <c r="AY31" s="35"/>
      <c r="AZ31" s="35"/>
      <c r="BA31" s="35"/>
      <c r="BB31" s="35"/>
      <c r="BC31" s="35"/>
      <c r="BD31" s="35"/>
      <c r="BE31" s="25"/>
      <c r="BF31" s="134"/>
      <c r="BG31" s="135"/>
      <c r="BH31" s="135"/>
      <c r="BI31" s="135"/>
      <c r="BJ31" s="135"/>
      <c r="BK31" s="136"/>
    </row>
    <row r="32" spans="1:63" s="310" customFormat="1" ht="15" customHeight="1" x14ac:dyDescent="0.25">
      <c r="A32" s="2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25"/>
      <c r="M32" s="328"/>
      <c r="N32" s="328"/>
      <c r="O32" s="331"/>
      <c r="P32" s="335" t="s">
        <v>37</v>
      </c>
      <c r="Q32" s="336"/>
      <c r="R32" s="336"/>
      <c r="S32" s="336"/>
      <c r="T32" s="336"/>
      <c r="U32" s="336"/>
      <c r="V32" s="336"/>
      <c r="W32" s="337" t="s">
        <v>41</v>
      </c>
      <c r="X32" s="338"/>
      <c r="Y32" s="338"/>
      <c r="Z32" s="338"/>
      <c r="AA32" s="338"/>
      <c r="AB32" s="338"/>
      <c r="AC32" s="338"/>
      <c r="AD32" s="338"/>
      <c r="AE32" s="338"/>
      <c r="AF32" s="338"/>
      <c r="AG32" s="338"/>
      <c r="AH32" s="338"/>
      <c r="AI32" s="338"/>
      <c r="AJ32" s="338"/>
      <c r="AK32" s="338"/>
      <c r="AL32" s="338"/>
      <c r="AM32" s="339"/>
      <c r="AN32" s="328"/>
      <c r="AO32" s="328"/>
      <c r="AP32" s="328"/>
      <c r="AQ32" s="328"/>
      <c r="AR32" s="328"/>
      <c r="AS32" s="328"/>
      <c r="AT32" s="328"/>
      <c r="AU32" s="24"/>
      <c r="AV32" s="35"/>
      <c r="AW32" s="35"/>
      <c r="AX32" s="35"/>
      <c r="AY32" s="35"/>
      <c r="AZ32" s="35"/>
      <c r="BA32" s="35"/>
      <c r="BB32" s="35"/>
      <c r="BC32" s="35"/>
      <c r="BD32" s="35"/>
      <c r="BE32" s="25"/>
      <c r="BF32" s="134"/>
      <c r="BG32" s="135"/>
      <c r="BH32" s="135"/>
      <c r="BI32" s="135"/>
      <c r="BJ32" s="135"/>
      <c r="BK32" s="136"/>
    </row>
    <row r="33" spans="1:63" s="310" customFormat="1" ht="15" customHeight="1" x14ac:dyDescent="0.25">
      <c r="A33" s="2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25"/>
      <c r="M33" s="328"/>
      <c r="N33" s="328"/>
      <c r="O33" s="331"/>
      <c r="P33" s="335" t="s">
        <v>38</v>
      </c>
      <c r="Q33" s="336"/>
      <c r="R33" s="336"/>
      <c r="S33" s="336"/>
      <c r="T33" s="336"/>
      <c r="U33" s="336"/>
      <c r="V33" s="336"/>
      <c r="W33" s="337" t="s">
        <v>42</v>
      </c>
      <c r="X33" s="338"/>
      <c r="Y33" s="338"/>
      <c r="Z33" s="338"/>
      <c r="AA33" s="338"/>
      <c r="AB33" s="338"/>
      <c r="AC33" s="338"/>
      <c r="AD33" s="338"/>
      <c r="AE33" s="338"/>
      <c r="AF33" s="338"/>
      <c r="AG33" s="338"/>
      <c r="AH33" s="338"/>
      <c r="AI33" s="338"/>
      <c r="AJ33" s="338"/>
      <c r="AK33" s="338"/>
      <c r="AL33" s="338"/>
      <c r="AM33" s="339"/>
      <c r="AN33" s="328"/>
      <c r="AO33" s="328"/>
      <c r="AP33" s="328"/>
      <c r="AQ33" s="328"/>
      <c r="AR33" s="328"/>
      <c r="AS33" s="328"/>
      <c r="AT33" s="328"/>
      <c r="AU33" s="24"/>
      <c r="AV33" s="35"/>
      <c r="AW33" s="35"/>
      <c r="AX33" s="35"/>
      <c r="AY33" s="35"/>
      <c r="AZ33" s="35"/>
      <c r="BA33" s="35"/>
      <c r="BB33" s="35"/>
      <c r="BC33" s="35"/>
      <c r="BD33" s="35"/>
      <c r="BE33" s="25"/>
      <c r="BF33" s="134"/>
      <c r="BG33" s="135"/>
      <c r="BH33" s="135"/>
      <c r="BI33" s="135"/>
      <c r="BJ33" s="135"/>
      <c r="BK33" s="136"/>
    </row>
    <row r="34" spans="1:63" s="310" customFormat="1" ht="15" customHeight="1" x14ac:dyDescent="0.25">
      <c r="A34" s="24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25"/>
      <c r="M34" s="328"/>
      <c r="N34" s="328"/>
      <c r="O34" s="331"/>
      <c r="P34" s="331"/>
      <c r="Q34" s="331"/>
      <c r="R34" s="331"/>
      <c r="S34" s="331"/>
      <c r="T34" s="331"/>
      <c r="U34" s="331"/>
      <c r="V34" s="331"/>
      <c r="W34" s="331"/>
      <c r="X34" s="331"/>
      <c r="Y34" s="331"/>
      <c r="Z34" s="331"/>
      <c r="AA34" s="331"/>
      <c r="AB34" s="331"/>
      <c r="AC34" s="331"/>
      <c r="AD34" s="331"/>
      <c r="AE34" s="331"/>
      <c r="AF34" s="331"/>
      <c r="AG34" s="331"/>
      <c r="AH34" s="331"/>
      <c r="AI34" s="331"/>
      <c r="AJ34" s="328"/>
      <c r="AK34" s="328"/>
      <c r="AL34" s="328"/>
      <c r="AM34" s="328"/>
      <c r="AN34" s="328"/>
      <c r="AO34" s="328"/>
      <c r="AP34" s="328"/>
      <c r="AQ34" s="328"/>
      <c r="AR34" s="328"/>
      <c r="AS34" s="328"/>
      <c r="AT34" s="328"/>
      <c r="AU34" s="24"/>
      <c r="AV34" s="35"/>
      <c r="AW34" s="35"/>
      <c r="AX34" s="35"/>
      <c r="AY34" s="35"/>
      <c r="AZ34" s="35"/>
      <c r="BA34" s="35"/>
      <c r="BB34" s="35"/>
      <c r="BC34" s="35"/>
      <c r="BD34" s="35"/>
      <c r="BE34" s="25"/>
      <c r="BF34" s="134"/>
      <c r="BG34" s="135"/>
      <c r="BH34" s="135"/>
      <c r="BI34" s="135"/>
      <c r="BJ34" s="135"/>
      <c r="BK34" s="136"/>
    </row>
    <row r="35" spans="1:63" s="310" customFormat="1" ht="15" customHeight="1" x14ac:dyDescent="0.25">
      <c r="A35" s="24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25"/>
      <c r="M35" s="328"/>
      <c r="N35" s="328"/>
      <c r="O35" s="331"/>
      <c r="P35" s="331" t="s">
        <v>43</v>
      </c>
      <c r="Q35" s="331"/>
      <c r="R35" s="331"/>
      <c r="S35" s="331"/>
      <c r="T35" s="331"/>
      <c r="U35" s="331"/>
      <c r="V35" s="331"/>
      <c r="W35" s="331"/>
      <c r="X35" s="331"/>
      <c r="Y35" s="331"/>
      <c r="Z35" s="331"/>
      <c r="AA35" s="331"/>
      <c r="AB35" s="331"/>
      <c r="AC35" s="331"/>
      <c r="AD35" s="331"/>
      <c r="AE35" s="331"/>
      <c r="AF35" s="331"/>
      <c r="AG35" s="331"/>
      <c r="AH35" s="331"/>
      <c r="AI35" s="331"/>
      <c r="AJ35" s="328"/>
      <c r="AK35" s="328"/>
      <c r="AL35" s="328"/>
      <c r="AM35" s="328"/>
      <c r="AN35" s="328"/>
      <c r="AO35" s="328"/>
      <c r="AP35" s="328"/>
      <c r="AQ35" s="328"/>
      <c r="AR35" s="328"/>
      <c r="AS35" s="328"/>
      <c r="AT35" s="328"/>
      <c r="AU35" s="24"/>
      <c r="AV35" s="35"/>
      <c r="AW35" s="35"/>
      <c r="AX35" s="35"/>
      <c r="AY35" s="35"/>
      <c r="AZ35" s="35"/>
      <c r="BA35" s="35"/>
      <c r="BB35" s="35"/>
      <c r="BC35" s="35"/>
      <c r="BD35" s="35"/>
      <c r="BE35" s="25"/>
      <c r="BF35" s="134"/>
      <c r="BG35" s="135"/>
      <c r="BH35" s="135"/>
      <c r="BI35" s="135"/>
      <c r="BJ35" s="135"/>
      <c r="BK35" s="136"/>
    </row>
    <row r="36" spans="1:63" s="310" customFormat="1" ht="15" customHeight="1" x14ac:dyDescent="0.25">
      <c r="A36" s="2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25"/>
      <c r="M36" s="328"/>
      <c r="N36" s="328"/>
      <c r="O36" s="331"/>
      <c r="P36" s="331"/>
      <c r="Q36" s="331"/>
      <c r="R36" s="331"/>
      <c r="S36" s="331"/>
      <c r="T36" s="331"/>
      <c r="U36" s="331"/>
      <c r="V36" s="331"/>
      <c r="W36" s="331"/>
      <c r="X36" s="331"/>
      <c r="Y36" s="331"/>
      <c r="Z36" s="331"/>
      <c r="AA36" s="331"/>
      <c r="AB36" s="331"/>
      <c r="AC36" s="331"/>
      <c r="AD36" s="331"/>
      <c r="AE36" s="331"/>
      <c r="AF36" s="331"/>
      <c r="AG36" s="331"/>
      <c r="AH36" s="331"/>
      <c r="AI36" s="331"/>
      <c r="AJ36" s="328"/>
      <c r="AK36" s="328"/>
      <c r="AL36" s="328"/>
      <c r="AM36" s="328"/>
      <c r="AN36" s="328"/>
      <c r="AO36" s="328"/>
      <c r="AP36" s="328"/>
      <c r="AQ36" s="328"/>
      <c r="AR36" s="328"/>
      <c r="AS36" s="328"/>
      <c r="AT36" s="328"/>
      <c r="AU36" s="24"/>
      <c r="AV36" s="35"/>
      <c r="AW36" s="35"/>
      <c r="AX36" s="35"/>
      <c r="AY36" s="35"/>
      <c r="AZ36" s="35"/>
      <c r="BA36" s="35"/>
      <c r="BB36" s="35"/>
      <c r="BC36" s="35"/>
      <c r="BD36" s="35"/>
      <c r="BE36" s="25"/>
      <c r="BF36" s="134"/>
      <c r="BG36" s="135"/>
      <c r="BH36" s="135"/>
      <c r="BI36" s="135"/>
      <c r="BJ36" s="135"/>
      <c r="BK36" s="136"/>
    </row>
    <row r="37" spans="1:63" s="310" customFormat="1" ht="15" customHeight="1" x14ac:dyDescent="0.25">
      <c r="A37" s="2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25"/>
      <c r="M37" s="328"/>
      <c r="N37" s="328"/>
      <c r="O37" s="331" t="s">
        <v>80</v>
      </c>
      <c r="P37" s="331"/>
      <c r="Q37" s="331"/>
      <c r="R37" s="331"/>
      <c r="S37" s="331"/>
      <c r="T37" s="331"/>
      <c r="U37" s="331"/>
      <c r="V37" s="331"/>
      <c r="W37" s="331"/>
      <c r="X37" s="331"/>
      <c r="Y37" s="331"/>
      <c r="Z37" s="331"/>
      <c r="AA37" s="331"/>
      <c r="AB37" s="331"/>
      <c r="AC37" s="331"/>
      <c r="AD37" s="331"/>
      <c r="AE37" s="331"/>
      <c r="AF37" s="331"/>
      <c r="AG37" s="331"/>
      <c r="AH37" s="331"/>
      <c r="AI37" s="331"/>
      <c r="AJ37" s="328"/>
      <c r="AK37" s="328"/>
      <c r="AL37" s="328"/>
      <c r="AM37" s="328"/>
      <c r="AN37" s="328"/>
      <c r="AO37" s="328"/>
      <c r="AP37" s="328"/>
      <c r="AQ37" s="328"/>
      <c r="AR37" s="328"/>
      <c r="AS37" s="328"/>
      <c r="AT37" s="328"/>
      <c r="AU37" s="24"/>
      <c r="AV37" s="35"/>
      <c r="AW37" s="35"/>
      <c r="AX37" s="35"/>
      <c r="AY37" s="35"/>
      <c r="AZ37" s="35"/>
      <c r="BA37" s="35"/>
      <c r="BB37" s="35"/>
      <c r="BC37" s="35"/>
      <c r="BD37" s="35"/>
      <c r="BE37" s="25"/>
      <c r="BF37" s="134"/>
      <c r="BG37" s="135"/>
      <c r="BH37" s="135"/>
      <c r="BI37" s="135"/>
      <c r="BJ37" s="135"/>
      <c r="BK37" s="136"/>
    </row>
    <row r="38" spans="1:63" s="310" customFormat="1" ht="15" customHeight="1" x14ac:dyDescent="0.25">
      <c r="A38" s="24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25"/>
      <c r="M38" s="328"/>
      <c r="N38" s="328"/>
      <c r="O38" s="331"/>
      <c r="P38" s="331" t="s">
        <v>49</v>
      </c>
      <c r="Q38" s="331"/>
      <c r="R38" s="331"/>
      <c r="S38" s="331"/>
      <c r="T38" s="331"/>
      <c r="U38" s="331"/>
      <c r="V38" s="331"/>
      <c r="W38" s="331"/>
      <c r="X38" s="331"/>
      <c r="Y38" s="331"/>
      <c r="Z38" s="331"/>
      <c r="AA38" s="331"/>
      <c r="AB38" s="331"/>
      <c r="AC38" s="331"/>
      <c r="AD38" s="331"/>
      <c r="AE38" s="331"/>
      <c r="AF38" s="331"/>
      <c r="AG38" s="331"/>
      <c r="AH38" s="331"/>
      <c r="AI38" s="331"/>
      <c r="AJ38" s="328"/>
      <c r="AK38" s="328"/>
      <c r="AL38" s="328"/>
      <c r="AM38" s="328"/>
      <c r="AN38" s="328"/>
      <c r="AO38" s="328"/>
      <c r="AP38" s="328"/>
      <c r="AQ38" s="328"/>
      <c r="AR38" s="328"/>
      <c r="AS38" s="328"/>
      <c r="AT38" s="328"/>
      <c r="AU38" s="24"/>
      <c r="AV38" s="35"/>
      <c r="AW38" s="35"/>
      <c r="AX38" s="35"/>
      <c r="AY38" s="35"/>
      <c r="AZ38" s="35"/>
      <c r="BA38" s="35"/>
      <c r="BB38" s="35"/>
      <c r="BC38" s="35"/>
      <c r="BD38" s="35"/>
      <c r="BE38" s="25"/>
      <c r="BF38" s="134"/>
      <c r="BG38" s="135"/>
      <c r="BH38" s="135"/>
      <c r="BI38" s="135"/>
      <c r="BJ38" s="135"/>
      <c r="BK38" s="136"/>
    </row>
    <row r="39" spans="1:63" s="310" customFormat="1" ht="15" customHeight="1" x14ac:dyDescent="0.25">
      <c r="A39" s="24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25"/>
      <c r="M39" s="328"/>
      <c r="N39" s="328"/>
      <c r="O39" s="331"/>
      <c r="P39" s="331"/>
      <c r="Q39" s="331" t="s">
        <v>50</v>
      </c>
      <c r="R39" s="331"/>
      <c r="S39" s="331"/>
      <c r="T39" s="331"/>
      <c r="U39" s="331"/>
      <c r="V39" s="331"/>
      <c r="W39" s="331"/>
      <c r="X39" s="331"/>
      <c r="Y39" s="331"/>
      <c r="Z39" s="331"/>
      <c r="AA39" s="331"/>
      <c r="AB39" s="331"/>
      <c r="AC39" s="331"/>
      <c r="AD39" s="331"/>
      <c r="AE39" s="331"/>
      <c r="AF39" s="331"/>
      <c r="AG39" s="331"/>
      <c r="AH39" s="331"/>
      <c r="AI39" s="331"/>
      <c r="AJ39" s="331"/>
      <c r="AK39" s="331"/>
      <c r="AL39" s="331"/>
      <c r="AM39" s="331"/>
      <c r="AN39" s="328"/>
      <c r="AO39" s="328"/>
      <c r="AP39" s="328"/>
      <c r="AQ39" s="328"/>
      <c r="AR39" s="328"/>
      <c r="AS39" s="328"/>
      <c r="AT39" s="328"/>
      <c r="AU39" s="24"/>
      <c r="AV39" s="35"/>
      <c r="AW39" s="35"/>
      <c r="AX39" s="35"/>
      <c r="AY39" s="35"/>
      <c r="AZ39" s="35"/>
      <c r="BA39" s="35"/>
      <c r="BB39" s="35"/>
      <c r="BC39" s="35"/>
      <c r="BD39" s="35"/>
      <c r="BE39" s="25"/>
      <c r="BF39" s="134"/>
      <c r="BG39" s="135"/>
      <c r="BH39" s="135"/>
      <c r="BI39" s="135"/>
      <c r="BJ39" s="135"/>
      <c r="BK39" s="136"/>
    </row>
    <row r="40" spans="1:63" s="310" customFormat="1" ht="15" customHeight="1" x14ac:dyDescent="0.25">
      <c r="A40" s="24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25"/>
      <c r="M40" s="328"/>
      <c r="N40" s="328"/>
      <c r="O40" s="331"/>
      <c r="P40" s="331"/>
      <c r="Q40" s="331" t="s">
        <v>51</v>
      </c>
      <c r="R40" s="331"/>
      <c r="S40" s="331"/>
      <c r="T40" s="331"/>
      <c r="U40" s="331"/>
      <c r="V40" s="331"/>
      <c r="W40" s="331"/>
      <c r="X40" s="331"/>
      <c r="Y40" s="331"/>
      <c r="Z40" s="331"/>
      <c r="AA40" s="331"/>
      <c r="AB40" s="331"/>
      <c r="AC40" s="331"/>
      <c r="AD40" s="331"/>
      <c r="AE40" s="331"/>
      <c r="AF40" s="331"/>
      <c r="AG40" s="331"/>
      <c r="AH40" s="331"/>
      <c r="AI40" s="331"/>
      <c r="AJ40" s="331"/>
      <c r="AK40" s="331"/>
      <c r="AL40" s="331"/>
      <c r="AM40" s="331"/>
      <c r="AN40" s="328"/>
      <c r="AO40" s="328"/>
      <c r="AP40" s="328"/>
      <c r="AQ40" s="328"/>
      <c r="AR40" s="328"/>
      <c r="AS40" s="328"/>
      <c r="AT40" s="328"/>
      <c r="AU40" s="24"/>
      <c r="AV40" s="35"/>
      <c r="AW40" s="35"/>
      <c r="AX40" s="35"/>
      <c r="AY40" s="35"/>
      <c r="AZ40" s="35"/>
      <c r="BA40" s="35"/>
      <c r="BB40" s="35"/>
      <c r="BC40" s="35"/>
      <c r="BD40" s="35"/>
      <c r="BE40" s="25"/>
      <c r="BF40" s="134"/>
      <c r="BG40" s="135"/>
      <c r="BH40" s="135"/>
      <c r="BI40" s="135"/>
      <c r="BJ40" s="135"/>
      <c r="BK40" s="136"/>
    </row>
    <row r="41" spans="1:63" s="310" customFormat="1" ht="15" customHeight="1" x14ac:dyDescent="0.25">
      <c r="A41" s="2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25"/>
      <c r="M41" s="328"/>
      <c r="N41" s="328"/>
      <c r="O41" s="331"/>
      <c r="P41" s="331"/>
      <c r="Q41" s="331"/>
      <c r="R41" s="331" t="s">
        <v>29</v>
      </c>
      <c r="S41" s="331"/>
      <c r="T41" s="331"/>
      <c r="U41" s="331"/>
      <c r="V41" s="331"/>
      <c r="W41" s="331"/>
      <c r="X41" s="331"/>
      <c r="Y41" s="331"/>
      <c r="Z41" s="331"/>
      <c r="AA41" s="331"/>
      <c r="AB41" s="331"/>
      <c r="AC41" s="331"/>
      <c r="AD41" s="331"/>
      <c r="AE41" s="331"/>
      <c r="AF41" s="331"/>
      <c r="AG41" s="331"/>
      <c r="AH41" s="331"/>
      <c r="AI41" s="331"/>
      <c r="AJ41" s="331"/>
      <c r="AK41" s="331"/>
      <c r="AL41" s="331"/>
      <c r="AM41" s="331"/>
      <c r="AN41" s="328"/>
      <c r="AO41" s="328"/>
      <c r="AP41" s="328"/>
      <c r="AQ41" s="328"/>
      <c r="AR41" s="328"/>
      <c r="AS41" s="328"/>
      <c r="AT41" s="328"/>
      <c r="AU41" s="24"/>
      <c r="AV41" s="35"/>
      <c r="AW41" s="35"/>
      <c r="AX41" s="35"/>
      <c r="AY41" s="35"/>
      <c r="AZ41" s="35"/>
      <c r="BA41" s="35"/>
      <c r="BB41" s="35"/>
      <c r="BC41" s="35"/>
      <c r="BD41" s="35"/>
      <c r="BE41" s="25"/>
      <c r="BF41" s="134"/>
      <c r="BG41" s="135"/>
      <c r="BH41" s="135"/>
      <c r="BI41" s="135"/>
      <c r="BJ41" s="135"/>
      <c r="BK41" s="136"/>
    </row>
    <row r="42" spans="1:63" s="310" customFormat="1" ht="15" customHeight="1" x14ac:dyDescent="0.25">
      <c r="A42" s="2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25"/>
      <c r="M42" s="328"/>
      <c r="N42" s="328"/>
      <c r="O42" s="331"/>
      <c r="P42" s="331"/>
      <c r="Q42" s="331"/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331"/>
      <c r="AD42" s="331"/>
      <c r="AE42" s="331"/>
      <c r="AF42" s="331"/>
      <c r="AG42" s="331"/>
      <c r="AH42" s="331"/>
      <c r="AI42" s="331"/>
      <c r="AJ42" s="331"/>
      <c r="AK42" s="331"/>
      <c r="AL42" s="331"/>
      <c r="AM42" s="331"/>
      <c r="AN42" s="328"/>
      <c r="AO42" s="328"/>
      <c r="AP42" s="328"/>
      <c r="AQ42" s="328"/>
      <c r="AR42" s="328"/>
      <c r="AS42" s="328"/>
      <c r="AT42" s="328"/>
      <c r="AU42" s="24"/>
      <c r="AV42" s="35"/>
      <c r="AW42" s="35"/>
      <c r="AX42" s="35"/>
      <c r="AY42" s="35"/>
      <c r="AZ42" s="35"/>
      <c r="BA42" s="35"/>
      <c r="BB42" s="35"/>
      <c r="BC42" s="35"/>
      <c r="BD42" s="35"/>
      <c r="BE42" s="25"/>
      <c r="BF42" s="134"/>
      <c r="BG42" s="135"/>
      <c r="BH42" s="135"/>
      <c r="BI42" s="135"/>
      <c r="BJ42" s="135"/>
      <c r="BK42" s="136"/>
    </row>
    <row r="43" spans="1:63" s="310" customFormat="1" ht="15" customHeight="1" x14ac:dyDescent="0.25">
      <c r="A43" s="2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25"/>
      <c r="M43" s="328"/>
      <c r="N43" s="328"/>
      <c r="O43" s="331"/>
      <c r="P43" s="328" t="s">
        <v>53</v>
      </c>
      <c r="Q43" s="331"/>
      <c r="R43" s="331"/>
      <c r="S43" s="331"/>
      <c r="T43" s="331"/>
      <c r="U43" s="331"/>
      <c r="V43" s="331"/>
      <c r="W43" s="331"/>
      <c r="X43" s="331"/>
      <c r="Y43" s="331"/>
      <c r="Z43" s="331"/>
      <c r="AA43" s="331"/>
      <c r="AB43" s="331"/>
      <c r="AC43" s="331"/>
      <c r="AD43" s="331"/>
      <c r="AE43" s="331"/>
      <c r="AF43" s="331"/>
      <c r="AG43" s="331"/>
      <c r="AH43" s="331"/>
      <c r="AI43" s="331"/>
      <c r="AJ43" s="331"/>
      <c r="AK43" s="331"/>
      <c r="AL43" s="331"/>
      <c r="AM43" s="331"/>
      <c r="AN43" s="328"/>
      <c r="AO43" s="328"/>
      <c r="AP43" s="328"/>
      <c r="AQ43" s="328"/>
      <c r="AR43" s="328"/>
      <c r="AS43" s="328"/>
      <c r="AT43" s="328"/>
      <c r="AU43" s="24"/>
      <c r="AV43" s="35"/>
      <c r="AW43" s="35"/>
      <c r="AX43" s="35"/>
      <c r="AY43" s="35"/>
      <c r="AZ43" s="35"/>
      <c r="BA43" s="35"/>
      <c r="BB43" s="35"/>
      <c r="BC43" s="35"/>
      <c r="BD43" s="35"/>
      <c r="BE43" s="25"/>
      <c r="BF43" s="134"/>
      <c r="BG43" s="135"/>
      <c r="BH43" s="135"/>
      <c r="BI43" s="135"/>
      <c r="BJ43" s="135"/>
      <c r="BK43" s="136"/>
    </row>
    <row r="44" spans="1:63" s="310" customFormat="1" ht="15" customHeight="1" x14ac:dyDescent="0.25">
      <c r="A44" s="24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25"/>
      <c r="M44" s="328"/>
      <c r="N44" s="328"/>
      <c r="O44" s="331"/>
      <c r="P44" s="331"/>
      <c r="Q44" s="331" t="s">
        <v>50</v>
      </c>
      <c r="R44" s="331"/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331"/>
      <c r="AD44" s="331"/>
      <c r="AE44" s="331"/>
      <c r="AF44" s="331"/>
      <c r="AG44" s="331"/>
      <c r="AH44" s="331"/>
      <c r="AI44" s="331"/>
      <c r="AJ44" s="331"/>
      <c r="AK44" s="331"/>
      <c r="AL44" s="331"/>
      <c r="AM44" s="331"/>
      <c r="AN44" s="328"/>
      <c r="AO44" s="328"/>
      <c r="AP44" s="328"/>
      <c r="AQ44" s="328"/>
      <c r="AR44" s="328"/>
      <c r="AS44" s="328"/>
      <c r="AT44" s="328"/>
      <c r="AU44" s="24"/>
      <c r="AV44" s="35"/>
      <c r="AW44" s="35"/>
      <c r="AX44" s="35"/>
      <c r="AY44" s="35"/>
      <c r="AZ44" s="35"/>
      <c r="BA44" s="35"/>
      <c r="BB44" s="35"/>
      <c r="BC44" s="35"/>
      <c r="BD44" s="35"/>
      <c r="BE44" s="25"/>
      <c r="BF44" s="134"/>
      <c r="BG44" s="135"/>
      <c r="BH44" s="135"/>
      <c r="BI44" s="135"/>
      <c r="BJ44" s="135"/>
      <c r="BK44" s="136"/>
    </row>
    <row r="45" spans="1:63" s="310" customFormat="1" ht="15" customHeight="1" x14ac:dyDescent="0.25">
      <c r="A45" s="24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25"/>
      <c r="M45" s="328"/>
      <c r="N45" s="328"/>
      <c r="O45" s="331"/>
      <c r="P45" s="331"/>
      <c r="Q45" s="331" t="s">
        <v>52</v>
      </c>
      <c r="R45" s="331"/>
      <c r="S45" s="331"/>
      <c r="T45" s="331"/>
      <c r="U45" s="331"/>
      <c r="V45" s="331"/>
      <c r="W45" s="331"/>
      <c r="X45" s="331"/>
      <c r="Y45" s="331"/>
      <c r="Z45" s="331"/>
      <c r="AA45" s="331"/>
      <c r="AB45" s="331"/>
      <c r="AC45" s="331"/>
      <c r="AD45" s="331"/>
      <c r="AE45" s="331"/>
      <c r="AF45" s="331"/>
      <c r="AG45" s="331"/>
      <c r="AH45" s="331"/>
      <c r="AI45" s="331"/>
      <c r="AJ45" s="328"/>
      <c r="AK45" s="328"/>
      <c r="AL45" s="328"/>
      <c r="AM45" s="328"/>
      <c r="AN45" s="328"/>
      <c r="AO45" s="328"/>
      <c r="AP45" s="328"/>
      <c r="AQ45" s="328"/>
      <c r="AR45" s="328"/>
      <c r="AS45" s="328"/>
      <c r="AT45" s="328"/>
      <c r="AU45" s="24"/>
      <c r="AV45" s="35"/>
      <c r="AW45" s="35"/>
      <c r="AX45" s="35"/>
      <c r="AY45" s="35"/>
      <c r="AZ45" s="35"/>
      <c r="BA45" s="35"/>
      <c r="BB45" s="35"/>
      <c r="BC45" s="35"/>
      <c r="BD45" s="35"/>
      <c r="BE45" s="25"/>
      <c r="BF45" s="134"/>
      <c r="BG45" s="135"/>
      <c r="BH45" s="135"/>
      <c r="BI45" s="135"/>
      <c r="BJ45" s="135"/>
      <c r="BK45" s="136"/>
    </row>
    <row r="46" spans="1:63" s="310" customFormat="1" ht="15" customHeight="1" x14ac:dyDescent="0.25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8"/>
      <c r="M46" s="332"/>
      <c r="N46" s="333"/>
      <c r="O46" s="333"/>
      <c r="P46" s="333"/>
      <c r="Q46" s="33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334"/>
      <c r="AQ46" s="334"/>
      <c r="AR46" s="334"/>
      <c r="AS46" s="334"/>
      <c r="AT46" s="334"/>
      <c r="AU46" s="26"/>
      <c r="AV46" s="27"/>
      <c r="AW46" s="27"/>
      <c r="AX46" s="27"/>
      <c r="AY46" s="27"/>
      <c r="AZ46" s="27"/>
      <c r="BA46" s="27"/>
      <c r="BB46" s="27"/>
      <c r="BC46" s="27"/>
      <c r="BD46" s="27"/>
      <c r="BE46" s="28"/>
      <c r="BF46" s="128"/>
      <c r="BG46" s="129"/>
      <c r="BH46" s="129"/>
      <c r="BI46" s="129"/>
      <c r="BJ46" s="129"/>
      <c r="BK46" s="130"/>
    </row>
    <row r="47" spans="1:63" ht="15" customHeight="1" x14ac:dyDescent="0.25">
      <c r="A47" s="44"/>
      <c r="BK47" s="15"/>
    </row>
    <row r="48" spans="1:63" ht="15" customHeight="1" x14ac:dyDescent="0.25">
      <c r="A48" s="44"/>
      <c r="BK48" s="15"/>
    </row>
    <row r="49" spans="1:63" ht="15" customHeight="1" x14ac:dyDescent="0.25">
      <c r="A49" s="44"/>
      <c r="BK49" s="15"/>
    </row>
    <row r="50" spans="1:63" s="310" customFormat="1" ht="15" customHeight="1" x14ac:dyDescent="0.25">
      <c r="A50" s="316" t="s">
        <v>13</v>
      </c>
      <c r="B50" s="317"/>
      <c r="C50" s="317"/>
      <c r="D50" s="317"/>
      <c r="E50" s="317"/>
      <c r="F50" s="318"/>
      <c r="G50" s="312" t="s">
        <v>46</v>
      </c>
      <c r="H50" s="312"/>
      <c r="I50" s="312"/>
      <c r="J50" s="312"/>
      <c r="K50" s="312"/>
      <c r="L50" s="312"/>
      <c r="M50" s="319" t="s">
        <v>47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320"/>
      <c r="BI50" s="320"/>
      <c r="BJ50" s="320"/>
      <c r="BK50" s="321"/>
    </row>
    <row r="51" spans="1:63" s="310" customFormat="1" ht="15" customHeight="1" x14ac:dyDescent="0.25">
      <c r="A51" s="322" t="s">
        <v>15</v>
      </c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4"/>
      <c r="M51" s="322" t="s">
        <v>16</v>
      </c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323"/>
      <c r="AB51" s="323"/>
      <c r="AC51" s="323"/>
      <c r="AD51" s="323"/>
      <c r="AE51" s="323"/>
      <c r="AF51" s="323"/>
      <c r="AG51" s="323"/>
      <c r="AH51" s="323"/>
      <c r="AI51" s="323"/>
      <c r="AJ51" s="323"/>
      <c r="AK51" s="323"/>
      <c r="AL51" s="323"/>
      <c r="AM51" s="323"/>
      <c r="AN51" s="323"/>
      <c r="AO51" s="323"/>
      <c r="AP51" s="323"/>
      <c r="AQ51" s="323"/>
      <c r="AR51" s="323"/>
      <c r="AS51" s="323"/>
      <c r="AT51" s="324"/>
      <c r="AU51" s="322" t="s">
        <v>17</v>
      </c>
      <c r="AV51" s="323"/>
      <c r="AW51" s="323"/>
      <c r="AX51" s="323"/>
      <c r="AY51" s="323"/>
      <c r="AZ51" s="323"/>
      <c r="BA51" s="323"/>
      <c r="BB51" s="323"/>
      <c r="BC51" s="323"/>
      <c r="BD51" s="323"/>
      <c r="BE51" s="323"/>
      <c r="BF51" s="322" t="s">
        <v>18</v>
      </c>
      <c r="BG51" s="323"/>
      <c r="BH51" s="323"/>
      <c r="BI51" s="323"/>
      <c r="BJ51" s="323"/>
      <c r="BK51" s="324"/>
    </row>
    <row r="52" spans="1:63" s="310" customFormat="1" ht="15" customHeight="1" x14ac:dyDescent="0.25">
      <c r="A52" s="325"/>
      <c r="B52" s="326"/>
      <c r="C52" s="326"/>
      <c r="D52" s="326"/>
      <c r="E52" s="326"/>
      <c r="F52" s="326"/>
      <c r="G52" s="326"/>
      <c r="H52" s="326"/>
      <c r="I52" s="326"/>
      <c r="J52" s="326"/>
      <c r="K52" s="326"/>
      <c r="L52" s="327"/>
      <c r="M52" s="325"/>
      <c r="N52" s="326"/>
      <c r="O52" s="326"/>
      <c r="P52" s="326"/>
      <c r="Q52" s="326"/>
      <c r="R52" s="326"/>
      <c r="S52" s="326"/>
      <c r="T52" s="326"/>
      <c r="U52" s="326"/>
      <c r="V52" s="326"/>
      <c r="W52" s="326"/>
      <c r="X52" s="326"/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  <c r="AJ52" s="326"/>
      <c r="AK52" s="326"/>
      <c r="AL52" s="326"/>
      <c r="AM52" s="326"/>
      <c r="AN52" s="326"/>
      <c r="AO52" s="326"/>
      <c r="AP52" s="326"/>
      <c r="AQ52" s="326"/>
      <c r="AR52" s="326"/>
      <c r="AS52" s="326"/>
      <c r="AT52" s="327"/>
      <c r="AU52" s="325"/>
      <c r="AV52" s="326"/>
      <c r="AW52" s="326"/>
      <c r="AX52" s="326"/>
      <c r="AY52" s="326"/>
      <c r="AZ52" s="326"/>
      <c r="BA52" s="326"/>
      <c r="BB52" s="326"/>
      <c r="BC52" s="326"/>
      <c r="BD52" s="326"/>
      <c r="BE52" s="326"/>
      <c r="BF52" s="325"/>
      <c r="BG52" s="326"/>
      <c r="BH52" s="326"/>
      <c r="BI52" s="326"/>
      <c r="BJ52" s="326"/>
      <c r="BK52" s="327"/>
    </row>
    <row r="53" spans="1:63" s="310" customFormat="1" ht="15" customHeight="1" x14ac:dyDescent="0.25">
      <c r="A53" s="20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2"/>
      <c r="M53" s="328"/>
      <c r="N53" s="328"/>
      <c r="O53" s="328"/>
      <c r="P53" s="328"/>
      <c r="Q53" s="328"/>
      <c r="R53" s="329"/>
      <c r="S53" s="329"/>
      <c r="T53" s="329"/>
      <c r="U53" s="329"/>
      <c r="V53" s="329"/>
      <c r="W53" s="329"/>
      <c r="X53" s="329"/>
      <c r="Y53" s="329"/>
      <c r="Z53" s="329"/>
      <c r="AA53" s="329"/>
      <c r="AB53" s="329"/>
      <c r="AC53" s="329"/>
      <c r="AD53" s="329"/>
      <c r="AE53" s="329"/>
      <c r="AF53" s="329"/>
      <c r="AG53" s="329"/>
      <c r="AH53" s="329"/>
      <c r="AI53" s="329"/>
      <c r="AJ53" s="329"/>
      <c r="AK53" s="329"/>
      <c r="AL53" s="329"/>
      <c r="AM53" s="329"/>
      <c r="AN53" s="329"/>
      <c r="AO53" s="329"/>
      <c r="AP53" s="329"/>
      <c r="AQ53" s="329"/>
      <c r="AR53" s="329"/>
      <c r="AS53" s="329"/>
      <c r="AT53" s="329"/>
      <c r="AU53" s="20"/>
      <c r="AV53" s="21"/>
      <c r="AW53" s="21"/>
      <c r="AX53" s="21"/>
      <c r="AY53" s="21"/>
      <c r="AZ53" s="21"/>
      <c r="BA53" s="21"/>
      <c r="BB53" s="21"/>
      <c r="BC53" s="21"/>
      <c r="BD53" s="21"/>
      <c r="BE53" s="22"/>
      <c r="BF53" s="131" t="s">
        <v>205</v>
      </c>
      <c r="BG53" s="132"/>
      <c r="BH53" s="132"/>
      <c r="BI53" s="132"/>
      <c r="BJ53" s="132"/>
      <c r="BK53" s="133"/>
    </row>
    <row r="54" spans="1:63" s="310" customFormat="1" ht="15" customHeight="1" x14ac:dyDescent="0.25">
      <c r="A54" s="24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25"/>
      <c r="M54" s="328"/>
      <c r="N54" s="45" t="s">
        <v>178</v>
      </c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Y54" s="328"/>
      <c r="Z54" s="328"/>
      <c r="AA54" s="328"/>
      <c r="AB54" s="328"/>
      <c r="AC54" s="328"/>
      <c r="AD54" s="328"/>
      <c r="AE54" s="328"/>
      <c r="AF54" s="328"/>
      <c r="AG54" s="328"/>
      <c r="AH54" s="328"/>
      <c r="AI54" s="328"/>
      <c r="AJ54" s="328"/>
      <c r="AK54" s="328"/>
      <c r="AL54" s="328"/>
      <c r="AM54" s="328"/>
      <c r="AN54" s="328"/>
      <c r="AO54" s="328"/>
      <c r="AP54" s="328"/>
      <c r="AQ54" s="328"/>
      <c r="AR54" s="328"/>
      <c r="AS54" s="328"/>
      <c r="AT54" s="328"/>
      <c r="AU54" s="24"/>
      <c r="AV54" s="35"/>
      <c r="AW54" s="35"/>
      <c r="AX54" s="35"/>
      <c r="AY54" s="35"/>
      <c r="AZ54" s="35"/>
      <c r="BA54" s="35"/>
      <c r="BB54" s="35"/>
      <c r="BC54" s="35"/>
      <c r="BD54" s="35"/>
      <c r="BE54" s="25"/>
      <c r="BF54" s="134"/>
      <c r="BG54" s="135"/>
      <c r="BH54" s="135"/>
      <c r="BI54" s="135"/>
      <c r="BJ54" s="135"/>
      <c r="BK54" s="136"/>
    </row>
    <row r="55" spans="1:63" s="310" customFormat="1" ht="15" customHeight="1" x14ac:dyDescent="0.25">
      <c r="A55" s="24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25"/>
      <c r="M55" s="330"/>
      <c r="N55" s="328"/>
      <c r="O55" s="331" t="s">
        <v>57</v>
      </c>
      <c r="P55" s="331"/>
      <c r="Q55" s="331"/>
      <c r="R55" s="331"/>
      <c r="S55" s="331"/>
      <c r="T55" s="331"/>
      <c r="U55" s="331"/>
      <c r="V55" s="331"/>
      <c r="W55" s="331"/>
      <c r="X55" s="331"/>
      <c r="Y55" s="331"/>
      <c r="Z55" s="331"/>
      <c r="AA55" s="331"/>
      <c r="AB55" s="331"/>
      <c r="AC55" s="331"/>
      <c r="AD55" s="331"/>
      <c r="AE55" s="331"/>
      <c r="AF55" s="331"/>
      <c r="AG55" s="331"/>
      <c r="AH55" s="331"/>
      <c r="AI55" s="331"/>
      <c r="AJ55" s="328"/>
      <c r="AK55" s="328"/>
      <c r="AL55" s="328"/>
      <c r="AM55" s="328"/>
      <c r="AN55" s="328"/>
      <c r="AO55" s="328"/>
      <c r="AP55" s="328"/>
      <c r="AQ55" s="328"/>
      <c r="AR55" s="328"/>
      <c r="AS55" s="328"/>
      <c r="AT55" s="328"/>
      <c r="AU55" s="24"/>
      <c r="AV55" s="35"/>
      <c r="AW55" s="35"/>
      <c r="AX55" s="35"/>
      <c r="AY55" s="35"/>
      <c r="AZ55" s="35"/>
      <c r="BA55" s="35"/>
      <c r="BB55" s="35"/>
      <c r="BC55" s="35"/>
      <c r="BD55" s="35"/>
      <c r="BE55" s="25"/>
      <c r="BF55" s="134"/>
      <c r="BG55" s="135"/>
      <c r="BH55" s="135"/>
      <c r="BI55" s="135"/>
      <c r="BJ55" s="135"/>
      <c r="BK55" s="136"/>
    </row>
    <row r="56" spans="1:63" s="310" customFormat="1" ht="15" customHeight="1" x14ac:dyDescent="0.25">
      <c r="A56" s="24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25"/>
      <c r="M56" s="328"/>
      <c r="O56" s="331"/>
      <c r="P56" s="331" t="s">
        <v>63</v>
      </c>
      <c r="Q56" s="331"/>
      <c r="R56" s="331"/>
      <c r="S56" s="331"/>
      <c r="T56" s="331"/>
      <c r="U56" s="331"/>
      <c r="V56" s="331"/>
      <c r="W56" s="331"/>
      <c r="X56" s="331"/>
      <c r="Y56" s="331"/>
      <c r="Z56" s="331"/>
      <c r="AA56" s="331"/>
      <c r="AB56" s="331"/>
      <c r="AC56" s="331"/>
      <c r="AD56" s="331"/>
      <c r="AE56" s="331"/>
      <c r="AF56" s="331"/>
      <c r="AG56" s="331"/>
      <c r="AH56" s="331"/>
      <c r="AI56" s="331"/>
      <c r="AJ56" s="328"/>
      <c r="AK56" s="328"/>
      <c r="AL56" s="328"/>
      <c r="AM56" s="328"/>
      <c r="AN56" s="328"/>
      <c r="AO56" s="328"/>
      <c r="AP56" s="328"/>
      <c r="AQ56" s="328"/>
      <c r="AR56" s="328"/>
      <c r="AS56" s="328"/>
      <c r="AT56" s="328"/>
      <c r="AU56" s="24"/>
      <c r="AV56" s="35"/>
      <c r="AW56" s="35"/>
      <c r="AX56" s="35"/>
      <c r="AY56" s="35"/>
      <c r="AZ56" s="35"/>
      <c r="BA56" s="35"/>
      <c r="BB56" s="35"/>
      <c r="BC56" s="35"/>
      <c r="BD56" s="35"/>
      <c r="BE56" s="25"/>
      <c r="BF56" s="134"/>
      <c r="BG56" s="135"/>
      <c r="BH56" s="135"/>
      <c r="BI56" s="135"/>
      <c r="BJ56" s="135"/>
      <c r="BK56" s="136"/>
    </row>
    <row r="57" spans="1:63" s="310" customFormat="1" ht="15" customHeight="1" x14ac:dyDescent="0.25">
      <c r="A57" s="24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25"/>
      <c r="M57" s="328"/>
      <c r="N57" s="55"/>
      <c r="O57" s="39" t="s">
        <v>179</v>
      </c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24"/>
      <c r="AV57" s="35"/>
      <c r="AW57" s="35"/>
      <c r="AX57" s="35"/>
      <c r="AY57" s="35"/>
      <c r="AZ57" s="35"/>
      <c r="BA57" s="35"/>
      <c r="BB57" s="35"/>
      <c r="BC57" s="35"/>
      <c r="BD57" s="35"/>
      <c r="BE57" s="25"/>
      <c r="BF57" s="134"/>
      <c r="BG57" s="135"/>
      <c r="BH57" s="135"/>
      <c r="BI57" s="135"/>
      <c r="BJ57" s="135"/>
      <c r="BK57" s="136"/>
    </row>
    <row r="58" spans="1:63" s="310" customFormat="1" ht="15" customHeight="1" x14ac:dyDescent="0.25">
      <c r="A58" s="24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25"/>
      <c r="M58" s="328"/>
      <c r="N58" s="56" t="s">
        <v>180</v>
      </c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24"/>
      <c r="AV58" s="35"/>
      <c r="AW58" s="35"/>
      <c r="AX58" s="35"/>
      <c r="AY58" s="35"/>
      <c r="AZ58" s="35"/>
      <c r="BA58" s="35"/>
      <c r="BB58" s="35"/>
      <c r="BC58" s="35"/>
      <c r="BD58" s="35"/>
      <c r="BE58" s="25"/>
      <c r="BF58" s="134"/>
      <c r="BG58" s="135"/>
      <c r="BH58" s="135"/>
      <c r="BI58" s="135"/>
      <c r="BJ58" s="135"/>
      <c r="BK58" s="136"/>
    </row>
    <row r="59" spans="1:63" s="310" customFormat="1" ht="15" customHeight="1" x14ac:dyDescent="0.25">
      <c r="A59" s="24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25"/>
      <c r="M59" s="328"/>
      <c r="N59" s="56"/>
      <c r="O59" s="340" t="s">
        <v>181</v>
      </c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24"/>
      <c r="AV59" s="35"/>
      <c r="AW59" s="35"/>
      <c r="AX59" s="35"/>
      <c r="AY59" s="35"/>
      <c r="AZ59" s="35"/>
      <c r="BA59" s="35"/>
      <c r="BB59" s="35"/>
      <c r="BC59" s="35"/>
      <c r="BD59" s="35"/>
      <c r="BE59" s="25"/>
      <c r="BF59" s="134"/>
      <c r="BG59" s="135"/>
      <c r="BH59" s="135"/>
      <c r="BI59" s="135"/>
      <c r="BJ59" s="135"/>
      <c r="BK59" s="136"/>
    </row>
    <row r="60" spans="1:63" s="310" customFormat="1" ht="15" customHeight="1" x14ac:dyDescent="0.25">
      <c r="A60" s="24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25"/>
      <c r="M60" s="328"/>
      <c r="N60" s="56"/>
      <c r="O60" s="39"/>
      <c r="P60" s="340" t="s">
        <v>203</v>
      </c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24"/>
      <c r="AV60" s="35"/>
      <c r="AW60" s="35"/>
      <c r="AX60" s="35"/>
      <c r="AY60" s="35"/>
      <c r="AZ60" s="35"/>
      <c r="BA60" s="35"/>
      <c r="BB60" s="35"/>
      <c r="BC60" s="35"/>
      <c r="BD60" s="35"/>
      <c r="BE60" s="25"/>
      <c r="BF60" s="134"/>
      <c r="BG60" s="135"/>
      <c r="BH60" s="135"/>
      <c r="BI60" s="135"/>
      <c r="BJ60" s="135"/>
      <c r="BK60" s="136"/>
    </row>
    <row r="61" spans="1:63" s="310" customFormat="1" ht="15" customHeight="1" x14ac:dyDescent="0.25">
      <c r="A61" s="24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25"/>
      <c r="M61" s="328"/>
      <c r="N61" s="56"/>
      <c r="O61" s="39"/>
      <c r="P61" s="39"/>
      <c r="Q61" s="340" t="s">
        <v>202</v>
      </c>
      <c r="R61" s="340"/>
      <c r="S61" s="340"/>
      <c r="T61" s="340"/>
      <c r="U61" s="340"/>
      <c r="V61" s="340"/>
      <c r="W61" s="340"/>
      <c r="X61" s="340"/>
      <c r="Y61" s="340"/>
      <c r="Z61" s="340"/>
      <c r="AA61" s="340"/>
      <c r="AB61" s="340"/>
      <c r="AC61" s="39"/>
      <c r="AD61" s="39"/>
      <c r="AE61" s="39"/>
      <c r="AF61" s="39"/>
      <c r="AG61" s="39"/>
      <c r="AH61" s="39"/>
      <c r="AI61" s="39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24"/>
      <c r="AV61" s="35"/>
      <c r="AW61" s="35"/>
      <c r="AX61" s="35"/>
      <c r="AY61" s="35"/>
      <c r="AZ61" s="35"/>
      <c r="BA61" s="35"/>
      <c r="BB61" s="35"/>
      <c r="BC61" s="35"/>
      <c r="BD61" s="35"/>
      <c r="BE61" s="25"/>
      <c r="BF61" s="134"/>
      <c r="BG61" s="135"/>
      <c r="BH61" s="135"/>
      <c r="BI61" s="135"/>
      <c r="BJ61" s="135"/>
      <c r="BK61" s="136"/>
    </row>
    <row r="62" spans="1:63" s="310" customFormat="1" ht="15" customHeight="1" x14ac:dyDescent="0.25">
      <c r="A62" s="24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25"/>
      <c r="M62" s="328"/>
      <c r="N62" s="56"/>
      <c r="O62" s="340" t="s">
        <v>182</v>
      </c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24"/>
      <c r="AV62" s="35"/>
      <c r="AW62" s="35"/>
      <c r="AX62" s="35"/>
      <c r="AY62" s="35"/>
      <c r="AZ62" s="35"/>
      <c r="BA62" s="35"/>
      <c r="BB62" s="35"/>
      <c r="BC62" s="35"/>
      <c r="BD62" s="35"/>
      <c r="BE62" s="25"/>
      <c r="BF62" s="134"/>
      <c r="BG62" s="135"/>
      <c r="BH62" s="135"/>
      <c r="BI62" s="135"/>
      <c r="BJ62" s="135"/>
      <c r="BK62" s="136"/>
    </row>
    <row r="63" spans="1:63" s="310" customFormat="1" ht="15" customHeight="1" x14ac:dyDescent="0.25">
      <c r="A63" s="24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25"/>
      <c r="M63" s="328"/>
      <c r="N63" s="56"/>
      <c r="O63" s="39"/>
      <c r="P63" s="340" t="s">
        <v>183</v>
      </c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24"/>
      <c r="AV63" s="35"/>
      <c r="AW63" s="35"/>
      <c r="AX63" s="35"/>
      <c r="AY63" s="35"/>
      <c r="AZ63" s="35"/>
      <c r="BA63" s="35"/>
      <c r="BB63" s="35"/>
      <c r="BC63" s="35"/>
      <c r="BD63" s="35"/>
      <c r="BE63" s="25"/>
      <c r="BF63" s="134"/>
      <c r="BG63" s="135"/>
      <c r="BH63" s="135"/>
      <c r="BI63" s="135"/>
      <c r="BJ63" s="135"/>
      <c r="BK63" s="136"/>
    </row>
    <row r="64" spans="1:63" s="310" customFormat="1" ht="15" customHeight="1" x14ac:dyDescent="0.25">
      <c r="A64" s="24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25"/>
      <c r="M64" s="328"/>
      <c r="N64" s="56"/>
      <c r="O64" s="39"/>
      <c r="P64" s="340" t="s">
        <v>184</v>
      </c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24"/>
      <c r="AV64" s="35"/>
      <c r="AW64" s="35"/>
      <c r="AX64" s="35"/>
      <c r="AY64" s="35"/>
      <c r="AZ64" s="35"/>
      <c r="BA64" s="35"/>
      <c r="BB64" s="35"/>
      <c r="BC64" s="35"/>
      <c r="BD64" s="35"/>
      <c r="BE64" s="25"/>
      <c r="BF64" s="134"/>
      <c r="BG64" s="135"/>
      <c r="BH64" s="135"/>
      <c r="BI64" s="135"/>
      <c r="BJ64" s="135"/>
      <c r="BK64" s="136"/>
    </row>
    <row r="65" spans="1:67" s="310" customFormat="1" ht="15" customHeight="1" x14ac:dyDescent="0.25">
      <c r="A65" s="24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25"/>
      <c r="M65" s="328"/>
      <c r="N65" s="56"/>
      <c r="O65" s="39"/>
      <c r="P65" s="340" t="s">
        <v>185</v>
      </c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24"/>
      <c r="AV65" s="35"/>
      <c r="AW65" s="35"/>
      <c r="AX65" s="35"/>
      <c r="AY65" s="35"/>
      <c r="AZ65" s="35"/>
      <c r="BA65" s="35"/>
      <c r="BB65" s="35"/>
      <c r="BC65" s="35"/>
      <c r="BD65" s="35"/>
      <c r="BE65" s="25"/>
      <c r="BF65" s="134"/>
      <c r="BG65" s="135"/>
      <c r="BH65" s="135"/>
      <c r="BI65" s="135"/>
      <c r="BJ65" s="135"/>
      <c r="BK65" s="136"/>
    </row>
    <row r="66" spans="1:67" s="310" customFormat="1" ht="15" customHeight="1" x14ac:dyDescent="0.25">
      <c r="A66" s="24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25"/>
      <c r="M66" s="328"/>
      <c r="N66" s="56"/>
      <c r="O66" s="39"/>
      <c r="P66" s="39"/>
      <c r="Q66" s="340" t="s">
        <v>186</v>
      </c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24"/>
      <c r="AV66" s="35"/>
      <c r="AW66" s="35"/>
      <c r="AX66" s="35"/>
      <c r="AY66" s="35"/>
      <c r="AZ66" s="35"/>
      <c r="BA66" s="35"/>
      <c r="BB66" s="35"/>
      <c r="BC66" s="35"/>
      <c r="BD66" s="35"/>
      <c r="BE66" s="25"/>
      <c r="BF66" s="134"/>
      <c r="BG66" s="135"/>
      <c r="BH66" s="135"/>
      <c r="BI66" s="135"/>
      <c r="BJ66" s="135"/>
      <c r="BK66" s="136"/>
    </row>
    <row r="67" spans="1:67" s="310" customFormat="1" ht="15" customHeight="1" x14ac:dyDescent="0.25">
      <c r="A67" s="24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25"/>
      <c r="M67" s="328"/>
      <c r="N67" s="56"/>
      <c r="O67" s="39"/>
      <c r="P67" s="39"/>
      <c r="Q67" s="340" t="s">
        <v>187</v>
      </c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24"/>
      <c r="AV67" s="35"/>
      <c r="AW67" s="35"/>
      <c r="AX67" s="35"/>
      <c r="AY67" s="35"/>
      <c r="AZ67" s="35"/>
      <c r="BA67" s="35"/>
      <c r="BB67" s="35"/>
      <c r="BC67" s="35"/>
      <c r="BD67" s="35"/>
      <c r="BE67" s="25"/>
      <c r="BF67" s="134"/>
      <c r="BG67" s="135"/>
      <c r="BH67" s="135"/>
      <c r="BI67" s="135"/>
      <c r="BJ67" s="135"/>
      <c r="BK67" s="136"/>
    </row>
    <row r="68" spans="1:67" s="310" customFormat="1" ht="15" customHeight="1" x14ac:dyDescent="0.25">
      <c r="A68" s="24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25"/>
      <c r="M68" s="328"/>
      <c r="N68" s="5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24"/>
      <c r="AV68" s="35"/>
      <c r="AW68" s="35"/>
      <c r="AX68" s="35"/>
      <c r="AY68" s="35"/>
      <c r="AZ68" s="35"/>
      <c r="BA68" s="35"/>
      <c r="BB68" s="35"/>
      <c r="BC68" s="35"/>
      <c r="BD68" s="35"/>
      <c r="BE68" s="25"/>
      <c r="BF68" s="134"/>
      <c r="BG68" s="135"/>
      <c r="BH68" s="135"/>
      <c r="BI68" s="135"/>
      <c r="BJ68" s="135"/>
      <c r="BK68" s="136"/>
    </row>
    <row r="69" spans="1:67" s="310" customFormat="1" ht="15" customHeight="1" x14ac:dyDescent="0.25">
      <c r="A69" s="24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25"/>
      <c r="M69" s="328"/>
      <c r="N69" s="55"/>
      <c r="O69" s="39" t="s">
        <v>125</v>
      </c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24"/>
      <c r="AV69" s="35"/>
      <c r="AW69" s="35"/>
      <c r="AX69" s="35"/>
      <c r="AY69" s="35"/>
      <c r="AZ69" s="35"/>
      <c r="BA69" s="35"/>
      <c r="BB69" s="35"/>
      <c r="BC69" s="35"/>
      <c r="BD69" s="35"/>
      <c r="BE69" s="25"/>
      <c r="BF69" s="134"/>
      <c r="BG69" s="135"/>
      <c r="BH69" s="135"/>
      <c r="BI69" s="135"/>
      <c r="BJ69" s="135"/>
      <c r="BK69" s="136"/>
      <c r="BM69" s="331"/>
      <c r="BN69" s="331"/>
      <c r="BO69" s="331"/>
    </row>
    <row r="70" spans="1:67" s="310" customFormat="1" ht="15" customHeight="1" x14ac:dyDescent="0.25">
      <c r="A70" s="24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25"/>
      <c r="M70" s="328"/>
      <c r="N70" s="55"/>
      <c r="O70" s="39"/>
      <c r="P70" s="39" t="s">
        <v>124</v>
      </c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24"/>
      <c r="AV70" s="35"/>
      <c r="AW70" s="35"/>
      <c r="AX70" s="35"/>
      <c r="AY70" s="35"/>
      <c r="AZ70" s="35"/>
      <c r="BA70" s="35"/>
      <c r="BB70" s="35"/>
      <c r="BC70" s="35"/>
      <c r="BD70" s="35"/>
      <c r="BE70" s="25"/>
      <c r="BF70" s="134"/>
      <c r="BG70" s="135"/>
      <c r="BH70" s="135"/>
      <c r="BI70" s="135"/>
      <c r="BJ70" s="135"/>
      <c r="BK70" s="136"/>
      <c r="BM70" s="331"/>
      <c r="BN70" s="331"/>
      <c r="BO70" s="331"/>
    </row>
    <row r="71" spans="1:67" s="310" customFormat="1" ht="15" customHeight="1" x14ac:dyDescent="0.25">
      <c r="A71" s="24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25"/>
      <c r="M71" s="328"/>
      <c r="N71" s="328"/>
      <c r="P71" s="54" t="s">
        <v>188</v>
      </c>
      <c r="Q71" s="331"/>
      <c r="R71" s="331"/>
      <c r="S71" s="331"/>
      <c r="T71" s="331"/>
      <c r="U71" s="331"/>
      <c r="V71" s="331"/>
      <c r="W71" s="331"/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28"/>
      <c r="AK71" s="328"/>
      <c r="AL71" s="328"/>
      <c r="AM71" s="328"/>
      <c r="AN71" s="328"/>
      <c r="AO71" s="328"/>
      <c r="AP71" s="328"/>
      <c r="AQ71" s="328"/>
      <c r="AR71" s="328"/>
      <c r="AS71" s="328"/>
      <c r="AT71" s="328"/>
      <c r="AU71" s="24"/>
      <c r="AV71" s="35"/>
      <c r="AW71" s="35"/>
      <c r="AX71" s="35"/>
      <c r="AY71" s="35"/>
      <c r="AZ71" s="35"/>
      <c r="BA71" s="35"/>
      <c r="BB71" s="35"/>
      <c r="BC71" s="35"/>
      <c r="BD71" s="35"/>
      <c r="BE71" s="25"/>
      <c r="BF71" s="134"/>
      <c r="BG71" s="135"/>
      <c r="BH71" s="135"/>
      <c r="BI71" s="135"/>
      <c r="BJ71" s="135"/>
      <c r="BK71" s="136"/>
      <c r="BM71" s="331"/>
      <c r="BN71" s="331"/>
      <c r="BO71" s="331"/>
    </row>
    <row r="72" spans="1:67" s="310" customFormat="1" ht="15" customHeight="1" x14ac:dyDescent="0.25">
      <c r="A72" s="24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25"/>
      <c r="M72" s="328"/>
      <c r="N72" s="49"/>
      <c r="O72" s="331" t="s">
        <v>54</v>
      </c>
      <c r="P72" s="331"/>
      <c r="Q72" s="331"/>
      <c r="R72" s="331"/>
      <c r="S72" s="331"/>
      <c r="T72" s="331"/>
      <c r="U72" s="331"/>
      <c r="V72" s="331"/>
      <c r="W72" s="331"/>
      <c r="X72" s="331"/>
      <c r="Y72" s="331"/>
      <c r="Z72" s="331"/>
      <c r="AA72" s="331"/>
      <c r="AB72" s="331"/>
      <c r="AC72" s="331"/>
      <c r="AD72" s="331"/>
      <c r="AE72" s="331"/>
      <c r="AF72" s="331"/>
      <c r="AG72" s="331"/>
      <c r="AH72" s="331"/>
      <c r="AI72" s="331"/>
      <c r="AJ72" s="328"/>
      <c r="AK72" s="328"/>
      <c r="AL72" s="328"/>
      <c r="AM72" s="328"/>
      <c r="AN72" s="328"/>
      <c r="AO72" s="328"/>
      <c r="AP72" s="328"/>
      <c r="AQ72" s="328"/>
      <c r="AR72" s="328"/>
      <c r="AS72" s="328"/>
      <c r="AT72" s="328"/>
      <c r="AU72" s="24"/>
      <c r="AV72" s="35"/>
      <c r="AW72" s="35"/>
      <c r="AX72" s="35"/>
      <c r="AY72" s="35"/>
      <c r="AZ72" s="35"/>
      <c r="BA72" s="35"/>
      <c r="BB72" s="35"/>
      <c r="BC72" s="35"/>
      <c r="BD72" s="35"/>
      <c r="BE72" s="25"/>
      <c r="BF72" s="134"/>
      <c r="BG72" s="135"/>
      <c r="BH72" s="135"/>
      <c r="BI72" s="135"/>
      <c r="BJ72" s="135"/>
      <c r="BK72" s="136"/>
      <c r="BM72" s="328"/>
      <c r="BO72" s="331"/>
    </row>
    <row r="73" spans="1:67" s="310" customFormat="1" ht="15" customHeight="1" x14ac:dyDescent="0.25">
      <c r="A73" s="24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25"/>
      <c r="M73" s="328"/>
      <c r="N73" s="328"/>
      <c r="O73" s="331"/>
      <c r="P73" s="331" t="s">
        <v>189</v>
      </c>
      <c r="Q73" s="331"/>
      <c r="R73" s="331"/>
      <c r="S73" s="331"/>
      <c r="T73" s="331"/>
      <c r="U73" s="331"/>
      <c r="V73" s="331"/>
      <c r="W73" s="331"/>
      <c r="X73" s="331"/>
      <c r="Y73" s="331"/>
      <c r="Z73" s="331"/>
      <c r="AA73" s="331"/>
      <c r="AB73" s="331"/>
      <c r="AC73" s="331"/>
      <c r="AD73" s="331"/>
      <c r="AE73" s="331"/>
      <c r="AF73" s="331"/>
      <c r="AG73" s="331"/>
      <c r="AH73" s="331"/>
      <c r="AI73" s="331"/>
      <c r="AJ73" s="328"/>
      <c r="AK73" s="328"/>
      <c r="AL73" s="328"/>
      <c r="AM73" s="328"/>
      <c r="AN73" s="328"/>
      <c r="AO73" s="328"/>
      <c r="AP73" s="328"/>
      <c r="AQ73" s="328"/>
      <c r="AR73" s="328"/>
      <c r="AS73" s="328"/>
      <c r="AT73" s="328"/>
      <c r="AU73" s="24"/>
      <c r="AV73" s="35"/>
      <c r="AW73" s="35"/>
      <c r="AX73" s="35"/>
      <c r="AY73" s="35"/>
      <c r="AZ73" s="35"/>
      <c r="BA73" s="35"/>
      <c r="BB73" s="35"/>
      <c r="BC73" s="35"/>
      <c r="BD73" s="35"/>
      <c r="BE73" s="25"/>
      <c r="BF73" s="134"/>
      <c r="BG73" s="135"/>
      <c r="BH73" s="135"/>
      <c r="BI73" s="135"/>
      <c r="BJ73" s="135"/>
      <c r="BK73" s="136"/>
      <c r="BM73" s="331"/>
      <c r="BN73" s="331"/>
      <c r="BO73" s="331"/>
    </row>
    <row r="74" spans="1:67" s="310" customFormat="1" ht="15" customHeight="1" x14ac:dyDescent="0.25">
      <c r="A74" s="24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25"/>
      <c r="M74" s="328"/>
      <c r="N74" s="328"/>
      <c r="O74" s="331"/>
      <c r="P74" s="331"/>
      <c r="Q74" s="331"/>
      <c r="R74" s="331"/>
      <c r="S74" s="331"/>
      <c r="T74" s="331"/>
      <c r="U74" s="331"/>
      <c r="V74" s="331"/>
      <c r="W74" s="331"/>
      <c r="X74" s="331"/>
      <c r="Y74" s="331"/>
      <c r="Z74" s="331"/>
      <c r="AA74" s="331"/>
      <c r="AB74" s="331"/>
      <c r="AC74" s="331"/>
      <c r="AD74" s="331"/>
      <c r="AE74" s="331"/>
      <c r="AF74" s="331"/>
      <c r="AG74" s="331"/>
      <c r="AH74" s="331"/>
      <c r="AI74" s="331"/>
      <c r="AJ74" s="328"/>
      <c r="AK74" s="328"/>
      <c r="AL74" s="328"/>
      <c r="AM74" s="328"/>
      <c r="AN74" s="328"/>
      <c r="AO74" s="328"/>
      <c r="AP74" s="328"/>
      <c r="AQ74" s="328"/>
      <c r="AR74" s="328"/>
      <c r="AS74" s="328"/>
      <c r="AT74" s="328"/>
      <c r="AU74" s="24"/>
      <c r="AV74" s="35"/>
      <c r="AW74" s="35"/>
      <c r="AX74" s="35"/>
      <c r="AY74" s="35"/>
      <c r="AZ74" s="35"/>
      <c r="BA74" s="35"/>
      <c r="BB74" s="35"/>
      <c r="BC74" s="35"/>
      <c r="BD74" s="35"/>
      <c r="BE74" s="25"/>
      <c r="BF74" s="46"/>
      <c r="BG74" s="47"/>
      <c r="BH74" s="47"/>
      <c r="BI74" s="47"/>
      <c r="BJ74" s="47"/>
      <c r="BK74" s="48"/>
      <c r="BM74" s="331"/>
      <c r="BN74" s="331"/>
      <c r="BO74" s="331"/>
    </row>
    <row r="75" spans="1:67" s="310" customFormat="1" ht="15" customHeight="1" x14ac:dyDescent="0.25">
      <c r="A75" s="26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8"/>
      <c r="M75" s="332"/>
      <c r="N75" s="33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334"/>
      <c r="AQ75" s="334"/>
      <c r="AR75" s="334"/>
      <c r="AS75" s="334"/>
      <c r="AT75" s="334"/>
      <c r="AU75" s="26"/>
      <c r="AV75" s="27"/>
      <c r="AW75" s="27"/>
      <c r="AX75" s="27"/>
      <c r="AY75" s="27"/>
      <c r="AZ75" s="27"/>
      <c r="BA75" s="27"/>
      <c r="BB75" s="27"/>
      <c r="BC75" s="27"/>
      <c r="BD75" s="27"/>
      <c r="BE75" s="28"/>
      <c r="BF75" s="128"/>
      <c r="BG75" s="129"/>
      <c r="BH75" s="129"/>
      <c r="BI75" s="129"/>
      <c r="BJ75" s="129"/>
      <c r="BK75" s="130"/>
    </row>
    <row r="76" spans="1:67" ht="15" customHeight="1" x14ac:dyDescent="0.25">
      <c r="A76" s="44"/>
      <c r="BK76" s="15"/>
    </row>
    <row r="77" spans="1:67" ht="15" customHeight="1" x14ac:dyDescent="0.25">
      <c r="A77" s="44"/>
      <c r="BK77" s="15"/>
    </row>
    <row r="78" spans="1:67" ht="15" customHeight="1" x14ac:dyDescent="0.25">
      <c r="A78" s="44"/>
      <c r="BK78" s="15"/>
    </row>
    <row r="79" spans="1:67" s="310" customFormat="1" ht="15" customHeight="1" x14ac:dyDescent="0.25">
      <c r="A79" s="316" t="s">
        <v>13</v>
      </c>
      <c r="B79" s="317"/>
      <c r="C79" s="317"/>
      <c r="D79" s="317"/>
      <c r="E79" s="317"/>
      <c r="F79" s="318"/>
      <c r="G79" s="312" t="s">
        <v>55</v>
      </c>
      <c r="H79" s="312"/>
      <c r="I79" s="312"/>
      <c r="J79" s="312"/>
      <c r="K79" s="312"/>
      <c r="L79" s="312"/>
      <c r="M79" s="319" t="s">
        <v>62</v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320"/>
      <c r="BI79" s="320"/>
      <c r="BJ79" s="320"/>
      <c r="BK79" s="321"/>
    </row>
    <row r="80" spans="1:67" s="310" customFormat="1" ht="15" customHeight="1" x14ac:dyDescent="0.25">
      <c r="A80" s="322" t="s">
        <v>15</v>
      </c>
      <c r="B80" s="323"/>
      <c r="C80" s="323"/>
      <c r="D80" s="323"/>
      <c r="E80" s="323"/>
      <c r="F80" s="323"/>
      <c r="G80" s="323"/>
      <c r="H80" s="323"/>
      <c r="I80" s="323"/>
      <c r="J80" s="323"/>
      <c r="K80" s="323"/>
      <c r="L80" s="324"/>
      <c r="M80" s="322" t="s">
        <v>16</v>
      </c>
      <c r="N80" s="323"/>
      <c r="O80" s="323"/>
      <c r="P80" s="323"/>
      <c r="Q80" s="323"/>
      <c r="R80" s="323"/>
      <c r="S80" s="323"/>
      <c r="T80" s="323"/>
      <c r="U80" s="323"/>
      <c r="V80" s="323"/>
      <c r="W80" s="323"/>
      <c r="X80" s="323"/>
      <c r="Y80" s="323"/>
      <c r="Z80" s="323"/>
      <c r="AA80" s="323"/>
      <c r="AB80" s="323"/>
      <c r="AC80" s="323"/>
      <c r="AD80" s="323"/>
      <c r="AE80" s="323"/>
      <c r="AF80" s="323"/>
      <c r="AG80" s="323"/>
      <c r="AH80" s="323"/>
      <c r="AI80" s="323"/>
      <c r="AJ80" s="323"/>
      <c r="AK80" s="323"/>
      <c r="AL80" s="323"/>
      <c r="AM80" s="323"/>
      <c r="AN80" s="323"/>
      <c r="AO80" s="323"/>
      <c r="AP80" s="323"/>
      <c r="AQ80" s="323"/>
      <c r="AR80" s="323"/>
      <c r="AS80" s="323"/>
      <c r="AT80" s="324"/>
      <c r="AU80" s="322" t="s">
        <v>17</v>
      </c>
      <c r="AV80" s="323"/>
      <c r="AW80" s="323"/>
      <c r="AX80" s="323"/>
      <c r="AY80" s="323"/>
      <c r="AZ80" s="323"/>
      <c r="BA80" s="323"/>
      <c r="BB80" s="323"/>
      <c r="BC80" s="323"/>
      <c r="BD80" s="323"/>
      <c r="BE80" s="323"/>
      <c r="BF80" s="322" t="s">
        <v>18</v>
      </c>
      <c r="BG80" s="323"/>
      <c r="BH80" s="323"/>
      <c r="BI80" s="323"/>
      <c r="BJ80" s="323"/>
      <c r="BK80" s="324"/>
    </row>
    <row r="81" spans="1:63" s="310" customFormat="1" ht="15" customHeight="1" x14ac:dyDescent="0.25">
      <c r="A81" s="325"/>
      <c r="B81" s="326"/>
      <c r="C81" s="326"/>
      <c r="D81" s="326"/>
      <c r="E81" s="326"/>
      <c r="F81" s="326"/>
      <c r="G81" s="326"/>
      <c r="H81" s="326"/>
      <c r="I81" s="326"/>
      <c r="J81" s="326"/>
      <c r="K81" s="326"/>
      <c r="L81" s="327"/>
      <c r="M81" s="325"/>
      <c r="N81" s="326"/>
      <c r="O81" s="326"/>
      <c r="P81" s="326"/>
      <c r="Q81" s="326"/>
      <c r="R81" s="326"/>
      <c r="S81" s="326"/>
      <c r="T81" s="326"/>
      <c r="U81" s="326"/>
      <c r="V81" s="326"/>
      <c r="W81" s="326"/>
      <c r="X81" s="326"/>
      <c r="Y81" s="326"/>
      <c r="Z81" s="326"/>
      <c r="AA81" s="326"/>
      <c r="AB81" s="326"/>
      <c r="AC81" s="326"/>
      <c r="AD81" s="326"/>
      <c r="AE81" s="326"/>
      <c r="AF81" s="326"/>
      <c r="AG81" s="326"/>
      <c r="AH81" s="326"/>
      <c r="AI81" s="326"/>
      <c r="AJ81" s="326"/>
      <c r="AK81" s="326"/>
      <c r="AL81" s="326"/>
      <c r="AM81" s="326"/>
      <c r="AN81" s="326"/>
      <c r="AO81" s="326"/>
      <c r="AP81" s="326"/>
      <c r="AQ81" s="326"/>
      <c r="AR81" s="326"/>
      <c r="AS81" s="326"/>
      <c r="AT81" s="327"/>
      <c r="AU81" s="325"/>
      <c r="AV81" s="326"/>
      <c r="AW81" s="326"/>
      <c r="AX81" s="326"/>
      <c r="AY81" s="326"/>
      <c r="AZ81" s="326"/>
      <c r="BA81" s="326"/>
      <c r="BB81" s="326"/>
      <c r="BC81" s="326"/>
      <c r="BD81" s="326"/>
      <c r="BE81" s="326"/>
      <c r="BF81" s="325"/>
      <c r="BG81" s="326"/>
      <c r="BH81" s="326"/>
      <c r="BI81" s="326"/>
      <c r="BJ81" s="326"/>
      <c r="BK81" s="327"/>
    </row>
    <row r="82" spans="1:63" s="310" customFormat="1" ht="15" customHeight="1" x14ac:dyDescent="0.25">
      <c r="A82" s="20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2"/>
      <c r="M82" s="328"/>
      <c r="N82" s="328"/>
      <c r="O82" s="328"/>
      <c r="P82" s="328"/>
      <c r="Q82" s="328"/>
      <c r="R82" s="329"/>
      <c r="S82" s="329"/>
      <c r="T82" s="329"/>
      <c r="U82" s="329"/>
      <c r="V82" s="329"/>
      <c r="W82" s="329"/>
      <c r="X82" s="329"/>
      <c r="Y82" s="329"/>
      <c r="Z82" s="329"/>
      <c r="AA82" s="329"/>
      <c r="AB82" s="329"/>
      <c r="AC82" s="329"/>
      <c r="AD82" s="329"/>
      <c r="AE82" s="329"/>
      <c r="AF82" s="329"/>
      <c r="AG82" s="329"/>
      <c r="AH82" s="329"/>
      <c r="AI82" s="329"/>
      <c r="AJ82" s="329"/>
      <c r="AK82" s="329"/>
      <c r="AL82" s="329"/>
      <c r="AM82" s="329"/>
      <c r="AN82" s="329"/>
      <c r="AO82" s="329"/>
      <c r="AP82" s="329"/>
      <c r="AQ82" s="329"/>
      <c r="AR82" s="329"/>
      <c r="AS82" s="329"/>
      <c r="AT82" s="329"/>
      <c r="AU82" s="20"/>
      <c r="AV82" s="21"/>
      <c r="AW82" s="21"/>
      <c r="AX82" s="21"/>
      <c r="AY82" s="21"/>
      <c r="AZ82" s="21"/>
      <c r="BA82" s="21"/>
      <c r="BB82" s="21"/>
      <c r="BC82" s="21"/>
      <c r="BD82" s="21"/>
      <c r="BE82" s="22"/>
      <c r="BF82" s="131" t="s">
        <v>205</v>
      </c>
      <c r="BG82" s="132"/>
      <c r="BH82" s="132"/>
      <c r="BI82" s="132"/>
      <c r="BJ82" s="132"/>
      <c r="BK82" s="133"/>
    </row>
    <row r="83" spans="1:63" s="310" customFormat="1" ht="15" customHeight="1" x14ac:dyDescent="0.25">
      <c r="A83" s="24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25"/>
      <c r="M83" s="328"/>
      <c r="N83" s="45" t="s">
        <v>190</v>
      </c>
      <c r="O83" s="328"/>
      <c r="P83" s="328"/>
      <c r="Q83" s="328"/>
      <c r="R83" s="328"/>
      <c r="S83" s="328"/>
      <c r="T83" s="328"/>
      <c r="U83" s="328"/>
      <c r="V83" s="328"/>
      <c r="W83" s="328"/>
      <c r="X83" s="328"/>
      <c r="Y83" s="328"/>
      <c r="Z83" s="328"/>
      <c r="AA83" s="328"/>
      <c r="AB83" s="328"/>
      <c r="AC83" s="328"/>
      <c r="AD83" s="328"/>
      <c r="AE83" s="328"/>
      <c r="AF83" s="328"/>
      <c r="AG83" s="328"/>
      <c r="AH83" s="328"/>
      <c r="AI83" s="328"/>
      <c r="AJ83" s="328"/>
      <c r="AK83" s="328"/>
      <c r="AL83" s="328"/>
      <c r="AM83" s="328"/>
      <c r="AN83" s="328"/>
      <c r="AO83" s="328"/>
      <c r="AP83" s="328"/>
      <c r="AQ83" s="328"/>
      <c r="AR83" s="328"/>
      <c r="AS83" s="328"/>
      <c r="AT83" s="328"/>
      <c r="AU83" s="24"/>
      <c r="AV83" s="35"/>
      <c r="AW83" s="35"/>
      <c r="AX83" s="35"/>
      <c r="AY83" s="35"/>
      <c r="AZ83" s="35"/>
      <c r="BA83" s="35"/>
      <c r="BB83" s="35"/>
      <c r="BC83" s="35"/>
      <c r="BD83" s="35"/>
      <c r="BE83" s="25"/>
      <c r="BF83" s="134"/>
      <c r="BG83" s="135"/>
      <c r="BH83" s="135"/>
      <c r="BI83" s="135"/>
      <c r="BJ83" s="135"/>
      <c r="BK83" s="136"/>
    </row>
    <row r="84" spans="1:63" s="310" customFormat="1" ht="15" customHeight="1" x14ac:dyDescent="0.25">
      <c r="A84" s="24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25"/>
      <c r="M84" s="330"/>
      <c r="N84" s="328"/>
      <c r="O84" s="331" t="s">
        <v>57</v>
      </c>
      <c r="P84" s="331"/>
      <c r="Q84" s="331"/>
      <c r="R84" s="331"/>
      <c r="S84" s="331"/>
      <c r="T84" s="331"/>
      <c r="U84" s="331"/>
      <c r="V84" s="331"/>
      <c r="W84" s="331"/>
      <c r="X84" s="331"/>
      <c r="Y84" s="331"/>
      <c r="Z84" s="331"/>
      <c r="AA84" s="331"/>
      <c r="AB84" s="331"/>
      <c r="AC84" s="331"/>
      <c r="AD84" s="331"/>
      <c r="AE84" s="331"/>
      <c r="AF84" s="331"/>
      <c r="AG84" s="331"/>
      <c r="AH84" s="331"/>
      <c r="AI84" s="331"/>
      <c r="AJ84" s="328"/>
      <c r="AK84" s="328"/>
      <c r="AL84" s="328"/>
      <c r="AM84" s="328"/>
      <c r="AN84" s="328"/>
      <c r="AO84" s="328"/>
      <c r="AP84" s="328"/>
      <c r="AQ84" s="328"/>
      <c r="AR84" s="328"/>
      <c r="AS84" s="328"/>
      <c r="AT84" s="328"/>
      <c r="AU84" s="24"/>
      <c r="AV84" s="35"/>
      <c r="AW84" s="35"/>
      <c r="AX84" s="35"/>
      <c r="AY84" s="35"/>
      <c r="AZ84" s="35"/>
      <c r="BA84" s="35"/>
      <c r="BB84" s="35"/>
      <c r="BC84" s="35"/>
      <c r="BD84" s="35"/>
      <c r="BE84" s="25"/>
      <c r="BF84" s="134"/>
      <c r="BG84" s="135"/>
      <c r="BH84" s="135"/>
      <c r="BI84" s="135"/>
      <c r="BJ84" s="135"/>
      <c r="BK84" s="136"/>
    </row>
    <row r="85" spans="1:63" s="310" customFormat="1" ht="15" customHeight="1" x14ac:dyDescent="0.25">
      <c r="A85" s="24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25"/>
      <c r="M85" s="328"/>
      <c r="O85" s="331"/>
      <c r="P85" s="331" t="s">
        <v>58</v>
      </c>
      <c r="Q85" s="331"/>
      <c r="R85" s="331"/>
      <c r="S85" s="331"/>
      <c r="T85" s="331"/>
      <c r="U85" s="331"/>
      <c r="V85" s="331"/>
      <c r="W85" s="331"/>
      <c r="X85" s="331"/>
      <c r="Y85" s="331"/>
      <c r="Z85" s="331"/>
      <c r="AA85" s="331"/>
      <c r="AB85" s="331"/>
      <c r="AC85" s="331"/>
      <c r="AD85" s="331"/>
      <c r="AE85" s="331"/>
      <c r="AF85" s="331"/>
      <c r="AG85" s="331"/>
      <c r="AH85" s="331"/>
      <c r="AI85" s="331"/>
      <c r="AJ85" s="328"/>
      <c r="AK85" s="328"/>
      <c r="AL85" s="328"/>
      <c r="AM85" s="328"/>
      <c r="AN85" s="328"/>
      <c r="AO85" s="328"/>
      <c r="AP85" s="328"/>
      <c r="AQ85" s="328"/>
      <c r="AR85" s="328"/>
      <c r="AS85" s="328"/>
      <c r="AT85" s="328"/>
      <c r="AU85" s="24"/>
      <c r="AV85" s="35"/>
      <c r="AW85" s="35"/>
      <c r="AX85" s="35"/>
      <c r="AY85" s="35"/>
      <c r="AZ85" s="35"/>
      <c r="BA85" s="35"/>
      <c r="BB85" s="35"/>
      <c r="BC85" s="35"/>
      <c r="BD85" s="35"/>
      <c r="BE85" s="25"/>
      <c r="BF85" s="134"/>
      <c r="BG85" s="135"/>
      <c r="BH85" s="135"/>
      <c r="BI85" s="135"/>
      <c r="BJ85" s="135"/>
      <c r="BK85" s="136"/>
    </row>
    <row r="86" spans="1:63" s="310" customFormat="1" ht="15" customHeight="1" x14ac:dyDescent="0.25">
      <c r="A86" s="24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25"/>
      <c r="M86" s="328"/>
      <c r="N86" s="328"/>
      <c r="O86" s="331" t="s">
        <v>59</v>
      </c>
      <c r="P86" s="331"/>
      <c r="Q86" s="331"/>
      <c r="R86" s="331"/>
      <c r="S86" s="331"/>
      <c r="T86" s="331"/>
      <c r="U86" s="331"/>
      <c r="V86" s="331"/>
      <c r="W86" s="331"/>
      <c r="X86" s="331"/>
      <c r="Y86" s="331"/>
      <c r="Z86" s="331"/>
      <c r="AA86" s="331"/>
      <c r="AB86" s="331"/>
      <c r="AC86" s="331"/>
      <c r="AD86" s="331"/>
      <c r="AE86" s="331"/>
      <c r="AF86" s="331"/>
      <c r="AG86" s="331"/>
      <c r="AH86" s="331"/>
      <c r="AI86" s="331"/>
      <c r="AJ86" s="328"/>
      <c r="AK86" s="328"/>
      <c r="AL86" s="328"/>
      <c r="AM86" s="328"/>
      <c r="AN86" s="328"/>
      <c r="AO86" s="328"/>
      <c r="AP86" s="328"/>
      <c r="AQ86" s="328"/>
      <c r="AR86" s="328"/>
      <c r="AS86" s="328"/>
      <c r="AT86" s="328"/>
      <c r="AU86" s="24"/>
      <c r="AV86" s="35"/>
      <c r="AW86" s="35"/>
      <c r="AX86" s="35"/>
      <c r="AY86" s="35"/>
      <c r="AZ86" s="35"/>
      <c r="BA86" s="35"/>
      <c r="BB86" s="35"/>
      <c r="BC86" s="35"/>
      <c r="BD86" s="35"/>
      <c r="BE86" s="25"/>
      <c r="BF86" s="134"/>
      <c r="BG86" s="135"/>
      <c r="BH86" s="135"/>
      <c r="BI86" s="135"/>
      <c r="BJ86" s="135"/>
      <c r="BK86" s="136"/>
    </row>
    <row r="87" spans="1:63" s="310" customFormat="1" ht="15" customHeight="1" x14ac:dyDescent="0.25">
      <c r="A87" s="24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25"/>
      <c r="M87" s="328"/>
      <c r="N87" s="328"/>
      <c r="O87" s="39"/>
      <c r="P87" s="39" t="s">
        <v>191</v>
      </c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31"/>
      <c r="AE87" s="331"/>
      <c r="AF87" s="331"/>
      <c r="AG87" s="331"/>
      <c r="AH87" s="331"/>
      <c r="AI87" s="331"/>
      <c r="AJ87" s="328"/>
      <c r="AK87" s="328"/>
      <c r="AL87" s="328"/>
      <c r="AM87" s="328"/>
      <c r="AN87" s="328"/>
      <c r="AO87" s="328"/>
      <c r="AP87" s="328"/>
      <c r="AQ87" s="328"/>
      <c r="AR87" s="328"/>
      <c r="AS87" s="328"/>
      <c r="AT87" s="328"/>
      <c r="AU87" s="24"/>
      <c r="AV87" s="35"/>
      <c r="AW87" s="35"/>
      <c r="AX87" s="35"/>
      <c r="AY87" s="35"/>
      <c r="AZ87" s="35"/>
      <c r="BA87" s="35"/>
      <c r="BB87" s="35"/>
      <c r="BC87" s="35"/>
      <c r="BD87" s="35"/>
      <c r="BE87" s="25"/>
      <c r="BF87" s="134"/>
      <c r="BG87" s="135"/>
      <c r="BH87" s="135"/>
      <c r="BI87" s="135"/>
      <c r="BJ87" s="135"/>
      <c r="BK87" s="136"/>
    </row>
    <row r="88" spans="1:63" s="310" customFormat="1" ht="15" customHeight="1" x14ac:dyDescent="0.25">
      <c r="A88" s="24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25"/>
      <c r="M88" s="328"/>
      <c r="N88" s="328"/>
      <c r="O88" s="39"/>
      <c r="P88" s="39" t="s">
        <v>204</v>
      </c>
      <c r="Q88" s="39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328"/>
      <c r="AE88" s="328"/>
      <c r="AF88" s="328"/>
      <c r="AG88" s="328"/>
      <c r="AH88" s="328"/>
      <c r="AI88" s="328"/>
      <c r="AJ88" s="328"/>
      <c r="AK88" s="328"/>
      <c r="AL88" s="328"/>
      <c r="AM88" s="328"/>
      <c r="AN88" s="328"/>
      <c r="AO88" s="328"/>
      <c r="AP88" s="328"/>
      <c r="AQ88" s="328"/>
      <c r="AR88" s="328"/>
      <c r="AS88" s="328"/>
      <c r="AT88" s="328"/>
      <c r="AU88" s="24"/>
      <c r="AV88" s="35"/>
      <c r="AW88" s="35"/>
      <c r="AX88" s="35"/>
      <c r="AY88" s="35"/>
      <c r="AZ88" s="35"/>
      <c r="BA88" s="35"/>
      <c r="BB88" s="35"/>
      <c r="BC88" s="35"/>
      <c r="BD88" s="35"/>
      <c r="BE88" s="25"/>
      <c r="BF88" s="134"/>
      <c r="BG88" s="135"/>
      <c r="BH88" s="135"/>
      <c r="BI88" s="135"/>
      <c r="BJ88" s="135"/>
      <c r="BK88" s="136"/>
    </row>
    <row r="89" spans="1:63" s="310" customFormat="1" ht="15" customHeight="1" x14ac:dyDescent="0.25">
      <c r="A89" s="24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25"/>
      <c r="M89" s="328"/>
      <c r="N89" s="328"/>
      <c r="O89" s="39"/>
      <c r="P89" s="57" t="s">
        <v>121</v>
      </c>
      <c r="Q89" s="39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328"/>
      <c r="AE89" s="328"/>
      <c r="AF89" s="328"/>
      <c r="AG89" s="328"/>
      <c r="AH89" s="328"/>
      <c r="AI89" s="328"/>
      <c r="AJ89" s="328"/>
      <c r="AK89" s="328"/>
      <c r="AL89" s="328"/>
      <c r="AM89" s="328"/>
      <c r="AN89" s="328"/>
      <c r="AO89" s="328"/>
      <c r="AP89" s="328"/>
      <c r="AQ89" s="328"/>
      <c r="AR89" s="328"/>
      <c r="AS89" s="328"/>
      <c r="AT89" s="328"/>
      <c r="AU89" s="24"/>
      <c r="AV89" s="35"/>
      <c r="AW89" s="35"/>
      <c r="AX89" s="35"/>
      <c r="AY89" s="35"/>
      <c r="AZ89" s="35"/>
      <c r="BA89" s="35"/>
      <c r="BB89" s="35"/>
      <c r="BC89" s="35"/>
      <c r="BD89" s="35"/>
      <c r="BE89" s="25"/>
      <c r="BF89" s="46"/>
      <c r="BG89" s="47"/>
      <c r="BH89" s="47"/>
      <c r="BI89" s="47"/>
      <c r="BJ89" s="47"/>
      <c r="BK89" s="48"/>
    </row>
    <row r="90" spans="1:63" s="310" customFormat="1" ht="15" customHeight="1" x14ac:dyDescent="0.25">
      <c r="A90" s="26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8"/>
      <c r="M90" s="332"/>
      <c r="N90" s="333"/>
      <c r="O90" s="333"/>
      <c r="P90" s="333"/>
      <c r="Q90" s="33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334"/>
      <c r="AQ90" s="334"/>
      <c r="AR90" s="334"/>
      <c r="AS90" s="334"/>
      <c r="AT90" s="334"/>
      <c r="AU90" s="26"/>
      <c r="AV90" s="27"/>
      <c r="AW90" s="27"/>
      <c r="AX90" s="27"/>
      <c r="AY90" s="27"/>
      <c r="AZ90" s="27"/>
      <c r="BA90" s="27"/>
      <c r="BB90" s="27"/>
      <c r="BC90" s="27"/>
      <c r="BD90" s="27"/>
      <c r="BE90" s="28"/>
      <c r="BF90" s="128"/>
      <c r="BG90" s="129"/>
      <c r="BH90" s="129"/>
      <c r="BI90" s="129"/>
      <c r="BJ90" s="129"/>
      <c r="BK90" s="130"/>
    </row>
    <row r="91" spans="1:63" ht="15" customHeight="1" x14ac:dyDescent="0.25">
      <c r="A91" s="44"/>
      <c r="BK91" s="15"/>
    </row>
    <row r="92" spans="1:63" ht="15" customHeight="1" x14ac:dyDescent="0.25">
      <c r="A92" s="44"/>
      <c r="BK92" s="15"/>
    </row>
    <row r="93" spans="1:63" ht="15" customHeight="1" x14ac:dyDescent="0.25">
      <c r="A93" s="44"/>
      <c r="BK93" s="15"/>
    </row>
    <row r="94" spans="1:63" s="310" customFormat="1" ht="15" customHeight="1" x14ac:dyDescent="0.25">
      <c r="A94" s="316" t="s">
        <v>13</v>
      </c>
      <c r="B94" s="317"/>
      <c r="C94" s="317"/>
      <c r="D94" s="317"/>
      <c r="E94" s="317"/>
      <c r="F94" s="318"/>
      <c r="G94" s="312" t="s">
        <v>56</v>
      </c>
      <c r="H94" s="312"/>
      <c r="I94" s="312"/>
      <c r="J94" s="312"/>
      <c r="K94" s="312"/>
      <c r="L94" s="312"/>
      <c r="M94" s="319" t="s">
        <v>61</v>
      </c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320"/>
      <c r="BI94" s="320"/>
      <c r="BJ94" s="320"/>
      <c r="BK94" s="321"/>
    </row>
    <row r="95" spans="1:63" s="310" customFormat="1" ht="15" customHeight="1" x14ac:dyDescent="0.25">
      <c r="A95" s="322" t="s">
        <v>15</v>
      </c>
      <c r="B95" s="323"/>
      <c r="C95" s="323"/>
      <c r="D95" s="323"/>
      <c r="E95" s="323"/>
      <c r="F95" s="323"/>
      <c r="G95" s="323"/>
      <c r="H95" s="323"/>
      <c r="I95" s="323"/>
      <c r="J95" s="323"/>
      <c r="K95" s="323"/>
      <c r="L95" s="324"/>
      <c r="M95" s="322" t="s">
        <v>16</v>
      </c>
      <c r="N95" s="323"/>
      <c r="O95" s="323"/>
      <c r="P95" s="323"/>
      <c r="Q95" s="323"/>
      <c r="R95" s="323"/>
      <c r="S95" s="323"/>
      <c r="T95" s="323"/>
      <c r="U95" s="323"/>
      <c r="V95" s="323"/>
      <c r="W95" s="323"/>
      <c r="X95" s="323"/>
      <c r="Y95" s="323"/>
      <c r="Z95" s="323"/>
      <c r="AA95" s="323"/>
      <c r="AB95" s="323"/>
      <c r="AC95" s="323"/>
      <c r="AD95" s="323"/>
      <c r="AE95" s="323"/>
      <c r="AF95" s="323"/>
      <c r="AG95" s="323"/>
      <c r="AH95" s="323"/>
      <c r="AI95" s="323"/>
      <c r="AJ95" s="323"/>
      <c r="AK95" s="323"/>
      <c r="AL95" s="323"/>
      <c r="AM95" s="323"/>
      <c r="AN95" s="323"/>
      <c r="AO95" s="323"/>
      <c r="AP95" s="323"/>
      <c r="AQ95" s="323"/>
      <c r="AR95" s="323"/>
      <c r="AS95" s="323"/>
      <c r="AT95" s="324"/>
      <c r="AU95" s="322" t="s">
        <v>17</v>
      </c>
      <c r="AV95" s="323"/>
      <c r="AW95" s="323"/>
      <c r="AX95" s="323"/>
      <c r="AY95" s="323"/>
      <c r="AZ95" s="323"/>
      <c r="BA95" s="323"/>
      <c r="BB95" s="323"/>
      <c r="BC95" s="323"/>
      <c r="BD95" s="323"/>
      <c r="BE95" s="323"/>
      <c r="BF95" s="322" t="s">
        <v>18</v>
      </c>
      <c r="BG95" s="323"/>
      <c r="BH95" s="323"/>
      <c r="BI95" s="323"/>
      <c r="BJ95" s="323"/>
      <c r="BK95" s="324"/>
    </row>
    <row r="96" spans="1:63" s="310" customFormat="1" ht="15" customHeight="1" x14ac:dyDescent="0.25">
      <c r="A96" s="325"/>
      <c r="B96" s="326"/>
      <c r="C96" s="326"/>
      <c r="D96" s="326"/>
      <c r="E96" s="326"/>
      <c r="F96" s="326"/>
      <c r="G96" s="326"/>
      <c r="H96" s="326"/>
      <c r="I96" s="326"/>
      <c r="J96" s="326"/>
      <c r="K96" s="326"/>
      <c r="L96" s="327"/>
      <c r="M96" s="325"/>
      <c r="N96" s="326"/>
      <c r="O96" s="326"/>
      <c r="P96" s="326"/>
      <c r="Q96" s="326"/>
      <c r="R96" s="326"/>
      <c r="S96" s="326"/>
      <c r="T96" s="326"/>
      <c r="U96" s="326"/>
      <c r="V96" s="326"/>
      <c r="W96" s="326"/>
      <c r="X96" s="326"/>
      <c r="Y96" s="326"/>
      <c r="Z96" s="326"/>
      <c r="AA96" s="326"/>
      <c r="AB96" s="326"/>
      <c r="AC96" s="326"/>
      <c r="AD96" s="326"/>
      <c r="AE96" s="326"/>
      <c r="AF96" s="326"/>
      <c r="AG96" s="326"/>
      <c r="AH96" s="326"/>
      <c r="AI96" s="326"/>
      <c r="AJ96" s="326"/>
      <c r="AK96" s="326"/>
      <c r="AL96" s="326"/>
      <c r="AM96" s="326"/>
      <c r="AN96" s="326"/>
      <c r="AO96" s="326"/>
      <c r="AP96" s="326"/>
      <c r="AQ96" s="326"/>
      <c r="AR96" s="326"/>
      <c r="AS96" s="326"/>
      <c r="AT96" s="327"/>
      <c r="AU96" s="325"/>
      <c r="AV96" s="326"/>
      <c r="AW96" s="326"/>
      <c r="AX96" s="326"/>
      <c r="AY96" s="326"/>
      <c r="AZ96" s="326"/>
      <c r="BA96" s="326"/>
      <c r="BB96" s="326"/>
      <c r="BC96" s="326"/>
      <c r="BD96" s="326"/>
      <c r="BE96" s="326"/>
      <c r="BF96" s="325"/>
      <c r="BG96" s="326"/>
      <c r="BH96" s="326"/>
      <c r="BI96" s="326"/>
      <c r="BJ96" s="326"/>
      <c r="BK96" s="327"/>
    </row>
    <row r="97" spans="1:63" s="310" customFormat="1" ht="15" customHeight="1" x14ac:dyDescent="0.25">
      <c r="A97" s="20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328"/>
      <c r="N97" s="328"/>
      <c r="O97" s="328"/>
      <c r="P97" s="328"/>
      <c r="Q97" s="328"/>
      <c r="R97" s="329"/>
      <c r="S97" s="329"/>
      <c r="T97" s="329"/>
      <c r="U97" s="329"/>
      <c r="V97" s="329"/>
      <c r="W97" s="329"/>
      <c r="X97" s="329"/>
      <c r="Y97" s="329"/>
      <c r="Z97" s="329"/>
      <c r="AA97" s="329"/>
      <c r="AB97" s="329"/>
      <c r="AC97" s="329"/>
      <c r="AD97" s="329"/>
      <c r="AE97" s="329"/>
      <c r="AF97" s="329"/>
      <c r="AG97" s="329"/>
      <c r="AH97" s="329"/>
      <c r="AI97" s="329"/>
      <c r="AJ97" s="329"/>
      <c r="AK97" s="329"/>
      <c r="AL97" s="329"/>
      <c r="AM97" s="329"/>
      <c r="AN97" s="329"/>
      <c r="AO97" s="329"/>
      <c r="AP97" s="329"/>
      <c r="AQ97" s="329"/>
      <c r="AR97" s="329"/>
      <c r="AS97" s="329"/>
      <c r="AT97" s="329"/>
      <c r="AU97" s="20"/>
      <c r="AV97" s="21"/>
      <c r="AW97" s="21"/>
      <c r="AX97" s="21"/>
      <c r="AY97" s="21"/>
      <c r="AZ97" s="21"/>
      <c r="BA97" s="21"/>
      <c r="BB97" s="21"/>
      <c r="BC97" s="21"/>
      <c r="BD97" s="21"/>
      <c r="BE97" s="22"/>
      <c r="BF97" s="131" t="s">
        <v>205</v>
      </c>
      <c r="BG97" s="132"/>
      <c r="BH97" s="132"/>
      <c r="BI97" s="132"/>
      <c r="BJ97" s="132"/>
      <c r="BK97" s="133"/>
    </row>
    <row r="98" spans="1:63" s="310" customFormat="1" ht="15" customHeight="1" x14ac:dyDescent="0.25">
      <c r="A98" s="24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25"/>
      <c r="M98" s="328"/>
      <c r="N98" s="45" t="s">
        <v>192</v>
      </c>
      <c r="O98" s="328"/>
      <c r="P98" s="328"/>
      <c r="Q98" s="328"/>
      <c r="R98" s="328"/>
      <c r="S98" s="328"/>
      <c r="T98" s="328"/>
      <c r="U98" s="328"/>
      <c r="V98" s="328"/>
      <c r="W98" s="328"/>
      <c r="X98" s="328"/>
      <c r="Y98" s="328"/>
      <c r="Z98" s="328"/>
      <c r="AA98" s="328"/>
      <c r="AB98" s="328"/>
      <c r="AC98" s="328"/>
      <c r="AD98" s="328"/>
      <c r="AE98" s="328"/>
      <c r="AF98" s="328"/>
      <c r="AG98" s="328"/>
      <c r="AH98" s="328"/>
      <c r="AI98" s="328"/>
      <c r="AJ98" s="328"/>
      <c r="AK98" s="328"/>
      <c r="AL98" s="328"/>
      <c r="AM98" s="328"/>
      <c r="AN98" s="328"/>
      <c r="AO98" s="328"/>
      <c r="AP98" s="328"/>
      <c r="AQ98" s="328"/>
      <c r="AR98" s="328"/>
      <c r="AS98" s="328"/>
      <c r="AT98" s="328"/>
      <c r="AU98" s="24"/>
      <c r="AV98" s="35"/>
      <c r="AW98" s="35"/>
      <c r="AX98" s="35"/>
      <c r="AY98" s="35"/>
      <c r="AZ98" s="35"/>
      <c r="BA98" s="35"/>
      <c r="BB98" s="35"/>
      <c r="BC98" s="35"/>
      <c r="BD98" s="35"/>
      <c r="BE98" s="25"/>
      <c r="BF98" s="134"/>
      <c r="BG98" s="135"/>
      <c r="BH98" s="135"/>
      <c r="BI98" s="135"/>
      <c r="BJ98" s="135"/>
      <c r="BK98" s="136"/>
    </row>
    <row r="99" spans="1:63" s="310" customFormat="1" ht="15" customHeight="1" x14ac:dyDescent="0.25">
      <c r="A99" s="24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25"/>
      <c r="M99" s="330"/>
      <c r="N99" s="328"/>
      <c r="O99" s="331" t="s">
        <v>57</v>
      </c>
      <c r="P99" s="331"/>
      <c r="Q99" s="331"/>
      <c r="R99" s="331"/>
      <c r="S99" s="331"/>
      <c r="T99" s="331"/>
      <c r="U99" s="331"/>
      <c r="V99" s="331"/>
      <c r="W99" s="331"/>
      <c r="X99" s="331"/>
      <c r="Y99" s="331"/>
      <c r="Z99" s="331"/>
      <c r="AA99" s="331"/>
      <c r="AB99" s="331"/>
      <c r="AC99" s="331"/>
      <c r="AD99" s="331"/>
      <c r="AE99" s="331"/>
      <c r="AF99" s="331"/>
      <c r="AG99" s="331"/>
      <c r="AH99" s="331"/>
      <c r="AI99" s="331"/>
      <c r="AJ99" s="328"/>
      <c r="AK99" s="328"/>
      <c r="AL99" s="328"/>
      <c r="AM99" s="328"/>
      <c r="AN99" s="328"/>
      <c r="AO99" s="328"/>
      <c r="AP99" s="328"/>
      <c r="AQ99" s="328"/>
      <c r="AR99" s="328"/>
      <c r="AS99" s="328"/>
      <c r="AT99" s="328"/>
      <c r="AU99" s="24"/>
      <c r="AV99" s="35"/>
      <c r="AW99" s="35"/>
      <c r="AX99" s="35"/>
      <c r="AY99" s="35"/>
      <c r="AZ99" s="35"/>
      <c r="BA99" s="35"/>
      <c r="BB99" s="35"/>
      <c r="BC99" s="35"/>
      <c r="BD99" s="35"/>
      <c r="BE99" s="25"/>
      <c r="BF99" s="134"/>
      <c r="BG99" s="135"/>
      <c r="BH99" s="135"/>
      <c r="BI99" s="135"/>
      <c r="BJ99" s="135"/>
      <c r="BK99" s="136"/>
    </row>
    <row r="100" spans="1:63" s="310" customFormat="1" ht="15" customHeight="1" x14ac:dyDescent="0.25">
      <c r="A100" s="24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25"/>
      <c r="M100" s="328"/>
      <c r="O100" s="331"/>
      <c r="P100" s="331" t="s">
        <v>58</v>
      </c>
      <c r="Q100" s="331"/>
      <c r="R100" s="331"/>
      <c r="S100" s="331"/>
      <c r="T100" s="331"/>
      <c r="U100" s="331"/>
      <c r="V100" s="331"/>
      <c r="W100" s="331"/>
      <c r="X100" s="331"/>
      <c r="Y100" s="331"/>
      <c r="Z100" s="331"/>
      <c r="AA100" s="331"/>
      <c r="AB100" s="331"/>
      <c r="AC100" s="331"/>
      <c r="AD100" s="331"/>
      <c r="AE100" s="331"/>
      <c r="AF100" s="331"/>
      <c r="AG100" s="331"/>
      <c r="AH100" s="331"/>
      <c r="AI100" s="331"/>
      <c r="AJ100" s="328"/>
      <c r="AK100" s="328"/>
      <c r="AL100" s="328"/>
      <c r="AM100" s="328"/>
      <c r="AN100" s="328"/>
      <c r="AO100" s="328"/>
      <c r="AP100" s="328"/>
      <c r="AQ100" s="328"/>
      <c r="AR100" s="328"/>
      <c r="AS100" s="328"/>
      <c r="AT100" s="328"/>
      <c r="AU100" s="24"/>
      <c r="AV100" s="35"/>
      <c r="AW100" s="35"/>
      <c r="AX100" s="35"/>
      <c r="AY100" s="35"/>
      <c r="AZ100" s="35"/>
      <c r="BA100" s="35"/>
      <c r="BB100" s="35"/>
      <c r="BC100" s="35"/>
      <c r="BD100" s="35"/>
      <c r="BE100" s="25"/>
      <c r="BF100" s="134"/>
      <c r="BG100" s="135"/>
      <c r="BH100" s="135"/>
      <c r="BI100" s="135"/>
      <c r="BJ100" s="135"/>
      <c r="BK100" s="136"/>
    </row>
    <row r="101" spans="1:63" s="310" customFormat="1" ht="15" customHeight="1" x14ac:dyDescent="0.25">
      <c r="A101" s="24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25"/>
      <c r="M101" s="328"/>
      <c r="N101" s="328"/>
      <c r="O101" s="331"/>
      <c r="P101" s="331" t="s">
        <v>64</v>
      </c>
      <c r="Q101" s="331"/>
      <c r="R101" s="331"/>
      <c r="S101" s="331"/>
      <c r="T101" s="331"/>
      <c r="U101" s="331"/>
      <c r="V101" s="331"/>
      <c r="W101" s="331"/>
      <c r="X101" s="331"/>
      <c r="Y101" s="331"/>
      <c r="Z101" s="331"/>
      <c r="AA101" s="331"/>
      <c r="AB101" s="331"/>
      <c r="AC101" s="331"/>
      <c r="AD101" s="331"/>
      <c r="AE101" s="331"/>
      <c r="AF101" s="331"/>
      <c r="AG101" s="331"/>
      <c r="AH101" s="331"/>
      <c r="AI101" s="331"/>
      <c r="AJ101" s="328"/>
      <c r="AK101" s="328"/>
      <c r="AL101" s="328"/>
      <c r="AM101" s="328"/>
      <c r="AN101" s="328"/>
      <c r="AO101" s="328"/>
      <c r="AP101" s="328"/>
      <c r="AQ101" s="328"/>
      <c r="AR101" s="328"/>
      <c r="AS101" s="328"/>
      <c r="AT101" s="328"/>
      <c r="AU101" s="24"/>
      <c r="AV101" s="35"/>
      <c r="AW101" s="35"/>
      <c r="AX101" s="35"/>
      <c r="AY101" s="35"/>
      <c r="AZ101" s="35"/>
      <c r="BA101" s="35"/>
      <c r="BB101" s="35"/>
      <c r="BC101" s="35"/>
      <c r="BD101" s="35"/>
      <c r="BE101" s="25"/>
      <c r="BF101" s="134"/>
      <c r="BG101" s="135"/>
      <c r="BH101" s="135"/>
      <c r="BI101" s="135"/>
      <c r="BJ101" s="135"/>
      <c r="BK101" s="136"/>
    </row>
    <row r="102" spans="1:63" s="310" customFormat="1" ht="15" customHeight="1" x14ac:dyDescent="0.25">
      <c r="A102" s="24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25"/>
      <c r="M102" s="328"/>
      <c r="N102" s="328"/>
      <c r="O102" s="331" t="s">
        <v>59</v>
      </c>
      <c r="P102" s="331"/>
      <c r="Q102" s="331"/>
      <c r="R102" s="331"/>
      <c r="S102" s="331"/>
      <c r="T102" s="331"/>
      <c r="U102" s="331"/>
      <c r="V102" s="331"/>
      <c r="W102" s="331"/>
      <c r="X102" s="331"/>
      <c r="Y102" s="331"/>
      <c r="Z102" s="331"/>
      <c r="AA102" s="331"/>
      <c r="AB102" s="331"/>
      <c r="AC102" s="331"/>
      <c r="AD102" s="331"/>
      <c r="AE102" s="331"/>
      <c r="AF102" s="331"/>
      <c r="AG102" s="331"/>
      <c r="AH102" s="331"/>
      <c r="AI102" s="331"/>
      <c r="AJ102" s="328"/>
      <c r="AK102" s="328"/>
      <c r="AL102" s="328"/>
      <c r="AM102" s="328"/>
      <c r="AN102" s="328"/>
      <c r="AO102" s="328"/>
      <c r="AP102" s="328"/>
      <c r="AQ102" s="328"/>
      <c r="AR102" s="328"/>
      <c r="AS102" s="328"/>
      <c r="AT102" s="328"/>
      <c r="AU102" s="24"/>
      <c r="AV102" s="35"/>
      <c r="AW102" s="35"/>
      <c r="AX102" s="35"/>
      <c r="AY102" s="35"/>
      <c r="AZ102" s="35"/>
      <c r="BA102" s="35"/>
      <c r="BB102" s="35"/>
      <c r="BC102" s="35"/>
      <c r="BD102" s="35"/>
      <c r="BE102" s="25"/>
      <c r="BF102" s="134"/>
      <c r="BG102" s="135"/>
      <c r="BH102" s="135"/>
      <c r="BI102" s="135"/>
      <c r="BJ102" s="135"/>
      <c r="BK102" s="136"/>
    </row>
    <row r="103" spans="1:63" s="310" customFormat="1" ht="15" customHeight="1" x14ac:dyDescent="0.25">
      <c r="A103" s="24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25"/>
      <c r="M103" s="328"/>
      <c r="N103" s="328"/>
      <c r="O103" s="331"/>
      <c r="P103" s="331" t="s">
        <v>60</v>
      </c>
      <c r="Q103" s="328"/>
      <c r="R103" s="328"/>
      <c r="S103" s="328"/>
      <c r="T103" s="328"/>
      <c r="U103" s="328"/>
      <c r="V103" s="328"/>
      <c r="W103" s="328"/>
      <c r="X103" s="328"/>
      <c r="Y103" s="328"/>
      <c r="Z103" s="328"/>
      <c r="AA103" s="328"/>
      <c r="AB103" s="328"/>
      <c r="AC103" s="328"/>
      <c r="AD103" s="328"/>
      <c r="AE103" s="328"/>
      <c r="AF103" s="328"/>
      <c r="AG103" s="328"/>
      <c r="AH103" s="328"/>
      <c r="AI103" s="328"/>
      <c r="AJ103" s="328"/>
      <c r="AK103" s="328"/>
      <c r="AL103" s="328"/>
      <c r="AM103" s="328"/>
      <c r="AN103" s="328"/>
      <c r="AO103" s="328"/>
      <c r="AP103" s="328"/>
      <c r="AQ103" s="328"/>
      <c r="AR103" s="328"/>
      <c r="AS103" s="328"/>
      <c r="AT103" s="328"/>
      <c r="AU103" s="24"/>
      <c r="AV103" s="35"/>
      <c r="AW103" s="35"/>
      <c r="AX103" s="35"/>
      <c r="AY103" s="35"/>
      <c r="AZ103" s="35"/>
      <c r="BA103" s="35"/>
      <c r="BB103" s="35"/>
      <c r="BC103" s="35"/>
      <c r="BD103" s="35"/>
      <c r="BE103" s="25"/>
      <c r="BF103" s="134"/>
      <c r="BG103" s="135"/>
      <c r="BH103" s="135"/>
      <c r="BI103" s="135"/>
      <c r="BJ103" s="135"/>
      <c r="BK103" s="136"/>
    </row>
    <row r="104" spans="1:63" s="310" customFormat="1" ht="15" customHeight="1" x14ac:dyDescent="0.25">
      <c r="A104" s="24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25"/>
      <c r="M104" s="328"/>
      <c r="N104" s="328"/>
      <c r="O104" s="328"/>
      <c r="P104" s="328"/>
      <c r="Q104" s="328" t="s">
        <v>30</v>
      </c>
      <c r="R104" s="328"/>
      <c r="S104" s="328"/>
      <c r="T104" s="328"/>
      <c r="U104" s="328"/>
      <c r="V104" s="328"/>
      <c r="W104" s="328"/>
      <c r="X104" s="328"/>
      <c r="Y104" s="328"/>
      <c r="Z104" s="328"/>
      <c r="AA104" s="328"/>
      <c r="AB104" s="328"/>
      <c r="AC104" s="328"/>
      <c r="AD104" s="328"/>
      <c r="AE104" s="328"/>
      <c r="AF104" s="328"/>
      <c r="AG104" s="328"/>
      <c r="AH104" s="328"/>
      <c r="AI104" s="328"/>
      <c r="AJ104" s="328"/>
      <c r="AK104" s="328"/>
      <c r="AL104" s="328"/>
      <c r="AM104" s="328"/>
      <c r="AN104" s="328"/>
      <c r="AO104" s="328"/>
      <c r="AP104" s="328"/>
      <c r="AQ104" s="328"/>
      <c r="AR104" s="328"/>
      <c r="AS104" s="328"/>
      <c r="AT104" s="328"/>
      <c r="AU104" s="24"/>
      <c r="AV104" s="35"/>
      <c r="AW104" s="35"/>
      <c r="AX104" s="35"/>
      <c r="AY104" s="35"/>
      <c r="AZ104" s="35"/>
      <c r="BA104" s="35"/>
      <c r="BB104" s="35"/>
      <c r="BC104" s="35"/>
      <c r="BD104" s="35"/>
      <c r="BE104" s="25"/>
      <c r="BF104" s="134"/>
      <c r="BG104" s="135"/>
      <c r="BH104" s="135"/>
      <c r="BI104" s="135"/>
      <c r="BJ104" s="135"/>
      <c r="BK104" s="136"/>
    </row>
    <row r="105" spans="1:63" s="310" customFormat="1" ht="15" customHeight="1" x14ac:dyDescent="0.25">
      <c r="A105" s="24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25"/>
      <c r="M105" s="328"/>
      <c r="N105" s="328"/>
      <c r="O105" s="328"/>
      <c r="P105" s="328"/>
      <c r="Q105" s="328"/>
      <c r="R105" s="328"/>
      <c r="S105" s="328"/>
      <c r="T105" s="328"/>
      <c r="U105" s="328"/>
      <c r="V105" s="328"/>
      <c r="W105" s="328"/>
      <c r="X105" s="328"/>
      <c r="Y105" s="328"/>
      <c r="Z105" s="328"/>
      <c r="AA105" s="328"/>
      <c r="AB105" s="328"/>
      <c r="AC105" s="328"/>
      <c r="AD105" s="328"/>
      <c r="AE105" s="328"/>
      <c r="AF105" s="328"/>
      <c r="AG105" s="328"/>
      <c r="AH105" s="328"/>
      <c r="AI105" s="328"/>
      <c r="AJ105" s="328"/>
      <c r="AK105" s="328"/>
      <c r="AL105" s="328"/>
      <c r="AM105" s="328"/>
      <c r="AN105" s="328"/>
      <c r="AO105" s="328"/>
      <c r="AP105" s="328"/>
      <c r="AQ105" s="328"/>
      <c r="AR105" s="328"/>
      <c r="AS105" s="328"/>
      <c r="AT105" s="328"/>
      <c r="AU105" s="24"/>
      <c r="AV105" s="35"/>
      <c r="AW105" s="35"/>
      <c r="AX105" s="35"/>
      <c r="AY105" s="35"/>
      <c r="AZ105" s="35"/>
      <c r="BA105" s="35"/>
      <c r="BB105" s="35"/>
      <c r="BC105" s="35"/>
      <c r="BD105" s="35"/>
      <c r="BE105" s="25"/>
      <c r="BF105" s="134"/>
      <c r="BG105" s="135"/>
      <c r="BH105" s="135"/>
      <c r="BI105" s="135"/>
      <c r="BJ105" s="135"/>
      <c r="BK105" s="136"/>
    </row>
    <row r="106" spans="1:63" s="310" customFormat="1" ht="15" customHeight="1" x14ac:dyDescent="0.25">
      <c r="A106" s="26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8"/>
      <c r="M106" s="332"/>
      <c r="N106" s="333"/>
      <c r="O106" s="333"/>
      <c r="P106" s="333"/>
      <c r="Q106" s="33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334"/>
      <c r="AQ106" s="334"/>
      <c r="AR106" s="334"/>
      <c r="AS106" s="334"/>
      <c r="AT106" s="334"/>
      <c r="AU106" s="26"/>
      <c r="AV106" s="27"/>
      <c r="AW106" s="27"/>
      <c r="AX106" s="27"/>
      <c r="AY106" s="27"/>
      <c r="AZ106" s="27"/>
      <c r="BA106" s="27"/>
      <c r="BB106" s="27"/>
      <c r="BC106" s="27"/>
      <c r="BD106" s="27"/>
      <c r="BE106" s="28"/>
      <c r="BF106" s="128"/>
      <c r="BG106" s="129"/>
      <c r="BH106" s="129"/>
      <c r="BI106" s="129"/>
      <c r="BJ106" s="129"/>
      <c r="BK106" s="130"/>
    </row>
    <row r="107" spans="1:63" ht="15" customHeight="1" x14ac:dyDescent="0.25">
      <c r="A107" s="44"/>
      <c r="BK107" s="15"/>
    </row>
    <row r="108" spans="1:63" ht="15" customHeight="1" x14ac:dyDescent="0.25">
      <c r="A108" s="44"/>
      <c r="BK108" s="15"/>
    </row>
    <row r="109" spans="1:63" ht="15" customHeight="1" x14ac:dyDescent="0.25">
      <c r="A109" s="44"/>
      <c r="BK109" s="15"/>
    </row>
    <row r="110" spans="1:63" s="310" customFormat="1" ht="15" customHeight="1" x14ac:dyDescent="0.25">
      <c r="A110" s="316" t="s">
        <v>13</v>
      </c>
      <c r="B110" s="317"/>
      <c r="C110" s="317"/>
      <c r="D110" s="317"/>
      <c r="E110" s="317"/>
      <c r="F110" s="318"/>
      <c r="G110" s="312" t="s">
        <v>65</v>
      </c>
      <c r="H110" s="312"/>
      <c r="I110" s="312"/>
      <c r="J110" s="312"/>
      <c r="K110" s="312"/>
      <c r="L110" s="312"/>
      <c r="M110" s="319" t="s">
        <v>66</v>
      </c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320"/>
      <c r="BI110" s="320"/>
      <c r="BJ110" s="320"/>
      <c r="BK110" s="321"/>
    </row>
    <row r="111" spans="1:63" s="310" customFormat="1" ht="15" customHeight="1" x14ac:dyDescent="0.25">
      <c r="A111" s="322" t="s">
        <v>15</v>
      </c>
      <c r="B111" s="323"/>
      <c r="C111" s="323"/>
      <c r="D111" s="323"/>
      <c r="E111" s="323"/>
      <c r="F111" s="323"/>
      <c r="G111" s="323"/>
      <c r="H111" s="323"/>
      <c r="I111" s="323"/>
      <c r="J111" s="323"/>
      <c r="K111" s="323"/>
      <c r="L111" s="324"/>
      <c r="M111" s="322" t="s">
        <v>16</v>
      </c>
      <c r="N111" s="323"/>
      <c r="O111" s="323"/>
      <c r="P111" s="323"/>
      <c r="Q111" s="323"/>
      <c r="R111" s="323"/>
      <c r="S111" s="323"/>
      <c r="T111" s="323"/>
      <c r="U111" s="323"/>
      <c r="V111" s="323"/>
      <c r="W111" s="323"/>
      <c r="X111" s="323"/>
      <c r="Y111" s="323"/>
      <c r="Z111" s="323"/>
      <c r="AA111" s="323"/>
      <c r="AB111" s="323"/>
      <c r="AC111" s="323"/>
      <c r="AD111" s="323"/>
      <c r="AE111" s="323"/>
      <c r="AF111" s="323"/>
      <c r="AG111" s="323"/>
      <c r="AH111" s="323"/>
      <c r="AI111" s="323"/>
      <c r="AJ111" s="323"/>
      <c r="AK111" s="323"/>
      <c r="AL111" s="323"/>
      <c r="AM111" s="323"/>
      <c r="AN111" s="323"/>
      <c r="AO111" s="323"/>
      <c r="AP111" s="323"/>
      <c r="AQ111" s="323"/>
      <c r="AR111" s="323"/>
      <c r="AS111" s="323"/>
      <c r="AT111" s="324"/>
      <c r="AU111" s="322" t="s">
        <v>17</v>
      </c>
      <c r="AV111" s="323"/>
      <c r="AW111" s="323"/>
      <c r="AX111" s="323"/>
      <c r="AY111" s="323"/>
      <c r="AZ111" s="323"/>
      <c r="BA111" s="323"/>
      <c r="BB111" s="323"/>
      <c r="BC111" s="323"/>
      <c r="BD111" s="323"/>
      <c r="BE111" s="323"/>
      <c r="BF111" s="322" t="s">
        <v>18</v>
      </c>
      <c r="BG111" s="323"/>
      <c r="BH111" s="323"/>
      <c r="BI111" s="323"/>
      <c r="BJ111" s="323"/>
      <c r="BK111" s="324"/>
    </row>
    <row r="112" spans="1:63" s="310" customFormat="1" ht="15" customHeight="1" x14ac:dyDescent="0.25">
      <c r="A112" s="325"/>
      <c r="B112" s="326"/>
      <c r="C112" s="326"/>
      <c r="D112" s="326"/>
      <c r="E112" s="326"/>
      <c r="F112" s="326"/>
      <c r="G112" s="326"/>
      <c r="H112" s="326"/>
      <c r="I112" s="326"/>
      <c r="J112" s="326"/>
      <c r="K112" s="326"/>
      <c r="L112" s="327"/>
      <c r="M112" s="325"/>
      <c r="N112" s="326"/>
      <c r="O112" s="326"/>
      <c r="P112" s="326"/>
      <c r="Q112" s="326"/>
      <c r="R112" s="326"/>
      <c r="S112" s="326"/>
      <c r="T112" s="326"/>
      <c r="U112" s="326"/>
      <c r="V112" s="326"/>
      <c r="W112" s="326"/>
      <c r="X112" s="326"/>
      <c r="Y112" s="326"/>
      <c r="Z112" s="326"/>
      <c r="AA112" s="326"/>
      <c r="AB112" s="326"/>
      <c r="AC112" s="326"/>
      <c r="AD112" s="326"/>
      <c r="AE112" s="326"/>
      <c r="AF112" s="326"/>
      <c r="AG112" s="326"/>
      <c r="AH112" s="326"/>
      <c r="AI112" s="326"/>
      <c r="AJ112" s="326"/>
      <c r="AK112" s="326"/>
      <c r="AL112" s="326"/>
      <c r="AM112" s="326"/>
      <c r="AN112" s="326"/>
      <c r="AO112" s="326"/>
      <c r="AP112" s="326"/>
      <c r="AQ112" s="326"/>
      <c r="AR112" s="326"/>
      <c r="AS112" s="326"/>
      <c r="AT112" s="327"/>
      <c r="AU112" s="325"/>
      <c r="AV112" s="326"/>
      <c r="AW112" s="326"/>
      <c r="AX112" s="326"/>
      <c r="AY112" s="326"/>
      <c r="AZ112" s="326"/>
      <c r="BA112" s="326"/>
      <c r="BB112" s="326"/>
      <c r="BC112" s="326"/>
      <c r="BD112" s="326"/>
      <c r="BE112" s="326"/>
      <c r="BF112" s="325"/>
      <c r="BG112" s="326"/>
      <c r="BH112" s="326"/>
      <c r="BI112" s="326"/>
      <c r="BJ112" s="326"/>
      <c r="BK112" s="327"/>
    </row>
    <row r="113" spans="1:63" s="310" customFormat="1" ht="15" customHeight="1" x14ac:dyDescent="0.25">
      <c r="A113" s="20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2"/>
      <c r="M113" s="328"/>
      <c r="N113" s="328"/>
      <c r="O113" s="328"/>
      <c r="P113" s="328"/>
      <c r="Q113" s="328"/>
      <c r="R113" s="329"/>
      <c r="S113" s="329"/>
      <c r="T113" s="329"/>
      <c r="U113" s="329"/>
      <c r="V113" s="329"/>
      <c r="W113" s="329"/>
      <c r="X113" s="329"/>
      <c r="Y113" s="329"/>
      <c r="Z113" s="329"/>
      <c r="AA113" s="329"/>
      <c r="AB113" s="329"/>
      <c r="AC113" s="329"/>
      <c r="AD113" s="329"/>
      <c r="AE113" s="329"/>
      <c r="AF113" s="329"/>
      <c r="AG113" s="329"/>
      <c r="AH113" s="329"/>
      <c r="AI113" s="329"/>
      <c r="AJ113" s="329"/>
      <c r="AK113" s="329"/>
      <c r="AL113" s="329"/>
      <c r="AM113" s="329"/>
      <c r="AN113" s="329"/>
      <c r="AO113" s="329"/>
      <c r="AP113" s="329"/>
      <c r="AQ113" s="329"/>
      <c r="AR113" s="329"/>
      <c r="AS113" s="329"/>
      <c r="AT113" s="329"/>
      <c r="AU113" s="20"/>
      <c r="AV113" s="21"/>
      <c r="AW113" s="21"/>
      <c r="AX113" s="21"/>
      <c r="AY113" s="21"/>
      <c r="AZ113" s="21"/>
      <c r="BA113" s="21"/>
      <c r="BB113" s="21"/>
      <c r="BC113" s="21"/>
      <c r="BD113" s="21"/>
      <c r="BE113" s="22"/>
      <c r="BF113" s="341" t="s">
        <v>205</v>
      </c>
      <c r="BG113" s="132"/>
      <c r="BH113" s="132"/>
      <c r="BI113" s="132"/>
      <c r="BJ113" s="132"/>
      <c r="BK113" s="133"/>
    </row>
    <row r="114" spans="1:63" s="310" customFormat="1" ht="15" customHeight="1" x14ac:dyDescent="0.25">
      <c r="A114" s="24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25"/>
      <c r="M114" s="328"/>
      <c r="N114" s="331" t="s">
        <v>67</v>
      </c>
      <c r="O114" s="328"/>
      <c r="P114" s="328"/>
      <c r="Q114" s="328"/>
      <c r="R114" s="328"/>
      <c r="S114" s="328"/>
      <c r="T114" s="328"/>
      <c r="U114" s="328"/>
      <c r="V114" s="328"/>
      <c r="W114" s="328"/>
      <c r="X114" s="328"/>
      <c r="Y114" s="328"/>
      <c r="Z114" s="328"/>
      <c r="AA114" s="328"/>
      <c r="AB114" s="328"/>
      <c r="AC114" s="328"/>
      <c r="AD114" s="328"/>
      <c r="AE114" s="328"/>
      <c r="AF114" s="328"/>
      <c r="AG114" s="328"/>
      <c r="AH114" s="328"/>
      <c r="AI114" s="328"/>
      <c r="AJ114" s="328"/>
      <c r="AK114" s="328"/>
      <c r="AL114" s="328"/>
      <c r="AM114" s="328"/>
      <c r="AN114" s="328"/>
      <c r="AO114" s="328"/>
      <c r="AP114" s="328"/>
      <c r="AQ114" s="328"/>
      <c r="AR114" s="328"/>
      <c r="AS114" s="328"/>
      <c r="AT114" s="328"/>
      <c r="AU114" s="24"/>
      <c r="AV114" s="35"/>
      <c r="AW114" s="35"/>
      <c r="AX114" s="35"/>
      <c r="AY114" s="35"/>
      <c r="AZ114" s="35"/>
      <c r="BA114" s="35"/>
      <c r="BB114" s="35"/>
      <c r="BC114" s="35"/>
      <c r="BD114" s="35"/>
      <c r="BE114" s="25"/>
      <c r="BF114" s="134"/>
      <c r="BG114" s="135"/>
      <c r="BH114" s="135"/>
      <c r="BI114" s="135"/>
      <c r="BJ114" s="135"/>
      <c r="BK114" s="136"/>
    </row>
    <row r="115" spans="1:63" s="310" customFormat="1" ht="15" customHeight="1" x14ac:dyDescent="0.25">
      <c r="A115" s="24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25"/>
      <c r="M115" s="330"/>
      <c r="N115" s="328"/>
      <c r="O115" s="328" t="s">
        <v>30</v>
      </c>
      <c r="P115" s="328"/>
      <c r="Q115" s="331"/>
      <c r="R115" s="331"/>
      <c r="S115" s="331"/>
      <c r="T115" s="331"/>
      <c r="U115" s="331"/>
      <c r="V115" s="331"/>
      <c r="W115" s="331"/>
      <c r="X115" s="331"/>
      <c r="Y115" s="331"/>
      <c r="Z115" s="331"/>
      <c r="AA115" s="331"/>
      <c r="AB115" s="331"/>
      <c r="AC115" s="331"/>
      <c r="AD115" s="331"/>
      <c r="AE115" s="331"/>
      <c r="AF115" s="331"/>
      <c r="AG115" s="331"/>
      <c r="AH115" s="331"/>
      <c r="AI115" s="331"/>
      <c r="AJ115" s="328"/>
      <c r="AK115" s="328"/>
      <c r="AL115" s="328"/>
      <c r="AM115" s="328"/>
      <c r="AN115" s="328"/>
      <c r="AO115" s="328"/>
      <c r="AP115" s="328"/>
      <c r="AQ115" s="328"/>
      <c r="AR115" s="328"/>
      <c r="AS115" s="328"/>
      <c r="AT115" s="328"/>
      <c r="AU115" s="24"/>
      <c r="AV115" s="35"/>
      <c r="AW115" s="35"/>
      <c r="AX115" s="35"/>
      <c r="AY115" s="35"/>
      <c r="AZ115" s="35"/>
      <c r="BA115" s="35"/>
      <c r="BB115" s="35"/>
      <c r="BC115" s="35"/>
      <c r="BD115" s="35"/>
      <c r="BE115" s="25"/>
      <c r="BF115" s="134"/>
      <c r="BG115" s="135"/>
      <c r="BH115" s="135"/>
      <c r="BI115" s="135"/>
      <c r="BJ115" s="135"/>
      <c r="BK115" s="136"/>
    </row>
    <row r="116" spans="1:63" s="310" customFormat="1" ht="15" customHeight="1" x14ac:dyDescent="0.25">
      <c r="A116" s="24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25"/>
      <c r="M116" s="328"/>
      <c r="O116" s="331"/>
      <c r="P116" s="331"/>
      <c r="Q116" s="331"/>
      <c r="R116" s="331"/>
      <c r="S116" s="331"/>
      <c r="T116" s="331"/>
      <c r="U116" s="331"/>
      <c r="V116" s="331"/>
      <c r="W116" s="331"/>
      <c r="X116" s="331"/>
      <c r="Y116" s="331"/>
      <c r="Z116" s="331"/>
      <c r="AA116" s="331"/>
      <c r="AB116" s="331"/>
      <c r="AC116" s="331"/>
      <c r="AD116" s="331"/>
      <c r="AE116" s="331"/>
      <c r="AF116" s="331"/>
      <c r="AG116" s="331"/>
      <c r="AH116" s="331"/>
      <c r="AI116" s="331"/>
      <c r="AJ116" s="328"/>
      <c r="AK116" s="328"/>
      <c r="AL116" s="328"/>
      <c r="AM116" s="328"/>
      <c r="AN116" s="328"/>
      <c r="AO116" s="328"/>
      <c r="AP116" s="328"/>
      <c r="AQ116" s="328"/>
      <c r="AR116" s="328"/>
      <c r="AS116" s="328"/>
      <c r="AT116" s="328"/>
      <c r="AU116" s="24"/>
      <c r="AV116" s="35"/>
      <c r="AW116" s="35"/>
      <c r="AX116" s="35"/>
      <c r="AY116" s="35"/>
      <c r="AZ116" s="35"/>
      <c r="BA116" s="35"/>
      <c r="BB116" s="35"/>
      <c r="BC116" s="35"/>
      <c r="BD116" s="35"/>
      <c r="BE116" s="25"/>
      <c r="BF116" s="134"/>
      <c r="BG116" s="135"/>
      <c r="BH116" s="135"/>
      <c r="BI116" s="135"/>
      <c r="BJ116" s="135"/>
      <c r="BK116" s="136"/>
    </row>
    <row r="117" spans="1:63" s="310" customFormat="1" ht="15" customHeight="1" x14ac:dyDescent="0.25">
      <c r="A117" s="26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8"/>
      <c r="M117" s="332"/>
      <c r="N117" s="333"/>
      <c r="O117" s="333"/>
      <c r="P117" s="333"/>
      <c r="Q117" s="33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334"/>
      <c r="AQ117" s="334"/>
      <c r="AR117" s="334"/>
      <c r="AS117" s="334"/>
      <c r="AT117" s="334"/>
      <c r="AU117" s="26"/>
      <c r="AV117" s="27"/>
      <c r="AW117" s="27"/>
      <c r="AX117" s="27"/>
      <c r="AY117" s="27"/>
      <c r="AZ117" s="27"/>
      <c r="BA117" s="27"/>
      <c r="BB117" s="27"/>
      <c r="BC117" s="27"/>
      <c r="BD117" s="27"/>
      <c r="BE117" s="28"/>
      <c r="BF117" s="128"/>
      <c r="BG117" s="129"/>
      <c r="BH117" s="129"/>
      <c r="BI117" s="129"/>
      <c r="BJ117" s="129"/>
      <c r="BK117" s="130"/>
    </row>
    <row r="118" spans="1:63" ht="15" customHeight="1" x14ac:dyDescent="0.25">
      <c r="A118" s="44"/>
      <c r="BK118" s="15"/>
    </row>
    <row r="119" spans="1:63" ht="15" customHeight="1" x14ac:dyDescent="0.25">
      <c r="A119" s="44"/>
      <c r="BK119" s="15"/>
    </row>
    <row r="120" spans="1:63" ht="15" customHeight="1" x14ac:dyDescent="0.25">
      <c r="A120" s="44"/>
      <c r="BK120" s="15"/>
    </row>
    <row r="121" spans="1:63" s="310" customFormat="1" ht="15" customHeight="1" x14ac:dyDescent="0.25">
      <c r="A121" s="316" t="s">
        <v>13</v>
      </c>
      <c r="B121" s="317"/>
      <c r="C121" s="317"/>
      <c r="D121" s="317"/>
      <c r="E121" s="317"/>
      <c r="F121" s="318"/>
      <c r="G121" s="312" t="s">
        <v>68</v>
      </c>
      <c r="H121" s="312"/>
      <c r="I121" s="312"/>
      <c r="J121" s="312"/>
      <c r="K121" s="312"/>
      <c r="L121" s="312"/>
      <c r="M121" s="319" t="s">
        <v>69</v>
      </c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320"/>
      <c r="BI121" s="320"/>
      <c r="BJ121" s="320"/>
      <c r="BK121" s="321"/>
    </row>
    <row r="122" spans="1:63" s="310" customFormat="1" ht="15" customHeight="1" x14ac:dyDescent="0.25">
      <c r="A122" s="322" t="s">
        <v>15</v>
      </c>
      <c r="B122" s="323"/>
      <c r="C122" s="323"/>
      <c r="D122" s="323"/>
      <c r="E122" s="323"/>
      <c r="F122" s="323"/>
      <c r="G122" s="323"/>
      <c r="H122" s="323"/>
      <c r="I122" s="323"/>
      <c r="J122" s="323"/>
      <c r="K122" s="323"/>
      <c r="L122" s="324"/>
      <c r="M122" s="322" t="s">
        <v>16</v>
      </c>
      <c r="N122" s="323"/>
      <c r="O122" s="323"/>
      <c r="P122" s="323"/>
      <c r="Q122" s="323"/>
      <c r="R122" s="323"/>
      <c r="S122" s="323"/>
      <c r="T122" s="323"/>
      <c r="U122" s="323"/>
      <c r="V122" s="323"/>
      <c r="W122" s="323"/>
      <c r="X122" s="323"/>
      <c r="Y122" s="323"/>
      <c r="Z122" s="323"/>
      <c r="AA122" s="323"/>
      <c r="AB122" s="323"/>
      <c r="AC122" s="323"/>
      <c r="AD122" s="323"/>
      <c r="AE122" s="323"/>
      <c r="AF122" s="323"/>
      <c r="AG122" s="323"/>
      <c r="AH122" s="323"/>
      <c r="AI122" s="323"/>
      <c r="AJ122" s="323"/>
      <c r="AK122" s="323"/>
      <c r="AL122" s="323"/>
      <c r="AM122" s="323"/>
      <c r="AN122" s="323"/>
      <c r="AO122" s="323"/>
      <c r="AP122" s="323"/>
      <c r="AQ122" s="323"/>
      <c r="AR122" s="323"/>
      <c r="AS122" s="323"/>
      <c r="AT122" s="324"/>
      <c r="AU122" s="322" t="s">
        <v>17</v>
      </c>
      <c r="AV122" s="323"/>
      <c r="AW122" s="323"/>
      <c r="AX122" s="323"/>
      <c r="AY122" s="323"/>
      <c r="AZ122" s="323"/>
      <c r="BA122" s="323"/>
      <c r="BB122" s="323"/>
      <c r="BC122" s="323"/>
      <c r="BD122" s="323"/>
      <c r="BE122" s="323"/>
      <c r="BF122" s="322" t="s">
        <v>18</v>
      </c>
      <c r="BG122" s="323"/>
      <c r="BH122" s="323"/>
      <c r="BI122" s="323"/>
      <c r="BJ122" s="323"/>
      <c r="BK122" s="324"/>
    </row>
    <row r="123" spans="1:63" s="310" customFormat="1" ht="15" customHeight="1" x14ac:dyDescent="0.25">
      <c r="A123" s="325"/>
      <c r="B123" s="326"/>
      <c r="C123" s="326"/>
      <c r="D123" s="326"/>
      <c r="E123" s="326"/>
      <c r="F123" s="326"/>
      <c r="G123" s="326"/>
      <c r="H123" s="326"/>
      <c r="I123" s="326"/>
      <c r="J123" s="326"/>
      <c r="K123" s="326"/>
      <c r="L123" s="327"/>
      <c r="M123" s="325"/>
      <c r="N123" s="326"/>
      <c r="O123" s="326"/>
      <c r="P123" s="326"/>
      <c r="Q123" s="326"/>
      <c r="R123" s="326"/>
      <c r="S123" s="326"/>
      <c r="T123" s="326"/>
      <c r="U123" s="326"/>
      <c r="V123" s="326"/>
      <c r="W123" s="326"/>
      <c r="X123" s="326"/>
      <c r="Y123" s="326"/>
      <c r="Z123" s="326"/>
      <c r="AA123" s="326"/>
      <c r="AB123" s="326"/>
      <c r="AC123" s="326"/>
      <c r="AD123" s="326"/>
      <c r="AE123" s="326"/>
      <c r="AF123" s="326"/>
      <c r="AG123" s="326"/>
      <c r="AH123" s="326"/>
      <c r="AI123" s="326"/>
      <c r="AJ123" s="326"/>
      <c r="AK123" s="326"/>
      <c r="AL123" s="326"/>
      <c r="AM123" s="326"/>
      <c r="AN123" s="326"/>
      <c r="AO123" s="326"/>
      <c r="AP123" s="326"/>
      <c r="AQ123" s="326"/>
      <c r="AR123" s="326"/>
      <c r="AS123" s="326"/>
      <c r="AT123" s="327"/>
      <c r="AU123" s="325"/>
      <c r="AV123" s="326"/>
      <c r="AW123" s="326"/>
      <c r="AX123" s="326"/>
      <c r="AY123" s="326"/>
      <c r="AZ123" s="326"/>
      <c r="BA123" s="326"/>
      <c r="BB123" s="326"/>
      <c r="BC123" s="326"/>
      <c r="BD123" s="326"/>
      <c r="BE123" s="326"/>
      <c r="BF123" s="325"/>
      <c r="BG123" s="326"/>
      <c r="BH123" s="326"/>
      <c r="BI123" s="326"/>
      <c r="BJ123" s="326"/>
      <c r="BK123" s="327"/>
    </row>
    <row r="124" spans="1:63" s="310" customFormat="1" ht="15" customHeight="1" x14ac:dyDescent="0.25">
      <c r="A124" s="20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2"/>
      <c r="M124" s="328"/>
      <c r="N124" s="328"/>
      <c r="O124" s="328"/>
      <c r="P124" s="328"/>
      <c r="Q124" s="328"/>
      <c r="R124" s="329"/>
      <c r="S124" s="329"/>
      <c r="T124" s="329"/>
      <c r="U124" s="329"/>
      <c r="V124" s="329"/>
      <c r="W124" s="329"/>
      <c r="X124" s="329"/>
      <c r="Y124" s="329"/>
      <c r="Z124" s="329"/>
      <c r="AA124" s="329"/>
      <c r="AB124" s="329"/>
      <c r="AC124" s="329"/>
      <c r="AD124" s="329"/>
      <c r="AE124" s="329"/>
      <c r="AF124" s="329"/>
      <c r="AG124" s="329"/>
      <c r="AH124" s="329"/>
      <c r="AI124" s="329"/>
      <c r="AJ124" s="329"/>
      <c r="AK124" s="329"/>
      <c r="AL124" s="329"/>
      <c r="AM124" s="329"/>
      <c r="AN124" s="329"/>
      <c r="AO124" s="329"/>
      <c r="AP124" s="329"/>
      <c r="AQ124" s="329"/>
      <c r="AR124" s="329"/>
      <c r="AS124" s="329"/>
      <c r="AT124" s="329"/>
      <c r="AU124" s="20"/>
      <c r="AV124" s="21"/>
      <c r="AW124" s="21"/>
      <c r="AX124" s="21"/>
      <c r="AY124" s="21"/>
      <c r="AZ124" s="21"/>
      <c r="BA124" s="21"/>
      <c r="BB124" s="21"/>
      <c r="BC124" s="21"/>
      <c r="BD124" s="21"/>
      <c r="BE124" s="22"/>
      <c r="BF124" s="131" t="s">
        <v>208</v>
      </c>
      <c r="BG124" s="132"/>
      <c r="BH124" s="132"/>
      <c r="BI124" s="132"/>
      <c r="BJ124" s="132"/>
      <c r="BK124" s="133"/>
    </row>
    <row r="125" spans="1:63" s="310" customFormat="1" ht="15" customHeight="1" x14ac:dyDescent="0.25">
      <c r="A125" s="24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25"/>
      <c r="M125" s="328"/>
      <c r="N125" s="45" t="s">
        <v>193</v>
      </c>
      <c r="O125" s="328"/>
      <c r="P125" s="328"/>
      <c r="Q125" s="328"/>
      <c r="R125" s="328"/>
      <c r="S125" s="328"/>
      <c r="T125" s="328"/>
      <c r="U125" s="328"/>
      <c r="V125" s="328"/>
      <c r="W125" s="328"/>
      <c r="X125" s="328"/>
      <c r="Y125" s="328"/>
      <c r="Z125" s="328"/>
      <c r="AA125" s="328"/>
      <c r="AB125" s="328"/>
      <c r="AC125" s="328"/>
      <c r="AD125" s="328"/>
      <c r="AE125" s="328"/>
      <c r="AF125" s="328"/>
      <c r="AG125" s="328"/>
      <c r="AH125" s="328"/>
      <c r="AI125" s="328"/>
      <c r="AJ125" s="328"/>
      <c r="AK125" s="328"/>
      <c r="AL125" s="328"/>
      <c r="AM125" s="328"/>
      <c r="AN125" s="328"/>
      <c r="AO125" s="328"/>
      <c r="AP125" s="328"/>
      <c r="AQ125" s="328"/>
      <c r="AR125" s="328"/>
      <c r="AS125" s="328"/>
      <c r="AT125" s="328"/>
      <c r="AU125" s="24"/>
      <c r="AV125" s="35"/>
      <c r="AW125" s="35"/>
      <c r="AX125" s="35"/>
      <c r="AY125" s="35"/>
      <c r="AZ125" s="35"/>
      <c r="BA125" s="35"/>
      <c r="BB125" s="35"/>
      <c r="BC125" s="35"/>
      <c r="BD125" s="35"/>
      <c r="BE125" s="25"/>
      <c r="BF125" s="134"/>
      <c r="BG125" s="135"/>
      <c r="BH125" s="135"/>
      <c r="BI125" s="135"/>
      <c r="BJ125" s="135"/>
      <c r="BK125" s="136"/>
    </row>
    <row r="126" spans="1:63" s="310" customFormat="1" ht="15" customHeight="1" x14ac:dyDescent="0.25">
      <c r="A126" s="24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25"/>
      <c r="M126" s="330"/>
      <c r="N126" s="328"/>
      <c r="O126" s="331" t="s">
        <v>70</v>
      </c>
      <c r="P126" s="331"/>
      <c r="Q126" s="331"/>
      <c r="R126" s="331"/>
      <c r="S126" s="331"/>
      <c r="T126" s="331"/>
      <c r="U126" s="331"/>
      <c r="V126" s="331"/>
      <c r="W126" s="331"/>
      <c r="X126" s="331"/>
      <c r="Y126" s="331"/>
      <c r="Z126" s="331"/>
      <c r="AA126" s="331"/>
      <c r="AB126" s="331"/>
      <c r="AC126" s="331"/>
      <c r="AD126" s="331"/>
      <c r="AE126" s="331"/>
      <c r="AF126" s="331"/>
      <c r="AG126" s="331"/>
      <c r="AH126" s="331"/>
      <c r="AI126" s="331"/>
      <c r="AJ126" s="328"/>
      <c r="AK126" s="328"/>
      <c r="AL126" s="328"/>
      <c r="AM126" s="328"/>
      <c r="AN126" s="328"/>
      <c r="AO126" s="328"/>
      <c r="AP126" s="328"/>
      <c r="AQ126" s="328"/>
      <c r="AR126" s="328"/>
      <c r="AS126" s="328"/>
      <c r="AT126" s="328"/>
      <c r="AU126" s="24"/>
      <c r="AV126" s="35"/>
      <c r="AW126" s="35"/>
      <c r="AX126" s="35"/>
      <c r="AY126" s="35"/>
      <c r="AZ126" s="35"/>
      <c r="BA126" s="35"/>
      <c r="BB126" s="35"/>
      <c r="BC126" s="35"/>
      <c r="BD126" s="35"/>
      <c r="BE126" s="25"/>
      <c r="BF126" s="134"/>
      <c r="BG126" s="135"/>
      <c r="BH126" s="135"/>
      <c r="BI126" s="135"/>
      <c r="BJ126" s="135"/>
      <c r="BK126" s="136"/>
    </row>
    <row r="127" spans="1:63" s="310" customFormat="1" ht="15" customHeight="1" x14ac:dyDescent="0.25">
      <c r="A127" s="24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25"/>
      <c r="M127" s="328"/>
      <c r="O127" s="331"/>
      <c r="P127" s="50" t="s">
        <v>31</v>
      </c>
      <c r="Q127" s="51"/>
      <c r="R127" s="51"/>
      <c r="S127" s="51"/>
      <c r="T127" s="51"/>
      <c r="U127" s="51"/>
      <c r="V127" s="51"/>
      <c r="W127" s="50" t="s">
        <v>32</v>
      </c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2"/>
      <c r="AN127" s="328"/>
      <c r="AO127" s="328"/>
      <c r="AP127" s="328"/>
      <c r="AQ127" s="328"/>
      <c r="AR127" s="328"/>
      <c r="AS127" s="328"/>
      <c r="AT127" s="328"/>
      <c r="AU127" s="24"/>
      <c r="AV127" s="35"/>
      <c r="AW127" s="35"/>
      <c r="AX127" s="35"/>
      <c r="AY127" s="35"/>
      <c r="AZ127" s="35"/>
      <c r="BA127" s="35"/>
      <c r="BB127" s="35"/>
      <c r="BC127" s="35"/>
      <c r="BD127" s="35"/>
      <c r="BE127" s="25"/>
      <c r="BF127" s="134"/>
      <c r="BG127" s="135"/>
      <c r="BH127" s="135"/>
      <c r="BI127" s="135"/>
      <c r="BJ127" s="135"/>
      <c r="BK127" s="136"/>
    </row>
    <row r="128" spans="1:63" s="310" customFormat="1" ht="15" customHeight="1" x14ac:dyDescent="0.25">
      <c r="A128" s="24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25"/>
      <c r="M128" s="328"/>
      <c r="N128" s="328"/>
      <c r="O128" s="331"/>
      <c r="P128" s="335" t="s">
        <v>71</v>
      </c>
      <c r="Q128" s="336"/>
      <c r="R128" s="336"/>
      <c r="S128" s="336"/>
      <c r="T128" s="336"/>
      <c r="U128" s="336"/>
      <c r="V128" s="336"/>
      <c r="W128" s="337" t="s">
        <v>77</v>
      </c>
      <c r="X128" s="338"/>
      <c r="Y128" s="338"/>
      <c r="Z128" s="338"/>
      <c r="AA128" s="338"/>
      <c r="AB128" s="338"/>
      <c r="AC128" s="338"/>
      <c r="AD128" s="338"/>
      <c r="AE128" s="338"/>
      <c r="AF128" s="338"/>
      <c r="AG128" s="338"/>
      <c r="AH128" s="338"/>
      <c r="AI128" s="338"/>
      <c r="AJ128" s="338"/>
      <c r="AK128" s="338"/>
      <c r="AL128" s="338"/>
      <c r="AM128" s="339"/>
      <c r="AN128" s="328"/>
      <c r="AO128" s="328"/>
      <c r="AP128" s="328"/>
      <c r="AQ128" s="328"/>
      <c r="AR128" s="328"/>
      <c r="AS128" s="328"/>
      <c r="AT128" s="328"/>
      <c r="AU128" s="24"/>
      <c r="AV128" s="35"/>
      <c r="AW128" s="35"/>
      <c r="AX128" s="35"/>
      <c r="AY128" s="35"/>
      <c r="AZ128" s="35"/>
      <c r="BA128" s="35"/>
      <c r="BB128" s="35"/>
      <c r="BC128" s="35"/>
      <c r="BD128" s="35"/>
      <c r="BE128" s="25"/>
      <c r="BF128" s="134"/>
      <c r="BG128" s="135"/>
      <c r="BH128" s="135"/>
      <c r="BI128" s="135"/>
      <c r="BJ128" s="135"/>
      <c r="BK128" s="136"/>
    </row>
    <row r="129" spans="1:63" s="310" customFormat="1" ht="15" customHeight="1" x14ac:dyDescent="0.25">
      <c r="A129" s="24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25"/>
      <c r="M129" s="328"/>
      <c r="N129" s="328"/>
      <c r="O129" s="331"/>
      <c r="P129" s="335" t="s">
        <v>72</v>
      </c>
      <c r="Q129" s="336"/>
      <c r="R129" s="336"/>
      <c r="S129" s="336"/>
      <c r="T129" s="336"/>
      <c r="U129" s="336"/>
      <c r="V129" s="336"/>
      <c r="W129" s="337" t="s">
        <v>75</v>
      </c>
      <c r="X129" s="338"/>
      <c r="Y129" s="338"/>
      <c r="Z129" s="338"/>
      <c r="AA129" s="338"/>
      <c r="AB129" s="338"/>
      <c r="AC129" s="338"/>
      <c r="AD129" s="338"/>
      <c r="AE129" s="338"/>
      <c r="AF129" s="338"/>
      <c r="AG129" s="338"/>
      <c r="AH129" s="338"/>
      <c r="AI129" s="338"/>
      <c r="AJ129" s="338"/>
      <c r="AK129" s="338"/>
      <c r="AL129" s="338"/>
      <c r="AM129" s="339"/>
      <c r="AN129" s="328"/>
      <c r="AO129" s="328"/>
      <c r="AP129" s="328"/>
      <c r="AQ129" s="328"/>
      <c r="AR129" s="328"/>
      <c r="AS129" s="328"/>
      <c r="AT129" s="328"/>
      <c r="AU129" s="24"/>
      <c r="AV129" s="35"/>
      <c r="AW129" s="35"/>
      <c r="AX129" s="35"/>
      <c r="AY129" s="35"/>
      <c r="AZ129" s="35"/>
      <c r="BA129" s="35"/>
      <c r="BB129" s="35"/>
      <c r="BC129" s="35"/>
      <c r="BD129" s="35"/>
      <c r="BE129" s="25"/>
      <c r="BF129" s="134"/>
      <c r="BG129" s="135"/>
      <c r="BH129" s="135"/>
      <c r="BI129" s="135"/>
      <c r="BJ129" s="135"/>
      <c r="BK129" s="136"/>
    </row>
    <row r="130" spans="1:63" s="310" customFormat="1" ht="15" customHeight="1" x14ac:dyDescent="0.25">
      <c r="A130" s="24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25"/>
      <c r="M130" s="328"/>
      <c r="O130" s="331"/>
      <c r="P130" s="335" t="s">
        <v>35</v>
      </c>
      <c r="Q130" s="336"/>
      <c r="R130" s="336"/>
      <c r="S130" s="336"/>
      <c r="T130" s="336"/>
      <c r="U130" s="336"/>
      <c r="V130" s="336"/>
      <c r="W130" s="337" t="s">
        <v>76</v>
      </c>
      <c r="X130" s="338"/>
      <c r="Y130" s="338"/>
      <c r="Z130" s="338"/>
      <c r="AA130" s="338"/>
      <c r="AB130" s="338"/>
      <c r="AC130" s="338"/>
      <c r="AD130" s="338"/>
      <c r="AE130" s="338"/>
      <c r="AF130" s="338"/>
      <c r="AG130" s="338"/>
      <c r="AH130" s="338"/>
      <c r="AI130" s="338"/>
      <c r="AJ130" s="338"/>
      <c r="AK130" s="338"/>
      <c r="AL130" s="338"/>
      <c r="AM130" s="339"/>
      <c r="AN130" s="328"/>
      <c r="AO130" s="328"/>
      <c r="AP130" s="328"/>
      <c r="AQ130" s="328"/>
      <c r="AR130" s="328"/>
      <c r="AS130" s="328"/>
      <c r="AT130" s="328"/>
      <c r="AU130" s="24"/>
      <c r="AV130" s="35"/>
      <c r="AW130" s="35"/>
      <c r="AX130" s="35"/>
      <c r="AY130" s="35"/>
      <c r="AZ130" s="35"/>
      <c r="BA130" s="35"/>
      <c r="BB130" s="35"/>
      <c r="BC130" s="35"/>
      <c r="BD130" s="35"/>
      <c r="BE130" s="25"/>
      <c r="BF130" s="134"/>
      <c r="BG130" s="135"/>
      <c r="BH130" s="135"/>
      <c r="BI130" s="135"/>
      <c r="BJ130" s="135"/>
      <c r="BK130" s="136"/>
    </row>
    <row r="131" spans="1:63" s="310" customFormat="1" ht="15" customHeight="1" x14ac:dyDescent="0.25">
      <c r="A131" s="24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25"/>
      <c r="M131" s="328"/>
      <c r="N131" s="49"/>
      <c r="O131" s="331"/>
      <c r="P131" s="335" t="s">
        <v>37</v>
      </c>
      <c r="Q131" s="336"/>
      <c r="R131" s="336"/>
      <c r="S131" s="336"/>
      <c r="T131" s="336"/>
      <c r="U131" s="336"/>
      <c r="V131" s="336"/>
      <c r="W131" s="337" t="s">
        <v>78</v>
      </c>
      <c r="X131" s="338"/>
      <c r="Y131" s="338"/>
      <c r="Z131" s="338"/>
      <c r="AA131" s="338"/>
      <c r="AB131" s="338"/>
      <c r="AC131" s="338"/>
      <c r="AD131" s="338"/>
      <c r="AE131" s="338"/>
      <c r="AF131" s="338"/>
      <c r="AG131" s="338"/>
      <c r="AH131" s="338"/>
      <c r="AI131" s="338"/>
      <c r="AJ131" s="338"/>
      <c r="AK131" s="338"/>
      <c r="AL131" s="338"/>
      <c r="AM131" s="339"/>
      <c r="AN131" s="328"/>
      <c r="AO131" s="328"/>
      <c r="AP131" s="328"/>
      <c r="AQ131" s="328"/>
      <c r="AR131" s="328"/>
      <c r="AS131" s="328"/>
      <c r="AT131" s="328"/>
      <c r="AU131" s="24"/>
      <c r="AV131" s="35"/>
      <c r="AW131" s="35"/>
      <c r="AX131" s="35"/>
      <c r="AY131" s="35"/>
      <c r="AZ131" s="35"/>
      <c r="BA131" s="35"/>
      <c r="BB131" s="35"/>
      <c r="BC131" s="35"/>
      <c r="BD131" s="35"/>
      <c r="BE131" s="25"/>
      <c r="BF131" s="134"/>
      <c r="BG131" s="135"/>
      <c r="BH131" s="135"/>
      <c r="BI131" s="135"/>
      <c r="BJ131" s="135"/>
      <c r="BK131" s="136"/>
    </row>
    <row r="132" spans="1:63" s="310" customFormat="1" ht="15" customHeight="1" x14ac:dyDescent="0.25">
      <c r="A132" s="24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25"/>
      <c r="M132" s="328"/>
      <c r="N132" s="328"/>
      <c r="O132" s="331"/>
      <c r="P132" s="335" t="s">
        <v>73</v>
      </c>
      <c r="Q132" s="336"/>
      <c r="R132" s="336"/>
      <c r="S132" s="336"/>
      <c r="T132" s="336"/>
      <c r="U132" s="336"/>
      <c r="V132" s="336"/>
      <c r="W132" s="337" t="s">
        <v>79</v>
      </c>
      <c r="X132" s="338"/>
      <c r="Y132" s="338"/>
      <c r="Z132" s="338"/>
      <c r="AA132" s="338"/>
      <c r="AB132" s="338"/>
      <c r="AC132" s="338"/>
      <c r="AD132" s="338"/>
      <c r="AE132" s="338"/>
      <c r="AF132" s="338"/>
      <c r="AG132" s="338"/>
      <c r="AH132" s="338"/>
      <c r="AI132" s="338"/>
      <c r="AJ132" s="338"/>
      <c r="AK132" s="338"/>
      <c r="AL132" s="338"/>
      <c r="AM132" s="339"/>
      <c r="AN132" s="328"/>
      <c r="AO132" s="328"/>
      <c r="AP132" s="328"/>
      <c r="AQ132" s="328"/>
      <c r="AR132" s="328"/>
      <c r="AS132" s="328"/>
      <c r="AT132" s="328"/>
      <c r="AU132" s="24"/>
      <c r="AV132" s="35"/>
      <c r="AW132" s="35"/>
      <c r="AX132" s="35"/>
      <c r="AY132" s="35"/>
      <c r="AZ132" s="35"/>
      <c r="BA132" s="35"/>
      <c r="BB132" s="35"/>
      <c r="BC132" s="35"/>
      <c r="BD132" s="35"/>
      <c r="BE132" s="25"/>
      <c r="BF132" s="134"/>
      <c r="BG132" s="135"/>
      <c r="BH132" s="135"/>
      <c r="BI132" s="135"/>
      <c r="BJ132" s="135"/>
      <c r="BK132" s="136"/>
    </row>
    <row r="133" spans="1:63" s="310" customFormat="1" ht="15" customHeight="1" x14ac:dyDescent="0.25">
      <c r="A133" s="24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25"/>
      <c r="M133" s="328"/>
      <c r="N133" s="328"/>
      <c r="O133" s="331"/>
      <c r="P133" s="335" t="s">
        <v>74</v>
      </c>
      <c r="Q133" s="336"/>
      <c r="R133" s="336"/>
      <c r="S133" s="336"/>
      <c r="T133" s="336"/>
      <c r="U133" s="336"/>
      <c r="V133" s="336"/>
      <c r="W133" s="337" t="s">
        <v>194</v>
      </c>
      <c r="X133" s="338"/>
      <c r="Y133" s="338"/>
      <c r="Z133" s="338"/>
      <c r="AA133" s="338"/>
      <c r="AB133" s="338"/>
      <c r="AC133" s="338"/>
      <c r="AD133" s="338"/>
      <c r="AE133" s="338"/>
      <c r="AF133" s="338"/>
      <c r="AG133" s="338"/>
      <c r="AH133" s="338"/>
      <c r="AI133" s="338"/>
      <c r="AJ133" s="338"/>
      <c r="AK133" s="338"/>
      <c r="AL133" s="338"/>
      <c r="AM133" s="339"/>
      <c r="AN133" s="331"/>
      <c r="AO133" s="328"/>
      <c r="AP133" s="328"/>
      <c r="AQ133" s="328"/>
      <c r="AR133" s="328"/>
      <c r="AS133" s="328"/>
      <c r="AT133" s="328"/>
      <c r="AU133" s="24"/>
      <c r="AV133" s="35"/>
      <c r="AW133" s="35"/>
      <c r="AX133" s="35"/>
      <c r="AY133" s="35"/>
      <c r="AZ133" s="35"/>
      <c r="BA133" s="35"/>
      <c r="BB133" s="35"/>
      <c r="BC133" s="35"/>
      <c r="BD133" s="35"/>
      <c r="BE133" s="25"/>
      <c r="BF133" s="134"/>
      <c r="BG133" s="135"/>
      <c r="BH133" s="135"/>
      <c r="BI133" s="135"/>
      <c r="BJ133" s="135"/>
      <c r="BK133" s="136"/>
    </row>
    <row r="134" spans="1:63" s="310" customFormat="1" ht="15" customHeight="1" x14ac:dyDescent="0.25">
      <c r="A134" s="24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25"/>
      <c r="M134" s="328"/>
      <c r="N134" s="328"/>
      <c r="O134" s="331"/>
      <c r="P134" s="331"/>
      <c r="Q134" s="331"/>
      <c r="R134" s="331"/>
      <c r="S134" s="331"/>
      <c r="T134" s="331"/>
      <c r="U134" s="331"/>
      <c r="V134" s="331"/>
      <c r="W134" s="331"/>
      <c r="X134" s="331"/>
      <c r="Y134" s="331"/>
      <c r="Z134" s="331"/>
      <c r="AA134" s="331"/>
      <c r="AB134" s="331"/>
      <c r="AC134" s="331"/>
      <c r="AD134" s="331"/>
      <c r="AE134" s="331"/>
      <c r="AF134" s="331"/>
      <c r="AG134" s="331"/>
      <c r="AH134" s="331"/>
      <c r="AI134" s="331"/>
      <c r="AJ134" s="331"/>
      <c r="AK134" s="331"/>
      <c r="AL134" s="331"/>
      <c r="AM134" s="331"/>
      <c r="AN134" s="331"/>
      <c r="AO134" s="328"/>
      <c r="AP134" s="328"/>
      <c r="AQ134" s="328"/>
      <c r="AR134" s="328"/>
      <c r="AS134" s="328"/>
      <c r="AT134" s="328"/>
      <c r="AU134" s="24"/>
      <c r="AV134" s="35"/>
      <c r="AW134" s="35"/>
      <c r="AX134" s="35"/>
      <c r="AY134" s="35"/>
      <c r="AZ134" s="35"/>
      <c r="BA134" s="35"/>
      <c r="BB134" s="35"/>
      <c r="BC134" s="35"/>
      <c r="BD134" s="35"/>
      <c r="BE134" s="25"/>
      <c r="BF134" s="134"/>
      <c r="BG134" s="135"/>
      <c r="BH134" s="135"/>
      <c r="BI134" s="135"/>
      <c r="BJ134" s="135"/>
      <c r="BK134" s="136"/>
    </row>
    <row r="135" spans="1:63" s="310" customFormat="1" ht="15" customHeight="1" x14ac:dyDescent="0.25">
      <c r="A135" s="24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25"/>
      <c r="M135" s="328"/>
      <c r="N135" s="328"/>
      <c r="O135" s="331"/>
      <c r="P135" s="331" t="s">
        <v>114</v>
      </c>
      <c r="Q135" s="331"/>
      <c r="R135" s="331"/>
      <c r="S135" s="331"/>
      <c r="T135" s="331"/>
      <c r="U135" s="331"/>
      <c r="V135" s="331"/>
      <c r="W135" s="331"/>
      <c r="X135" s="331"/>
      <c r="Y135" s="331"/>
      <c r="Z135" s="331"/>
      <c r="AA135" s="331"/>
      <c r="AB135" s="331"/>
      <c r="AC135" s="331"/>
      <c r="AD135" s="331"/>
      <c r="AE135" s="331"/>
      <c r="AF135" s="331"/>
      <c r="AG135" s="331"/>
      <c r="AH135" s="331"/>
      <c r="AI135" s="331"/>
      <c r="AJ135" s="331"/>
      <c r="AK135" s="331"/>
      <c r="AL135" s="331"/>
      <c r="AM135" s="331"/>
      <c r="AN135" s="331"/>
      <c r="AO135" s="328"/>
      <c r="AP135" s="328"/>
      <c r="AQ135" s="328"/>
      <c r="AR135" s="328"/>
      <c r="AS135" s="328"/>
      <c r="AT135" s="328"/>
      <c r="AU135" s="24"/>
      <c r="AV135" s="35"/>
      <c r="AW135" s="35"/>
      <c r="AX135" s="35"/>
      <c r="AY135" s="35"/>
      <c r="AZ135" s="35"/>
      <c r="BA135" s="35"/>
      <c r="BB135" s="35"/>
      <c r="BC135" s="35"/>
      <c r="BD135" s="35"/>
      <c r="BE135" s="25"/>
      <c r="BF135" s="134"/>
      <c r="BG135" s="135"/>
      <c r="BH135" s="135"/>
      <c r="BI135" s="135"/>
      <c r="BJ135" s="135"/>
      <c r="BK135" s="136"/>
    </row>
    <row r="136" spans="1:63" s="310" customFormat="1" ht="15" customHeight="1" x14ac:dyDescent="0.25">
      <c r="A136" s="24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25"/>
      <c r="M136" s="328"/>
      <c r="N136" s="328"/>
      <c r="O136" s="331"/>
      <c r="P136" s="331"/>
      <c r="Q136" s="331"/>
      <c r="R136" s="331"/>
      <c r="S136" s="331"/>
      <c r="T136" s="331"/>
      <c r="U136" s="331"/>
      <c r="V136" s="331"/>
      <c r="W136" s="331"/>
      <c r="X136" s="331"/>
      <c r="Y136" s="331"/>
      <c r="Z136" s="331"/>
      <c r="AA136" s="331"/>
      <c r="AB136" s="331"/>
      <c r="AC136" s="331"/>
      <c r="AD136" s="331"/>
      <c r="AE136" s="331"/>
      <c r="AF136" s="331"/>
      <c r="AG136" s="331"/>
      <c r="AH136" s="331"/>
      <c r="AI136" s="331"/>
      <c r="AJ136" s="331"/>
      <c r="AK136" s="331"/>
      <c r="AL136" s="331"/>
      <c r="AM136" s="331"/>
      <c r="AN136" s="331"/>
      <c r="AO136" s="328"/>
      <c r="AP136" s="328"/>
      <c r="AQ136" s="328"/>
      <c r="AR136" s="328"/>
      <c r="AS136" s="328"/>
      <c r="AT136" s="328"/>
      <c r="AU136" s="24"/>
      <c r="AV136" s="35"/>
      <c r="AW136" s="35"/>
      <c r="AX136" s="35"/>
      <c r="AY136" s="35"/>
      <c r="AZ136" s="35"/>
      <c r="BA136" s="35"/>
      <c r="BB136" s="35"/>
      <c r="BC136" s="35"/>
      <c r="BD136" s="35"/>
      <c r="BE136" s="25"/>
      <c r="BF136" s="134"/>
      <c r="BG136" s="135"/>
      <c r="BH136" s="135"/>
      <c r="BI136" s="135"/>
      <c r="BJ136" s="135"/>
      <c r="BK136" s="136"/>
    </row>
    <row r="137" spans="1:63" s="310" customFormat="1" ht="15" customHeight="1" x14ac:dyDescent="0.25">
      <c r="A137" s="24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25"/>
      <c r="M137" s="328"/>
      <c r="N137" s="328"/>
      <c r="O137" s="331" t="s">
        <v>80</v>
      </c>
      <c r="P137" s="331"/>
      <c r="Q137" s="331"/>
      <c r="R137" s="331"/>
      <c r="S137" s="331"/>
      <c r="T137" s="331"/>
      <c r="U137" s="331"/>
      <c r="V137" s="331"/>
      <c r="W137" s="331"/>
      <c r="X137" s="331"/>
      <c r="Y137" s="331"/>
      <c r="Z137" s="331"/>
      <c r="AA137" s="331"/>
      <c r="AB137" s="331"/>
      <c r="AC137" s="331"/>
      <c r="AD137" s="331"/>
      <c r="AE137" s="331"/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28"/>
      <c r="AP137" s="328"/>
      <c r="AQ137" s="328"/>
      <c r="AR137" s="328"/>
      <c r="AS137" s="328"/>
      <c r="AT137" s="328"/>
      <c r="AU137" s="24"/>
      <c r="AV137" s="35"/>
      <c r="AW137" s="35"/>
      <c r="AX137" s="35"/>
      <c r="AY137" s="35"/>
      <c r="AZ137" s="35"/>
      <c r="BA137" s="35"/>
      <c r="BB137" s="35"/>
      <c r="BC137" s="35"/>
      <c r="BD137" s="35"/>
      <c r="BE137" s="25"/>
      <c r="BF137" s="134"/>
      <c r="BG137" s="135"/>
      <c r="BH137" s="135"/>
      <c r="BI137" s="135"/>
      <c r="BJ137" s="135"/>
      <c r="BK137" s="136"/>
    </row>
    <row r="138" spans="1:63" s="310" customFormat="1" ht="15" customHeight="1" x14ac:dyDescent="0.25">
      <c r="A138" s="24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25"/>
      <c r="M138" s="328"/>
      <c r="N138" s="328"/>
      <c r="O138" s="331"/>
      <c r="P138" s="331" t="s">
        <v>81</v>
      </c>
      <c r="Q138" s="331"/>
      <c r="R138" s="331"/>
      <c r="S138" s="331"/>
      <c r="T138" s="331"/>
      <c r="U138" s="331"/>
      <c r="V138" s="331"/>
      <c r="W138" s="331"/>
      <c r="X138" s="331"/>
      <c r="Y138" s="331"/>
      <c r="Z138" s="331"/>
      <c r="AA138" s="331"/>
      <c r="AB138" s="331"/>
      <c r="AC138" s="331"/>
      <c r="AD138" s="331"/>
      <c r="AE138" s="331"/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28"/>
      <c r="AP138" s="328"/>
      <c r="AQ138" s="328"/>
      <c r="AR138" s="328"/>
      <c r="AS138" s="328"/>
      <c r="AT138" s="328"/>
      <c r="AU138" s="24"/>
      <c r="AV138" s="35"/>
      <c r="AW138" s="35"/>
      <c r="AX138" s="35"/>
      <c r="AY138" s="35"/>
      <c r="AZ138" s="35"/>
      <c r="BA138" s="35"/>
      <c r="BB138" s="35"/>
      <c r="BC138" s="35"/>
      <c r="BD138" s="35"/>
      <c r="BE138" s="25"/>
      <c r="BF138" s="134"/>
      <c r="BG138" s="135"/>
      <c r="BH138" s="135"/>
      <c r="BI138" s="135"/>
      <c r="BJ138" s="135"/>
      <c r="BK138" s="136"/>
    </row>
    <row r="139" spans="1:63" s="310" customFormat="1" ht="15" customHeight="1" x14ac:dyDescent="0.25">
      <c r="A139" s="24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25"/>
      <c r="M139" s="328"/>
      <c r="N139" s="328"/>
      <c r="O139" s="331"/>
      <c r="P139" s="331"/>
      <c r="Q139" s="331" t="s">
        <v>115</v>
      </c>
      <c r="R139" s="331"/>
      <c r="S139" s="331"/>
      <c r="T139" s="331"/>
      <c r="U139" s="331"/>
      <c r="V139" s="331"/>
      <c r="W139" s="331"/>
      <c r="X139" s="331"/>
      <c r="Y139" s="331"/>
      <c r="Z139" s="331"/>
      <c r="AA139" s="331"/>
      <c r="AB139" s="331"/>
      <c r="AC139" s="331"/>
      <c r="AD139" s="331"/>
      <c r="AE139" s="331"/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28"/>
      <c r="AP139" s="328"/>
      <c r="AQ139" s="328"/>
      <c r="AR139" s="328"/>
      <c r="AS139" s="328"/>
      <c r="AT139" s="328"/>
      <c r="AU139" s="24"/>
      <c r="AV139" s="35"/>
      <c r="AW139" s="35"/>
      <c r="AX139" s="35"/>
      <c r="AY139" s="35"/>
      <c r="AZ139" s="35"/>
      <c r="BA139" s="35"/>
      <c r="BB139" s="35"/>
      <c r="BC139" s="35"/>
      <c r="BD139" s="35"/>
      <c r="BE139" s="25"/>
      <c r="BF139" s="134"/>
      <c r="BG139" s="135"/>
      <c r="BH139" s="135"/>
      <c r="BI139" s="135"/>
      <c r="BJ139" s="135"/>
      <c r="BK139" s="136"/>
    </row>
    <row r="140" spans="1:63" s="310" customFormat="1" ht="15" customHeight="1" x14ac:dyDescent="0.25">
      <c r="A140" s="24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25"/>
      <c r="M140" s="328"/>
      <c r="N140" s="328"/>
      <c r="O140" s="331"/>
      <c r="P140" s="331"/>
      <c r="Q140" s="331" t="s">
        <v>113</v>
      </c>
      <c r="R140" s="331"/>
      <c r="S140" s="331"/>
      <c r="T140" s="331"/>
      <c r="U140" s="331"/>
      <c r="V140" s="331"/>
      <c r="W140" s="331"/>
      <c r="X140" s="331"/>
      <c r="Y140" s="331"/>
      <c r="Z140" s="331"/>
      <c r="AA140" s="331"/>
      <c r="AB140" s="331"/>
      <c r="AC140" s="331"/>
      <c r="AD140" s="331"/>
      <c r="AE140" s="331"/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28"/>
      <c r="AP140" s="328"/>
      <c r="AQ140" s="328"/>
      <c r="AR140" s="328"/>
      <c r="AS140" s="328"/>
      <c r="AT140" s="328"/>
      <c r="AU140" s="24"/>
      <c r="AV140" s="35"/>
      <c r="AW140" s="35"/>
      <c r="AX140" s="35"/>
      <c r="AY140" s="35"/>
      <c r="AZ140" s="35"/>
      <c r="BA140" s="35"/>
      <c r="BB140" s="35"/>
      <c r="BC140" s="35"/>
      <c r="BD140" s="35"/>
      <c r="BE140" s="25"/>
      <c r="BF140" s="134"/>
      <c r="BG140" s="135"/>
      <c r="BH140" s="135"/>
      <c r="BI140" s="135"/>
      <c r="BJ140" s="135"/>
      <c r="BK140" s="136"/>
    </row>
    <row r="141" spans="1:63" s="310" customFormat="1" ht="15" customHeight="1" x14ac:dyDescent="0.25">
      <c r="A141" s="24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25"/>
      <c r="M141" s="328"/>
      <c r="N141" s="328"/>
      <c r="O141" s="331"/>
      <c r="P141" s="331"/>
      <c r="Q141" s="331" t="s">
        <v>82</v>
      </c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31"/>
      <c r="AC141" s="331"/>
      <c r="AD141" s="331"/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28"/>
      <c r="AO141" s="328"/>
      <c r="AP141" s="328"/>
      <c r="AQ141" s="328"/>
      <c r="AR141" s="328"/>
      <c r="AS141" s="328"/>
      <c r="AT141" s="328"/>
      <c r="AU141" s="24"/>
      <c r="AV141" s="35"/>
      <c r="AW141" s="35"/>
      <c r="AX141" s="35"/>
      <c r="AY141" s="35"/>
      <c r="AZ141" s="35"/>
      <c r="BA141" s="35"/>
      <c r="BB141" s="35"/>
      <c r="BC141" s="35"/>
      <c r="BD141" s="35"/>
      <c r="BE141" s="25"/>
      <c r="BF141" s="134"/>
      <c r="BG141" s="135"/>
      <c r="BH141" s="135"/>
      <c r="BI141" s="135"/>
      <c r="BJ141" s="135"/>
      <c r="BK141" s="136"/>
    </row>
    <row r="142" spans="1:63" s="310" customFormat="1" ht="15" customHeight="1" x14ac:dyDescent="0.25">
      <c r="A142" s="24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25"/>
      <c r="M142" s="328"/>
      <c r="N142" s="328"/>
      <c r="O142" s="331"/>
      <c r="P142" s="331"/>
      <c r="Q142" s="331"/>
      <c r="R142" s="331"/>
      <c r="S142" s="331"/>
      <c r="T142" s="331"/>
      <c r="U142" s="331"/>
      <c r="V142" s="331"/>
      <c r="W142" s="331"/>
      <c r="X142" s="331"/>
      <c r="Y142" s="331"/>
      <c r="Z142" s="331"/>
      <c r="AA142" s="331"/>
      <c r="AB142" s="331"/>
      <c r="AC142" s="331"/>
      <c r="AD142" s="331"/>
      <c r="AE142" s="331"/>
      <c r="AF142" s="331"/>
      <c r="AG142" s="331"/>
      <c r="AH142" s="331"/>
      <c r="AI142" s="331"/>
      <c r="AJ142" s="331"/>
      <c r="AK142" s="331"/>
      <c r="AL142" s="331"/>
      <c r="AM142" s="331"/>
      <c r="AN142" s="328"/>
      <c r="AO142" s="328"/>
      <c r="AP142" s="328"/>
      <c r="AQ142" s="328"/>
      <c r="AR142" s="328"/>
      <c r="AS142" s="328"/>
      <c r="AT142" s="328"/>
      <c r="AU142" s="24"/>
      <c r="AV142" s="35"/>
      <c r="AW142" s="35"/>
      <c r="AX142" s="35"/>
      <c r="AY142" s="35"/>
      <c r="AZ142" s="35"/>
      <c r="BA142" s="35"/>
      <c r="BB142" s="35"/>
      <c r="BC142" s="35"/>
      <c r="BD142" s="35"/>
      <c r="BE142" s="25"/>
      <c r="BF142" s="134"/>
      <c r="BG142" s="135"/>
      <c r="BH142" s="135"/>
      <c r="BI142" s="135"/>
      <c r="BJ142" s="135"/>
      <c r="BK142" s="136"/>
    </row>
    <row r="143" spans="1:63" s="310" customFormat="1" ht="15" customHeight="1" x14ac:dyDescent="0.25">
      <c r="A143" s="24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25"/>
      <c r="M143" s="328"/>
      <c r="N143" s="328"/>
      <c r="O143" s="331"/>
      <c r="P143" s="328" t="s">
        <v>83</v>
      </c>
      <c r="Q143" s="331"/>
      <c r="R143" s="331"/>
      <c r="S143" s="331"/>
      <c r="T143" s="331"/>
      <c r="U143" s="331"/>
      <c r="V143" s="331"/>
      <c r="W143" s="331"/>
      <c r="X143" s="331"/>
      <c r="Y143" s="331"/>
      <c r="Z143" s="331"/>
      <c r="AA143" s="331"/>
      <c r="AB143" s="331"/>
      <c r="AC143" s="331"/>
      <c r="AD143" s="331"/>
      <c r="AE143" s="331"/>
      <c r="AF143" s="331"/>
      <c r="AG143" s="331"/>
      <c r="AH143" s="331"/>
      <c r="AI143" s="331"/>
      <c r="AJ143" s="331"/>
      <c r="AK143" s="331"/>
      <c r="AL143" s="331"/>
      <c r="AM143" s="331"/>
      <c r="AN143" s="328"/>
      <c r="AO143" s="328"/>
      <c r="AP143" s="328"/>
      <c r="AQ143" s="328"/>
      <c r="AR143" s="328"/>
      <c r="AS143" s="328"/>
      <c r="AT143" s="328"/>
      <c r="AU143" s="24"/>
      <c r="AV143" s="35"/>
      <c r="AW143" s="35"/>
      <c r="AX143" s="35"/>
      <c r="AY143" s="35"/>
      <c r="AZ143" s="35"/>
      <c r="BA143" s="35"/>
      <c r="BB143" s="35"/>
      <c r="BC143" s="35"/>
      <c r="BD143" s="35"/>
      <c r="BE143" s="25"/>
      <c r="BF143" s="134"/>
      <c r="BG143" s="135"/>
      <c r="BH143" s="135"/>
      <c r="BI143" s="135"/>
      <c r="BJ143" s="135"/>
      <c r="BK143" s="136"/>
    </row>
    <row r="144" spans="1:63" s="310" customFormat="1" ht="15" customHeight="1" x14ac:dyDescent="0.25">
      <c r="A144" s="24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25"/>
      <c r="M144" s="328"/>
      <c r="N144" s="328"/>
      <c r="O144" s="331"/>
      <c r="P144" s="331"/>
      <c r="Q144" s="331" t="s">
        <v>115</v>
      </c>
      <c r="R144" s="331"/>
      <c r="S144" s="331"/>
      <c r="T144" s="331"/>
      <c r="U144" s="331"/>
      <c r="V144" s="331"/>
      <c r="W144" s="331"/>
      <c r="X144" s="331"/>
      <c r="Y144" s="331"/>
      <c r="Z144" s="331"/>
      <c r="AA144" s="331"/>
      <c r="AB144" s="331"/>
      <c r="AC144" s="331"/>
      <c r="AD144" s="331"/>
      <c r="AE144" s="331"/>
      <c r="AF144" s="331"/>
      <c r="AG144" s="331"/>
      <c r="AH144" s="331"/>
      <c r="AI144" s="331"/>
      <c r="AJ144" s="331"/>
      <c r="AK144" s="331"/>
      <c r="AL144" s="331"/>
      <c r="AM144" s="331"/>
      <c r="AN144" s="328"/>
      <c r="AO144" s="328"/>
      <c r="AP144" s="328"/>
      <c r="AQ144" s="328"/>
      <c r="AR144" s="328"/>
      <c r="AS144" s="328"/>
      <c r="AT144" s="328"/>
      <c r="AU144" s="24"/>
      <c r="AV144" s="35"/>
      <c r="AW144" s="35"/>
      <c r="AX144" s="35"/>
      <c r="AY144" s="35"/>
      <c r="AZ144" s="35"/>
      <c r="BA144" s="35"/>
      <c r="BB144" s="35"/>
      <c r="BC144" s="35"/>
      <c r="BD144" s="35"/>
      <c r="BE144" s="25"/>
      <c r="BF144" s="134"/>
      <c r="BG144" s="135"/>
      <c r="BH144" s="135"/>
      <c r="BI144" s="135"/>
      <c r="BJ144" s="135"/>
      <c r="BK144" s="136"/>
    </row>
    <row r="145" spans="1:63" s="310" customFormat="1" ht="15" customHeight="1" x14ac:dyDescent="0.25">
      <c r="A145" s="24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25"/>
      <c r="M145" s="328"/>
      <c r="N145" s="328"/>
      <c r="O145" s="331"/>
      <c r="P145" s="331"/>
      <c r="Q145" s="331" t="s">
        <v>52</v>
      </c>
      <c r="R145" s="331"/>
      <c r="S145" s="331"/>
      <c r="T145" s="331"/>
      <c r="U145" s="331"/>
      <c r="V145" s="331"/>
      <c r="W145" s="331"/>
      <c r="X145" s="331"/>
      <c r="Y145" s="331"/>
      <c r="Z145" s="331"/>
      <c r="AA145" s="331"/>
      <c r="AB145" s="331"/>
      <c r="AC145" s="331"/>
      <c r="AD145" s="331"/>
      <c r="AE145" s="331"/>
      <c r="AF145" s="331"/>
      <c r="AG145" s="331"/>
      <c r="AH145" s="331"/>
      <c r="AI145" s="331"/>
      <c r="AJ145" s="331"/>
      <c r="AK145" s="331"/>
      <c r="AL145" s="331"/>
      <c r="AM145" s="331"/>
      <c r="AN145" s="328"/>
      <c r="AO145" s="328"/>
      <c r="AP145" s="328"/>
      <c r="AQ145" s="328"/>
      <c r="AR145" s="328"/>
      <c r="AS145" s="328"/>
      <c r="AT145" s="328"/>
      <c r="AU145" s="24"/>
      <c r="AV145" s="35"/>
      <c r="AW145" s="35"/>
      <c r="AX145" s="35"/>
      <c r="AY145" s="35"/>
      <c r="AZ145" s="35"/>
      <c r="BA145" s="35"/>
      <c r="BB145" s="35"/>
      <c r="BC145" s="35"/>
      <c r="BD145" s="35"/>
      <c r="BE145" s="25"/>
      <c r="BF145" s="134"/>
      <c r="BG145" s="135"/>
      <c r="BH145" s="135"/>
      <c r="BI145" s="135"/>
      <c r="BJ145" s="135"/>
      <c r="BK145" s="136"/>
    </row>
    <row r="146" spans="1:63" s="310" customFormat="1" ht="15" customHeight="1" x14ac:dyDescent="0.25">
      <c r="A146" s="26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8"/>
      <c r="M146" s="332"/>
      <c r="N146" s="333"/>
      <c r="O146" s="333"/>
      <c r="P146" s="333"/>
      <c r="Q146" s="33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334"/>
      <c r="AQ146" s="334"/>
      <c r="AR146" s="334"/>
      <c r="AS146" s="334"/>
      <c r="AT146" s="334"/>
      <c r="AU146" s="26"/>
      <c r="AV146" s="27"/>
      <c r="AW146" s="27"/>
      <c r="AX146" s="27"/>
      <c r="AY146" s="27"/>
      <c r="AZ146" s="27"/>
      <c r="BA146" s="27"/>
      <c r="BB146" s="27"/>
      <c r="BC146" s="27"/>
      <c r="BD146" s="27"/>
      <c r="BE146" s="28"/>
      <c r="BF146" s="128"/>
      <c r="BG146" s="129"/>
      <c r="BH146" s="129"/>
      <c r="BI146" s="129"/>
      <c r="BJ146" s="129"/>
      <c r="BK146" s="130"/>
    </row>
    <row r="147" spans="1:63" ht="15" customHeight="1" x14ac:dyDescent="0.25">
      <c r="A147" s="44"/>
      <c r="BK147" s="15"/>
    </row>
    <row r="148" spans="1:63" ht="15" customHeight="1" x14ac:dyDescent="0.25">
      <c r="A148" s="44"/>
      <c r="BK148" s="15"/>
    </row>
    <row r="149" spans="1:63" ht="15" customHeight="1" x14ac:dyDescent="0.25">
      <c r="A149" s="44"/>
      <c r="BK149" s="15"/>
    </row>
    <row r="150" spans="1:63" s="310" customFormat="1" ht="15" customHeight="1" x14ac:dyDescent="0.25">
      <c r="A150" s="191" t="s">
        <v>13</v>
      </c>
      <c r="B150" s="192"/>
      <c r="C150" s="192"/>
      <c r="D150" s="192"/>
      <c r="E150" s="192"/>
      <c r="F150" s="193"/>
      <c r="G150" s="194" t="s">
        <v>126</v>
      </c>
      <c r="H150" s="194"/>
      <c r="I150" s="194"/>
      <c r="J150" s="194"/>
      <c r="K150" s="194"/>
      <c r="L150" s="194"/>
      <c r="M150" s="58" t="s">
        <v>127</v>
      </c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60"/>
      <c r="BI150" s="60"/>
      <c r="BJ150" s="60"/>
      <c r="BK150" s="61"/>
    </row>
    <row r="151" spans="1:63" s="310" customFormat="1" ht="15" customHeight="1" x14ac:dyDescent="0.25">
      <c r="A151" s="185" t="s">
        <v>15</v>
      </c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7"/>
      <c r="M151" s="185" t="s">
        <v>16</v>
      </c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  <c r="AK151" s="186"/>
      <c r="AL151" s="186"/>
      <c r="AM151" s="186"/>
      <c r="AN151" s="186"/>
      <c r="AO151" s="186"/>
      <c r="AP151" s="186"/>
      <c r="AQ151" s="186"/>
      <c r="AR151" s="186"/>
      <c r="AS151" s="186"/>
      <c r="AT151" s="187"/>
      <c r="AU151" s="185" t="s">
        <v>17</v>
      </c>
      <c r="AV151" s="186"/>
      <c r="AW151" s="186"/>
      <c r="AX151" s="186"/>
      <c r="AY151" s="186"/>
      <c r="AZ151" s="186"/>
      <c r="BA151" s="186"/>
      <c r="BB151" s="186"/>
      <c r="BC151" s="186"/>
      <c r="BD151" s="186"/>
      <c r="BE151" s="186"/>
      <c r="BF151" s="185" t="s">
        <v>18</v>
      </c>
      <c r="BG151" s="186"/>
      <c r="BH151" s="186"/>
      <c r="BI151" s="186"/>
      <c r="BJ151" s="186"/>
      <c r="BK151" s="187"/>
    </row>
    <row r="152" spans="1:63" s="310" customFormat="1" ht="15" customHeight="1" x14ac:dyDescent="0.25">
      <c r="A152" s="188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90"/>
      <c r="M152" s="188"/>
      <c r="N152" s="189"/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  <c r="AA152" s="189"/>
      <c r="AB152" s="189"/>
      <c r="AC152" s="189"/>
      <c r="AD152" s="189"/>
      <c r="AE152" s="189"/>
      <c r="AF152" s="189"/>
      <c r="AG152" s="189"/>
      <c r="AH152" s="189"/>
      <c r="AI152" s="189"/>
      <c r="AJ152" s="189"/>
      <c r="AK152" s="189"/>
      <c r="AL152" s="189"/>
      <c r="AM152" s="189"/>
      <c r="AN152" s="189"/>
      <c r="AO152" s="189"/>
      <c r="AP152" s="189"/>
      <c r="AQ152" s="189"/>
      <c r="AR152" s="189"/>
      <c r="AS152" s="189"/>
      <c r="AT152" s="190"/>
      <c r="AU152" s="188"/>
      <c r="AV152" s="189"/>
      <c r="AW152" s="189"/>
      <c r="AX152" s="189"/>
      <c r="AY152" s="189"/>
      <c r="AZ152" s="189"/>
      <c r="BA152" s="189"/>
      <c r="BB152" s="189"/>
      <c r="BC152" s="189"/>
      <c r="BD152" s="189"/>
      <c r="BE152" s="189"/>
      <c r="BF152" s="188"/>
      <c r="BG152" s="189"/>
      <c r="BH152" s="189"/>
      <c r="BI152" s="189"/>
      <c r="BJ152" s="189"/>
      <c r="BK152" s="190"/>
    </row>
    <row r="153" spans="1:63" s="310" customFormat="1" ht="15" customHeight="1" x14ac:dyDescent="0.25">
      <c r="A153" s="62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4"/>
      <c r="M153" s="55"/>
      <c r="N153" s="55"/>
      <c r="O153" s="55"/>
      <c r="P153" s="55"/>
      <c r="Q153" s="5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2"/>
      <c r="AV153" s="63"/>
      <c r="AW153" s="63"/>
      <c r="AX153" s="63"/>
      <c r="AY153" s="63"/>
      <c r="AZ153" s="63"/>
      <c r="BA153" s="63"/>
      <c r="BB153" s="63"/>
      <c r="BC153" s="63"/>
      <c r="BD153" s="63"/>
      <c r="BE153" s="64"/>
      <c r="BF153" s="176" t="s">
        <v>145</v>
      </c>
      <c r="BG153" s="177"/>
      <c r="BH153" s="177"/>
      <c r="BI153" s="177"/>
      <c r="BJ153" s="177"/>
      <c r="BK153" s="178"/>
    </row>
    <row r="154" spans="1:63" s="310" customFormat="1" ht="15" customHeight="1" x14ac:dyDescent="0.25">
      <c r="A154" s="66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8"/>
      <c r="M154" s="55"/>
      <c r="N154" s="69" t="s">
        <v>195</v>
      </c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66"/>
      <c r="AV154" s="67"/>
      <c r="AW154" s="67"/>
      <c r="AX154" s="67"/>
      <c r="AY154" s="67"/>
      <c r="AZ154" s="67"/>
      <c r="BA154" s="67"/>
      <c r="BB154" s="67"/>
      <c r="BC154" s="67"/>
      <c r="BD154" s="67"/>
      <c r="BE154" s="68"/>
      <c r="BF154" s="179"/>
      <c r="BG154" s="180"/>
      <c r="BH154" s="180"/>
      <c r="BI154" s="180"/>
      <c r="BJ154" s="180"/>
      <c r="BK154" s="181"/>
    </row>
    <row r="155" spans="1:63" s="310" customFormat="1" ht="15" customHeight="1" x14ac:dyDescent="0.25">
      <c r="A155" s="66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8"/>
      <c r="M155" s="70"/>
      <c r="N155" s="56" t="s">
        <v>196</v>
      </c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66"/>
      <c r="AV155" s="67"/>
      <c r="AW155" s="67"/>
      <c r="AX155" s="67"/>
      <c r="AY155" s="67"/>
      <c r="AZ155" s="67"/>
      <c r="BA155" s="67"/>
      <c r="BB155" s="67"/>
      <c r="BC155" s="67"/>
      <c r="BD155" s="67"/>
      <c r="BE155" s="68"/>
      <c r="BF155" s="179"/>
      <c r="BG155" s="180"/>
      <c r="BH155" s="180"/>
      <c r="BI155" s="180"/>
      <c r="BJ155" s="180"/>
      <c r="BK155" s="181"/>
    </row>
    <row r="156" spans="1:63" s="310" customFormat="1" ht="15" customHeight="1" x14ac:dyDescent="0.25">
      <c r="A156" s="66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8"/>
      <c r="M156" s="55"/>
      <c r="N156" s="55"/>
      <c r="O156" s="39" t="s">
        <v>128</v>
      </c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66"/>
      <c r="AV156" s="67"/>
      <c r="AW156" s="67"/>
      <c r="AX156" s="67"/>
      <c r="AY156" s="67"/>
      <c r="AZ156" s="67"/>
      <c r="BA156" s="67"/>
      <c r="BB156" s="67"/>
      <c r="BC156" s="67"/>
      <c r="BD156" s="67"/>
      <c r="BE156" s="68"/>
      <c r="BF156" s="179"/>
      <c r="BG156" s="180"/>
      <c r="BH156" s="180"/>
      <c r="BI156" s="180"/>
      <c r="BJ156" s="180"/>
      <c r="BK156" s="181"/>
    </row>
    <row r="157" spans="1:63" s="310" customFormat="1" ht="15" customHeight="1" x14ac:dyDescent="0.25">
      <c r="A157" s="66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8"/>
      <c r="M157" s="55"/>
      <c r="N157" s="55"/>
      <c r="O157" s="39" t="s">
        <v>197</v>
      </c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66"/>
      <c r="AV157" s="67"/>
      <c r="AW157" s="67"/>
      <c r="AX157" s="67"/>
      <c r="AY157" s="67"/>
      <c r="AZ157" s="67"/>
      <c r="BA157" s="67"/>
      <c r="BB157" s="67"/>
      <c r="BC157" s="67"/>
      <c r="BD157" s="67"/>
      <c r="BE157" s="68"/>
      <c r="BF157" s="179"/>
      <c r="BG157" s="180"/>
      <c r="BH157" s="180"/>
      <c r="BI157" s="180"/>
      <c r="BJ157" s="180"/>
      <c r="BK157" s="181"/>
    </row>
    <row r="158" spans="1:63" s="310" customFormat="1" ht="15" customHeight="1" x14ac:dyDescent="0.25">
      <c r="A158" s="66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8"/>
      <c r="M158" s="55"/>
      <c r="N158" s="55"/>
      <c r="O158" s="39" t="s">
        <v>198</v>
      </c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66"/>
      <c r="AV158" s="67"/>
      <c r="AW158" s="67"/>
      <c r="AX158" s="67"/>
      <c r="AY158" s="67"/>
      <c r="AZ158" s="67"/>
      <c r="BA158" s="67"/>
      <c r="BB158" s="67"/>
      <c r="BC158" s="67"/>
      <c r="BD158" s="67"/>
      <c r="BE158" s="68"/>
      <c r="BF158" s="179"/>
      <c r="BG158" s="180"/>
      <c r="BH158" s="180"/>
      <c r="BI158" s="180"/>
      <c r="BJ158" s="180"/>
      <c r="BK158" s="181"/>
    </row>
    <row r="159" spans="1:63" s="310" customFormat="1" ht="15" customHeight="1" x14ac:dyDescent="0.25">
      <c r="A159" s="66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8"/>
      <c r="M159" s="55"/>
      <c r="N159" s="71" t="s">
        <v>199</v>
      </c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66"/>
      <c r="AV159" s="67"/>
      <c r="AW159" s="67"/>
      <c r="AX159" s="67"/>
      <c r="AY159" s="67"/>
      <c r="AZ159" s="67"/>
      <c r="BA159" s="67"/>
      <c r="BB159" s="67"/>
      <c r="BC159" s="67"/>
      <c r="BD159" s="67"/>
      <c r="BE159" s="68"/>
      <c r="BF159" s="179"/>
      <c r="BG159" s="180"/>
      <c r="BH159" s="180"/>
      <c r="BI159" s="180"/>
      <c r="BJ159" s="180"/>
      <c r="BK159" s="181"/>
    </row>
    <row r="160" spans="1:63" s="310" customFormat="1" ht="15" customHeight="1" x14ac:dyDescent="0.25">
      <c r="A160" s="66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8"/>
      <c r="M160" s="55"/>
      <c r="N160" s="55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66"/>
      <c r="AV160" s="67"/>
      <c r="AW160" s="67"/>
      <c r="AX160" s="67"/>
      <c r="AY160" s="67"/>
      <c r="AZ160" s="67"/>
      <c r="BA160" s="67"/>
      <c r="BB160" s="67"/>
      <c r="BC160" s="67"/>
      <c r="BD160" s="67"/>
      <c r="BE160" s="68"/>
      <c r="BF160" s="179"/>
      <c r="BG160" s="180"/>
      <c r="BH160" s="180"/>
      <c r="BI160" s="180"/>
      <c r="BJ160" s="180"/>
      <c r="BK160" s="181"/>
    </row>
    <row r="161" spans="1:63" s="310" customFormat="1" ht="15" customHeight="1" x14ac:dyDescent="0.25">
      <c r="A161" s="66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8"/>
      <c r="M161" s="55"/>
      <c r="N161" s="55"/>
      <c r="O161" s="39" t="s">
        <v>143</v>
      </c>
      <c r="P161" s="39"/>
      <c r="Q161" s="39"/>
      <c r="R161" s="72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66"/>
      <c r="AV161" s="67"/>
      <c r="AW161" s="67"/>
      <c r="AX161" s="67"/>
      <c r="AY161" s="67"/>
      <c r="AZ161" s="67"/>
      <c r="BA161" s="67"/>
      <c r="BB161" s="67"/>
      <c r="BC161" s="67"/>
      <c r="BD161" s="67"/>
      <c r="BE161" s="68"/>
      <c r="BF161" s="179"/>
      <c r="BG161" s="180"/>
      <c r="BH161" s="180"/>
      <c r="BI161" s="180"/>
      <c r="BJ161" s="180"/>
      <c r="BK161" s="181"/>
    </row>
    <row r="162" spans="1:63" s="310" customFormat="1" ht="15" customHeight="1" x14ac:dyDescent="0.25">
      <c r="A162" s="66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8"/>
      <c r="M162" s="55"/>
      <c r="N162" s="71"/>
      <c r="O162" s="39"/>
      <c r="P162" s="50" t="s">
        <v>31</v>
      </c>
      <c r="Q162" s="51"/>
      <c r="R162" s="51"/>
      <c r="S162" s="51"/>
      <c r="T162" s="51"/>
      <c r="U162" s="51"/>
      <c r="V162" s="51"/>
      <c r="W162" s="50" t="s">
        <v>32</v>
      </c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2"/>
      <c r="AN162" s="55"/>
      <c r="AO162" s="55"/>
      <c r="AP162" s="55"/>
      <c r="AQ162" s="55"/>
      <c r="AR162" s="55"/>
      <c r="AS162" s="55"/>
      <c r="AT162" s="55"/>
      <c r="AU162" s="66"/>
      <c r="AV162" s="67"/>
      <c r="AW162" s="67"/>
      <c r="AX162" s="67"/>
      <c r="AY162" s="67"/>
      <c r="AZ162" s="67"/>
      <c r="BA162" s="67"/>
      <c r="BB162" s="67"/>
      <c r="BC162" s="67"/>
      <c r="BD162" s="67"/>
      <c r="BE162" s="68"/>
      <c r="BF162" s="179"/>
      <c r="BG162" s="180"/>
      <c r="BH162" s="180"/>
      <c r="BI162" s="180"/>
      <c r="BJ162" s="180"/>
      <c r="BK162" s="181"/>
    </row>
    <row r="163" spans="1:63" s="310" customFormat="1" ht="15" customHeight="1" x14ac:dyDescent="0.25">
      <c r="A163" s="66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8"/>
      <c r="M163" s="55"/>
      <c r="N163" s="55"/>
      <c r="O163" s="39"/>
      <c r="P163" s="73" t="s">
        <v>129</v>
      </c>
      <c r="Q163" s="74"/>
      <c r="R163" s="74"/>
      <c r="S163" s="74"/>
      <c r="T163" s="74"/>
      <c r="U163" s="74"/>
      <c r="V163" s="74"/>
      <c r="W163" s="173" t="s">
        <v>130</v>
      </c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  <c r="AK163" s="174"/>
      <c r="AL163" s="174"/>
      <c r="AM163" s="175"/>
      <c r="AN163" s="55"/>
      <c r="AO163" s="55"/>
      <c r="AP163" s="55"/>
      <c r="AQ163" s="55"/>
      <c r="AR163" s="55"/>
      <c r="AS163" s="55"/>
      <c r="AT163" s="55"/>
      <c r="AU163" s="66"/>
      <c r="AV163" s="67"/>
      <c r="AW163" s="67"/>
      <c r="AX163" s="67"/>
      <c r="AY163" s="67"/>
      <c r="AZ163" s="67"/>
      <c r="BA163" s="67"/>
      <c r="BB163" s="67"/>
      <c r="BC163" s="67"/>
      <c r="BD163" s="67"/>
      <c r="BE163" s="68"/>
      <c r="BF163" s="179"/>
      <c r="BG163" s="180"/>
      <c r="BH163" s="180"/>
      <c r="BI163" s="180"/>
      <c r="BJ163" s="180"/>
      <c r="BK163" s="181"/>
    </row>
    <row r="164" spans="1:63" s="310" customFormat="1" ht="15" customHeight="1" x14ac:dyDescent="0.25">
      <c r="A164" s="66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8"/>
      <c r="M164" s="55"/>
      <c r="N164" s="55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66"/>
      <c r="AV164" s="67"/>
      <c r="AW164" s="67"/>
      <c r="AX164" s="67"/>
      <c r="AY164" s="67"/>
      <c r="AZ164" s="67"/>
      <c r="BA164" s="67"/>
      <c r="BB164" s="67"/>
      <c r="BC164" s="67"/>
      <c r="BD164" s="67"/>
      <c r="BE164" s="68"/>
      <c r="BF164" s="179"/>
      <c r="BG164" s="180"/>
      <c r="BH164" s="180"/>
      <c r="BI164" s="180"/>
      <c r="BJ164" s="180"/>
      <c r="BK164" s="181"/>
    </row>
    <row r="165" spans="1:63" s="310" customFormat="1" ht="15" customHeight="1" x14ac:dyDescent="0.25">
      <c r="A165" s="66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8"/>
      <c r="M165" s="55"/>
      <c r="N165" s="55"/>
      <c r="O165" s="39" t="s">
        <v>131</v>
      </c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66"/>
      <c r="AV165" s="67"/>
      <c r="AW165" s="67"/>
      <c r="AX165" s="67"/>
      <c r="AY165" s="67"/>
      <c r="AZ165" s="67"/>
      <c r="BA165" s="67"/>
      <c r="BB165" s="67"/>
      <c r="BC165" s="67"/>
      <c r="BD165" s="67"/>
      <c r="BE165" s="68"/>
      <c r="BF165" s="179"/>
      <c r="BG165" s="180"/>
      <c r="BH165" s="180"/>
      <c r="BI165" s="180"/>
      <c r="BJ165" s="180"/>
      <c r="BK165" s="181"/>
    </row>
    <row r="166" spans="1:63" s="310" customFormat="1" ht="15" customHeight="1" x14ac:dyDescent="0.25">
      <c r="A166" s="66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8"/>
      <c r="M166" s="55"/>
      <c r="N166" s="55"/>
      <c r="O166" s="39" t="s">
        <v>132</v>
      </c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66"/>
      <c r="AV166" s="67"/>
      <c r="AW166" s="67"/>
      <c r="AX166" s="67"/>
      <c r="AY166" s="67"/>
      <c r="AZ166" s="67"/>
      <c r="BA166" s="67"/>
      <c r="BB166" s="67"/>
      <c r="BC166" s="67"/>
      <c r="BD166" s="67"/>
      <c r="BE166" s="68"/>
      <c r="BF166" s="179"/>
      <c r="BG166" s="180"/>
      <c r="BH166" s="180"/>
      <c r="BI166" s="180"/>
      <c r="BJ166" s="180"/>
      <c r="BK166" s="181"/>
    </row>
    <row r="167" spans="1:63" s="310" customFormat="1" ht="15" customHeight="1" x14ac:dyDescent="0.25">
      <c r="A167" s="66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8"/>
      <c r="M167" s="55"/>
      <c r="N167" s="55"/>
      <c r="O167" s="39"/>
      <c r="P167" s="50" t="s">
        <v>133</v>
      </c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2"/>
      <c r="AN167" s="55"/>
      <c r="AO167" s="55"/>
      <c r="AP167" s="55"/>
      <c r="AQ167" s="55"/>
      <c r="AR167" s="55"/>
      <c r="AS167" s="55"/>
      <c r="AT167" s="55"/>
      <c r="AU167" s="66"/>
      <c r="AV167" s="67"/>
      <c r="AW167" s="67"/>
      <c r="AX167" s="67"/>
      <c r="AY167" s="67"/>
      <c r="AZ167" s="67"/>
      <c r="BA167" s="67"/>
      <c r="BB167" s="67"/>
      <c r="BC167" s="67"/>
      <c r="BD167" s="67"/>
      <c r="BE167" s="68"/>
      <c r="BF167" s="179"/>
      <c r="BG167" s="180"/>
      <c r="BH167" s="180"/>
      <c r="BI167" s="180"/>
      <c r="BJ167" s="180"/>
      <c r="BK167" s="181"/>
    </row>
    <row r="168" spans="1:63" s="310" customFormat="1" ht="15" customHeight="1" x14ac:dyDescent="0.25">
      <c r="A168" s="66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8"/>
      <c r="M168" s="55"/>
      <c r="N168" s="55"/>
      <c r="O168" s="39"/>
      <c r="P168" s="75" t="s">
        <v>134</v>
      </c>
      <c r="Q168" s="65"/>
      <c r="R168" s="65"/>
      <c r="S168" s="65"/>
      <c r="T168" s="65"/>
      <c r="U168" s="76"/>
      <c r="V168" s="65"/>
      <c r="W168" s="65"/>
      <c r="X168" s="65"/>
      <c r="Y168" s="65"/>
      <c r="Z168" s="65"/>
      <c r="AA168" s="75" t="s">
        <v>135</v>
      </c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77"/>
      <c r="AN168" s="55"/>
      <c r="AO168" s="55"/>
      <c r="AP168" s="55"/>
      <c r="AQ168" s="55"/>
      <c r="AR168" s="55"/>
      <c r="AS168" s="55"/>
      <c r="AT168" s="55"/>
      <c r="AU168" s="66"/>
      <c r="AV168" s="67"/>
      <c r="AW168" s="67"/>
      <c r="AX168" s="67"/>
      <c r="AY168" s="67"/>
      <c r="AZ168" s="67"/>
      <c r="BA168" s="67"/>
      <c r="BB168" s="67"/>
      <c r="BC168" s="67"/>
      <c r="BD168" s="67"/>
      <c r="BE168" s="68"/>
      <c r="BF168" s="179"/>
      <c r="BG168" s="180"/>
      <c r="BH168" s="180"/>
      <c r="BI168" s="180"/>
      <c r="BJ168" s="180"/>
      <c r="BK168" s="181"/>
    </row>
    <row r="169" spans="1:63" s="310" customFormat="1" ht="15" customHeight="1" x14ac:dyDescent="0.25">
      <c r="A169" s="66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8"/>
      <c r="M169" s="55"/>
      <c r="N169" s="55"/>
      <c r="O169" s="39"/>
      <c r="P169" s="75" t="s">
        <v>136</v>
      </c>
      <c r="Q169" s="65"/>
      <c r="R169" s="65"/>
      <c r="S169" s="65"/>
      <c r="T169" s="65"/>
      <c r="U169" s="78"/>
      <c r="V169" s="65"/>
      <c r="W169" s="65"/>
      <c r="X169" s="65"/>
      <c r="Y169" s="65"/>
      <c r="Z169" s="65"/>
      <c r="AA169" s="79" t="s">
        <v>137</v>
      </c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77"/>
      <c r="AN169" s="55"/>
      <c r="AO169" s="55"/>
      <c r="AP169" s="55"/>
      <c r="AQ169" s="55"/>
      <c r="AR169" s="55"/>
      <c r="AS169" s="55"/>
      <c r="AT169" s="55"/>
      <c r="AU169" s="66"/>
      <c r="AV169" s="67"/>
      <c r="AW169" s="67"/>
      <c r="AX169" s="67"/>
      <c r="AY169" s="67"/>
      <c r="AZ169" s="67"/>
      <c r="BA169" s="67"/>
      <c r="BB169" s="67"/>
      <c r="BC169" s="67"/>
      <c r="BD169" s="67"/>
      <c r="BE169" s="68"/>
      <c r="BF169" s="179"/>
      <c r="BG169" s="180"/>
      <c r="BH169" s="180"/>
      <c r="BI169" s="180"/>
      <c r="BJ169" s="180"/>
      <c r="BK169" s="181"/>
    </row>
    <row r="170" spans="1:63" s="310" customFormat="1" ht="15" customHeight="1" x14ac:dyDescent="0.25">
      <c r="A170" s="66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8"/>
      <c r="M170" s="55"/>
      <c r="N170" s="55"/>
      <c r="O170" s="39"/>
      <c r="P170" s="80" t="s">
        <v>138</v>
      </c>
      <c r="Q170" s="58"/>
      <c r="R170" s="58"/>
      <c r="S170" s="58"/>
      <c r="T170" s="58"/>
      <c r="U170" s="81"/>
      <c r="V170" s="58"/>
      <c r="W170" s="58"/>
      <c r="X170" s="58"/>
      <c r="Y170" s="58"/>
      <c r="Z170" s="58"/>
      <c r="AA170" s="82" t="s">
        <v>139</v>
      </c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83"/>
      <c r="AN170" s="55"/>
      <c r="AO170" s="55"/>
      <c r="AP170" s="55"/>
      <c r="AQ170" s="55"/>
      <c r="AR170" s="55"/>
      <c r="AS170" s="55"/>
      <c r="AT170" s="55"/>
      <c r="AU170" s="66"/>
      <c r="AV170" s="67"/>
      <c r="AW170" s="67"/>
      <c r="AX170" s="67"/>
      <c r="AY170" s="67"/>
      <c r="AZ170" s="67"/>
      <c r="BA170" s="67"/>
      <c r="BB170" s="67"/>
      <c r="BC170" s="67"/>
      <c r="BD170" s="67"/>
      <c r="BE170" s="68"/>
      <c r="BF170" s="179"/>
      <c r="BG170" s="180"/>
      <c r="BH170" s="180"/>
      <c r="BI170" s="180"/>
      <c r="BJ170" s="180"/>
      <c r="BK170" s="181"/>
    </row>
    <row r="171" spans="1:63" s="310" customFormat="1" ht="15" customHeight="1" x14ac:dyDescent="0.25">
      <c r="A171" s="66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8"/>
      <c r="M171" s="55"/>
      <c r="N171" s="55"/>
      <c r="O171" s="39"/>
      <c r="P171" s="39"/>
      <c r="Q171" s="39"/>
      <c r="R171" s="55"/>
      <c r="S171" s="55"/>
      <c r="T171" s="55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66"/>
      <c r="AV171" s="67"/>
      <c r="AW171" s="67"/>
      <c r="AX171" s="67"/>
      <c r="AY171" s="67"/>
      <c r="AZ171" s="67"/>
      <c r="BA171" s="67"/>
      <c r="BB171" s="67"/>
      <c r="BC171" s="67"/>
      <c r="BD171" s="67"/>
      <c r="BE171" s="68"/>
      <c r="BF171" s="179"/>
      <c r="BG171" s="180"/>
      <c r="BH171" s="180"/>
      <c r="BI171" s="180"/>
      <c r="BJ171" s="180"/>
      <c r="BK171" s="181"/>
    </row>
    <row r="172" spans="1:63" s="310" customFormat="1" ht="15" customHeight="1" x14ac:dyDescent="0.25">
      <c r="A172" s="66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8"/>
      <c r="M172" s="55"/>
      <c r="N172" s="55"/>
      <c r="O172" s="39"/>
      <c r="P172" s="55" t="s">
        <v>144</v>
      </c>
      <c r="Q172" s="72"/>
      <c r="R172" s="55"/>
      <c r="S172" s="55"/>
      <c r="T172" s="55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66"/>
      <c r="AV172" s="67"/>
      <c r="AW172" s="67"/>
      <c r="AX172" s="67"/>
      <c r="AY172" s="67"/>
      <c r="AZ172" s="67"/>
      <c r="BA172" s="67"/>
      <c r="BB172" s="67"/>
      <c r="BC172" s="67"/>
      <c r="BD172" s="67"/>
      <c r="BE172" s="68"/>
      <c r="BF172" s="179"/>
      <c r="BG172" s="180"/>
      <c r="BH172" s="180"/>
      <c r="BI172" s="180"/>
      <c r="BJ172" s="180"/>
      <c r="BK172" s="181"/>
    </row>
    <row r="173" spans="1:63" s="310" customFormat="1" ht="15" customHeight="1" x14ac:dyDescent="0.25">
      <c r="A173" s="66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8"/>
      <c r="M173" s="55"/>
      <c r="N173" s="55"/>
      <c r="O173" s="55"/>
      <c r="P173" s="55" t="s">
        <v>200</v>
      </c>
      <c r="Q173" s="55"/>
      <c r="R173" s="55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66"/>
      <c r="AV173" s="67"/>
      <c r="AW173" s="67"/>
      <c r="AX173" s="67"/>
      <c r="AY173" s="67"/>
      <c r="AZ173" s="67"/>
      <c r="BA173" s="67"/>
      <c r="BB173" s="67"/>
      <c r="BC173" s="67"/>
      <c r="BD173" s="67"/>
      <c r="BE173" s="68"/>
      <c r="BF173" s="179"/>
      <c r="BG173" s="180"/>
      <c r="BH173" s="180"/>
      <c r="BI173" s="180"/>
      <c r="BJ173" s="180"/>
      <c r="BK173" s="181"/>
    </row>
    <row r="174" spans="1:63" s="310" customFormat="1" ht="15" customHeight="1" x14ac:dyDescent="0.25">
      <c r="A174" s="66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8"/>
      <c r="M174" s="55"/>
      <c r="N174" s="55"/>
      <c r="O174" s="55"/>
      <c r="P174" s="55" t="s">
        <v>140</v>
      </c>
      <c r="Q174" s="55"/>
      <c r="R174" s="55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66"/>
      <c r="AV174" s="67"/>
      <c r="AW174" s="67"/>
      <c r="AX174" s="67"/>
      <c r="AY174" s="67"/>
      <c r="AZ174" s="67"/>
      <c r="BA174" s="67"/>
      <c r="BB174" s="67"/>
      <c r="BC174" s="67"/>
      <c r="BD174" s="67"/>
      <c r="BE174" s="68"/>
      <c r="BF174" s="179"/>
      <c r="BG174" s="180"/>
      <c r="BH174" s="180"/>
      <c r="BI174" s="180"/>
      <c r="BJ174" s="180"/>
      <c r="BK174" s="181"/>
    </row>
    <row r="175" spans="1:63" s="310" customFormat="1" ht="15" customHeight="1" x14ac:dyDescent="0.25">
      <c r="A175" s="66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8"/>
      <c r="M175" s="55"/>
      <c r="N175" s="55"/>
      <c r="O175" s="55"/>
      <c r="P175" s="55" t="s">
        <v>201</v>
      </c>
      <c r="Q175" s="55"/>
      <c r="R175" s="55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66"/>
      <c r="AV175" s="67"/>
      <c r="AW175" s="67"/>
      <c r="AX175" s="67"/>
      <c r="AY175" s="67"/>
      <c r="AZ175" s="67"/>
      <c r="BA175" s="67"/>
      <c r="BB175" s="67"/>
      <c r="BC175" s="67"/>
      <c r="BD175" s="67"/>
      <c r="BE175" s="68"/>
      <c r="BF175" s="179"/>
      <c r="BG175" s="180"/>
      <c r="BH175" s="180"/>
      <c r="BI175" s="180"/>
      <c r="BJ175" s="180"/>
      <c r="BK175" s="181"/>
    </row>
    <row r="176" spans="1:63" s="310" customFormat="1" ht="15" customHeight="1" x14ac:dyDescent="0.25">
      <c r="A176" s="66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8"/>
      <c r="M176" s="55"/>
      <c r="N176" s="55"/>
      <c r="O176" s="55" t="s">
        <v>141</v>
      </c>
      <c r="P176" s="55"/>
      <c r="Q176" s="55"/>
      <c r="R176" s="55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66"/>
      <c r="AV176" s="67"/>
      <c r="AW176" s="67"/>
      <c r="AX176" s="67"/>
      <c r="AY176" s="67"/>
      <c r="AZ176" s="67"/>
      <c r="BA176" s="67"/>
      <c r="BB176" s="67"/>
      <c r="BC176" s="67"/>
      <c r="BD176" s="67"/>
      <c r="BE176" s="68"/>
      <c r="BF176" s="179"/>
      <c r="BG176" s="180"/>
      <c r="BH176" s="180"/>
      <c r="BI176" s="180"/>
      <c r="BJ176" s="180"/>
      <c r="BK176" s="181"/>
    </row>
    <row r="177" spans="1:63" s="310" customFormat="1" ht="15" customHeight="1" x14ac:dyDescent="0.25">
      <c r="A177" s="66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8"/>
      <c r="M177" s="55"/>
      <c r="N177" s="55"/>
      <c r="O177" s="55"/>
      <c r="P177" s="55" t="s">
        <v>142</v>
      </c>
      <c r="Q177" s="55"/>
      <c r="R177" s="55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66"/>
      <c r="AV177" s="67"/>
      <c r="AW177" s="67"/>
      <c r="AX177" s="67"/>
      <c r="AY177" s="67"/>
      <c r="AZ177" s="67"/>
      <c r="BA177" s="67"/>
      <c r="BB177" s="67"/>
      <c r="BC177" s="67"/>
      <c r="BD177" s="67"/>
      <c r="BE177" s="68"/>
      <c r="BF177" s="179"/>
      <c r="BG177" s="180"/>
      <c r="BH177" s="180"/>
      <c r="BI177" s="180"/>
      <c r="BJ177" s="180"/>
      <c r="BK177" s="181"/>
    </row>
    <row r="178" spans="1:63" s="310" customFormat="1" ht="15" customHeight="1" x14ac:dyDescent="0.25">
      <c r="A178" s="66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8"/>
      <c r="M178" s="55"/>
      <c r="N178" s="55"/>
      <c r="O178" s="55"/>
      <c r="P178" s="55"/>
      <c r="Q178" s="55"/>
      <c r="R178" s="55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66"/>
      <c r="AV178" s="67"/>
      <c r="AW178" s="67"/>
      <c r="AX178" s="67"/>
      <c r="AY178" s="67"/>
      <c r="AZ178" s="67"/>
      <c r="BA178" s="67"/>
      <c r="BB178" s="67"/>
      <c r="BC178" s="67"/>
      <c r="BD178" s="67"/>
      <c r="BE178" s="68"/>
      <c r="BF178" s="179"/>
      <c r="BG178" s="180"/>
      <c r="BH178" s="180"/>
      <c r="BI178" s="180"/>
      <c r="BJ178" s="180"/>
      <c r="BK178" s="181"/>
    </row>
    <row r="179" spans="1:63" s="310" customFormat="1" ht="15" customHeight="1" x14ac:dyDescent="0.25">
      <c r="A179" s="84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6"/>
      <c r="M179" s="87"/>
      <c r="N179" s="87"/>
      <c r="O179" s="87"/>
      <c r="P179" s="87"/>
      <c r="Q179" s="87"/>
      <c r="R179" s="87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4"/>
      <c r="AV179" s="85"/>
      <c r="AW179" s="85"/>
      <c r="AX179" s="85"/>
      <c r="AY179" s="85"/>
      <c r="AZ179" s="85"/>
      <c r="BA179" s="85"/>
      <c r="BB179" s="85"/>
      <c r="BC179" s="85"/>
      <c r="BD179" s="85"/>
      <c r="BE179" s="86"/>
      <c r="BF179" s="182"/>
      <c r="BG179" s="183"/>
      <c r="BH179" s="183"/>
      <c r="BI179" s="183"/>
      <c r="BJ179" s="183"/>
      <c r="BK179" s="184"/>
    </row>
    <row r="180" spans="1:63" ht="15" customHeight="1" x14ac:dyDescent="0.25">
      <c r="N180" s="328"/>
      <c r="O180" s="331"/>
      <c r="P180" s="331"/>
      <c r="Q180" s="331"/>
      <c r="R180" s="331"/>
      <c r="S180" s="331"/>
      <c r="T180" s="331"/>
      <c r="U180" s="331"/>
      <c r="V180" s="331"/>
      <c r="W180" s="331"/>
      <c r="X180" s="331"/>
      <c r="Y180" s="331"/>
      <c r="Z180" s="331"/>
      <c r="AA180" s="331"/>
      <c r="AB180" s="331"/>
      <c r="AC180" s="331"/>
      <c r="AD180" s="331"/>
      <c r="AE180" s="331"/>
      <c r="AF180" s="331"/>
      <c r="AG180" s="331"/>
      <c r="AH180" s="331"/>
      <c r="AI180" s="331"/>
      <c r="AJ180" s="328"/>
      <c r="AK180" s="328"/>
      <c r="AL180" s="328"/>
      <c r="AM180" s="328"/>
      <c r="AN180" s="328"/>
      <c r="AO180" s="328"/>
      <c r="AP180" s="328"/>
      <c r="AQ180" s="328"/>
      <c r="AR180" s="328"/>
      <c r="AS180" s="328"/>
    </row>
    <row r="181" spans="1:63" ht="15" customHeight="1" x14ac:dyDescent="0.25">
      <c r="N181" s="328"/>
      <c r="O181" s="331"/>
      <c r="P181" s="331"/>
      <c r="Q181" s="331"/>
      <c r="R181" s="331"/>
      <c r="S181" s="331"/>
      <c r="T181" s="331"/>
      <c r="U181" s="331"/>
      <c r="V181" s="331"/>
      <c r="W181" s="331"/>
      <c r="X181" s="331"/>
      <c r="Y181" s="331"/>
      <c r="Z181" s="331"/>
      <c r="AA181" s="331"/>
      <c r="AB181" s="331"/>
      <c r="AC181" s="331"/>
      <c r="AD181" s="331"/>
      <c r="AE181" s="331"/>
      <c r="AF181" s="331"/>
      <c r="AG181" s="331"/>
      <c r="AH181" s="331"/>
      <c r="AI181" s="331"/>
      <c r="AJ181" s="328"/>
      <c r="AK181" s="328"/>
      <c r="AL181" s="328"/>
      <c r="AM181" s="328"/>
      <c r="AN181" s="328"/>
      <c r="AO181" s="328"/>
      <c r="AP181" s="328"/>
      <c r="AQ181" s="328"/>
      <c r="AR181" s="328"/>
      <c r="AS181" s="328"/>
    </row>
    <row r="182" spans="1:63" ht="15" customHeight="1" x14ac:dyDescent="0.25"/>
    <row r="183" spans="1:63" ht="15" customHeight="1" x14ac:dyDescent="0.25"/>
    <row r="184" spans="1:63" ht="15" customHeight="1" x14ac:dyDescent="0.25"/>
    <row r="185" spans="1:63" ht="15" customHeight="1" x14ac:dyDescent="0.25"/>
    <row r="186" spans="1:63" ht="15" customHeight="1" x14ac:dyDescent="0.25"/>
    <row r="187" spans="1:63" ht="15" customHeight="1" x14ac:dyDescent="0.25"/>
    <row r="188" spans="1:63" ht="15" customHeight="1" x14ac:dyDescent="0.25"/>
    <row r="189" spans="1:63" ht="15" customHeight="1" x14ac:dyDescent="0.25"/>
    <row r="190" spans="1:63" ht="15" customHeight="1" x14ac:dyDescent="0.25"/>
    <row r="191" spans="1:63" ht="15" customHeight="1" x14ac:dyDescent="0.25"/>
    <row r="192" spans="1:63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</sheetData>
  <mergeCells count="99">
    <mergeCell ref="W163:AM163"/>
    <mergeCell ref="BF153:BK179"/>
    <mergeCell ref="BF151:BK152"/>
    <mergeCell ref="A150:F150"/>
    <mergeCell ref="G150:L150"/>
    <mergeCell ref="A151:L152"/>
    <mergeCell ref="M151:AT152"/>
    <mergeCell ref="AU151:BE152"/>
    <mergeCell ref="AP1:AS1"/>
    <mergeCell ref="AT1:AX1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4:G4"/>
    <mergeCell ref="H4:T4"/>
    <mergeCell ref="U4:Y4"/>
    <mergeCell ref="Z4:AO4"/>
    <mergeCell ref="AP4:BK4"/>
    <mergeCell ref="BF23:BK24"/>
    <mergeCell ref="BF14:BK17"/>
    <mergeCell ref="BF18:BK18"/>
    <mergeCell ref="A11:F11"/>
    <mergeCell ref="G11:L11"/>
    <mergeCell ref="A12:L13"/>
    <mergeCell ref="M12:AT13"/>
    <mergeCell ref="AU12:BE13"/>
    <mergeCell ref="BF12:BK13"/>
    <mergeCell ref="A22:F22"/>
    <mergeCell ref="G22:L22"/>
    <mergeCell ref="A23:L24"/>
    <mergeCell ref="M23:AT24"/>
    <mergeCell ref="AU23:BE24"/>
    <mergeCell ref="BF46:BK46"/>
    <mergeCell ref="BF25:BK45"/>
    <mergeCell ref="W29:AM29"/>
    <mergeCell ref="W30:AM30"/>
    <mergeCell ref="W31:AM31"/>
    <mergeCell ref="W32:AM32"/>
    <mergeCell ref="W33:AM33"/>
    <mergeCell ref="BF53:BK73"/>
    <mergeCell ref="A50:F50"/>
    <mergeCell ref="G50:L50"/>
    <mergeCell ref="A51:L52"/>
    <mergeCell ref="M51:AT52"/>
    <mergeCell ref="AU51:BE52"/>
    <mergeCell ref="BF51:BK52"/>
    <mergeCell ref="BF82:BK88"/>
    <mergeCell ref="BF75:BK75"/>
    <mergeCell ref="A79:F79"/>
    <mergeCell ref="G79:L79"/>
    <mergeCell ref="A80:L81"/>
    <mergeCell ref="M80:AT81"/>
    <mergeCell ref="AU80:BE81"/>
    <mergeCell ref="BF80:BK81"/>
    <mergeCell ref="BF113:BK116"/>
    <mergeCell ref="BF90:BK90"/>
    <mergeCell ref="A94:F94"/>
    <mergeCell ref="G94:L94"/>
    <mergeCell ref="A95:L96"/>
    <mergeCell ref="M95:AT96"/>
    <mergeCell ref="AU95:BE96"/>
    <mergeCell ref="BF95:BK96"/>
    <mergeCell ref="BF106:BK106"/>
    <mergeCell ref="BF97:BK105"/>
    <mergeCell ref="A110:F110"/>
    <mergeCell ref="G110:L110"/>
    <mergeCell ref="A111:L112"/>
    <mergeCell ref="M111:AT112"/>
    <mergeCell ref="AU111:BE112"/>
    <mergeCell ref="BF111:BK112"/>
    <mergeCell ref="BF117:BK117"/>
    <mergeCell ref="A121:F121"/>
    <mergeCell ref="G121:L121"/>
    <mergeCell ref="A122:L123"/>
    <mergeCell ref="M122:AT123"/>
    <mergeCell ref="AU122:BE123"/>
    <mergeCell ref="BF122:BK123"/>
    <mergeCell ref="BF146:BK146"/>
    <mergeCell ref="W128:AM128"/>
    <mergeCell ref="W129:AM129"/>
    <mergeCell ref="W130:AM130"/>
    <mergeCell ref="W131:AM131"/>
    <mergeCell ref="W132:AM132"/>
    <mergeCell ref="W133:AM133"/>
    <mergeCell ref="BF124:BK145"/>
  </mergeCells>
  <pageMargins left="0.7" right="0.7" top="0.75" bottom="0.75" header="0.3" footer="0.3"/>
  <pageSetup scale="2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6C62-C3FA-47E8-A320-854F07CA422B}">
  <sheetPr>
    <pageSetUpPr fitToPage="1"/>
  </sheetPr>
  <dimension ref="A1:BK419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50" t="s">
        <v>0</v>
      </c>
      <c r="B1" s="151"/>
      <c r="C1" s="151"/>
      <c r="D1" s="151"/>
      <c r="E1" s="151"/>
      <c r="F1" s="151"/>
      <c r="G1" s="151"/>
      <c r="H1" s="151"/>
      <c r="I1" s="151"/>
      <c r="J1" s="152"/>
      <c r="K1" s="150" t="s">
        <v>1</v>
      </c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2"/>
      <c r="W1" s="153" t="str">
        <f>IF(表紙!W1="","",表紙!W1)</f>
        <v>詳細設計書</v>
      </c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5"/>
      <c r="AP1" s="10" t="s">
        <v>2</v>
      </c>
      <c r="AQ1" s="9"/>
      <c r="AR1" s="9"/>
      <c r="AS1" s="8"/>
      <c r="AT1" s="10" t="s">
        <v>3</v>
      </c>
      <c r="AU1" s="9"/>
      <c r="AV1" s="9"/>
      <c r="AW1" s="9"/>
      <c r="AX1" s="8"/>
      <c r="AY1" s="10" t="s">
        <v>4</v>
      </c>
      <c r="AZ1" s="9"/>
      <c r="BA1" s="9"/>
      <c r="BB1" s="8"/>
      <c r="BC1" s="10" t="s">
        <v>5</v>
      </c>
      <c r="BD1" s="9"/>
      <c r="BE1" s="9"/>
      <c r="BF1" s="9"/>
      <c r="BG1" s="8"/>
      <c r="BH1" s="10" t="s">
        <v>6</v>
      </c>
      <c r="BI1" s="9"/>
      <c r="BJ1" s="9"/>
      <c r="BK1" s="8"/>
    </row>
    <row r="2" spans="1:63" ht="15" customHeight="1" x14ac:dyDescent="0.25">
      <c r="A2" s="167" t="str">
        <f>IF(表紙!A2="","",表紙!A2)</f>
        <v>POSサーバー</v>
      </c>
      <c r="B2" s="168"/>
      <c r="C2" s="168"/>
      <c r="D2" s="168"/>
      <c r="E2" s="168"/>
      <c r="F2" s="168"/>
      <c r="G2" s="168"/>
      <c r="H2" s="168"/>
      <c r="I2" s="168"/>
      <c r="J2" s="169"/>
      <c r="K2" s="167" t="str">
        <f>IF(表紙!K2="","",表紙!K2)</f>
        <v>POSサーバ</v>
      </c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9"/>
      <c r="W2" s="156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8"/>
      <c r="AP2" s="7" t="str">
        <f>IF(表紙!AP2="","",表紙!AP2)</f>
        <v>TuyenNH</v>
      </c>
      <c r="AQ2" s="6"/>
      <c r="AR2" s="6"/>
      <c r="AS2" s="5"/>
      <c r="AT2" s="90">
        <f>IF(表紙!AT2="","",表紙!AT2)</f>
        <v>45462</v>
      </c>
      <c r="AU2" s="91"/>
      <c r="AV2" s="91"/>
      <c r="AW2" s="91"/>
      <c r="AX2" s="92"/>
      <c r="AY2" s="7" t="str">
        <f>IF(表紙!AY2="","",表紙!AY2)</f>
        <v>AnhDD</v>
      </c>
      <c r="AZ2" s="6"/>
      <c r="BA2" s="6"/>
      <c r="BB2" s="5"/>
      <c r="BC2" s="90">
        <f>IF(表紙!BC2="","",表紙!BC2)</f>
        <v>45630</v>
      </c>
      <c r="BD2" s="91"/>
      <c r="BE2" s="91"/>
      <c r="BF2" s="91"/>
      <c r="BG2" s="92"/>
      <c r="BH2" s="7">
        <f>IF(表紙!BH2="","",表紙!BH2)</f>
        <v>0.43</v>
      </c>
      <c r="BI2" s="6"/>
      <c r="BJ2" s="6"/>
      <c r="BK2" s="5"/>
    </row>
    <row r="3" spans="1:63" ht="15" customHeight="1" x14ac:dyDescent="0.25">
      <c r="A3" s="170"/>
      <c r="B3" s="171"/>
      <c r="C3" s="171"/>
      <c r="D3" s="171"/>
      <c r="E3" s="171"/>
      <c r="F3" s="171"/>
      <c r="G3" s="171"/>
      <c r="H3" s="171"/>
      <c r="I3" s="171"/>
      <c r="J3" s="172"/>
      <c r="K3" s="170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2"/>
      <c r="W3" s="159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1"/>
      <c r="AP3" s="4"/>
      <c r="AQ3" s="3"/>
      <c r="AR3" s="3"/>
      <c r="AS3" s="2"/>
      <c r="AT3" s="93"/>
      <c r="AU3" s="94"/>
      <c r="AV3" s="94"/>
      <c r="AW3" s="94"/>
      <c r="AX3" s="95"/>
      <c r="AY3" s="4"/>
      <c r="AZ3" s="3"/>
      <c r="BA3" s="3"/>
      <c r="BB3" s="2"/>
      <c r="BC3" s="93"/>
      <c r="BD3" s="94"/>
      <c r="BE3" s="94"/>
      <c r="BF3" s="94"/>
      <c r="BG3" s="95"/>
      <c r="BH3" s="4"/>
      <c r="BI3" s="3"/>
      <c r="BJ3" s="3"/>
      <c r="BK3" s="2"/>
    </row>
    <row r="4" spans="1:63" ht="24.95" customHeight="1" x14ac:dyDescent="0.25">
      <c r="A4" s="162" t="s">
        <v>22</v>
      </c>
      <c r="B4" s="151"/>
      <c r="C4" s="151"/>
      <c r="D4" s="151"/>
      <c r="E4" s="151"/>
      <c r="F4" s="151"/>
      <c r="G4" s="152"/>
      <c r="H4" s="163" t="str">
        <f>IF(表紙!H4="","",表紙!H4)</f>
        <v>40_従業員設定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150" t="s">
        <v>7</v>
      </c>
      <c r="V4" s="151"/>
      <c r="W4" s="151"/>
      <c r="X4" s="151"/>
      <c r="Y4" s="152"/>
      <c r="Z4" s="163" t="str">
        <f>IF(表紙!Z4="","",表紙!Z4)</f>
        <v>機能設計書</v>
      </c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9"/>
      <c r="AP4" s="147" t="str">
        <f ca="1">MID(CELL("filename",A1),FIND("]",CELL("filename",A1))+1,255)</f>
        <v>MD4001</v>
      </c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9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2"/>
    </row>
    <row r="7" spans="1:63" s="16" customFormat="1" ht="15" customHeight="1" x14ac:dyDescent="0.25">
      <c r="A7" s="17" t="s">
        <v>19</v>
      </c>
      <c r="BK7" s="33"/>
    </row>
    <row r="8" spans="1:63" s="16" customFormat="1" ht="15" customHeight="1" x14ac:dyDescent="0.25">
      <c r="A8" s="17"/>
      <c r="BK8" s="33"/>
    </row>
    <row r="9" spans="1:63" s="16" customFormat="1" ht="15" customHeight="1" x14ac:dyDescent="0.25">
      <c r="A9" s="10" t="s">
        <v>11</v>
      </c>
      <c r="B9" s="9"/>
      <c r="C9" s="9"/>
      <c r="D9" s="9"/>
      <c r="E9" s="140" t="s">
        <v>91</v>
      </c>
      <c r="F9" s="140"/>
      <c r="G9" s="140"/>
      <c r="H9" s="140"/>
      <c r="I9" s="140"/>
      <c r="J9" s="140"/>
      <c r="K9" s="140"/>
      <c r="L9" s="140"/>
      <c r="M9" s="140"/>
      <c r="N9" s="140"/>
      <c r="O9" s="10" t="s">
        <v>12</v>
      </c>
      <c r="P9" s="9"/>
      <c r="Q9" s="9"/>
      <c r="R9" s="9"/>
      <c r="S9" s="9"/>
      <c r="T9" s="8"/>
      <c r="U9" s="164" t="s">
        <v>90</v>
      </c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  <c r="BJ9" s="165"/>
      <c r="BK9" s="166"/>
    </row>
    <row r="10" spans="1:63" ht="15" customHeight="1" x14ac:dyDescent="0.25">
      <c r="A10" s="44"/>
      <c r="BK10" s="15"/>
    </row>
    <row r="11" spans="1:63" s="16" customFormat="1" ht="15" customHeight="1" x14ac:dyDescent="0.25">
      <c r="A11" s="137" t="s">
        <v>13</v>
      </c>
      <c r="B11" s="138"/>
      <c r="C11" s="138"/>
      <c r="D11" s="138"/>
      <c r="E11" s="138"/>
      <c r="F11" s="139"/>
      <c r="G11" s="140" t="s">
        <v>26</v>
      </c>
      <c r="H11" s="140"/>
      <c r="I11" s="140"/>
      <c r="J11" s="140"/>
      <c r="K11" s="140"/>
      <c r="L11" s="140"/>
      <c r="M11" s="53" t="s">
        <v>27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9"/>
      <c r="BI11" s="19"/>
      <c r="BJ11" s="19"/>
      <c r="BK11" s="34"/>
    </row>
    <row r="12" spans="1:63" s="16" customFormat="1" ht="15" customHeight="1" x14ac:dyDescent="0.25">
      <c r="A12" s="141" t="s">
        <v>15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3"/>
      <c r="M12" s="141" t="s">
        <v>16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3"/>
      <c r="AU12" s="141" t="s">
        <v>17</v>
      </c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1" t="s">
        <v>18</v>
      </c>
      <c r="BG12" s="142"/>
      <c r="BH12" s="142"/>
      <c r="BI12" s="142"/>
      <c r="BJ12" s="142"/>
      <c r="BK12" s="143"/>
    </row>
    <row r="13" spans="1:63" s="16" customFormat="1" ht="15" customHeight="1" x14ac:dyDescent="0.25">
      <c r="A13" s="144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6"/>
      <c r="M13" s="144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6"/>
      <c r="AU13" s="144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4"/>
      <c r="BG13" s="145"/>
      <c r="BH13" s="145"/>
      <c r="BI13" s="145"/>
      <c r="BJ13" s="145"/>
      <c r="BK13" s="146"/>
    </row>
    <row r="14" spans="1:63" s="16" customFormat="1" ht="15" customHeight="1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2"/>
      <c r="M14" s="36"/>
      <c r="N14" s="36"/>
      <c r="O14" s="36"/>
      <c r="P14" s="36"/>
      <c r="Q14" s="36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0"/>
      <c r="AV14" s="21"/>
      <c r="AW14" s="21"/>
      <c r="AX14" s="21"/>
      <c r="AY14" s="21"/>
      <c r="AZ14" s="21"/>
      <c r="BA14" s="21"/>
      <c r="BB14" s="21"/>
      <c r="BC14" s="21"/>
      <c r="BD14" s="21"/>
      <c r="BE14" s="22"/>
      <c r="BF14" s="131" t="s">
        <v>205</v>
      </c>
      <c r="BG14" s="132"/>
      <c r="BH14" s="132"/>
      <c r="BI14" s="132"/>
      <c r="BJ14" s="132"/>
      <c r="BK14" s="133"/>
    </row>
    <row r="15" spans="1:63" s="16" customFormat="1" ht="15" customHeight="1" x14ac:dyDescent="0.25">
      <c r="A15" s="2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5"/>
      <c r="M15" s="36"/>
      <c r="N15" s="45" t="s">
        <v>28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24"/>
      <c r="AV15" s="35"/>
      <c r="AW15" s="35"/>
      <c r="AX15" s="35"/>
      <c r="AY15" s="35"/>
      <c r="AZ15" s="35"/>
      <c r="BA15" s="35"/>
      <c r="BB15" s="35"/>
      <c r="BC15" s="35"/>
      <c r="BD15" s="35"/>
      <c r="BE15" s="25"/>
      <c r="BF15" s="134"/>
      <c r="BG15" s="135"/>
      <c r="BH15" s="135"/>
      <c r="BI15" s="135"/>
      <c r="BJ15" s="135"/>
      <c r="BK15" s="136"/>
    </row>
    <row r="16" spans="1:63" s="16" customFormat="1" ht="15" customHeight="1" x14ac:dyDescent="0.25">
      <c r="A16" s="2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5"/>
      <c r="M16" s="38"/>
      <c r="N16" s="36"/>
      <c r="O16" s="37" t="s">
        <v>30</v>
      </c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24"/>
      <c r="AV16" s="35"/>
      <c r="AW16" s="35"/>
      <c r="AX16" s="35"/>
      <c r="AY16" s="35"/>
      <c r="AZ16" s="35"/>
      <c r="BA16" s="35"/>
      <c r="BB16" s="35"/>
      <c r="BC16" s="35"/>
      <c r="BD16" s="35"/>
      <c r="BE16" s="25"/>
      <c r="BF16" s="134"/>
      <c r="BG16" s="135"/>
      <c r="BH16" s="135"/>
      <c r="BI16" s="135"/>
      <c r="BJ16" s="135"/>
      <c r="BK16" s="136"/>
    </row>
    <row r="17" spans="1:63" s="16" customFormat="1" ht="15" customHeight="1" x14ac:dyDescent="0.25">
      <c r="A17" s="2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25"/>
      <c r="M17" s="36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24"/>
      <c r="AV17" s="35"/>
      <c r="AW17" s="35"/>
      <c r="AX17" s="35"/>
      <c r="AY17" s="35"/>
      <c r="AZ17" s="35"/>
      <c r="BA17" s="35"/>
      <c r="BB17" s="35"/>
      <c r="BC17" s="35"/>
      <c r="BD17" s="35"/>
      <c r="BE17" s="25"/>
      <c r="BF17" s="134"/>
      <c r="BG17" s="135"/>
      <c r="BH17" s="135"/>
      <c r="BI17" s="135"/>
      <c r="BJ17" s="135"/>
      <c r="BK17" s="136"/>
    </row>
    <row r="18" spans="1:63" s="16" customFormat="1" ht="15" customHeight="1" x14ac:dyDescent="0.2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8"/>
      <c r="M18" s="41"/>
      <c r="N18" s="42"/>
      <c r="O18" s="42"/>
      <c r="P18" s="42"/>
      <c r="Q18" s="42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29"/>
      <c r="AQ18" s="29"/>
      <c r="AR18" s="29"/>
      <c r="AS18" s="29"/>
      <c r="AT18" s="29"/>
      <c r="AU18" s="26"/>
      <c r="AV18" s="27"/>
      <c r="AW18" s="27"/>
      <c r="AX18" s="27"/>
      <c r="AY18" s="27"/>
      <c r="AZ18" s="27"/>
      <c r="BA18" s="27"/>
      <c r="BB18" s="27"/>
      <c r="BC18" s="27"/>
      <c r="BD18" s="27"/>
      <c r="BE18" s="28"/>
      <c r="BF18" s="128"/>
      <c r="BG18" s="129"/>
      <c r="BH18" s="129"/>
      <c r="BI18" s="129"/>
      <c r="BJ18" s="129"/>
      <c r="BK18" s="130"/>
    </row>
    <row r="19" spans="1:63" ht="15" customHeight="1" x14ac:dyDescent="0.25"/>
    <row r="20" spans="1:63" ht="15" customHeight="1" x14ac:dyDescent="0.25"/>
    <row r="21" spans="1:63" ht="15" customHeight="1" x14ac:dyDescent="0.25"/>
    <row r="22" spans="1:63" s="16" customFormat="1" ht="15" customHeight="1" x14ac:dyDescent="0.25">
      <c r="A22" s="137" t="s">
        <v>13</v>
      </c>
      <c r="B22" s="138"/>
      <c r="C22" s="138"/>
      <c r="D22" s="138"/>
      <c r="E22" s="138"/>
      <c r="F22" s="139"/>
      <c r="G22" s="140" t="s">
        <v>93</v>
      </c>
      <c r="H22" s="140"/>
      <c r="I22" s="140"/>
      <c r="J22" s="140"/>
      <c r="K22" s="140"/>
      <c r="L22" s="140"/>
      <c r="M22" s="53" t="s">
        <v>84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9"/>
      <c r="BI22" s="19"/>
      <c r="BJ22" s="19"/>
      <c r="BK22" s="34"/>
    </row>
    <row r="23" spans="1:63" s="16" customFormat="1" ht="15" customHeight="1" x14ac:dyDescent="0.25">
      <c r="A23" s="141" t="s">
        <v>15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3"/>
      <c r="M23" s="141" t="s">
        <v>16</v>
      </c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3"/>
      <c r="AU23" s="141" t="s">
        <v>17</v>
      </c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1" t="s">
        <v>18</v>
      </c>
      <c r="BG23" s="142"/>
      <c r="BH23" s="142"/>
      <c r="BI23" s="142"/>
      <c r="BJ23" s="142"/>
      <c r="BK23" s="143"/>
    </row>
    <row r="24" spans="1:63" s="16" customFormat="1" ht="15" customHeight="1" x14ac:dyDescent="0.25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6"/>
      <c r="M24" s="144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6"/>
      <c r="AU24" s="144"/>
      <c r="AV24" s="145"/>
      <c r="AW24" s="145"/>
      <c r="AX24" s="145"/>
      <c r="AY24" s="145"/>
      <c r="AZ24" s="145"/>
      <c r="BA24" s="145"/>
      <c r="BB24" s="145"/>
      <c r="BC24" s="145"/>
      <c r="BD24" s="145"/>
      <c r="BE24" s="145"/>
      <c r="BF24" s="144"/>
      <c r="BG24" s="145"/>
      <c r="BH24" s="145"/>
      <c r="BI24" s="145"/>
      <c r="BJ24" s="145"/>
      <c r="BK24" s="146"/>
    </row>
    <row r="25" spans="1:63" s="16" customFormat="1" ht="15" customHeight="1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36"/>
      <c r="N25" s="36"/>
      <c r="O25" s="36"/>
      <c r="P25" s="36"/>
      <c r="Q25" s="36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0"/>
      <c r="AV25" s="21"/>
      <c r="AW25" s="21"/>
      <c r="AX25" s="21"/>
      <c r="AY25" s="21"/>
      <c r="AZ25" s="21"/>
      <c r="BA25" s="21"/>
      <c r="BB25" s="21"/>
      <c r="BC25" s="21"/>
      <c r="BD25" s="21"/>
      <c r="BE25" s="22"/>
      <c r="BF25" s="131" t="s">
        <v>205</v>
      </c>
      <c r="BG25" s="132"/>
      <c r="BH25" s="132"/>
      <c r="BI25" s="132"/>
      <c r="BJ25" s="132"/>
      <c r="BK25" s="133"/>
    </row>
    <row r="26" spans="1:63" s="16" customFormat="1" ht="15" customHeight="1" x14ac:dyDescent="0.25">
      <c r="A26" s="2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25"/>
      <c r="M26" s="36"/>
      <c r="N26" s="45" t="s">
        <v>102</v>
      </c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24"/>
      <c r="AV26" s="35"/>
      <c r="AW26" s="35"/>
      <c r="AX26" s="35"/>
      <c r="AY26" s="35"/>
      <c r="AZ26" s="35"/>
      <c r="BA26" s="35"/>
      <c r="BB26" s="35"/>
      <c r="BC26" s="35"/>
      <c r="BD26" s="35"/>
      <c r="BE26" s="25"/>
      <c r="BF26" s="134"/>
      <c r="BG26" s="135"/>
      <c r="BH26" s="135"/>
      <c r="BI26" s="135"/>
      <c r="BJ26" s="135"/>
      <c r="BK26" s="136"/>
    </row>
    <row r="27" spans="1:63" s="16" customFormat="1" ht="15" customHeight="1" x14ac:dyDescent="0.25">
      <c r="A27" s="2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25"/>
      <c r="M27" s="38"/>
      <c r="N27" s="36"/>
      <c r="O27" s="36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24"/>
      <c r="AV27" s="35"/>
      <c r="AW27" s="35"/>
      <c r="AX27" s="35"/>
      <c r="AY27" s="35"/>
      <c r="AZ27" s="35"/>
      <c r="BA27" s="35"/>
      <c r="BB27" s="35"/>
      <c r="BC27" s="35"/>
      <c r="BD27" s="35"/>
      <c r="BE27" s="25"/>
      <c r="BF27" s="134"/>
      <c r="BG27" s="135"/>
      <c r="BH27" s="135"/>
      <c r="BI27" s="135"/>
      <c r="BJ27" s="135"/>
      <c r="BK27" s="136"/>
    </row>
    <row r="28" spans="1:63" s="16" customFormat="1" ht="15" customHeight="1" x14ac:dyDescent="0.25">
      <c r="A28" s="2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25"/>
      <c r="M28" s="36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24"/>
      <c r="AV28" s="35"/>
      <c r="AW28" s="35"/>
      <c r="AX28" s="35"/>
      <c r="AY28" s="35"/>
      <c r="AZ28" s="35"/>
      <c r="BA28" s="35"/>
      <c r="BB28" s="35"/>
      <c r="BC28" s="35"/>
      <c r="BD28" s="35"/>
      <c r="BE28" s="25"/>
      <c r="BF28" s="134"/>
      <c r="BG28" s="135"/>
      <c r="BH28" s="135"/>
      <c r="BI28" s="135"/>
      <c r="BJ28" s="135"/>
      <c r="BK28" s="136"/>
    </row>
    <row r="29" spans="1:63" s="16" customFormat="1" ht="15" customHeight="1" x14ac:dyDescent="0.2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  <c r="M29" s="41"/>
      <c r="N29" s="42"/>
      <c r="O29" s="42"/>
      <c r="P29" s="42"/>
      <c r="Q29" s="42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29"/>
      <c r="AQ29" s="29"/>
      <c r="AR29" s="29"/>
      <c r="AS29" s="29"/>
      <c r="AT29" s="29"/>
      <c r="AU29" s="26"/>
      <c r="AV29" s="27"/>
      <c r="AW29" s="27"/>
      <c r="AX29" s="27"/>
      <c r="AY29" s="27"/>
      <c r="AZ29" s="27"/>
      <c r="BA29" s="27"/>
      <c r="BB29" s="27"/>
      <c r="BC29" s="27"/>
      <c r="BD29" s="27"/>
      <c r="BE29" s="28"/>
      <c r="BF29" s="128"/>
      <c r="BG29" s="129"/>
      <c r="BH29" s="129"/>
      <c r="BI29" s="129"/>
      <c r="BJ29" s="129"/>
      <c r="BK29" s="130"/>
    </row>
    <row r="30" spans="1:63" ht="15" customHeight="1" x14ac:dyDescent="0.25">
      <c r="A30" s="30"/>
      <c r="BK30" s="15"/>
    </row>
    <row r="31" spans="1:63" ht="15" customHeight="1" x14ac:dyDescent="0.25">
      <c r="A31" s="44"/>
      <c r="BK31" s="15"/>
    </row>
    <row r="32" spans="1:63" ht="15" customHeight="1" x14ac:dyDescent="0.25">
      <c r="A32" s="44"/>
      <c r="BK32" s="15"/>
    </row>
    <row r="33" spans="1:63" s="16" customFormat="1" ht="15" customHeight="1" x14ac:dyDescent="0.25">
      <c r="A33" s="137" t="s">
        <v>13</v>
      </c>
      <c r="B33" s="138"/>
      <c r="C33" s="138"/>
      <c r="D33" s="138"/>
      <c r="E33" s="138"/>
      <c r="F33" s="139"/>
      <c r="G33" s="140" t="s">
        <v>46</v>
      </c>
      <c r="H33" s="140"/>
      <c r="I33" s="140"/>
      <c r="J33" s="140"/>
      <c r="K33" s="140"/>
      <c r="L33" s="140"/>
      <c r="M33" s="53" t="s">
        <v>85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9"/>
      <c r="BI33" s="19"/>
      <c r="BJ33" s="19"/>
      <c r="BK33" s="34"/>
    </row>
    <row r="34" spans="1:63" s="16" customFormat="1" ht="15" customHeight="1" x14ac:dyDescent="0.25">
      <c r="A34" s="141" t="s">
        <v>15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3"/>
      <c r="M34" s="141" t="s">
        <v>16</v>
      </c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3"/>
      <c r="AU34" s="141" t="s">
        <v>17</v>
      </c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1" t="s">
        <v>18</v>
      </c>
      <c r="BG34" s="142"/>
      <c r="BH34" s="142"/>
      <c r="BI34" s="142"/>
      <c r="BJ34" s="142"/>
      <c r="BK34" s="143"/>
    </row>
    <row r="35" spans="1:63" s="16" customFormat="1" ht="15" customHeight="1" x14ac:dyDescent="0.25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6"/>
      <c r="M35" s="144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6"/>
      <c r="AU35" s="144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4"/>
      <c r="BG35" s="145"/>
      <c r="BH35" s="145"/>
      <c r="BI35" s="145"/>
      <c r="BJ35" s="145"/>
      <c r="BK35" s="146"/>
    </row>
    <row r="36" spans="1:63" s="16" customFormat="1" ht="15" customHeight="1" x14ac:dyDescent="0.25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  <c r="M36" s="36"/>
      <c r="N36" s="36"/>
      <c r="O36" s="36"/>
      <c r="P36" s="36"/>
      <c r="Q36" s="36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0"/>
      <c r="AV36" s="21"/>
      <c r="AW36" s="21"/>
      <c r="AX36" s="21"/>
      <c r="AY36" s="21"/>
      <c r="AZ36" s="21"/>
      <c r="BA36" s="21"/>
      <c r="BB36" s="21"/>
      <c r="BC36" s="21"/>
      <c r="BD36" s="21"/>
      <c r="BE36" s="22"/>
      <c r="BF36" s="131" t="s">
        <v>205</v>
      </c>
      <c r="BG36" s="132"/>
      <c r="BH36" s="132"/>
      <c r="BI36" s="132"/>
      <c r="BJ36" s="132"/>
      <c r="BK36" s="133"/>
    </row>
    <row r="37" spans="1:63" s="16" customFormat="1" ht="15" customHeight="1" x14ac:dyDescent="0.25">
      <c r="A37" s="2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25"/>
      <c r="M37" s="36"/>
      <c r="N37" s="45" t="s">
        <v>86</v>
      </c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24"/>
      <c r="AV37" s="35"/>
      <c r="AW37" s="35"/>
      <c r="AX37" s="35"/>
      <c r="AY37" s="35"/>
      <c r="AZ37" s="35"/>
      <c r="BA37" s="35"/>
      <c r="BB37" s="35"/>
      <c r="BC37" s="35"/>
      <c r="BD37" s="35"/>
      <c r="BE37" s="25"/>
      <c r="BF37" s="134"/>
      <c r="BG37" s="135"/>
      <c r="BH37" s="135"/>
      <c r="BI37" s="135"/>
      <c r="BJ37" s="135"/>
      <c r="BK37" s="136"/>
    </row>
    <row r="38" spans="1:63" s="16" customFormat="1" ht="15" customHeight="1" x14ac:dyDescent="0.25">
      <c r="A38" s="24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25"/>
      <c r="M38" s="38"/>
      <c r="N38" s="36"/>
      <c r="O38" s="37" t="s">
        <v>48</v>
      </c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24"/>
      <c r="AV38" s="35"/>
      <c r="AW38" s="35"/>
      <c r="AX38" s="35"/>
      <c r="AY38" s="35"/>
      <c r="AZ38" s="35"/>
      <c r="BA38" s="35"/>
      <c r="BB38" s="35"/>
      <c r="BC38" s="35"/>
      <c r="BD38" s="35"/>
      <c r="BE38" s="25"/>
      <c r="BF38" s="134"/>
      <c r="BG38" s="135"/>
      <c r="BH38" s="135"/>
      <c r="BI38" s="135"/>
      <c r="BJ38" s="135"/>
      <c r="BK38" s="136"/>
    </row>
    <row r="39" spans="1:63" s="16" customFormat="1" ht="15" customHeight="1" x14ac:dyDescent="0.25">
      <c r="A39" s="24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25"/>
      <c r="M39" s="36"/>
      <c r="O39" s="37"/>
      <c r="P39" s="37" t="s">
        <v>87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24"/>
      <c r="AV39" s="35"/>
      <c r="AW39" s="35"/>
      <c r="AX39" s="35"/>
      <c r="AY39" s="35"/>
      <c r="AZ39" s="35"/>
      <c r="BA39" s="35"/>
      <c r="BB39" s="35"/>
      <c r="BC39" s="35"/>
      <c r="BD39" s="35"/>
      <c r="BE39" s="25"/>
      <c r="BF39" s="134"/>
      <c r="BG39" s="135"/>
      <c r="BH39" s="135"/>
      <c r="BI39" s="135"/>
      <c r="BJ39" s="135"/>
      <c r="BK39" s="136"/>
    </row>
    <row r="40" spans="1:63" s="16" customFormat="1" ht="15" customHeight="1" x14ac:dyDescent="0.25">
      <c r="A40" s="24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25"/>
      <c r="M40" s="36"/>
      <c r="N40" s="36"/>
      <c r="O40" s="37"/>
      <c r="P40" s="37"/>
      <c r="Q40" s="37" t="s">
        <v>88</v>
      </c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24"/>
      <c r="AV40" s="35"/>
      <c r="AW40" s="35"/>
      <c r="AX40" s="35"/>
      <c r="AY40" s="35"/>
      <c r="AZ40" s="35"/>
      <c r="BA40" s="35"/>
      <c r="BB40" s="35"/>
      <c r="BC40" s="35"/>
      <c r="BD40" s="35"/>
      <c r="BE40" s="25"/>
      <c r="BF40" s="134"/>
      <c r="BG40" s="135"/>
      <c r="BH40" s="135"/>
      <c r="BI40" s="135"/>
      <c r="BJ40" s="135"/>
      <c r="BK40" s="136"/>
    </row>
    <row r="41" spans="1:63" s="16" customFormat="1" ht="15" customHeight="1" x14ac:dyDescent="0.25">
      <c r="A41" s="2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25"/>
      <c r="M41" s="36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24"/>
      <c r="AV41" s="35"/>
      <c r="AW41" s="35"/>
      <c r="AX41" s="35"/>
      <c r="AY41" s="35"/>
      <c r="AZ41" s="35"/>
      <c r="BA41" s="35"/>
      <c r="BB41" s="35"/>
      <c r="BC41" s="35"/>
      <c r="BD41" s="35"/>
      <c r="BE41" s="25"/>
      <c r="BF41" s="134"/>
      <c r="BG41" s="135"/>
      <c r="BH41" s="135"/>
      <c r="BI41" s="135"/>
      <c r="BJ41" s="135"/>
      <c r="BK41" s="136"/>
    </row>
    <row r="42" spans="1:63" s="16" customFormat="1" ht="15" customHeight="1" x14ac:dyDescent="0.25">
      <c r="A42" s="2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25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24"/>
      <c r="AV42" s="35"/>
      <c r="AW42" s="35"/>
      <c r="AX42" s="35"/>
      <c r="AY42" s="35"/>
      <c r="AZ42" s="35"/>
      <c r="BA42" s="35"/>
      <c r="BB42" s="35"/>
      <c r="BC42" s="35"/>
      <c r="BD42" s="35"/>
      <c r="BE42" s="25"/>
      <c r="BF42" s="134"/>
      <c r="BG42" s="135"/>
      <c r="BH42" s="135"/>
      <c r="BI42" s="135"/>
      <c r="BJ42" s="135"/>
      <c r="BK42" s="136"/>
    </row>
    <row r="43" spans="1:63" s="16" customFormat="1" ht="15" customHeight="1" x14ac:dyDescent="0.25">
      <c r="A43" s="2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25"/>
      <c r="M43" s="36"/>
      <c r="N43" s="36"/>
      <c r="O43" s="37" t="s">
        <v>103</v>
      </c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24"/>
      <c r="AV43" s="35"/>
      <c r="AW43" s="35"/>
      <c r="AX43" s="35"/>
      <c r="AY43" s="35"/>
      <c r="AZ43" s="35"/>
      <c r="BA43" s="35"/>
      <c r="BB43" s="35"/>
      <c r="BC43" s="35"/>
      <c r="BD43" s="35"/>
      <c r="BE43" s="25"/>
      <c r="BF43" s="134"/>
      <c r="BG43" s="135"/>
      <c r="BH43" s="135"/>
      <c r="BI43" s="135"/>
      <c r="BJ43" s="135"/>
      <c r="BK43" s="136"/>
    </row>
    <row r="44" spans="1:63" s="16" customFormat="1" ht="15" customHeight="1" x14ac:dyDescent="0.25">
      <c r="A44" s="24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25"/>
      <c r="M44" s="36"/>
      <c r="N44" s="36"/>
      <c r="O44" s="36"/>
      <c r="P44" s="37" t="s">
        <v>89</v>
      </c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24"/>
      <c r="AV44" s="35"/>
      <c r="AW44" s="35"/>
      <c r="AX44" s="35"/>
      <c r="AY44" s="35"/>
      <c r="AZ44" s="35"/>
      <c r="BA44" s="35"/>
      <c r="BB44" s="35"/>
      <c r="BC44" s="35"/>
      <c r="BD44" s="35"/>
      <c r="BE44" s="25"/>
      <c r="BF44" s="134"/>
      <c r="BG44" s="135"/>
      <c r="BH44" s="135"/>
      <c r="BI44" s="135"/>
      <c r="BJ44" s="135"/>
      <c r="BK44" s="136"/>
    </row>
    <row r="45" spans="1:63" s="16" customFormat="1" ht="15" customHeight="1" x14ac:dyDescent="0.25">
      <c r="A45" s="26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8"/>
      <c r="M45" s="41"/>
      <c r="N45" s="42"/>
      <c r="O45" s="42"/>
      <c r="P45" s="42"/>
      <c r="Q45" s="42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29"/>
      <c r="AQ45" s="29"/>
      <c r="AR45" s="29"/>
      <c r="AS45" s="29"/>
      <c r="AT45" s="29"/>
      <c r="AU45" s="26"/>
      <c r="AV45" s="27"/>
      <c r="AW45" s="27"/>
      <c r="AX45" s="27"/>
      <c r="AY45" s="27"/>
      <c r="AZ45" s="27"/>
      <c r="BA45" s="27"/>
      <c r="BB45" s="27"/>
      <c r="BC45" s="27"/>
      <c r="BD45" s="27"/>
      <c r="BE45" s="28"/>
      <c r="BF45" s="128"/>
      <c r="BG45" s="129"/>
      <c r="BH45" s="129"/>
      <c r="BI45" s="129"/>
      <c r="BJ45" s="129"/>
      <c r="BK45" s="130"/>
    </row>
    <row r="46" spans="1:63" ht="15" customHeight="1" x14ac:dyDescent="0.25">
      <c r="A46" s="44"/>
      <c r="BK46" s="15"/>
    </row>
    <row r="47" spans="1:63" ht="15" customHeight="1" x14ac:dyDescent="0.25">
      <c r="A47" s="44"/>
      <c r="BK47" s="15"/>
    </row>
    <row r="48" spans="1:63" ht="15" customHeight="1" x14ac:dyDescent="0.25">
      <c r="A48" s="44"/>
      <c r="BK48" s="15"/>
    </row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</sheetData>
  <mergeCells count="48">
    <mergeCell ref="AP1:AS1"/>
    <mergeCell ref="AT1:AX1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4:G4"/>
    <mergeCell ref="H4:T4"/>
    <mergeCell ref="U4:Y4"/>
    <mergeCell ref="Z4:AO4"/>
    <mergeCell ref="AP4:BK4"/>
    <mergeCell ref="A22:F22"/>
    <mergeCell ref="G22:L22"/>
    <mergeCell ref="A23:L24"/>
    <mergeCell ref="M23:AT24"/>
    <mergeCell ref="AU23:BE24"/>
    <mergeCell ref="BF12:BK13"/>
    <mergeCell ref="BF14:BK17"/>
    <mergeCell ref="BF18:BK18"/>
    <mergeCell ref="BF23:BK24"/>
    <mergeCell ref="A11:F11"/>
    <mergeCell ref="G11:L11"/>
    <mergeCell ref="A12:L13"/>
    <mergeCell ref="M12:AT13"/>
    <mergeCell ref="AU12:BE13"/>
    <mergeCell ref="A33:F33"/>
    <mergeCell ref="G33:L33"/>
    <mergeCell ref="A34:L35"/>
    <mergeCell ref="M34:AT35"/>
    <mergeCell ref="AU34:BE35"/>
    <mergeCell ref="BF45:BK45"/>
    <mergeCell ref="BF36:BK44"/>
    <mergeCell ref="BF25:BK28"/>
    <mergeCell ref="BF29:BK29"/>
    <mergeCell ref="BF34:BK35"/>
  </mergeCells>
  <pageMargins left="0.7" right="0.7" top="0.75" bottom="0.75" header="0.3" footer="0.3"/>
  <pageSetup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69C0-022F-4354-B15A-B3130301FE36}">
  <sheetPr>
    <pageSetUpPr fitToPage="1"/>
  </sheetPr>
  <dimension ref="A1:BK442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96" t="s">
        <v>162</v>
      </c>
      <c r="B1" s="297"/>
      <c r="C1" s="297"/>
      <c r="D1" s="297"/>
      <c r="E1" s="297"/>
      <c r="F1" s="297"/>
      <c r="G1" s="297"/>
      <c r="H1" s="297"/>
      <c r="I1" s="297"/>
      <c r="J1" s="298"/>
      <c r="K1" s="296" t="s">
        <v>148</v>
      </c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8"/>
      <c r="W1" s="299" t="str">
        <f>IF(表紙!W1="","",表紙!W1)</f>
        <v>詳細設計書</v>
      </c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  <c r="AM1" s="300"/>
      <c r="AN1" s="300"/>
      <c r="AO1" s="301"/>
      <c r="AP1" s="204" t="s">
        <v>150</v>
      </c>
      <c r="AQ1" s="202"/>
      <c r="AR1" s="202"/>
      <c r="AS1" s="203"/>
      <c r="AT1" s="204" t="s">
        <v>151</v>
      </c>
      <c r="AU1" s="202"/>
      <c r="AV1" s="202"/>
      <c r="AW1" s="202"/>
      <c r="AX1" s="203"/>
      <c r="AY1" s="204" t="s">
        <v>152</v>
      </c>
      <c r="AZ1" s="202"/>
      <c r="BA1" s="202"/>
      <c r="BB1" s="203"/>
      <c r="BC1" s="204" t="s">
        <v>153</v>
      </c>
      <c r="BD1" s="202"/>
      <c r="BE1" s="202"/>
      <c r="BF1" s="202"/>
      <c r="BG1" s="203"/>
      <c r="BH1" s="204" t="s">
        <v>154</v>
      </c>
      <c r="BI1" s="202"/>
      <c r="BJ1" s="202"/>
      <c r="BK1" s="203"/>
    </row>
    <row r="2" spans="1:63" ht="15" customHeight="1" x14ac:dyDescent="0.25">
      <c r="A2" s="167" t="str">
        <f>IF(表紙!A2="","",表紙!A2)</f>
        <v>POSサーバー</v>
      </c>
      <c r="B2" s="168"/>
      <c r="C2" s="168"/>
      <c r="D2" s="168"/>
      <c r="E2" s="168"/>
      <c r="F2" s="168"/>
      <c r="G2" s="168"/>
      <c r="H2" s="168"/>
      <c r="I2" s="168"/>
      <c r="J2" s="169"/>
      <c r="K2" s="167" t="str">
        <f>IF(表紙!K2="","",表紙!K2)</f>
        <v>POSサーバ</v>
      </c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9"/>
      <c r="W2" s="302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4"/>
      <c r="AP2" s="211" t="str">
        <f>IF(表紙!AP2="","",表紙!AP2)</f>
        <v>TuyenNH</v>
      </c>
      <c r="AQ2" s="209"/>
      <c r="AR2" s="209"/>
      <c r="AS2" s="210"/>
      <c r="AT2" s="215">
        <f>IF(表紙!AT2="","",表紙!AT2)</f>
        <v>45462</v>
      </c>
      <c r="AU2" s="216"/>
      <c r="AV2" s="216"/>
      <c r="AW2" s="216"/>
      <c r="AX2" s="217"/>
      <c r="AY2" s="211" t="str">
        <f>IF(表紙!AY2="","",表紙!AY2)</f>
        <v>AnhDD</v>
      </c>
      <c r="AZ2" s="209"/>
      <c r="BA2" s="209"/>
      <c r="BB2" s="210"/>
      <c r="BC2" s="215">
        <f>IF(表紙!BC2="","",表紙!BC2)</f>
        <v>45630</v>
      </c>
      <c r="BD2" s="216"/>
      <c r="BE2" s="216"/>
      <c r="BF2" s="216"/>
      <c r="BG2" s="217"/>
      <c r="BH2" s="211">
        <f>IF(表紙!BH2="","",表紙!BH2)</f>
        <v>0.43</v>
      </c>
      <c r="BI2" s="209"/>
      <c r="BJ2" s="209"/>
      <c r="BK2" s="210"/>
    </row>
    <row r="3" spans="1:63" ht="15" customHeight="1" x14ac:dyDescent="0.25">
      <c r="A3" s="170"/>
      <c r="B3" s="171"/>
      <c r="C3" s="171"/>
      <c r="D3" s="171"/>
      <c r="E3" s="171"/>
      <c r="F3" s="171"/>
      <c r="G3" s="171"/>
      <c r="H3" s="171"/>
      <c r="I3" s="171"/>
      <c r="J3" s="172"/>
      <c r="K3" s="170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2"/>
      <c r="W3" s="305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6"/>
      <c r="AN3" s="306"/>
      <c r="AO3" s="307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21"/>
      <c r="BI3" s="222"/>
      <c r="BJ3" s="222"/>
      <c r="BK3" s="223"/>
    </row>
    <row r="4" spans="1:63" ht="24.95" customHeight="1" x14ac:dyDescent="0.25">
      <c r="A4" s="308" t="s">
        <v>172</v>
      </c>
      <c r="B4" s="297"/>
      <c r="C4" s="297"/>
      <c r="D4" s="297"/>
      <c r="E4" s="297"/>
      <c r="F4" s="297"/>
      <c r="G4" s="298"/>
      <c r="H4" s="163" t="str">
        <f>IF(表紙!H4="","",表紙!H4)</f>
        <v>40_従業員設定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296" t="s">
        <v>157</v>
      </c>
      <c r="V4" s="297"/>
      <c r="W4" s="297"/>
      <c r="X4" s="297"/>
      <c r="Y4" s="298"/>
      <c r="Z4" s="163" t="str">
        <f>IF(表紙!Z4="","",表紙!Z4)</f>
        <v>機能設計書</v>
      </c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9"/>
      <c r="AP4" s="147" t="str">
        <f ca="1">MID(CELL("filename",A1),FIND("]",CELL("filename",A1))+1,255)</f>
        <v>MD4002</v>
      </c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9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2"/>
    </row>
    <row r="7" spans="1:63" s="310" customFormat="1" ht="15" customHeight="1" x14ac:dyDescent="0.25">
      <c r="A7" s="309" t="s">
        <v>19</v>
      </c>
      <c r="BK7" s="311"/>
    </row>
    <row r="8" spans="1:63" s="310" customFormat="1" ht="15" customHeight="1" x14ac:dyDescent="0.25">
      <c r="A8" s="309"/>
      <c r="BK8" s="311"/>
    </row>
    <row r="9" spans="1:63" s="310" customFormat="1" ht="15" customHeight="1" x14ac:dyDescent="0.25">
      <c r="A9" s="204" t="s">
        <v>173</v>
      </c>
      <c r="B9" s="202"/>
      <c r="C9" s="202"/>
      <c r="D9" s="202"/>
      <c r="E9" s="312" t="s">
        <v>92</v>
      </c>
      <c r="F9" s="312"/>
      <c r="G9" s="312"/>
      <c r="H9" s="312"/>
      <c r="I9" s="312"/>
      <c r="J9" s="312"/>
      <c r="K9" s="312"/>
      <c r="L9" s="312"/>
      <c r="M9" s="312"/>
      <c r="N9" s="312"/>
      <c r="O9" s="204" t="s">
        <v>174</v>
      </c>
      <c r="P9" s="202"/>
      <c r="Q9" s="202"/>
      <c r="R9" s="202"/>
      <c r="S9" s="202"/>
      <c r="T9" s="203"/>
      <c r="U9" s="313" t="s">
        <v>209</v>
      </c>
      <c r="V9" s="314"/>
      <c r="W9" s="314"/>
      <c r="X9" s="314"/>
      <c r="Y9" s="314"/>
      <c r="Z9" s="314"/>
      <c r="AA9" s="314"/>
      <c r="AB9" s="314"/>
      <c r="AC9" s="314"/>
      <c r="AD9" s="314"/>
      <c r="AE9" s="314"/>
      <c r="AF9" s="314"/>
      <c r="AG9" s="314"/>
      <c r="AH9" s="314"/>
      <c r="AI9" s="314"/>
      <c r="AJ9" s="314"/>
      <c r="AK9" s="314"/>
      <c r="AL9" s="314"/>
      <c r="AM9" s="314"/>
      <c r="AN9" s="314"/>
      <c r="AO9" s="314"/>
      <c r="AP9" s="314"/>
      <c r="AQ9" s="314"/>
      <c r="AR9" s="314"/>
      <c r="AS9" s="314"/>
      <c r="AT9" s="314"/>
      <c r="AU9" s="314"/>
      <c r="AV9" s="314"/>
      <c r="AW9" s="314"/>
      <c r="AX9" s="314"/>
      <c r="AY9" s="314"/>
      <c r="AZ9" s="314"/>
      <c r="BA9" s="314"/>
      <c r="BB9" s="314"/>
      <c r="BC9" s="314"/>
      <c r="BD9" s="314"/>
      <c r="BE9" s="314"/>
      <c r="BF9" s="314"/>
      <c r="BG9" s="314"/>
      <c r="BH9" s="314"/>
      <c r="BI9" s="314"/>
      <c r="BJ9" s="314"/>
      <c r="BK9" s="315"/>
    </row>
    <row r="10" spans="1:63" ht="15" customHeight="1" x14ac:dyDescent="0.25">
      <c r="A10" s="44"/>
      <c r="BK10" s="15"/>
    </row>
    <row r="11" spans="1:63" s="310" customFormat="1" ht="15" customHeight="1" x14ac:dyDescent="0.25">
      <c r="A11" s="316" t="s">
        <v>13</v>
      </c>
      <c r="B11" s="317"/>
      <c r="C11" s="317"/>
      <c r="D11" s="317"/>
      <c r="E11" s="317"/>
      <c r="F11" s="318"/>
      <c r="G11" s="312" t="s">
        <v>94</v>
      </c>
      <c r="H11" s="312"/>
      <c r="I11" s="312"/>
      <c r="J11" s="312"/>
      <c r="K11" s="312"/>
      <c r="L11" s="312"/>
      <c r="M11" s="319" t="s">
        <v>27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320"/>
      <c r="BI11" s="320"/>
      <c r="BJ11" s="320"/>
      <c r="BK11" s="321"/>
    </row>
    <row r="12" spans="1:63" s="310" customFormat="1" ht="15" customHeight="1" x14ac:dyDescent="0.25">
      <c r="A12" s="322" t="s">
        <v>15</v>
      </c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4"/>
      <c r="M12" s="322" t="s">
        <v>16</v>
      </c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3"/>
      <c r="AM12" s="323"/>
      <c r="AN12" s="323"/>
      <c r="AO12" s="323"/>
      <c r="AP12" s="323"/>
      <c r="AQ12" s="323"/>
      <c r="AR12" s="323"/>
      <c r="AS12" s="323"/>
      <c r="AT12" s="324"/>
      <c r="AU12" s="322" t="s">
        <v>17</v>
      </c>
      <c r="AV12" s="323"/>
      <c r="AW12" s="323"/>
      <c r="AX12" s="323"/>
      <c r="AY12" s="323"/>
      <c r="AZ12" s="323"/>
      <c r="BA12" s="323"/>
      <c r="BB12" s="323"/>
      <c r="BC12" s="323"/>
      <c r="BD12" s="323"/>
      <c r="BE12" s="323"/>
      <c r="BF12" s="322" t="s">
        <v>18</v>
      </c>
      <c r="BG12" s="323"/>
      <c r="BH12" s="323"/>
      <c r="BI12" s="323"/>
      <c r="BJ12" s="323"/>
      <c r="BK12" s="324"/>
    </row>
    <row r="13" spans="1:63" s="310" customFormat="1" ht="15" customHeight="1" x14ac:dyDescent="0.25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  <c r="M13" s="325"/>
      <c r="N13" s="326"/>
      <c r="O13" s="326"/>
      <c r="P13" s="326"/>
      <c r="Q13" s="326"/>
      <c r="R13" s="326"/>
      <c r="S13" s="326"/>
      <c r="T13" s="326"/>
      <c r="U13" s="326"/>
      <c r="V13" s="326"/>
      <c r="W13" s="326"/>
      <c r="X13" s="326"/>
      <c r="Y13" s="326"/>
      <c r="Z13" s="326"/>
      <c r="AA13" s="326"/>
      <c r="AB13" s="326"/>
      <c r="AC13" s="326"/>
      <c r="AD13" s="326"/>
      <c r="AE13" s="326"/>
      <c r="AF13" s="326"/>
      <c r="AG13" s="326"/>
      <c r="AH13" s="326"/>
      <c r="AI13" s="326"/>
      <c r="AJ13" s="326"/>
      <c r="AK13" s="326"/>
      <c r="AL13" s="326"/>
      <c r="AM13" s="326"/>
      <c r="AN13" s="326"/>
      <c r="AO13" s="326"/>
      <c r="AP13" s="326"/>
      <c r="AQ13" s="326"/>
      <c r="AR13" s="326"/>
      <c r="AS13" s="326"/>
      <c r="AT13" s="327"/>
      <c r="AU13" s="325"/>
      <c r="AV13" s="326"/>
      <c r="AW13" s="326"/>
      <c r="AX13" s="326"/>
      <c r="AY13" s="326"/>
      <c r="AZ13" s="326"/>
      <c r="BA13" s="326"/>
      <c r="BB13" s="326"/>
      <c r="BC13" s="326"/>
      <c r="BD13" s="326"/>
      <c r="BE13" s="326"/>
      <c r="BF13" s="325"/>
      <c r="BG13" s="326"/>
      <c r="BH13" s="326"/>
      <c r="BI13" s="326"/>
      <c r="BJ13" s="326"/>
      <c r="BK13" s="327"/>
    </row>
    <row r="14" spans="1:63" s="310" customFormat="1" ht="15" customHeight="1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2"/>
      <c r="M14" s="328"/>
      <c r="N14" s="328"/>
      <c r="O14" s="328"/>
      <c r="P14" s="328"/>
      <c r="Q14" s="328"/>
      <c r="R14" s="329"/>
      <c r="S14" s="329"/>
      <c r="T14" s="329"/>
      <c r="U14" s="329"/>
      <c r="V14" s="329"/>
      <c r="W14" s="329"/>
      <c r="X14" s="329"/>
      <c r="Y14" s="329"/>
      <c r="Z14" s="329"/>
      <c r="AA14" s="329"/>
      <c r="AB14" s="329"/>
      <c r="AC14" s="329"/>
      <c r="AD14" s="329"/>
      <c r="AE14" s="329"/>
      <c r="AF14" s="329"/>
      <c r="AG14" s="329"/>
      <c r="AH14" s="329"/>
      <c r="AI14" s="329"/>
      <c r="AJ14" s="329"/>
      <c r="AK14" s="329"/>
      <c r="AL14" s="329"/>
      <c r="AM14" s="329"/>
      <c r="AN14" s="329"/>
      <c r="AO14" s="329"/>
      <c r="AP14" s="329"/>
      <c r="AQ14" s="329"/>
      <c r="AR14" s="329"/>
      <c r="AS14" s="329"/>
      <c r="AT14" s="329"/>
      <c r="AU14" s="20"/>
      <c r="AV14" s="21"/>
      <c r="AW14" s="21"/>
      <c r="AX14" s="21"/>
      <c r="AY14" s="21"/>
      <c r="AZ14" s="21"/>
      <c r="BA14" s="21"/>
      <c r="BB14" s="21"/>
      <c r="BC14" s="21"/>
      <c r="BD14" s="21"/>
      <c r="BE14" s="22"/>
      <c r="BF14" s="131" t="s">
        <v>205</v>
      </c>
      <c r="BG14" s="132"/>
      <c r="BH14" s="132"/>
      <c r="BI14" s="132"/>
      <c r="BJ14" s="132"/>
      <c r="BK14" s="133"/>
    </row>
    <row r="15" spans="1:63" s="310" customFormat="1" ht="15" customHeight="1" x14ac:dyDescent="0.25">
      <c r="A15" s="2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5"/>
      <c r="M15" s="328"/>
      <c r="N15" s="45" t="s">
        <v>176</v>
      </c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28"/>
      <c r="AD15" s="328"/>
      <c r="AE15" s="328"/>
      <c r="AF15" s="328"/>
      <c r="AG15" s="328"/>
      <c r="AH15" s="328"/>
      <c r="AI15" s="328"/>
      <c r="AJ15" s="328"/>
      <c r="AK15" s="328"/>
      <c r="AL15" s="328"/>
      <c r="AM15" s="328"/>
      <c r="AN15" s="328"/>
      <c r="AO15" s="328"/>
      <c r="AP15" s="328"/>
      <c r="AQ15" s="328"/>
      <c r="AR15" s="328"/>
      <c r="AS15" s="328"/>
      <c r="AT15" s="328"/>
      <c r="AU15" s="24"/>
      <c r="AV15" s="35"/>
      <c r="AW15" s="35"/>
      <c r="AX15" s="35"/>
      <c r="AY15" s="35"/>
      <c r="AZ15" s="35"/>
      <c r="BA15" s="35"/>
      <c r="BB15" s="35"/>
      <c r="BC15" s="35"/>
      <c r="BD15" s="35"/>
      <c r="BE15" s="25"/>
      <c r="BF15" s="134"/>
      <c r="BG15" s="135"/>
      <c r="BH15" s="135"/>
      <c r="BI15" s="135"/>
      <c r="BJ15" s="135"/>
      <c r="BK15" s="136"/>
    </row>
    <row r="16" spans="1:63" s="310" customFormat="1" ht="15" customHeight="1" x14ac:dyDescent="0.25">
      <c r="A16" s="2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5"/>
      <c r="M16" s="330"/>
      <c r="N16" s="328"/>
      <c r="O16" s="331" t="s">
        <v>30</v>
      </c>
      <c r="P16" s="331"/>
      <c r="Q16" s="331"/>
      <c r="R16" s="331"/>
      <c r="S16" s="331"/>
      <c r="T16" s="331"/>
      <c r="U16" s="331"/>
      <c r="V16" s="331"/>
      <c r="W16" s="331"/>
      <c r="X16" s="331"/>
      <c r="Y16" s="331"/>
      <c r="Z16" s="331"/>
      <c r="AA16" s="331"/>
      <c r="AB16" s="331"/>
      <c r="AC16" s="331"/>
      <c r="AD16" s="331"/>
      <c r="AE16" s="331"/>
      <c r="AF16" s="331"/>
      <c r="AG16" s="331"/>
      <c r="AH16" s="331"/>
      <c r="AI16" s="331"/>
      <c r="AJ16" s="328"/>
      <c r="AK16" s="328"/>
      <c r="AL16" s="328"/>
      <c r="AM16" s="328"/>
      <c r="AN16" s="328"/>
      <c r="AO16" s="328"/>
      <c r="AP16" s="328"/>
      <c r="AQ16" s="328"/>
      <c r="AR16" s="328"/>
      <c r="AS16" s="328"/>
      <c r="AT16" s="328"/>
      <c r="AU16" s="24"/>
      <c r="AV16" s="35"/>
      <c r="AW16" s="35"/>
      <c r="AX16" s="35"/>
      <c r="AY16" s="35"/>
      <c r="AZ16" s="35"/>
      <c r="BA16" s="35"/>
      <c r="BB16" s="35"/>
      <c r="BC16" s="35"/>
      <c r="BD16" s="35"/>
      <c r="BE16" s="25"/>
      <c r="BF16" s="134"/>
      <c r="BG16" s="135"/>
      <c r="BH16" s="135"/>
      <c r="BI16" s="135"/>
      <c r="BJ16" s="135"/>
      <c r="BK16" s="136"/>
    </row>
    <row r="17" spans="1:63" s="310" customFormat="1" ht="15" customHeight="1" x14ac:dyDescent="0.25">
      <c r="A17" s="2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25"/>
      <c r="M17" s="328"/>
      <c r="O17" s="331"/>
      <c r="P17" s="331"/>
      <c r="Q17" s="331"/>
      <c r="R17" s="331"/>
      <c r="S17" s="331"/>
      <c r="T17" s="331"/>
      <c r="U17" s="331"/>
      <c r="V17" s="331"/>
      <c r="W17" s="331"/>
      <c r="X17" s="331"/>
      <c r="Y17" s="331"/>
      <c r="Z17" s="331"/>
      <c r="AA17" s="331"/>
      <c r="AB17" s="331"/>
      <c r="AC17" s="331"/>
      <c r="AD17" s="331"/>
      <c r="AE17" s="331"/>
      <c r="AF17" s="331"/>
      <c r="AG17" s="331"/>
      <c r="AH17" s="331"/>
      <c r="AI17" s="331"/>
      <c r="AJ17" s="328"/>
      <c r="AK17" s="328"/>
      <c r="AL17" s="328"/>
      <c r="AM17" s="328"/>
      <c r="AN17" s="328"/>
      <c r="AO17" s="328"/>
      <c r="AP17" s="328"/>
      <c r="AQ17" s="328"/>
      <c r="AR17" s="328"/>
      <c r="AS17" s="328"/>
      <c r="AT17" s="328"/>
      <c r="AU17" s="24"/>
      <c r="AV17" s="35"/>
      <c r="AW17" s="35"/>
      <c r="AX17" s="35"/>
      <c r="AY17" s="35"/>
      <c r="AZ17" s="35"/>
      <c r="BA17" s="35"/>
      <c r="BB17" s="35"/>
      <c r="BC17" s="35"/>
      <c r="BD17" s="35"/>
      <c r="BE17" s="25"/>
      <c r="BF17" s="134"/>
      <c r="BG17" s="135"/>
      <c r="BH17" s="135"/>
      <c r="BI17" s="135"/>
      <c r="BJ17" s="135"/>
      <c r="BK17" s="136"/>
    </row>
    <row r="18" spans="1:63" s="310" customFormat="1" ht="15" customHeight="1" x14ac:dyDescent="0.2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8"/>
      <c r="M18" s="332"/>
      <c r="N18" s="333"/>
      <c r="O18" s="333"/>
      <c r="P18" s="333"/>
      <c r="Q18" s="33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334"/>
      <c r="AQ18" s="334"/>
      <c r="AR18" s="334"/>
      <c r="AS18" s="334"/>
      <c r="AT18" s="334"/>
      <c r="AU18" s="26"/>
      <c r="AV18" s="27"/>
      <c r="AW18" s="27"/>
      <c r="AX18" s="27"/>
      <c r="AY18" s="27"/>
      <c r="AZ18" s="27"/>
      <c r="BA18" s="27"/>
      <c r="BB18" s="27"/>
      <c r="BC18" s="27"/>
      <c r="BD18" s="27"/>
      <c r="BE18" s="28"/>
      <c r="BF18" s="128"/>
      <c r="BG18" s="129"/>
      <c r="BH18" s="129"/>
      <c r="BI18" s="129"/>
      <c r="BJ18" s="129"/>
      <c r="BK18" s="130"/>
    </row>
    <row r="19" spans="1:63" ht="15" customHeight="1" x14ac:dyDescent="0.25"/>
    <row r="20" spans="1:63" ht="15" customHeight="1" x14ac:dyDescent="0.25"/>
    <row r="21" spans="1:63" ht="15" customHeight="1" x14ac:dyDescent="0.25"/>
    <row r="22" spans="1:63" s="310" customFormat="1" ht="15" customHeight="1" x14ac:dyDescent="0.25">
      <c r="A22" s="316" t="s">
        <v>13</v>
      </c>
      <c r="B22" s="317"/>
      <c r="C22" s="317"/>
      <c r="D22" s="317"/>
      <c r="E22" s="317"/>
      <c r="F22" s="318"/>
      <c r="G22" s="312" t="s">
        <v>95</v>
      </c>
      <c r="H22" s="312"/>
      <c r="I22" s="312"/>
      <c r="J22" s="312"/>
      <c r="K22" s="312"/>
      <c r="L22" s="312"/>
      <c r="M22" s="319" t="s">
        <v>84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320"/>
      <c r="BI22" s="320"/>
      <c r="BJ22" s="320"/>
      <c r="BK22" s="321"/>
    </row>
    <row r="23" spans="1:63" s="310" customFormat="1" ht="15" customHeight="1" x14ac:dyDescent="0.25">
      <c r="A23" s="322" t="s">
        <v>15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4"/>
      <c r="M23" s="322" t="s">
        <v>16</v>
      </c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  <c r="AA23" s="323"/>
      <c r="AB23" s="323"/>
      <c r="AC23" s="323"/>
      <c r="AD23" s="323"/>
      <c r="AE23" s="323"/>
      <c r="AF23" s="323"/>
      <c r="AG23" s="323"/>
      <c r="AH23" s="323"/>
      <c r="AI23" s="323"/>
      <c r="AJ23" s="323"/>
      <c r="AK23" s="323"/>
      <c r="AL23" s="323"/>
      <c r="AM23" s="323"/>
      <c r="AN23" s="323"/>
      <c r="AO23" s="323"/>
      <c r="AP23" s="323"/>
      <c r="AQ23" s="323"/>
      <c r="AR23" s="323"/>
      <c r="AS23" s="323"/>
      <c r="AT23" s="324"/>
      <c r="AU23" s="322" t="s">
        <v>17</v>
      </c>
      <c r="AV23" s="323"/>
      <c r="AW23" s="323"/>
      <c r="AX23" s="323"/>
      <c r="AY23" s="323"/>
      <c r="AZ23" s="323"/>
      <c r="BA23" s="323"/>
      <c r="BB23" s="323"/>
      <c r="BC23" s="323"/>
      <c r="BD23" s="323"/>
      <c r="BE23" s="323"/>
      <c r="BF23" s="322" t="s">
        <v>18</v>
      </c>
      <c r="BG23" s="323"/>
      <c r="BH23" s="323"/>
      <c r="BI23" s="323"/>
      <c r="BJ23" s="323"/>
      <c r="BK23" s="324"/>
    </row>
    <row r="24" spans="1:63" s="310" customFormat="1" ht="15" customHeight="1" x14ac:dyDescent="0.25">
      <c r="A24" s="325"/>
      <c r="B24" s="326"/>
      <c r="C24" s="326"/>
      <c r="D24" s="326"/>
      <c r="E24" s="326"/>
      <c r="F24" s="326"/>
      <c r="G24" s="326"/>
      <c r="H24" s="326"/>
      <c r="I24" s="326"/>
      <c r="J24" s="326"/>
      <c r="K24" s="326"/>
      <c r="L24" s="327"/>
      <c r="M24" s="325"/>
      <c r="N24" s="326"/>
      <c r="O24" s="326"/>
      <c r="P24" s="326"/>
      <c r="Q24" s="326"/>
      <c r="R24" s="326"/>
      <c r="S24" s="326"/>
      <c r="T24" s="326"/>
      <c r="U24" s="326"/>
      <c r="V24" s="326"/>
      <c r="W24" s="326"/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6"/>
      <c r="AT24" s="327"/>
      <c r="AU24" s="325"/>
      <c r="AV24" s="326"/>
      <c r="AW24" s="326"/>
      <c r="AX24" s="326"/>
      <c r="AY24" s="326"/>
      <c r="AZ24" s="326"/>
      <c r="BA24" s="326"/>
      <c r="BB24" s="326"/>
      <c r="BC24" s="326"/>
      <c r="BD24" s="326"/>
      <c r="BE24" s="326"/>
      <c r="BF24" s="325"/>
      <c r="BG24" s="326"/>
      <c r="BH24" s="326"/>
      <c r="BI24" s="326"/>
      <c r="BJ24" s="326"/>
      <c r="BK24" s="327"/>
    </row>
    <row r="25" spans="1:63" s="310" customFormat="1" ht="15" customHeight="1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328"/>
      <c r="N25" s="328"/>
      <c r="O25" s="328"/>
      <c r="P25" s="328"/>
      <c r="Q25" s="328"/>
      <c r="R25" s="329"/>
      <c r="S25" s="329"/>
      <c r="T25" s="329"/>
      <c r="U25" s="329"/>
      <c r="V25" s="329"/>
      <c r="W25" s="329"/>
      <c r="X25" s="329"/>
      <c r="Y25" s="329"/>
      <c r="Z25" s="329"/>
      <c r="AA25" s="329"/>
      <c r="AB25" s="329"/>
      <c r="AC25" s="329"/>
      <c r="AD25" s="329"/>
      <c r="AE25" s="329"/>
      <c r="AF25" s="329"/>
      <c r="AG25" s="329"/>
      <c r="AH25" s="329"/>
      <c r="AI25" s="329"/>
      <c r="AJ25" s="329"/>
      <c r="AK25" s="329"/>
      <c r="AL25" s="329"/>
      <c r="AM25" s="329"/>
      <c r="AN25" s="329"/>
      <c r="AO25" s="329"/>
      <c r="AP25" s="329"/>
      <c r="AQ25" s="329"/>
      <c r="AR25" s="329"/>
      <c r="AS25" s="329"/>
      <c r="AT25" s="329"/>
      <c r="AU25" s="20"/>
      <c r="AV25" s="21"/>
      <c r="AW25" s="21"/>
      <c r="AX25" s="21"/>
      <c r="AY25" s="21"/>
      <c r="AZ25" s="21"/>
      <c r="BA25" s="21"/>
      <c r="BB25" s="21"/>
      <c r="BC25" s="21"/>
      <c r="BD25" s="21"/>
      <c r="BE25" s="22"/>
      <c r="BF25" s="131" t="s">
        <v>205</v>
      </c>
      <c r="BG25" s="132"/>
      <c r="BH25" s="132"/>
      <c r="BI25" s="132"/>
      <c r="BJ25" s="132"/>
      <c r="BK25" s="133"/>
    </row>
    <row r="26" spans="1:63" s="310" customFormat="1" ht="15" customHeight="1" x14ac:dyDescent="0.25">
      <c r="A26" s="2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25"/>
      <c r="M26" s="328"/>
      <c r="N26" s="45" t="s">
        <v>210</v>
      </c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24"/>
      <c r="AV26" s="35"/>
      <c r="AW26" s="35"/>
      <c r="AX26" s="35"/>
      <c r="AY26" s="35"/>
      <c r="AZ26" s="35"/>
      <c r="BA26" s="35"/>
      <c r="BB26" s="35"/>
      <c r="BC26" s="35"/>
      <c r="BD26" s="35"/>
      <c r="BE26" s="25"/>
      <c r="BF26" s="134"/>
      <c r="BG26" s="135"/>
      <c r="BH26" s="135"/>
      <c r="BI26" s="135"/>
      <c r="BJ26" s="135"/>
      <c r="BK26" s="136"/>
    </row>
    <row r="27" spans="1:63" s="310" customFormat="1" ht="15" customHeight="1" x14ac:dyDescent="0.25">
      <c r="A27" s="2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25"/>
      <c r="M27" s="330"/>
      <c r="N27" s="328"/>
      <c r="O27" s="328"/>
      <c r="P27" s="331"/>
      <c r="Q27" s="331"/>
      <c r="R27" s="331"/>
      <c r="S27" s="331"/>
      <c r="T27" s="331"/>
      <c r="U27" s="331"/>
      <c r="V27" s="331"/>
      <c r="W27" s="331"/>
      <c r="X27" s="331"/>
      <c r="Y27" s="331"/>
      <c r="Z27" s="331"/>
      <c r="AA27" s="331"/>
      <c r="AB27" s="331"/>
      <c r="AC27" s="331"/>
      <c r="AD27" s="331"/>
      <c r="AE27" s="331"/>
      <c r="AF27" s="331"/>
      <c r="AG27" s="331"/>
      <c r="AH27" s="331"/>
      <c r="AI27" s="331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24"/>
      <c r="AV27" s="35"/>
      <c r="AW27" s="35"/>
      <c r="AX27" s="35"/>
      <c r="AY27" s="35"/>
      <c r="AZ27" s="35"/>
      <c r="BA27" s="35"/>
      <c r="BB27" s="35"/>
      <c r="BC27" s="35"/>
      <c r="BD27" s="35"/>
      <c r="BE27" s="25"/>
      <c r="BF27" s="134"/>
      <c r="BG27" s="135"/>
      <c r="BH27" s="135"/>
      <c r="BI27" s="135"/>
      <c r="BJ27" s="135"/>
      <c r="BK27" s="136"/>
    </row>
    <row r="28" spans="1:63" s="310" customFormat="1" ht="15" customHeight="1" x14ac:dyDescent="0.25">
      <c r="A28" s="2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25"/>
      <c r="M28" s="328"/>
      <c r="O28" s="331"/>
      <c r="P28" s="331"/>
      <c r="Q28" s="331"/>
      <c r="R28" s="331"/>
      <c r="S28" s="331"/>
      <c r="T28" s="331"/>
      <c r="U28" s="331"/>
      <c r="V28" s="331"/>
      <c r="W28" s="331"/>
      <c r="X28" s="331"/>
      <c r="Y28" s="331"/>
      <c r="Z28" s="331"/>
      <c r="AA28" s="331"/>
      <c r="AB28" s="331"/>
      <c r="AC28" s="331"/>
      <c r="AD28" s="331"/>
      <c r="AE28" s="331"/>
      <c r="AF28" s="331"/>
      <c r="AG28" s="331"/>
      <c r="AH28" s="331"/>
      <c r="AI28" s="331"/>
      <c r="AJ28" s="328"/>
      <c r="AK28" s="328"/>
      <c r="AL28" s="328"/>
      <c r="AM28" s="328"/>
      <c r="AN28" s="328"/>
      <c r="AO28" s="328"/>
      <c r="AP28" s="328"/>
      <c r="AQ28" s="328"/>
      <c r="AR28" s="328"/>
      <c r="AS28" s="328"/>
      <c r="AT28" s="328"/>
      <c r="AU28" s="24"/>
      <c r="AV28" s="35"/>
      <c r="AW28" s="35"/>
      <c r="AX28" s="35"/>
      <c r="AY28" s="35"/>
      <c r="AZ28" s="35"/>
      <c r="BA28" s="35"/>
      <c r="BB28" s="35"/>
      <c r="BC28" s="35"/>
      <c r="BD28" s="35"/>
      <c r="BE28" s="25"/>
      <c r="BF28" s="134"/>
      <c r="BG28" s="135"/>
      <c r="BH28" s="135"/>
      <c r="BI28" s="135"/>
      <c r="BJ28" s="135"/>
      <c r="BK28" s="136"/>
    </row>
    <row r="29" spans="1:63" s="310" customFormat="1" ht="15" customHeight="1" x14ac:dyDescent="0.2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  <c r="M29" s="332"/>
      <c r="N29" s="333"/>
      <c r="O29" s="333"/>
      <c r="P29" s="333"/>
      <c r="Q29" s="33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334"/>
      <c r="AQ29" s="334"/>
      <c r="AR29" s="334"/>
      <c r="AS29" s="334"/>
      <c r="AT29" s="334"/>
      <c r="AU29" s="26"/>
      <c r="AV29" s="27"/>
      <c r="AW29" s="27"/>
      <c r="AX29" s="27"/>
      <c r="AY29" s="27"/>
      <c r="AZ29" s="27"/>
      <c r="BA29" s="27"/>
      <c r="BB29" s="27"/>
      <c r="BC29" s="27"/>
      <c r="BD29" s="27"/>
      <c r="BE29" s="28"/>
      <c r="BF29" s="128"/>
      <c r="BG29" s="129"/>
      <c r="BH29" s="129"/>
      <c r="BI29" s="129"/>
      <c r="BJ29" s="129"/>
      <c r="BK29" s="130"/>
    </row>
    <row r="30" spans="1:63" ht="15" customHeight="1" x14ac:dyDescent="0.25">
      <c r="A30" s="30"/>
      <c r="BK30" s="15"/>
    </row>
    <row r="31" spans="1:63" ht="15" customHeight="1" x14ac:dyDescent="0.25">
      <c r="A31" s="44"/>
      <c r="BK31" s="15"/>
    </row>
    <row r="32" spans="1:63" ht="15" customHeight="1" x14ac:dyDescent="0.25">
      <c r="A32" s="44"/>
      <c r="BK32" s="15"/>
    </row>
    <row r="33" spans="1:63" s="310" customFormat="1" ht="15" customHeight="1" x14ac:dyDescent="0.25">
      <c r="A33" s="316" t="s">
        <v>13</v>
      </c>
      <c r="B33" s="317"/>
      <c r="C33" s="317"/>
      <c r="D33" s="317"/>
      <c r="E33" s="317"/>
      <c r="F33" s="318"/>
      <c r="G33" s="312" t="s">
        <v>96</v>
      </c>
      <c r="H33" s="312"/>
      <c r="I33" s="312"/>
      <c r="J33" s="312"/>
      <c r="K33" s="312"/>
      <c r="L33" s="312"/>
      <c r="M33" s="319" t="s">
        <v>97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320"/>
      <c r="BI33" s="320"/>
      <c r="BJ33" s="320"/>
      <c r="BK33" s="321"/>
    </row>
    <row r="34" spans="1:63" s="310" customFormat="1" ht="15" customHeight="1" x14ac:dyDescent="0.25">
      <c r="A34" s="322" t="s">
        <v>15</v>
      </c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4"/>
      <c r="M34" s="322" t="s">
        <v>16</v>
      </c>
      <c r="N34" s="323"/>
      <c r="O34" s="323"/>
      <c r="P34" s="323"/>
      <c r="Q34" s="323"/>
      <c r="R34" s="323"/>
      <c r="S34" s="323"/>
      <c r="T34" s="323"/>
      <c r="U34" s="323"/>
      <c r="V34" s="323"/>
      <c r="W34" s="323"/>
      <c r="X34" s="323"/>
      <c r="Y34" s="323"/>
      <c r="Z34" s="323"/>
      <c r="AA34" s="323"/>
      <c r="AB34" s="323"/>
      <c r="AC34" s="323"/>
      <c r="AD34" s="323"/>
      <c r="AE34" s="323"/>
      <c r="AF34" s="323"/>
      <c r="AG34" s="323"/>
      <c r="AH34" s="323"/>
      <c r="AI34" s="323"/>
      <c r="AJ34" s="323"/>
      <c r="AK34" s="323"/>
      <c r="AL34" s="323"/>
      <c r="AM34" s="323"/>
      <c r="AN34" s="323"/>
      <c r="AO34" s="323"/>
      <c r="AP34" s="323"/>
      <c r="AQ34" s="323"/>
      <c r="AR34" s="323"/>
      <c r="AS34" s="323"/>
      <c r="AT34" s="324"/>
      <c r="AU34" s="322" t="s">
        <v>17</v>
      </c>
      <c r="AV34" s="323"/>
      <c r="AW34" s="323"/>
      <c r="AX34" s="323"/>
      <c r="AY34" s="323"/>
      <c r="AZ34" s="323"/>
      <c r="BA34" s="323"/>
      <c r="BB34" s="323"/>
      <c r="BC34" s="323"/>
      <c r="BD34" s="323"/>
      <c r="BE34" s="323"/>
      <c r="BF34" s="322" t="s">
        <v>18</v>
      </c>
      <c r="BG34" s="323"/>
      <c r="BH34" s="323"/>
      <c r="BI34" s="323"/>
      <c r="BJ34" s="323"/>
      <c r="BK34" s="324"/>
    </row>
    <row r="35" spans="1:63" s="310" customFormat="1" ht="15" customHeight="1" x14ac:dyDescent="0.25">
      <c r="A35" s="325"/>
      <c r="B35" s="326"/>
      <c r="C35" s="326"/>
      <c r="D35" s="326"/>
      <c r="E35" s="326"/>
      <c r="F35" s="326"/>
      <c r="G35" s="326"/>
      <c r="H35" s="326"/>
      <c r="I35" s="326"/>
      <c r="J35" s="326"/>
      <c r="K35" s="326"/>
      <c r="L35" s="327"/>
      <c r="M35" s="325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  <c r="AO35" s="326"/>
      <c r="AP35" s="326"/>
      <c r="AQ35" s="326"/>
      <c r="AR35" s="326"/>
      <c r="AS35" s="326"/>
      <c r="AT35" s="327"/>
      <c r="AU35" s="325"/>
      <c r="AV35" s="326"/>
      <c r="AW35" s="326"/>
      <c r="AX35" s="326"/>
      <c r="AY35" s="326"/>
      <c r="AZ35" s="326"/>
      <c r="BA35" s="326"/>
      <c r="BB35" s="326"/>
      <c r="BC35" s="326"/>
      <c r="BD35" s="326"/>
      <c r="BE35" s="326"/>
      <c r="BF35" s="325"/>
      <c r="BG35" s="326"/>
      <c r="BH35" s="326"/>
      <c r="BI35" s="326"/>
      <c r="BJ35" s="326"/>
      <c r="BK35" s="327"/>
    </row>
    <row r="36" spans="1:63" s="310" customFormat="1" ht="15" customHeight="1" x14ac:dyDescent="0.25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  <c r="M36" s="328"/>
      <c r="N36" s="328"/>
      <c r="O36" s="328"/>
      <c r="P36" s="328"/>
      <c r="Q36" s="328"/>
      <c r="R36" s="329"/>
      <c r="S36" s="329"/>
      <c r="T36" s="329"/>
      <c r="U36" s="329"/>
      <c r="V36" s="329"/>
      <c r="W36" s="329"/>
      <c r="X36" s="329"/>
      <c r="Y36" s="329"/>
      <c r="Z36" s="329"/>
      <c r="AA36" s="329"/>
      <c r="AB36" s="329"/>
      <c r="AC36" s="329"/>
      <c r="AD36" s="329"/>
      <c r="AE36" s="329"/>
      <c r="AF36" s="329"/>
      <c r="AG36" s="329"/>
      <c r="AH36" s="329"/>
      <c r="AI36" s="329"/>
      <c r="AJ36" s="329"/>
      <c r="AK36" s="329"/>
      <c r="AL36" s="329"/>
      <c r="AM36" s="329"/>
      <c r="AN36" s="329"/>
      <c r="AO36" s="329"/>
      <c r="AP36" s="329"/>
      <c r="AQ36" s="329"/>
      <c r="AR36" s="329"/>
      <c r="AS36" s="329"/>
      <c r="AT36" s="329"/>
      <c r="AU36" s="20"/>
      <c r="AV36" s="21"/>
      <c r="AW36" s="21"/>
      <c r="AX36" s="21"/>
      <c r="AY36" s="21"/>
      <c r="AZ36" s="21"/>
      <c r="BA36" s="21"/>
      <c r="BB36" s="21"/>
      <c r="BC36" s="21"/>
      <c r="BD36" s="21"/>
      <c r="BE36" s="22"/>
      <c r="BF36" s="131" t="s">
        <v>207</v>
      </c>
      <c r="BG36" s="132"/>
      <c r="BH36" s="132"/>
      <c r="BI36" s="132"/>
      <c r="BJ36" s="132"/>
      <c r="BK36" s="133"/>
    </row>
    <row r="37" spans="1:63" s="310" customFormat="1" ht="15" customHeight="1" x14ac:dyDescent="0.25">
      <c r="A37" s="2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25"/>
      <c r="M37" s="328"/>
      <c r="N37" s="45" t="s">
        <v>211</v>
      </c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Y37" s="328"/>
      <c r="Z37" s="328"/>
      <c r="AA37" s="328"/>
      <c r="AB37" s="328"/>
      <c r="AC37" s="328"/>
      <c r="AD37" s="328"/>
      <c r="AE37" s="328"/>
      <c r="AF37" s="328"/>
      <c r="AG37" s="328"/>
      <c r="AH37" s="328"/>
      <c r="AI37" s="328"/>
      <c r="AJ37" s="328"/>
      <c r="AK37" s="328"/>
      <c r="AL37" s="328"/>
      <c r="AM37" s="328"/>
      <c r="AN37" s="328"/>
      <c r="AO37" s="328"/>
      <c r="AP37" s="328"/>
      <c r="AQ37" s="328"/>
      <c r="AR37" s="328"/>
      <c r="AS37" s="328"/>
      <c r="AT37" s="328"/>
      <c r="AU37" s="24"/>
      <c r="AV37" s="35"/>
      <c r="AW37" s="35"/>
      <c r="AX37" s="35"/>
      <c r="AY37" s="35"/>
      <c r="AZ37" s="35"/>
      <c r="BA37" s="35"/>
      <c r="BB37" s="35"/>
      <c r="BC37" s="35"/>
      <c r="BD37" s="35"/>
      <c r="BE37" s="25"/>
      <c r="BF37" s="134"/>
      <c r="BG37" s="135"/>
      <c r="BH37" s="135"/>
      <c r="BI37" s="135"/>
      <c r="BJ37" s="135"/>
      <c r="BK37" s="136"/>
    </row>
    <row r="38" spans="1:63" s="310" customFormat="1" ht="15" customHeight="1" x14ac:dyDescent="0.25">
      <c r="A38" s="24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25"/>
      <c r="M38" s="330"/>
      <c r="N38" s="328"/>
      <c r="O38" s="331" t="s">
        <v>48</v>
      </c>
      <c r="P38" s="331"/>
      <c r="Q38" s="331"/>
      <c r="R38" s="331"/>
      <c r="S38" s="331"/>
      <c r="T38" s="331"/>
      <c r="U38" s="331"/>
      <c r="V38" s="331"/>
      <c r="W38" s="331"/>
      <c r="X38" s="331"/>
      <c r="Y38" s="331"/>
      <c r="Z38" s="331"/>
      <c r="AA38" s="331"/>
      <c r="AB38" s="331"/>
      <c r="AC38" s="331"/>
      <c r="AD38" s="331"/>
      <c r="AE38" s="331"/>
      <c r="AF38" s="331"/>
      <c r="AG38" s="331"/>
      <c r="AH38" s="331"/>
      <c r="AI38" s="331"/>
      <c r="AJ38" s="328"/>
      <c r="AK38" s="328"/>
      <c r="AL38" s="328"/>
      <c r="AM38" s="328"/>
      <c r="AN38" s="328"/>
      <c r="AO38" s="328"/>
      <c r="AP38" s="328"/>
      <c r="AQ38" s="328"/>
      <c r="AR38" s="328"/>
      <c r="AS38" s="328"/>
      <c r="AT38" s="328"/>
      <c r="AU38" s="24"/>
      <c r="AV38" s="35"/>
      <c r="AW38" s="35"/>
      <c r="AX38" s="35"/>
      <c r="AY38" s="35"/>
      <c r="AZ38" s="35"/>
      <c r="BA38" s="35"/>
      <c r="BB38" s="35"/>
      <c r="BC38" s="35"/>
      <c r="BD38" s="35"/>
      <c r="BE38" s="25"/>
      <c r="BF38" s="134"/>
      <c r="BG38" s="135"/>
      <c r="BH38" s="135"/>
      <c r="BI38" s="135"/>
      <c r="BJ38" s="135"/>
      <c r="BK38" s="136"/>
    </row>
    <row r="39" spans="1:63" s="310" customFormat="1" ht="15" customHeight="1" x14ac:dyDescent="0.25">
      <c r="A39" s="24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25"/>
      <c r="M39" s="328"/>
      <c r="O39" s="331"/>
      <c r="P39" s="331" t="s">
        <v>98</v>
      </c>
      <c r="Q39" s="331"/>
      <c r="R39" s="331"/>
      <c r="S39" s="331"/>
      <c r="T39" s="331"/>
      <c r="U39" s="331"/>
      <c r="V39" s="331"/>
      <c r="W39" s="331"/>
      <c r="X39" s="331"/>
      <c r="Y39" s="331"/>
      <c r="Z39" s="331"/>
      <c r="AA39" s="331"/>
      <c r="AB39" s="331"/>
      <c r="AC39" s="331"/>
      <c r="AD39" s="331"/>
      <c r="AE39" s="331"/>
      <c r="AF39" s="331"/>
      <c r="AG39" s="331"/>
      <c r="AH39" s="331"/>
      <c r="AI39" s="331"/>
      <c r="AJ39" s="328"/>
      <c r="AK39" s="328"/>
      <c r="AL39" s="328"/>
      <c r="AM39" s="328"/>
      <c r="AN39" s="328"/>
      <c r="AO39" s="328"/>
      <c r="AP39" s="328"/>
      <c r="AQ39" s="328"/>
      <c r="AR39" s="328"/>
      <c r="AS39" s="328"/>
      <c r="AT39" s="328"/>
      <c r="AU39" s="24"/>
      <c r="AV39" s="35"/>
      <c r="AW39" s="35"/>
      <c r="AX39" s="35"/>
      <c r="AY39" s="35"/>
      <c r="AZ39" s="35"/>
      <c r="BA39" s="35"/>
      <c r="BB39" s="35"/>
      <c r="BC39" s="35"/>
      <c r="BD39" s="35"/>
      <c r="BE39" s="25"/>
      <c r="BF39" s="134"/>
      <c r="BG39" s="135"/>
      <c r="BH39" s="135"/>
      <c r="BI39" s="135"/>
      <c r="BJ39" s="135"/>
      <c r="BK39" s="136"/>
    </row>
    <row r="40" spans="1:63" s="310" customFormat="1" ht="15" customHeight="1" x14ac:dyDescent="0.25">
      <c r="A40" s="24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25"/>
      <c r="M40" s="328"/>
      <c r="N40" s="328"/>
      <c r="O40" s="331"/>
      <c r="P40" s="331"/>
      <c r="Q40" s="331" t="s">
        <v>99</v>
      </c>
      <c r="R40" s="331"/>
      <c r="S40" s="331"/>
      <c r="T40" s="331"/>
      <c r="U40" s="331"/>
      <c r="V40" s="331"/>
      <c r="W40" s="331"/>
      <c r="X40" s="331"/>
      <c r="Y40" s="331"/>
      <c r="Z40" s="331"/>
      <c r="AA40" s="331"/>
      <c r="AB40" s="331"/>
      <c r="AC40" s="331"/>
      <c r="AD40" s="331"/>
      <c r="AE40" s="331"/>
      <c r="AF40" s="331"/>
      <c r="AG40" s="331"/>
      <c r="AH40" s="331"/>
      <c r="AI40" s="331"/>
      <c r="AJ40" s="328"/>
      <c r="AK40" s="328"/>
      <c r="AL40" s="328"/>
      <c r="AM40" s="328"/>
      <c r="AN40" s="328"/>
      <c r="AO40" s="328"/>
      <c r="AP40" s="328"/>
      <c r="AQ40" s="328"/>
      <c r="AR40" s="328"/>
      <c r="AS40" s="328"/>
      <c r="AT40" s="328"/>
      <c r="AU40" s="24"/>
      <c r="AV40" s="35"/>
      <c r="AW40" s="35"/>
      <c r="AX40" s="35"/>
      <c r="AY40" s="35"/>
      <c r="AZ40" s="35"/>
      <c r="BA40" s="35"/>
      <c r="BB40" s="35"/>
      <c r="BC40" s="35"/>
      <c r="BD40" s="35"/>
      <c r="BE40" s="25"/>
      <c r="BF40" s="134"/>
      <c r="BG40" s="135"/>
      <c r="BH40" s="135"/>
      <c r="BI40" s="135"/>
      <c r="BJ40" s="135"/>
      <c r="BK40" s="136"/>
    </row>
    <row r="41" spans="1:63" s="310" customFormat="1" ht="15" customHeight="1" x14ac:dyDescent="0.25">
      <c r="A41" s="2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25"/>
      <c r="M41" s="328"/>
      <c r="N41" s="328"/>
      <c r="O41" s="331"/>
      <c r="P41" s="331" t="s">
        <v>100</v>
      </c>
      <c r="Q41" s="331"/>
      <c r="R41" s="331"/>
      <c r="S41" s="331"/>
      <c r="T41" s="331"/>
      <c r="U41" s="331"/>
      <c r="V41" s="331"/>
      <c r="W41" s="331"/>
      <c r="X41" s="331"/>
      <c r="Y41" s="331"/>
      <c r="Z41" s="331"/>
      <c r="AA41" s="331"/>
      <c r="AB41" s="331"/>
      <c r="AC41" s="331"/>
      <c r="AD41" s="331"/>
      <c r="AE41" s="331"/>
      <c r="AF41" s="331"/>
      <c r="AG41" s="331"/>
      <c r="AH41" s="331"/>
      <c r="AI41" s="331"/>
      <c r="AJ41" s="328"/>
      <c r="AK41" s="328"/>
      <c r="AL41" s="328"/>
      <c r="AM41" s="328"/>
      <c r="AN41" s="328"/>
      <c r="AO41" s="328"/>
      <c r="AP41" s="328"/>
      <c r="AQ41" s="328"/>
      <c r="AR41" s="328"/>
      <c r="AS41" s="328"/>
      <c r="AT41" s="328"/>
      <c r="AU41" s="24"/>
      <c r="AV41" s="35"/>
      <c r="AW41" s="35"/>
      <c r="AX41" s="35"/>
      <c r="AY41" s="35"/>
      <c r="AZ41" s="35"/>
      <c r="BA41" s="35"/>
      <c r="BB41" s="35"/>
      <c r="BC41" s="35"/>
      <c r="BD41" s="35"/>
      <c r="BE41" s="25"/>
      <c r="BF41" s="134"/>
      <c r="BG41" s="135"/>
      <c r="BH41" s="135"/>
      <c r="BI41" s="135"/>
      <c r="BJ41" s="135"/>
      <c r="BK41" s="136"/>
    </row>
    <row r="42" spans="1:63" s="310" customFormat="1" ht="15" customHeight="1" x14ac:dyDescent="0.25">
      <c r="A42" s="2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25"/>
      <c r="M42" s="328"/>
      <c r="O42" s="331"/>
      <c r="P42" s="331"/>
      <c r="Q42" s="331" t="s">
        <v>101</v>
      </c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331"/>
      <c r="AD42" s="331"/>
      <c r="AE42" s="331"/>
      <c r="AF42" s="331"/>
      <c r="AG42" s="331"/>
      <c r="AH42" s="331"/>
      <c r="AI42" s="331"/>
      <c r="AJ42" s="328"/>
      <c r="AK42" s="328"/>
      <c r="AL42" s="328"/>
      <c r="AM42" s="328"/>
      <c r="AN42" s="328"/>
      <c r="AO42" s="328"/>
      <c r="AP42" s="328"/>
      <c r="AQ42" s="328"/>
      <c r="AR42" s="328"/>
      <c r="AS42" s="328"/>
      <c r="AT42" s="328"/>
      <c r="AU42" s="24"/>
      <c r="AV42" s="35"/>
      <c r="AW42" s="35"/>
      <c r="AX42" s="35"/>
      <c r="AY42" s="35"/>
      <c r="AZ42" s="35"/>
      <c r="BA42" s="35"/>
      <c r="BB42" s="35"/>
      <c r="BC42" s="35"/>
      <c r="BD42" s="35"/>
      <c r="BE42" s="25"/>
      <c r="BF42" s="134"/>
      <c r="BG42" s="135"/>
      <c r="BH42" s="135"/>
      <c r="BI42" s="135"/>
      <c r="BJ42" s="135"/>
      <c r="BK42" s="136"/>
    </row>
    <row r="43" spans="1:63" s="310" customFormat="1" ht="15" customHeight="1" x14ac:dyDescent="0.25">
      <c r="A43" s="2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25"/>
      <c r="M43" s="328"/>
      <c r="N43" s="328"/>
      <c r="O43" s="328"/>
      <c r="P43" s="331" t="s">
        <v>87</v>
      </c>
      <c r="Q43" s="328"/>
      <c r="R43" s="328"/>
      <c r="S43" s="328"/>
      <c r="T43" s="328"/>
      <c r="U43" s="328"/>
      <c r="V43" s="328"/>
      <c r="W43" s="328"/>
      <c r="X43" s="328"/>
      <c r="Y43" s="328"/>
      <c r="Z43" s="328"/>
      <c r="AA43" s="328"/>
      <c r="AB43" s="328"/>
      <c r="AC43" s="328"/>
      <c r="AD43" s="328"/>
      <c r="AE43" s="328"/>
      <c r="AF43" s="328"/>
      <c r="AG43" s="328"/>
      <c r="AH43" s="328"/>
      <c r="AI43" s="328"/>
      <c r="AJ43" s="328"/>
      <c r="AK43" s="328"/>
      <c r="AL43" s="328"/>
      <c r="AM43" s="328"/>
      <c r="AN43" s="328"/>
      <c r="AO43" s="328"/>
      <c r="AP43" s="328"/>
      <c r="AQ43" s="328"/>
      <c r="AR43" s="328"/>
      <c r="AS43" s="328"/>
      <c r="AT43" s="328"/>
      <c r="AU43" s="24"/>
      <c r="AV43" s="35"/>
      <c r="AW43" s="35"/>
      <c r="AX43" s="35"/>
      <c r="AY43" s="35"/>
      <c r="AZ43" s="35"/>
      <c r="BA43" s="35"/>
      <c r="BB43" s="35"/>
      <c r="BC43" s="35"/>
      <c r="BD43" s="35"/>
      <c r="BE43" s="25"/>
      <c r="BF43" s="134"/>
      <c r="BG43" s="135"/>
      <c r="BH43" s="135"/>
      <c r="BI43" s="135"/>
      <c r="BJ43" s="135"/>
      <c r="BK43" s="136"/>
    </row>
    <row r="44" spans="1:63" s="310" customFormat="1" ht="15" customHeight="1" x14ac:dyDescent="0.25">
      <c r="A44" s="24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25"/>
      <c r="M44" s="328"/>
      <c r="N44" s="328"/>
      <c r="O44" s="331"/>
      <c r="P44" s="331"/>
      <c r="Q44" s="331" t="s">
        <v>88</v>
      </c>
      <c r="R44" s="331"/>
      <c r="S44" s="328"/>
      <c r="T44" s="328"/>
      <c r="U44" s="328"/>
      <c r="V44" s="328"/>
      <c r="W44" s="328"/>
      <c r="X44" s="328"/>
      <c r="Y44" s="328"/>
      <c r="Z44" s="328"/>
      <c r="AA44" s="328"/>
      <c r="AB44" s="328"/>
      <c r="AC44" s="328"/>
      <c r="AD44" s="328"/>
      <c r="AE44" s="328"/>
      <c r="AF44" s="328"/>
      <c r="AG44" s="328"/>
      <c r="AH44" s="328"/>
      <c r="AI44" s="328"/>
      <c r="AJ44" s="328"/>
      <c r="AK44" s="328"/>
      <c r="AL44" s="328"/>
      <c r="AM44" s="328"/>
      <c r="AN44" s="328"/>
      <c r="AO44" s="328"/>
      <c r="AP44" s="328"/>
      <c r="AQ44" s="328"/>
      <c r="AR44" s="328"/>
      <c r="AS44" s="328"/>
      <c r="AT44" s="328"/>
      <c r="AU44" s="24"/>
      <c r="AV44" s="35"/>
      <c r="AW44" s="35"/>
      <c r="AX44" s="35"/>
      <c r="AY44" s="35"/>
      <c r="AZ44" s="35"/>
      <c r="BA44" s="35"/>
      <c r="BB44" s="35"/>
      <c r="BC44" s="35"/>
      <c r="BD44" s="35"/>
      <c r="BE44" s="25"/>
      <c r="BF44" s="134"/>
      <c r="BG44" s="135"/>
      <c r="BH44" s="135"/>
      <c r="BI44" s="135"/>
      <c r="BJ44" s="135"/>
      <c r="BK44" s="136"/>
    </row>
    <row r="45" spans="1:63" s="310" customFormat="1" ht="15" customHeight="1" x14ac:dyDescent="0.25">
      <c r="A45" s="24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25"/>
      <c r="M45" s="328"/>
      <c r="N45" s="328"/>
      <c r="O45" s="331"/>
      <c r="P45" s="331" t="s">
        <v>212</v>
      </c>
      <c r="Q45" s="328"/>
      <c r="R45" s="328"/>
      <c r="S45" s="328"/>
      <c r="T45" s="328"/>
      <c r="U45" s="328"/>
      <c r="V45" s="328"/>
      <c r="W45" s="328"/>
      <c r="X45" s="328"/>
      <c r="Y45" s="328"/>
      <c r="Z45" s="328"/>
      <c r="AA45" s="328"/>
      <c r="AB45" s="328"/>
      <c r="AC45" s="328"/>
      <c r="AD45" s="328"/>
      <c r="AE45" s="328"/>
      <c r="AF45" s="328"/>
      <c r="AG45" s="328"/>
      <c r="AH45" s="328"/>
      <c r="AI45" s="328"/>
      <c r="AJ45" s="328"/>
      <c r="AK45" s="328"/>
      <c r="AL45" s="328"/>
      <c r="AM45" s="328"/>
      <c r="AN45" s="328"/>
      <c r="AO45" s="328"/>
      <c r="AP45" s="328"/>
      <c r="AQ45" s="328"/>
      <c r="AR45" s="328"/>
      <c r="AS45" s="328"/>
      <c r="AT45" s="328"/>
      <c r="AU45" s="24"/>
      <c r="AV45" s="35"/>
      <c r="AW45" s="35"/>
      <c r="AX45" s="35"/>
      <c r="AY45" s="35"/>
      <c r="AZ45" s="35"/>
      <c r="BA45" s="35"/>
      <c r="BB45" s="35"/>
      <c r="BC45" s="35"/>
      <c r="BD45" s="35"/>
      <c r="BE45" s="25"/>
      <c r="BF45" s="134"/>
      <c r="BG45" s="135"/>
      <c r="BH45" s="135"/>
      <c r="BI45" s="135"/>
      <c r="BJ45" s="135"/>
      <c r="BK45" s="136"/>
    </row>
    <row r="46" spans="1:63" s="310" customFormat="1" ht="15" customHeight="1" x14ac:dyDescent="0.25">
      <c r="A46" s="24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25"/>
      <c r="M46" s="328"/>
      <c r="N46" s="328"/>
      <c r="O46" s="49" t="s">
        <v>213</v>
      </c>
      <c r="P46" s="331"/>
      <c r="Q46" s="328"/>
      <c r="R46" s="328"/>
      <c r="S46" s="328"/>
      <c r="T46" s="328"/>
      <c r="U46" s="328"/>
      <c r="V46" s="328"/>
      <c r="W46" s="328"/>
      <c r="X46" s="328"/>
      <c r="Y46" s="328"/>
      <c r="Z46" s="328"/>
      <c r="AA46" s="328"/>
      <c r="AB46" s="328"/>
      <c r="AC46" s="328"/>
      <c r="AD46" s="328"/>
      <c r="AE46" s="328"/>
      <c r="AF46" s="328"/>
      <c r="AG46" s="328"/>
      <c r="AH46" s="328"/>
      <c r="AI46" s="328"/>
      <c r="AJ46" s="328"/>
      <c r="AK46" s="328"/>
      <c r="AL46" s="328"/>
      <c r="AM46" s="328"/>
      <c r="AN46" s="328"/>
      <c r="AO46" s="328"/>
      <c r="AP46" s="328"/>
      <c r="AQ46" s="328"/>
      <c r="AR46" s="328"/>
      <c r="AS46" s="328"/>
      <c r="AT46" s="328"/>
      <c r="AU46" s="24"/>
      <c r="AV46" s="35"/>
      <c r="AW46" s="35"/>
      <c r="AX46" s="35"/>
      <c r="AY46" s="35"/>
      <c r="AZ46" s="35"/>
      <c r="BA46" s="35"/>
      <c r="BB46" s="35"/>
      <c r="BC46" s="35"/>
      <c r="BD46" s="35"/>
      <c r="BE46" s="25"/>
      <c r="BF46" s="134"/>
      <c r="BG46" s="135"/>
      <c r="BH46" s="135"/>
      <c r="BI46" s="135"/>
      <c r="BJ46" s="135"/>
      <c r="BK46" s="136"/>
    </row>
    <row r="47" spans="1:63" s="310" customFormat="1" ht="15" customHeight="1" x14ac:dyDescent="0.25">
      <c r="A47" s="24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25"/>
      <c r="M47" s="328"/>
      <c r="N47" s="328"/>
      <c r="O47" s="49"/>
      <c r="P47" s="331" t="s">
        <v>106</v>
      </c>
      <c r="Q47" s="328"/>
      <c r="R47" s="328"/>
      <c r="S47" s="328"/>
      <c r="T47" s="328"/>
      <c r="U47" s="328"/>
      <c r="V47" s="328"/>
      <c r="W47" s="328"/>
      <c r="X47" s="328"/>
      <c r="Y47" s="328"/>
      <c r="Z47" s="328"/>
      <c r="AA47" s="328"/>
      <c r="AB47" s="328"/>
      <c r="AC47" s="328"/>
      <c r="AD47" s="328"/>
      <c r="AE47" s="328"/>
      <c r="AF47" s="328"/>
      <c r="AG47" s="328"/>
      <c r="AH47" s="328"/>
      <c r="AI47" s="328"/>
      <c r="AJ47" s="328"/>
      <c r="AK47" s="328"/>
      <c r="AL47" s="328"/>
      <c r="AM47" s="328"/>
      <c r="AN47" s="328"/>
      <c r="AO47" s="328"/>
      <c r="AP47" s="328"/>
      <c r="AQ47" s="328"/>
      <c r="AR47" s="328"/>
      <c r="AS47" s="328"/>
      <c r="AT47" s="328"/>
      <c r="AU47" s="24"/>
      <c r="AV47" s="35"/>
      <c r="AW47" s="35"/>
      <c r="AX47" s="35"/>
      <c r="AY47" s="35"/>
      <c r="AZ47" s="35"/>
      <c r="BA47" s="35"/>
      <c r="BB47" s="35"/>
      <c r="BC47" s="35"/>
      <c r="BD47" s="35"/>
      <c r="BE47" s="25"/>
      <c r="BF47" s="134"/>
      <c r="BG47" s="135"/>
      <c r="BH47" s="135"/>
      <c r="BI47" s="135"/>
      <c r="BJ47" s="135"/>
      <c r="BK47" s="136"/>
    </row>
    <row r="48" spans="1:63" s="310" customFormat="1" ht="15" customHeight="1" x14ac:dyDescent="0.25">
      <c r="A48" s="24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25"/>
      <c r="M48" s="328"/>
      <c r="N48" s="328"/>
      <c r="O48" s="49"/>
      <c r="P48" s="331"/>
      <c r="Q48" s="331" t="s">
        <v>107</v>
      </c>
      <c r="R48" s="328"/>
      <c r="S48" s="328"/>
      <c r="T48" s="328"/>
      <c r="U48" s="328"/>
      <c r="V48" s="328"/>
      <c r="W48" s="328"/>
      <c r="X48" s="328"/>
      <c r="Y48" s="328"/>
      <c r="Z48" s="328"/>
      <c r="AA48" s="328"/>
      <c r="AB48" s="328"/>
      <c r="AC48" s="328"/>
      <c r="AD48" s="328"/>
      <c r="AE48" s="328"/>
      <c r="AF48" s="328"/>
      <c r="AG48" s="328"/>
      <c r="AH48" s="328"/>
      <c r="AI48" s="328"/>
      <c r="AJ48" s="328"/>
      <c r="AK48" s="328"/>
      <c r="AL48" s="328"/>
      <c r="AM48" s="328"/>
      <c r="AN48" s="328"/>
      <c r="AO48" s="328"/>
      <c r="AP48" s="328"/>
      <c r="AQ48" s="328"/>
      <c r="AR48" s="328"/>
      <c r="AS48" s="328"/>
      <c r="AT48" s="328"/>
      <c r="AU48" s="24"/>
      <c r="AV48" s="35"/>
      <c r="AW48" s="35"/>
      <c r="AX48" s="35"/>
      <c r="AY48" s="35"/>
      <c r="AZ48" s="35"/>
      <c r="BA48" s="35"/>
      <c r="BB48" s="35"/>
      <c r="BC48" s="35"/>
      <c r="BD48" s="35"/>
      <c r="BE48" s="25"/>
      <c r="BF48" s="134"/>
      <c r="BG48" s="135"/>
      <c r="BH48" s="135"/>
      <c r="BI48" s="135"/>
      <c r="BJ48" s="135"/>
      <c r="BK48" s="136"/>
    </row>
    <row r="49" spans="1:63" s="310" customFormat="1" ht="15" customHeight="1" x14ac:dyDescent="0.25">
      <c r="A49" s="24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25"/>
      <c r="M49" s="328"/>
      <c r="N49" s="328"/>
      <c r="O49" s="49"/>
      <c r="P49" s="331"/>
      <c r="Q49" s="331" t="s">
        <v>108</v>
      </c>
      <c r="R49" s="328"/>
      <c r="S49" s="328"/>
      <c r="T49" s="328"/>
      <c r="U49" s="328"/>
      <c r="V49" s="328"/>
      <c r="W49" s="328"/>
      <c r="X49" s="328"/>
      <c r="Y49" s="328"/>
      <c r="Z49" s="328"/>
      <c r="AA49" s="328"/>
      <c r="AB49" s="328"/>
      <c r="AC49" s="328"/>
      <c r="AD49" s="328"/>
      <c r="AE49" s="328"/>
      <c r="AF49" s="328"/>
      <c r="AG49" s="328"/>
      <c r="AH49" s="328"/>
      <c r="AI49" s="328"/>
      <c r="AJ49" s="328"/>
      <c r="AK49" s="328"/>
      <c r="AL49" s="328"/>
      <c r="AM49" s="328"/>
      <c r="AN49" s="328"/>
      <c r="AO49" s="328"/>
      <c r="AP49" s="328"/>
      <c r="AQ49" s="328"/>
      <c r="AR49" s="328"/>
      <c r="AS49" s="328"/>
      <c r="AT49" s="328"/>
      <c r="AU49" s="24"/>
      <c r="AV49" s="35"/>
      <c r="AW49" s="35"/>
      <c r="AX49" s="35"/>
      <c r="AY49" s="35"/>
      <c r="AZ49" s="35"/>
      <c r="BA49" s="35"/>
      <c r="BB49" s="35"/>
      <c r="BC49" s="35"/>
      <c r="BD49" s="35"/>
      <c r="BE49" s="25"/>
      <c r="BF49" s="134"/>
      <c r="BG49" s="135"/>
      <c r="BH49" s="135"/>
      <c r="BI49" s="135"/>
      <c r="BJ49" s="135"/>
      <c r="BK49" s="136"/>
    </row>
    <row r="50" spans="1:63" s="310" customFormat="1" ht="15" customHeight="1" x14ac:dyDescent="0.25">
      <c r="A50" s="24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25"/>
      <c r="M50" s="328"/>
      <c r="N50" s="328"/>
      <c r="O50" s="331"/>
      <c r="P50" s="328" t="s">
        <v>111</v>
      </c>
      <c r="Q50" s="328"/>
      <c r="R50" s="328"/>
      <c r="S50" s="328"/>
      <c r="T50" s="328"/>
      <c r="U50" s="328"/>
      <c r="V50" s="328"/>
      <c r="W50" s="328"/>
      <c r="X50" s="328"/>
      <c r="Y50" s="328"/>
      <c r="Z50" s="328"/>
      <c r="AA50" s="328"/>
      <c r="AB50" s="328"/>
      <c r="AC50" s="328"/>
      <c r="AD50" s="328"/>
      <c r="AE50" s="328"/>
      <c r="AF50" s="328"/>
      <c r="AG50" s="328"/>
      <c r="AH50" s="328"/>
      <c r="AI50" s="328"/>
      <c r="AJ50" s="328"/>
      <c r="AK50" s="328"/>
      <c r="AL50" s="328"/>
      <c r="AM50" s="328"/>
      <c r="AN50" s="328"/>
      <c r="AO50" s="328"/>
      <c r="AP50" s="328"/>
      <c r="AQ50" s="328"/>
      <c r="AR50" s="328"/>
      <c r="AS50" s="328"/>
      <c r="AT50" s="328"/>
      <c r="AU50" s="24"/>
      <c r="AV50" s="35"/>
      <c r="AW50" s="35"/>
      <c r="AX50" s="35"/>
      <c r="AY50" s="35"/>
      <c r="AZ50" s="35"/>
      <c r="BA50" s="35"/>
      <c r="BB50" s="35"/>
      <c r="BC50" s="35"/>
      <c r="BD50" s="35"/>
      <c r="BE50" s="25"/>
      <c r="BF50" s="134"/>
      <c r="BG50" s="135"/>
      <c r="BH50" s="135"/>
      <c r="BI50" s="135"/>
      <c r="BJ50" s="135"/>
      <c r="BK50" s="136"/>
    </row>
    <row r="51" spans="1:63" s="310" customFormat="1" ht="15" customHeight="1" x14ac:dyDescent="0.25">
      <c r="A51" s="24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25"/>
      <c r="M51" s="328"/>
      <c r="N51" s="328"/>
      <c r="O51" s="328"/>
      <c r="P51" s="331"/>
      <c r="Q51" s="50" t="s">
        <v>31</v>
      </c>
      <c r="R51" s="51"/>
      <c r="S51" s="51"/>
      <c r="T51" s="51"/>
      <c r="U51" s="51"/>
      <c r="V51" s="51"/>
      <c r="W51" s="51"/>
      <c r="X51" s="50" t="s">
        <v>32</v>
      </c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2"/>
      <c r="AO51" s="328"/>
      <c r="AP51" s="328"/>
      <c r="AQ51" s="328"/>
      <c r="AR51" s="328"/>
      <c r="AS51" s="328"/>
      <c r="AT51" s="328"/>
      <c r="AU51" s="24"/>
      <c r="AV51" s="35"/>
      <c r="AW51" s="35"/>
      <c r="AX51" s="35"/>
      <c r="AY51" s="35"/>
      <c r="AZ51" s="35"/>
      <c r="BA51" s="35"/>
      <c r="BB51" s="35"/>
      <c r="BC51" s="35"/>
      <c r="BD51" s="35"/>
      <c r="BE51" s="25"/>
      <c r="BF51" s="134"/>
      <c r="BG51" s="135"/>
      <c r="BH51" s="135"/>
      <c r="BI51" s="135"/>
      <c r="BJ51" s="135"/>
      <c r="BK51" s="136"/>
    </row>
    <row r="52" spans="1:63" s="310" customFormat="1" ht="15" customHeight="1" x14ac:dyDescent="0.25">
      <c r="A52" s="24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25"/>
      <c r="M52" s="328"/>
      <c r="N52" s="328"/>
      <c r="O52" s="331"/>
      <c r="P52" s="331"/>
      <c r="Q52" s="335" t="s">
        <v>72</v>
      </c>
      <c r="R52" s="336"/>
      <c r="S52" s="336"/>
      <c r="T52" s="336"/>
      <c r="U52" s="336"/>
      <c r="V52" s="336"/>
      <c r="W52" s="336"/>
      <c r="X52" s="337" t="s">
        <v>75</v>
      </c>
      <c r="Y52" s="338"/>
      <c r="Z52" s="338"/>
      <c r="AA52" s="338"/>
      <c r="AB52" s="338"/>
      <c r="AC52" s="338"/>
      <c r="AD52" s="338"/>
      <c r="AE52" s="338"/>
      <c r="AF52" s="338"/>
      <c r="AG52" s="338"/>
      <c r="AH52" s="338"/>
      <c r="AI52" s="338"/>
      <c r="AJ52" s="338"/>
      <c r="AK52" s="338"/>
      <c r="AL52" s="338"/>
      <c r="AM52" s="338"/>
      <c r="AN52" s="339"/>
      <c r="AO52" s="328"/>
      <c r="AP52" s="328"/>
      <c r="AQ52" s="328"/>
      <c r="AR52" s="328"/>
      <c r="AS52" s="328"/>
      <c r="AT52" s="328"/>
      <c r="AU52" s="24"/>
      <c r="AV52" s="35"/>
      <c r="AW52" s="35"/>
      <c r="AX52" s="35"/>
      <c r="AY52" s="35"/>
      <c r="AZ52" s="35"/>
      <c r="BA52" s="35"/>
      <c r="BB52" s="35"/>
      <c r="BC52" s="35"/>
      <c r="BD52" s="35"/>
      <c r="BE52" s="25"/>
      <c r="BF52" s="134"/>
      <c r="BG52" s="135"/>
      <c r="BH52" s="135"/>
      <c r="BI52" s="135"/>
      <c r="BJ52" s="135"/>
      <c r="BK52" s="136"/>
    </row>
    <row r="53" spans="1:63" s="310" customFormat="1" ht="15" customHeight="1" x14ac:dyDescent="0.25">
      <c r="A53" s="24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25"/>
      <c r="M53" s="328"/>
      <c r="N53" s="328"/>
      <c r="O53" s="331"/>
      <c r="P53" s="331"/>
      <c r="Q53" s="335" t="s">
        <v>35</v>
      </c>
      <c r="R53" s="336"/>
      <c r="S53" s="336"/>
      <c r="T53" s="336"/>
      <c r="U53" s="336"/>
      <c r="V53" s="336"/>
      <c r="W53" s="336"/>
      <c r="X53" s="337" t="s">
        <v>39</v>
      </c>
      <c r="Y53" s="338"/>
      <c r="Z53" s="338"/>
      <c r="AA53" s="338"/>
      <c r="AB53" s="338"/>
      <c r="AC53" s="338"/>
      <c r="AD53" s="338"/>
      <c r="AE53" s="338"/>
      <c r="AF53" s="338"/>
      <c r="AG53" s="338"/>
      <c r="AH53" s="338"/>
      <c r="AI53" s="338"/>
      <c r="AJ53" s="338"/>
      <c r="AK53" s="338"/>
      <c r="AL53" s="338"/>
      <c r="AM53" s="338"/>
      <c r="AN53" s="339"/>
      <c r="AO53" s="328"/>
      <c r="AP53" s="328"/>
      <c r="AQ53" s="328"/>
      <c r="AR53" s="328"/>
      <c r="AS53" s="328"/>
      <c r="AT53" s="328"/>
      <c r="AU53" s="24"/>
      <c r="AV53" s="35"/>
      <c r="AW53" s="35"/>
      <c r="AX53" s="35"/>
      <c r="AY53" s="35"/>
      <c r="AZ53" s="35"/>
      <c r="BA53" s="35"/>
      <c r="BB53" s="35"/>
      <c r="BC53" s="35"/>
      <c r="BD53" s="35"/>
      <c r="BE53" s="25"/>
      <c r="BF53" s="134"/>
      <c r="BG53" s="135"/>
      <c r="BH53" s="135"/>
      <c r="BI53" s="135"/>
      <c r="BJ53" s="135"/>
      <c r="BK53" s="136"/>
    </row>
    <row r="54" spans="1:63" s="310" customFormat="1" ht="15" customHeight="1" x14ac:dyDescent="0.25">
      <c r="A54" s="24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25"/>
      <c r="M54" s="328"/>
      <c r="N54" s="328"/>
      <c r="O54" s="331"/>
      <c r="P54" s="331"/>
      <c r="Q54" s="328"/>
      <c r="R54" s="328"/>
      <c r="S54" s="328"/>
      <c r="T54" s="328"/>
      <c r="U54" s="328"/>
      <c r="V54" s="328"/>
      <c r="W54" s="328"/>
      <c r="X54" s="328"/>
      <c r="Y54" s="328"/>
      <c r="Z54" s="328"/>
      <c r="AA54" s="328"/>
      <c r="AB54" s="328"/>
      <c r="AC54" s="328"/>
      <c r="AD54" s="328"/>
      <c r="AE54" s="328"/>
      <c r="AF54" s="328"/>
      <c r="AG54" s="328"/>
      <c r="AH54" s="328"/>
      <c r="AI54" s="328"/>
      <c r="AJ54" s="328"/>
      <c r="AK54" s="328"/>
      <c r="AL54" s="328"/>
      <c r="AM54" s="328"/>
      <c r="AN54" s="328"/>
      <c r="AO54" s="328"/>
      <c r="AP54" s="328"/>
      <c r="AQ54" s="328"/>
      <c r="AR54" s="328"/>
      <c r="AS54" s="328"/>
      <c r="AT54" s="328"/>
      <c r="AU54" s="24"/>
      <c r="AV54" s="35"/>
      <c r="AW54" s="35"/>
      <c r="AX54" s="35"/>
      <c r="AY54" s="35"/>
      <c r="AZ54" s="35"/>
      <c r="BA54" s="35"/>
      <c r="BB54" s="35"/>
      <c r="BC54" s="35"/>
      <c r="BD54" s="35"/>
      <c r="BE54" s="25"/>
      <c r="BF54" s="134"/>
      <c r="BG54" s="135"/>
      <c r="BH54" s="135"/>
      <c r="BI54" s="135"/>
      <c r="BJ54" s="135"/>
      <c r="BK54" s="136"/>
    </row>
    <row r="55" spans="1:63" s="310" customFormat="1" ht="15" customHeight="1" x14ac:dyDescent="0.25">
      <c r="A55" s="24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25"/>
      <c r="M55" s="328"/>
      <c r="N55" s="328"/>
      <c r="O55" s="331"/>
      <c r="P55" s="331"/>
      <c r="Q55" s="328" t="s">
        <v>116</v>
      </c>
      <c r="R55" s="328"/>
      <c r="S55" s="328"/>
      <c r="T55" s="328"/>
      <c r="U55" s="328"/>
      <c r="V55" s="328"/>
      <c r="W55" s="328"/>
      <c r="X55" s="328"/>
      <c r="Y55" s="328"/>
      <c r="Z55" s="328"/>
      <c r="AA55" s="328"/>
      <c r="AB55" s="328"/>
      <c r="AC55" s="328"/>
      <c r="AD55" s="328"/>
      <c r="AE55" s="328"/>
      <c r="AF55" s="328"/>
      <c r="AG55" s="328"/>
      <c r="AH55" s="328"/>
      <c r="AI55" s="328"/>
      <c r="AJ55" s="328"/>
      <c r="AK55" s="328"/>
      <c r="AL55" s="328"/>
      <c r="AM55" s="328"/>
      <c r="AN55" s="328"/>
      <c r="AO55" s="328"/>
      <c r="AP55" s="328"/>
      <c r="AQ55" s="328"/>
      <c r="AR55" s="328"/>
      <c r="AS55" s="328"/>
      <c r="AT55" s="328"/>
      <c r="AU55" s="24"/>
      <c r="AV55" s="35"/>
      <c r="AW55" s="35"/>
      <c r="AX55" s="35"/>
      <c r="AY55" s="35"/>
      <c r="AZ55" s="35"/>
      <c r="BA55" s="35"/>
      <c r="BB55" s="35"/>
      <c r="BC55" s="35"/>
      <c r="BD55" s="35"/>
      <c r="BE55" s="25"/>
      <c r="BF55" s="134"/>
      <c r="BG55" s="135"/>
      <c r="BH55" s="135"/>
      <c r="BI55" s="135"/>
      <c r="BJ55" s="135"/>
      <c r="BK55" s="136"/>
    </row>
    <row r="56" spans="1:63" s="310" customFormat="1" ht="15" customHeight="1" x14ac:dyDescent="0.25">
      <c r="A56" s="24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25"/>
      <c r="M56" s="328"/>
      <c r="N56" s="328"/>
      <c r="O56" s="331"/>
      <c r="P56" s="331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8"/>
      <c r="AB56" s="328"/>
      <c r="AC56" s="328"/>
      <c r="AD56" s="328"/>
      <c r="AE56" s="328"/>
      <c r="AF56" s="328"/>
      <c r="AG56" s="328"/>
      <c r="AH56" s="328"/>
      <c r="AI56" s="328"/>
      <c r="AJ56" s="328"/>
      <c r="AK56" s="328"/>
      <c r="AL56" s="328"/>
      <c r="AM56" s="328"/>
      <c r="AN56" s="328"/>
      <c r="AO56" s="328"/>
      <c r="AP56" s="328"/>
      <c r="AQ56" s="328"/>
      <c r="AR56" s="328"/>
      <c r="AS56" s="328"/>
      <c r="AT56" s="328"/>
      <c r="AU56" s="24"/>
      <c r="AV56" s="35"/>
      <c r="AW56" s="35"/>
      <c r="AX56" s="35"/>
      <c r="AY56" s="35"/>
      <c r="AZ56" s="35"/>
      <c r="BA56" s="35"/>
      <c r="BB56" s="35"/>
      <c r="BC56" s="35"/>
      <c r="BD56" s="35"/>
      <c r="BE56" s="25"/>
      <c r="BF56" s="134"/>
      <c r="BG56" s="135"/>
      <c r="BH56" s="135"/>
      <c r="BI56" s="135"/>
      <c r="BJ56" s="135"/>
      <c r="BK56" s="136"/>
    </row>
    <row r="57" spans="1:63" s="310" customFormat="1" ht="15" customHeight="1" x14ac:dyDescent="0.25">
      <c r="A57" s="24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25"/>
      <c r="M57" s="328"/>
      <c r="N57" s="328"/>
      <c r="O57" s="331"/>
      <c r="P57" s="331" t="s">
        <v>112</v>
      </c>
      <c r="Q57" s="331"/>
      <c r="R57" s="331"/>
      <c r="S57" s="331"/>
      <c r="T57" s="331"/>
      <c r="U57" s="331"/>
      <c r="V57" s="331"/>
      <c r="W57" s="331"/>
      <c r="X57" s="331"/>
      <c r="Y57" s="331"/>
      <c r="Z57" s="331"/>
      <c r="AA57" s="331"/>
      <c r="AB57" s="331"/>
      <c r="AC57" s="328"/>
      <c r="AD57" s="328"/>
      <c r="AE57" s="328"/>
      <c r="AF57" s="328"/>
      <c r="AG57" s="328"/>
      <c r="AH57" s="328"/>
      <c r="AI57" s="328"/>
      <c r="AJ57" s="328"/>
      <c r="AK57" s="328"/>
      <c r="AL57" s="328"/>
      <c r="AM57" s="328"/>
      <c r="AN57" s="328"/>
      <c r="AO57" s="328"/>
      <c r="AP57" s="328"/>
      <c r="AQ57" s="328"/>
      <c r="AR57" s="328"/>
      <c r="AS57" s="328"/>
      <c r="AT57" s="328"/>
      <c r="AU57" s="24"/>
      <c r="AV57" s="35"/>
      <c r="AW57" s="35"/>
      <c r="AX57" s="35"/>
      <c r="AY57" s="35"/>
      <c r="AZ57" s="35"/>
      <c r="BA57" s="35"/>
      <c r="BB57" s="35"/>
      <c r="BC57" s="35"/>
      <c r="BD57" s="35"/>
      <c r="BE57" s="25"/>
      <c r="BF57" s="134"/>
      <c r="BG57" s="135"/>
      <c r="BH57" s="135"/>
      <c r="BI57" s="135"/>
      <c r="BJ57" s="135"/>
      <c r="BK57" s="136"/>
    </row>
    <row r="58" spans="1:63" s="310" customFormat="1" ht="15" customHeight="1" x14ac:dyDescent="0.25">
      <c r="A58" s="24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25"/>
      <c r="M58" s="328"/>
      <c r="N58" s="328"/>
      <c r="O58" s="331"/>
      <c r="P58" s="331"/>
      <c r="Q58" s="331" t="s">
        <v>104</v>
      </c>
      <c r="R58" s="331"/>
      <c r="S58" s="331"/>
      <c r="T58" s="331"/>
      <c r="U58" s="331"/>
      <c r="V58" s="331"/>
      <c r="W58" s="331"/>
      <c r="X58" s="331"/>
      <c r="Y58" s="331"/>
      <c r="Z58" s="331"/>
      <c r="AA58" s="331"/>
      <c r="AB58" s="331"/>
      <c r="AC58" s="328"/>
      <c r="AD58" s="328"/>
      <c r="AE58" s="328"/>
      <c r="AF58" s="328"/>
      <c r="AG58" s="328"/>
      <c r="AH58" s="328"/>
      <c r="AI58" s="328"/>
      <c r="AJ58" s="328"/>
      <c r="AK58" s="328"/>
      <c r="AL58" s="328"/>
      <c r="AM58" s="328"/>
      <c r="AN58" s="328"/>
      <c r="AO58" s="328"/>
      <c r="AP58" s="328"/>
      <c r="AQ58" s="328"/>
      <c r="AR58" s="328"/>
      <c r="AS58" s="328"/>
      <c r="AT58" s="328"/>
      <c r="AU58" s="24"/>
      <c r="AV58" s="35"/>
      <c r="AW58" s="35"/>
      <c r="AX58" s="35"/>
      <c r="AY58" s="35"/>
      <c r="AZ58" s="35"/>
      <c r="BA58" s="35"/>
      <c r="BB58" s="35"/>
      <c r="BC58" s="35"/>
      <c r="BD58" s="35"/>
      <c r="BE58" s="25"/>
      <c r="BF58" s="134"/>
      <c r="BG58" s="135"/>
      <c r="BH58" s="135"/>
      <c r="BI58" s="135"/>
      <c r="BJ58" s="135"/>
      <c r="BK58" s="136"/>
    </row>
    <row r="59" spans="1:63" s="310" customFormat="1" ht="15" customHeight="1" x14ac:dyDescent="0.25">
      <c r="A59" s="24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25"/>
      <c r="M59" s="328"/>
      <c r="N59" s="328"/>
      <c r="O59" s="331"/>
      <c r="P59" s="331"/>
      <c r="Q59" s="331"/>
      <c r="R59" s="331" t="s">
        <v>117</v>
      </c>
      <c r="S59" s="331"/>
      <c r="T59" s="331"/>
      <c r="U59" s="331"/>
      <c r="V59" s="331"/>
      <c r="W59" s="331"/>
      <c r="X59" s="331"/>
      <c r="Y59" s="331"/>
      <c r="Z59" s="331"/>
      <c r="AA59" s="331"/>
      <c r="AB59" s="331"/>
      <c r="AC59" s="328"/>
      <c r="AD59" s="328"/>
      <c r="AE59" s="328"/>
      <c r="AF59" s="328"/>
      <c r="AG59" s="328"/>
      <c r="AH59" s="328"/>
      <c r="AI59" s="328"/>
      <c r="AJ59" s="328"/>
      <c r="AK59" s="328"/>
      <c r="AL59" s="328"/>
      <c r="AM59" s="328"/>
      <c r="AN59" s="328"/>
      <c r="AO59" s="328"/>
      <c r="AP59" s="328"/>
      <c r="AQ59" s="328"/>
      <c r="AR59" s="328"/>
      <c r="AS59" s="328"/>
      <c r="AT59" s="328"/>
      <c r="AU59" s="24"/>
      <c r="AV59" s="35"/>
      <c r="AW59" s="35"/>
      <c r="AX59" s="35"/>
      <c r="AY59" s="35"/>
      <c r="AZ59" s="35"/>
      <c r="BA59" s="35"/>
      <c r="BB59" s="35"/>
      <c r="BC59" s="35"/>
      <c r="BD59" s="35"/>
      <c r="BE59" s="25"/>
      <c r="BF59" s="134"/>
      <c r="BG59" s="135"/>
      <c r="BH59" s="135"/>
      <c r="BI59" s="135"/>
      <c r="BJ59" s="135"/>
      <c r="BK59" s="136"/>
    </row>
    <row r="60" spans="1:63" s="310" customFormat="1" ht="15" customHeight="1" x14ac:dyDescent="0.25">
      <c r="A60" s="24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25"/>
      <c r="M60" s="328"/>
      <c r="N60" s="328"/>
      <c r="O60" s="331"/>
      <c r="P60" s="331"/>
      <c r="Q60" s="331"/>
      <c r="R60" s="331" t="s">
        <v>109</v>
      </c>
      <c r="S60" s="331"/>
      <c r="T60" s="331"/>
      <c r="U60" s="331"/>
      <c r="V60" s="331"/>
      <c r="W60" s="331"/>
      <c r="X60" s="331"/>
      <c r="Y60" s="331"/>
      <c r="Z60" s="331"/>
      <c r="AA60" s="331"/>
      <c r="AB60" s="331"/>
      <c r="AC60" s="328"/>
      <c r="AD60" s="328"/>
      <c r="AE60" s="328"/>
      <c r="AF60" s="328"/>
      <c r="AG60" s="328"/>
      <c r="AH60" s="328"/>
      <c r="AI60" s="328"/>
      <c r="AJ60" s="328"/>
      <c r="AK60" s="328"/>
      <c r="AL60" s="328"/>
      <c r="AM60" s="328"/>
      <c r="AN60" s="328"/>
      <c r="AO60" s="328"/>
      <c r="AP60" s="328"/>
      <c r="AQ60" s="328"/>
      <c r="AR60" s="328"/>
      <c r="AS60" s="328"/>
      <c r="AT60" s="328"/>
      <c r="AU60" s="24"/>
      <c r="AV60" s="35"/>
      <c r="AW60" s="35"/>
      <c r="AX60" s="35"/>
      <c r="AY60" s="35"/>
      <c r="AZ60" s="35"/>
      <c r="BA60" s="35"/>
      <c r="BB60" s="35"/>
      <c r="BC60" s="35"/>
      <c r="BD60" s="35"/>
      <c r="BE60" s="25"/>
      <c r="BF60" s="134"/>
      <c r="BG60" s="135"/>
      <c r="BH60" s="135"/>
      <c r="BI60" s="135"/>
      <c r="BJ60" s="135"/>
      <c r="BK60" s="136"/>
    </row>
    <row r="61" spans="1:63" s="310" customFormat="1" ht="15" customHeight="1" x14ac:dyDescent="0.25">
      <c r="A61" s="24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25"/>
      <c r="M61" s="328"/>
      <c r="N61" s="328"/>
      <c r="O61" s="331"/>
      <c r="P61" s="331"/>
      <c r="Q61" s="331"/>
      <c r="R61" s="331" t="s">
        <v>110</v>
      </c>
      <c r="S61" s="331"/>
      <c r="T61" s="331"/>
      <c r="U61" s="331"/>
      <c r="V61" s="331"/>
      <c r="W61" s="331"/>
      <c r="X61" s="331"/>
      <c r="Y61" s="331"/>
      <c r="Z61" s="331"/>
      <c r="AA61" s="331"/>
      <c r="AB61" s="331"/>
      <c r="AC61" s="328"/>
      <c r="AD61" s="328"/>
      <c r="AE61" s="328"/>
      <c r="AF61" s="328"/>
      <c r="AG61" s="328"/>
      <c r="AH61" s="328"/>
      <c r="AI61" s="328"/>
      <c r="AJ61" s="328"/>
      <c r="AK61" s="328"/>
      <c r="AL61" s="328"/>
      <c r="AM61" s="328"/>
      <c r="AN61" s="328"/>
      <c r="AO61" s="328"/>
      <c r="AP61" s="328"/>
      <c r="AQ61" s="328"/>
      <c r="AR61" s="328"/>
      <c r="AS61" s="328"/>
      <c r="AT61" s="328"/>
      <c r="AU61" s="24"/>
      <c r="AV61" s="35"/>
      <c r="AW61" s="35"/>
      <c r="AX61" s="35"/>
      <c r="AY61" s="35"/>
      <c r="AZ61" s="35"/>
      <c r="BA61" s="35"/>
      <c r="BB61" s="35"/>
      <c r="BC61" s="35"/>
      <c r="BD61" s="35"/>
      <c r="BE61" s="25"/>
      <c r="BF61" s="134"/>
      <c r="BG61" s="135"/>
      <c r="BH61" s="135"/>
      <c r="BI61" s="135"/>
      <c r="BJ61" s="135"/>
      <c r="BK61" s="136"/>
    </row>
    <row r="62" spans="1:63" s="310" customFormat="1" ht="15" customHeight="1" x14ac:dyDescent="0.25">
      <c r="A62" s="24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25"/>
      <c r="M62" s="328"/>
      <c r="N62" s="328"/>
      <c r="O62" s="331"/>
      <c r="P62" s="331"/>
      <c r="Q62" s="331"/>
      <c r="R62" s="331"/>
      <c r="S62" s="331"/>
      <c r="T62" s="331"/>
      <c r="U62" s="331"/>
      <c r="V62" s="331"/>
      <c r="W62" s="331"/>
      <c r="X62" s="331"/>
      <c r="Y62" s="331"/>
      <c r="Z62" s="331"/>
      <c r="AA62" s="331"/>
      <c r="AB62" s="331"/>
      <c r="AC62" s="328"/>
      <c r="AD62" s="328"/>
      <c r="AE62" s="328"/>
      <c r="AF62" s="328"/>
      <c r="AG62" s="328"/>
      <c r="AH62" s="328"/>
      <c r="AI62" s="328"/>
      <c r="AJ62" s="328"/>
      <c r="AK62" s="328"/>
      <c r="AL62" s="328"/>
      <c r="AM62" s="328"/>
      <c r="AN62" s="328"/>
      <c r="AO62" s="328"/>
      <c r="AP62" s="328"/>
      <c r="AQ62" s="328"/>
      <c r="AR62" s="328"/>
      <c r="AS62" s="328"/>
      <c r="AT62" s="328"/>
      <c r="AU62" s="24"/>
      <c r="AV62" s="35"/>
      <c r="AW62" s="35"/>
      <c r="AX62" s="35"/>
      <c r="AY62" s="35"/>
      <c r="AZ62" s="35"/>
      <c r="BA62" s="35"/>
      <c r="BB62" s="35"/>
      <c r="BC62" s="35"/>
      <c r="BD62" s="35"/>
      <c r="BE62" s="25"/>
      <c r="BF62" s="134"/>
      <c r="BG62" s="135"/>
      <c r="BH62" s="135"/>
      <c r="BI62" s="135"/>
      <c r="BJ62" s="135"/>
      <c r="BK62" s="136"/>
    </row>
    <row r="63" spans="1:63" s="310" customFormat="1" ht="15" customHeight="1" x14ac:dyDescent="0.25">
      <c r="A63" s="24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25"/>
      <c r="M63" s="328"/>
      <c r="N63" s="328"/>
      <c r="O63" s="331"/>
      <c r="P63" s="331"/>
      <c r="Q63" s="328" t="s">
        <v>105</v>
      </c>
      <c r="R63" s="331"/>
      <c r="S63" s="331"/>
      <c r="T63" s="331"/>
      <c r="U63" s="331"/>
      <c r="V63" s="331"/>
      <c r="W63" s="331"/>
      <c r="X63" s="331"/>
      <c r="Y63" s="331"/>
      <c r="Z63" s="331"/>
      <c r="AA63" s="331"/>
      <c r="AB63" s="331"/>
      <c r="AC63" s="328"/>
      <c r="AD63" s="328"/>
      <c r="AE63" s="328"/>
      <c r="AF63" s="328"/>
      <c r="AG63" s="328"/>
      <c r="AH63" s="328"/>
      <c r="AI63" s="328"/>
      <c r="AJ63" s="328"/>
      <c r="AK63" s="328"/>
      <c r="AL63" s="328"/>
      <c r="AM63" s="328"/>
      <c r="AN63" s="328"/>
      <c r="AO63" s="328"/>
      <c r="AP63" s="328"/>
      <c r="AQ63" s="328"/>
      <c r="AR63" s="328"/>
      <c r="AS63" s="328"/>
      <c r="AT63" s="328"/>
      <c r="AU63" s="24"/>
      <c r="AV63" s="35"/>
      <c r="AW63" s="35"/>
      <c r="AX63" s="35"/>
      <c r="AY63" s="35"/>
      <c r="AZ63" s="35"/>
      <c r="BA63" s="35"/>
      <c r="BB63" s="35"/>
      <c r="BC63" s="35"/>
      <c r="BD63" s="35"/>
      <c r="BE63" s="25"/>
      <c r="BF63" s="134"/>
      <c r="BG63" s="135"/>
      <c r="BH63" s="135"/>
      <c r="BI63" s="135"/>
      <c r="BJ63" s="135"/>
      <c r="BK63" s="136"/>
    </row>
    <row r="64" spans="1:63" s="310" customFormat="1" ht="15" customHeight="1" x14ac:dyDescent="0.25">
      <c r="A64" s="24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25"/>
      <c r="M64" s="328"/>
      <c r="N64" s="328"/>
      <c r="O64" s="331"/>
      <c r="P64" s="331"/>
      <c r="Q64" s="331"/>
      <c r="R64" s="331" t="s">
        <v>117</v>
      </c>
      <c r="S64" s="331"/>
      <c r="T64" s="331"/>
      <c r="U64" s="331"/>
      <c r="V64" s="331"/>
      <c r="W64" s="331"/>
      <c r="X64" s="331"/>
      <c r="Y64" s="331"/>
      <c r="Z64" s="331"/>
      <c r="AA64" s="331"/>
      <c r="AB64" s="331"/>
      <c r="AC64" s="328"/>
      <c r="AD64" s="328"/>
      <c r="AE64" s="328"/>
      <c r="AF64" s="328"/>
      <c r="AG64" s="328"/>
      <c r="AH64" s="328"/>
      <c r="AI64" s="328"/>
      <c r="AJ64" s="328"/>
      <c r="AK64" s="328"/>
      <c r="AL64" s="328"/>
      <c r="AM64" s="328"/>
      <c r="AN64" s="328"/>
      <c r="AO64" s="328"/>
      <c r="AP64" s="328"/>
      <c r="AQ64" s="328"/>
      <c r="AR64" s="328"/>
      <c r="AS64" s="328"/>
      <c r="AT64" s="328"/>
      <c r="AU64" s="24"/>
      <c r="AV64" s="35"/>
      <c r="AW64" s="35"/>
      <c r="AX64" s="35"/>
      <c r="AY64" s="35"/>
      <c r="AZ64" s="35"/>
      <c r="BA64" s="35"/>
      <c r="BB64" s="35"/>
      <c r="BC64" s="35"/>
      <c r="BD64" s="35"/>
      <c r="BE64" s="25"/>
      <c r="BF64" s="134"/>
      <c r="BG64" s="135"/>
      <c r="BH64" s="135"/>
      <c r="BI64" s="135"/>
      <c r="BJ64" s="135"/>
      <c r="BK64" s="136"/>
    </row>
    <row r="65" spans="1:63" s="310" customFormat="1" ht="15" customHeight="1" x14ac:dyDescent="0.25">
      <c r="A65" s="24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25"/>
      <c r="M65" s="328"/>
      <c r="N65" s="328"/>
      <c r="O65" s="331"/>
      <c r="P65" s="331"/>
      <c r="Q65" s="331"/>
      <c r="R65" s="331" t="s">
        <v>52</v>
      </c>
      <c r="S65" s="331"/>
      <c r="T65" s="331"/>
      <c r="U65" s="331"/>
      <c r="V65" s="331"/>
      <c r="W65" s="331"/>
      <c r="X65" s="331"/>
      <c r="Y65" s="331"/>
      <c r="Z65" s="331"/>
      <c r="AA65" s="331"/>
      <c r="AB65" s="331"/>
      <c r="AC65" s="328"/>
      <c r="AD65" s="328"/>
      <c r="AE65" s="328"/>
      <c r="AF65" s="328"/>
      <c r="AG65" s="328"/>
      <c r="AH65" s="328"/>
      <c r="AI65" s="328"/>
      <c r="AJ65" s="328"/>
      <c r="AK65" s="328"/>
      <c r="AL65" s="328"/>
      <c r="AM65" s="328"/>
      <c r="AN65" s="328"/>
      <c r="AO65" s="328"/>
      <c r="AP65" s="328"/>
      <c r="AQ65" s="328"/>
      <c r="AR65" s="328"/>
      <c r="AS65" s="328"/>
      <c r="AT65" s="328"/>
      <c r="AU65" s="24"/>
      <c r="AV65" s="35"/>
      <c r="AW65" s="35"/>
      <c r="AX65" s="35"/>
      <c r="AY65" s="35"/>
      <c r="AZ65" s="35"/>
      <c r="BA65" s="35"/>
      <c r="BB65" s="35"/>
      <c r="BC65" s="35"/>
      <c r="BD65" s="35"/>
      <c r="BE65" s="25"/>
      <c r="BF65" s="134"/>
      <c r="BG65" s="135"/>
      <c r="BH65" s="135"/>
      <c r="BI65" s="135"/>
      <c r="BJ65" s="135"/>
      <c r="BK65" s="136"/>
    </row>
    <row r="66" spans="1:63" s="310" customFormat="1" ht="15" customHeight="1" x14ac:dyDescent="0.25">
      <c r="A66" s="24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25"/>
      <c r="M66" s="328"/>
      <c r="N66" s="328"/>
      <c r="O66" s="331"/>
      <c r="P66" s="331"/>
      <c r="Q66" s="328"/>
      <c r="R66" s="328"/>
      <c r="S66" s="328"/>
      <c r="T66" s="328"/>
      <c r="U66" s="328"/>
      <c r="V66" s="328"/>
      <c r="W66" s="328"/>
      <c r="X66" s="328"/>
      <c r="Y66" s="328"/>
      <c r="Z66" s="328"/>
      <c r="AA66" s="328"/>
      <c r="AB66" s="328"/>
      <c r="AC66" s="328"/>
      <c r="AD66" s="328"/>
      <c r="AE66" s="328"/>
      <c r="AF66" s="328"/>
      <c r="AG66" s="328"/>
      <c r="AH66" s="328"/>
      <c r="AI66" s="328"/>
      <c r="AJ66" s="328"/>
      <c r="AK66" s="328"/>
      <c r="AL66" s="328"/>
      <c r="AM66" s="328"/>
      <c r="AN66" s="328"/>
      <c r="AO66" s="328"/>
      <c r="AP66" s="328"/>
      <c r="AQ66" s="328"/>
      <c r="AR66" s="328"/>
      <c r="AS66" s="328"/>
      <c r="AT66" s="328"/>
      <c r="AU66" s="24"/>
      <c r="AV66" s="35"/>
      <c r="AW66" s="35"/>
      <c r="AX66" s="35"/>
      <c r="AY66" s="35"/>
      <c r="AZ66" s="35"/>
      <c r="BA66" s="35"/>
      <c r="BB66" s="35"/>
      <c r="BC66" s="35"/>
      <c r="BD66" s="35"/>
      <c r="BE66" s="25"/>
      <c r="BF66" s="134"/>
      <c r="BG66" s="135"/>
      <c r="BH66" s="135"/>
      <c r="BI66" s="135"/>
      <c r="BJ66" s="135"/>
      <c r="BK66" s="136"/>
    </row>
    <row r="67" spans="1:63" s="310" customFormat="1" ht="15" customHeight="1" x14ac:dyDescent="0.25">
      <c r="A67" s="24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25"/>
      <c r="M67" s="328"/>
      <c r="N67" s="328"/>
      <c r="O67" s="331"/>
      <c r="P67" s="331"/>
      <c r="Q67" s="328"/>
      <c r="R67" s="328"/>
      <c r="S67" s="328"/>
      <c r="T67" s="328"/>
      <c r="U67" s="328"/>
      <c r="V67" s="328"/>
      <c r="W67" s="328"/>
      <c r="X67" s="328"/>
      <c r="Y67" s="328"/>
      <c r="Z67" s="328"/>
      <c r="AA67" s="328"/>
      <c r="AB67" s="328"/>
      <c r="AC67" s="328"/>
      <c r="AD67" s="328"/>
      <c r="AE67" s="328"/>
      <c r="AF67" s="328"/>
      <c r="AG67" s="328"/>
      <c r="AH67" s="328"/>
      <c r="AI67" s="328"/>
      <c r="AJ67" s="328"/>
      <c r="AK67" s="328"/>
      <c r="AL67" s="328"/>
      <c r="AM67" s="328"/>
      <c r="AN67" s="328"/>
      <c r="AO67" s="328"/>
      <c r="AP67" s="328"/>
      <c r="AQ67" s="328"/>
      <c r="AR67" s="328"/>
      <c r="AS67" s="328"/>
      <c r="AT67" s="328"/>
      <c r="AU67" s="24"/>
      <c r="AV67" s="35"/>
      <c r="AW67" s="35"/>
      <c r="AX67" s="35"/>
      <c r="AY67" s="35"/>
      <c r="AZ67" s="35"/>
      <c r="BA67" s="35"/>
      <c r="BB67" s="35"/>
      <c r="BC67" s="35"/>
      <c r="BD67" s="35"/>
      <c r="BE67" s="25"/>
      <c r="BF67" s="134"/>
      <c r="BG67" s="135"/>
      <c r="BH67" s="135"/>
      <c r="BI67" s="135"/>
      <c r="BJ67" s="135"/>
      <c r="BK67" s="136"/>
    </row>
    <row r="68" spans="1:63" s="310" customFormat="1" ht="15" customHeight="1" x14ac:dyDescent="0.25">
      <c r="A68" s="26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8"/>
      <c r="M68" s="332"/>
      <c r="N68" s="333"/>
      <c r="O68" s="333"/>
      <c r="P68" s="333"/>
      <c r="Q68" s="33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334"/>
      <c r="AQ68" s="334"/>
      <c r="AR68" s="334"/>
      <c r="AS68" s="334"/>
      <c r="AT68" s="334"/>
      <c r="AU68" s="26"/>
      <c r="AV68" s="27"/>
      <c r="AW68" s="27"/>
      <c r="AX68" s="27"/>
      <c r="AY68" s="27"/>
      <c r="AZ68" s="27"/>
      <c r="BA68" s="27"/>
      <c r="BB68" s="27"/>
      <c r="BC68" s="27"/>
      <c r="BD68" s="27"/>
      <c r="BE68" s="28"/>
      <c r="BF68" s="128"/>
      <c r="BG68" s="129"/>
      <c r="BH68" s="129"/>
      <c r="BI68" s="129"/>
      <c r="BJ68" s="129"/>
      <c r="BK68" s="130"/>
    </row>
    <row r="69" spans="1:63" ht="15" customHeight="1" x14ac:dyDescent="0.25">
      <c r="A69" s="44"/>
    </row>
    <row r="70" spans="1:63" ht="15" customHeight="1" x14ac:dyDescent="0.25">
      <c r="A70" s="44"/>
    </row>
    <row r="71" spans="1:63" ht="15" customHeight="1" x14ac:dyDescent="0.25">
      <c r="A71" s="44"/>
    </row>
    <row r="72" spans="1:63" ht="15" customHeight="1" x14ac:dyDescent="0.25"/>
    <row r="73" spans="1:63" ht="15" customHeight="1" x14ac:dyDescent="0.25"/>
    <row r="74" spans="1:63" ht="15" customHeight="1" x14ac:dyDescent="0.25"/>
    <row r="75" spans="1:63" ht="15" customHeight="1" x14ac:dyDescent="0.25"/>
    <row r="76" spans="1:63" ht="15" customHeight="1" x14ac:dyDescent="0.25"/>
    <row r="77" spans="1:63" ht="15" customHeight="1" x14ac:dyDescent="0.25"/>
    <row r="78" spans="1:63" ht="15" customHeight="1" x14ac:dyDescent="0.25"/>
    <row r="79" spans="1:63" ht="15" customHeight="1" x14ac:dyDescent="0.25"/>
    <row r="80" spans="1:63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</sheetData>
  <mergeCells count="5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F14:BK17"/>
    <mergeCell ref="BF18:BK18"/>
    <mergeCell ref="A22:F22"/>
    <mergeCell ref="G22:L22"/>
    <mergeCell ref="A23:L24"/>
    <mergeCell ref="M23:AT24"/>
    <mergeCell ref="AU23:BE24"/>
    <mergeCell ref="BF23:BK24"/>
    <mergeCell ref="BF68:BK68"/>
    <mergeCell ref="BF25:BK28"/>
    <mergeCell ref="BF29:BK29"/>
    <mergeCell ref="A33:F33"/>
    <mergeCell ref="G33:L33"/>
    <mergeCell ref="A34:L35"/>
    <mergeCell ref="M34:AT35"/>
    <mergeCell ref="AU34:BE35"/>
    <mergeCell ref="BF34:BK35"/>
    <mergeCell ref="X52:AN52"/>
    <mergeCell ref="X53:AN53"/>
    <mergeCell ref="BF36:BK67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 codeName="Sheet3">
    <pageSetUpPr fitToPage="1"/>
  </sheetPr>
  <dimension ref="A1:BK44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96" t="s">
        <v>162</v>
      </c>
      <c r="B1" s="297"/>
      <c r="C1" s="297"/>
      <c r="D1" s="297"/>
      <c r="E1" s="297"/>
      <c r="F1" s="297"/>
      <c r="G1" s="297"/>
      <c r="H1" s="297"/>
      <c r="I1" s="297"/>
      <c r="J1" s="298"/>
      <c r="K1" s="296" t="s">
        <v>148</v>
      </c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8"/>
      <c r="W1" s="299" t="str">
        <f>IF(表紙!W1="","",表紙!W1)</f>
        <v>詳細設計書</v>
      </c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  <c r="AM1" s="300"/>
      <c r="AN1" s="300"/>
      <c r="AO1" s="301"/>
      <c r="AP1" s="204" t="s">
        <v>150</v>
      </c>
      <c r="AQ1" s="202"/>
      <c r="AR1" s="202"/>
      <c r="AS1" s="203"/>
      <c r="AT1" s="204" t="s">
        <v>151</v>
      </c>
      <c r="AU1" s="202"/>
      <c r="AV1" s="202"/>
      <c r="AW1" s="202"/>
      <c r="AX1" s="203"/>
      <c r="AY1" s="204" t="s">
        <v>152</v>
      </c>
      <c r="AZ1" s="202"/>
      <c r="BA1" s="202"/>
      <c r="BB1" s="203"/>
      <c r="BC1" s="204" t="s">
        <v>153</v>
      </c>
      <c r="BD1" s="202"/>
      <c r="BE1" s="202"/>
      <c r="BF1" s="202"/>
      <c r="BG1" s="203"/>
      <c r="BH1" s="204" t="s">
        <v>154</v>
      </c>
      <c r="BI1" s="202"/>
      <c r="BJ1" s="202"/>
      <c r="BK1" s="203"/>
    </row>
    <row r="2" spans="1:63" ht="15" customHeight="1" x14ac:dyDescent="0.25">
      <c r="A2" s="167" t="str">
        <f>IF(表紙!A2="","",表紙!A2)</f>
        <v>POSサーバー</v>
      </c>
      <c r="B2" s="168"/>
      <c r="C2" s="168"/>
      <c r="D2" s="168"/>
      <c r="E2" s="168"/>
      <c r="F2" s="168"/>
      <c r="G2" s="168"/>
      <c r="H2" s="168"/>
      <c r="I2" s="168"/>
      <c r="J2" s="169"/>
      <c r="K2" s="167" t="str">
        <f>IF(表紙!K2="","",表紙!K2)</f>
        <v>POSサーバ</v>
      </c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9"/>
      <c r="W2" s="302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4"/>
      <c r="AP2" s="211" t="str">
        <f>IF(表紙!AP2="","",表紙!AP2)</f>
        <v>TuyenNH</v>
      </c>
      <c r="AQ2" s="209"/>
      <c r="AR2" s="209"/>
      <c r="AS2" s="210"/>
      <c r="AT2" s="215">
        <f>IF(表紙!AT2="","",表紙!AT2)</f>
        <v>45462</v>
      </c>
      <c r="AU2" s="216"/>
      <c r="AV2" s="216"/>
      <c r="AW2" s="216"/>
      <c r="AX2" s="217"/>
      <c r="AY2" s="211" t="str">
        <f>IF(表紙!AY2="","",表紙!AY2)</f>
        <v>AnhDD</v>
      </c>
      <c r="AZ2" s="209"/>
      <c r="BA2" s="209"/>
      <c r="BB2" s="210"/>
      <c r="BC2" s="215">
        <f>IF(表紙!BC2="","",表紙!BC2)</f>
        <v>45630</v>
      </c>
      <c r="BD2" s="216"/>
      <c r="BE2" s="216"/>
      <c r="BF2" s="216"/>
      <c r="BG2" s="217"/>
      <c r="BH2" s="211">
        <f>IF(表紙!BH2="","",表紙!BH2)</f>
        <v>0.43</v>
      </c>
      <c r="BI2" s="209"/>
      <c r="BJ2" s="209"/>
      <c r="BK2" s="210"/>
    </row>
    <row r="3" spans="1:63" ht="15" customHeight="1" x14ac:dyDescent="0.25">
      <c r="A3" s="170"/>
      <c r="B3" s="171"/>
      <c r="C3" s="171"/>
      <c r="D3" s="171"/>
      <c r="E3" s="171"/>
      <c r="F3" s="171"/>
      <c r="G3" s="171"/>
      <c r="H3" s="171"/>
      <c r="I3" s="171"/>
      <c r="J3" s="172"/>
      <c r="K3" s="170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2"/>
      <c r="W3" s="305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6"/>
      <c r="AN3" s="306"/>
      <c r="AO3" s="307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21"/>
      <c r="BI3" s="222"/>
      <c r="BJ3" s="222"/>
      <c r="BK3" s="223"/>
    </row>
    <row r="4" spans="1:63" ht="24.95" customHeight="1" x14ac:dyDescent="0.25">
      <c r="A4" s="308" t="s">
        <v>172</v>
      </c>
      <c r="B4" s="297"/>
      <c r="C4" s="297"/>
      <c r="D4" s="297"/>
      <c r="E4" s="297"/>
      <c r="F4" s="297"/>
      <c r="G4" s="298"/>
      <c r="H4" s="163" t="str">
        <f>IF(表紙!H4="","",表紙!H4)</f>
        <v>40_従業員設定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296" t="s">
        <v>157</v>
      </c>
      <c r="V4" s="297"/>
      <c r="W4" s="297"/>
      <c r="X4" s="297"/>
      <c r="Y4" s="298"/>
      <c r="Z4" s="163" t="str">
        <f>IF(表紙!Z4="","",表紙!Z4)</f>
        <v>機能設計書</v>
      </c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9"/>
      <c r="AP4" s="147" t="str">
        <f ca="1">MID(CELL("filename",A1),FIND("]",CELL("filename",A1))+1,255)</f>
        <v>テンプレート</v>
      </c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9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2"/>
    </row>
    <row r="7" spans="1:63" s="310" customFormat="1" ht="15" customHeight="1" x14ac:dyDescent="0.25">
      <c r="A7" s="309" t="s">
        <v>19</v>
      </c>
      <c r="BK7" s="311"/>
    </row>
    <row r="8" spans="1:63" s="310" customFormat="1" ht="15" customHeight="1" x14ac:dyDescent="0.25">
      <c r="A8" s="309"/>
      <c r="BK8" s="311"/>
    </row>
    <row r="9" spans="1:63" s="310" customFormat="1" ht="15" customHeight="1" x14ac:dyDescent="0.25">
      <c r="A9" s="204" t="s">
        <v>173</v>
      </c>
      <c r="B9" s="202"/>
      <c r="C9" s="202"/>
      <c r="D9" s="202"/>
      <c r="E9" s="312" t="s">
        <v>20</v>
      </c>
      <c r="F9" s="312"/>
      <c r="G9" s="312"/>
      <c r="H9" s="312"/>
      <c r="I9" s="312"/>
      <c r="J9" s="312"/>
      <c r="K9" s="312"/>
      <c r="L9" s="312"/>
      <c r="M9" s="312"/>
      <c r="N9" s="312"/>
      <c r="O9" s="204" t="s">
        <v>174</v>
      </c>
      <c r="P9" s="202"/>
      <c r="Q9" s="202"/>
      <c r="R9" s="202"/>
      <c r="S9" s="202"/>
      <c r="T9" s="203"/>
      <c r="U9" s="313" t="s">
        <v>21</v>
      </c>
      <c r="V9" s="314"/>
      <c r="W9" s="314"/>
      <c r="X9" s="314"/>
      <c r="Y9" s="314"/>
      <c r="Z9" s="314"/>
      <c r="AA9" s="314"/>
      <c r="AB9" s="314"/>
      <c r="AC9" s="314"/>
      <c r="AD9" s="314"/>
      <c r="AE9" s="314"/>
      <c r="AF9" s="314"/>
      <c r="AG9" s="314"/>
      <c r="AH9" s="314"/>
      <c r="AI9" s="314"/>
      <c r="AJ9" s="314"/>
      <c r="AK9" s="314"/>
      <c r="AL9" s="314"/>
      <c r="AM9" s="314"/>
      <c r="AN9" s="314"/>
      <c r="AO9" s="314"/>
      <c r="AP9" s="314"/>
      <c r="AQ9" s="314"/>
      <c r="AR9" s="314"/>
      <c r="AS9" s="314"/>
      <c r="AT9" s="314"/>
      <c r="AU9" s="314"/>
      <c r="AV9" s="314"/>
      <c r="AW9" s="314"/>
      <c r="AX9" s="314"/>
      <c r="AY9" s="314"/>
      <c r="AZ9" s="314"/>
      <c r="BA9" s="314"/>
      <c r="BB9" s="314"/>
      <c r="BC9" s="314"/>
      <c r="BD9" s="314"/>
      <c r="BE9" s="314"/>
      <c r="BF9" s="314"/>
      <c r="BG9" s="314"/>
      <c r="BH9" s="314"/>
      <c r="BI9" s="314"/>
      <c r="BJ9" s="314"/>
      <c r="BK9" s="315"/>
    </row>
    <row r="10" spans="1:63" s="310" customFormat="1" ht="15" customHeight="1" x14ac:dyDescent="0.25">
      <c r="A10" s="342"/>
      <c r="B10" s="343"/>
      <c r="C10" s="343"/>
      <c r="D10" s="343"/>
      <c r="E10" s="344"/>
      <c r="F10" s="344"/>
      <c r="G10" s="344"/>
      <c r="H10" s="344"/>
      <c r="I10" s="344"/>
      <c r="J10" s="344"/>
      <c r="K10" s="344"/>
      <c r="L10" s="344"/>
      <c r="M10" s="344"/>
      <c r="N10" s="344"/>
      <c r="O10" s="345"/>
      <c r="P10" s="345"/>
      <c r="Q10" s="345"/>
      <c r="R10" s="345"/>
      <c r="S10" s="345"/>
      <c r="T10" s="345"/>
      <c r="U10" s="346"/>
      <c r="V10" s="346"/>
      <c r="W10" s="343"/>
      <c r="X10" s="343"/>
      <c r="Y10" s="347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8"/>
      <c r="AK10" s="348"/>
      <c r="AL10" s="348"/>
      <c r="AM10" s="348"/>
      <c r="AN10" s="348"/>
      <c r="AO10" s="348"/>
      <c r="AP10" s="348"/>
      <c r="AQ10" s="348"/>
      <c r="AR10" s="348"/>
      <c r="AS10" s="348"/>
      <c r="AT10" s="348"/>
      <c r="AU10" s="348"/>
      <c r="AV10" s="348"/>
      <c r="AW10" s="348"/>
      <c r="AX10" s="348"/>
      <c r="AY10" s="344"/>
      <c r="AZ10" s="344"/>
      <c r="BA10" s="344"/>
      <c r="BB10" s="344"/>
      <c r="BC10" s="344"/>
      <c r="BD10" s="344"/>
      <c r="BE10" s="344"/>
      <c r="BF10" s="344"/>
      <c r="BG10" s="344"/>
      <c r="BH10" s="344"/>
      <c r="BI10" s="344"/>
      <c r="BJ10" s="344"/>
      <c r="BK10" s="349"/>
    </row>
    <row r="11" spans="1:63" s="310" customFormat="1" ht="15" customHeight="1" x14ac:dyDescent="0.25">
      <c r="A11" s="316" t="s">
        <v>13</v>
      </c>
      <c r="B11" s="317"/>
      <c r="C11" s="317"/>
      <c r="D11" s="317"/>
      <c r="E11" s="317"/>
      <c r="F11" s="318"/>
      <c r="G11" s="312" t="s">
        <v>14</v>
      </c>
      <c r="H11" s="312"/>
      <c r="I11" s="312"/>
      <c r="J11" s="312"/>
      <c r="K11" s="312"/>
      <c r="L11" s="312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320"/>
      <c r="BI11" s="320"/>
      <c r="BJ11" s="320"/>
      <c r="BK11" s="321"/>
    </row>
    <row r="12" spans="1:63" s="310" customFormat="1" ht="15" customHeight="1" x14ac:dyDescent="0.25">
      <c r="A12" s="322" t="s">
        <v>15</v>
      </c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4"/>
      <c r="M12" s="322" t="s">
        <v>16</v>
      </c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3"/>
      <c r="AM12" s="323"/>
      <c r="AN12" s="323"/>
      <c r="AO12" s="323"/>
      <c r="AP12" s="323"/>
      <c r="AQ12" s="323"/>
      <c r="AR12" s="323"/>
      <c r="AS12" s="323"/>
      <c r="AT12" s="324"/>
      <c r="AU12" s="322" t="s">
        <v>17</v>
      </c>
      <c r="AV12" s="323"/>
      <c r="AW12" s="323"/>
      <c r="AX12" s="323"/>
      <c r="AY12" s="323"/>
      <c r="AZ12" s="323"/>
      <c r="BA12" s="323"/>
      <c r="BB12" s="323"/>
      <c r="BC12" s="323"/>
      <c r="BD12" s="323"/>
      <c r="BE12" s="323"/>
      <c r="BF12" s="322" t="s">
        <v>18</v>
      </c>
      <c r="BG12" s="323"/>
      <c r="BH12" s="323"/>
      <c r="BI12" s="323"/>
      <c r="BJ12" s="323"/>
      <c r="BK12" s="324"/>
    </row>
    <row r="13" spans="1:63" s="310" customFormat="1" ht="15" customHeight="1" x14ac:dyDescent="0.25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  <c r="M13" s="325"/>
      <c r="N13" s="326"/>
      <c r="O13" s="326"/>
      <c r="P13" s="326"/>
      <c r="Q13" s="326"/>
      <c r="R13" s="326"/>
      <c r="S13" s="326"/>
      <c r="T13" s="326"/>
      <c r="U13" s="326"/>
      <c r="V13" s="326"/>
      <c r="W13" s="326"/>
      <c r="X13" s="326"/>
      <c r="Y13" s="326"/>
      <c r="Z13" s="326"/>
      <c r="AA13" s="326"/>
      <c r="AB13" s="326"/>
      <c r="AC13" s="326"/>
      <c r="AD13" s="326"/>
      <c r="AE13" s="326"/>
      <c r="AF13" s="326"/>
      <c r="AG13" s="326"/>
      <c r="AH13" s="326"/>
      <c r="AI13" s="326"/>
      <c r="AJ13" s="326"/>
      <c r="AK13" s="326"/>
      <c r="AL13" s="326"/>
      <c r="AM13" s="326"/>
      <c r="AN13" s="326"/>
      <c r="AO13" s="326"/>
      <c r="AP13" s="326"/>
      <c r="AQ13" s="326"/>
      <c r="AR13" s="326"/>
      <c r="AS13" s="326"/>
      <c r="AT13" s="327"/>
      <c r="AU13" s="325"/>
      <c r="AV13" s="326"/>
      <c r="AW13" s="326"/>
      <c r="AX13" s="326"/>
      <c r="AY13" s="326"/>
      <c r="AZ13" s="326"/>
      <c r="BA13" s="326"/>
      <c r="BB13" s="326"/>
      <c r="BC13" s="326"/>
      <c r="BD13" s="326"/>
      <c r="BE13" s="326"/>
      <c r="BF13" s="325"/>
      <c r="BG13" s="326"/>
      <c r="BH13" s="326"/>
      <c r="BI13" s="326"/>
      <c r="BJ13" s="326"/>
      <c r="BK13" s="327"/>
    </row>
    <row r="14" spans="1:63" s="310" customFormat="1" ht="15" customHeight="1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2"/>
      <c r="M14" s="328"/>
      <c r="N14" s="328"/>
      <c r="O14" s="328"/>
      <c r="P14" s="328"/>
      <c r="Q14" s="328"/>
      <c r="R14" s="329"/>
      <c r="S14" s="329"/>
      <c r="T14" s="329"/>
      <c r="U14" s="329"/>
      <c r="V14" s="329"/>
      <c r="W14" s="329"/>
      <c r="X14" s="329"/>
      <c r="Y14" s="329"/>
      <c r="Z14" s="329"/>
      <c r="AA14" s="329"/>
      <c r="AB14" s="329"/>
      <c r="AC14" s="329"/>
      <c r="AD14" s="329"/>
      <c r="AE14" s="329"/>
      <c r="AF14" s="329"/>
      <c r="AG14" s="329"/>
      <c r="AH14" s="329"/>
      <c r="AI14" s="329"/>
      <c r="AJ14" s="329"/>
      <c r="AK14" s="329"/>
      <c r="AL14" s="329"/>
      <c r="AM14" s="329"/>
      <c r="AN14" s="329"/>
      <c r="AO14" s="329"/>
      <c r="AP14" s="329"/>
      <c r="AQ14" s="329"/>
      <c r="AR14" s="329"/>
      <c r="AS14" s="329"/>
      <c r="AT14" s="329"/>
      <c r="AU14" s="20"/>
      <c r="AV14" s="21"/>
      <c r="AW14" s="21"/>
      <c r="AX14" s="21"/>
      <c r="AY14" s="21"/>
      <c r="AZ14" s="21"/>
      <c r="BA14" s="21"/>
      <c r="BB14" s="21"/>
      <c r="BC14" s="21"/>
      <c r="BD14" s="21"/>
      <c r="BE14" s="22"/>
      <c r="BF14" s="195"/>
      <c r="BG14" s="196"/>
      <c r="BH14" s="196"/>
      <c r="BI14" s="196"/>
      <c r="BJ14" s="196"/>
      <c r="BK14" s="197"/>
    </row>
    <row r="15" spans="1:63" s="310" customFormat="1" ht="15" customHeight="1" x14ac:dyDescent="0.25">
      <c r="A15" s="2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5"/>
      <c r="M15" s="328"/>
      <c r="N15" s="331" t="s">
        <v>214</v>
      </c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28"/>
      <c r="AD15" s="328"/>
      <c r="AE15" s="328"/>
      <c r="AF15" s="328"/>
      <c r="AG15" s="328"/>
      <c r="AH15" s="328"/>
      <c r="AI15" s="328"/>
      <c r="AJ15" s="328"/>
      <c r="AK15" s="328"/>
      <c r="AL15" s="328"/>
      <c r="AM15" s="328"/>
      <c r="AN15" s="328"/>
      <c r="AO15" s="328"/>
      <c r="AP15" s="328"/>
      <c r="AQ15" s="328"/>
      <c r="AR15" s="328"/>
      <c r="AS15" s="328"/>
      <c r="AT15" s="328"/>
      <c r="AU15" s="24"/>
      <c r="AV15" s="35"/>
      <c r="AW15" s="35"/>
      <c r="AX15" s="35"/>
      <c r="AY15" s="35"/>
      <c r="AZ15" s="35"/>
      <c r="BA15" s="35"/>
      <c r="BB15" s="35"/>
      <c r="BC15" s="35"/>
      <c r="BD15" s="35"/>
      <c r="BE15" s="25"/>
      <c r="BF15" s="198"/>
      <c r="BG15" s="199"/>
      <c r="BH15" s="199"/>
      <c r="BI15" s="199"/>
      <c r="BJ15" s="199"/>
      <c r="BK15" s="200"/>
    </row>
    <row r="16" spans="1:63" s="310" customFormat="1" ht="15" customHeight="1" x14ac:dyDescent="0.25">
      <c r="A16" s="2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5"/>
      <c r="M16" s="330"/>
      <c r="N16" s="328"/>
      <c r="O16" s="331"/>
      <c r="P16" s="331"/>
      <c r="Q16" s="331"/>
      <c r="R16" s="331"/>
      <c r="S16" s="331"/>
      <c r="T16" s="331"/>
      <c r="U16" s="331"/>
      <c r="V16" s="331"/>
      <c r="W16" s="331"/>
      <c r="X16" s="331"/>
      <c r="Y16" s="331"/>
      <c r="Z16" s="331"/>
      <c r="AA16" s="331"/>
      <c r="AB16" s="331"/>
      <c r="AC16" s="331"/>
      <c r="AD16" s="331"/>
      <c r="AE16" s="331"/>
      <c r="AF16" s="331"/>
      <c r="AG16" s="331"/>
      <c r="AH16" s="331"/>
      <c r="AI16" s="331"/>
      <c r="AJ16" s="328"/>
      <c r="AK16" s="328"/>
      <c r="AL16" s="328"/>
      <c r="AM16" s="328"/>
      <c r="AN16" s="328"/>
      <c r="AO16" s="328"/>
      <c r="AP16" s="328"/>
      <c r="AQ16" s="328"/>
      <c r="AR16" s="328"/>
      <c r="AS16" s="328"/>
      <c r="AT16" s="328"/>
      <c r="AU16" s="24"/>
      <c r="AV16" s="35"/>
      <c r="AW16" s="35"/>
      <c r="AX16" s="35"/>
      <c r="AY16" s="35"/>
      <c r="AZ16" s="35"/>
      <c r="BA16" s="35"/>
      <c r="BB16" s="35"/>
      <c r="BC16" s="35"/>
      <c r="BD16" s="35"/>
      <c r="BE16" s="25"/>
      <c r="BF16" s="198"/>
      <c r="BG16" s="199"/>
      <c r="BH16" s="199"/>
      <c r="BI16" s="199"/>
      <c r="BJ16" s="199"/>
      <c r="BK16" s="200"/>
    </row>
    <row r="17" spans="1:63" s="310" customFormat="1" ht="15" customHeight="1" x14ac:dyDescent="0.25">
      <c r="A17" s="2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25"/>
      <c r="M17" s="328"/>
      <c r="O17" s="331"/>
      <c r="P17" s="331"/>
      <c r="Q17" s="331"/>
      <c r="R17" s="331"/>
      <c r="S17" s="331"/>
      <c r="T17" s="331"/>
      <c r="U17" s="331"/>
      <c r="V17" s="331"/>
      <c r="W17" s="331"/>
      <c r="X17" s="331"/>
      <c r="Y17" s="331"/>
      <c r="Z17" s="331"/>
      <c r="AA17" s="331"/>
      <c r="AB17" s="331"/>
      <c r="AC17" s="331"/>
      <c r="AD17" s="331"/>
      <c r="AE17" s="331"/>
      <c r="AF17" s="331"/>
      <c r="AG17" s="331"/>
      <c r="AH17" s="331"/>
      <c r="AI17" s="331"/>
      <c r="AJ17" s="328"/>
      <c r="AK17" s="328"/>
      <c r="AL17" s="328"/>
      <c r="AM17" s="328"/>
      <c r="AN17" s="328"/>
      <c r="AO17" s="328"/>
      <c r="AP17" s="328"/>
      <c r="AQ17" s="328"/>
      <c r="AR17" s="328"/>
      <c r="AS17" s="328"/>
      <c r="AT17" s="328"/>
      <c r="AU17" s="24"/>
      <c r="AV17" s="35"/>
      <c r="AW17" s="35"/>
      <c r="AX17" s="35"/>
      <c r="AY17" s="35"/>
      <c r="AZ17" s="35"/>
      <c r="BA17" s="35"/>
      <c r="BB17" s="35"/>
      <c r="BC17" s="35"/>
      <c r="BD17" s="35"/>
      <c r="BE17" s="25"/>
      <c r="BF17" s="198"/>
      <c r="BG17" s="199"/>
      <c r="BH17" s="199"/>
      <c r="BI17" s="199"/>
      <c r="BJ17" s="199"/>
      <c r="BK17" s="200"/>
    </row>
    <row r="18" spans="1:63" s="310" customFormat="1" ht="15" customHeight="1" x14ac:dyDescent="0.25">
      <c r="A18" s="2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25"/>
      <c r="M18" s="328"/>
      <c r="N18" s="328"/>
      <c r="O18" s="331"/>
      <c r="P18" s="331"/>
      <c r="Q18" s="331"/>
      <c r="R18" s="331"/>
      <c r="S18" s="331"/>
      <c r="T18" s="331"/>
      <c r="U18" s="331"/>
      <c r="V18" s="331"/>
      <c r="W18" s="331"/>
      <c r="X18" s="331"/>
      <c r="Y18" s="331"/>
      <c r="Z18" s="331"/>
      <c r="AA18" s="331"/>
      <c r="AB18" s="331"/>
      <c r="AC18" s="331"/>
      <c r="AD18" s="331"/>
      <c r="AE18" s="331"/>
      <c r="AF18" s="331"/>
      <c r="AG18" s="331"/>
      <c r="AH18" s="331"/>
      <c r="AI18" s="331"/>
      <c r="AJ18" s="328"/>
      <c r="AK18" s="328"/>
      <c r="AL18" s="328"/>
      <c r="AM18" s="328"/>
      <c r="AN18" s="328"/>
      <c r="AO18" s="328"/>
      <c r="AP18" s="328"/>
      <c r="AQ18" s="328"/>
      <c r="AR18" s="328"/>
      <c r="AS18" s="328"/>
      <c r="AT18" s="328"/>
      <c r="AU18" s="24"/>
      <c r="AV18" s="35"/>
      <c r="AW18" s="35"/>
      <c r="AX18" s="35"/>
      <c r="AY18" s="35"/>
      <c r="AZ18" s="35"/>
      <c r="BA18" s="35"/>
      <c r="BB18" s="35"/>
      <c r="BC18" s="35"/>
      <c r="BD18" s="35"/>
      <c r="BE18" s="25"/>
      <c r="BF18" s="198"/>
      <c r="BG18" s="199"/>
      <c r="BH18" s="199"/>
      <c r="BI18" s="199"/>
      <c r="BJ18" s="199"/>
      <c r="BK18" s="200"/>
    </row>
    <row r="19" spans="1:63" s="310" customFormat="1" ht="15" customHeight="1" x14ac:dyDescent="0.25">
      <c r="A19" s="2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25"/>
      <c r="M19" s="328"/>
      <c r="N19" s="328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  <c r="AF19" s="331"/>
      <c r="AG19" s="331"/>
      <c r="AH19" s="331"/>
      <c r="AI19" s="331"/>
      <c r="AJ19" s="328"/>
      <c r="AK19" s="328"/>
      <c r="AL19" s="328"/>
      <c r="AM19" s="328"/>
      <c r="AN19" s="328"/>
      <c r="AO19" s="328"/>
      <c r="AP19" s="328"/>
      <c r="AQ19" s="328"/>
      <c r="AR19" s="328"/>
      <c r="AS19" s="328"/>
      <c r="AT19" s="328"/>
      <c r="AU19" s="24"/>
      <c r="AV19" s="35"/>
      <c r="AW19" s="35"/>
      <c r="AX19" s="35"/>
      <c r="AY19" s="35"/>
      <c r="AZ19" s="35"/>
      <c r="BA19" s="35"/>
      <c r="BB19" s="35"/>
      <c r="BC19" s="35"/>
      <c r="BD19" s="35"/>
      <c r="BE19" s="25"/>
      <c r="BF19" s="198"/>
      <c r="BG19" s="199"/>
      <c r="BH19" s="199"/>
      <c r="BI19" s="199"/>
      <c r="BJ19" s="199"/>
      <c r="BK19" s="200"/>
    </row>
    <row r="20" spans="1:63" s="310" customFormat="1" ht="15" customHeight="1" x14ac:dyDescent="0.25">
      <c r="A20" s="2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25"/>
      <c r="M20" s="328"/>
      <c r="N20" s="328"/>
      <c r="O20" s="331"/>
      <c r="P20" s="331"/>
      <c r="Q20" s="331"/>
      <c r="R20" s="331"/>
      <c r="S20" s="331"/>
      <c r="T20" s="331"/>
      <c r="U20" s="331"/>
      <c r="V20" s="331"/>
      <c r="W20" s="331"/>
      <c r="X20" s="331"/>
      <c r="Y20" s="331"/>
      <c r="Z20" s="331"/>
      <c r="AA20" s="331"/>
      <c r="AB20" s="331"/>
      <c r="AC20" s="331"/>
      <c r="AD20" s="331"/>
      <c r="AE20" s="331"/>
      <c r="AF20" s="331"/>
      <c r="AG20" s="331"/>
      <c r="AH20" s="331"/>
      <c r="AI20" s="331"/>
      <c r="AJ20" s="328"/>
      <c r="AK20" s="328"/>
      <c r="AL20" s="328"/>
      <c r="AM20" s="328"/>
      <c r="AN20" s="328"/>
      <c r="AO20" s="328"/>
      <c r="AP20" s="328"/>
      <c r="AQ20" s="328"/>
      <c r="AR20" s="328"/>
      <c r="AS20" s="328"/>
      <c r="AT20" s="328"/>
      <c r="AU20" s="24"/>
      <c r="AV20" s="35"/>
      <c r="AW20" s="35"/>
      <c r="AX20" s="35"/>
      <c r="AY20" s="35"/>
      <c r="AZ20" s="35"/>
      <c r="BA20" s="35"/>
      <c r="BB20" s="35"/>
      <c r="BC20" s="35"/>
      <c r="BD20" s="35"/>
      <c r="BE20" s="25"/>
      <c r="BF20" s="198"/>
      <c r="BG20" s="199"/>
      <c r="BH20" s="199"/>
      <c r="BI20" s="199"/>
      <c r="BJ20" s="199"/>
      <c r="BK20" s="200"/>
    </row>
    <row r="21" spans="1:63" s="310" customFormat="1" ht="15" customHeight="1" x14ac:dyDescent="0.25">
      <c r="A21" s="2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25"/>
      <c r="M21" s="328"/>
      <c r="N21" s="328"/>
      <c r="O21" s="331"/>
      <c r="P21" s="331"/>
      <c r="Q21" s="331"/>
      <c r="R21" s="331"/>
      <c r="S21" s="331"/>
      <c r="T21" s="331"/>
      <c r="U21" s="331"/>
      <c r="V21" s="331"/>
      <c r="W21" s="331"/>
      <c r="X21" s="331"/>
      <c r="Y21" s="331"/>
      <c r="Z21" s="331"/>
      <c r="AA21" s="331"/>
      <c r="AB21" s="331"/>
      <c r="AC21" s="331"/>
      <c r="AD21" s="331"/>
      <c r="AE21" s="331"/>
      <c r="AF21" s="331"/>
      <c r="AG21" s="331"/>
      <c r="AH21" s="331"/>
      <c r="AI21" s="331"/>
      <c r="AJ21" s="328"/>
      <c r="AK21" s="328"/>
      <c r="AL21" s="328"/>
      <c r="AM21" s="328"/>
      <c r="AN21" s="328"/>
      <c r="AO21" s="328"/>
      <c r="AP21" s="328"/>
      <c r="AQ21" s="328"/>
      <c r="AR21" s="328"/>
      <c r="AS21" s="328"/>
      <c r="AT21" s="328"/>
      <c r="AU21" s="24"/>
      <c r="AV21" s="35"/>
      <c r="AW21" s="35"/>
      <c r="AX21" s="35"/>
      <c r="AY21" s="35"/>
      <c r="AZ21" s="35"/>
      <c r="BA21" s="35"/>
      <c r="BB21" s="35"/>
      <c r="BC21" s="35"/>
      <c r="BD21" s="35"/>
      <c r="BE21" s="25"/>
      <c r="BF21" s="198"/>
      <c r="BG21" s="199"/>
      <c r="BH21" s="199"/>
      <c r="BI21" s="199"/>
      <c r="BJ21" s="199"/>
      <c r="BK21" s="200"/>
    </row>
    <row r="22" spans="1:63" s="310" customFormat="1" ht="15" customHeight="1" x14ac:dyDescent="0.25">
      <c r="A22" s="2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25"/>
      <c r="M22" s="328"/>
      <c r="N22" s="328"/>
      <c r="O22" s="331"/>
      <c r="P22" s="331"/>
      <c r="Q22" s="331"/>
      <c r="R22" s="39"/>
      <c r="S22" s="331"/>
      <c r="T22" s="331"/>
      <c r="U22" s="331"/>
      <c r="V22" s="331"/>
      <c r="W22" s="331"/>
      <c r="X22" s="331"/>
      <c r="Y22" s="331"/>
      <c r="Z22" s="331"/>
      <c r="AA22" s="331"/>
      <c r="AB22" s="331"/>
      <c r="AC22" s="331"/>
      <c r="AD22" s="331"/>
      <c r="AE22" s="331"/>
      <c r="AF22" s="331"/>
      <c r="AG22" s="331"/>
      <c r="AH22" s="331"/>
      <c r="AI22" s="331"/>
      <c r="AJ22" s="328"/>
      <c r="AK22" s="328"/>
      <c r="AL22" s="328"/>
      <c r="AM22" s="328"/>
      <c r="AN22" s="328"/>
      <c r="AO22" s="328"/>
      <c r="AP22" s="328"/>
      <c r="AQ22" s="328"/>
      <c r="AR22" s="328"/>
      <c r="AS22" s="328"/>
      <c r="AT22" s="328"/>
      <c r="AU22" s="24"/>
      <c r="AV22" s="35"/>
      <c r="AW22" s="35"/>
      <c r="AX22" s="35"/>
      <c r="AY22" s="35"/>
      <c r="AZ22" s="35"/>
      <c r="BA22" s="35"/>
      <c r="BB22" s="35"/>
      <c r="BC22" s="35"/>
      <c r="BD22" s="35"/>
      <c r="BE22" s="25"/>
      <c r="BF22" s="198"/>
      <c r="BG22" s="199"/>
      <c r="BH22" s="199"/>
      <c r="BI22" s="199"/>
      <c r="BJ22" s="199"/>
      <c r="BK22" s="200"/>
    </row>
    <row r="23" spans="1:63" s="310" customFormat="1" ht="15" customHeight="1" x14ac:dyDescent="0.25">
      <c r="A23" s="2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25"/>
      <c r="M23" s="328"/>
      <c r="N23" s="328"/>
      <c r="O23" s="331"/>
      <c r="P23" s="331"/>
      <c r="Q23" s="331"/>
      <c r="R23" s="331"/>
      <c r="S23" s="331"/>
      <c r="T23" s="331"/>
      <c r="U23" s="331"/>
      <c r="V23" s="331"/>
      <c r="W23" s="331"/>
      <c r="X23" s="331"/>
      <c r="Y23" s="331"/>
      <c r="Z23" s="331"/>
      <c r="AA23" s="331"/>
      <c r="AB23" s="331"/>
      <c r="AC23" s="331"/>
      <c r="AD23" s="331"/>
      <c r="AE23" s="331"/>
      <c r="AF23" s="331"/>
      <c r="AG23" s="331"/>
      <c r="AH23" s="331"/>
      <c r="AI23" s="331"/>
      <c r="AJ23" s="328"/>
      <c r="AK23" s="328"/>
      <c r="AL23" s="328"/>
      <c r="AM23" s="328"/>
      <c r="AN23" s="328"/>
      <c r="AO23" s="328"/>
      <c r="AP23" s="328"/>
      <c r="AQ23" s="328"/>
      <c r="AR23" s="328"/>
      <c r="AS23" s="328"/>
      <c r="AT23" s="328"/>
      <c r="AU23" s="24"/>
      <c r="AV23" s="35"/>
      <c r="AW23" s="35"/>
      <c r="AX23" s="35"/>
      <c r="AY23" s="35"/>
      <c r="AZ23" s="35"/>
      <c r="BA23" s="35"/>
      <c r="BB23" s="35"/>
      <c r="BC23" s="35"/>
      <c r="BD23" s="35"/>
      <c r="BE23" s="25"/>
      <c r="BF23" s="198"/>
      <c r="BG23" s="199"/>
      <c r="BH23" s="199"/>
      <c r="BI23" s="199"/>
      <c r="BJ23" s="199"/>
      <c r="BK23" s="200"/>
    </row>
    <row r="24" spans="1:63" s="310" customFormat="1" ht="15" customHeight="1" x14ac:dyDescent="0.25">
      <c r="A24" s="2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25"/>
      <c r="M24" s="328"/>
      <c r="N24" s="328"/>
      <c r="O24" s="331"/>
      <c r="P24" s="331"/>
      <c r="Q24" s="331"/>
      <c r="R24" s="331"/>
      <c r="S24" s="331"/>
      <c r="T24" s="331"/>
      <c r="U24" s="331"/>
      <c r="V24" s="331"/>
      <c r="W24" s="331"/>
      <c r="X24" s="331"/>
      <c r="Y24" s="331"/>
      <c r="Z24" s="331"/>
      <c r="AA24" s="331"/>
      <c r="AB24" s="331"/>
      <c r="AC24" s="331"/>
      <c r="AD24" s="331"/>
      <c r="AE24" s="331"/>
      <c r="AF24" s="331"/>
      <c r="AG24" s="331"/>
      <c r="AH24" s="331"/>
      <c r="AI24" s="331"/>
      <c r="AJ24" s="328"/>
      <c r="AK24" s="328"/>
      <c r="AL24" s="328"/>
      <c r="AM24" s="328"/>
      <c r="AN24" s="328"/>
      <c r="AO24" s="328"/>
      <c r="AP24" s="328"/>
      <c r="AQ24" s="328"/>
      <c r="AR24" s="328"/>
      <c r="AS24" s="328"/>
      <c r="AT24" s="328"/>
      <c r="AU24" s="24"/>
      <c r="AV24" s="35"/>
      <c r="AW24" s="35"/>
      <c r="AX24" s="35"/>
      <c r="AY24" s="35"/>
      <c r="AZ24" s="35"/>
      <c r="BA24" s="35"/>
      <c r="BB24" s="35"/>
      <c r="BC24" s="35"/>
      <c r="BD24" s="35"/>
      <c r="BE24" s="25"/>
      <c r="BF24" s="198"/>
      <c r="BG24" s="199"/>
      <c r="BH24" s="199"/>
      <c r="BI24" s="199"/>
      <c r="BJ24" s="199"/>
      <c r="BK24" s="200"/>
    </row>
    <row r="25" spans="1:63" s="310" customFormat="1" ht="15" customHeight="1" x14ac:dyDescent="0.25">
      <c r="A25" s="2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25"/>
      <c r="M25" s="328"/>
      <c r="N25" s="328"/>
      <c r="O25" s="331"/>
      <c r="P25" s="331"/>
      <c r="Q25" s="331"/>
      <c r="R25" s="331"/>
      <c r="S25" s="331"/>
      <c r="T25" s="331"/>
      <c r="U25" s="331"/>
      <c r="V25" s="331"/>
      <c r="W25" s="331"/>
      <c r="X25" s="331"/>
      <c r="Y25" s="331"/>
      <c r="Z25" s="331"/>
      <c r="AA25" s="331"/>
      <c r="AB25" s="331"/>
      <c r="AC25" s="331"/>
      <c r="AD25" s="331"/>
      <c r="AE25" s="331"/>
      <c r="AF25" s="331"/>
      <c r="AG25" s="331"/>
      <c r="AH25" s="331"/>
      <c r="AI25" s="331"/>
      <c r="AJ25" s="328"/>
      <c r="AK25" s="328"/>
      <c r="AL25" s="328"/>
      <c r="AM25" s="328"/>
      <c r="AN25" s="328"/>
      <c r="AO25" s="328"/>
      <c r="AP25" s="328"/>
      <c r="AQ25" s="328"/>
      <c r="AR25" s="328"/>
      <c r="AS25" s="328"/>
      <c r="AT25" s="328"/>
      <c r="AU25" s="24"/>
      <c r="AV25" s="35"/>
      <c r="AW25" s="35"/>
      <c r="AX25" s="35"/>
      <c r="AY25" s="35"/>
      <c r="AZ25" s="35"/>
      <c r="BA25" s="35"/>
      <c r="BB25" s="35"/>
      <c r="BC25" s="35"/>
      <c r="BD25" s="35"/>
      <c r="BE25" s="25"/>
      <c r="BF25" s="198"/>
      <c r="BG25" s="199"/>
      <c r="BH25" s="199"/>
      <c r="BI25" s="199"/>
      <c r="BJ25" s="199"/>
      <c r="BK25" s="200"/>
    </row>
    <row r="26" spans="1:63" s="310" customFormat="1" ht="15" customHeight="1" x14ac:dyDescent="0.25">
      <c r="A26" s="2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25"/>
      <c r="M26" s="328"/>
      <c r="N26" s="328" t="s">
        <v>215</v>
      </c>
      <c r="O26" s="331"/>
      <c r="P26" s="331"/>
      <c r="Q26" s="331"/>
      <c r="R26" s="33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331"/>
      <c r="AI26" s="331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24"/>
      <c r="AV26" s="35"/>
      <c r="AW26" s="35"/>
      <c r="AX26" s="35"/>
      <c r="AY26" s="35"/>
      <c r="AZ26" s="35"/>
      <c r="BA26" s="35"/>
      <c r="BB26" s="35"/>
      <c r="BC26" s="35"/>
      <c r="BD26" s="35"/>
      <c r="BE26" s="25"/>
      <c r="BF26" s="198"/>
      <c r="BG26" s="199"/>
      <c r="BH26" s="199"/>
      <c r="BI26" s="199"/>
      <c r="BJ26" s="199"/>
      <c r="BK26" s="200"/>
    </row>
    <row r="27" spans="1:63" s="310" customFormat="1" ht="15" customHeight="1" x14ac:dyDescent="0.25">
      <c r="A27" s="2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25"/>
      <c r="M27" s="328"/>
      <c r="N27" s="328"/>
      <c r="O27" s="331"/>
      <c r="P27" s="331"/>
      <c r="Q27" s="331"/>
      <c r="R27" s="331"/>
      <c r="S27" s="331"/>
      <c r="T27" s="331"/>
      <c r="U27" s="331"/>
      <c r="V27" s="331"/>
      <c r="W27" s="331"/>
      <c r="X27" s="331"/>
      <c r="Y27" s="331"/>
      <c r="Z27" s="331"/>
      <c r="AA27" s="331"/>
      <c r="AB27" s="331"/>
      <c r="AC27" s="331"/>
      <c r="AD27" s="331"/>
      <c r="AE27" s="331"/>
      <c r="AF27" s="331"/>
      <c r="AG27" s="331"/>
      <c r="AH27" s="331"/>
      <c r="AI27" s="331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24"/>
      <c r="AV27" s="35"/>
      <c r="AW27" s="35"/>
      <c r="AX27" s="35"/>
      <c r="AY27" s="35"/>
      <c r="AZ27" s="35"/>
      <c r="BA27" s="35"/>
      <c r="BB27" s="35"/>
      <c r="BC27" s="35"/>
      <c r="BD27" s="35"/>
      <c r="BE27" s="25"/>
      <c r="BF27" s="198"/>
      <c r="BG27" s="199"/>
      <c r="BH27" s="199"/>
      <c r="BI27" s="199"/>
      <c r="BJ27" s="199"/>
      <c r="BK27" s="200"/>
    </row>
    <row r="28" spans="1:63" s="310" customFormat="1" ht="15" customHeight="1" x14ac:dyDescent="0.25">
      <c r="A28" s="2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25"/>
      <c r="M28" s="328"/>
      <c r="N28" s="328"/>
      <c r="O28" s="331"/>
      <c r="P28" s="331"/>
      <c r="Q28" s="331"/>
      <c r="R28" s="331"/>
      <c r="S28" s="331"/>
      <c r="T28" s="331"/>
      <c r="U28" s="331"/>
      <c r="V28" s="331"/>
      <c r="W28" s="331"/>
      <c r="X28" s="331"/>
      <c r="Y28" s="331"/>
      <c r="Z28" s="331"/>
      <c r="AA28" s="331"/>
      <c r="AB28" s="331"/>
      <c r="AC28" s="331"/>
      <c r="AD28" s="331"/>
      <c r="AE28" s="331"/>
      <c r="AF28" s="331"/>
      <c r="AG28" s="331"/>
      <c r="AH28" s="331"/>
      <c r="AI28" s="331"/>
      <c r="AJ28" s="328"/>
      <c r="AK28" s="328"/>
      <c r="AL28" s="328"/>
      <c r="AM28" s="328"/>
      <c r="AN28" s="328"/>
      <c r="AO28" s="328"/>
      <c r="AP28" s="328"/>
      <c r="AQ28" s="328"/>
      <c r="AR28" s="328"/>
      <c r="AS28" s="328"/>
      <c r="AT28" s="328"/>
      <c r="AU28" s="24"/>
      <c r="AV28" s="35"/>
      <c r="AW28" s="35"/>
      <c r="AX28" s="35"/>
      <c r="AY28" s="35"/>
      <c r="AZ28" s="35"/>
      <c r="BA28" s="35"/>
      <c r="BB28" s="35"/>
      <c r="BC28" s="35"/>
      <c r="BD28" s="35"/>
      <c r="BE28" s="25"/>
      <c r="BF28" s="198"/>
      <c r="BG28" s="199"/>
      <c r="BH28" s="199"/>
      <c r="BI28" s="199"/>
      <c r="BJ28" s="199"/>
      <c r="BK28" s="200"/>
    </row>
    <row r="29" spans="1:63" s="310" customFormat="1" ht="15" customHeight="1" x14ac:dyDescent="0.25">
      <c r="A29" s="2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25"/>
      <c r="M29" s="328"/>
      <c r="N29" s="328"/>
      <c r="O29" s="331"/>
      <c r="P29" s="331"/>
      <c r="Q29" s="331"/>
      <c r="R29" s="331"/>
      <c r="S29" s="331"/>
      <c r="T29" s="331"/>
      <c r="U29" s="331"/>
      <c r="V29" s="331"/>
      <c r="W29" s="331"/>
      <c r="X29" s="331"/>
      <c r="Y29" s="331"/>
      <c r="Z29" s="331"/>
      <c r="AA29" s="331"/>
      <c r="AB29" s="331"/>
      <c r="AC29" s="331"/>
      <c r="AD29" s="331"/>
      <c r="AE29" s="331"/>
      <c r="AF29" s="331"/>
      <c r="AG29" s="331"/>
      <c r="AH29" s="331"/>
      <c r="AI29" s="331"/>
      <c r="AJ29" s="328"/>
      <c r="AK29" s="328"/>
      <c r="AL29" s="328"/>
      <c r="AM29" s="328"/>
      <c r="AN29" s="328"/>
      <c r="AO29" s="328"/>
      <c r="AP29" s="328"/>
      <c r="AQ29" s="328"/>
      <c r="AR29" s="328"/>
      <c r="AS29" s="328"/>
      <c r="AT29" s="328"/>
      <c r="AU29" s="24"/>
      <c r="AV29" s="35"/>
      <c r="AW29" s="35"/>
      <c r="AX29" s="35"/>
      <c r="AY29" s="35"/>
      <c r="AZ29" s="35"/>
      <c r="BA29" s="35"/>
      <c r="BB29" s="35"/>
      <c r="BC29" s="35"/>
      <c r="BD29" s="35"/>
      <c r="BE29" s="25"/>
      <c r="BF29" s="198"/>
      <c r="BG29" s="199"/>
      <c r="BH29" s="199"/>
      <c r="BI29" s="199"/>
      <c r="BJ29" s="199"/>
      <c r="BK29" s="200"/>
    </row>
    <row r="30" spans="1:63" s="310" customFormat="1" ht="15" customHeight="1" x14ac:dyDescent="0.25">
      <c r="A30" s="2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25"/>
      <c r="M30" s="328"/>
      <c r="N30" s="328"/>
      <c r="O30" s="331"/>
      <c r="P30" s="331"/>
      <c r="Q30" s="331"/>
      <c r="R30" s="331"/>
      <c r="S30" s="331"/>
      <c r="T30" s="331"/>
      <c r="U30" s="331"/>
      <c r="V30" s="331"/>
      <c r="W30" s="331"/>
      <c r="X30" s="331"/>
      <c r="Y30" s="331"/>
      <c r="Z30" s="331"/>
      <c r="AA30" s="331"/>
      <c r="AB30" s="331"/>
      <c r="AC30" s="331"/>
      <c r="AD30" s="331"/>
      <c r="AE30" s="331"/>
      <c r="AF30" s="331"/>
      <c r="AG30" s="331"/>
      <c r="AH30" s="331"/>
      <c r="AI30" s="331"/>
      <c r="AJ30" s="328"/>
      <c r="AK30" s="328"/>
      <c r="AL30" s="328"/>
      <c r="AM30" s="328"/>
      <c r="AN30" s="328"/>
      <c r="AO30" s="328"/>
      <c r="AP30" s="328"/>
      <c r="AQ30" s="328"/>
      <c r="AR30" s="328"/>
      <c r="AS30" s="328"/>
      <c r="AT30" s="328"/>
      <c r="AU30" s="24"/>
      <c r="AV30" s="35"/>
      <c r="AW30" s="35"/>
      <c r="AX30" s="35"/>
      <c r="AY30" s="35"/>
      <c r="AZ30" s="35"/>
      <c r="BA30" s="35"/>
      <c r="BB30" s="35"/>
      <c r="BC30" s="35"/>
      <c r="BD30" s="35"/>
      <c r="BE30" s="25"/>
      <c r="BF30" s="198"/>
      <c r="BG30" s="199"/>
      <c r="BH30" s="199"/>
      <c r="BI30" s="199"/>
      <c r="BJ30" s="199"/>
      <c r="BK30" s="200"/>
    </row>
    <row r="31" spans="1:63" s="310" customFormat="1" ht="15" customHeight="1" x14ac:dyDescent="0.25">
      <c r="A31" s="2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25"/>
      <c r="M31" s="328"/>
      <c r="N31" s="328"/>
      <c r="O31" s="331"/>
      <c r="P31" s="331"/>
      <c r="Q31" s="331"/>
      <c r="R31" s="40"/>
      <c r="S31" s="40"/>
      <c r="T31" s="328"/>
      <c r="U31" s="331"/>
      <c r="V31" s="331"/>
      <c r="W31" s="331"/>
      <c r="X31" s="331"/>
      <c r="Y31" s="331"/>
      <c r="Z31" s="331"/>
      <c r="AA31" s="331"/>
      <c r="AB31" s="331"/>
      <c r="AC31" s="331"/>
      <c r="AD31" s="331"/>
      <c r="AE31" s="331"/>
      <c r="AF31" s="331"/>
      <c r="AG31" s="331"/>
      <c r="AH31" s="331"/>
      <c r="AI31" s="331"/>
      <c r="AJ31" s="328"/>
      <c r="AK31" s="328"/>
      <c r="AL31" s="328"/>
      <c r="AM31" s="328"/>
      <c r="AN31" s="328"/>
      <c r="AO31" s="328"/>
      <c r="AP31" s="328"/>
      <c r="AQ31" s="328"/>
      <c r="AR31" s="328"/>
      <c r="AS31" s="328"/>
      <c r="AT31" s="328"/>
      <c r="AU31" s="24"/>
      <c r="AV31" s="35"/>
      <c r="AW31" s="35"/>
      <c r="AX31" s="35"/>
      <c r="AY31" s="35"/>
      <c r="AZ31" s="35"/>
      <c r="BA31" s="35"/>
      <c r="BB31" s="35"/>
      <c r="BC31" s="35"/>
      <c r="BD31" s="35"/>
      <c r="BE31" s="25"/>
      <c r="BF31" s="198"/>
      <c r="BG31" s="199"/>
      <c r="BH31" s="199"/>
      <c r="BI31" s="199"/>
      <c r="BJ31" s="199"/>
      <c r="BK31" s="200"/>
    </row>
    <row r="32" spans="1:63" s="310" customFormat="1" ht="15" customHeight="1" x14ac:dyDescent="0.25">
      <c r="A32" s="2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25"/>
      <c r="M32" s="328"/>
      <c r="N32" s="328"/>
      <c r="O32" s="331"/>
      <c r="P32" s="331"/>
      <c r="Q32" s="331"/>
      <c r="R32" s="40"/>
      <c r="S32" s="40"/>
      <c r="T32" s="328"/>
      <c r="U32" s="331"/>
      <c r="V32" s="331"/>
      <c r="W32" s="331"/>
      <c r="X32" s="331"/>
      <c r="Y32" s="331"/>
      <c r="Z32" s="331"/>
      <c r="AA32" s="331"/>
      <c r="AB32" s="331"/>
      <c r="AC32" s="331"/>
      <c r="AD32" s="331"/>
      <c r="AE32" s="331"/>
      <c r="AF32" s="331"/>
      <c r="AG32" s="331"/>
      <c r="AH32" s="331"/>
      <c r="AI32" s="331"/>
      <c r="AJ32" s="328"/>
      <c r="AK32" s="328"/>
      <c r="AL32" s="328"/>
      <c r="AM32" s="328"/>
      <c r="AN32" s="328"/>
      <c r="AO32" s="328"/>
      <c r="AP32" s="328"/>
      <c r="AQ32" s="328"/>
      <c r="AR32" s="328"/>
      <c r="AS32" s="328"/>
      <c r="AT32" s="328"/>
      <c r="AU32" s="24"/>
      <c r="AV32" s="35"/>
      <c r="AW32" s="35"/>
      <c r="AX32" s="35"/>
      <c r="AY32" s="35"/>
      <c r="AZ32" s="35"/>
      <c r="BA32" s="35"/>
      <c r="BB32" s="35"/>
      <c r="BC32" s="35"/>
      <c r="BD32" s="35"/>
      <c r="BE32" s="25"/>
      <c r="BF32" s="198"/>
      <c r="BG32" s="199"/>
      <c r="BH32" s="199"/>
      <c r="BI32" s="199"/>
      <c r="BJ32" s="199"/>
      <c r="BK32" s="200"/>
    </row>
    <row r="33" spans="1:63" s="310" customFormat="1" ht="15" customHeight="1" x14ac:dyDescent="0.25">
      <c r="A33" s="2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25"/>
      <c r="M33" s="328"/>
      <c r="N33" s="328"/>
      <c r="O33" s="331"/>
      <c r="P33" s="331"/>
      <c r="Q33" s="331"/>
      <c r="R33" s="328"/>
      <c r="S33" s="40"/>
      <c r="T33" s="328"/>
      <c r="U33" s="331"/>
      <c r="V33" s="331"/>
      <c r="W33" s="331"/>
      <c r="X33" s="331"/>
      <c r="Y33" s="331"/>
      <c r="Z33" s="331"/>
      <c r="AA33" s="331"/>
      <c r="AB33" s="331"/>
      <c r="AC33" s="331"/>
      <c r="AD33" s="331"/>
      <c r="AE33" s="331"/>
      <c r="AF33" s="331"/>
      <c r="AG33" s="331"/>
      <c r="AH33" s="331"/>
      <c r="AI33" s="331"/>
      <c r="AJ33" s="328"/>
      <c r="AK33" s="328"/>
      <c r="AL33" s="328"/>
      <c r="AM33" s="328"/>
      <c r="AN33" s="328"/>
      <c r="AO33" s="328"/>
      <c r="AP33" s="328"/>
      <c r="AQ33" s="328"/>
      <c r="AR33" s="328"/>
      <c r="AS33" s="328"/>
      <c r="AT33" s="328"/>
      <c r="AU33" s="24"/>
      <c r="AV33" s="35"/>
      <c r="AW33" s="35"/>
      <c r="AX33" s="35"/>
      <c r="AY33" s="35"/>
      <c r="AZ33" s="35"/>
      <c r="BA33" s="35"/>
      <c r="BB33" s="35"/>
      <c r="BC33" s="35"/>
      <c r="BD33" s="35"/>
      <c r="BE33" s="25"/>
      <c r="BF33" s="198"/>
      <c r="BG33" s="199"/>
      <c r="BH33" s="199"/>
      <c r="BI33" s="199"/>
      <c r="BJ33" s="199"/>
      <c r="BK33" s="200"/>
    </row>
    <row r="34" spans="1:63" s="310" customFormat="1" ht="15" customHeight="1" x14ac:dyDescent="0.25">
      <c r="A34" s="24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25"/>
      <c r="M34" s="328"/>
      <c r="N34" s="328"/>
      <c r="O34" s="331"/>
      <c r="P34" s="331"/>
      <c r="Q34" s="331"/>
      <c r="R34" s="328"/>
      <c r="S34" s="40"/>
      <c r="T34" s="328"/>
      <c r="U34" s="331"/>
      <c r="V34" s="331"/>
      <c r="W34" s="331"/>
      <c r="X34" s="331"/>
      <c r="Y34" s="331"/>
      <c r="Z34" s="331"/>
      <c r="AA34" s="331"/>
      <c r="AB34" s="331"/>
      <c r="AC34" s="331"/>
      <c r="AD34" s="331"/>
      <c r="AE34" s="331"/>
      <c r="AF34" s="331"/>
      <c r="AG34" s="331"/>
      <c r="AH34" s="331"/>
      <c r="AI34" s="331"/>
      <c r="AJ34" s="328"/>
      <c r="AK34" s="328"/>
      <c r="AL34" s="328"/>
      <c r="AM34" s="328"/>
      <c r="AN34" s="328"/>
      <c r="AO34" s="328"/>
      <c r="AP34" s="328"/>
      <c r="AQ34" s="328"/>
      <c r="AR34" s="328"/>
      <c r="AS34" s="328"/>
      <c r="AT34" s="328"/>
      <c r="AU34" s="24"/>
      <c r="AV34" s="35"/>
      <c r="AW34" s="35"/>
      <c r="AX34" s="35"/>
      <c r="AY34" s="35"/>
      <c r="AZ34" s="35"/>
      <c r="BA34" s="35"/>
      <c r="BB34" s="35"/>
      <c r="BC34" s="35"/>
      <c r="BD34" s="35"/>
      <c r="BE34" s="25"/>
      <c r="BF34" s="198"/>
      <c r="BG34" s="199"/>
      <c r="BH34" s="199"/>
      <c r="BI34" s="199"/>
      <c r="BJ34" s="199"/>
      <c r="BK34" s="200"/>
    </row>
    <row r="35" spans="1:63" s="310" customFormat="1" ht="15" customHeight="1" x14ac:dyDescent="0.25">
      <c r="A35" s="24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25"/>
      <c r="M35" s="328"/>
      <c r="N35" s="328"/>
      <c r="O35" s="331"/>
      <c r="P35" s="331"/>
      <c r="Q35" s="331"/>
      <c r="R35" s="328"/>
      <c r="S35" s="40"/>
      <c r="T35" s="328"/>
      <c r="U35" s="331"/>
      <c r="V35" s="331"/>
      <c r="W35" s="331"/>
      <c r="X35" s="331"/>
      <c r="Y35" s="331"/>
      <c r="Z35" s="331"/>
      <c r="AA35" s="331"/>
      <c r="AB35" s="331"/>
      <c r="AC35" s="331"/>
      <c r="AD35" s="331"/>
      <c r="AE35" s="331"/>
      <c r="AF35" s="331"/>
      <c r="AG35" s="331"/>
      <c r="AH35" s="331"/>
      <c r="AI35" s="331"/>
      <c r="AJ35" s="328"/>
      <c r="AK35" s="328"/>
      <c r="AL35" s="328"/>
      <c r="AM35" s="328"/>
      <c r="AN35" s="328"/>
      <c r="AO35" s="328"/>
      <c r="AP35" s="328"/>
      <c r="AQ35" s="328"/>
      <c r="AR35" s="328"/>
      <c r="AS35" s="328"/>
      <c r="AT35" s="328"/>
      <c r="AU35" s="24"/>
      <c r="AV35" s="35"/>
      <c r="AW35" s="35"/>
      <c r="AX35" s="35"/>
      <c r="AY35" s="35"/>
      <c r="AZ35" s="35"/>
      <c r="BA35" s="35"/>
      <c r="BB35" s="35"/>
      <c r="BC35" s="35"/>
      <c r="BD35" s="35"/>
      <c r="BE35" s="25"/>
      <c r="BF35" s="198"/>
      <c r="BG35" s="199"/>
      <c r="BH35" s="199"/>
      <c r="BI35" s="199"/>
      <c r="BJ35" s="199"/>
      <c r="BK35" s="200"/>
    </row>
    <row r="36" spans="1:63" s="310" customFormat="1" ht="15" customHeight="1" x14ac:dyDescent="0.25">
      <c r="A36" s="2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25"/>
      <c r="M36" s="328"/>
      <c r="N36" s="328"/>
      <c r="O36" s="331"/>
      <c r="P36" s="331"/>
      <c r="R36" s="40"/>
      <c r="S36" s="40"/>
      <c r="T36" s="328"/>
      <c r="U36" s="331"/>
      <c r="V36" s="331"/>
      <c r="W36" s="331"/>
      <c r="X36" s="331"/>
      <c r="Y36" s="331"/>
      <c r="Z36" s="331"/>
      <c r="AA36" s="331"/>
      <c r="AB36" s="331"/>
      <c r="AC36" s="331"/>
      <c r="AD36" s="331"/>
      <c r="AE36" s="331"/>
      <c r="AF36" s="331"/>
      <c r="AG36" s="331"/>
      <c r="AH36" s="331"/>
      <c r="AI36" s="331"/>
      <c r="AJ36" s="328"/>
      <c r="AK36" s="328"/>
      <c r="AL36" s="328"/>
      <c r="AM36" s="328"/>
      <c r="AN36" s="328"/>
      <c r="AO36" s="328"/>
      <c r="AP36" s="328"/>
      <c r="AQ36" s="328"/>
      <c r="AR36" s="328"/>
      <c r="AS36" s="328"/>
      <c r="AT36" s="328"/>
      <c r="AU36" s="24"/>
      <c r="AV36" s="35"/>
      <c r="AW36" s="35"/>
      <c r="AX36" s="35"/>
      <c r="AY36" s="35"/>
      <c r="AZ36" s="35"/>
      <c r="BA36" s="35"/>
      <c r="BB36" s="35"/>
      <c r="BC36" s="35"/>
      <c r="BD36" s="35"/>
      <c r="BE36" s="25"/>
      <c r="BF36" s="198"/>
      <c r="BG36" s="199"/>
      <c r="BH36" s="199"/>
      <c r="BI36" s="199"/>
      <c r="BJ36" s="199"/>
      <c r="BK36" s="200"/>
    </row>
    <row r="37" spans="1:63" s="310" customFormat="1" ht="15" customHeight="1" x14ac:dyDescent="0.25">
      <c r="A37" s="2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25"/>
      <c r="M37" s="328"/>
      <c r="N37" s="328"/>
      <c r="O37" s="331"/>
      <c r="P37" s="331"/>
      <c r="Q37" s="331"/>
      <c r="R37" s="331"/>
      <c r="S37" s="331"/>
      <c r="T37" s="331"/>
      <c r="U37" s="331"/>
      <c r="V37" s="331"/>
      <c r="W37" s="331"/>
      <c r="X37" s="331"/>
      <c r="Y37" s="331"/>
      <c r="Z37" s="331"/>
      <c r="AA37" s="331"/>
      <c r="AB37" s="331"/>
      <c r="AC37" s="331"/>
      <c r="AD37" s="331"/>
      <c r="AE37" s="331"/>
      <c r="AF37" s="331"/>
      <c r="AG37" s="331"/>
      <c r="AH37" s="331"/>
      <c r="AI37" s="331"/>
      <c r="AJ37" s="328"/>
      <c r="AK37" s="328"/>
      <c r="AL37" s="328"/>
      <c r="AM37" s="328"/>
      <c r="AN37" s="328"/>
      <c r="AO37" s="328"/>
      <c r="AP37" s="328"/>
      <c r="AQ37" s="328"/>
      <c r="AR37" s="328"/>
      <c r="AS37" s="328"/>
      <c r="AT37" s="328"/>
      <c r="AU37" s="24"/>
      <c r="AV37" s="35"/>
      <c r="AW37" s="35"/>
      <c r="AX37" s="35"/>
      <c r="AY37" s="35"/>
      <c r="AZ37" s="35"/>
      <c r="BA37" s="35"/>
      <c r="BB37" s="35"/>
      <c r="BC37" s="35"/>
      <c r="BD37" s="35"/>
      <c r="BE37" s="25"/>
      <c r="BF37" s="198"/>
      <c r="BG37" s="199"/>
      <c r="BH37" s="199"/>
      <c r="BI37" s="199"/>
      <c r="BJ37" s="199"/>
      <c r="BK37" s="200"/>
    </row>
    <row r="38" spans="1:63" s="310" customFormat="1" ht="15" customHeight="1" x14ac:dyDescent="0.25">
      <c r="A38" s="24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25"/>
      <c r="M38" s="328"/>
      <c r="N38" s="328"/>
      <c r="O38" s="331"/>
      <c r="P38" s="331"/>
      <c r="Q38" s="331"/>
      <c r="R38" s="331"/>
      <c r="S38" s="331"/>
      <c r="T38" s="331"/>
      <c r="U38" s="331"/>
      <c r="V38" s="331"/>
      <c r="W38" s="331"/>
      <c r="X38" s="331"/>
      <c r="Y38" s="331"/>
      <c r="Z38" s="331"/>
      <c r="AA38" s="331"/>
      <c r="AB38" s="331"/>
      <c r="AC38" s="331"/>
      <c r="AD38" s="331"/>
      <c r="AE38" s="331"/>
      <c r="AF38" s="331"/>
      <c r="AG38" s="331"/>
      <c r="AH38" s="331"/>
      <c r="AI38" s="331"/>
      <c r="AJ38" s="328"/>
      <c r="AK38" s="328"/>
      <c r="AL38" s="328"/>
      <c r="AM38" s="328"/>
      <c r="AN38" s="328"/>
      <c r="AO38" s="328"/>
      <c r="AP38" s="328"/>
      <c r="AQ38" s="328"/>
      <c r="AR38" s="328"/>
      <c r="AS38" s="328"/>
      <c r="AT38" s="328"/>
      <c r="AU38" s="24"/>
      <c r="AV38" s="35"/>
      <c r="AW38" s="35"/>
      <c r="AX38" s="35"/>
      <c r="AY38" s="35"/>
      <c r="AZ38" s="35"/>
      <c r="BA38" s="35"/>
      <c r="BB38" s="35"/>
      <c r="BC38" s="35"/>
      <c r="BD38" s="35"/>
      <c r="BE38" s="25"/>
      <c r="BF38" s="198"/>
      <c r="BG38" s="199"/>
      <c r="BH38" s="199"/>
      <c r="BI38" s="199"/>
      <c r="BJ38" s="199"/>
      <c r="BK38" s="200"/>
    </row>
    <row r="39" spans="1:63" s="310" customFormat="1" ht="15" customHeight="1" x14ac:dyDescent="0.25">
      <c r="A39" s="24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25"/>
      <c r="M39" s="328"/>
      <c r="N39" s="328"/>
      <c r="O39" s="331"/>
      <c r="P39" s="331"/>
      <c r="Q39" s="331"/>
      <c r="R39" s="331"/>
      <c r="S39" s="331"/>
      <c r="T39" s="331"/>
      <c r="U39" s="331"/>
      <c r="V39" s="331"/>
      <c r="W39" s="331"/>
      <c r="X39" s="331"/>
      <c r="Y39" s="331"/>
      <c r="Z39" s="331"/>
      <c r="AA39" s="331"/>
      <c r="AB39" s="331"/>
      <c r="AC39" s="331"/>
      <c r="AD39" s="331"/>
      <c r="AE39" s="331"/>
      <c r="AF39" s="331"/>
      <c r="AG39" s="331"/>
      <c r="AH39" s="331"/>
      <c r="AI39" s="331"/>
      <c r="AJ39" s="328"/>
      <c r="AK39" s="328"/>
      <c r="AL39" s="328"/>
      <c r="AM39" s="328"/>
      <c r="AN39" s="328"/>
      <c r="AO39" s="328"/>
      <c r="AP39" s="328"/>
      <c r="AQ39" s="328"/>
      <c r="AR39" s="328"/>
      <c r="AS39" s="328"/>
      <c r="AT39" s="328"/>
      <c r="AU39" s="24"/>
      <c r="AV39" s="35"/>
      <c r="AW39" s="35"/>
      <c r="AX39" s="35"/>
      <c r="AY39" s="35"/>
      <c r="AZ39" s="35"/>
      <c r="BA39" s="35"/>
      <c r="BB39" s="35"/>
      <c r="BC39" s="35"/>
      <c r="BD39" s="35"/>
      <c r="BE39" s="25"/>
      <c r="BF39" s="198"/>
      <c r="BG39" s="199"/>
      <c r="BH39" s="199"/>
      <c r="BI39" s="199"/>
      <c r="BJ39" s="199"/>
      <c r="BK39" s="200"/>
    </row>
    <row r="40" spans="1:63" s="310" customFormat="1" ht="15" customHeight="1" x14ac:dyDescent="0.25">
      <c r="A40" s="24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25"/>
      <c r="M40" s="328"/>
      <c r="N40" s="328"/>
      <c r="O40" s="331"/>
      <c r="P40" s="331"/>
      <c r="Q40" s="331"/>
      <c r="S40" s="331"/>
      <c r="T40" s="331"/>
      <c r="U40" s="331"/>
      <c r="V40" s="331"/>
      <c r="W40" s="331"/>
      <c r="X40" s="331"/>
      <c r="Y40" s="331"/>
      <c r="Z40" s="331"/>
      <c r="AA40" s="331"/>
      <c r="AB40" s="331"/>
      <c r="AC40" s="331"/>
      <c r="AD40" s="331"/>
      <c r="AE40" s="331"/>
      <c r="AF40" s="331"/>
      <c r="AG40" s="331"/>
      <c r="AH40" s="331"/>
      <c r="AI40" s="331"/>
      <c r="AJ40" s="328"/>
      <c r="AK40" s="328"/>
      <c r="AL40" s="328"/>
      <c r="AM40" s="328"/>
      <c r="AN40" s="328"/>
      <c r="AO40" s="328"/>
      <c r="AP40" s="328"/>
      <c r="AQ40" s="328"/>
      <c r="AR40" s="328"/>
      <c r="AS40" s="328"/>
      <c r="AT40" s="328"/>
      <c r="AU40" s="24"/>
      <c r="AV40" s="35"/>
      <c r="AW40" s="35"/>
      <c r="AX40" s="35"/>
      <c r="AY40" s="35"/>
      <c r="AZ40" s="35"/>
      <c r="BA40" s="35"/>
      <c r="BB40" s="35"/>
      <c r="BC40" s="35"/>
      <c r="BD40" s="35"/>
      <c r="BE40" s="25"/>
      <c r="BF40" s="198"/>
      <c r="BG40" s="199"/>
      <c r="BH40" s="199"/>
      <c r="BI40" s="199"/>
      <c r="BJ40" s="199"/>
      <c r="BK40" s="200"/>
    </row>
    <row r="41" spans="1:63" s="310" customFormat="1" ht="15" customHeight="1" x14ac:dyDescent="0.25">
      <c r="A41" s="2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25"/>
      <c r="M41" s="328"/>
      <c r="N41" s="328"/>
      <c r="O41" s="331"/>
      <c r="P41" s="331"/>
      <c r="Q41" s="331"/>
      <c r="R41" s="331"/>
      <c r="S41" s="331"/>
      <c r="T41" s="331"/>
      <c r="U41" s="331"/>
      <c r="V41" s="331"/>
      <c r="W41" s="331"/>
      <c r="X41" s="331"/>
      <c r="Y41" s="331"/>
      <c r="Z41" s="331"/>
      <c r="AA41" s="331"/>
      <c r="AB41" s="331"/>
      <c r="AC41" s="331"/>
      <c r="AD41" s="331"/>
      <c r="AE41" s="331"/>
      <c r="AF41" s="331"/>
      <c r="AG41" s="331"/>
      <c r="AH41" s="331"/>
      <c r="AI41" s="331"/>
      <c r="AJ41" s="328"/>
      <c r="AK41" s="328"/>
      <c r="AL41" s="328"/>
      <c r="AM41" s="328"/>
      <c r="AN41" s="328"/>
      <c r="AO41" s="328"/>
      <c r="AP41" s="328"/>
      <c r="AQ41" s="328"/>
      <c r="AR41" s="328"/>
      <c r="AS41" s="328"/>
      <c r="AT41" s="328"/>
      <c r="AU41" s="24"/>
      <c r="AV41" s="35"/>
      <c r="AW41" s="35"/>
      <c r="AX41" s="35"/>
      <c r="AY41" s="35"/>
      <c r="AZ41" s="35"/>
      <c r="BA41" s="35"/>
      <c r="BB41" s="35"/>
      <c r="BC41" s="35"/>
      <c r="BD41" s="35"/>
      <c r="BE41" s="25"/>
      <c r="BF41" s="198"/>
      <c r="BG41" s="199"/>
      <c r="BH41" s="199"/>
      <c r="BI41" s="199"/>
      <c r="BJ41" s="199"/>
      <c r="BK41" s="200"/>
    </row>
    <row r="42" spans="1:63" s="310" customFormat="1" ht="15" customHeight="1" x14ac:dyDescent="0.25">
      <c r="A42" s="2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25"/>
      <c r="M42" s="328"/>
      <c r="N42" s="328"/>
      <c r="O42" s="331"/>
      <c r="P42" s="331"/>
      <c r="Q42" s="331"/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331"/>
      <c r="AD42" s="331"/>
      <c r="AE42" s="331"/>
      <c r="AF42" s="331"/>
      <c r="AG42" s="331"/>
      <c r="AH42" s="331"/>
      <c r="AI42" s="331"/>
      <c r="AJ42" s="328"/>
      <c r="AK42" s="328"/>
      <c r="AL42" s="328"/>
      <c r="AM42" s="328"/>
      <c r="AN42" s="328"/>
      <c r="AO42" s="328"/>
      <c r="AP42" s="328"/>
      <c r="AQ42" s="328"/>
      <c r="AR42" s="328"/>
      <c r="AS42" s="328"/>
      <c r="AT42" s="328"/>
      <c r="AU42" s="24"/>
      <c r="AV42" s="35"/>
      <c r="AW42" s="35"/>
      <c r="AX42" s="35"/>
      <c r="AY42" s="35"/>
      <c r="AZ42" s="35"/>
      <c r="BA42" s="35"/>
      <c r="BB42" s="35"/>
      <c r="BC42" s="35"/>
      <c r="BD42" s="35"/>
      <c r="BE42" s="25"/>
      <c r="BF42" s="198"/>
      <c r="BG42" s="199"/>
      <c r="BH42" s="199"/>
      <c r="BI42" s="199"/>
      <c r="BJ42" s="199"/>
      <c r="BK42" s="200"/>
    </row>
    <row r="43" spans="1:63" s="310" customFormat="1" ht="15" customHeight="1" x14ac:dyDescent="0.25">
      <c r="A43" s="2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25"/>
      <c r="M43" s="328"/>
      <c r="N43" s="328"/>
      <c r="O43" s="331"/>
      <c r="P43" s="328"/>
      <c r="Q43" s="328"/>
      <c r="R43" s="328"/>
      <c r="S43" s="328"/>
      <c r="T43" s="328"/>
      <c r="U43" s="328"/>
      <c r="V43" s="328"/>
      <c r="W43" s="328"/>
      <c r="X43" s="328"/>
      <c r="Y43" s="328"/>
      <c r="Z43" s="328"/>
      <c r="AA43" s="328"/>
      <c r="AB43" s="328"/>
      <c r="AC43" s="328"/>
      <c r="AD43" s="328"/>
      <c r="AE43" s="328"/>
      <c r="AF43" s="328"/>
      <c r="AG43" s="328"/>
      <c r="AH43" s="328"/>
      <c r="AI43" s="328"/>
      <c r="AJ43" s="328"/>
      <c r="AK43" s="328"/>
      <c r="AL43" s="328"/>
      <c r="AM43" s="328"/>
      <c r="AN43" s="328"/>
      <c r="AO43" s="328"/>
      <c r="AP43" s="328"/>
      <c r="AQ43" s="328"/>
      <c r="AR43" s="328"/>
      <c r="AS43" s="328"/>
      <c r="AT43" s="328"/>
      <c r="AU43" s="24"/>
      <c r="AV43" s="35"/>
      <c r="AW43" s="35"/>
      <c r="AX43" s="35"/>
      <c r="AY43" s="35"/>
      <c r="AZ43" s="35"/>
      <c r="BA43" s="35"/>
      <c r="BB43" s="35"/>
      <c r="BC43" s="35"/>
      <c r="BD43" s="35"/>
      <c r="BE43" s="25"/>
      <c r="BF43" s="198"/>
      <c r="BG43" s="199"/>
      <c r="BH43" s="199"/>
      <c r="BI43" s="199"/>
      <c r="BJ43" s="199"/>
      <c r="BK43" s="200"/>
    </row>
    <row r="44" spans="1:63" s="310" customFormat="1" ht="15" customHeight="1" x14ac:dyDescent="0.25">
      <c r="A44" s="24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25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Y44" s="328"/>
      <c r="Z44" s="328"/>
      <c r="AA44" s="328"/>
      <c r="AB44" s="328"/>
      <c r="AC44" s="328"/>
      <c r="AD44" s="328"/>
      <c r="AE44" s="328"/>
      <c r="AF44" s="328"/>
      <c r="AG44" s="328"/>
      <c r="AH44" s="328"/>
      <c r="AI44" s="328"/>
      <c r="AJ44" s="328"/>
      <c r="AK44" s="328"/>
      <c r="AL44" s="328"/>
      <c r="AM44" s="328"/>
      <c r="AN44" s="328"/>
      <c r="AO44" s="328"/>
      <c r="AP44" s="328"/>
      <c r="AQ44" s="328"/>
      <c r="AR44" s="328"/>
      <c r="AS44" s="328"/>
      <c r="AT44" s="328"/>
      <c r="AU44" s="24"/>
      <c r="AV44" s="35"/>
      <c r="AW44" s="35"/>
      <c r="AX44" s="35"/>
      <c r="AY44" s="35"/>
      <c r="AZ44" s="35"/>
      <c r="BA44" s="35"/>
      <c r="BB44" s="35"/>
      <c r="BC44" s="35"/>
      <c r="BD44" s="35"/>
      <c r="BE44" s="25"/>
      <c r="BF44" s="198"/>
      <c r="BG44" s="199"/>
      <c r="BH44" s="199"/>
      <c r="BI44" s="199"/>
      <c r="BJ44" s="199"/>
      <c r="BK44" s="200"/>
    </row>
    <row r="45" spans="1:63" s="310" customFormat="1" ht="15" customHeight="1" x14ac:dyDescent="0.25">
      <c r="A45" s="26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8"/>
      <c r="M45" s="332"/>
      <c r="N45" s="333"/>
      <c r="O45" s="333"/>
      <c r="P45" s="333"/>
      <c r="Q45" s="33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334"/>
      <c r="AQ45" s="334"/>
      <c r="AR45" s="334"/>
      <c r="AS45" s="334"/>
      <c r="AT45" s="334"/>
      <c r="AU45" s="26"/>
      <c r="AV45" s="27"/>
      <c r="AW45" s="27"/>
      <c r="AX45" s="27"/>
      <c r="AY45" s="27"/>
      <c r="AZ45" s="27"/>
      <c r="BA45" s="27"/>
      <c r="BB45" s="27"/>
      <c r="BC45" s="27"/>
      <c r="BD45" s="27"/>
      <c r="BE45" s="28"/>
      <c r="BF45" s="128"/>
      <c r="BG45" s="129"/>
      <c r="BH45" s="129"/>
      <c r="BI45" s="129"/>
      <c r="BJ45" s="129"/>
      <c r="BK45" s="130"/>
    </row>
    <row r="46" spans="1:63" ht="15" customHeight="1" x14ac:dyDescent="0.25">
      <c r="A46" s="30"/>
      <c r="BK46" s="15"/>
    </row>
    <row r="47" spans="1:63" ht="15" customHeight="1" x14ac:dyDescent="0.25">
      <c r="A47" s="44"/>
      <c r="BK47" s="15"/>
    </row>
    <row r="48" spans="1:63" ht="15" customHeight="1" x14ac:dyDescent="0.25">
      <c r="A48" s="44"/>
      <c r="BK48" s="15"/>
    </row>
    <row r="49" spans="1:63" ht="15" customHeight="1" x14ac:dyDescent="0.25">
      <c r="A49" s="44"/>
      <c r="BK49" s="15"/>
    </row>
    <row r="50" spans="1:63" ht="15" customHeight="1" x14ac:dyDescent="0.25">
      <c r="A50" s="44"/>
      <c r="BK50" s="15"/>
    </row>
    <row r="51" spans="1:63" ht="15" customHeight="1" x14ac:dyDescent="0.25">
      <c r="A51" s="44"/>
      <c r="BK51" s="15"/>
    </row>
    <row r="52" spans="1:63" ht="15" customHeight="1" x14ac:dyDescent="0.25">
      <c r="A52" s="44"/>
      <c r="BK52" s="15"/>
    </row>
    <row r="53" spans="1:63" ht="15" customHeight="1" x14ac:dyDescent="0.25">
      <c r="A53" s="44"/>
      <c r="BK53" s="15"/>
    </row>
    <row r="54" spans="1:63" ht="15" customHeight="1" x14ac:dyDescent="0.25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  <row r="55" spans="1:63" ht="15" customHeight="1" x14ac:dyDescent="0.25"/>
    <row r="56" spans="1:63" ht="15" customHeight="1" x14ac:dyDescent="0.25"/>
    <row r="57" spans="1:63" ht="15" customHeight="1" x14ac:dyDescent="0.25"/>
    <row r="58" spans="1:63" ht="15" customHeight="1" x14ac:dyDescent="0.25"/>
    <row r="59" spans="1:63" ht="15" customHeight="1" x14ac:dyDescent="0.25"/>
    <row r="60" spans="1:63" ht="15" customHeight="1" x14ac:dyDescent="0.25"/>
    <row r="61" spans="1:63" ht="15" customHeight="1" x14ac:dyDescent="0.25"/>
    <row r="62" spans="1:63" ht="15" customHeight="1" x14ac:dyDescent="0.25"/>
    <row r="63" spans="1:63" ht="15" customHeight="1" x14ac:dyDescent="0.25"/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</sheetData>
  <mergeCells count="32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F14:BK40"/>
    <mergeCell ref="BF41:BK45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F12:BK13"/>
  </mergeCells>
  <dataValidations count="2">
    <dataValidation type="list" allowBlank="1" showInputMessage="1" showErrorMessage="1" sqref="O10" xr:uid="{00000000-0002-0000-05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500-000001000000}">
      <formula1>"同期,非同期"</formula1>
    </dataValidation>
  </dataValidations>
  <pageMargins left="0.7" right="0.7" top="0.75" bottom="0.75" header="0.3" footer="0.3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SC4001</vt:lpstr>
      <vt:lpstr>MD4001</vt:lpstr>
      <vt:lpstr>MD4002</vt:lpstr>
      <vt:lpstr>テンプレート</vt:lpstr>
      <vt:lpstr>'MD4001'!Print_Area</vt:lpstr>
      <vt:lpstr>'MD4002'!Print_Area</vt:lpstr>
      <vt:lpstr>'SC4001'!Print_Area</vt:lpstr>
      <vt:lpstr>テンプレート!Print_Area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2024-12-12T06:33:16Z</dcterms:modified>
  <cp:category/>
  <cp:contentStatus/>
</cp:coreProperties>
</file>