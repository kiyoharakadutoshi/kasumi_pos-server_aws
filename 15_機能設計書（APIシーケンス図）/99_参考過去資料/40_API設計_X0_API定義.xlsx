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2E2C2270-E9EE-4105-B8FE-E6EA6C5D8199}" xr6:coauthVersionLast="47" xr6:coauthVersionMax="47" xr10:uidLastSave="{00000000-0000-0000-0000-000000000000}"/>
  <bookViews>
    <workbookView xWindow="28680" yWindow="-120" windowWidth="29040" windowHeight="15840" xr2:uid="{E52A0025-4E7A-4B89-B807-E757FDF79FDD}"/>
  </bookViews>
  <sheets>
    <sheet name="表紙" sheetId="8" r:id="rId1"/>
    <sheet name="改廃履歴" sheetId="7" r:id="rId2"/>
    <sheet name="APX001" sheetId="6" r:id="rId3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'APX001'!$1:$5</definedName>
    <definedName name="_xlnm.Print_Titles" localSheetId="1">改廃履歴!$1:$5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" i="8" l="1"/>
  <c r="AP4" i="6" l="1" a="1"/>
  <c r="AP4" i="6" s="1"/>
  <c r="AT2" i="6"/>
  <c r="AP2" i="6"/>
  <c r="Z4" i="6"/>
  <c r="W1" i="6"/>
  <c r="K2" i="6"/>
  <c r="H4" i="6"/>
  <c r="A2" i="6"/>
  <c r="L24" i="8"/>
  <c r="AP4" i="8" a="1"/>
  <c r="AP4" i="8" s="1"/>
  <c r="BH2" i="8"/>
  <c r="BH2" i="7" s="1"/>
  <c r="BC2" i="8"/>
  <c r="BC2" i="7" s="1"/>
  <c r="AY2" i="8"/>
  <c r="AY2" i="7" s="1"/>
  <c r="AT2" i="8"/>
  <c r="AT2" i="7" s="1"/>
  <c r="AP2" i="7"/>
  <c r="AP4" i="7" a="1"/>
  <c r="AP4" i="7" s="1"/>
  <c r="Z4" i="7"/>
  <c r="W1" i="7"/>
  <c r="K2" i="7"/>
  <c r="H4" i="7"/>
  <c r="A2" i="7"/>
  <c r="BH2" i="6" l="1"/>
  <c r="BC2" i="6"/>
  <c r="AY2" i="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<sst xmlns="http://schemas.openxmlformats.org/spreadsheetml/2006/main" count="100" uniqueCount="61">
  <si>
    <t>認証</t>
  </si>
  <si>
    <t>Bearer</t>
  </si>
  <si>
    <t>DuNT</t>
  </si>
  <si>
    <t>string</t>
  </si>
  <si>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</si>
  <si>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</si>
  <si>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</si>
  <si>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</si>
  <si>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</si>
  <si>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</si>
  <si>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</si>
  <si>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</si>
  <si>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</si>
  <si>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</si>
  <si>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</si>
  <si>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</si>
  <si>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</si>
  <si>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</si>
  <si>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</si>
  <si>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</si>
  <si>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t>初版</t>
    <rPh sb="0" eb="2">
      <t>ショハン</t>
    </rPh>
    <phoneticPr fontId="2"/>
  </si>
  <si>
    <t>API</t>
    <phoneticPr fontId="2"/>
  </si>
  <si>
    <t>基本設計書</t>
    <rPh sb="0" eb="2">
      <t>キホン</t>
    </rPh>
    <rPh sb="2" eb="5">
      <t>セッケイショ</t>
    </rPh>
    <phoneticPr fontId="2"/>
  </si>
  <si>
    <t>POSシステム</t>
    <phoneticPr fontId="2"/>
  </si>
  <si>
    <t>POSサーバー</t>
    <phoneticPr fontId="2"/>
  </si>
  <si>
    <t>基本設計書</t>
    <rPh sb="0" eb="2">
      <t>キホン</t>
    </rPh>
    <rPh sb="2" eb="5">
      <t>セッケイショ</t>
    </rPh>
    <phoneticPr fontId="2"/>
  </si>
  <si>
    <t>API</t>
  </si>
  <si>
    <t>POST</t>
  </si>
  <si>
    <t>形式</t>
    <phoneticPr fontId="2"/>
  </si>
  <si>
    <t>JSON形式</t>
    <phoneticPr fontId="2"/>
  </si>
  <si>
    <t>pos/v1/login</t>
  </si>
  <si>
    <t>username</t>
  </si>
  <si>
    <t>password</t>
  </si>
  <si>
    <t>x</t>
  </si>
  <si>
    <t>ipAddress</t>
  </si>
  <si>
    <t>name</t>
  </si>
  <si>
    <t>language</t>
  </si>
  <si>
    <t>int</t>
  </si>
  <si>
    <t>subordinateType</t>
  </si>
  <si>
    <t>APX001の更新</t>
  </si>
  <si>
    <t>メソッド</t>
  </si>
  <si>
    <t>▪APIの処理方向・説明</t>
  </si>
  <si>
    <t>ユーザー名とログインパスワードのベリファイを実行する。</t>
  </si>
  <si>
    <t>・employeemasterテーブルとpasswordmasterテーブルに渡されたユーザー名とパスワードの情報でユーザーを検索する。</t>
  </si>
  <si>
    <t>‣存在しない場合、 メッセージ コード「MSG_ERR_001」のエラーレスポンスを返す。</t>
  </si>
  <si>
    <t>‣成功した認証情報を含む出力を返す。</t>
  </si>
  <si>
    <t>▪入力</t>
  </si>
  <si>
    <t>* パラメータ</t>
  </si>
  <si>
    <t>* リクエストホディ</t>
  </si>
  <si>
    <t>▪出力</t>
  </si>
  <si>
    <t>名称</t>
  </si>
  <si>
    <t>タイプ</t>
  </si>
  <si>
    <t>データ</t>
  </si>
  <si>
    <t>仕様　</t>
  </si>
  <si>
    <t>DBの存在チェック</t>
  </si>
  <si>
    <t>説明</t>
  </si>
  <si>
    <t>en：英語, vn：ベトナム語、ja：日本語</t>
  </si>
  <si>
    <t>1：エリア、2：店舗</t>
  </si>
  <si>
    <t>エリア・店舗のid：09999：全て</t>
  </si>
  <si>
    <t>Thanh Nguyen</t>
  </si>
  <si>
    <t>subordinateId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</si>
</sst>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11"/>
      <name val="Meiryo UI"/>
      <family val="2"/>
    </font>
    <font>
      <sz val="11"/>
      <color theme="0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4">
    <xf numFmtId="0" fontId="0" fillId="0" borderId="0" xfId="0"/>
    <xf numFmtId="0" fontId="6" fillId="2" borderId="28" xfId="0" applyFont="1" applyFill="1" applyBorder="1"/>
    <xf numFmtId="0" fontId="6" fillId="2" borderId="29" xfId="0" applyFont="1" applyFill="1" applyBorder="1"/>
    <xf numFmtId="0" fontId="6" fillId="2" borderId="0" xfId="0" applyFont="1" applyFill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3" borderId="0" xfId="0" applyFont="1" applyFill="1"/>
    <xf numFmtId="0" fontId="7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7" xfId="0" applyFont="1" applyBorder="1"/>
    <xf numFmtId="0" fontId="9" fillId="0" borderId="8" xfId="0" applyFont="1" applyBorder="1"/>
    <xf numFmtId="0" fontId="9" fillId="2" borderId="29" xfId="0" applyFont="1" applyFill="1" applyBorder="1"/>
    <xf numFmtId="0" fontId="9" fillId="2" borderId="30" xfId="0" applyFont="1" applyFill="1" applyBorder="1"/>
    <xf numFmtId="0" fontId="9" fillId="4" borderId="28" xfId="0" applyFont="1" applyFill="1" applyBorder="1"/>
    <xf numFmtId="0" fontId="9" fillId="4" borderId="29" xfId="0" applyFont="1" applyFill="1" applyBorder="1"/>
    <xf numFmtId="0" fontId="9" fillId="4" borderId="30" xfId="0" applyFont="1" applyFill="1" applyBorder="1"/>
    <xf numFmtId="0" fontId="9" fillId="2" borderId="0" xfId="0" applyFont="1" applyFill="1"/>
    <xf numFmtId="0" fontId="9" fillId="0" borderId="0" xfId="0" quotePrefix="1" applyFont="1"/>
    <xf numFmtId="0" fontId="9" fillId="5" borderId="6" xfId="0" applyFont="1" applyFill="1" applyBorder="1"/>
    <xf numFmtId="0" fontId="9" fillId="5" borderId="4" xfId="0" applyFont="1" applyFill="1" applyBorder="1"/>
    <xf numFmtId="0" fontId="9" fillId="5" borderId="5" xfId="0" applyFont="1" applyFill="1" applyBorder="1"/>
    <xf numFmtId="0" fontId="9" fillId="0" borderId="6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quotePrefix="1" applyFont="1" applyBorder="1"/>
    <xf numFmtId="0" fontId="0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3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17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3" xfId="0" applyFont="1" applyBorder="1"/>
    <xf numFmtId="2" fontId="0" fillId="0" borderId="3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2" fontId="0" fillId="0" borderId="9" xfId="0" applyNumberFormat="1" applyFont="1" applyBorder="1" applyAlignment="1">
      <alignment horizontal="center" vertical="center"/>
    </xf>
    <xf numFmtId="2" fontId="0" fillId="0" borderId="10" xfId="0" applyNumberFormat="1" applyFont="1" applyBorder="1" applyAlignment="1">
      <alignment horizontal="center" vertical="center"/>
    </xf>
    <xf numFmtId="0" fontId="0" fillId="0" borderId="19" xfId="0" applyFont="1" applyBorder="1"/>
    <xf numFmtId="0" fontId="0" fillId="0" borderId="20" xfId="0" applyFont="1" applyBorder="1"/>
    <xf numFmtId="0" fontId="0" fillId="0" borderId="23" xfId="0" applyFont="1" applyBorder="1"/>
    <xf numFmtId="0" fontId="0" fillId="0" borderId="18" xfId="0" applyFont="1" applyBorder="1"/>
    <xf numFmtId="0" fontId="0" fillId="0" borderId="24" xfId="0" applyFont="1" applyBorder="1"/>
    <xf numFmtId="0" fontId="0" fillId="0" borderId="26" xfId="0" applyFont="1" applyBorder="1"/>
    <xf numFmtId="0" fontId="0" fillId="0" borderId="27" xfId="0" applyFont="1" applyBorder="1"/>
    <xf numFmtId="0" fontId="0" fillId="0" borderId="21" xfId="0" applyFont="1" applyBorder="1"/>
    <xf numFmtId="0" fontId="0" fillId="0" borderId="22" xfId="0" applyFont="1" applyBorder="1"/>
    <xf numFmtId="0" fontId="0" fillId="0" borderId="25" xfId="0" applyFont="1" applyBorder="1"/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8" xfId="0" applyFont="1" applyBorder="1" applyAlignment="1">
      <alignment horizontal="center" vertical="center"/>
    </xf>
  </cellXfs>
  <cellStyles count="2">
    <cellStyle name="Normal" xfId="0" builtinId="0" customBuiltin="1"/>
    <cellStyle name="Normal 2" xfId="1" xr:uid="{D4D5BD44-C52B-49C5-A0B2-0227C6545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9782-A6E7-41D3-AE3C-D9089E7BFA30}">
  <sheetPr>
    <pageSetUpPr fitToPage="1"/>
  </sheetPr>
  <dimension ref="A1:BK55"/>
  <sheetViews>
    <sheetView tabSelected="1" view="pageBreakPreview" zoomScale="75" zoomScaleNormal="75" zoomScaleSheetLayoutView="75" workbookViewId="0">
      <selection sqref="A1:J1"/>
    </sheetView>
  </sheetViews>
  <sheetFormatPr defaultColWidth="2.77734375" defaultRowHeight="15" customHeight="1" x14ac:dyDescent="0.25"/>
  <cols>
    <col min="1" max="16384" width="2.77734375" style="72"/>
  </cols>
  <sheetData>
    <row r="1" spans="1:63" ht="24.95" customHeight="1" x14ac:dyDescent="0.25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4"/>
      <c r="K1" s="12" t="s">
        <v>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 t="s">
        <v>25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  <c r="AP1" s="12" t="s">
        <v>7</v>
      </c>
      <c r="AQ1" s="13"/>
      <c r="AR1" s="13"/>
      <c r="AS1" s="14"/>
      <c r="AT1" s="12" t="s">
        <v>8</v>
      </c>
      <c r="AU1" s="13"/>
      <c r="AV1" s="13"/>
      <c r="AW1" s="13"/>
      <c r="AX1" s="14"/>
      <c r="AY1" s="12" t="s">
        <v>9</v>
      </c>
      <c r="AZ1" s="13"/>
      <c r="BA1" s="13"/>
      <c r="BB1" s="14"/>
      <c r="BC1" s="12" t="s">
        <v>10</v>
      </c>
      <c r="BD1" s="13"/>
      <c r="BE1" s="13"/>
      <c r="BF1" s="13"/>
      <c r="BG1" s="14"/>
      <c r="BH1" s="12" t="s">
        <v>11</v>
      </c>
      <c r="BI1" s="13"/>
      <c r="BJ1" s="13"/>
      <c r="BK1" s="14"/>
    </row>
    <row r="2" spans="1:63" ht="15" customHeight="1" x14ac:dyDescent="0.25">
      <c r="A2" s="73" t="s">
        <v>23</v>
      </c>
      <c r="B2" s="74"/>
      <c r="C2" s="74"/>
      <c r="D2" s="74"/>
      <c r="E2" s="74"/>
      <c r="F2" s="74"/>
      <c r="G2" s="74"/>
      <c r="H2" s="74"/>
      <c r="I2" s="74"/>
      <c r="J2" s="75"/>
      <c r="K2" s="73" t="s">
        <v>24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  <c r="AP2" s="73" t="str">
        <f>改廃履歴!$H$11</f>
        <v>Thanh Nguyen</v>
      </c>
      <c r="AQ2" s="74"/>
      <c r="AR2" s="74"/>
      <c r="AS2" s="75"/>
      <c r="AT2" s="76">
        <f>改廃履歴!$B$11</f>
        <v>45209</v>
      </c>
      <c r="AU2" s="77"/>
      <c r="AV2" s="77"/>
      <c r="AW2" s="77"/>
      <c r="AX2" s="78"/>
      <c r="AY2" s="73" t="str">
        <f>LOOKUP(2,1/(改廃履歴!H11:H30000&lt;&gt;""),改廃履歴!H11:H30000)</f>
        <v>DuNT</v>
      </c>
      <c r="AZ2" s="74"/>
      <c r="BA2" s="74"/>
      <c r="BB2" s="75"/>
      <c r="BC2" s="76">
        <f>LOOKUP(2,1/(改廃履歴!B11:B30000&lt;&gt;""),改廃履歴!B11:B30000)</f>
        <v>45390</v>
      </c>
      <c r="BD2" s="77"/>
      <c r="BE2" s="77"/>
      <c r="BF2" s="77"/>
      <c r="BG2" s="78"/>
      <c r="BH2" s="105">
        <f>LOOKUP(2,1/(改廃履歴!O11:O30000&lt;&gt;""),改廃履歴!O11:O30000)</f>
        <v>0.3</v>
      </c>
      <c r="BI2" s="106"/>
      <c r="BJ2" s="106"/>
      <c r="BK2" s="107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1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3"/>
      <c r="AP3" s="79"/>
      <c r="AQ3" s="80"/>
      <c r="AR3" s="80"/>
      <c r="AS3" s="81"/>
      <c r="AT3" s="82"/>
      <c r="AU3" s="83"/>
      <c r="AV3" s="83"/>
      <c r="AW3" s="83"/>
      <c r="AX3" s="84"/>
      <c r="AY3" s="79"/>
      <c r="AZ3" s="80"/>
      <c r="BA3" s="80"/>
      <c r="BB3" s="81"/>
      <c r="BC3" s="82"/>
      <c r="BD3" s="83"/>
      <c r="BE3" s="83"/>
      <c r="BF3" s="83"/>
      <c r="BG3" s="84"/>
      <c r="BH3" s="108"/>
      <c r="BI3" s="109"/>
      <c r="BJ3" s="109"/>
      <c r="BK3" s="110"/>
    </row>
    <row r="4" spans="1:63" ht="24.95" customHeight="1" x14ac:dyDescent="0.25">
      <c r="A4" s="12" t="s">
        <v>5</v>
      </c>
      <c r="B4" s="13"/>
      <c r="C4" s="13"/>
      <c r="D4" s="13"/>
      <c r="E4" s="13"/>
      <c r="F4" s="13"/>
      <c r="G4" s="14"/>
      <c r="H4" s="85" t="s">
        <v>21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2" t="s">
        <v>12</v>
      </c>
      <c r="V4" s="13"/>
      <c r="W4" s="13"/>
      <c r="X4" s="13"/>
      <c r="Y4" s="14"/>
      <c r="Z4" s="85" t="s">
        <v>22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 cm="1">
        <f t="array" aca="1" ref="AP4" ca="1">RIGHT(CELL("filename",$A$1),LEN(CELL("filename",$A$1))-FIND("]",CELL("filename",$A$1)))</f>
        <v>表紙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K10" s="92"/>
    </row>
    <row r="11" spans="1:63" ht="15" customHeight="1" x14ac:dyDescent="0.25">
      <c r="A11" s="91"/>
      <c r="BK11" s="92"/>
    </row>
    <row r="12" spans="1:63" ht="15" customHeight="1" x14ac:dyDescent="0.25">
      <c r="A12" s="91"/>
      <c r="BK12" s="92"/>
    </row>
    <row r="13" spans="1:63" ht="15" customHeight="1" x14ac:dyDescent="0.25">
      <c r="A13" s="91"/>
      <c r="BK13" s="92"/>
    </row>
    <row r="14" spans="1:63" ht="15" customHeight="1" thickBot="1" x14ac:dyDescent="0.3">
      <c r="A14" s="91"/>
      <c r="BK14" s="92"/>
    </row>
    <row r="15" spans="1:63" ht="15" customHeight="1" thickTop="1" x14ac:dyDescent="0.25">
      <c r="A15" s="91"/>
      <c r="K15" s="111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3"/>
      <c r="BK15" s="92"/>
    </row>
    <row r="16" spans="1:63" ht="15" customHeight="1" x14ac:dyDescent="0.25">
      <c r="A16" s="91"/>
      <c r="K16" s="114"/>
      <c r="L16" s="5" t="s">
        <v>18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115"/>
      <c r="BK16" s="92"/>
    </row>
    <row r="17" spans="1:63" ht="15" customHeight="1" x14ac:dyDescent="0.25">
      <c r="A17" s="91"/>
      <c r="K17" s="1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115"/>
      <c r="BK17" s="92"/>
    </row>
    <row r="18" spans="1:63" ht="15" customHeight="1" x14ac:dyDescent="0.25">
      <c r="A18" s="91"/>
      <c r="K18" s="1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115"/>
      <c r="BK18" s="92"/>
    </row>
    <row r="19" spans="1:63" ht="15" customHeight="1" x14ac:dyDescent="0.25">
      <c r="A19" s="91"/>
      <c r="K19" s="1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115"/>
      <c r="BK19" s="92"/>
    </row>
    <row r="20" spans="1:63" ht="15" customHeight="1" x14ac:dyDescent="0.25">
      <c r="A20" s="91"/>
      <c r="K20" s="1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115"/>
      <c r="BK20" s="92"/>
    </row>
    <row r="21" spans="1:63" ht="15" customHeight="1" x14ac:dyDescent="0.25">
      <c r="A21" s="91"/>
      <c r="K21" s="1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115"/>
      <c r="BK21" s="92"/>
    </row>
    <row r="22" spans="1:63" ht="15" customHeight="1" thickBot="1" x14ac:dyDescent="0.3">
      <c r="A22" s="91"/>
      <c r="K22" s="114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5"/>
      <c r="BK22" s="92"/>
    </row>
    <row r="23" spans="1:63" ht="15" customHeight="1" x14ac:dyDescent="0.25">
      <c r="A23" s="91"/>
      <c r="K23" s="114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5"/>
      <c r="BK23" s="92"/>
    </row>
    <row r="24" spans="1:63" ht="15" customHeight="1" x14ac:dyDescent="0.25">
      <c r="A24" s="91"/>
      <c r="K24" s="114"/>
      <c r="L24" s="5" t="str">
        <f>K2&amp;"/"&amp;H4&amp;"/"&amp;Z4</f>
        <v>POSサーバー/API/基本設計書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115"/>
      <c r="BK24" s="92"/>
    </row>
    <row r="25" spans="1:63" ht="15" customHeight="1" x14ac:dyDescent="0.25">
      <c r="A25" s="91"/>
      <c r="K25" s="1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115"/>
      <c r="BK25" s="92"/>
    </row>
    <row r="26" spans="1:63" ht="15" customHeight="1" x14ac:dyDescent="0.25">
      <c r="A26" s="91"/>
      <c r="K26" s="1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115"/>
      <c r="BK26" s="92"/>
    </row>
    <row r="27" spans="1:63" ht="15" customHeight="1" x14ac:dyDescent="0.25">
      <c r="A27" s="91"/>
      <c r="K27" s="1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115"/>
      <c r="BK27" s="92"/>
    </row>
    <row r="28" spans="1:63" ht="15" customHeight="1" x14ac:dyDescent="0.25">
      <c r="A28" s="91"/>
      <c r="K28" s="1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115"/>
      <c r="BK28" s="92"/>
    </row>
    <row r="29" spans="1:63" ht="15" customHeight="1" x14ac:dyDescent="0.25">
      <c r="A29" s="91"/>
      <c r="K29" s="1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115"/>
      <c r="BK29" s="92"/>
    </row>
    <row r="30" spans="1:63" ht="15" customHeight="1" x14ac:dyDescent="0.25">
      <c r="A30" s="91"/>
      <c r="K30" s="1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115"/>
      <c r="BK30" s="92"/>
    </row>
    <row r="31" spans="1:63" ht="15" customHeight="1" x14ac:dyDescent="0.25">
      <c r="A31" s="91"/>
      <c r="K31" s="1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115"/>
      <c r="BK31" s="92"/>
    </row>
    <row r="32" spans="1:63" ht="15" customHeight="1" x14ac:dyDescent="0.25">
      <c r="A32" s="91"/>
      <c r="K32" s="1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115"/>
      <c r="BK32" s="92"/>
    </row>
    <row r="33" spans="1:63" ht="15" customHeight="1" x14ac:dyDescent="0.25">
      <c r="A33" s="91"/>
      <c r="K33" s="1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115"/>
      <c r="BK33" s="92"/>
    </row>
    <row r="34" spans="1:63" ht="15" customHeight="1" x14ac:dyDescent="0.25">
      <c r="A34" s="91"/>
      <c r="K34" s="1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115"/>
      <c r="BK34" s="92"/>
    </row>
    <row r="35" spans="1:63" ht="15" customHeight="1" x14ac:dyDescent="0.25">
      <c r="A35" s="91"/>
      <c r="K35" s="11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115"/>
      <c r="BK35" s="92"/>
    </row>
    <row r="36" spans="1:63" ht="15" customHeight="1" x14ac:dyDescent="0.25">
      <c r="A36" s="91"/>
      <c r="K36" s="1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115"/>
      <c r="BK36" s="92"/>
    </row>
    <row r="37" spans="1:63" ht="15" customHeight="1" thickBot="1" x14ac:dyDescent="0.3">
      <c r="A37" s="91"/>
      <c r="K37" s="118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20"/>
      <c r="BK37" s="92"/>
    </row>
    <row r="38" spans="1:63" ht="15" customHeight="1" thickTop="1" x14ac:dyDescent="0.25">
      <c r="A38" s="91"/>
      <c r="BK38" s="92"/>
    </row>
    <row r="39" spans="1:63" ht="15" customHeight="1" x14ac:dyDescent="0.25">
      <c r="A39" s="91"/>
      <c r="BK39" s="92"/>
    </row>
    <row r="40" spans="1:63" ht="15" customHeight="1" x14ac:dyDescent="0.25">
      <c r="A40" s="91"/>
      <c r="BK40" s="92"/>
    </row>
    <row r="41" spans="1:63" ht="15" customHeight="1" x14ac:dyDescent="0.25">
      <c r="A41" s="91"/>
      <c r="BK41" s="92"/>
    </row>
    <row r="42" spans="1:63" ht="15" customHeight="1" x14ac:dyDescent="0.25">
      <c r="A42" s="91"/>
      <c r="BK42" s="92"/>
    </row>
    <row r="43" spans="1:63" ht="15" customHeight="1" x14ac:dyDescent="0.25">
      <c r="A43" s="91"/>
      <c r="BK43" s="92"/>
    </row>
    <row r="44" spans="1:63" ht="15" customHeight="1" x14ac:dyDescent="0.25">
      <c r="A44" s="91"/>
      <c r="Q44" s="6" t="s">
        <v>19</v>
      </c>
      <c r="R44" s="7"/>
      <c r="S44" s="7"/>
      <c r="T44" s="7"/>
      <c r="U44" s="7"/>
      <c r="V44" s="7"/>
      <c r="W44" s="7"/>
      <c r="X44" s="7"/>
      <c r="Y44" s="7"/>
      <c r="Z44" s="8"/>
      <c r="AA44" s="6" t="s">
        <v>17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8"/>
      <c r="AQ44" s="6" t="s">
        <v>11</v>
      </c>
      <c r="AR44" s="7"/>
      <c r="AS44" s="7"/>
      <c r="AT44" s="7"/>
      <c r="AU44" s="8"/>
      <c r="BK44" s="92"/>
    </row>
    <row r="45" spans="1:63" ht="15" customHeight="1" x14ac:dyDescent="0.25">
      <c r="A45" s="91"/>
      <c r="Q45" s="9"/>
      <c r="R45" s="10"/>
      <c r="S45" s="10"/>
      <c r="T45" s="10"/>
      <c r="U45" s="10"/>
      <c r="V45" s="10"/>
      <c r="W45" s="10"/>
      <c r="X45" s="10"/>
      <c r="Y45" s="10"/>
      <c r="Z45" s="11"/>
      <c r="AA45" s="9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1"/>
      <c r="AQ45" s="9"/>
      <c r="AR45" s="10"/>
      <c r="AS45" s="10"/>
      <c r="AT45" s="10"/>
      <c r="AU45" s="11"/>
      <c r="BK45" s="92"/>
    </row>
    <row r="46" spans="1:63" ht="15" customHeight="1" x14ac:dyDescent="0.25">
      <c r="A46" s="91"/>
      <c r="Q46" s="73"/>
      <c r="R46" s="74"/>
      <c r="S46" s="74"/>
      <c r="T46" s="74"/>
      <c r="U46" s="74"/>
      <c r="V46" s="74"/>
      <c r="W46" s="74"/>
      <c r="X46" s="74"/>
      <c r="Y46" s="74"/>
      <c r="Z46" s="75"/>
      <c r="AA46" s="73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5"/>
      <c r="AQ46" s="73"/>
      <c r="AR46" s="74"/>
      <c r="AS46" s="74"/>
      <c r="AT46" s="74"/>
      <c r="AU46" s="75"/>
      <c r="BK46" s="92"/>
    </row>
    <row r="47" spans="1:63" ht="15" customHeight="1" x14ac:dyDescent="0.25">
      <c r="A47" s="91"/>
      <c r="Q47" s="121"/>
      <c r="R47" s="122"/>
      <c r="S47" s="122"/>
      <c r="T47" s="122"/>
      <c r="U47" s="122"/>
      <c r="V47" s="122"/>
      <c r="W47" s="122"/>
      <c r="X47" s="122"/>
      <c r="Y47" s="122"/>
      <c r="Z47" s="123"/>
      <c r="AA47" s="121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3"/>
      <c r="AQ47" s="121"/>
      <c r="AR47" s="122"/>
      <c r="AS47" s="122"/>
      <c r="AT47" s="122"/>
      <c r="AU47" s="123"/>
      <c r="BK47" s="92"/>
    </row>
    <row r="48" spans="1:63" ht="15" customHeight="1" x14ac:dyDescent="0.25">
      <c r="A48" s="91"/>
      <c r="Q48" s="121"/>
      <c r="R48" s="122"/>
      <c r="S48" s="122"/>
      <c r="T48" s="122"/>
      <c r="U48" s="122"/>
      <c r="V48" s="122"/>
      <c r="W48" s="122"/>
      <c r="X48" s="122"/>
      <c r="Y48" s="122"/>
      <c r="Z48" s="123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3"/>
      <c r="AQ48" s="121"/>
      <c r="AR48" s="122"/>
      <c r="AS48" s="122"/>
      <c r="AT48" s="122"/>
      <c r="AU48" s="123"/>
      <c r="BK48" s="92"/>
    </row>
    <row r="49" spans="1:63" ht="15" customHeight="1" x14ac:dyDescent="0.25">
      <c r="A49" s="91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92"/>
    </row>
    <row r="50" spans="1:63" ht="15" customHeight="1" x14ac:dyDescent="0.25">
      <c r="A50" s="91"/>
      <c r="BK50" s="92"/>
    </row>
    <row r="51" spans="1:63" ht="15" customHeight="1" x14ac:dyDescent="0.25">
      <c r="A51" s="91"/>
      <c r="BK51" s="92"/>
    </row>
    <row r="52" spans="1:63" ht="15" customHeight="1" x14ac:dyDescent="0.25">
      <c r="A52" s="91"/>
      <c r="BK52" s="92"/>
    </row>
    <row r="53" spans="1:63" ht="15" customHeight="1" x14ac:dyDescent="0.25">
      <c r="A53" s="91"/>
      <c r="BK53" s="92"/>
    </row>
    <row r="54" spans="1:63" ht="15" customHeight="1" x14ac:dyDescent="0.25">
      <c r="A54" s="91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AAD8-1C5D-4E7D-AE32-0A16850436F2}">
  <sheetPr>
    <pageSetUpPr fitToPage="1"/>
  </sheetPr>
  <dimension ref="A1:BK55"/>
  <sheetViews>
    <sheetView view="pageBreakPreview" zoomScale="75" zoomScaleNormal="75" zoomScaleSheetLayoutView="75" workbookViewId="0">
      <selection sqref="A1:J1"/>
    </sheetView>
  </sheetViews>
  <sheetFormatPr defaultColWidth="2.77734375" defaultRowHeight="15.75" customHeight="1" x14ac:dyDescent="0.25"/>
  <cols>
    <col min="1" max="16384" width="2.77734375" style="72"/>
  </cols>
  <sheetData>
    <row r="1" spans="1:63" ht="24.95" customHeight="1" x14ac:dyDescent="0.25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4"/>
      <c r="K1" s="12" t="s">
        <v>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5" t="str">
        <f>IF(表紙!W1="","",表紙!W1)</f>
        <v>基本設計書</v>
      </c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  <c r="AP1" s="12" t="s">
        <v>7</v>
      </c>
      <c r="AQ1" s="13"/>
      <c r="AR1" s="13"/>
      <c r="AS1" s="14"/>
      <c r="AT1" s="12" t="s">
        <v>8</v>
      </c>
      <c r="AU1" s="13"/>
      <c r="AV1" s="13"/>
      <c r="AW1" s="13"/>
      <c r="AX1" s="14"/>
      <c r="AY1" s="12" t="s">
        <v>9</v>
      </c>
      <c r="AZ1" s="13"/>
      <c r="BA1" s="13"/>
      <c r="BB1" s="14"/>
      <c r="BC1" s="12" t="s">
        <v>10</v>
      </c>
      <c r="BD1" s="13"/>
      <c r="BE1" s="13"/>
      <c r="BF1" s="13"/>
      <c r="BG1" s="14"/>
      <c r="BH1" s="12" t="s">
        <v>11</v>
      </c>
      <c r="BI1" s="13"/>
      <c r="BJ1" s="13"/>
      <c r="BK1" s="14"/>
    </row>
    <row r="2" spans="1:63" ht="15" customHeight="1" x14ac:dyDescent="0.25">
      <c r="A2" s="73" t="str">
        <f>IF(表紙!A2="","",表紙!A2)</f>
        <v>POSシステム</v>
      </c>
      <c r="B2" s="74"/>
      <c r="C2" s="74"/>
      <c r="D2" s="74"/>
      <c r="E2" s="74"/>
      <c r="F2" s="74"/>
      <c r="G2" s="74"/>
      <c r="H2" s="74"/>
      <c r="I2" s="74"/>
      <c r="J2" s="75"/>
      <c r="K2" s="73" t="str">
        <f>IF(表紙!K2="","",表紙!K2)</f>
        <v>POSサーバー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5"/>
      <c r="W2" s="18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20"/>
      <c r="AP2" s="73" t="str">
        <f>IF(表紙!AP2="","",表紙!AP2)</f>
        <v>Thanh Nguyen</v>
      </c>
      <c r="AQ2" s="74"/>
      <c r="AR2" s="74"/>
      <c r="AS2" s="75"/>
      <c r="AT2" s="76">
        <f>IF(表紙!AT2="","",表紙!AT2)</f>
        <v>45209</v>
      </c>
      <c r="AU2" s="77"/>
      <c r="AV2" s="77"/>
      <c r="AW2" s="77"/>
      <c r="AX2" s="78"/>
      <c r="AY2" s="73" t="str">
        <f>IF(表紙!AY2="","",表紙!AY2)</f>
        <v>DuNT</v>
      </c>
      <c r="AZ2" s="74"/>
      <c r="BA2" s="74"/>
      <c r="BB2" s="75"/>
      <c r="BC2" s="76">
        <f>IF(表紙!BC2="","",表紙!BC2)</f>
        <v>45390</v>
      </c>
      <c r="BD2" s="77"/>
      <c r="BE2" s="77"/>
      <c r="BF2" s="77"/>
      <c r="BG2" s="78"/>
      <c r="BH2" s="73">
        <f>IF(表紙!BH2="","",表紙!BH2)</f>
        <v>0.3</v>
      </c>
      <c r="BI2" s="74"/>
      <c r="BJ2" s="74"/>
      <c r="BK2" s="75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1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3"/>
      <c r="AP3" s="79"/>
      <c r="AQ3" s="80"/>
      <c r="AR3" s="80"/>
      <c r="AS3" s="81"/>
      <c r="AT3" s="82"/>
      <c r="AU3" s="83"/>
      <c r="AV3" s="83"/>
      <c r="AW3" s="83"/>
      <c r="AX3" s="84"/>
      <c r="AY3" s="79"/>
      <c r="AZ3" s="80"/>
      <c r="BA3" s="80"/>
      <c r="BB3" s="81"/>
      <c r="BC3" s="82"/>
      <c r="BD3" s="83"/>
      <c r="BE3" s="83"/>
      <c r="BF3" s="83"/>
      <c r="BG3" s="84"/>
      <c r="BH3" s="79"/>
      <c r="BI3" s="80"/>
      <c r="BJ3" s="80"/>
      <c r="BK3" s="81"/>
    </row>
    <row r="4" spans="1:63" ht="24.95" customHeight="1" x14ac:dyDescent="0.25">
      <c r="A4" s="12" t="s">
        <v>5</v>
      </c>
      <c r="B4" s="13"/>
      <c r="C4" s="13"/>
      <c r="D4" s="13"/>
      <c r="E4" s="13"/>
      <c r="F4" s="13"/>
      <c r="G4" s="14"/>
      <c r="H4" s="85" t="str">
        <f>IF(表紙!H4="","",表紙!H4)</f>
        <v>API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12" t="s">
        <v>12</v>
      </c>
      <c r="V4" s="13"/>
      <c r="W4" s="13"/>
      <c r="X4" s="13"/>
      <c r="Y4" s="14"/>
      <c r="Z4" s="85" t="str">
        <f>IF(表紙!Z4="","",表紙!Z4)</f>
        <v>基本設計書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 cm="1">
        <f t="array" aca="1" ref="AP4" ca="1">RIGHT(CELL("filename",$A$1),LEN(CELL("filename",$A$1))-FIND("]",CELL("filename",$A$1)))</f>
        <v>改廃履歴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90"/>
    </row>
    <row r="6" spans="1:63" ht="15" customHeight="1" x14ac:dyDescent="0.25">
      <c r="A6" s="91"/>
      <c r="BK6" s="92"/>
    </row>
    <row r="7" spans="1:63" ht="15" customHeight="1" x14ac:dyDescent="0.25">
      <c r="A7" s="91"/>
      <c r="BK7" s="92"/>
    </row>
    <row r="8" spans="1:63" ht="15" customHeight="1" x14ac:dyDescent="0.25">
      <c r="A8" s="91"/>
      <c r="B8" s="72" t="s">
        <v>13</v>
      </c>
      <c r="BK8" s="92"/>
    </row>
    <row r="9" spans="1:63" ht="15" customHeight="1" x14ac:dyDescent="0.25">
      <c r="A9" s="91"/>
      <c r="BK9" s="92"/>
    </row>
    <row r="10" spans="1:63" ht="15" customHeight="1" x14ac:dyDescent="0.25">
      <c r="A10" s="91"/>
      <c r="B10" s="24" t="s">
        <v>14</v>
      </c>
      <c r="C10" s="24"/>
      <c r="D10" s="24"/>
      <c r="E10" s="24"/>
      <c r="F10" s="24"/>
      <c r="G10" s="24"/>
      <c r="H10" s="24" t="s">
        <v>9</v>
      </c>
      <c r="I10" s="24"/>
      <c r="J10" s="24"/>
      <c r="K10" s="24"/>
      <c r="L10" s="24"/>
      <c r="M10" s="24"/>
      <c r="N10" s="24"/>
      <c r="O10" s="24" t="s">
        <v>11</v>
      </c>
      <c r="P10" s="24"/>
      <c r="Q10" s="24"/>
      <c r="R10" s="24"/>
      <c r="S10" s="24" t="s">
        <v>15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 t="s">
        <v>16</v>
      </c>
      <c r="AY10" s="24"/>
      <c r="AZ10" s="24"/>
      <c r="BA10" s="24"/>
      <c r="BB10" s="24"/>
      <c r="BC10" s="24"/>
      <c r="BD10" s="24" t="s">
        <v>17</v>
      </c>
      <c r="BE10" s="24"/>
      <c r="BF10" s="24"/>
      <c r="BG10" s="24"/>
      <c r="BH10" s="24"/>
      <c r="BI10" s="24"/>
      <c r="BJ10" s="24"/>
      <c r="BK10" s="92"/>
    </row>
    <row r="11" spans="1:63" ht="15" customHeight="1" x14ac:dyDescent="0.25">
      <c r="A11" s="91"/>
      <c r="B11" s="76">
        <v>45209</v>
      </c>
      <c r="C11" s="74"/>
      <c r="D11" s="74"/>
      <c r="E11" s="74"/>
      <c r="F11" s="74"/>
      <c r="G11" s="75"/>
      <c r="H11" s="73" t="s">
        <v>59</v>
      </c>
      <c r="I11" s="74"/>
      <c r="J11" s="74"/>
      <c r="K11" s="74"/>
      <c r="L11" s="74"/>
      <c r="M11" s="74"/>
      <c r="N11" s="75"/>
      <c r="O11" s="73">
        <v>0.2</v>
      </c>
      <c r="P11" s="74"/>
      <c r="Q11" s="74"/>
      <c r="R11" s="74"/>
      <c r="S11" s="93" t="s">
        <v>20</v>
      </c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5"/>
      <c r="AX11" s="96"/>
      <c r="AY11" s="96"/>
      <c r="AZ11" s="96"/>
      <c r="BA11" s="96"/>
      <c r="BB11" s="96"/>
      <c r="BC11" s="97"/>
      <c r="BD11" s="98"/>
      <c r="BE11" s="96"/>
      <c r="BF11" s="96"/>
      <c r="BG11" s="96"/>
      <c r="BH11" s="96"/>
      <c r="BI11" s="96"/>
      <c r="BJ11" s="97"/>
      <c r="BK11" s="92"/>
    </row>
    <row r="12" spans="1:63" ht="15" customHeight="1" x14ac:dyDescent="0.25">
      <c r="A12" s="91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99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1"/>
      <c r="AX12" s="102"/>
      <c r="AY12" s="102"/>
      <c r="AZ12" s="102"/>
      <c r="BA12" s="102"/>
      <c r="BB12" s="102"/>
      <c r="BC12" s="103"/>
      <c r="BD12" s="104"/>
      <c r="BE12" s="102"/>
      <c r="BF12" s="102"/>
      <c r="BG12" s="102"/>
      <c r="BH12" s="102"/>
      <c r="BI12" s="102"/>
      <c r="BJ12" s="103"/>
      <c r="BK12" s="92"/>
    </row>
    <row r="13" spans="1:63" ht="15" customHeight="1" x14ac:dyDescent="0.25">
      <c r="A13" s="91"/>
      <c r="B13" s="76">
        <v>45390</v>
      </c>
      <c r="C13" s="74"/>
      <c r="D13" s="74"/>
      <c r="E13" s="74"/>
      <c r="F13" s="74"/>
      <c r="G13" s="75"/>
      <c r="H13" s="73" t="s">
        <v>2</v>
      </c>
      <c r="I13" s="74"/>
      <c r="J13" s="74"/>
      <c r="K13" s="74"/>
      <c r="L13" s="74"/>
      <c r="M13" s="74"/>
      <c r="N13" s="75"/>
      <c r="O13" s="73">
        <v>0.3</v>
      </c>
      <c r="P13" s="74"/>
      <c r="Q13" s="74"/>
      <c r="R13" s="74"/>
      <c r="S13" s="93" t="s">
        <v>39</v>
      </c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5"/>
      <c r="AX13" s="96"/>
      <c r="AY13" s="96"/>
      <c r="AZ13" s="96"/>
      <c r="BA13" s="96"/>
      <c r="BB13" s="96"/>
      <c r="BC13" s="97"/>
      <c r="BD13" s="98"/>
      <c r="BE13" s="96"/>
      <c r="BF13" s="96"/>
      <c r="BG13" s="96"/>
      <c r="BH13" s="96"/>
      <c r="BI13" s="96"/>
      <c r="BJ13" s="97"/>
      <c r="BK13" s="92"/>
    </row>
    <row r="14" spans="1:63" ht="15" customHeight="1" x14ac:dyDescent="0.25">
      <c r="A14" s="91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99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1"/>
      <c r="AX14" s="102"/>
      <c r="AY14" s="102"/>
      <c r="AZ14" s="102"/>
      <c r="BA14" s="102"/>
      <c r="BB14" s="102"/>
      <c r="BC14" s="103"/>
      <c r="BD14" s="104"/>
      <c r="BE14" s="102"/>
      <c r="BF14" s="102"/>
      <c r="BG14" s="102"/>
      <c r="BH14" s="102"/>
      <c r="BI14" s="102"/>
      <c r="BJ14" s="103"/>
      <c r="BK14" s="92"/>
    </row>
    <row r="15" spans="1:63" ht="15" customHeight="1" x14ac:dyDescent="0.25">
      <c r="A15" s="91"/>
      <c r="B15" s="73"/>
      <c r="C15" s="74"/>
      <c r="D15" s="74"/>
      <c r="E15" s="74"/>
      <c r="F15" s="74"/>
      <c r="G15" s="75"/>
      <c r="H15" s="73"/>
      <c r="I15" s="74"/>
      <c r="J15" s="74"/>
      <c r="K15" s="74"/>
      <c r="L15" s="74"/>
      <c r="M15" s="74"/>
      <c r="N15" s="75"/>
      <c r="O15" s="73"/>
      <c r="P15" s="74"/>
      <c r="Q15" s="74"/>
      <c r="R15" s="74"/>
      <c r="S15" s="93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5"/>
      <c r="AX15" s="96"/>
      <c r="AY15" s="96"/>
      <c r="AZ15" s="96"/>
      <c r="BA15" s="96"/>
      <c r="BB15" s="96"/>
      <c r="BC15" s="97"/>
      <c r="BD15" s="98"/>
      <c r="BE15" s="96"/>
      <c r="BF15" s="96"/>
      <c r="BG15" s="96"/>
      <c r="BH15" s="96"/>
      <c r="BI15" s="96"/>
      <c r="BJ15" s="97"/>
      <c r="BK15" s="92"/>
    </row>
    <row r="16" spans="1:63" ht="15" customHeight="1" x14ac:dyDescent="0.25">
      <c r="A16" s="91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99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1"/>
      <c r="AX16" s="102"/>
      <c r="AY16" s="102"/>
      <c r="AZ16" s="102"/>
      <c r="BA16" s="102"/>
      <c r="BB16" s="102"/>
      <c r="BC16" s="103"/>
      <c r="BD16" s="104"/>
      <c r="BE16" s="102"/>
      <c r="BF16" s="102"/>
      <c r="BG16" s="102"/>
      <c r="BH16" s="102"/>
      <c r="BI16" s="102"/>
      <c r="BJ16" s="103"/>
      <c r="BK16" s="92"/>
    </row>
    <row r="17" spans="1:63" ht="15" customHeight="1" x14ac:dyDescent="0.25">
      <c r="A17" s="91"/>
      <c r="B17" s="73"/>
      <c r="C17" s="74"/>
      <c r="D17" s="74"/>
      <c r="E17" s="74"/>
      <c r="F17" s="74"/>
      <c r="G17" s="75"/>
      <c r="H17" s="73"/>
      <c r="I17" s="74"/>
      <c r="J17" s="74"/>
      <c r="K17" s="74"/>
      <c r="L17" s="74"/>
      <c r="M17" s="74"/>
      <c r="N17" s="75"/>
      <c r="O17" s="73"/>
      <c r="P17" s="74"/>
      <c r="Q17" s="74"/>
      <c r="R17" s="74"/>
      <c r="S17" s="93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5"/>
      <c r="AX17" s="96"/>
      <c r="AY17" s="96"/>
      <c r="AZ17" s="96"/>
      <c r="BA17" s="96"/>
      <c r="BB17" s="96"/>
      <c r="BC17" s="97"/>
      <c r="BD17" s="98"/>
      <c r="BE17" s="96"/>
      <c r="BF17" s="96"/>
      <c r="BG17" s="96"/>
      <c r="BH17" s="96"/>
      <c r="BI17" s="96"/>
      <c r="BJ17" s="97"/>
      <c r="BK17" s="92"/>
    </row>
    <row r="18" spans="1:63" ht="15" customHeight="1" x14ac:dyDescent="0.25">
      <c r="A18" s="91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99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1"/>
      <c r="AX18" s="102"/>
      <c r="AY18" s="102"/>
      <c r="AZ18" s="102"/>
      <c r="BA18" s="102"/>
      <c r="BB18" s="102"/>
      <c r="BC18" s="103"/>
      <c r="BD18" s="104"/>
      <c r="BE18" s="102"/>
      <c r="BF18" s="102"/>
      <c r="BG18" s="102"/>
      <c r="BH18" s="102"/>
      <c r="BI18" s="102"/>
      <c r="BJ18" s="103"/>
      <c r="BK18" s="92"/>
    </row>
    <row r="19" spans="1:63" ht="15" customHeight="1" x14ac:dyDescent="0.25">
      <c r="A19" s="91"/>
      <c r="B19" s="73"/>
      <c r="C19" s="74"/>
      <c r="D19" s="74"/>
      <c r="E19" s="74"/>
      <c r="F19" s="74"/>
      <c r="G19" s="75"/>
      <c r="H19" s="73"/>
      <c r="I19" s="74"/>
      <c r="J19" s="74"/>
      <c r="K19" s="74"/>
      <c r="L19" s="74"/>
      <c r="M19" s="74"/>
      <c r="N19" s="75"/>
      <c r="O19" s="73"/>
      <c r="P19" s="74"/>
      <c r="Q19" s="74"/>
      <c r="R19" s="74"/>
      <c r="S19" s="93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5"/>
      <c r="AX19" s="96"/>
      <c r="AY19" s="96"/>
      <c r="AZ19" s="96"/>
      <c r="BA19" s="96"/>
      <c r="BB19" s="96"/>
      <c r="BC19" s="97"/>
      <c r="BD19" s="98"/>
      <c r="BE19" s="96"/>
      <c r="BF19" s="96"/>
      <c r="BG19" s="96"/>
      <c r="BH19" s="96"/>
      <c r="BI19" s="96"/>
      <c r="BJ19" s="97"/>
      <c r="BK19" s="92"/>
    </row>
    <row r="20" spans="1:63" ht="15" customHeight="1" x14ac:dyDescent="0.25">
      <c r="A20" s="91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99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1"/>
      <c r="AX20" s="102"/>
      <c r="AY20" s="102"/>
      <c r="AZ20" s="102"/>
      <c r="BA20" s="102"/>
      <c r="BB20" s="102"/>
      <c r="BC20" s="103"/>
      <c r="BD20" s="104"/>
      <c r="BE20" s="102"/>
      <c r="BF20" s="102"/>
      <c r="BG20" s="102"/>
      <c r="BH20" s="102"/>
      <c r="BI20" s="102"/>
      <c r="BJ20" s="103"/>
      <c r="BK20" s="92"/>
    </row>
    <row r="21" spans="1:63" ht="15" customHeight="1" x14ac:dyDescent="0.25">
      <c r="A21" s="91"/>
      <c r="B21" s="73"/>
      <c r="C21" s="74"/>
      <c r="D21" s="74"/>
      <c r="E21" s="74"/>
      <c r="F21" s="74"/>
      <c r="G21" s="75"/>
      <c r="H21" s="73"/>
      <c r="I21" s="74"/>
      <c r="J21" s="74"/>
      <c r="K21" s="74"/>
      <c r="L21" s="74"/>
      <c r="M21" s="74"/>
      <c r="N21" s="75"/>
      <c r="O21" s="73"/>
      <c r="P21" s="74"/>
      <c r="Q21" s="74"/>
      <c r="R21" s="74"/>
      <c r="S21" s="93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5"/>
      <c r="AX21" s="96"/>
      <c r="AY21" s="96"/>
      <c r="AZ21" s="96"/>
      <c r="BA21" s="96"/>
      <c r="BB21" s="96"/>
      <c r="BC21" s="97"/>
      <c r="BD21" s="98"/>
      <c r="BE21" s="96"/>
      <c r="BF21" s="96"/>
      <c r="BG21" s="96"/>
      <c r="BH21" s="96"/>
      <c r="BI21" s="96"/>
      <c r="BJ21" s="97"/>
      <c r="BK21" s="92"/>
    </row>
    <row r="22" spans="1:63" ht="15" customHeight="1" x14ac:dyDescent="0.25">
      <c r="A22" s="91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99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1"/>
      <c r="AX22" s="102"/>
      <c r="AY22" s="102"/>
      <c r="AZ22" s="102"/>
      <c r="BA22" s="102"/>
      <c r="BB22" s="102"/>
      <c r="BC22" s="103"/>
      <c r="BD22" s="104"/>
      <c r="BE22" s="102"/>
      <c r="BF22" s="102"/>
      <c r="BG22" s="102"/>
      <c r="BH22" s="102"/>
      <c r="BI22" s="102"/>
      <c r="BJ22" s="103"/>
      <c r="BK22" s="92"/>
    </row>
    <row r="23" spans="1:63" ht="15" customHeight="1" x14ac:dyDescent="0.25">
      <c r="A23" s="91"/>
      <c r="B23" s="73"/>
      <c r="C23" s="74"/>
      <c r="D23" s="74"/>
      <c r="E23" s="74"/>
      <c r="F23" s="74"/>
      <c r="G23" s="75"/>
      <c r="H23" s="73"/>
      <c r="I23" s="74"/>
      <c r="J23" s="74"/>
      <c r="K23" s="74"/>
      <c r="L23" s="74"/>
      <c r="M23" s="74"/>
      <c r="N23" s="75"/>
      <c r="O23" s="73"/>
      <c r="P23" s="74"/>
      <c r="Q23" s="74"/>
      <c r="R23" s="74"/>
      <c r="S23" s="93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5"/>
      <c r="AX23" s="96"/>
      <c r="AY23" s="96"/>
      <c r="AZ23" s="96"/>
      <c r="BA23" s="96"/>
      <c r="BB23" s="96"/>
      <c r="BC23" s="97"/>
      <c r="BD23" s="98"/>
      <c r="BE23" s="96"/>
      <c r="BF23" s="96"/>
      <c r="BG23" s="96"/>
      <c r="BH23" s="96"/>
      <c r="BI23" s="96"/>
      <c r="BJ23" s="97"/>
      <c r="BK23" s="92"/>
    </row>
    <row r="24" spans="1:63" ht="15" customHeight="1" x14ac:dyDescent="0.25">
      <c r="A24" s="91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99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1"/>
      <c r="AX24" s="102"/>
      <c r="AY24" s="102"/>
      <c r="AZ24" s="102"/>
      <c r="BA24" s="102"/>
      <c r="BB24" s="102"/>
      <c r="BC24" s="103"/>
      <c r="BD24" s="104"/>
      <c r="BE24" s="102"/>
      <c r="BF24" s="102"/>
      <c r="BG24" s="102"/>
      <c r="BH24" s="102"/>
      <c r="BI24" s="102"/>
      <c r="BJ24" s="103"/>
      <c r="BK24" s="92"/>
    </row>
    <row r="25" spans="1:63" ht="15" customHeight="1" x14ac:dyDescent="0.25">
      <c r="A25" s="91"/>
      <c r="B25" s="73"/>
      <c r="C25" s="74"/>
      <c r="D25" s="74"/>
      <c r="E25" s="74"/>
      <c r="F25" s="74"/>
      <c r="G25" s="75"/>
      <c r="H25" s="73"/>
      <c r="I25" s="74"/>
      <c r="J25" s="74"/>
      <c r="K25" s="74"/>
      <c r="L25" s="74"/>
      <c r="M25" s="74"/>
      <c r="N25" s="75"/>
      <c r="O25" s="73"/>
      <c r="P25" s="74"/>
      <c r="Q25" s="74"/>
      <c r="R25" s="74"/>
      <c r="S25" s="93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5"/>
      <c r="AX25" s="96"/>
      <c r="AY25" s="96"/>
      <c r="AZ25" s="96"/>
      <c r="BA25" s="96"/>
      <c r="BB25" s="96"/>
      <c r="BC25" s="97"/>
      <c r="BD25" s="98"/>
      <c r="BE25" s="96"/>
      <c r="BF25" s="96"/>
      <c r="BG25" s="96"/>
      <c r="BH25" s="96"/>
      <c r="BI25" s="96"/>
      <c r="BJ25" s="97"/>
      <c r="BK25" s="92"/>
    </row>
    <row r="26" spans="1:63" ht="15" customHeight="1" x14ac:dyDescent="0.25">
      <c r="A26" s="91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99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1"/>
      <c r="AX26" s="102"/>
      <c r="AY26" s="102"/>
      <c r="AZ26" s="102"/>
      <c r="BA26" s="102"/>
      <c r="BB26" s="102"/>
      <c r="BC26" s="103"/>
      <c r="BD26" s="104"/>
      <c r="BE26" s="102"/>
      <c r="BF26" s="102"/>
      <c r="BG26" s="102"/>
      <c r="BH26" s="102"/>
      <c r="BI26" s="102"/>
      <c r="BJ26" s="103"/>
      <c r="BK26" s="92"/>
    </row>
    <row r="27" spans="1:63" ht="15" customHeight="1" x14ac:dyDescent="0.25">
      <c r="A27" s="91"/>
      <c r="B27" s="73"/>
      <c r="C27" s="74"/>
      <c r="D27" s="74"/>
      <c r="E27" s="74"/>
      <c r="F27" s="74"/>
      <c r="G27" s="75"/>
      <c r="H27" s="73"/>
      <c r="I27" s="74"/>
      <c r="J27" s="74"/>
      <c r="K27" s="74"/>
      <c r="L27" s="74"/>
      <c r="M27" s="74"/>
      <c r="N27" s="75"/>
      <c r="O27" s="73"/>
      <c r="P27" s="74"/>
      <c r="Q27" s="74"/>
      <c r="R27" s="74"/>
      <c r="S27" s="93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5"/>
      <c r="AX27" s="96"/>
      <c r="AY27" s="96"/>
      <c r="AZ27" s="96"/>
      <c r="BA27" s="96"/>
      <c r="BB27" s="96"/>
      <c r="BC27" s="97"/>
      <c r="BD27" s="98"/>
      <c r="BE27" s="96"/>
      <c r="BF27" s="96"/>
      <c r="BG27" s="96"/>
      <c r="BH27" s="96"/>
      <c r="BI27" s="96"/>
      <c r="BJ27" s="97"/>
      <c r="BK27" s="92"/>
    </row>
    <row r="28" spans="1:63" ht="15" customHeight="1" x14ac:dyDescent="0.25">
      <c r="A28" s="91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99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1"/>
      <c r="AX28" s="102"/>
      <c r="AY28" s="102"/>
      <c r="AZ28" s="102"/>
      <c r="BA28" s="102"/>
      <c r="BB28" s="102"/>
      <c r="BC28" s="103"/>
      <c r="BD28" s="104"/>
      <c r="BE28" s="102"/>
      <c r="BF28" s="102"/>
      <c r="BG28" s="102"/>
      <c r="BH28" s="102"/>
      <c r="BI28" s="102"/>
      <c r="BJ28" s="103"/>
      <c r="BK28" s="92"/>
    </row>
    <row r="29" spans="1:63" ht="15" customHeight="1" x14ac:dyDescent="0.25">
      <c r="A29" s="91"/>
      <c r="B29" s="73"/>
      <c r="C29" s="74"/>
      <c r="D29" s="74"/>
      <c r="E29" s="74"/>
      <c r="F29" s="74"/>
      <c r="G29" s="75"/>
      <c r="H29" s="73"/>
      <c r="I29" s="74"/>
      <c r="J29" s="74"/>
      <c r="K29" s="74"/>
      <c r="L29" s="74"/>
      <c r="M29" s="74"/>
      <c r="N29" s="75"/>
      <c r="O29" s="73"/>
      <c r="P29" s="74"/>
      <c r="Q29" s="74"/>
      <c r="R29" s="74"/>
      <c r="S29" s="93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5"/>
      <c r="AX29" s="96"/>
      <c r="AY29" s="96"/>
      <c r="AZ29" s="96"/>
      <c r="BA29" s="96"/>
      <c r="BB29" s="96"/>
      <c r="BC29" s="97"/>
      <c r="BD29" s="98"/>
      <c r="BE29" s="96"/>
      <c r="BF29" s="96"/>
      <c r="BG29" s="96"/>
      <c r="BH29" s="96"/>
      <c r="BI29" s="96"/>
      <c r="BJ29" s="97"/>
      <c r="BK29" s="92"/>
    </row>
    <row r="30" spans="1:63" ht="15" customHeight="1" x14ac:dyDescent="0.25">
      <c r="A30" s="91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99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1"/>
      <c r="AX30" s="102"/>
      <c r="AY30" s="102"/>
      <c r="AZ30" s="102"/>
      <c r="BA30" s="102"/>
      <c r="BB30" s="102"/>
      <c r="BC30" s="103"/>
      <c r="BD30" s="104"/>
      <c r="BE30" s="102"/>
      <c r="BF30" s="102"/>
      <c r="BG30" s="102"/>
      <c r="BH30" s="102"/>
      <c r="BI30" s="102"/>
      <c r="BJ30" s="103"/>
      <c r="BK30" s="92"/>
    </row>
    <row r="31" spans="1:63" ht="15" customHeight="1" x14ac:dyDescent="0.25">
      <c r="A31" s="91"/>
      <c r="B31" s="73"/>
      <c r="C31" s="74"/>
      <c r="D31" s="74"/>
      <c r="E31" s="74"/>
      <c r="F31" s="74"/>
      <c r="G31" s="75"/>
      <c r="H31" s="73"/>
      <c r="I31" s="74"/>
      <c r="J31" s="74"/>
      <c r="K31" s="74"/>
      <c r="L31" s="74"/>
      <c r="M31" s="74"/>
      <c r="N31" s="75"/>
      <c r="O31" s="73"/>
      <c r="P31" s="74"/>
      <c r="Q31" s="74"/>
      <c r="R31" s="74"/>
      <c r="S31" s="93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5"/>
      <c r="AX31" s="96"/>
      <c r="AY31" s="96"/>
      <c r="AZ31" s="96"/>
      <c r="BA31" s="96"/>
      <c r="BB31" s="96"/>
      <c r="BC31" s="97"/>
      <c r="BD31" s="98"/>
      <c r="BE31" s="96"/>
      <c r="BF31" s="96"/>
      <c r="BG31" s="96"/>
      <c r="BH31" s="96"/>
      <c r="BI31" s="96"/>
      <c r="BJ31" s="97"/>
      <c r="BK31" s="92"/>
    </row>
    <row r="32" spans="1:63" ht="15" customHeight="1" x14ac:dyDescent="0.25">
      <c r="A32" s="91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99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1"/>
      <c r="AX32" s="102"/>
      <c r="AY32" s="102"/>
      <c r="AZ32" s="102"/>
      <c r="BA32" s="102"/>
      <c r="BB32" s="102"/>
      <c r="BC32" s="103"/>
      <c r="BD32" s="104"/>
      <c r="BE32" s="102"/>
      <c r="BF32" s="102"/>
      <c r="BG32" s="102"/>
      <c r="BH32" s="102"/>
      <c r="BI32" s="102"/>
      <c r="BJ32" s="103"/>
      <c r="BK32" s="92"/>
    </row>
    <row r="33" spans="1:63" ht="15" customHeight="1" x14ac:dyDescent="0.25">
      <c r="A33" s="91"/>
      <c r="B33" s="73"/>
      <c r="C33" s="74"/>
      <c r="D33" s="74"/>
      <c r="E33" s="74"/>
      <c r="F33" s="74"/>
      <c r="G33" s="75"/>
      <c r="H33" s="73"/>
      <c r="I33" s="74"/>
      <c r="J33" s="74"/>
      <c r="K33" s="74"/>
      <c r="L33" s="74"/>
      <c r="M33" s="74"/>
      <c r="N33" s="75"/>
      <c r="O33" s="73"/>
      <c r="P33" s="74"/>
      <c r="Q33" s="74"/>
      <c r="R33" s="74"/>
      <c r="S33" s="93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5"/>
      <c r="AX33" s="96"/>
      <c r="AY33" s="96"/>
      <c r="AZ33" s="96"/>
      <c r="BA33" s="96"/>
      <c r="BB33" s="96"/>
      <c r="BC33" s="97"/>
      <c r="BD33" s="98"/>
      <c r="BE33" s="96"/>
      <c r="BF33" s="96"/>
      <c r="BG33" s="96"/>
      <c r="BH33" s="96"/>
      <c r="BI33" s="96"/>
      <c r="BJ33" s="97"/>
      <c r="BK33" s="92"/>
    </row>
    <row r="34" spans="1:63" ht="15" customHeight="1" x14ac:dyDescent="0.25">
      <c r="A34" s="91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99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1"/>
      <c r="AX34" s="102"/>
      <c r="AY34" s="102"/>
      <c r="AZ34" s="102"/>
      <c r="BA34" s="102"/>
      <c r="BB34" s="102"/>
      <c r="BC34" s="103"/>
      <c r="BD34" s="104"/>
      <c r="BE34" s="102"/>
      <c r="BF34" s="102"/>
      <c r="BG34" s="102"/>
      <c r="BH34" s="102"/>
      <c r="BI34" s="102"/>
      <c r="BJ34" s="103"/>
      <c r="BK34" s="92"/>
    </row>
    <row r="35" spans="1:63" ht="15" customHeight="1" x14ac:dyDescent="0.25">
      <c r="A35" s="91"/>
      <c r="B35" s="73"/>
      <c r="C35" s="74"/>
      <c r="D35" s="74"/>
      <c r="E35" s="74"/>
      <c r="F35" s="74"/>
      <c r="G35" s="75"/>
      <c r="H35" s="73"/>
      <c r="I35" s="74"/>
      <c r="J35" s="74"/>
      <c r="K35" s="74"/>
      <c r="L35" s="74"/>
      <c r="M35" s="74"/>
      <c r="N35" s="75"/>
      <c r="O35" s="73"/>
      <c r="P35" s="74"/>
      <c r="Q35" s="74"/>
      <c r="R35" s="74"/>
      <c r="S35" s="93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5"/>
      <c r="AX35" s="96"/>
      <c r="AY35" s="96"/>
      <c r="AZ35" s="96"/>
      <c r="BA35" s="96"/>
      <c r="BB35" s="96"/>
      <c r="BC35" s="97"/>
      <c r="BD35" s="98"/>
      <c r="BE35" s="96"/>
      <c r="BF35" s="96"/>
      <c r="BG35" s="96"/>
      <c r="BH35" s="96"/>
      <c r="BI35" s="96"/>
      <c r="BJ35" s="97"/>
      <c r="BK35" s="92"/>
    </row>
    <row r="36" spans="1:63" ht="15" customHeight="1" x14ac:dyDescent="0.25">
      <c r="A36" s="91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99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1"/>
      <c r="AX36" s="102"/>
      <c r="AY36" s="102"/>
      <c r="AZ36" s="102"/>
      <c r="BA36" s="102"/>
      <c r="BB36" s="102"/>
      <c r="BC36" s="103"/>
      <c r="BD36" s="104"/>
      <c r="BE36" s="102"/>
      <c r="BF36" s="102"/>
      <c r="BG36" s="102"/>
      <c r="BH36" s="102"/>
      <c r="BI36" s="102"/>
      <c r="BJ36" s="103"/>
      <c r="BK36" s="92"/>
    </row>
    <row r="37" spans="1:63" ht="15" customHeight="1" x14ac:dyDescent="0.25">
      <c r="A37" s="91"/>
      <c r="B37" s="73"/>
      <c r="C37" s="74"/>
      <c r="D37" s="74"/>
      <c r="E37" s="74"/>
      <c r="F37" s="74"/>
      <c r="G37" s="75"/>
      <c r="H37" s="73"/>
      <c r="I37" s="74"/>
      <c r="J37" s="74"/>
      <c r="K37" s="74"/>
      <c r="L37" s="74"/>
      <c r="M37" s="74"/>
      <c r="N37" s="75"/>
      <c r="O37" s="73"/>
      <c r="P37" s="74"/>
      <c r="Q37" s="74"/>
      <c r="R37" s="74"/>
      <c r="S37" s="93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5"/>
      <c r="AX37" s="96"/>
      <c r="AY37" s="96"/>
      <c r="AZ37" s="96"/>
      <c r="BA37" s="96"/>
      <c r="BB37" s="96"/>
      <c r="BC37" s="97"/>
      <c r="BD37" s="98"/>
      <c r="BE37" s="96"/>
      <c r="BF37" s="96"/>
      <c r="BG37" s="96"/>
      <c r="BH37" s="96"/>
      <c r="BI37" s="96"/>
      <c r="BJ37" s="97"/>
      <c r="BK37" s="92"/>
    </row>
    <row r="38" spans="1:63" ht="15" customHeight="1" x14ac:dyDescent="0.25">
      <c r="A38" s="91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99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1"/>
      <c r="AX38" s="102"/>
      <c r="AY38" s="102"/>
      <c r="AZ38" s="102"/>
      <c r="BA38" s="102"/>
      <c r="BB38" s="102"/>
      <c r="BC38" s="103"/>
      <c r="BD38" s="104"/>
      <c r="BE38" s="102"/>
      <c r="BF38" s="102"/>
      <c r="BG38" s="102"/>
      <c r="BH38" s="102"/>
      <c r="BI38" s="102"/>
      <c r="BJ38" s="103"/>
      <c r="BK38" s="92"/>
    </row>
    <row r="39" spans="1:63" ht="15" customHeight="1" x14ac:dyDescent="0.25">
      <c r="A39" s="91"/>
      <c r="B39" s="73"/>
      <c r="C39" s="74"/>
      <c r="D39" s="74"/>
      <c r="E39" s="74"/>
      <c r="F39" s="74"/>
      <c r="G39" s="75"/>
      <c r="H39" s="73"/>
      <c r="I39" s="74"/>
      <c r="J39" s="74"/>
      <c r="K39" s="74"/>
      <c r="L39" s="74"/>
      <c r="M39" s="74"/>
      <c r="N39" s="75"/>
      <c r="O39" s="73"/>
      <c r="P39" s="74"/>
      <c r="Q39" s="74"/>
      <c r="R39" s="74"/>
      <c r="S39" s="93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5"/>
      <c r="AX39" s="96"/>
      <c r="AY39" s="96"/>
      <c r="AZ39" s="96"/>
      <c r="BA39" s="96"/>
      <c r="BB39" s="96"/>
      <c r="BC39" s="97"/>
      <c r="BD39" s="98"/>
      <c r="BE39" s="96"/>
      <c r="BF39" s="96"/>
      <c r="BG39" s="96"/>
      <c r="BH39" s="96"/>
      <c r="BI39" s="96"/>
      <c r="BJ39" s="97"/>
      <c r="BK39" s="92"/>
    </row>
    <row r="40" spans="1:63" ht="15" customHeight="1" x14ac:dyDescent="0.25">
      <c r="A40" s="91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99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1"/>
      <c r="AX40" s="102"/>
      <c r="AY40" s="102"/>
      <c r="AZ40" s="102"/>
      <c r="BA40" s="102"/>
      <c r="BB40" s="102"/>
      <c r="BC40" s="103"/>
      <c r="BD40" s="104"/>
      <c r="BE40" s="102"/>
      <c r="BF40" s="102"/>
      <c r="BG40" s="102"/>
      <c r="BH40" s="102"/>
      <c r="BI40" s="102"/>
      <c r="BJ40" s="103"/>
      <c r="BK40" s="92"/>
    </row>
    <row r="41" spans="1:63" ht="15" customHeight="1" x14ac:dyDescent="0.25">
      <c r="A41" s="91"/>
      <c r="B41" s="73"/>
      <c r="C41" s="74"/>
      <c r="D41" s="74"/>
      <c r="E41" s="74"/>
      <c r="F41" s="74"/>
      <c r="G41" s="75"/>
      <c r="H41" s="73"/>
      <c r="I41" s="74"/>
      <c r="J41" s="74"/>
      <c r="K41" s="74"/>
      <c r="L41" s="74"/>
      <c r="M41" s="74"/>
      <c r="N41" s="75"/>
      <c r="O41" s="73"/>
      <c r="P41" s="74"/>
      <c r="Q41" s="74"/>
      <c r="R41" s="74"/>
      <c r="S41" s="93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5"/>
      <c r="AX41" s="96"/>
      <c r="AY41" s="96"/>
      <c r="AZ41" s="96"/>
      <c r="BA41" s="96"/>
      <c r="BB41" s="96"/>
      <c r="BC41" s="97"/>
      <c r="BD41" s="98"/>
      <c r="BE41" s="96"/>
      <c r="BF41" s="96"/>
      <c r="BG41" s="96"/>
      <c r="BH41" s="96"/>
      <c r="BI41" s="96"/>
      <c r="BJ41" s="97"/>
      <c r="BK41" s="92"/>
    </row>
    <row r="42" spans="1:63" ht="15" customHeight="1" x14ac:dyDescent="0.25">
      <c r="A42" s="91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99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1"/>
      <c r="AX42" s="102"/>
      <c r="AY42" s="102"/>
      <c r="AZ42" s="102"/>
      <c r="BA42" s="102"/>
      <c r="BB42" s="102"/>
      <c r="BC42" s="103"/>
      <c r="BD42" s="104"/>
      <c r="BE42" s="102"/>
      <c r="BF42" s="102"/>
      <c r="BG42" s="102"/>
      <c r="BH42" s="102"/>
      <c r="BI42" s="102"/>
      <c r="BJ42" s="103"/>
      <c r="BK42" s="92"/>
    </row>
    <row r="43" spans="1:63" ht="15" customHeight="1" x14ac:dyDescent="0.25">
      <c r="A43" s="91"/>
      <c r="B43" s="73"/>
      <c r="C43" s="74"/>
      <c r="D43" s="74"/>
      <c r="E43" s="74"/>
      <c r="F43" s="74"/>
      <c r="G43" s="75"/>
      <c r="H43" s="73"/>
      <c r="I43" s="74"/>
      <c r="J43" s="74"/>
      <c r="K43" s="74"/>
      <c r="L43" s="74"/>
      <c r="M43" s="74"/>
      <c r="N43" s="75"/>
      <c r="O43" s="73"/>
      <c r="P43" s="74"/>
      <c r="Q43" s="74"/>
      <c r="R43" s="74"/>
      <c r="S43" s="93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5"/>
      <c r="AX43" s="96"/>
      <c r="AY43" s="96"/>
      <c r="AZ43" s="96"/>
      <c r="BA43" s="96"/>
      <c r="BB43" s="96"/>
      <c r="BC43" s="97"/>
      <c r="BD43" s="98"/>
      <c r="BE43" s="96"/>
      <c r="BF43" s="96"/>
      <c r="BG43" s="96"/>
      <c r="BH43" s="96"/>
      <c r="BI43" s="96"/>
      <c r="BJ43" s="97"/>
      <c r="BK43" s="92"/>
    </row>
    <row r="44" spans="1:63" ht="15" customHeight="1" x14ac:dyDescent="0.25">
      <c r="A44" s="91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99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1"/>
      <c r="AX44" s="102"/>
      <c r="AY44" s="102"/>
      <c r="AZ44" s="102"/>
      <c r="BA44" s="102"/>
      <c r="BB44" s="102"/>
      <c r="BC44" s="103"/>
      <c r="BD44" s="104"/>
      <c r="BE44" s="102"/>
      <c r="BF44" s="102"/>
      <c r="BG44" s="102"/>
      <c r="BH44" s="102"/>
      <c r="BI44" s="102"/>
      <c r="BJ44" s="103"/>
      <c r="BK44" s="92"/>
    </row>
    <row r="45" spans="1:63" ht="15" customHeight="1" x14ac:dyDescent="0.25">
      <c r="A45" s="91"/>
      <c r="B45" s="73"/>
      <c r="C45" s="74"/>
      <c r="D45" s="74"/>
      <c r="E45" s="74"/>
      <c r="F45" s="74"/>
      <c r="G45" s="75"/>
      <c r="H45" s="73"/>
      <c r="I45" s="74"/>
      <c r="J45" s="74"/>
      <c r="K45" s="74"/>
      <c r="L45" s="74"/>
      <c r="M45" s="74"/>
      <c r="N45" s="75"/>
      <c r="O45" s="73"/>
      <c r="P45" s="74"/>
      <c r="Q45" s="74"/>
      <c r="R45" s="74"/>
      <c r="S45" s="93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5"/>
      <c r="AX45" s="96"/>
      <c r="AY45" s="96"/>
      <c r="AZ45" s="96"/>
      <c r="BA45" s="96"/>
      <c r="BB45" s="96"/>
      <c r="BC45" s="97"/>
      <c r="BD45" s="98"/>
      <c r="BE45" s="96"/>
      <c r="BF45" s="96"/>
      <c r="BG45" s="96"/>
      <c r="BH45" s="96"/>
      <c r="BI45" s="96"/>
      <c r="BJ45" s="97"/>
      <c r="BK45" s="92"/>
    </row>
    <row r="46" spans="1:63" ht="15" customHeight="1" x14ac:dyDescent="0.25">
      <c r="A46" s="91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99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1"/>
      <c r="AX46" s="102"/>
      <c r="AY46" s="102"/>
      <c r="AZ46" s="102"/>
      <c r="BA46" s="102"/>
      <c r="BB46" s="102"/>
      <c r="BC46" s="103"/>
      <c r="BD46" s="104"/>
      <c r="BE46" s="102"/>
      <c r="BF46" s="102"/>
      <c r="BG46" s="102"/>
      <c r="BH46" s="102"/>
      <c r="BI46" s="102"/>
      <c r="BJ46" s="103"/>
      <c r="BK46" s="92"/>
    </row>
    <row r="47" spans="1:63" ht="15" customHeight="1" x14ac:dyDescent="0.25">
      <c r="A47" s="91"/>
      <c r="B47" s="73"/>
      <c r="C47" s="74"/>
      <c r="D47" s="74"/>
      <c r="E47" s="74"/>
      <c r="F47" s="74"/>
      <c r="G47" s="75"/>
      <c r="H47" s="73"/>
      <c r="I47" s="74"/>
      <c r="J47" s="74"/>
      <c r="K47" s="74"/>
      <c r="L47" s="74"/>
      <c r="M47" s="74"/>
      <c r="N47" s="75"/>
      <c r="O47" s="73"/>
      <c r="P47" s="74"/>
      <c r="Q47" s="74"/>
      <c r="R47" s="74"/>
      <c r="S47" s="93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5"/>
      <c r="AX47" s="96"/>
      <c r="AY47" s="96"/>
      <c r="AZ47" s="96"/>
      <c r="BA47" s="96"/>
      <c r="BB47" s="96"/>
      <c r="BC47" s="97"/>
      <c r="BD47" s="98"/>
      <c r="BE47" s="96"/>
      <c r="BF47" s="96"/>
      <c r="BG47" s="96"/>
      <c r="BH47" s="96"/>
      <c r="BI47" s="96"/>
      <c r="BJ47" s="97"/>
      <c r="BK47" s="92"/>
    </row>
    <row r="48" spans="1:63" ht="15" customHeight="1" x14ac:dyDescent="0.25">
      <c r="A48" s="91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99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1"/>
      <c r="AX48" s="102"/>
      <c r="AY48" s="102"/>
      <c r="AZ48" s="102"/>
      <c r="BA48" s="102"/>
      <c r="BB48" s="102"/>
      <c r="BC48" s="103"/>
      <c r="BD48" s="104"/>
      <c r="BE48" s="102"/>
      <c r="BF48" s="102"/>
      <c r="BG48" s="102"/>
      <c r="BH48" s="102"/>
      <c r="BI48" s="102"/>
      <c r="BJ48" s="103"/>
      <c r="BK48" s="92"/>
    </row>
    <row r="49" spans="1:63" ht="15" customHeight="1" x14ac:dyDescent="0.25">
      <c r="A49" s="91"/>
      <c r="B49" s="73"/>
      <c r="C49" s="74"/>
      <c r="D49" s="74"/>
      <c r="E49" s="74"/>
      <c r="F49" s="74"/>
      <c r="G49" s="75"/>
      <c r="H49" s="73"/>
      <c r="I49" s="74"/>
      <c r="J49" s="74"/>
      <c r="K49" s="74"/>
      <c r="L49" s="74"/>
      <c r="M49" s="74"/>
      <c r="N49" s="75"/>
      <c r="O49" s="73"/>
      <c r="P49" s="74"/>
      <c r="Q49" s="74"/>
      <c r="R49" s="74"/>
      <c r="S49" s="93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5"/>
      <c r="AX49" s="96"/>
      <c r="AY49" s="96"/>
      <c r="AZ49" s="96"/>
      <c r="BA49" s="96"/>
      <c r="BB49" s="96"/>
      <c r="BC49" s="97"/>
      <c r="BD49" s="98"/>
      <c r="BE49" s="96"/>
      <c r="BF49" s="96"/>
      <c r="BG49" s="96"/>
      <c r="BH49" s="96"/>
      <c r="BI49" s="96"/>
      <c r="BJ49" s="97"/>
      <c r="BK49" s="92"/>
    </row>
    <row r="50" spans="1:63" ht="15" customHeight="1" x14ac:dyDescent="0.25">
      <c r="A50" s="91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99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1"/>
      <c r="AX50" s="102"/>
      <c r="AY50" s="102"/>
      <c r="AZ50" s="102"/>
      <c r="BA50" s="102"/>
      <c r="BB50" s="102"/>
      <c r="BC50" s="103"/>
      <c r="BD50" s="104"/>
      <c r="BE50" s="102"/>
      <c r="BF50" s="102"/>
      <c r="BG50" s="102"/>
      <c r="BH50" s="102"/>
      <c r="BI50" s="102"/>
      <c r="BJ50" s="103"/>
      <c r="BK50" s="92"/>
    </row>
    <row r="51" spans="1:63" ht="15" customHeight="1" x14ac:dyDescent="0.25">
      <c r="A51" s="91"/>
      <c r="B51" s="73"/>
      <c r="C51" s="74"/>
      <c r="D51" s="74"/>
      <c r="E51" s="74"/>
      <c r="F51" s="74"/>
      <c r="G51" s="75"/>
      <c r="H51" s="73"/>
      <c r="I51" s="74"/>
      <c r="J51" s="74"/>
      <c r="K51" s="74"/>
      <c r="L51" s="74"/>
      <c r="M51" s="74"/>
      <c r="N51" s="75"/>
      <c r="O51" s="73"/>
      <c r="P51" s="74"/>
      <c r="Q51" s="74"/>
      <c r="R51" s="74"/>
      <c r="S51" s="93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5"/>
      <c r="AX51" s="96"/>
      <c r="AY51" s="96"/>
      <c r="AZ51" s="96"/>
      <c r="BA51" s="96"/>
      <c r="BB51" s="96"/>
      <c r="BC51" s="97"/>
      <c r="BD51" s="98"/>
      <c r="BE51" s="96"/>
      <c r="BF51" s="96"/>
      <c r="BG51" s="96"/>
      <c r="BH51" s="96"/>
      <c r="BI51" s="96"/>
      <c r="BJ51" s="97"/>
      <c r="BK51" s="92"/>
    </row>
    <row r="52" spans="1:63" ht="15" customHeight="1" x14ac:dyDescent="0.25">
      <c r="A52" s="91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99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1"/>
      <c r="AX52" s="102"/>
      <c r="AY52" s="102"/>
      <c r="AZ52" s="102"/>
      <c r="BA52" s="102"/>
      <c r="BB52" s="102"/>
      <c r="BC52" s="103"/>
      <c r="BD52" s="104"/>
      <c r="BE52" s="102"/>
      <c r="BF52" s="102"/>
      <c r="BG52" s="102"/>
      <c r="BH52" s="102"/>
      <c r="BI52" s="102"/>
      <c r="BJ52" s="103"/>
      <c r="BK52" s="92"/>
    </row>
    <row r="53" spans="1:63" ht="15" customHeight="1" x14ac:dyDescent="0.25">
      <c r="A53" s="91"/>
      <c r="B53" s="73"/>
      <c r="C53" s="74"/>
      <c r="D53" s="74"/>
      <c r="E53" s="74"/>
      <c r="F53" s="74"/>
      <c r="G53" s="75"/>
      <c r="H53" s="73"/>
      <c r="I53" s="74"/>
      <c r="J53" s="74"/>
      <c r="K53" s="74"/>
      <c r="L53" s="74"/>
      <c r="M53" s="74"/>
      <c r="N53" s="75"/>
      <c r="O53" s="73"/>
      <c r="P53" s="74"/>
      <c r="Q53" s="74"/>
      <c r="R53" s="74"/>
      <c r="S53" s="93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5"/>
      <c r="AX53" s="96"/>
      <c r="AY53" s="96"/>
      <c r="AZ53" s="96"/>
      <c r="BA53" s="96"/>
      <c r="BB53" s="96"/>
      <c r="BC53" s="97"/>
      <c r="BD53" s="98"/>
      <c r="BE53" s="96"/>
      <c r="BF53" s="96"/>
      <c r="BG53" s="96"/>
      <c r="BH53" s="96"/>
      <c r="BI53" s="96"/>
      <c r="BJ53" s="97"/>
      <c r="BK53" s="92"/>
    </row>
    <row r="54" spans="1:63" ht="15" customHeight="1" x14ac:dyDescent="0.25">
      <c r="A54" s="91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99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1"/>
      <c r="AX54" s="102"/>
      <c r="AY54" s="102"/>
      <c r="AZ54" s="102"/>
      <c r="BA54" s="102"/>
      <c r="BB54" s="102"/>
      <c r="BC54" s="103"/>
      <c r="BD54" s="104"/>
      <c r="BE54" s="102"/>
      <c r="BF54" s="102"/>
      <c r="BG54" s="102"/>
      <c r="BH54" s="102"/>
      <c r="BI54" s="102"/>
      <c r="BJ54" s="103"/>
      <c r="BK54" s="92"/>
    </row>
    <row r="55" spans="1:63" ht="15" customHeight="1" x14ac:dyDescent="0.25">
      <c r="A55" s="88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9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D6D4-EDA0-4CE0-90DC-425909FF4A95}">
  <sheetPr>
    <pageSetUpPr fitToPage="1"/>
  </sheetPr>
  <dimension ref="A1:BK65"/>
  <sheetViews>
    <sheetView view="pageBreakPreview" zoomScale="75" zoomScaleNormal="75" zoomScaleSheetLayoutView="75" workbookViewId="0">
      <selection sqref="A1:J1"/>
    </sheetView>
  </sheetViews>
  <sheetFormatPr defaultColWidth="2.77734375" defaultRowHeight="15" customHeight="1" x14ac:dyDescent="0.25"/>
  <cols>
    <col min="1" max="3" width="2.77734375" style="31"/>
    <col min="4" max="4" width="2.77734375" style="31" customWidth="1"/>
    <col min="5" max="31" width="2.77734375" style="31"/>
    <col min="32" max="32" width="2.77734375" style="31" customWidth="1"/>
    <col min="33" max="16384" width="2.77734375" style="31"/>
  </cols>
  <sheetData>
    <row r="1" spans="1:63" ht="24.95" customHeight="1" x14ac:dyDescent="0.25">
      <c r="A1" s="25" t="s">
        <v>4</v>
      </c>
      <c r="B1" s="26"/>
      <c r="C1" s="26"/>
      <c r="D1" s="26"/>
      <c r="E1" s="26"/>
      <c r="F1" s="26"/>
      <c r="G1" s="26"/>
      <c r="H1" s="26"/>
      <c r="I1" s="26"/>
      <c r="J1" s="27"/>
      <c r="K1" s="25" t="s">
        <v>6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  <c r="W1" s="28" t="str">
        <f>IF(表紙!W1="","",表紙!W1)</f>
        <v>基本設計書</v>
      </c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30"/>
      <c r="AP1" s="25" t="s">
        <v>7</v>
      </c>
      <c r="AQ1" s="26"/>
      <c r="AR1" s="26"/>
      <c r="AS1" s="27"/>
      <c r="AT1" s="25" t="s">
        <v>8</v>
      </c>
      <c r="AU1" s="26"/>
      <c r="AV1" s="26"/>
      <c r="AW1" s="26"/>
      <c r="AX1" s="27"/>
      <c r="AY1" s="25" t="s">
        <v>9</v>
      </c>
      <c r="AZ1" s="26"/>
      <c r="BA1" s="26"/>
      <c r="BB1" s="27"/>
      <c r="BC1" s="25" t="s">
        <v>10</v>
      </c>
      <c r="BD1" s="26"/>
      <c r="BE1" s="26"/>
      <c r="BF1" s="26"/>
      <c r="BG1" s="27"/>
      <c r="BH1" s="25" t="s">
        <v>11</v>
      </c>
      <c r="BI1" s="26"/>
      <c r="BJ1" s="26"/>
      <c r="BK1" s="27"/>
    </row>
    <row r="2" spans="1:63" ht="15" customHeight="1" x14ac:dyDescent="0.25">
      <c r="A2" s="32" t="str">
        <f>IF(表紙!A2="","",表紙!A2)</f>
        <v>POSシステム</v>
      </c>
      <c r="B2" s="33"/>
      <c r="C2" s="33"/>
      <c r="D2" s="33"/>
      <c r="E2" s="33"/>
      <c r="F2" s="33"/>
      <c r="G2" s="33"/>
      <c r="H2" s="33"/>
      <c r="I2" s="33"/>
      <c r="J2" s="34"/>
      <c r="K2" s="32" t="str">
        <f>IF(表紙!K2="","",表紙!K2)</f>
        <v>POSサーバー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5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7"/>
      <c r="AP2" s="32" t="str">
        <f>IF(表紙!AP2="","",表紙!AP2)</f>
        <v>Thanh Nguyen</v>
      </c>
      <c r="AQ2" s="33"/>
      <c r="AR2" s="33"/>
      <c r="AS2" s="34"/>
      <c r="AT2" s="38">
        <f>IF(表紙!AT2="","",表紙!AT2)</f>
        <v>45209</v>
      </c>
      <c r="AU2" s="39"/>
      <c r="AV2" s="39"/>
      <c r="AW2" s="39"/>
      <c r="AX2" s="40"/>
      <c r="AY2" s="32" t="str">
        <f>IF(表紙!AY2="","",表紙!AY2)</f>
        <v>DuNT</v>
      </c>
      <c r="AZ2" s="33"/>
      <c r="BA2" s="33"/>
      <c r="BB2" s="34"/>
      <c r="BC2" s="38">
        <f>IF(表紙!BC2="","",表紙!BC2)</f>
        <v>45390</v>
      </c>
      <c r="BD2" s="39"/>
      <c r="BE2" s="39"/>
      <c r="BF2" s="39"/>
      <c r="BG2" s="40"/>
      <c r="BH2" s="32">
        <f>IF(表紙!BH2="","",表紙!BH2)</f>
        <v>0.3</v>
      </c>
      <c r="BI2" s="33"/>
      <c r="BJ2" s="33"/>
      <c r="BK2" s="34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44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6"/>
      <c r="AP3" s="41"/>
      <c r="AQ3" s="42"/>
      <c r="AR3" s="42"/>
      <c r="AS3" s="43"/>
      <c r="AT3" s="47"/>
      <c r="AU3" s="48"/>
      <c r="AV3" s="48"/>
      <c r="AW3" s="48"/>
      <c r="AX3" s="49"/>
      <c r="AY3" s="41"/>
      <c r="AZ3" s="42"/>
      <c r="BA3" s="42"/>
      <c r="BB3" s="43"/>
      <c r="BC3" s="47"/>
      <c r="BD3" s="48"/>
      <c r="BE3" s="48"/>
      <c r="BF3" s="48"/>
      <c r="BG3" s="49"/>
      <c r="BH3" s="41"/>
      <c r="BI3" s="42"/>
      <c r="BJ3" s="42"/>
      <c r="BK3" s="43"/>
    </row>
    <row r="4" spans="1:63" ht="24.95" customHeight="1" x14ac:dyDescent="0.25">
      <c r="A4" s="25" t="s">
        <v>5</v>
      </c>
      <c r="B4" s="26"/>
      <c r="C4" s="26"/>
      <c r="D4" s="26"/>
      <c r="E4" s="26"/>
      <c r="F4" s="26"/>
      <c r="G4" s="27"/>
      <c r="H4" s="50" t="str">
        <f>IF(表紙!H4="","",表紙!H4)</f>
        <v>API</v>
      </c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  <c r="U4" s="25" t="s">
        <v>12</v>
      </c>
      <c r="V4" s="26"/>
      <c r="W4" s="26"/>
      <c r="X4" s="26"/>
      <c r="Y4" s="27"/>
      <c r="Z4" s="50" t="str">
        <f>IF(表紙!Z4="","",表紙!Z4)</f>
        <v>基本設計書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  <c r="AP4" s="50" t="str" cm="1">
        <f t="array" aca="1" ref="AP4" ca="1">RIGHT(CELL("filename",$A$1),LEN(CELL("filename",$A$1))-FIND("]",CELL("filename",$A$1)))</f>
        <v>APX001</v>
      </c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2"/>
    </row>
    <row r="5" spans="1:63" ht="5.0999999999999996" customHeight="1" x14ac:dyDescent="0.2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/>
    </row>
    <row r="6" spans="1:63" ht="15" customHeight="1" x14ac:dyDescent="0.25">
      <c r="A6" s="56"/>
      <c r="BK6" s="57"/>
    </row>
    <row r="7" spans="1:63" ht="15" customHeight="1" x14ac:dyDescent="0.25">
      <c r="A7" s="56"/>
      <c r="B7" s="1" t="s">
        <v>26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9"/>
      <c r="W7" s="1" t="s">
        <v>40</v>
      </c>
      <c r="X7" s="2"/>
      <c r="Y7" s="58"/>
      <c r="Z7" s="58"/>
      <c r="AA7" s="58"/>
      <c r="AB7" s="58"/>
      <c r="AC7" s="58"/>
      <c r="AD7" s="58"/>
      <c r="AE7" s="58"/>
      <c r="AF7" s="59"/>
      <c r="AH7" s="1" t="s">
        <v>0</v>
      </c>
      <c r="AI7" s="58"/>
      <c r="AJ7" s="58"/>
      <c r="AK7" s="58"/>
      <c r="AL7" s="58"/>
      <c r="AM7" s="58"/>
      <c r="AN7" s="58"/>
      <c r="AO7" s="58"/>
      <c r="AP7" s="58"/>
      <c r="AQ7" s="59"/>
      <c r="AS7" s="1" t="s">
        <v>28</v>
      </c>
      <c r="AT7" s="58"/>
      <c r="AU7" s="58"/>
      <c r="AV7" s="58"/>
      <c r="AW7" s="58"/>
      <c r="AX7" s="58"/>
      <c r="AY7" s="58"/>
      <c r="AZ7" s="58"/>
      <c r="BA7" s="58"/>
      <c r="BB7" s="59"/>
      <c r="BK7" s="57"/>
    </row>
    <row r="8" spans="1:63" ht="15" customHeight="1" x14ac:dyDescent="0.25">
      <c r="A8" s="56"/>
      <c r="B8" s="60" t="s">
        <v>30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2"/>
      <c r="W8" s="60" t="s">
        <v>27</v>
      </c>
      <c r="X8" s="61"/>
      <c r="Y8" s="61"/>
      <c r="Z8" s="61"/>
      <c r="AA8" s="61"/>
      <c r="AB8" s="61"/>
      <c r="AC8" s="61"/>
      <c r="AD8" s="61"/>
      <c r="AE8" s="61"/>
      <c r="AF8" s="62"/>
      <c r="AH8" s="60" t="s">
        <v>1</v>
      </c>
      <c r="AI8" s="61"/>
      <c r="AJ8" s="61"/>
      <c r="AK8" s="61"/>
      <c r="AL8" s="61"/>
      <c r="AM8" s="61"/>
      <c r="AN8" s="61"/>
      <c r="AO8" s="61"/>
      <c r="AP8" s="61"/>
      <c r="AQ8" s="62"/>
      <c r="AS8" s="60" t="s">
        <v>29</v>
      </c>
      <c r="AT8" s="61"/>
      <c r="AU8" s="61"/>
      <c r="AV8" s="61"/>
      <c r="AW8" s="61"/>
      <c r="AX8" s="61"/>
      <c r="AY8" s="61"/>
      <c r="AZ8" s="61"/>
      <c r="BA8" s="61"/>
      <c r="BB8" s="62"/>
      <c r="BK8" s="57"/>
    </row>
    <row r="9" spans="1:63" ht="15" customHeight="1" x14ac:dyDescent="0.25">
      <c r="A9" s="56"/>
      <c r="BK9" s="57"/>
    </row>
    <row r="10" spans="1:63" ht="15" customHeight="1" x14ac:dyDescent="0.25">
      <c r="A10" s="56"/>
      <c r="B10" s="3" t="s">
        <v>41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57"/>
    </row>
    <row r="11" spans="1:63" ht="15" customHeight="1" x14ac:dyDescent="0.25">
      <c r="A11" s="56"/>
      <c r="C11" s="31" t="s">
        <v>42</v>
      </c>
      <c r="BK11" s="57"/>
    </row>
    <row r="12" spans="1:63" ht="15" customHeight="1" x14ac:dyDescent="0.25">
      <c r="A12" s="56"/>
      <c r="D12" s="64" t="s">
        <v>43</v>
      </c>
      <c r="BK12" s="57"/>
    </row>
    <row r="13" spans="1:63" ht="15" customHeight="1" x14ac:dyDescent="0.25">
      <c r="A13" s="56"/>
      <c r="E13" s="64" t="s">
        <v>44</v>
      </c>
      <c r="BK13" s="57"/>
    </row>
    <row r="14" spans="1:63" ht="15" customHeight="1" x14ac:dyDescent="0.25">
      <c r="A14" s="56"/>
      <c r="E14" s="64" t="s">
        <v>45</v>
      </c>
      <c r="BK14" s="57"/>
    </row>
    <row r="15" spans="1:63" ht="15" customHeight="1" x14ac:dyDescent="0.25">
      <c r="A15" s="56"/>
      <c r="BK15" s="57"/>
    </row>
    <row r="16" spans="1:63" ht="15" customHeight="1" x14ac:dyDescent="0.25">
      <c r="A16" s="56"/>
      <c r="B16" s="3" t="s">
        <v>46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57"/>
    </row>
    <row r="17" spans="1:63" ht="15" customHeight="1" x14ac:dyDescent="0.25">
      <c r="A17" s="56"/>
      <c r="BK17" s="57"/>
    </row>
    <row r="18" spans="1:63" ht="15" customHeight="1" x14ac:dyDescent="0.25">
      <c r="A18" s="56"/>
      <c r="D18" s="4" t="s">
        <v>47</v>
      </c>
      <c r="BK18" s="57"/>
    </row>
    <row r="19" spans="1:63" ht="15" customHeight="1" x14ac:dyDescent="0.25">
      <c r="A19" s="56"/>
      <c r="BK19" s="57"/>
    </row>
    <row r="20" spans="1:63" ht="15" customHeight="1" x14ac:dyDescent="0.25">
      <c r="A20" s="56"/>
      <c r="E20" s="65" t="s">
        <v>50</v>
      </c>
      <c r="F20" s="66"/>
      <c r="G20" s="66"/>
      <c r="H20" s="66"/>
      <c r="I20" s="66"/>
      <c r="J20" s="66"/>
      <c r="K20" s="66"/>
      <c r="L20" s="66"/>
      <c r="M20" s="66"/>
      <c r="N20" s="67"/>
      <c r="O20" s="65" t="s">
        <v>51</v>
      </c>
      <c r="P20" s="66"/>
      <c r="Q20" s="66"/>
      <c r="R20" s="66"/>
      <c r="S20" s="67"/>
      <c r="T20" s="65" t="s">
        <v>53</v>
      </c>
      <c r="U20" s="66"/>
      <c r="V20" s="66"/>
      <c r="W20" s="67"/>
      <c r="X20" s="65" t="s">
        <v>54</v>
      </c>
      <c r="Y20" s="66"/>
      <c r="Z20" s="66"/>
      <c r="AA20" s="66"/>
      <c r="AB20" s="66"/>
      <c r="AC20" s="66"/>
      <c r="AD20" s="66"/>
      <c r="AE20" s="67"/>
      <c r="AF20" s="65" t="s">
        <v>55</v>
      </c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7"/>
      <c r="BK20" s="57"/>
    </row>
    <row r="21" spans="1:63" ht="15" customHeight="1" x14ac:dyDescent="0.25">
      <c r="A21" s="56"/>
      <c r="E21" s="68"/>
      <c r="F21" s="69"/>
      <c r="G21" s="69"/>
      <c r="H21" s="69"/>
      <c r="I21" s="69"/>
      <c r="J21" s="69"/>
      <c r="K21" s="69"/>
      <c r="L21" s="69"/>
      <c r="M21" s="69"/>
      <c r="N21" s="70"/>
      <c r="O21" s="68"/>
      <c r="P21" s="69"/>
      <c r="Q21" s="69"/>
      <c r="R21" s="69"/>
      <c r="S21" s="70"/>
      <c r="T21" s="68"/>
      <c r="U21" s="69"/>
      <c r="V21" s="69"/>
      <c r="W21" s="70"/>
      <c r="X21" s="68"/>
      <c r="Y21" s="69"/>
      <c r="Z21" s="69"/>
      <c r="AA21" s="69"/>
      <c r="AB21" s="69"/>
      <c r="AC21" s="69"/>
      <c r="AD21" s="69"/>
      <c r="AE21" s="70"/>
      <c r="AF21" s="68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70"/>
      <c r="BK21" s="57"/>
    </row>
    <row r="22" spans="1:63" ht="15" customHeight="1" x14ac:dyDescent="0.25">
      <c r="A22" s="56"/>
      <c r="BK22" s="57"/>
    </row>
    <row r="23" spans="1:63" ht="15" customHeight="1" x14ac:dyDescent="0.25">
      <c r="A23" s="56"/>
      <c r="D23" s="4" t="s">
        <v>48</v>
      </c>
      <c r="BK23" s="57"/>
    </row>
    <row r="24" spans="1:63" ht="15" customHeight="1" x14ac:dyDescent="0.25">
      <c r="A24" s="56"/>
      <c r="BK24" s="57"/>
    </row>
    <row r="25" spans="1:63" ht="15" customHeight="1" x14ac:dyDescent="0.25">
      <c r="A25" s="56"/>
      <c r="E25" s="65" t="s">
        <v>50</v>
      </c>
      <c r="F25" s="66"/>
      <c r="G25" s="66"/>
      <c r="H25" s="66"/>
      <c r="I25" s="66"/>
      <c r="J25" s="66"/>
      <c r="K25" s="66"/>
      <c r="L25" s="66"/>
      <c r="M25" s="66"/>
      <c r="N25" s="67"/>
      <c r="O25" s="65" t="s">
        <v>51</v>
      </c>
      <c r="P25" s="66"/>
      <c r="Q25" s="66"/>
      <c r="R25" s="66"/>
      <c r="S25" s="67"/>
      <c r="T25" s="65" t="s">
        <v>53</v>
      </c>
      <c r="U25" s="66"/>
      <c r="V25" s="66"/>
      <c r="W25" s="67"/>
      <c r="X25" s="65" t="s">
        <v>54</v>
      </c>
      <c r="Y25" s="66"/>
      <c r="Z25" s="66"/>
      <c r="AA25" s="66"/>
      <c r="AB25" s="66"/>
      <c r="AC25" s="66"/>
      <c r="AD25" s="66"/>
      <c r="AE25" s="67"/>
      <c r="AF25" s="65" t="s">
        <v>55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7"/>
      <c r="BK25" s="57"/>
    </row>
    <row r="26" spans="1:63" ht="15" customHeight="1" x14ac:dyDescent="0.25">
      <c r="A26" s="56"/>
      <c r="E26" s="68" t="s">
        <v>31</v>
      </c>
      <c r="F26" s="69"/>
      <c r="G26" s="69"/>
      <c r="H26" s="69"/>
      <c r="I26" s="69"/>
      <c r="J26" s="69"/>
      <c r="K26" s="69"/>
      <c r="L26" s="69"/>
      <c r="M26" s="69"/>
      <c r="N26" s="70"/>
      <c r="O26" s="68" t="s">
        <v>3</v>
      </c>
      <c r="P26" s="69"/>
      <c r="Q26" s="69"/>
      <c r="R26" s="69"/>
      <c r="S26" s="70"/>
      <c r="T26" s="68" t="s">
        <v>33</v>
      </c>
      <c r="U26" s="69"/>
      <c r="V26" s="69"/>
      <c r="W26" s="70"/>
      <c r="X26" s="68" t="s">
        <v>33</v>
      </c>
      <c r="Y26" s="69"/>
      <c r="Z26" s="69"/>
      <c r="AA26" s="69"/>
      <c r="AB26" s="69"/>
      <c r="AC26" s="69"/>
      <c r="AD26" s="69"/>
      <c r="AE26" s="70"/>
      <c r="AF26" s="68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70"/>
      <c r="BK26" s="57"/>
    </row>
    <row r="27" spans="1:63" ht="15" customHeight="1" x14ac:dyDescent="0.25">
      <c r="A27" s="56"/>
      <c r="E27" s="68" t="s">
        <v>32</v>
      </c>
      <c r="F27" s="69"/>
      <c r="G27" s="69"/>
      <c r="H27" s="69"/>
      <c r="I27" s="69"/>
      <c r="J27" s="69"/>
      <c r="K27" s="69"/>
      <c r="L27" s="69"/>
      <c r="M27" s="69"/>
      <c r="N27" s="70"/>
      <c r="O27" s="68" t="s">
        <v>3</v>
      </c>
      <c r="P27" s="69"/>
      <c r="Q27" s="69"/>
      <c r="R27" s="69"/>
      <c r="S27" s="70"/>
      <c r="T27" s="68" t="s">
        <v>33</v>
      </c>
      <c r="U27" s="69"/>
      <c r="V27" s="69"/>
      <c r="W27" s="70"/>
      <c r="X27" s="68"/>
      <c r="Y27" s="69"/>
      <c r="Z27" s="69"/>
      <c r="AA27" s="69"/>
      <c r="AB27" s="69"/>
      <c r="AC27" s="69"/>
      <c r="AD27" s="69"/>
      <c r="AE27" s="70"/>
      <c r="AF27" s="68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70"/>
      <c r="BK27" s="57"/>
    </row>
    <row r="28" spans="1:63" ht="15" customHeight="1" x14ac:dyDescent="0.25">
      <c r="A28" s="56"/>
      <c r="E28" s="68" t="s">
        <v>34</v>
      </c>
      <c r="F28" s="69"/>
      <c r="G28" s="69"/>
      <c r="H28" s="69"/>
      <c r="I28" s="69"/>
      <c r="J28" s="69"/>
      <c r="K28" s="69"/>
      <c r="L28" s="69"/>
      <c r="M28" s="69"/>
      <c r="N28" s="70"/>
      <c r="O28" s="68" t="s">
        <v>3</v>
      </c>
      <c r="P28" s="69"/>
      <c r="Q28" s="69"/>
      <c r="R28" s="69"/>
      <c r="S28" s="70"/>
      <c r="T28" s="68" t="s">
        <v>33</v>
      </c>
      <c r="U28" s="69"/>
      <c r="V28" s="69"/>
      <c r="W28" s="70"/>
      <c r="X28" s="68" t="s">
        <v>33</v>
      </c>
      <c r="Y28" s="69"/>
      <c r="Z28" s="69"/>
      <c r="AA28" s="69"/>
      <c r="AB28" s="69"/>
      <c r="AC28" s="69"/>
      <c r="AD28" s="69"/>
      <c r="AE28" s="70"/>
      <c r="AF28" s="68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70"/>
      <c r="BK28" s="57"/>
    </row>
    <row r="29" spans="1:63" ht="15" customHeight="1" x14ac:dyDescent="0.25">
      <c r="A29" s="56"/>
      <c r="BK29" s="57"/>
    </row>
    <row r="30" spans="1:63" ht="15" customHeight="1" x14ac:dyDescent="0.25">
      <c r="A30" s="56"/>
      <c r="B30" s="3" t="s">
        <v>49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57"/>
    </row>
    <row r="31" spans="1:63" ht="15" customHeight="1" x14ac:dyDescent="0.25">
      <c r="A31" s="56"/>
      <c r="BK31" s="57"/>
    </row>
    <row r="32" spans="1:63" ht="15" customHeight="1" x14ac:dyDescent="0.25">
      <c r="A32" s="56"/>
      <c r="E32" s="65" t="s">
        <v>50</v>
      </c>
      <c r="F32" s="66"/>
      <c r="G32" s="66"/>
      <c r="H32" s="66"/>
      <c r="I32" s="66"/>
      <c r="J32" s="66"/>
      <c r="K32" s="66"/>
      <c r="L32" s="66"/>
      <c r="M32" s="66"/>
      <c r="N32" s="67"/>
      <c r="O32" s="65" t="s">
        <v>51</v>
      </c>
      <c r="P32" s="66"/>
      <c r="Q32" s="66"/>
      <c r="R32" s="66"/>
      <c r="S32" s="66"/>
      <c r="T32" s="65" t="s">
        <v>52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7"/>
      <c r="AF32" s="66" t="s">
        <v>55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7"/>
      <c r="BK32" s="57"/>
    </row>
    <row r="33" spans="1:63" ht="15" customHeight="1" x14ac:dyDescent="0.25">
      <c r="A33" s="56"/>
      <c r="E33" s="68" t="s">
        <v>35</v>
      </c>
      <c r="F33" s="69"/>
      <c r="G33" s="69"/>
      <c r="H33" s="69"/>
      <c r="I33" s="69"/>
      <c r="J33" s="69"/>
      <c r="K33" s="69"/>
      <c r="L33" s="69"/>
      <c r="M33" s="69"/>
      <c r="N33" s="70"/>
      <c r="O33" s="68" t="s">
        <v>3</v>
      </c>
      <c r="P33" s="69"/>
      <c r="Q33" s="69"/>
      <c r="R33" s="69"/>
      <c r="S33" s="70"/>
      <c r="T33" s="68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70"/>
      <c r="AF33" s="68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70"/>
      <c r="BK33" s="57"/>
    </row>
    <row r="34" spans="1:63" ht="15" customHeight="1" x14ac:dyDescent="0.25">
      <c r="A34" s="56"/>
      <c r="E34" s="68" t="s">
        <v>36</v>
      </c>
      <c r="F34" s="69"/>
      <c r="G34" s="69"/>
      <c r="H34" s="69"/>
      <c r="I34" s="69"/>
      <c r="J34" s="69"/>
      <c r="K34" s="69"/>
      <c r="L34" s="69"/>
      <c r="M34" s="69"/>
      <c r="N34" s="70"/>
      <c r="O34" s="68" t="s">
        <v>3</v>
      </c>
      <c r="P34" s="69"/>
      <c r="Q34" s="69"/>
      <c r="R34" s="69"/>
      <c r="S34" s="70"/>
      <c r="T34" s="68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70"/>
      <c r="AF34" s="68" t="s">
        <v>56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70"/>
      <c r="BK34" s="57"/>
    </row>
    <row r="35" spans="1:63" ht="15" customHeight="1" x14ac:dyDescent="0.25">
      <c r="A35" s="56"/>
      <c r="E35" s="68" t="s">
        <v>38</v>
      </c>
      <c r="F35" s="69"/>
      <c r="G35" s="69"/>
      <c r="H35" s="69"/>
      <c r="I35" s="69"/>
      <c r="J35" s="69"/>
      <c r="K35" s="69"/>
      <c r="L35" s="69"/>
      <c r="M35" s="69"/>
      <c r="N35" s="70"/>
      <c r="O35" s="68" t="s">
        <v>37</v>
      </c>
      <c r="P35" s="69"/>
      <c r="Q35" s="69"/>
      <c r="R35" s="69"/>
      <c r="S35" s="70"/>
      <c r="T35" s="68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70"/>
      <c r="AF35" s="68" t="s">
        <v>57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70"/>
      <c r="BK35" s="57"/>
    </row>
    <row r="36" spans="1:63" ht="15" customHeight="1" x14ac:dyDescent="0.25">
      <c r="A36" s="56"/>
      <c r="E36" s="68" t="s">
        <v>60</v>
      </c>
      <c r="F36" s="69"/>
      <c r="G36" s="69"/>
      <c r="H36" s="69"/>
      <c r="I36" s="69"/>
      <c r="J36" s="69"/>
      <c r="K36" s="69"/>
      <c r="L36" s="69"/>
      <c r="M36" s="69"/>
      <c r="N36" s="70"/>
      <c r="O36" s="68" t="s">
        <v>37</v>
      </c>
      <c r="P36" s="69"/>
      <c r="Q36" s="69"/>
      <c r="R36" s="69"/>
      <c r="S36" s="70"/>
      <c r="T36" s="68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70"/>
      <c r="AF36" s="71" t="s">
        <v>58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70"/>
      <c r="BK36" s="57"/>
    </row>
    <row r="37" spans="1:63" ht="15" customHeight="1" x14ac:dyDescent="0.25">
      <c r="A37" s="56"/>
      <c r="BK37" s="57"/>
    </row>
    <row r="38" spans="1:63" ht="15" customHeight="1" x14ac:dyDescent="0.25">
      <c r="A38" s="56"/>
      <c r="BK38" s="57"/>
    </row>
    <row r="39" spans="1:63" ht="15" customHeight="1" x14ac:dyDescent="0.25">
      <c r="A39" s="56"/>
      <c r="BK39" s="57"/>
    </row>
    <row r="40" spans="1:63" ht="15" customHeight="1" x14ac:dyDescent="0.25">
      <c r="A40" s="56"/>
      <c r="BK40" s="57"/>
    </row>
    <row r="41" spans="1:63" ht="15" customHeight="1" x14ac:dyDescent="0.25">
      <c r="A41" s="56"/>
      <c r="BK41" s="57"/>
    </row>
    <row r="42" spans="1:63" ht="15" customHeight="1" x14ac:dyDescent="0.25">
      <c r="A42" s="56"/>
      <c r="BK42" s="57"/>
    </row>
    <row r="43" spans="1:63" ht="15" customHeight="1" x14ac:dyDescent="0.25">
      <c r="A43" s="56"/>
      <c r="BK43" s="57"/>
    </row>
    <row r="44" spans="1:63" ht="15" customHeight="1" x14ac:dyDescent="0.25">
      <c r="A44" s="56"/>
      <c r="BK44" s="57"/>
    </row>
    <row r="45" spans="1:63" ht="15" customHeight="1" x14ac:dyDescent="0.25">
      <c r="A45" s="56"/>
      <c r="BK45" s="57"/>
    </row>
    <row r="46" spans="1:63" ht="15" customHeight="1" x14ac:dyDescent="0.25">
      <c r="A46" s="56"/>
      <c r="BK46" s="57"/>
    </row>
    <row r="47" spans="1:63" ht="15" customHeight="1" x14ac:dyDescent="0.25">
      <c r="A47" s="56"/>
      <c r="BK47" s="57"/>
    </row>
    <row r="48" spans="1:63" ht="15" customHeight="1" x14ac:dyDescent="0.25">
      <c r="A48" s="56"/>
      <c r="BK48" s="57"/>
    </row>
    <row r="49" spans="1:63" ht="15" customHeight="1" x14ac:dyDescent="0.25">
      <c r="A49" s="56"/>
      <c r="BK49" s="57"/>
    </row>
    <row r="50" spans="1:63" ht="15" customHeight="1" x14ac:dyDescent="0.25">
      <c r="A50" s="56"/>
      <c r="BK50" s="57"/>
    </row>
    <row r="51" spans="1:63" ht="15" customHeight="1" x14ac:dyDescent="0.25">
      <c r="A51" s="56"/>
      <c r="BK51" s="57"/>
    </row>
    <row r="52" spans="1:63" ht="15" customHeight="1" x14ac:dyDescent="0.25">
      <c r="A52" s="56"/>
      <c r="BK52" s="57"/>
    </row>
    <row r="53" spans="1:63" ht="15" customHeight="1" x14ac:dyDescent="0.25">
      <c r="A53" s="56"/>
      <c r="BK53" s="57"/>
    </row>
    <row r="54" spans="1:63" ht="15" customHeight="1" x14ac:dyDescent="0.25">
      <c r="A54" s="56"/>
      <c r="BK54" s="57"/>
    </row>
    <row r="55" spans="1:63" ht="15" customHeight="1" x14ac:dyDescent="0.25">
      <c r="A55" s="56"/>
      <c r="BK55" s="57"/>
    </row>
    <row r="56" spans="1:63" ht="15" customHeight="1" x14ac:dyDescent="0.25">
      <c r="A56" s="56"/>
      <c r="BK56" s="57"/>
    </row>
    <row r="57" spans="1:63" ht="15" customHeight="1" x14ac:dyDescent="0.25">
      <c r="A57" s="56"/>
      <c r="BK57" s="57"/>
    </row>
    <row r="58" spans="1:63" ht="15" customHeight="1" x14ac:dyDescent="0.25">
      <c r="A58" s="56"/>
      <c r="BK58" s="57"/>
    </row>
    <row r="59" spans="1:63" ht="15" customHeight="1" x14ac:dyDescent="0.25">
      <c r="A59" s="56"/>
      <c r="BK59" s="57"/>
    </row>
    <row r="60" spans="1:63" ht="15" customHeight="1" x14ac:dyDescent="0.25">
      <c r="A60" s="56"/>
      <c r="BK60" s="57"/>
    </row>
    <row r="61" spans="1:63" ht="15" customHeight="1" x14ac:dyDescent="0.25">
      <c r="A61" s="56"/>
      <c r="BK61" s="57"/>
    </row>
    <row r="62" spans="1:63" ht="15" customHeight="1" x14ac:dyDescent="0.25">
      <c r="A62" s="56"/>
      <c r="BK62" s="57"/>
    </row>
    <row r="63" spans="1:63" ht="15" customHeight="1" x14ac:dyDescent="0.25">
      <c r="A63" s="56"/>
      <c r="BK63" s="57"/>
    </row>
    <row r="64" spans="1:63" ht="15" customHeight="1" x14ac:dyDescent="0.25">
      <c r="A64" s="56"/>
      <c r="BK64" s="57"/>
    </row>
    <row r="65" spans="1:63" ht="15" customHeight="1" x14ac:dyDescent="0.25">
      <c r="A65" s="5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5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改廃履歴</vt:lpstr>
      <vt:lpstr>APX001</vt:lpstr>
      <vt:lpstr>改廃履歴!Print_Area</vt:lpstr>
      <vt:lpstr>表紙!Print_Area</vt:lpstr>
      <vt:lpstr>'APX001'!Print_Titles</vt:lpstr>
      <vt:lpstr>改廃履歴!Print_Titles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Tuan Anh</dc:creator>
  <cp:lastModifiedBy>Le Thi Nhat Le</cp:lastModifiedBy>
  <cp:lastPrinted>2023-03-14T07:02:11Z</cp:lastPrinted>
  <dcterms:created xsi:type="dcterms:W3CDTF">2023-03-14T06:33:01Z</dcterms:created>
  <dcterms:modified xsi:type="dcterms:W3CDTF">2024-04-08T08:39:13Z</dcterms:modified>
</cp:coreProperties>
</file>