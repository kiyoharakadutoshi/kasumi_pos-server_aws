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C5E110C9-9E44-4AD0-AB9A-65CB29784E19}"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ルール" sheetId="12" r:id="rId4"/>
    <sheet name="レスポンス共通" sheetId="9" r:id="rId5"/>
    <sheet name="権限共通" sheetId="11" r:id="rId6"/>
    <sheet name="テンプレート" sheetId="7" r:id="rId7"/>
  </sheets>
  <definedNames>
    <definedName name="_xlnm.Print_Area" localSheetId="6">テンプレート!$A$1:$BK$54</definedName>
    <definedName name="_xlnm.Print_Area" localSheetId="3">ルール!$A$1:$BK$53</definedName>
    <definedName name="_xlnm.Print_Area" localSheetId="4">レスポンス共通!$A$1:$BK$118</definedName>
    <definedName name="_xlnm.Print_Area" localSheetId="2">処理フロー凡例!$A$1:$BK$54</definedName>
    <definedName name="_xlnm.Print_Area" localSheetId="1">改訂履歴!$A$1:$BK$55</definedName>
    <definedName name="_xlnm.Print_Area" localSheetId="5">権限共通!$A$1:$BK$74</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9" l="1"/>
  <c r="Z4" i="9"/>
  <c r="H4" i="9"/>
  <c r="BH2" i="9"/>
  <c r="BC2" i="9"/>
  <c r="AY2" i="9"/>
  <c r="AT2" i="9"/>
  <c r="AP2" i="9"/>
  <c r="K2" i="9"/>
  <c r="A2" i="9"/>
  <c r="W1" i="9"/>
  <c r="AP4" i="7"/>
  <c r="Z4" i="7"/>
  <c r="H4" i="7"/>
  <c r="K2" i="7"/>
  <c r="A2" i="7"/>
  <c r="W1" i="7"/>
  <c r="AP4" i="11"/>
  <c r="Z4" i="11"/>
  <c r="H4" i="11"/>
  <c r="K2" i="11"/>
  <c r="A2" i="11"/>
  <c r="W1" i="11"/>
  <c r="G101" i="9"/>
  <c r="G102" i="9" s="1"/>
  <c r="G103" i="9" s="1"/>
  <c r="G104" i="9" s="1"/>
  <c r="G105" i="9" s="1"/>
  <c r="G106" i="9" s="1"/>
  <c r="G85" i="9"/>
  <c r="G66" i="9"/>
  <c r="G65" i="9"/>
  <c r="G51" i="9"/>
  <c r="AP4" i="12"/>
  <c r="Z4" i="12"/>
  <c r="H4" i="12"/>
  <c r="AP2" i="12"/>
  <c r="K2" i="12"/>
  <c r="A2" i="12"/>
  <c r="W1" i="12"/>
  <c r="AP4" i="10"/>
  <c r="Z4" i="10"/>
  <c r="H4" i="10"/>
  <c r="K2" i="10"/>
  <c r="A2" i="10"/>
  <c r="W1" i="10"/>
  <c r="AP4" i="3" a="1"/>
  <c r="AP4" i="3" s="1"/>
  <c r="Z4" i="3"/>
  <c r="H4" i="3"/>
  <c r="K2" i="3"/>
  <c r="A2" i="3"/>
  <c r="W1" i="3"/>
  <c r="L24" i="4"/>
  <c r="AP4" i="4" a="1"/>
  <c r="AP4" i="4" s="1"/>
  <c r="BH2" i="4"/>
  <c r="BH2" i="11" s="1"/>
  <c r="BC2" i="4"/>
  <c r="BC2" i="7" s="1"/>
  <c r="AY2" i="4"/>
  <c r="AY2" i="11" s="1"/>
  <c r="AT2" i="4"/>
  <c r="AT2" i="11" s="1"/>
  <c r="AP2" i="4"/>
  <c r="AP2" i="11" s="1"/>
  <c r="BH2" i="12" l="1"/>
  <c r="BC2" i="11"/>
  <c r="AP2" i="7"/>
  <c r="BH2" i="7"/>
  <c r="AP2" i="3"/>
  <c r="BH2" i="3"/>
  <c r="AP2" i="10"/>
  <c r="BH2" i="10"/>
  <c r="AT2" i="12"/>
  <c r="AT2" i="7"/>
  <c r="AT2" i="3"/>
  <c r="AT2" i="10"/>
  <c r="AY2" i="12"/>
  <c r="AY2" i="7"/>
  <c r="BC2" i="3"/>
  <c r="BC2" i="10"/>
  <c r="AY2" i="3"/>
  <c r="AY2" i="10"/>
  <c r="BC2" i="12"/>
</calcChain>
</file>

<file path=xl/sharedStrings.xml><?xml version="1.0" encoding="utf-8"?>
<sst xmlns="http://schemas.openxmlformats.org/spreadsheetml/2006/main" count="286" uniqueCount="174">
  <si>
    <r>
      <rPr>
        <sz val="11"/>
        <color rgb="FF000000"/>
        <rFont val="Meiryo UI"/>
        <family val="2"/>
      </rPr>
      <t>■改訂履歴</t>
    </r>
  </si>
  <si>
    <r>
      <rPr>
        <sz val="11"/>
        <color rgb="FF000000"/>
        <rFont val="Meiryo UI"/>
        <family val="2"/>
      </rPr>
      <t>POSサーバー</t>
    </r>
  </si>
  <si>
    <r>
      <rPr>
        <sz val="11"/>
        <color rgb="FF000000"/>
        <rFont val="Meiryo UI"/>
        <family val="2"/>
      </rPr>
      <t>新規</t>
    </r>
  </si>
  <si>
    <t>-</t>
  </si>
  <si>
    <r>
      <rPr>
        <b/>
        <sz val="11"/>
        <color rgb="FF000000"/>
        <rFont val="Meiryo UI"/>
        <family val="2"/>
      </rPr>
      <t xml:space="preserve">No. </t>
    </r>
    <r>
      <rPr>
        <sz val="11"/>
        <color rgb="FF000000"/>
        <rFont val="Meiryo UI"/>
        <family val="2"/>
      </rPr>
      <t xml:space="preserve"> </t>
    </r>
  </si>
  <si>
    <r>
      <rPr>
        <b/>
        <sz val="11"/>
        <color rgb="FF000000"/>
        <rFont val="Meiryo UI"/>
        <family val="2"/>
      </rPr>
      <t>備考</t>
    </r>
  </si>
  <si>
    <r>
      <rPr>
        <b/>
        <sz val="11"/>
        <color rgb="FF000000"/>
        <rFont val="Meiryo UI"/>
        <family val="2"/>
      </rPr>
      <t>型</t>
    </r>
  </si>
  <si>
    <r>
      <rPr>
        <b/>
        <sz val="11"/>
        <color rgb="FF000000"/>
        <rFont val="Meiryo UI"/>
        <family val="2"/>
      </rPr>
      <t>項目名</t>
    </r>
  </si>
  <si>
    <r>
      <rPr>
        <sz val="11"/>
        <color rgb="FF000000"/>
        <rFont val="Meiryo UI"/>
        <family val="2"/>
      </rPr>
      <t>API_00_Common</t>
    </r>
  </si>
  <si>
    <r>
      <rPr>
        <b/>
        <sz val="11"/>
        <color rgb="FF000000"/>
        <rFont val="Meiryo UI"/>
        <family val="2"/>
      </rPr>
      <t>概要:</t>
    </r>
  </si>
  <si>
    <r>
      <rPr>
        <sz val="11"/>
        <color rgb="FF000000"/>
        <rFont val="Meiryo UI"/>
        <family val="2"/>
      </rPr>
      <t>OK</t>
    </r>
  </si>
  <si>
    <r>
      <rPr>
        <sz val="11"/>
        <color rgb="FF000000"/>
        <rFont val="Meiryo UI"/>
        <family val="2"/>
      </rPr>
      <t>ー</t>
    </r>
  </si>
  <si>
    <r>
      <rPr>
        <sz val="11"/>
        <color rgb="FF000000"/>
        <rFont val="Meiryo UI"/>
        <family val="2"/>
      </rPr>
      <t>Created</t>
    </r>
  </si>
  <si>
    <r>
      <rPr>
        <sz val="11"/>
        <color rgb="FF000000"/>
        <rFont val="Meiryo UI"/>
        <family val="2"/>
      </rPr>
      <t>データ挿入が成功した</t>
    </r>
  </si>
  <si>
    <r>
      <rPr>
        <sz val="11"/>
        <color rgb="FF000000"/>
        <rFont val="Meiryo UI"/>
        <family val="2"/>
      </rPr>
      <t>Accepted</t>
    </r>
  </si>
  <si>
    <r>
      <rPr>
        <sz val="11"/>
        <color rgb="FF000000"/>
        <rFont val="Meiryo UI"/>
        <family val="2"/>
      </rPr>
      <t>要求が実行されたが、完了していない（例：バッチを実行するAPI呼出など）</t>
    </r>
  </si>
  <si>
    <r>
      <rPr>
        <sz val="11"/>
        <color rgb="FF000000"/>
        <rFont val="Meiryo UI"/>
        <family val="2"/>
      </rPr>
      <t>No Content</t>
    </r>
  </si>
  <si>
    <r>
      <rPr>
        <sz val="11"/>
        <color rgb="FF000000"/>
        <rFont val="Meiryo UI"/>
        <family val="2"/>
      </rPr>
      <t>要求が成功したが、レスポンスに内容がない</t>
    </r>
    <r>
      <rPr>
        <sz val="11"/>
        <rFont val="Meiryo UI"/>
        <family val="3"/>
        <charset val="128"/>
      </rPr>
      <t/>
    </r>
  </si>
  <si>
    <r>
      <rPr>
        <sz val="11"/>
        <color rgb="FF000000"/>
        <rFont val="Meiryo UI"/>
        <family val="2"/>
      </rPr>
      <t>Moved Permanently</t>
    </r>
  </si>
  <si>
    <r>
      <rPr>
        <sz val="11"/>
        <color rgb="FF000000"/>
        <rFont val="Meiryo UI"/>
        <family val="2"/>
      </rPr>
      <t>プログラムが完全に新しいURLに移動した</t>
    </r>
  </si>
  <si>
    <r>
      <rPr>
        <sz val="11"/>
        <color rgb="FF000000"/>
        <rFont val="Meiryo UI"/>
        <family val="2"/>
      </rPr>
      <t>Found</t>
    </r>
  </si>
  <si>
    <r>
      <rPr>
        <sz val="11"/>
        <color rgb="FF000000"/>
        <rFont val="Meiryo UI"/>
        <family val="2"/>
      </rPr>
      <t>See Other</t>
    </r>
  </si>
  <si>
    <r>
      <rPr>
        <sz val="11"/>
        <color rgb="FF000000"/>
        <rFont val="Meiryo UI"/>
        <family val="2"/>
      </rPr>
      <t>Not Modified</t>
    </r>
  </si>
  <si>
    <r>
      <rPr>
        <sz val="11"/>
        <color rgb="FF000000"/>
        <rFont val="Meiryo UI"/>
        <family val="2"/>
      </rPr>
      <t>Bad Request</t>
    </r>
  </si>
  <si>
    <r>
      <rPr>
        <sz val="11"/>
        <color rgb="FF000000"/>
        <rFont val="Meiryo UI"/>
        <family val="2"/>
      </rPr>
      <t>クライアントの要求がサーバーによって理解されない（無効な構文のため）</t>
    </r>
  </si>
  <si>
    <r>
      <rPr>
        <sz val="11"/>
        <color rgb="FF000000"/>
        <rFont val="Meiryo UI"/>
        <family val="2"/>
      </rPr>
      <t>MSG_ERR_011</t>
    </r>
  </si>
  <si>
    <r>
      <rPr>
        <sz val="11"/>
        <color rgb="FF000000"/>
        <rFont val="Meiryo UI"/>
        <family val="2"/>
      </rPr>
      <t>Unauthorized</t>
    </r>
  </si>
  <si>
    <r>
      <rPr>
        <sz val="11"/>
        <color rgb="FF000000"/>
        <rFont val="Meiryo UI"/>
        <family val="2"/>
      </rPr>
      <t>要求には認証が必要であるが、認証情報が提供されていないか、情報が無効になる（例：無効なトークン、期限切れなど）</t>
    </r>
  </si>
  <si>
    <r>
      <rPr>
        <sz val="11"/>
        <color rgb="FF000000"/>
        <rFont val="Meiryo UI"/>
        <family val="2"/>
      </rPr>
      <t>MSG_ERR_012</t>
    </r>
  </si>
  <si>
    <r>
      <rPr>
        <sz val="11"/>
        <color rgb="FF000000"/>
        <rFont val="Meiryo UI"/>
        <family val="2"/>
      </rPr>
      <t>Forbidden</t>
    </r>
  </si>
  <si>
    <r>
      <rPr>
        <sz val="11"/>
        <color rgb="FF000000"/>
        <rFont val="Meiryo UI"/>
        <family val="2"/>
      </rPr>
      <t>サーバーは要求を理解しているが、クライアントがアクセス権を持たないため実行を拒否する（アカウントが機能を実行する権限を持たない場合にエラー）</t>
    </r>
  </si>
  <si>
    <r>
      <rPr>
        <sz val="11"/>
        <color rgb="FF000000"/>
        <rFont val="Meiryo UI"/>
        <family val="2"/>
      </rPr>
      <t>MSG_ERR_013</t>
    </r>
  </si>
  <si>
    <r>
      <rPr>
        <sz val="11"/>
        <color rgb="FF000000"/>
        <rFont val="Meiryo UI"/>
        <family val="2"/>
      </rPr>
      <t>Not Found</t>
    </r>
  </si>
  <si>
    <r>
      <rPr>
        <sz val="11"/>
        <color rgb="FF000000"/>
        <rFont val="Meiryo UI"/>
        <family val="2"/>
      </rPr>
      <t>サーバーが要求されたリソースを見つけられない (レコードが検索できないなど)</t>
    </r>
  </si>
  <si>
    <r>
      <rPr>
        <sz val="11"/>
        <color rgb="FF000000"/>
        <rFont val="Meiryo UI"/>
        <family val="2"/>
      </rPr>
      <t>MSG_ERR_001</t>
    </r>
  </si>
  <si>
    <r>
      <rPr>
        <sz val="11"/>
        <color rgb="FF000000"/>
        <rFont val="Meiryo UI"/>
        <family val="2"/>
      </rPr>
      <t>Method Not Allowed</t>
    </r>
  </si>
  <si>
    <r>
      <rPr>
        <sz val="11"/>
        <color rgb="FF000000"/>
        <rFont val="Meiryo UI"/>
        <family val="2"/>
      </rPr>
      <t>要求されたリソースで要求メソッドが許可されていない</t>
    </r>
  </si>
  <si>
    <r>
      <rPr>
        <sz val="11"/>
        <color rgb="FF000000"/>
        <rFont val="Meiryo UI"/>
        <family val="2"/>
      </rPr>
      <t>MSG_ERR_014</t>
    </r>
  </si>
  <si>
    <r>
      <rPr>
        <sz val="11"/>
        <color rgb="FF000000"/>
        <rFont val="Meiryo UI"/>
        <family val="2"/>
      </rPr>
      <t>Conflict</t>
    </r>
  </si>
  <si>
    <r>
      <rPr>
        <sz val="11"/>
        <color rgb="FF000000"/>
        <rFont val="Meiryo UI"/>
        <family val="2"/>
      </rPr>
      <t>リソースの現在の状態と矛盾しているため、要求を完了できない</t>
    </r>
  </si>
  <si>
    <r>
      <rPr>
        <sz val="11"/>
        <color rgb="FF000000"/>
        <rFont val="Meiryo UI"/>
        <family val="2"/>
      </rPr>
      <t>MSG_ERR_015</t>
    </r>
  </si>
  <si>
    <r>
      <rPr>
        <sz val="11"/>
        <color rgb="FF000000"/>
        <rFont val="Meiryo UI"/>
        <family val="2"/>
      </rPr>
      <t>Unsupported Media Type</t>
    </r>
  </si>
  <si>
    <r>
      <rPr>
        <sz val="11"/>
        <color rgb="FF000000"/>
        <rFont val="Meiryo UI"/>
        <family val="2"/>
      </rPr>
      <t>要求されたContent-typeのメディアタイプがサーバーでサポートされていない</t>
    </r>
  </si>
  <si>
    <r>
      <rPr>
        <sz val="11"/>
        <color rgb="FF000000"/>
        <rFont val="Meiryo UI"/>
        <family val="2"/>
      </rPr>
      <t>MSG_ERR_016</t>
    </r>
  </si>
  <si>
    <r>
      <rPr>
        <sz val="11"/>
        <color rgb="FF000000"/>
        <rFont val="Meiryo UI"/>
        <family val="2"/>
      </rPr>
      <t>Unprocessable Entity (WebDAV)</t>
    </r>
  </si>
  <si>
    <r>
      <rPr>
        <sz val="11"/>
        <color rgb="FF000000"/>
        <rFont val="Meiryo UI"/>
        <family val="2"/>
      </rPr>
      <t>サーバーは要求の内容を理解しているが、それを処理できない（通常に認証エラーによる）（クライアントから送信された入力のバリデーションチェックによく使用される）</t>
    </r>
  </si>
  <si>
    <r>
      <rPr>
        <sz val="11"/>
        <color rgb="FF000000"/>
        <rFont val="Meiryo UI"/>
        <family val="2"/>
      </rPr>
      <t>Internal Server Error</t>
    </r>
  </si>
  <si>
    <r>
      <rPr>
        <sz val="11"/>
        <color rgb="FF000000"/>
        <rFont val="Meiryo UI"/>
        <family val="2"/>
      </rPr>
      <t>サーバーには予期しないエラーが発生し、要求を完了できない。</t>
    </r>
  </si>
  <si>
    <r>
      <rPr>
        <sz val="11"/>
        <color rgb="FF000000"/>
        <rFont val="Meiryo UI"/>
        <family val="2"/>
      </rPr>
      <t>MSG_ERR_SERVER</t>
    </r>
  </si>
  <si>
    <r>
      <rPr>
        <sz val="11"/>
        <color rgb="FF000000"/>
        <rFont val="Meiryo UI"/>
        <family val="2"/>
      </rPr>
      <t>Service Unavailable</t>
    </r>
  </si>
  <si>
    <r>
      <rPr>
        <sz val="11"/>
        <color rgb="FF000000"/>
        <rFont val="Meiryo UI"/>
        <family val="2"/>
      </rPr>
      <t>サーバーが現在要求を処理できない（過負荷状態またはメンテナンス中であるため）</t>
    </r>
  </si>
  <si>
    <r>
      <rPr>
        <sz val="11"/>
        <color rgb="FF000000"/>
        <rFont val="Meiryo UI"/>
        <family val="2"/>
      </rPr>
      <t>MSG_ERR_017</t>
    </r>
  </si>
  <si>
    <r>
      <rPr>
        <sz val="11"/>
        <color rgb="FF000000"/>
        <rFont val="Meiryo UI"/>
        <family val="2"/>
      </rPr>
      <t>HTTP Version Not Supported</t>
    </r>
  </si>
  <si>
    <r>
      <rPr>
        <sz val="11"/>
        <color rgb="FF000000"/>
        <rFont val="Meiryo UI"/>
        <family val="2"/>
      </rPr>
      <t>サーバーが要求で使用されているHTTPプロトコルのバージョンをサポートしていない</t>
    </r>
  </si>
  <si>
    <r>
      <rPr>
        <sz val="11"/>
        <color rgb="FF000000"/>
        <rFont val="Meiryo UI"/>
        <family val="2"/>
      </rPr>
      <t>MSG_ERR_018</t>
    </r>
  </si>
  <si>
    <r>
      <rPr>
        <sz val="11"/>
        <color rgb="FF000000"/>
        <rFont val="Meiryo UI"/>
        <family val="2"/>
      </rPr>
      <t>参考資料：https://restfulapi.net/http-status-codes/</t>
    </r>
  </si>
  <si>
    <r>
      <rPr>
        <b/>
        <sz val="11"/>
        <color rgb="FF000000"/>
        <rFont val="Meiryo UI"/>
        <family val="2"/>
      </rPr>
      <t>2.2 コンテンツ</t>
    </r>
  </si>
  <si>
    <r>
      <rPr>
        <sz val="11"/>
        <color rgb="FF000000"/>
        <rFont val="Meiryo UI"/>
        <family val="2"/>
      </rPr>
      <t>・バリデーションチェックが失敗した場合：</t>
    </r>
  </si>
  <si>
    <r>
      <rPr>
        <sz val="11"/>
        <color rgb="FF000000"/>
        <rFont val="Meiryo UI"/>
        <family val="2"/>
      </rPr>
      <t>code</t>
    </r>
  </si>
  <si>
    <r>
      <rPr>
        <sz val="11"/>
        <color rgb="FF000000"/>
        <rFont val="Meiryo UI"/>
        <family val="2"/>
      </rPr>
      <t>errors</t>
    </r>
  </si>
  <si>
    <r>
      <rPr>
        <sz val="11"/>
        <color rgb="FF000000"/>
        <rFont val="Meiryo UI"/>
        <family val="2"/>
      </rPr>
      <t>MAP</t>
    </r>
  </si>
  <si>
    <r>
      <rPr>
        <sz val="11"/>
        <color rgb="FF000000"/>
        <rFont val="Meiryo UI"/>
        <family val="2"/>
      </rPr>
      <t>エラー項目名をキーとして、各項目に該当するバリデーションチェックエラーメッセージコード一覧を値とするマップである。</t>
    </r>
  </si>
  <si>
    <r>
      <rPr>
        <sz val="11"/>
        <color rgb="FF000000"/>
        <rFont val="Meiryo UI"/>
        <family val="2"/>
      </rPr>
      <t>row</t>
    </r>
  </si>
  <si>
    <r>
      <rPr>
        <sz val="11"/>
        <color rgb="FF000000"/>
        <rFont val="Meiryo UI"/>
        <family val="2"/>
      </rPr>
      <t>例：</t>
    </r>
  </si>
  <si>
    <r>
      <rPr>
        <sz val="11"/>
        <color rgb="FF000000"/>
        <rFont val="Meiryo UI"/>
        <family val="2"/>
      </rPr>
      <t>BODY:</t>
    </r>
  </si>
  <si>
    <t>{</t>
  </si>
  <si>
    <r>
      <rPr>
        <sz val="11"/>
        <color rgb="FF000000"/>
        <rFont val="Meiryo UI"/>
        <family val="2"/>
      </rPr>
      <t>"errors": {</t>
    </r>
  </si>
  <si>
    <r>
      <rPr>
        <sz val="11"/>
        <color rgb="FF000000"/>
        <rFont val="Meiryo UI"/>
        <family val="2"/>
      </rPr>
      <t>"promotion_name":"MSG_VAL_002",</t>
    </r>
  </si>
  <si>
    <r>
      <rPr>
        <sz val="11"/>
        <color rgb="FF000000"/>
        <rFont val="Meiryo UI"/>
        <family val="2"/>
      </rPr>
      <t>"promotion_code":"MSG_VAL_001",</t>
    </r>
  </si>
  <si>
    <t>}</t>
  </si>
  <si>
    <r>
      <rPr>
        <sz val="11"/>
        <color rgb="FF000000"/>
        <rFont val="Meiryo UI"/>
        <family val="2"/>
      </rPr>
      <t>ARRAY</t>
    </r>
  </si>
  <si>
    <r>
      <rPr>
        <sz val="11"/>
        <color rgb="FF000000"/>
        <rFont val="Meiryo UI"/>
        <family val="2"/>
      </rPr>
      <t>errors:[MSG_ERR_001, MSG_ERR_002]</t>
    </r>
  </si>
  <si>
    <t xml:space="preserve">      ...</t>
  </si>
  <si>
    <t xml:space="preserve">    ]</t>
  </si>
  <si>
    <t xml:space="preserve">  }</t>
  </si>
  <si>
    <r>
      <rPr>
        <sz val="11"/>
        <color rgb="FF000000"/>
        <rFont val="Meiryo UI"/>
        <family val="2"/>
      </rPr>
      <t>POSサーバーシステムのアカウントには、以下の2種類の権限がある。</t>
    </r>
  </si>
  <si>
    <r>
      <rPr>
        <sz val="11"/>
        <color rgb="FF000000"/>
        <rFont val="Meiryo UI"/>
        <family val="2"/>
      </rPr>
      <t>アカウントが所属する会社内の全ての店舗に関するデータを表示・設定（追加、編集、削除）できる。</t>
    </r>
  </si>
  <si>
    <r>
      <rPr>
        <sz val="11"/>
        <color rgb="FF000000"/>
        <rFont val="Meiryo UI"/>
        <family val="2"/>
      </rPr>
      <t>・権限が付与されたAPIのみ実行・使用できる。</t>
    </r>
  </si>
  <si>
    <r>
      <rPr>
        <sz val="11"/>
        <color rgb="FF000000"/>
        <rFont val="Meiryo UI"/>
        <family val="2"/>
      </rPr>
      <t>・アカウントが所属する店舗に関するデータのみ表示・設定（追加、編集、削除）できる。</t>
    </r>
  </si>
  <si>
    <r>
      <rPr>
        <sz val="11"/>
        <color rgb="FF000000"/>
        <rFont val="Meiryo UI"/>
        <family val="2"/>
      </rPr>
      <t>Int</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</si>
  <si>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</si>
  <si>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</si>
  <si>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</si>
  <si>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</si>
  <si>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</si>
  <si>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</si>
  <si>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</si>
  <si>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</si>
  <si>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</si>
  <si>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</si>
  <si>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</si>
  <si>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API設計書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</si>
  <si>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</si>
  <si>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</si>
  <si>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</si>
  <si>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</si>
  <si>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</si>
  <si>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DuNT</t>
  </si>
  <si>
    <t>●API処理フロー</t>
  </si>
  <si>
    <t>1. 全てのAPIのパス</t>
  </si>
  <si>
    <t>・先頭：api/v1/</t>
  </si>
  <si>
    <t xml:space="preserve">・URLパラメータ：kebab-caseで命名 </t>
  </si>
  <si>
    <t>・小文字の文字列を使用する。</t>
  </si>
  <si>
    <t>APIレスポンス処理方針</t>
  </si>
  <si>
    <r>
      <rPr>
        <b/>
        <sz val="11"/>
        <color rgb="FF000000"/>
        <rFont val="Meiryo UI"/>
        <family val="2"/>
      </rPr>
      <t>1. 返却HTTPステータスコード</t>
    </r>
  </si>
  <si>
    <r>
      <rPr>
        <b/>
        <sz val="11"/>
        <color rgb="FF000000"/>
        <rFont val="Meiryo UI"/>
        <family val="2"/>
      </rPr>
      <t>標準的なHTTPコードはクライアントの要求結果を伝えるために使用できる。以下の5つのタイプが含まれている。</t>
    </r>
  </si>
  <si>
    <r>
      <rPr>
        <sz val="11"/>
        <color rgb="FF000000"/>
        <rFont val="Meiryo UI"/>
        <family val="2"/>
      </rPr>
      <t>1xx: 情報 – 転送プロトコルレベルでの情報伝達</t>
    </r>
  </si>
  <si>
    <r>
      <rPr>
        <sz val="11"/>
        <color rgb="FF000000"/>
        <rFont val="Meiryo UI"/>
        <family val="2"/>
      </rPr>
      <t>2xx: 成功 - クライアントの要求が正常に受け入れられたことを示す。</t>
    </r>
  </si>
  <si>
    <r>
      <rPr>
        <sz val="11"/>
        <color rgb="FF000000"/>
        <rFont val="Meiryo UI"/>
        <family val="2"/>
      </rPr>
      <t>3xx: リダイレクト - クライアントが要求を完了するために追加のアクションを実行する必要があることを示す。</t>
    </r>
  </si>
  <si>
    <r>
      <rPr>
        <sz val="11"/>
        <color rgb="FF000000"/>
        <rFont val="Meiryo UI"/>
        <family val="2"/>
      </rPr>
      <t>4xx: クライアントエラー - クライアント側のエラーを示すステータスコードの種類</t>
    </r>
  </si>
  <si>
    <r>
      <rPr>
        <sz val="11"/>
        <color rgb="FF000000"/>
        <rFont val="Meiryo UI"/>
        <family val="2"/>
      </rPr>
      <t>5xx: サーバーエラー –サーバーがこれらのエラーステータスコードについて担当する。</t>
    </r>
  </si>
  <si>
    <r>
      <rPr>
        <sz val="14"/>
        <color rgb="FFFFFFFF"/>
        <rFont val="Meiryo UI"/>
        <family val="2"/>
      </rPr>
      <t>No</t>
    </r>
  </si>
  <si>
    <r>
      <rPr>
        <sz val="14"/>
        <color rgb="FFFFFFFF"/>
        <rFont val="Meiryo UI"/>
        <family val="2"/>
      </rPr>
      <t>名称</t>
    </r>
  </si>
  <si>
    <r>
      <rPr>
        <sz val="14"/>
        <color rgb="FFFFFFFF"/>
        <rFont val="Meiryo UI"/>
        <family val="2"/>
      </rPr>
      <t>コンテンツ</t>
    </r>
  </si>
  <si>
    <r>
      <rPr>
        <sz val="14"/>
        <color rgb="FFFFFFFF"/>
        <rFont val="Meiryo UI"/>
        <family val="2"/>
      </rPr>
      <t>エラーメッセージ</t>
    </r>
  </si>
  <si>
    <r>
      <rPr>
        <sz val="11"/>
        <color rgb="FF000000"/>
        <rFont val="Meiryo UI"/>
        <family val="2"/>
      </rPr>
      <t xml:space="preserve">要求が成功した </t>
    </r>
  </si>
  <si>
    <r>
      <rPr>
        <sz val="11"/>
        <color rgb="FF000000"/>
        <rFont val="Meiryo UI"/>
        <family val="2"/>
      </rPr>
      <t>プログラムが一時的に別のURLに移動した。ブラウザは現在の要求には新しいURLを使用するが、将来の要求に元のURLを引き続き使用する。</t>
    </r>
  </si>
  <si>
    <r>
      <rPr>
        <sz val="11"/>
        <color rgb="FF000000"/>
        <rFont val="Meiryo UI"/>
        <family val="2"/>
      </rPr>
      <t>要求に対するレスポンスは、GETメソッドを使用して別のURLで見つけられる。通常はアクションが実行された後に使用される。</t>
    </r>
  </si>
  <si>
    <r>
      <rPr>
        <sz val="11"/>
        <color rgb="FF000000"/>
        <rFont val="Meiryo UI"/>
        <family val="2"/>
      </rPr>
      <t>リソースは最後に要求された時から変更されていない。ブラウザはキャッシュ内のバックアップを使用できる。</t>
    </r>
  </si>
  <si>
    <r>
      <rPr>
        <b/>
        <sz val="11"/>
        <color rgb="FF000000"/>
        <rFont val="Meiryo UI"/>
        <family val="2"/>
      </rPr>
      <t>2. APIから返される情報のボディエリア</t>
    </r>
  </si>
  <si>
    <r>
      <rPr>
        <b/>
        <sz val="11"/>
        <color rgb="FF000000"/>
        <rFont val="Meiryo UI"/>
        <family val="2"/>
      </rPr>
      <t>2.1 データ形式：Json</t>
    </r>
  </si>
  <si>
    <t>▪成功した場合：Response code = 200、レスポンス形式が以下のように返す。</t>
  </si>
  <si>
    <t>JSON name</t>
  </si>
  <si>
    <t>型</t>
  </si>
  <si>
    <t>項目名</t>
  </si>
  <si>
    <t>備考</t>
  </si>
  <si>
    <t>status</t>
  </si>
  <si>
    <t>String</t>
  </si>
  <si>
    <t>data</t>
  </si>
  <si>
    <t>Object</t>
  </si>
  <si>
    <t>各APIのレスポンスデータ</t>
  </si>
  <si>
    <t>"status": "Success",</t>
  </si>
  <si>
    <t>"data": {</t>
  </si>
  <si>
    <t>//data object/list here</t>
  </si>
  <si>
    <r>
      <rPr>
        <sz val="11"/>
        <color rgb="FF000000"/>
        <rFont val="Meiryo UI"/>
        <family val="2"/>
      </rPr>
      <t>ヘッダー：422</t>
    </r>
  </si>
  <si>
    <r>
      <rPr>
        <sz val="11"/>
        <color rgb="FF000000"/>
        <rFont val="Meiryo UI"/>
        <family val="2"/>
      </rPr>
      <t>・複数のレコードのバリデーションチェックを行う場合、エラーが発生した行のインデックス
・1件のみのバリデーションチェックを行う場合、この項目が不要</t>
    </r>
  </si>
  <si>
    <r>
      <rPr>
        <sz val="11"/>
        <color rgb="FF000000"/>
        <rFont val="Meiryo UI"/>
        <family val="2"/>
      </rPr>
      <t>HEADER:  status_code: 422</t>
    </r>
  </si>
  <si>
    <r>
      <rPr>
        <sz val="11"/>
        <color rgb="FF000000"/>
        <rFont val="Meiryo UI"/>
        <family val="2"/>
      </rPr>
      <t>"code": "1001",</t>
    </r>
  </si>
  <si>
    <r>
      <rPr>
        <sz val="11"/>
        <color rgb="FF000000"/>
        <rFont val="Meiryo UI"/>
        <family val="2"/>
      </rPr>
      <t>"row": 1</t>
    </r>
  </si>
  <si>
    <r>
      <rPr>
        <sz val="11"/>
        <color rgb="FF000000"/>
        <rFont val="Meiryo UI"/>
        <family val="2"/>
      </rPr>
      <t xml:space="preserve"> ・通常エラーの場合</t>
    </r>
  </si>
  <si>
    <r>
      <rPr>
        <sz val="11"/>
        <color rgb="FF000000"/>
        <rFont val="Meiryo UI"/>
        <family val="2"/>
      </rPr>
      <t>ヘッダー：400,404, 500…</t>
    </r>
  </si>
  <si>
    <r>
      <rPr>
        <sz val="11"/>
        <color rgb="FF000000"/>
        <rFont val="Meiryo UI"/>
        <family val="2"/>
      </rPr>
      <t xml:space="preserve">エラーメッセージコード一覧 </t>
    </r>
  </si>
  <si>
    <r>
      <rPr>
        <sz val="11"/>
        <color rgb="FF000000"/>
        <rFont val="Meiryo UI"/>
        <family val="2"/>
      </rPr>
      <t>HEADER:  status_code: 500</t>
    </r>
  </si>
  <si>
    <r>
      <rPr>
        <sz val="11"/>
        <color rgb="FF000000"/>
        <rFont val="Meiryo UI"/>
        <family val="2"/>
      </rPr>
      <t>"code": "1001"</t>
    </r>
  </si>
  <si>
    <t>2.3 共通ページング</t>
  </si>
  <si>
    <t>ページングを含むAPIの場合、成功したレスポンスの形式は以下の通りである。</t>
  </si>
  <si>
    <t>page_number</t>
  </si>
  <si>
    <t>Int</t>
  </si>
  <si>
    <t>現在ページ</t>
  </si>
  <si>
    <t>total_pages</t>
  </si>
  <si>
    <t>総頁数</t>
  </si>
  <si>
    <t>total_items</t>
  </si>
  <si>
    <t>総データアイテム数</t>
  </si>
  <si>
    <t>has_previous_page</t>
  </si>
  <si>
    <t>Boolean</t>
  </si>
  <si>
    <t>前の頁があるか。</t>
  </si>
  <si>
    <t>has_next_page</t>
  </si>
  <si>
    <t>次の頁があるか。</t>
  </si>
  <si>
    <t>2.4 共通リスト</t>
  </si>
  <si>
    <t>リストデータを含むAPIの場合、リストの形式は以下の通りである。</t>
  </si>
  <si>
    <t xml:space="preserve"> "data": {</t>
  </si>
  <si>
    <t xml:space="preserve">    "items": [</t>
  </si>
  <si>
    <t xml:space="preserve">      { /* Object #1 */ },</t>
  </si>
  <si>
    <t xml:space="preserve">      { /* Object #2 */ },</t>
  </si>
  <si>
    <t>ステータス</t>
  </si>
  <si>
    <t>検証の内容による。各APIで個別に説明されている。BEでのみバリデーションチェックが行われ、FEで行われない場合はMSG_VAL_019メッセージを返す。</t>
  </si>
  <si>
    <t>成功・失敗
失敗の場合：例：CSVファイルの取込は成功したが、バリデーションチェックに失敗した行がある -&gt;取込を実行しない。</t>
  </si>
  <si>
    <t>成功・失敗</t>
  </si>
  <si>
    <r>
      <rPr>
        <b/>
        <sz val="11"/>
        <color rgb="FF000000"/>
        <rFont val="Meiryo UI"/>
        <family val="2"/>
      </rPr>
      <t>1. POSサーバーシステムの権限付与</t>
    </r>
  </si>
  <si>
    <r>
      <rPr>
        <sz val="11"/>
        <color rgb="FF000000"/>
        <rFont val="Meiryo UI"/>
        <family val="2"/>
      </rPr>
      <t>1. システム権限を持つアカウント</t>
    </r>
  </si>
  <si>
    <r>
      <rPr>
        <sz val="11"/>
        <color rgb="FF000000"/>
        <rFont val="Meiryo UI"/>
        <family val="2"/>
      </rPr>
      <t>2. システム権限を持たないアカウント</t>
    </r>
  </si>
  <si>
    <r>
      <rPr>
        <sz val="11"/>
        <color rgb="FF000000"/>
        <rFont val="Meiryo UI"/>
        <family val="2"/>
      </rPr>
      <t>権限が付与されたAPIのリスト。40_API設計_目次.xlsxをご参照ください。</t>
    </r>
  </si>
  <si>
    <r>
      <rPr>
        <b/>
        <sz val="11"/>
        <color rgb="FF000000"/>
        <rFont val="Meiryo UI"/>
        <family val="2"/>
      </rPr>
      <t>2. 処理</t>
    </r>
  </si>
  <si>
    <r>
      <t xml:space="preserve">No. </t>
    </r>
    <r>
      <rPr>
        <sz val="11"/>
        <color theme="1"/>
        <rFont val="Meiryo U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</si>
</sst>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1">
    <font>
      <sz val="11"/>
      <name val="Meiryo UI"/>
      <family val="3"/>
      <charset val="128"/>
    </font>
    <font>
      <sz val="10"/>
      <color theme="1"/>
      <name val="Arial"/>
      <family val="2"/>
    </font>
    <font>
      <sz val="11"/>
      <color theme="1"/>
      <name val="Calibri"/>
      <family val="2"/>
      <charset val="128"/>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b/>
      <sz val="11"/>
      <name val="Meiryo UI"/>
      <family val="2"/>
    </font>
    <font>
      <sz val="11"/>
      <color rgb="FF00B050"/>
      <name val="Meiryo UI"/>
      <family val="2"/>
    </font>
    <font>
      <sz val="11"/>
      <color indexed="8"/>
      <name val="Meiryo UI"/>
      <family val="2"/>
    </font>
    <font>
      <sz val="11"/>
      <color theme="0"/>
      <name val="Calibri"/>
      <family val="2"/>
      <charset val="128"/>
      <scheme val="minor"/>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4"/>
      <color theme="0"/>
      <name val="Meiryo UI"/>
      <family val="2"/>
    </font>
    <font>
      <sz val="14"/>
      <color rgb="FFFFFFFF"/>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8"/>
        <bgColor indexed="64"/>
      </patternFill>
    </fill>
    <fill>
      <patternFill patternType="solid">
        <fgColor rgb="FF333399"/>
        <bgColor indexed="64"/>
      </patternFill>
    </fill>
    <fill>
      <patternFill patternType="solid">
        <fgColor theme="4" tint="0.79995117038483843"/>
        <bgColor indexed="64"/>
      </patternFill>
    </fill>
  </fills>
  <borders count="35">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right style="hair">
        <color auto="1"/>
      </right>
      <top/>
      <bottom/>
      <diagonal/>
    </border>
    <border>
      <left style="hair">
        <color theme="0" tint="-0.49992370372631001"/>
      </left>
      <right/>
      <top/>
      <bottom/>
      <diagonal/>
    </border>
    <border>
      <left/>
      <right style="hair">
        <color theme="0" tint="-0.49992370372631001"/>
      </right>
      <top/>
      <bottom/>
      <diagonal/>
    </border>
    <border>
      <left style="hair">
        <color auto="1"/>
      </left>
      <right/>
      <top/>
      <bottom style="thin">
        <color auto="1"/>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s>
  <cellStyleXfs count="11">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11" fillId="0" borderId="0">
      <alignment vertical="center"/>
    </xf>
    <xf numFmtId="0" fontId="2" fillId="0" borderId="0">
      <alignment vertical="center"/>
    </xf>
    <xf numFmtId="0" fontId="2" fillId="2" borderId="0" applyNumberFormat="0" applyBorder="0" applyAlignment="0" applyProtection="0"/>
    <xf numFmtId="0" fontId="10" fillId="3" borderId="0" applyNumberFormat="0" applyBorder="0" applyAlignment="0" applyProtection="0"/>
  </cellStyleXfs>
  <cellXfs count="182">
    <xf numFmtId="0" fontId="0" fillId="0" borderId="0" xfId="0"/>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4" xfId="6" applyFont="1" applyBorder="1" applyAlignment="1">
      <alignment vertical="center"/>
    </xf>
    <xf numFmtId="0" fontId="3" fillId="0" borderId="16" xfId="6" applyFont="1" applyBorder="1" applyAlignment="1">
      <alignment vertical="center"/>
    </xf>
    <xf numFmtId="0" fontId="3" fillId="0" borderId="17" xfId="6" applyFont="1" applyBorder="1" applyAlignment="1">
      <alignment vertical="center"/>
    </xf>
    <xf numFmtId="0" fontId="3" fillId="0" borderId="18" xfId="6" applyFont="1" applyBorder="1" applyAlignment="1">
      <alignment vertical="center"/>
    </xf>
    <xf numFmtId="0" fontId="3" fillId="0" borderId="0" xfId="0" applyFont="1" applyAlignment="1">
      <alignment horizontal="left" vertical="center"/>
    </xf>
    <xf numFmtId="0" fontId="7" fillId="0" borderId="0" xfId="0" applyFont="1"/>
    <xf numFmtId="0" fontId="7" fillId="0" borderId="19" xfId="0" applyFont="1" applyBorder="1"/>
    <xf numFmtId="0" fontId="9" fillId="0" borderId="0" xfId="0" applyFont="1" applyAlignment="1">
      <alignment horizontal="left" vertical="center"/>
    </xf>
    <xf numFmtId="0" fontId="3" fillId="0" borderId="0" xfId="0" applyFont="1" applyAlignment="1">
      <alignment horizontal="left" vertical="center" wrapText="1"/>
    </xf>
    <xf numFmtId="0" fontId="7" fillId="0" borderId="0" xfId="0" applyFont="1" applyAlignment="1">
      <alignment vertical="center"/>
    </xf>
    <xf numFmtId="0" fontId="8" fillId="0" borderId="0" xfId="0" applyFont="1" applyAlignment="1">
      <alignment vertical="center"/>
    </xf>
    <xf numFmtId="0" fontId="8" fillId="0" borderId="0" xfId="0" quotePrefix="1" applyFont="1" applyAlignment="1">
      <alignment vertical="center"/>
    </xf>
    <xf numFmtId="0" fontId="16" fillId="0" borderId="0" xfId="0" applyFont="1"/>
    <xf numFmtId="0" fontId="16" fillId="0" borderId="2" xfId="0" applyFont="1" applyBorder="1"/>
    <xf numFmtId="0" fontId="16" fillId="0" borderId="3" xfId="0" applyFont="1" applyBorder="1"/>
    <xf numFmtId="0" fontId="16" fillId="0" borderId="5" xfId="0" applyFont="1" applyBorder="1"/>
    <xf numFmtId="0" fontId="16" fillId="0" borderId="1" xfId="0" applyFont="1" applyBorder="1"/>
    <xf numFmtId="0" fontId="16" fillId="0" borderId="4" xfId="0" applyFont="1" applyBorder="1"/>
    <xf numFmtId="0" fontId="16" fillId="0" borderId="7" xfId="0" applyFont="1" applyBorder="1"/>
    <xf numFmtId="0" fontId="16" fillId="0" borderId="8" xfId="0" applyFont="1" applyBorder="1"/>
    <xf numFmtId="0" fontId="16" fillId="0" borderId="11" xfId="0" applyFont="1" applyBorder="1"/>
    <xf numFmtId="0" fontId="16" fillId="0" borderId="6" xfId="0" applyFont="1" applyBorder="1"/>
    <xf numFmtId="0" fontId="16" fillId="0" borderId="12" xfId="0" applyFont="1" applyBorder="1"/>
    <xf numFmtId="0" fontId="16" fillId="0" borderId="14" xfId="0" applyFont="1" applyBorder="1"/>
    <xf numFmtId="0" fontId="16" fillId="0" borderId="15" xfId="0" applyFont="1" applyBorder="1"/>
    <xf numFmtId="0" fontId="16" fillId="0" borderId="9" xfId="0" applyFont="1" applyBorder="1"/>
    <xf numFmtId="0" fontId="16" fillId="0" borderId="10" xfId="0" applyFont="1" applyBorder="1"/>
    <xf numFmtId="0" fontId="16" fillId="0" borderId="13" xfId="0" applyFont="1" applyBorder="1"/>
    <xf numFmtId="0" fontId="16" fillId="0" borderId="1" xfId="0" applyFont="1" applyBorder="1" applyAlignment="1">
      <alignment vertical="center"/>
    </xf>
    <xf numFmtId="0" fontId="13" fillId="4" borderId="19" xfId="0" applyFont="1" applyFill="1" applyBorder="1" applyAlignment="1">
      <alignment vertical="center"/>
    </xf>
    <xf numFmtId="0" fontId="12" fillId="4" borderId="0" xfId="0" applyFont="1" applyFill="1" applyAlignment="1">
      <alignment vertical="center"/>
    </xf>
    <xf numFmtId="0" fontId="12" fillId="4" borderId="20" xfId="0" applyFont="1" applyFill="1" applyBorder="1" applyAlignment="1">
      <alignment vertical="center"/>
    </xf>
    <xf numFmtId="0" fontId="12" fillId="4" borderId="19" xfId="0" applyFont="1" applyFill="1" applyBorder="1" applyAlignment="1">
      <alignment vertical="center"/>
    </xf>
    <xf numFmtId="0" fontId="16" fillId="0" borderId="4" xfId="0" applyFont="1" applyBorder="1" applyAlignment="1">
      <alignment vertical="center"/>
    </xf>
    <xf numFmtId="0" fontId="16" fillId="0" borderId="0" xfId="0" applyFont="1" applyAlignment="1">
      <alignment vertical="center"/>
    </xf>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12" fillId="4" borderId="16"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18" xfId="0" applyFont="1" applyFill="1" applyBorder="1" applyAlignment="1">
      <alignment horizontal="center" vertical="center"/>
    </xf>
    <xf numFmtId="0" fontId="12" fillId="4" borderId="2" xfId="0" applyFont="1" applyFill="1" applyBorder="1" applyAlignment="1">
      <alignment horizontal="center" vertical="center"/>
    </xf>
    <xf numFmtId="0" fontId="12" fillId="4" borderId="3" xfId="0" applyFont="1" applyFill="1" applyBorder="1" applyAlignment="1">
      <alignment horizontal="center" vertical="center"/>
    </xf>
    <xf numFmtId="0" fontId="12" fillId="4" borderId="5" xfId="0" applyFont="1" applyFill="1" applyBorder="1" applyAlignment="1">
      <alignment horizontal="center" vertical="center"/>
    </xf>
    <xf numFmtId="0" fontId="12" fillId="4" borderId="25" xfId="0" applyFont="1" applyFill="1" applyBorder="1" applyAlignment="1">
      <alignment horizontal="center" vertical="center"/>
    </xf>
    <xf numFmtId="0" fontId="12" fillId="4" borderId="26" xfId="0" applyFont="1" applyFill="1" applyBorder="1" applyAlignment="1">
      <alignment horizontal="center" vertical="center"/>
    </xf>
    <xf numFmtId="0" fontId="12" fillId="4" borderId="27" xfId="0" applyFont="1" applyFill="1" applyBorder="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27" xfId="0" applyFont="1" applyBorder="1" applyAlignment="1">
      <alignment horizontal="center" vertical="center"/>
    </xf>
    <xf numFmtId="0" fontId="4" fillId="0" borderId="25" xfId="0" applyFont="1" applyBorder="1" applyAlignment="1">
      <alignment horizontal="center" vertical="center"/>
    </xf>
    <xf numFmtId="2" fontId="16" fillId="0" borderId="16" xfId="0" applyNumberFormat="1" applyFont="1" applyBorder="1" applyAlignment="1">
      <alignment horizontal="center" vertical="center"/>
    </xf>
    <xf numFmtId="2" fontId="16" fillId="0" borderId="17" xfId="0" applyNumberFormat="1" applyFont="1" applyBorder="1" applyAlignment="1">
      <alignment horizontal="center" vertical="center"/>
    </xf>
    <xf numFmtId="2" fontId="16" fillId="0" borderId="18" xfId="0" applyNumberFormat="1" applyFont="1" applyBorder="1" applyAlignment="1">
      <alignment horizontal="center" vertical="center"/>
    </xf>
    <xf numFmtId="2" fontId="16" fillId="0" borderId="2"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5" xfId="0" applyNumberFormat="1" applyFont="1" applyBorder="1" applyAlignment="1">
      <alignment horizontal="center" vertical="center"/>
    </xf>
    <xf numFmtId="14" fontId="16" fillId="0" borderId="16" xfId="0" applyNumberFormat="1" applyFont="1" applyBorder="1" applyAlignment="1">
      <alignment horizontal="center" vertical="center"/>
    </xf>
    <xf numFmtId="14" fontId="16" fillId="0" borderId="17" xfId="0" applyNumberFormat="1" applyFont="1" applyBorder="1" applyAlignment="1">
      <alignment horizontal="center" vertical="center"/>
    </xf>
    <xf numFmtId="14" fontId="16" fillId="0" borderId="18" xfId="0" applyNumberFormat="1" applyFont="1" applyBorder="1" applyAlignment="1">
      <alignment horizontal="center" vertical="center"/>
    </xf>
    <xf numFmtId="14" fontId="16" fillId="0" borderId="2" xfId="0" applyNumberFormat="1" applyFont="1" applyBorder="1" applyAlignment="1">
      <alignment horizontal="center" vertical="center"/>
    </xf>
    <xf numFmtId="14" fontId="16" fillId="0" borderId="3" xfId="0" applyNumberFormat="1" applyFont="1" applyBorder="1" applyAlignment="1">
      <alignment horizontal="center" vertical="center"/>
    </xf>
    <xf numFmtId="14" fontId="16" fillId="0" borderId="5" xfId="0" applyNumberFormat="1" applyFont="1" applyBorder="1" applyAlignment="1">
      <alignment horizontal="center" vertical="center"/>
    </xf>
    <xf numFmtId="0" fontId="4" fillId="0" borderId="16" xfId="0" applyFont="1" applyBorder="1" applyAlignment="1">
      <alignment horizontal="center" vertical="center"/>
    </xf>
    <xf numFmtId="0" fontId="14" fillId="0" borderId="16" xfId="0" applyFont="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6" fillId="0" borderId="28" xfId="0" applyFont="1" applyBorder="1"/>
    <xf numFmtId="0" fontId="16" fillId="0" borderId="29" xfId="0" applyFont="1" applyBorder="1"/>
    <xf numFmtId="0" fontId="16" fillId="0" borderId="30" xfId="0" applyFont="1" applyBorder="1"/>
    <xf numFmtId="0" fontId="16" fillId="0" borderId="17" xfId="0" applyFont="1" applyBorder="1"/>
    <xf numFmtId="0" fontId="16" fillId="0" borderId="18" xfId="0" applyFont="1" applyBorder="1"/>
    <xf numFmtId="0" fontId="16" fillId="0" borderId="3" xfId="0" applyFont="1" applyBorder="1"/>
    <xf numFmtId="0" fontId="16" fillId="0" borderId="5" xfId="0" applyFont="1" applyBorder="1"/>
    <xf numFmtId="0" fontId="16" fillId="0" borderId="16" xfId="0" applyFont="1" applyBorder="1"/>
    <xf numFmtId="0" fontId="16" fillId="0" borderId="2" xfId="0" applyFont="1" applyBorder="1"/>
    <xf numFmtId="0" fontId="16" fillId="0" borderId="31" xfId="0" applyFont="1" applyBorder="1"/>
    <xf numFmtId="0" fontId="16" fillId="0" borderId="32" xfId="0" applyFont="1" applyBorder="1"/>
    <xf numFmtId="0" fontId="16" fillId="0" borderId="33" xfId="0" applyFont="1" applyBorder="1"/>
    <xf numFmtId="0" fontId="12" fillId="4" borderId="0" xfId="0" applyFont="1" applyFill="1"/>
    <xf numFmtId="0" fontId="15" fillId="0" borderId="16" xfId="0" applyFont="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12" fillId="4" borderId="25" xfId="6" applyFont="1" applyFill="1" applyBorder="1" applyAlignment="1">
      <alignment horizontal="center" vertical="center"/>
    </xf>
    <xf numFmtId="0" fontId="12" fillId="4" borderId="26" xfId="6" applyFont="1" applyFill="1" applyBorder="1" applyAlignment="1">
      <alignment horizontal="center" vertical="center"/>
    </xf>
    <xf numFmtId="0" fontId="12" fillId="4" borderId="27" xfId="6" applyFont="1" applyFill="1" applyBorder="1" applyAlignment="1">
      <alignment horizontal="center" vertical="center"/>
    </xf>
    <xf numFmtId="0" fontId="15" fillId="0" borderId="16" xfId="6" applyFont="1" applyBorder="1" applyAlignment="1">
      <alignment horizontal="center" vertical="center"/>
    </xf>
    <xf numFmtId="0" fontId="15" fillId="0" borderId="17" xfId="6" applyFont="1" applyBorder="1" applyAlignment="1">
      <alignment horizontal="center" vertical="center"/>
    </xf>
    <xf numFmtId="0" fontId="15" fillId="0" borderId="18" xfId="6" applyFont="1" applyBorder="1" applyAlignment="1">
      <alignment horizontal="center" vertical="center"/>
    </xf>
    <xf numFmtId="0" fontId="15" fillId="0" borderId="1" xfId="6" applyFont="1" applyBorder="1" applyAlignment="1">
      <alignment horizontal="center" vertical="center"/>
    </xf>
    <xf numFmtId="0" fontId="15" fillId="0" borderId="0" xfId="6" applyFont="1" applyAlignment="1">
      <alignment horizontal="center" vertical="center"/>
    </xf>
    <xf numFmtId="0" fontId="15" fillId="0" borderId="4" xfId="6" applyFont="1" applyBorder="1" applyAlignment="1">
      <alignment horizontal="center" vertical="center"/>
    </xf>
    <xf numFmtId="0" fontId="15" fillId="0" borderId="2" xfId="6" applyFont="1" applyBorder="1" applyAlignment="1">
      <alignment horizontal="center" vertical="center"/>
    </xf>
    <xf numFmtId="0" fontId="15" fillId="0" borderId="3" xfId="6" applyFont="1" applyBorder="1" applyAlignment="1">
      <alignment horizontal="center" vertical="center"/>
    </xf>
    <xf numFmtId="0" fontId="15" fillId="0" borderId="5" xfId="6" applyFont="1" applyBorder="1" applyAlignment="1">
      <alignment horizontal="center" vertical="center"/>
    </xf>
    <xf numFmtId="0" fontId="3" fillId="0" borderId="25" xfId="6" applyFont="1" applyBorder="1" applyAlignment="1">
      <alignment horizontal="center" vertical="center"/>
    </xf>
    <xf numFmtId="0" fontId="3" fillId="0" borderId="26" xfId="6" applyFont="1" applyBorder="1" applyAlignment="1">
      <alignment horizontal="center" vertical="center"/>
    </xf>
    <xf numFmtId="0" fontId="3" fillId="0" borderId="27" xfId="6" applyFont="1" applyBorder="1" applyAlignment="1">
      <alignment horizontal="center" vertical="center"/>
    </xf>
    <xf numFmtId="0" fontId="4" fillId="0" borderId="25" xfId="6" applyFont="1" applyBorder="1" applyAlignment="1">
      <alignment horizontal="center" vertical="center"/>
    </xf>
    <xf numFmtId="0" fontId="3" fillId="0" borderId="25" xfId="0" applyFont="1" applyBorder="1" applyAlignment="1">
      <alignment horizontal="left" vertical="center"/>
    </xf>
    <xf numFmtId="0" fontId="3" fillId="0" borderId="27" xfId="0" applyFont="1" applyBorder="1" applyAlignment="1">
      <alignment horizontal="left" vertical="center"/>
    </xf>
    <xf numFmtId="0" fontId="9" fillId="0" borderId="25" xfId="0" applyFont="1" applyBorder="1" applyAlignment="1">
      <alignment horizontal="left" vertical="center"/>
    </xf>
    <xf numFmtId="0" fontId="9" fillId="0" borderId="26" xfId="0" applyFont="1" applyBorder="1" applyAlignment="1">
      <alignment horizontal="left" vertical="center"/>
    </xf>
    <xf numFmtId="0" fontId="9" fillId="0" borderId="27" xfId="0" applyFont="1" applyBorder="1" applyAlignment="1">
      <alignment horizontal="left" vertical="center"/>
    </xf>
    <xf numFmtId="0" fontId="3" fillId="0" borderId="26" xfId="0" applyFont="1" applyBorder="1" applyAlignment="1">
      <alignment horizontal="left" vertical="center"/>
    </xf>
    <xf numFmtId="0" fontId="3" fillId="0" borderId="25" xfId="0" applyFont="1" applyBorder="1" applyAlignment="1">
      <alignment horizontal="left" vertical="center" wrapText="1"/>
    </xf>
    <xf numFmtId="0" fontId="3" fillId="0" borderId="26" xfId="0" applyFont="1" applyBorder="1" applyAlignment="1">
      <alignment horizontal="left" vertical="center" wrapText="1"/>
    </xf>
    <xf numFmtId="0" fontId="3" fillId="0" borderId="27" xfId="0" applyFont="1" applyBorder="1" applyAlignment="1">
      <alignment horizontal="left" vertical="center" wrapText="1"/>
    </xf>
    <xf numFmtId="0" fontId="6" fillId="5" borderId="25" xfId="0" applyFont="1" applyFill="1" applyBorder="1" applyAlignment="1">
      <alignment horizontal="left" vertical="center"/>
    </xf>
    <xf numFmtId="0" fontId="6" fillId="5" borderId="26" xfId="0" applyFont="1" applyFill="1" applyBorder="1" applyAlignment="1">
      <alignment horizontal="left" vertical="center"/>
    </xf>
    <xf numFmtId="0" fontId="6" fillId="5" borderId="27" xfId="0" applyFont="1" applyFill="1" applyBorder="1" applyAlignment="1">
      <alignment horizontal="left" vertical="center"/>
    </xf>
    <xf numFmtId="0" fontId="5" fillId="5" borderId="25" xfId="0" applyFont="1" applyFill="1" applyBorder="1" applyAlignment="1">
      <alignment horizontal="center" vertical="center"/>
    </xf>
    <xf numFmtId="0" fontId="5" fillId="5" borderId="26" xfId="0" applyFont="1" applyFill="1" applyBorder="1" applyAlignment="1">
      <alignment horizontal="center" vertical="center"/>
    </xf>
    <xf numFmtId="0" fontId="5" fillId="5" borderId="27" xfId="0" applyFont="1" applyFill="1" applyBorder="1" applyAlignment="1">
      <alignment horizontal="center" vertical="center"/>
    </xf>
    <xf numFmtId="0" fontId="5" fillId="5" borderId="25" xfId="0" applyFont="1" applyFill="1" applyBorder="1" applyAlignment="1">
      <alignment horizontal="left" vertical="center"/>
    </xf>
    <xf numFmtId="0" fontId="5" fillId="5" borderId="26" xfId="0" applyFont="1" applyFill="1" applyBorder="1" applyAlignment="1">
      <alignment horizontal="left" vertical="center"/>
    </xf>
    <xf numFmtId="0" fontId="5" fillId="5" borderId="27" xfId="0" applyFont="1" applyFill="1" applyBorder="1" applyAlignment="1">
      <alignment horizontal="left" vertical="center"/>
    </xf>
    <xf numFmtId="0" fontId="3" fillId="0" borderId="25" xfId="0" quotePrefix="1" applyFont="1" applyBorder="1" applyAlignment="1">
      <alignment horizontal="left" vertical="center" wrapText="1"/>
    </xf>
    <xf numFmtId="0" fontId="3" fillId="0" borderId="25" xfId="0" quotePrefix="1" applyFont="1" applyBorder="1" applyAlignment="1">
      <alignment horizontal="left" vertical="center"/>
    </xf>
    <xf numFmtId="0" fontId="13" fillId="4" borderId="0" xfId="0" applyFont="1" applyFill="1" applyAlignment="1">
      <alignment vertical="center"/>
    </xf>
    <xf numFmtId="0" fontId="12" fillId="4" borderId="21" xfId="0" applyFont="1" applyFill="1" applyBorder="1" applyAlignment="1">
      <alignment vertical="center"/>
    </xf>
    <xf numFmtId="0" fontId="12" fillId="4" borderId="22" xfId="0" applyFont="1" applyFill="1" applyBorder="1" applyAlignment="1">
      <alignment vertical="center"/>
    </xf>
    <xf numFmtId="0" fontId="16" fillId="0" borderId="19" xfId="0" applyFont="1" applyBorder="1"/>
    <xf numFmtId="0" fontId="16" fillId="0" borderId="20" xfId="0" applyFont="1" applyBorder="1"/>
    <xf numFmtId="0" fontId="19" fillId="3" borderId="25" xfId="10" applyFont="1" applyBorder="1" applyAlignment="1">
      <alignment horizontal="center" vertical="center"/>
    </xf>
    <xf numFmtId="0" fontId="19" fillId="3" borderId="27" xfId="10" applyFont="1" applyBorder="1" applyAlignment="1">
      <alignment horizontal="center" vertical="center"/>
    </xf>
    <xf numFmtId="0" fontId="19" fillId="3" borderId="26" xfId="10" applyFont="1" applyBorder="1" applyAlignment="1">
      <alignment horizontal="center" vertical="center"/>
    </xf>
    <xf numFmtId="0" fontId="16" fillId="0" borderId="25" xfId="0" applyFont="1" applyBorder="1" applyAlignment="1">
      <alignment horizontal="left" vertical="center" indent="1"/>
    </xf>
    <xf numFmtId="0" fontId="16" fillId="0" borderId="26" xfId="0" applyFont="1" applyBorder="1" applyAlignment="1">
      <alignment horizontal="left" vertical="center" indent="1"/>
    </xf>
    <xf numFmtId="0" fontId="16" fillId="0" borderId="27" xfId="0" applyFont="1" applyBorder="1" applyAlignment="1">
      <alignment horizontal="left" vertical="center" indent="1"/>
    </xf>
    <xf numFmtId="0" fontId="16" fillId="0" borderId="34" xfId="0" applyFont="1" applyBorder="1" applyAlignment="1">
      <alignment horizontal="left" vertical="center" indent="1"/>
    </xf>
    <xf numFmtId="0" fontId="16" fillId="0" borderId="25" xfId="0" applyFont="1" applyBorder="1" applyAlignment="1">
      <alignment horizontal="left"/>
    </xf>
    <xf numFmtId="0" fontId="16" fillId="0" borderId="26" xfId="0" applyFont="1" applyBorder="1" applyAlignment="1">
      <alignment horizontal="left"/>
    </xf>
    <xf numFmtId="0" fontId="16" fillId="0" borderId="27" xfId="0" applyFont="1" applyBorder="1" applyAlignment="1">
      <alignment horizontal="left"/>
    </xf>
    <xf numFmtId="0" fontId="16" fillId="0" borderId="34" xfId="0" applyFont="1" applyBorder="1" applyAlignment="1">
      <alignment horizontal="left" vertical="center" wrapText="1" indent="1"/>
    </xf>
    <xf numFmtId="0" fontId="16" fillId="0" borderId="25" xfId="0" applyFont="1" applyBorder="1" applyAlignment="1">
      <alignment horizontal="left" vertical="center" wrapText="1" indent="1"/>
    </xf>
    <xf numFmtId="0" fontId="16" fillId="0" borderId="26" xfId="0" applyFont="1" applyBorder="1" applyAlignment="1">
      <alignment horizontal="left" vertical="center" wrapText="1" indent="1"/>
    </xf>
    <xf numFmtId="0" fontId="16" fillId="0" borderId="27" xfId="0" applyFont="1" applyBorder="1" applyAlignment="1">
      <alignment horizontal="left" vertical="center" wrapText="1" indent="1"/>
    </xf>
    <xf numFmtId="0" fontId="16" fillId="0" borderId="26" xfId="0" applyFont="1" applyBorder="1" applyAlignment="1">
      <alignment horizontal="left" wrapText="1"/>
    </xf>
    <xf numFmtId="0" fontId="16" fillId="0" borderId="27" xfId="0" applyFont="1" applyBorder="1" applyAlignment="1">
      <alignment horizontal="left" wrapText="1"/>
    </xf>
    <xf numFmtId="0" fontId="16" fillId="0" borderId="0" xfId="0" quotePrefix="1" applyFont="1"/>
    <xf numFmtId="0" fontId="3" fillId="2" borderId="3" xfId="9" applyFont="1" applyBorder="1" applyAlignment="1">
      <alignment horizontal="left"/>
    </xf>
    <xf numFmtId="0" fontId="16" fillId="0" borderId="25" xfId="0" applyFont="1" applyBorder="1" applyAlignment="1">
      <alignment horizontal="left" vertical="center"/>
    </xf>
    <xf numFmtId="0" fontId="16" fillId="0" borderId="26" xfId="0" applyFont="1" applyBorder="1" applyAlignment="1">
      <alignment horizontal="left" vertical="center"/>
    </xf>
    <xf numFmtId="0" fontId="16" fillId="0" borderId="27" xfId="0" applyFont="1" applyBorder="1" applyAlignment="1">
      <alignment horizontal="left" vertical="center"/>
    </xf>
    <xf numFmtId="0" fontId="16" fillId="0" borderId="0" xfId="0" applyFont="1" applyAlignment="1">
      <alignment horizontal="left" vertical="center"/>
    </xf>
    <xf numFmtId="0" fontId="16" fillId="0" borderId="23" xfId="0" applyFont="1" applyBorder="1"/>
    <xf numFmtId="0" fontId="16" fillId="0" borderId="24" xfId="0" applyFont="1" applyBorder="1"/>
    <xf numFmtId="0" fontId="20" fillId="3" borderId="25" xfId="10" applyFont="1" applyBorder="1" applyAlignment="1">
      <alignment horizontal="center" vertical="center"/>
    </xf>
    <xf numFmtId="0" fontId="4" fillId="0" borderId="25" xfId="0" applyFont="1" applyBorder="1" applyAlignment="1">
      <alignment horizontal="left" wrapText="1"/>
    </xf>
    <xf numFmtId="0" fontId="16" fillId="0" borderId="0" xfId="0" quotePrefix="1" applyFont="1" applyAlignment="1">
      <alignment vertical="center"/>
    </xf>
    <xf numFmtId="0" fontId="3" fillId="0" borderId="0" xfId="0" quotePrefix="1" applyFont="1"/>
    <xf numFmtId="0" fontId="3" fillId="0" borderId="0" xfId="0" applyFont="1"/>
    <xf numFmtId="0" fontId="3" fillId="0" borderId="19" xfId="0" applyFont="1" applyBorder="1"/>
    <xf numFmtId="0" fontId="3" fillId="0" borderId="0" xfId="0" quotePrefix="1" applyFont="1" applyAlignment="1">
      <alignment horizontal="left" vertical="center" wrapText="1"/>
    </xf>
    <xf numFmtId="0" fontId="5" fillId="0" borderId="0" xfId="0" applyFont="1"/>
    <xf numFmtId="0" fontId="5" fillId="0" borderId="0" xfId="0" applyFont="1" applyAlignment="1">
      <alignment vertical="center"/>
    </xf>
    <xf numFmtId="0" fontId="3" fillId="0" borderId="0" xfId="0" applyFont="1" applyAlignment="1">
      <alignment vertical="center"/>
    </xf>
    <xf numFmtId="0" fontId="3" fillId="0" borderId="0" xfId="0" quotePrefix="1" applyFont="1" applyAlignment="1">
      <alignment vertical="center"/>
    </xf>
  </cellXfs>
  <cellStyles count="11">
    <cellStyle name="60% - Accent1" xfId="9" xr:uid="{00000000-0005-0000-0000-000009000000}"/>
    <cellStyle name="Accent5" xfId="10" xr:uid="{00000000-0005-0000-0000-00000A00000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処理方法・方式の説明</a:t>
          </a:r>
          <a:endParaRPr lang="ja-JP" altLang="en-US" sz="1100" b="0" i="0" u="none" baseline="0">
            <a:solidFill>
              <a:srgbClr val="000000"/>
            </a:solidFill>
            <a:latin typeface="Meiryo UI"/>
            <a:ea typeface="Meiryo UI"/>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API処理フロー開始</a:t>
          </a:r>
          <a:endParaRPr lang="ja-JP" altLang="en-US" sz="1100" b="0" i="0" u="none" baseline="0">
            <a:solidFill>
              <a:srgbClr val="000000"/>
            </a:solidFill>
            <a:latin typeface="Meiryo UI"/>
            <a:ea typeface="Meiryo UI"/>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API処理フロー終了</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印刷帳票書類作成</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分岐ロジック</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システム規定のフォーマットに従ってログを記録する。</a:t>
          </a:r>
          <a:endParaRPr lang="ja-JP" altLang="en-US" sz="1100" b="0" i="0" u="none" baseline="0">
            <a:solidFill>
              <a:srgbClr val="000000"/>
            </a:solidFill>
            <a:latin typeface="Meiryo UI"/>
            <a:ea typeface="Meiryo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11207</xdr:colOff>
      <xdr:row>21</xdr:row>
      <xdr:rowOff>0</xdr:rowOff>
    </xdr:from>
    <xdr:to>
      <xdr:col>14</xdr:col>
      <xdr:colOff>11207</xdr:colOff>
      <xdr:row>22</xdr:row>
      <xdr:rowOff>179294</xdr:rowOff>
    </xdr:to>
    <xdr:sp macro="" textlink="" fLocksText="0">
      <xdr:nvSpPr>
        <xdr:cNvPr id="2" name="Oval 1">
          <a:extLst>
            <a:ext uri="{FF2B5EF4-FFF2-40B4-BE49-F238E27FC236}">
              <a16:creationId xmlns:a16="http://schemas.microsoft.com/office/drawing/2014/main" id="{00000000-0008-0000-0500-000002000000}"/>
            </a:ext>
          </a:extLst>
        </xdr:cNvPr>
        <xdr:cNvSpPr/>
      </xdr:nvSpPr>
      <xdr:spPr>
        <a:xfrm>
          <a:off x="2676525" y="41148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10</xdr:col>
      <xdr:colOff>11207</xdr:colOff>
      <xdr:row>65</xdr:row>
      <xdr:rowOff>0</xdr:rowOff>
    </xdr:from>
    <xdr:to>
      <xdr:col>14</xdr:col>
      <xdr:colOff>11207</xdr:colOff>
      <xdr:row>66</xdr:row>
      <xdr:rowOff>179294</xdr:rowOff>
    </xdr:to>
    <xdr:sp macro="" textlink="" fLocksText="0">
      <xdr:nvSpPr>
        <xdr:cNvPr id="3" name="Oval 2">
          <a:extLst>
            <a:ext uri="{FF2B5EF4-FFF2-40B4-BE49-F238E27FC236}">
              <a16:creationId xmlns:a16="http://schemas.microsoft.com/office/drawing/2014/main" id="{00000000-0008-0000-0500-000003000000}"/>
            </a:ext>
          </a:extLst>
        </xdr:cNvPr>
        <xdr:cNvSpPr/>
      </xdr:nvSpPr>
      <xdr:spPr>
        <a:xfrm>
          <a:off x="2676525" y="12563475"/>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41</xdr:col>
      <xdr:colOff>235320</xdr:colOff>
      <xdr:row>25</xdr:row>
      <xdr:rowOff>0</xdr:rowOff>
    </xdr:from>
    <xdr:to>
      <xdr:col>60</xdr:col>
      <xdr:colOff>235322</xdr:colOff>
      <xdr:row>27</xdr:row>
      <xdr:rowOff>0</xdr:rowOff>
    </xdr:to>
    <xdr:sp macro="" textlink="" fLocksText="0">
      <xdr:nvSpPr>
        <xdr:cNvPr id="4" name="吹き出し: 線 10">
          <a:extLst>
            <a:ext uri="{FF2B5EF4-FFF2-40B4-BE49-F238E27FC236}">
              <a16:creationId xmlns:a16="http://schemas.microsoft.com/office/drawing/2014/main" id="{00000000-0008-0000-0500-000004000000}"/>
            </a:ext>
          </a:extLst>
        </xdr:cNvPr>
        <xdr:cNvSpPr/>
      </xdr:nvSpPr>
      <xdr:spPr>
        <a:xfrm>
          <a:off x="11172825" y="4876800"/>
          <a:ext cx="5067300" cy="381000"/>
        </a:xfrm>
        <a:prstGeom prst="borderCallout1">
          <a:avLst>
            <a:gd name="adj1" fmla="val 75416"/>
            <a:gd name="adj2" fmla="val -565"/>
            <a:gd name="adj3" fmla="val 101617"/>
            <a:gd name="adj4" fmla="val -14390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1. 40_API設計_目次.xlsxの説明に基づいて確認する。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9</xdr:col>
      <xdr:colOff>11205</xdr:colOff>
      <xdr:row>25</xdr:row>
      <xdr:rowOff>0</xdr:rowOff>
    </xdr:from>
    <xdr:to>
      <xdr:col>15</xdr:col>
      <xdr:colOff>11206</xdr:colOff>
      <xdr:row>29</xdr:row>
      <xdr:rowOff>0</xdr:rowOff>
    </xdr:to>
    <xdr:sp macro="" textlink="" fLocksText="0">
      <xdr:nvSpPr>
        <xdr:cNvPr id="5" name="Rectangle 4">
          <a:extLst>
            <a:ext uri="{FF2B5EF4-FFF2-40B4-BE49-F238E27FC236}">
              <a16:creationId xmlns:a16="http://schemas.microsoft.com/office/drawing/2014/main" id="{00000000-0008-0000-0500-000005000000}"/>
            </a:ext>
          </a:extLst>
        </xdr:cNvPr>
        <xdr:cNvSpPr/>
      </xdr:nvSpPr>
      <xdr:spPr>
        <a:xfrm>
          <a:off x="2409825" y="48768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panose="020B0604030504040204" pitchFamily="34" charset="-128"/>
              <a:ea typeface="Meiryo UI" panose="020B0604030504040204" pitchFamily="34" charset="-128"/>
            </a:rPr>
            <a:t>1. ログインユーザーの権限を確認する</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12</xdr:col>
      <xdr:colOff>11206</xdr:colOff>
      <xdr:row>22</xdr:row>
      <xdr:rowOff>179294</xdr:rowOff>
    </xdr:from>
    <xdr:to>
      <xdr:col>12</xdr:col>
      <xdr:colOff>11207</xdr:colOff>
      <xdr:row>25</xdr:row>
      <xdr:rowOff>0</xdr:rowOff>
    </xdr:to>
    <xdr:cxnSp macro="">
      <xdr:nvCxnSpPr>
        <xdr:cNvPr id="11" name="Straight Arrow Connector 10">
          <a:extLst>
            <a:ext uri="{FF2B5EF4-FFF2-40B4-BE49-F238E27FC236}">
              <a16:creationId xmlns:a16="http://schemas.microsoft.com/office/drawing/2014/main" id="{00000000-0008-0000-0500-00000B000000}"/>
            </a:ext>
          </a:extLst>
        </xdr:cNvPr>
        <xdr:cNvCxnSpPr>
          <a:stCxn id="2" idx="4"/>
          <a:endCxn id="5" idx="0"/>
        </xdr:cNvCxnSpPr>
      </xdr:nvCxnSpPr>
      <xdr:spPr>
        <a:xfrm flipH="1">
          <a:off x="3209925" y="44862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11205</xdr:colOff>
      <xdr:row>40</xdr:row>
      <xdr:rowOff>0</xdr:rowOff>
    </xdr:from>
    <xdr:to>
      <xdr:col>15</xdr:col>
      <xdr:colOff>11206</xdr:colOff>
      <xdr:row>44</xdr:row>
      <xdr:rowOff>0</xdr:rowOff>
    </xdr:to>
    <xdr:sp macro="" textlink="" fLocksText="0">
      <xdr:nvSpPr>
        <xdr:cNvPr id="12" name="Rectangle 11">
          <a:extLst>
            <a:ext uri="{FF2B5EF4-FFF2-40B4-BE49-F238E27FC236}">
              <a16:creationId xmlns:a16="http://schemas.microsoft.com/office/drawing/2014/main" id="{00000000-0008-0000-0500-00000C000000}"/>
            </a:ext>
          </a:extLst>
        </xdr:cNvPr>
        <xdr:cNvSpPr/>
      </xdr:nvSpPr>
      <xdr:spPr>
        <a:xfrm>
          <a:off x="2409825" y="7734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000" b="0" i="0" u="none" baseline="0">
              <a:solidFill>
                <a:srgbClr val="000000"/>
              </a:solidFill>
              <a:latin typeface="Meiryo UI" panose="020B0604030504040204" pitchFamily="34" charset="-128"/>
              <a:ea typeface="Meiryo UI" panose="020B0604030504040204" pitchFamily="34" charset="-128"/>
            </a:rPr>
            <a:t>3.対象店舗に対する操作権限を確認する</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9</xdr:col>
      <xdr:colOff>11206</xdr:colOff>
      <xdr:row>31</xdr:row>
      <xdr:rowOff>0</xdr:rowOff>
    </xdr:from>
    <xdr:to>
      <xdr:col>15</xdr:col>
      <xdr:colOff>11206</xdr:colOff>
      <xdr:row>35</xdr:row>
      <xdr:rowOff>179294</xdr:rowOff>
    </xdr:to>
    <xdr:sp macro="" textlink="" fLocksText="0">
      <xdr:nvSpPr>
        <xdr:cNvPr id="13" name="Flowchart: Decision 12">
          <a:extLst>
            <a:ext uri="{FF2B5EF4-FFF2-40B4-BE49-F238E27FC236}">
              <a16:creationId xmlns:a16="http://schemas.microsoft.com/office/drawing/2014/main" id="{00000000-0008-0000-0500-00000D000000}"/>
            </a:ext>
          </a:extLst>
        </xdr:cNvPr>
        <xdr:cNvSpPr/>
      </xdr:nvSpPr>
      <xdr:spPr>
        <a:xfrm>
          <a:off x="2409825" y="6019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overflow" horzOverflow="overflow" anchor="ctr"/>
        <a:lstStyle/>
        <a:p>
          <a:pPr algn="ctr"/>
          <a:r>
            <a:rPr lang="en-US" sz="900" b="0" i="0" u="none" baseline="0">
              <a:solidFill>
                <a:srgbClr val="FFFFFF"/>
              </a:solidFill>
              <a:latin typeface="Meiryo UI" panose="020B0604030504040204" pitchFamily="34" charset="-128"/>
              <a:ea typeface="Meiryo UI" panose="020B0604030504040204" pitchFamily="34" charset="-128"/>
            </a:rPr>
            <a:t>2. APIを実行する権限があるか</a:t>
          </a:r>
          <a:endParaRPr lang="en-US" sz="900">
            <a:latin typeface="Meiryo UI" panose="020B0604030504040204" pitchFamily="34" charset="-128"/>
            <a:ea typeface="Meiryo UI" panose="020B0604030504040204" pitchFamily="34" charset="-128"/>
          </a:endParaRPr>
        </a:p>
      </xdr:txBody>
    </xdr:sp>
    <xdr:clientData/>
  </xdr:twoCellAnchor>
  <xdr:twoCellAnchor>
    <xdr:from>
      <xdr:col>11</xdr:col>
      <xdr:colOff>11206</xdr:colOff>
      <xdr:row>36</xdr:row>
      <xdr:rowOff>0</xdr:rowOff>
    </xdr:from>
    <xdr:to>
      <xdr:col>13</xdr:col>
      <xdr:colOff>11206</xdr:colOff>
      <xdr:row>37</xdr:row>
      <xdr:rowOff>0</xdr:rowOff>
    </xdr:to>
    <xdr:sp macro="" textlink="" fLocksText="0">
      <xdr:nvSpPr>
        <xdr:cNvPr id="14" name="Flowchart: Process 13">
          <a:extLst>
            <a:ext uri="{FF2B5EF4-FFF2-40B4-BE49-F238E27FC236}">
              <a16:creationId xmlns:a16="http://schemas.microsoft.com/office/drawing/2014/main" id="{00000000-0008-0000-0500-00000E000000}"/>
            </a:ext>
          </a:extLst>
        </xdr:cNvPr>
        <xdr:cNvSpPr/>
      </xdr:nvSpPr>
      <xdr:spPr>
        <a:xfrm>
          <a:off x="2943225" y="6972300"/>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14</xdr:col>
      <xdr:colOff>224118</xdr:colOff>
      <xdr:row>33</xdr:row>
      <xdr:rowOff>0</xdr:rowOff>
    </xdr:from>
    <xdr:to>
      <xdr:col>16</xdr:col>
      <xdr:colOff>224118</xdr:colOff>
      <xdr:row>34</xdr:row>
      <xdr:rowOff>0</xdr:rowOff>
    </xdr:to>
    <xdr:sp macro="" textlink="" fLocksText="0">
      <xdr:nvSpPr>
        <xdr:cNvPr id="15" name="Flowchart: Process 14">
          <a:extLst>
            <a:ext uri="{FF2B5EF4-FFF2-40B4-BE49-F238E27FC236}">
              <a16:creationId xmlns:a16="http://schemas.microsoft.com/office/drawing/2014/main" id="{00000000-0008-0000-0500-00000F000000}"/>
            </a:ext>
          </a:extLst>
        </xdr:cNvPr>
        <xdr:cNvSpPr/>
      </xdr:nvSpPr>
      <xdr:spPr>
        <a:xfrm>
          <a:off x="3962400" y="6400800"/>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12</xdr:col>
      <xdr:colOff>11206</xdr:colOff>
      <xdr:row>29</xdr:row>
      <xdr:rowOff>0</xdr:rowOff>
    </xdr:from>
    <xdr:to>
      <xdr:col>12</xdr:col>
      <xdr:colOff>11207</xdr:colOff>
      <xdr:row>31</xdr:row>
      <xdr:rowOff>0</xdr:rowOff>
    </xdr:to>
    <xdr:cxnSp macro="">
      <xdr:nvCxnSpPr>
        <xdr:cNvPr id="16" name="Straight Arrow Connector 15">
          <a:extLst>
            <a:ext uri="{FF2B5EF4-FFF2-40B4-BE49-F238E27FC236}">
              <a16:creationId xmlns:a16="http://schemas.microsoft.com/office/drawing/2014/main" id="{00000000-0008-0000-0500-000010000000}"/>
            </a:ext>
          </a:extLst>
        </xdr:cNvPr>
        <xdr:cNvCxnSpPr>
          <a:stCxn id="5" idx="2"/>
          <a:endCxn id="13" idx="0"/>
        </xdr:cNvCxnSpPr>
      </xdr:nvCxnSpPr>
      <xdr:spPr>
        <a:xfrm>
          <a:off x="3209925" y="5638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11206</xdr:colOff>
      <xdr:row>37</xdr:row>
      <xdr:rowOff>0</xdr:rowOff>
    </xdr:from>
    <xdr:to>
      <xdr:col>12</xdr:col>
      <xdr:colOff>11207</xdr:colOff>
      <xdr:row>40</xdr:row>
      <xdr:rowOff>0</xdr:rowOff>
    </xdr:to>
    <xdr:cxnSp macro="">
      <xdr:nvCxnSpPr>
        <xdr:cNvPr id="19" name="Straight Arrow Connector 18">
          <a:extLst>
            <a:ext uri="{FF2B5EF4-FFF2-40B4-BE49-F238E27FC236}">
              <a16:creationId xmlns:a16="http://schemas.microsoft.com/office/drawing/2014/main" id="{00000000-0008-0000-0500-000013000000}"/>
            </a:ext>
          </a:extLst>
        </xdr:cNvPr>
        <xdr:cNvCxnSpPr>
          <a:stCxn id="14" idx="2"/>
          <a:endCxn id="12" idx="0"/>
        </xdr:cNvCxnSpPr>
      </xdr:nvCxnSpPr>
      <xdr:spPr>
        <a:xfrm flipH="1">
          <a:off x="3209925" y="7162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11206</xdr:colOff>
      <xdr:row>47</xdr:row>
      <xdr:rowOff>0</xdr:rowOff>
    </xdr:from>
    <xdr:to>
      <xdr:col>15</xdr:col>
      <xdr:colOff>11206</xdr:colOff>
      <xdr:row>51</xdr:row>
      <xdr:rowOff>179294</xdr:rowOff>
    </xdr:to>
    <xdr:sp macro="" textlink="" fLocksText="0">
      <xdr:nvSpPr>
        <xdr:cNvPr id="23" name="Flowchart: Decision 22">
          <a:extLst>
            <a:ext uri="{FF2B5EF4-FFF2-40B4-BE49-F238E27FC236}">
              <a16:creationId xmlns:a16="http://schemas.microsoft.com/office/drawing/2014/main" id="{00000000-0008-0000-0500-000017000000}"/>
            </a:ext>
          </a:extLst>
        </xdr:cNvPr>
        <xdr:cNvSpPr/>
      </xdr:nvSpPr>
      <xdr:spPr>
        <a:xfrm>
          <a:off x="2409825" y="9067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overflow" horzOverflow="overflow" anchor="ctr"/>
        <a:lstStyle/>
        <a:p>
          <a:pPr algn="ctr"/>
          <a:r>
            <a:rPr lang="en-US" sz="900" b="0" i="0" u="none" baseline="0">
              <a:solidFill>
                <a:srgbClr val="FFFFFF"/>
              </a:solidFill>
              <a:latin typeface="Meiryo UI" panose="020B0604030504040204" pitchFamily="34" charset="-128"/>
              <a:ea typeface="Meiryo UI" panose="020B0604030504040204" pitchFamily="34" charset="-128"/>
            </a:rPr>
            <a:t>4. 店舗に対する権限があるか</a:t>
          </a:r>
          <a:endParaRPr lang="en-US" sz="900">
            <a:latin typeface="Meiryo UI" panose="020B0604030504040204" pitchFamily="34" charset="-128"/>
            <a:ea typeface="Meiryo UI" panose="020B0604030504040204" pitchFamily="34" charset="-128"/>
          </a:endParaRPr>
        </a:p>
      </xdr:txBody>
    </xdr:sp>
    <xdr:clientData/>
  </xdr:twoCellAnchor>
  <xdr:twoCellAnchor>
    <xdr:from>
      <xdr:col>11</xdr:col>
      <xdr:colOff>11206</xdr:colOff>
      <xdr:row>52</xdr:row>
      <xdr:rowOff>0</xdr:rowOff>
    </xdr:from>
    <xdr:to>
      <xdr:col>13</xdr:col>
      <xdr:colOff>11206</xdr:colOff>
      <xdr:row>53</xdr:row>
      <xdr:rowOff>0</xdr:rowOff>
    </xdr:to>
    <xdr:sp macro="" textlink="" fLocksText="0">
      <xdr:nvSpPr>
        <xdr:cNvPr id="24" name="Flowchart: Process 23">
          <a:extLst>
            <a:ext uri="{FF2B5EF4-FFF2-40B4-BE49-F238E27FC236}">
              <a16:creationId xmlns:a16="http://schemas.microsoft.com/office/drawing/2014/main" id="{00000000-0008-0000-0500-000018000000}"/>
            </a:ext>
          </a:extLst>
        </xdr:cNvPr>
        <xdr:cNvSpPr/>
      </xdr:nvSpPr>
      <xdr:spPr>
        <a:xfrm>
          <a:off x="2943225" y="10020300"/>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15</xdr:col>
      <xdr:colOff>0</xdr:colOff>
      <xdr:row>49</xdr:row>
      <xdr:rowOff>0</xdr:rowOff>
    </xdr:from>
    <xdr:to>
      <xdr:col>17</xdr:col>
      <xdr:colOff>0</xdr:colOff>
      <xdr:row>50</xdr:row>
      <xdr:rowOff>0</xdr:rowOff>
    </xdr:to>
    <xdr:sp macro="" textlink="" fLocksText="0">
      <xdr:nvSpPr>
        <xdr:cNvPr id="25" name="Flowchart: Process 24">
          <a:extLst>
            <a:ext uri="{FF2B5EF4-FFF2-40B4-BE49-F238E27FC236}">
              <a16:creationId xmlns:a16="http://schemas.microsoft.com/office/drawing/2014/main" id="{00000000-0008-0000-0500-000019000000}"/>
            </a:ext>
          </a:extLst>
        </xdr:cNvPr>
        <xdr:cNvSpPr/>
      </xdr:nvSpPr>
      <xdr:spPr>
        <a:xfrm>
          <a:off x="4000500" y="9448800"/>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12</xdr:col>
      <xdr:colOff>11206</xdr:colOff>
      <xdr:row>44</xdr:row>
      <xdr:rowOff>0</xdr:rowOff>
    </xdr:from>
    <xdr:to>
      <xdr:col>12</xdr:col>
      <xdr:colOff>11207</xdr:colOff>
      <xdr:row>47</xdr:row>
      <xdr:rowOff>0</xdr:rowOff>
    </xdr:to>
    <xdr:cxnSp macro="">
      <xdr:nvCxnSpPr>
        <xdr:cNvPr id="26" name="Straight Arrow Connector 25">
          <a:extLst>
            <a:ext uri="{FF2B5EF4-FFF2-40B4-BE49-F238E27FC236}">
              <a16:creationId xmlns:a16="http://schemas.microsoft.com/office/drawing/2014/main" id="{00000000-0008-0000-0500-00001A000000}"/>
            </a:ext>
          </a:extLst>
        </xdr:cNvPr>
        <xdr:cNvCxnSpPr>
          <a:stCxn id="12" idx="2"/>
          <a:endCxn id="23" idx="0"/>
        </xdr:cNvCxnSpPr>
      </xdr:nvCxnSpPr>
      <xdr:spPr>
        <a:xfrm>
          <a:off x="3209925" y="8496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11207</xdr:colOff>
      <xdr:row>53</xdr:row>
      <xdr:rowOff>0</xdr:rowOff>
    </xdr:from>
    <xdr:to>
      <xdr:col>12</xdr:col>
      <xdr:colOff>11207</xdr:colOff>
      <xdr:row>56</xdr:row>
      <xdr:rowOff>0</xdr:rowOff>
    </xdr:to>
    <xdr:cxnSp macro="">
      <xdr:nvCxnSpPr>
        <xdr:cNvPr id="29" name="Straight Arrow Connector 28">
          <a:extLst>
            <a:ext uri="{FF2B5EF4-FFF2-40B4-BE49-F238E27FC236}">
              <a16:creationId xmlns:a16="http://schemas.microsoft.com/office/drawing/2014/main" id="{00000000-0008-0000-0500-00001D000000}"/>
            </a:ext>
          </a:extLst>
        </xdr:cNvPr>
        <xdr:cNvCxnSpPr>
          <a:stCxn id="24" idx="2"/>
          <a:endCxn id="32" idx="0"/>
        </xdr:cNvCxnSpPr>
      </xdr:nvCxnSpPr>
      <xdr:spPr>
        <a:xfrm>
          <a:off x="3209925" y="10210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11206</xdr:colOff>
      <xdr:row>56</xdr:row>
      <xdr:rowOff>0</xdr:rowOff>
    </xdr:from>
    <xdr:to>
      <xdr:col>15</xdr:col>
      <xdr:colOff>11206</xdr:colOff>
      <xdr:row>60</xdr:row>
      <xdr:rowOff>0</xdr:rowOff>
    </xdr:to>
    <xdr:sp macro="" textlink="" fLocksText="0">
      <xdr:nvSpPr>
        <xdr:cNvPr id="32" name="Rectangle 31">
          <a:extLst>
            <a:ext uri="{FF2B5EF4-FFF2-40B4-BE49-F238E27FC236}">
              <a16:creationId xmlns:a16="http://schemas.microsoft.com/office/drawing/2014/main" id="{00000000-0008-0000-0500-000020000000}"/>
            </a:ext>
          </a:extLst>
        </xdr:cNvPr>
        <xdr:cNvSpPr/>
      </xdr:nvSpPr>
      <xdr:spPr>
        <a:xfrm>
          <a:off x="2409825" y="10782300"/>
          <a:ext cx="1600200" cy="78105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000" b="0" i="0" u="none" baseline="0">
              <a:solidFill>
                <a:srgbClr val="000000"/>
              </a:solidFill>
              <a:latin typeface="Meiryo UI" panose="020B0604030504040204" pitchFamily="34" charset="-128"/>
              <a:ea typeface="Meiryo UI" panose="020B0604030504040204" pitchFamily="34" charset="-128"/>
            </a:rPr>
            <a:t>5.API実行</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42</xdr:col>
      <xdr:colOff>0</xdr:colOff>
      <xdr:row>40</xdr:row>
      <xdr:rowOff>0</xdr:rowOff>
    </xdr:from>
    <xdr:to>
      <xdr:col>61</xdr:col>
      <xdr:colOff>2</xdr:colOff>
      <xdr:row>44</xdr:row>
      <xdr:rowOff>0</xdr:rowOff>
    </xdr:to>
    <xdr:sp macro="" textlink="" fLocksText="0">
      <xdr:nvSpPr>
        <xdr:cNvPr id="36" name="吹き出し: 線 10">
          <a:extLst>
            <a:ext uri="{FF2B5EF4-FFF2-40B4-BE49-F238E27FC236}">
              <a16:creationId xmlns:a16="http://schemas.microsoft.com/office/drawing/2014/main" id="{00000000-0008-0000-0500-000024000000}"/>
            </a:ext>
          </a:extLst>
        </xdr:cNvPr>
        <xdr:cNvSpPr/>
      </xdr:nvSpPr>
      <xdr:spPr>
        <a:xfrm>
          <a:off x="11201400" y="7734300"/>
          <a:ext cx="5067300" cy="762000"/>
        </a:xfrm>
        <a:prstGeom prst="borderCallout1">
          <a:avLst>
            <a:gd name="adj1" fmla="val 75416"/>
            <a:gd name="adj2" fmla="val -565"/>
            <a:gd name="adj3" fmla="val 51617"/>
            <a:gd name="adj4" fmla="val -14566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3. 次の条件を満たすUsersテーブルからユーザーが操作権限を持つ店舗の情報を取得する。</a:t>
          </a: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WHERE UserStore.UserId = current_user.Id</a:t>
          </a:r>
        </a:p>
      </xdr:txBody>
    </xdr:sp>
    <xdr:clientData/>
  </xdr:twoCellAnchor>
  <xdr:twoCellAnchor>
    <xdr:from>
      <xdr:col>12</xdr:col>
      <xdr:colOff>11207</xdr:colOff>
      <xdr:row>60</xdr:row>
      <xdr:rowOff>0</xdr:rowOff>
    </xdr:from>
    <xdr:to>
      <xdr:col>12</xdr:col>
      <xdr:colOff>11207</xdr:colOff>
      <xdr:row>65</xdr:row>
      <xdr:rowOff>0</xdr:rowOff>
    </xdr:to>
    <xdr:cxnSp macro="">
      <xdr:nvCxnSpPr>
        <xdr:cNvPr id="37" name="Straight Arrow Connector 36">
          <a:extLst>
            <a:ext uri="{FF2B5EF4-FFF2-40B4-BE49-F238E27FC236}">
              <a16:creationId xmlns:a16="http://schemas.microsoft.com/office/drawing/2014/main" id="{00000000-0008-0000-0500-000025000000}"/>
            </a:ext>
          </a:extLst>
        </xdr:cNvPr>
        <xdr:cNvCxnSpPr>
          <a:stCxn id="32" idx="2"/>
          <a:endCxn id="3" idx="0"/>
        </xdr:cNvCxnSpPr>
      </xdr:nvCxnSpPr>
      <xdr:spPr>
        <a:xfrm>
          <a:off x="3209925" y="11563350"/>
          <a:ext cx="0" cy="10001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21</xdr:col>
      <xdr:colOff>0</xdr:colOff>
      <xdr:row>58</xdr:row>
      <xdr:rowOff>11206</xdr:rowOff>
    </xdr:from>
    <xdr:to>
      <xdr:col>23</xdr:col>
      <xdr:colOff>0</xdr:colOff>
      <xdr:row>59</xdr:row>
      <xdr:rowOff>0</xdr:rowOff>
    </xdr:to>
    <xdr:sp macro="" textlink="" fLocksText="0">
      <xdr:nvSpPr>
        <xdr:cNvPr id="42" name="Rectangle 41">
          <a:extLst>
            <a:ext uri="{FF2B5EF4-FFF2-40B4-BE49-F238E27FC236}">
              <a16:creationId xmlns:a16="http://schemas.microsoft.com/office/drawing/2014/main" id="{00000000-0008-0000-0500-00002A000000}"/>
            </a:ext>
          </a:extLst>
        </xdr:cNvPr>
        <xdr:cNvSpPr/>
      </xdr:nvSpPr>
      <xdr:spPr>
        <a:xfrm>
          <a:off x="5600700" y="11172825"/>
          <a:ext cx="533400" cy="190500"/>
        </a:xfrm>
        <a:prstGeom prst="rect">
          <a:avLst/>
        </a:prstGeom>
        <a:no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latin typeface="Meiryo UI" panose="020B0604030504040204" pitchFamily="34" charset="-128"/>
            <a:ea typeface="Meiryo UI" panose="020B0604030504040204" pitchFamily="34" charset="-128"/>
          </a:endParaRPr>
        </a:p>
      </xdr:txBody>
    </xdr:sp>
    <xdr:clientData/>
  </xdr:twoCellAnchor>
  <xdr:twoCellAnchor>
    <xdr:from>
      <xdr:col>16</xdr:col>
      <xdr:colOff>224118</xdr:colOff>
      <xdr:row>33</xdr:row>
      <xdr:rowOff>95250</xdr:rowOff>
    </xdr:from>
    <xdr:to>
      <xdr:col>22</xdr:col>
      <xdr:colOff>0</xdr:colOff>
      <xdr:row>58</xdr:row>
      <xdr:rowOff>11206</xdr:rowOff>
    </xdr:to>
    <xdr:cxnSp macro="">
      <xdr:nvCxnSpPr>
        <xdr:cNvPr id="44" name="Connector: Elbow 43">
          <a:extLst>
            <a:ext uri="{FF2B5EF4-FFF2-40B4-BE49-F238E27FC236}">
              <a16:creationId xmlns:a16="http://schemas.microsoft.com/office/drawing/2014/main" id="{00000000-0008-0000-0500-00002C000000}"/>
            </a:ext>
          </a:extLst>
        </xdr:cNvPr>
        <xdr:cNvCxnSpPr>
          <a:stCxn id="15" idx="3"/>
          <a:endCxn id="42" idx="0"/>
        </xdr:cNvCxnSpPr>
      </xdr:nvCxnSpPr>
      <xdr:spPr>
        <a:xfrm>
          <a:off x="4495800" y="6496050"/>
          <a:ext cx="1371600" cy="4676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11208</xdr:colOff>
      <xdr:row>59</xdr:row>
      <xdr:rowOff>0</xdr:rowOff>
    </xdr:from>
    <xdr:to>
      <xdr:col>22</xdr:col>
      <xdr:colOff>1</xdr:colOff>
      <xdr:row>65</xdr:row>
      <xdr:rowOff>0</xdr:rowOff>
    </xdr:to>
    <xdr:cxnSp macro="">
      <xdr:nvCxnSpPr>
        <xdr:cNvPr id="45" name="Connector: Elbow 44">
          <a:extLst>
            <a:ext uri="{FF2B5EF4-FFF2-40B4-BE49-F238E27FC236}">
              <a16:creationId xmlns:a16="http://schemas.microsoft.com/office/drawing/2014/main" id="{00000000-0008-0000-0500-00002D000000}"/>
            </a:ext>
          </a:extLst>
        </xdr:cNvPr>
        <xdr:cNvCxnSpPr>
          <a:stCxn id="42" idx="2"/>
          <a:endCxn id="3" idx="0"/>
        </xdr:cNvCxnSpPr>
      </xdr:nvCxnSpPr>
      <xdr:spPr>
        <a:xfrm rot="5400000">
          <a:off x="3209925" y="11363325"/>
          <a:ext cx="2657475" cy="12001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0</xdr:colOff>
      <xdr:row>49</xdr:row>
      <xdr:rowOff>95250</xdr:rowOff>
    </xdr:from>
    <xdr:to>
      <xdr:col>22</xdr:col>
      <xdr:colOff>0</xdr:colOff>
      <xdr:row>58</xdr:row>
      <xdr:rowOff>11206</xdr:rowOff>
    </xdr:to>
    <xdr:cxnSp macro="">
      <xdr:nvCxnSpPr>
        <xdr:cNvPr id="54" name="Connector: Elbow 53">
          <a:extLst>
            <a:ext uri="{FF2B5EF4-FFF2-40B4-BE49-F238E27FC236}">
              <a16:creationId xmlns:a16="http://schemas.microsoft.com/office/drawing/2014/main" id="{00000000-0008-0000-0500-000036000000}"/>
            </a:ext>
          </a:extLst>
        </xdr:cNvPr>
        <xdr:cNvCxnSpPr>
          <a:stCxn id="25" idx="3"/>
          <a:endCxn id="42" idx="0"/>
        </xdr:cNvCxnSpPr>
      </xdr:nvCxnSpPr>
      <xdr:spPr>
        <a:xfrm>
          <a:off x="4533900" y="9544050"/>
          <a:ext cx="1333500" cy="1628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42</xdr:col>
      <xdr:colOff>0</xdr:colOff>
      <xdr:row>32</xdr:row>
      <xdr:rowOff>0</xdr:rowOff>
    </xdr:from>
    <xdr:to>
      <xdr:col>61</xdr:col>
      <xdr:colOff>2</xdr:colOff>
      <xdr:row>38</xdr:row>
      <xdr:rowOff>0</xdr:rowOff>
    </xdr:to>
    <xdr:sp macro="" textlink="" fLocksText="0">
      <xdr:nvSpPr>
        <xdr:cNvPr id="57" name="吹き出し: 線 10">
          <a:extLst>
            <a:ext uri="{FF2B5EF4-FFF2-40B4-BE49-F238E27FC236}">
              <a16:creationId xmlns:a16="http://schemas.microsoft.com/office/drawing/2014/main" id="{00000000-0008-0000-0500-000039000000}"/>
            </a:ext>
          </a:extLst>
        </xdr:cNvPr>
        <xdr:cNvSpPr/>
      </xdr:nvSpPr>
      <xdr:spPr>
        <a:xfrm>
          <a:off x="11201400" y="6210300"/>
          <a:ext cx="5067300" cy="1143000"/>
        </a:xfrm>
        <a:prstGeom prst="borderCallout1">
          <a:avLst>
            <a:gd name="adj1" fmla="val 75416"/>
            <a:gd name="adj2" fmla="val -565"/>
            <a:gd name="adj3" fmla="val 27107"/>
            <a:gd name="adj4" fmla="val -14866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2. ユーザーがAPI実行権限を持っているかを確認する。</a:t>
          </a: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・権限がある場合、「3.対象店舗に対する操作権限を確認する」を実行する。</a:t>
          </a: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・権限がない場合：403エラー、エラーメッセージ = MSG_ERR_013を返す。</a:t>
          </a:r>
        </a:p>
      </xdr:txBody>
    </xdr:sp>
    <xdr:clientData/>
  </xdr:twoCellAnchor>
  <xdr:twoCellAnchor>
    <xdr:from>
      <xdr:col>42</xdr:col>
      <xdr:colOff>0</xdr:colOff>
      <xdr:row>47</xdr:row>
      <xdr:rowOff>0</xdr:rowOff>
    </xdr:from>
    <xdr:to>
      <xdr:col>61</xdr:col>
      <xdr:colOff>11208</xdr:colOff>
      <xdr:row>53</xdr:row>
      <xdr:rowOff>0</xdr:rowOff>
    </xdr:to>
    <xdr:sp macro="" textlink="" fLocksText="0">
      <xdr:nvSpPr>
        <xdr:cNvPr id="58" name="吹き出し: 線 10">
          <a:extLst>
            <a:ext uri="{FF2B5EF4-FFF2-40B4-BE49-F238E27FC236}">
              <a16:creationId xmlns:a16="http://schemas.microsoft.com/office/drawing/2014/main" id="{00000000-0008-0000-0500-00003A000000}"/>
            </a:ext>
          </a:extLst>
        </xdr:cNvPr>
        <xdr:cNvSpPr/>
      </xdr:nvSpPr>
      <xdr:spPr>
        <a:xfrm>
          <a:off x="11201400" y="9067800"/>
          <a:ext cx="5076825" cy="1143000"/>
        </a:xfrm>
        <a:prstGeom prst="borderCallout1">
          <a:avLst>
            <a:gd name="adj1" fmla="val 75416"/>
            <a:gd name="adj2" fmla="val -565"/>
            <a:gd name="adj3" fmla="val 41253"/>
            <a:gd name="adj4" fmla="val -14733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4. ユーザーが対象店舗に対する操作権限を持っているかを確認する。</a:t>
          </a: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・権限がある場合：ステップ4を実行する。API実行</a:t>
          </a: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・権限がない場合：403エラー、エラーメッセージ = MSG_ERR_013を返す。</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cols>
    <col min="1" max="60" width="2.77734375" style="17" customWidth="1"/>
    <col min="61" max="16384" width="2.77734375" style="17"/>
  </cols>
  <sheetData>
    <row r="1" spans="1:63" ht="24.95" customHeight="1">
      <c r="A1" s="55" t="s">
        <v>80</v>
      </c>
      <c r="B1" s="56"/>
      <c r="C1" s="56"/>
      <c r="D1" s="56"/>
      <c r="E1" s="56"/>
      <c r="F1" s="56"/>
      <c r="G1" s="56"/>
      <c r="H1" s="56"/>
      <c r="I1" s="56"/>
      <c r="J1" s="57"/>
      <c r="K1" s="55" t="s">
        <v>81</v>
      </c>
      <c r="L1" s="56"/>
      <c r="M1" s="56"/>
      <c r="N1" s="56"/>
      <c r="O1" s="56"/>
      <c r="P1" s="56"/>
      <c r="Q1" s="56"/>
      <c r="R1" s="56"/>
      <c r="S1" s="56"/>
      <c r="T1" s="56"/>
      <c r="U1" s="56"/>
      <c r="V1" s="57"/>
      <c r="W1" s="77" t="s">
        <v>82</v>
      </c>
      <c r="X1" s="78"/>
      <c r="Y1" s="78"/>
      <c r="Z1" s="78"/>
      <c r="AA1" s="78"/>
      <c r="AB1" s="78"/>
      <c r="AC1" s="78"/>
      <c r="AD1" s="78"/>
      <c r="AE1" s="78"/>
      <c r="AF1" s="78"/>
      <c r="AG1" s="78"/>
      <c r="AH1" s="78"/>
      <c r="AI1" s="78"/>
      <c r="AJ1" s="78"/>
      <c r="AK1" s="78"/>
      <c r="AL1" s="78"/>
      <c r="AM1" s="78"/>
      <c r="AN1" s="78"/>
      <c r="AO1" s="79"/>
      <c r="AP1" s="55" t="s">
        <v>83</v>
      </c>
      <c r="AQ1" s="56"/>
      <c r="AR1" s="56"/>
      <c r="AS1" s="57"/>
      <c r="AT1" s="55" t="s">
        <v>84</v>
      </c>
      <c r="AU1" s="56"/>
      <c r="AV1" s="56"/>
      <c r="AW1" s="56"/>
      <c r="AX1" s="57"/>
      <c r="AY1" s="55" t="s">
        <v>85</v>
      </c>
      <c r="AZ1" s="56"/>
      <c r="BA1" s="56"/>
      <c r="BB1" s="57"/>
      <c r="BC1" s="55" t="s">
        <v>86</v>
      </c>
      <c r="BD1" s="56"/>
      <c r="BE1" s="56"/>
      <c r="BF1" s="56"/>
      <c r="BG1" s="57"/>
      <c r="BH1" s="55" t="s">
        <v>87</v>
      </c>
      <c r="BI1" s="56"/>
      <c r="BJ1" s="56"/>
      <c r="BK1" s="57"/>
    </row>
    <row r="2" spans="1:63" ht="15" customHeight="1">
      <c r="A2" s="76" t="s">
        <v>88</v>
      </c>
      <c r="B2" s="41"/>
      <c r="C2" s="41"/>
      <c r="D2" s="41"/>
      <c r="E2" s="41"/>
      <c r="F2" s="41"/>
      <c r="G2" s="41"/>
      <c r="H2" s="41"/>
      <c r="I2" s="41"/>
      <c r="J2" s="42"/>
      <c r="K2" s="40" t="s">
        <v>1</v>
      </c>
      <c r="L2" s="41"/>
      <c r="M2" s="41"/>
      <c r="N2" s="41"/>
      <c r="O2" s="41"/>
      <c r="P2" s="41"/>
      <c r="Q2" s="41"/>
      <c r="R2" s="41"/>
      <c r="S2" s="41"/>
      <c r="T2" s="41"/>
      <c r="U2" s="41"/>
      <c r="V2" s="42"/>
      <c r="W2" s="80"/>
      <c r="X2" s="81"/>
      <c r="Y2" s="81"/>
      <c r="Z2" s="81"/>
      <c r="AA2" s="81"/>
      <c r="AB2" s="81"/>
      <c r="AC2" s="81"/>
      <c r="AD2" s="81"/>
      <c r="AE2" s="81"/>
      <c r="AF2" s="81"/>
      <c r="AG2" s="81"/>
      <c r="AH2" s="81"/>
      <c r="AI2" s="81"/>
      <c r="AJ2" s="81"/>
      <c r="AK2" s="81"/>
      <c r="AL2" s="81"/>
      <c r="AM2" s="81"/>
      <c r="AN2" s="81"/>
      <c r="AO2" s="82"/>
      <c r="AP2" s="40" t="str">
        <f>改訂履歴!$H$11</f>
        <v>DuNT</v>
      </c>
      <c r="AQ2" s="41"/>
      <c r="AR2" s="41"/>
      <c r="AS2" s="42"/>
      <c r="AT2" s="70">
        <f>改訂履歴!$B$11</f>
        <v>45508</v>
      </c>
      <c r="AU2" s="71"/>
      <c r="AV2" s="71"/>
      <c r="AW2" s="71"/>
      <c r="AX2" s="72"/>
      <c r="AY2" s="40" t="str">
        <f>LOOKUP(2,1/(改訂履歴!H11:H30000&lt;&gt;""),改訂履歴!H11:H30000)</f>
        <v>DuNT</v>
      </c>
      <c r="AZ2" s="41"/>
      <c r="BA2" s="41"/>
      <c r="BB2" s="42"/>
      <c r="BC2" s="70">
        <f>LOOKUP(2,1/(改訂履歴!B11:B30000&lt;&gt;""),改訂履歴!B11:B30000)</f>
        <v>45508</v>
      </c>
      <c r="BD2" s="71"/>
      <c r="BE2" s="71"/>
      <c r="BF2" s="71"/>
      <c r="BG2" s="72"/>
      <c r="BH2" s="64">
        <f>LOOKUP(2,1/(改訂履歴!O11:O30000&lt;&gt;""),改訂履歴!O11:O30000)</f>
        <v>0.1</v>
      </c>
      <c r="BI2" s="65"/>
      <c r="BJ2" s="65"/>
      <c r="BK2" s="66"/>
    </row>
    <row r="3" spans="1:63" ht="15" customHeight="1">
      <c r="A3" s="46"/>
      <c r="B3" s="47"/>
      <c r="C3" s="47"/>
      <c r="D3" s="47"/>
      <c r="E3" s="47"/>
      <c r="F3" s="47"/>
      <c r="G3" s="47"/>
      <c r="H3" s="47"/>
      <c r="I3" s="47"/>
      <c r="J3" s="48"/>
      <c r="K3" s="46"/>
      <c r="L3" s="47"/>
      <c r="M3" s="47"/>
      <c r="N3" s="47"/>
      <c r="O3" s="47"/>
      <c r="P3" s="47"/>
      <c r="Q3" s="47"/>
      <c r="R3" s="47"/>
      <c r="S3" s="47"/>
      <c r="T3" s="47"/>
      <c r="U3" s="47"/>
      <c r="V3" s="48"/>
      <c r="W3" s="83"/>
      <c r="X3" s="84"/>
      <c r="Y3" s="84"/>
      <c r="Z3" s="84"/>
      <c r="AA3" s="84"/>
      <c r="AB3" s="84"/>
      <c r="AC3" s="84"/>
      <c r="AD3" s="84"/>
      <c r="AE3" s="84"/>
      <c r="AF3" s="84"/>
      <c r="AG3" s="84"/>
      <c r="AH3" s="84"/>
      <c r="AI3" s="84"/>
      <c r="AJ3" s="84"/>
      <c r="AK3" s="84"/>
      <c r="AL3" s="84"/>
      <c r="AM3" s="84"/>
      <c r="AN3" s="84"/>
      <c r="AO3" s="85"/>
      <c r="AP3" s="46"/>
      <c r="AQ3" s="47"/>
      <c r="AR3" s="47"/>
      <c r="AS3" s="48"/>
      <c r="AT3" s="73"/>
      <c r="AU3" s="74"/>
      <c r="AV3" s="74"/>
      <c r="AW3" s="74"/>
      <c r="AX3" s="75"/>
      <c r="AY3" s="46"/>
      <c r="AZ3" s="47"/>
      <c r="BA3" s="47"/>
      <c r="BB3" s="48"/>
      <c r="BC3" s="73"/>
      <c r="BD3" s="74"/>
      <c r="BE3" s="74"/>
      <c r="BF3" s="74"/>
      <c r="BG3" s="75"/>
      <c r="BH3" s="67"/>
      <c r="BI3" s="68"/>
      <c r="BJ3" s="68"/>
      <c r="BK3" s="69"/>
    </row>
    <row r="4" spans="1:63" ht="24.95" customHeight="1">
      <c r="A4" s="55" t="s">
        <v>89</v>
      </c>
      <c r="B4" s="56"/>
      <c r="C4" s="56"/>
      <c r="D4" s="56"/>
      <c r="E4" s="56"/>
      <c r="F4" s="56"/>
      <c r="G4" s="57"/>
      <c r="H4" s="60" t="s">
        <v>8</v>
      </c>
      <c r="I4" s="61"/>
      <c r="J4" s="61"/>
      <c r="K4" s="61"/>
      <c r="L4" s="61"/>
      <c r="M4" s="61"/>
      <c r="N4" s="61"/>
      <c r="O4" s="61"/>
      <c r="P4" s="61"/>
      <c r="Q4" s="61"/>
      <c r="R4" s="61"/>
      <c r="S4" s="61"/>
      <c r="T4" s="62"/>
      <c r="U4" s="55" t="s">
        <v>90</v>
      </c>
      <c r="V4" s="56"/>
      <c r="W4" s="56"/>
      <c r="X4" s="56"/>
      <c r="Y4" s="57"/>
      <c r="Z4" s="63" t="s">
        <v>91</v>
      </c>
      <c r="AA4" s="61"/>
      <c r="AB4" s="61"/>
      <c r="AC4" s="61"/>
      <c r="AD4" s="61"/>
      <c r="AE4" s="61"/>
      <c r="AF4" s="61"/>
      <c r="AG4" s="61"/>
      <c r="AH4" s="61"/>
      <c r="AI4" s="61"/>
      <c r="AJ4" s="61"/>
      <c r="AK4" s="61"/>
      <c r="AL4" s="61"/>
      <c r="AM4" s="61"/>
      <c r="AN4" s="61"/>
      <c r="AO4" s="62"/>
      <c r="AP4" s="60" t="str">
        <f t="array" aca="1" ref="AP4" ca="1">RIGHT(CELL("filename",$A$1),LEN(CELL("filename",$A$1))-FIND("]",CELL("filename",$A$1)))</f>
        <v>表紙</v>
      </c>
      <c r="AQ4" s="61"/>
      <c r="AR4" s="61"/>
      <c r="AS4" s="61"/>
      <c r="AT4" s="61"/>
      <c r="AU4" s="61"/>
      <c r="AV4" s="61"/>
      <c r="AW4" s="61"/>
      <c r="AX4" s="61"/>
      <c r="AY4" s="61"/>
      <c r="AZ4" s="61"/>
      <c r="BA4" s="61"/>
      <c r="BB4" s="61"/>
      <c r="BC4" s="61"/>
      <c r="BD4" s="61"/>
      <c r="BE4" s="61"/>
      <c r="BF4" s="61"/>
      <c r="BG4" s="61"/>
      <c r="BH4" s="61"/>
      <c r="BI4" s="61"/>
      <c r="BJ4" s="61"/>
      <c r="BK4" s="62"/>
    </row>
    <row r="5" spans="1:63" ht="5.0999999999999996" customHeight="1">
      <c r="A5" s="18"/>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20"/>
    </row>
    <row r="6" spans="1:63" ht="15" customHeight="1">
      <c r="A6" s="21"/>
      <c r="BK6" s="22"/>
    </row>
    <row r="7" spans="1:63" ht="15" customHeight="1">
      <c r="A7" s="21"/>
      <c r="BK7" s="22"/>
    </row>
    <row r="8" spans="1:63" ht="15" customHeight="1">
      <c r="A8" s="21"/>
      <c r="BK8" s="22"/>
    </row>
    <row r="9" spans="1:63" ht="15" customHeight="1">
      <c r="A9" s="21"/>
      <c r="BK9" s="22"/>
    </row>
    <row r="10" spans="1:63" ht="15" customHeight="1">
      <c r="A10" s="21"/>
      <c r="BK10" s="22"/>
    </row>
    <row r="11" spans="1:63" ht="15" customHeight="1">
      <c r="A11" s="21"/>
      <c r="BK11" s="22"/>
    </row>
    <row r="12" spans="1:63" ht="15" customHeight="1">
      <c r="A12" s="21"/>
      <c r="BK12" s="22"/>
    </row>
    <row r="13" spans="1:63" ht="15" customHeight="1">
      <c r="A13" s="21"/>
      <c r="BK13" s="22"/>
    </row>
    <row r="14" spans="1:63" ht="15" customHeight="1" thickBot="1">
      <c r="A14" s="21"/>
      <c r="BK14" s="22"/>
    </row>
    <row r="15" spans="1:63" ht="15" customHeight="1" thickTop="1">
      <c r="A15" s="21"/>
      <c r="K15" s="23"/>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5"/>
      <c r="BK15" s="22"/>
    </row>
    <row r="16" spans="1:63" ht="15" customHeight="1">
      <c r="A16" s="21"/>
      <c r="K16" s="26"/>
      <c r="L16" s="58" t="s">
        <v>92</v>
      </c>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27"/>
      <c r="BK16" s="22"/>
    </row>
    <row r="17" spans="1:63" ht="15" customHeight="1">
      <c r="A17" s="21"/>
      <c r="K17" s="26"/>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27"/>
      <c r="BK17" s="22"/>
    </row>
    <row r="18" spans="1:63" ht="15" customHeight="1">
      <c r="A18" s="21"/>
      <c r="K18" s="26"/>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27"/>
      <c r="BK18" s="22"/>
    </row>
    <row r="19" spans="1:63" ht="15" customHeight="1">
      <c r="A19" s="21"/>
      <c r="K19" s="26"/>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27"/>
      <c r="BK19" s="22"/>
    </row>
    <row r="20" spans="1:63" ht="15" customHeight="1">
      <c r="A20" s="21"/>
      <c r="K20" s="26"/>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27"/>
      <c r="BK20" s="22"/>
    </row>
    <row r="21" spans="1:63" ht="15" customHeight="1">
      <c r="A21" s="21"/>
      <c r="K21" s="26"/>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27"/>
      <c r="BK21" s="22"/>
    </row>
    <row r="22" spans="1:63" ht="15" customHeight="1" thickBot="1">
      <c r="A22" s="21"/>
      <c r="K22" s="26"/>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7"/>
      <c r="BK22" s="22"/>
    </row>
    <row r="23" spans="1:63" ht="15" customHeight="1">
      <c r="A23" s="21"/>
      <c r="K23" s="26"/>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7"/>
      <c r="BK23" s="22"/>
    </row>
    <row r="24" spans="1:63" ht="15" customHeight="1">
      <c r="A24" s="21"/>
      <c r="K24" s="26"/>
      <c r="L24" s="59" t="str">
        <f>K2&amp;"/"&amp;H4&amp;"/"&amp;Z4</f>
        <v>POSサーバー/API_00_Common/API設計書</v>
      </c>
      <c r="M24" s="59"/>
      <c r="N24" s="59"/>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27"/>
      <c r="BK24" s="22"/>
    </row>
    <row r="25" spans="1:63" ht="15" customHeight="1">
      <c r="A25" s="21"/>
      <c r="K25" s="26"/>
      <c r="L25" s="59"/>
      <c r="M25" s="59"/>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27"/>
      <c r="BK25" s="22"/>
    </row>
    <row r="26" spans="1:63" ht="15" customHeight="1">
      <c r="A26" s="21"/>
      <c r="K26" s="26"/>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27"/>
      <c r="BK26" s="22"/>
    </row>
    <row r="27" spans="1:63" ht="15" customHeight="1">
      <c r="A27" s="21"/>
      <c r="K27" s="26"/>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27"/>
      <c r="BK27" s="22"/>
    </row>
    <row r="28" spans="1:63" ht="15" customHeight="1">
      <c r="A28" s="21"/>
      <c r="K28" s="26"/>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27"/>
      <c r="BK28" s="22"/>
    </row>
    <row r="29" spans="1:63" ht="15" customHeight="1">
      <c r="A29" s="21"/>
      <c r="K29" s="26"/>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27"/>
      <c r="BK29" s="22"/>
    </row>
    <row r="30" spans="1:63" ht="15" customHeight="1">
      <c r="A30" s="21"/>
      <c r="K30" s="26"/>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27"/>
      <c r="BK30" s="22"/>
    </row>
    <row r="31" spans="1:63" ht="15" customHeight="1">
      <c r="A31" s="21"/>
      <c r="K31" s="26"/>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27"/>
      <c r="BK31" s="22"/>
    </row>
    <row r="32" spans="1:63" ht="15" customHeight="1">
      <c r="A32" s="21"/>
      <c r="K32" s="26"/>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27"/>
      <c r="BK32" s="22"/>
    </row>
    <row r="33" spans="1:63" ht="15" customHeight="1">
      <c r="A33" s="21"/>
      <c r="K33" s="26"/>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27"/>
      <c r="BK33" s="22"/>
    </row>
    <row r="34" spans="1:63" ht="15" customHeight="1">
      <c r="A34" s="21"/>
      <c r="K34" s="26"/>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27"/>
      <c r="BK34" s="22"/>
    </row>
    <row r="35" spans="1:63" ht="15" customHeight="1">
      <c r="A35" s="21"/>
      <c r="K35" s="26"/>
      <c r="L35" s="59"/>
      <c r="M35" s="59"/>
      <c r="N35" s="59"/>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27"/>
      <c r="BK35" s="22"/>
    </row>
    <row r="36" spans="1:63" ht="15" customHeight="1">
      <c r="A36" s="21"/>
      <c r="K36" s="26"/>
      <c r="L36" s="59"/>
      <c r="M36" s="59"/>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27"/>
      <c r="BK36" s="22"/>
    </row>
    <row r="37" spans="1:63" ht="15" customHeight="1" thickBot="1">
      <c r="A37" s="21"/>
      <c r="K37" s="30"/>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2"/>
      <c r="BK37" s="22"/>
    </row>
    <row r="38" spans="1:63" ht="15" customHeight="1" thickTop="1">
      <c r="A38" s="21"/>
      <c r="BK38" s="22"/>
    </row>
    <row r="39" spans="1:63" ht="15" customHeight="1">
      <c r="A39" s="21"/>
      <c r="BK39" s="22"/>
    </row>
    <row r="40" spans="1:63" ht="15" customHeight="1">
      <c r="A40" s="21"/>
      <c r="BK40" s="22"/>
    </row>
    <row r="41" spans="1:63" ht="15" customHeight="1">
      <c r="A41" s="21"/>
      <c r="BK41" s="22"/>
    </row>
    <row r="42" spans="1:63" ht="15" customHeight="1">
      <c r="A42" s="21"/>
      <c r="BK42" s="22"/>
    </row>
    <row r="43" spans="1:63" ht="15" customHeight="1">
      <c r="A43" s="21"/>
      <c r="BK43" s="22"/>
    </row>
    <row r="44" spans="1:63" ht="15" customHeight="1">
      <c r="A44" s="21"/>
      <c r="Q44" s="49" t="s">
        <v>93</v>
      </c>
      <c r="R44" s="50"/>
      <c r="S44" s="50"/>
      <c r="T44" s="50"/>
      <c r="U44" s="50"/>
      <c r="V44" s="50"/>
      <c r="W44" s="50"/>
      <c r="X44" s="50"/>
      <c r="Y44" s="50"/>
      <c r="Z44" s="51"/>
      <c r="AA44" s="49" t="s">
        <v>94</v>
      </c>
      <c r="AB44" s="50"/>
      <c r="AC44" s="50"/>
      <c r="AD44" s="50"/>
      <c r="AE44" s="50"/>
      <c r="AF44" s="50"/>
      <c r="AG44" s="50"/>
      <c r="AH44" s="50"/>
      <c r="AI44" s="50"/>
      <c r="AJ44" s="50"/>
      <c r="AK44" s="50"/>
      <c r="AL44" s="50"/>
      <c r="AM44" s="50"/>
      <c r="AN44" s="50"/>
      <c r="AO44" s="50"/>
      <c r="AP44" s="51"/>
      <c r="AQ44" s="49" t="s">
        <v>87</v>
      </c>
      <c r="AR44" s="50"/>
      <c r="AS44" s="50"/>
      <c r="AT44" s="50"/>
      <c r="AU44" s="51"/>
      <c r="BK44" s="22"/>
    </row>
    <row r="45" spans="1:63" ht="15" customHeight="1">
      <c r="A45" s="21"/>
      <c r="Q45" s="52"/>
      <c r="R45" s="53"/>
      <c r="S45" s="53"/>
      <c r="T45" s="53"/>
      <c r="U45" s="53"/>
      <c r="V45" s="53"/>
      <c r="W45" s="53"/>
      <c r="X45" s="53"/>
      <c r="Y45" s="53"/>
      <c r="Z45" s="54"/>
      <c r="AA45" s="52"/>
      <c r="AB45" s="53"/>
      <c r="AC45" s="53"/>
      <c r="AD45" s="53"/>
      <c r="AE45" s="53"/>
      <c r="AF45" s="53"/>
      <c r="AG45" s="53"/>
      <c r="AH45" s="53"/>
      <c r="AI45" s="53"/>
      <c r="AJ45" s="53"/>
      <c r="AK45" s="53"/>
      <c r="AL45" s="53"/>
      <c r="AM45" s="53"/>
      <c r="AN45" s="53"/>
      <c r="AO45" s="53"/>
      <c r="AP45" s="54"/>
      <c r="AQ45" s="52"/>
      <c r="AR45" s="53"/>
      <c r="AS45" s="53"/>
      <c r="AT45" s="53"/>
      <c r="AU45" s="54"/>
      <c r="BK45" s="22"/>
    </row>
    <row r="46" spans="1:63" ht="15" customHeight="1">
      <c r="A46" s="21"/>
      <c r="Q46" s="40"/>
      <c r="R46" s="41"/>
      <c r="S46" s="41"/>
      <c r="T46" s="41"/>
      <c r="U46" s="41"/>
      <c r="V46" s="41"/>
      <c r="W46" s="41"/>
      <c r="X46" s="41"/>
      <c r="Y46" s="41"/>
      <c r="Z46" s="42"/>
      <c r="AA46" s="40"/>
      <c r="AB46" s="41"/>
      <c r="AC46" s="41"/>
      <c r="AD46" s="41"/>
      <c r="AE46" s="41"/>
      <c r="AF46" s="41"/>
      <c r="AG46" s="41"/>
      <c r="AH46" s="41"/>
      <c r="AI46" s="41"/>
      <c r="AJ46" s="41"/>
      <c r="AK46" s="41"/>
      <c r="AL46" s="41"/>
      <c r="AM46" s="41"/>
      <c r="AN46" s="41"/>
      <c r="AO46" s="41"/>
      <c r="AP46" s="42"/>
      <c r="AQ46" s="40"/>
      <c r="AR46" s="41"/>
      <c r="AS46" s="41"/>
      <c r="AT46" s="41"/>
      <c r="AU46" s="42"/>
      <c r="BK46" s="22"/>
    </row>
    <row r="47" spans="1:63" ht="15" customHeight="1">
      <c r="A47" s="21"/>
      <c r="Q47" s="43"/>
      <c r="R47" s="44"/>
      <c r="S47" s="44"/>
      <c r="T47" s="44"/>
      <c r="U47" s="44"/>
      <c r="V47" s="44"/>
      <c r="W47" s="44"/>
      <c r="X47" s="44"/>
      <c r="Y47" s="44"/>
      <c r="Z47" s="45"/>
      <c r="AA47" s="43"/>
      <c r="AB47" s="44"/>
      <c r="AC47" s="44"/>
      <c r="AD47" s="44"/>
      <c r="AE47" s="44"/>
      <c r="AF47" s="44"/>
      <c r="AG47" s="44"/>
      <c r="AH47" s="44"/>
      <c r="AI47" s="44"/>
      <c r="AJ47" s="44"/>
      <c r="AK47" s="44"/>
      <c r="AL47" s="44"/>
      <c r="AM47" s="44"/>
      <c r="AN47" s="44"/>
      <c r="AO47" s="44"/>
      <c r="AP47" s="45"/>
      <c r="AQ47" s="43"/>
      <c r="AR47" s="44"/>
      <c r="AS47" s="44"/>
      <c r="AT47" s="44"/>
      <c r="AU47" s="45"/>
      <c r="BK47" s="22"/>
    </row>
    <row r="48" spans="1:63" ht="15" customHeight="1">
      <c r="A48" s="21"/>
      <c r="Q48" s="43"/>
      <c r="R48" s="44"/>
      <c r="S48" s="44"/>
      <c r="T48" s="44"/>
      <c r="U48" s="44"/>
      <c r="V48" s="44"/>
      <c r="W48" s="44"/>
      <c r="X48" s="44"/>
      <c r="Y48" s="44"/>
      <c r="Z48" s="45"/>
      <c r="AA48" s="43"/>
      <c r="AB48" s="44"/>
      <c r="AC48" s="44"/>
      <c r="AD48" s="44"/>
      <c r="AE48" s="44"/>
      <c r="AF48" s="44"/>
      <c r="AG48" s="44"/>
      <c r="AH48" s="44"/>
      <c r="AI48" s="44"/>
      <c r="AJ48" s="44"/>
      <c r="AK48" s="44"/>
      <c r="AL48" s="44"/>
      <c r="AM48" s="44"/>
      <c r="AN48" s="44"/>
      <c r="AO48" s="44"/>
      <c r="AP48" s="45"/>
      <c r="AQ48" s="43"/>
      <c r="AR48" s="44"/>
      <c r="AS48" s="44"/>
      <c r="AT48" s="44"/>
      <c r="AU48" s="45"/>
      <c r="BK48" s="22"/>
    </row>
    <row r="49" spans="1:63" ht="15" customHeight="1">
      <c r="A49" s="21"/>
      <c r="Q49" s="46"/>
      <c r="R49" s="47"/>
      <c r="S49" s="47"/>
      <c r="T49" s="47"/>
      <c r="U49" s="47"/>
      <c r="V49" s="47"/>
      <c r="W49" s="47"/>
      <c r="X49" s="47"/>
      <c r="Y49" s="47"/>
      <c r="Z49" s="48"/>
      <c r="AA49" s="46"/>
      <c r="AB49" s="47"/>
      <c r="AC49" s="47"/>
      <c r="AD49" s="47"/>
      <c r="AE49" s="47"/>
      <c r="AF49" s="47"/>
      <c r="AG49" s="47"/>
      <c r="AH49" s="47"/>
      <c r="AI49" s="47"/>
      <c r="AJ49" s="47"/>
      <c r="AK49" s="47"/>
      <c r="AL49" s="47"/>
      <c r="AM49" s="47"/>
      <c r="AN49" s="47"/>
      <c r="AO49" s="47"/>
      <c r="AP49" s="48"/>
      <c r="AQ49" s="46"/>
      <c r="AR49" s="47"/>
      <c r="AS49" s="47"/>
      <c r="AT49" s="47"/>
      <c r="AU49" s="48"/>
      <c r="BK49" s="22"/>
    </row>
    <row r="50" spans="1:63" ht="15" customHeight="1">
      <c r="A50" s="21"/>
      <c r="BK50" s="22"/>
    </row>
    <row r="51" spans="1:63" ht="15" customHeight="1">
      <c r="A51" s="21"/>
      <c r="BK51" s="22"/>
    </row>
    <row r="52" spans="1:63" ht="15" customHeight="1">
      <c r="A52" s="21"/>
      <c r="BK52" s="22"/>
    </row>
    <row r="53" spans="1:63" ht="15" customHeight="1">
      <c r="A53" s="21"/>
      <c r="BK53" s="22"/>
    </row>
    <row r="54" spans="1:63" ht="15" customHeight="1">
      <c r="A54" s="21"/>
      <c r="BK54" s="22"/>
    </row>
    <row r="55" spans="1:63" ht="15" customHeight="1">
      <c r="A55" s="18"/>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20"/>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cols>
    <col min="1" max="60" width="2.77734375" style="17" customWidth="1"/>
    <col min="61" max="16384" width="2.77734375" style="17"/>
  </cols>
  <sheetData>
    <row r="1" spans="1:63" ht="24.95" customHeight="1">
      <c r="A1" s="55" t="s">
        <v>80</v>
      </c>
      <c r="B1" s="56"/>
      <c r="C1" s="56"/>
      <c r="D1" s="56"/>
      <c r="E1" s="56"/>
      <c r="F1" s="56"/>
      <c r="G1" s="56"/>
      <c r="H1" s="56"/>
      <c r="I1" s="56"/>
      <c r="J1" s="57"/>
      <c r="K1" s="55" t="s">
        <v>81</v>
      </c>
      <c r="L1" s="56"/>
      <c r="M1" s="56"/>
      <c r="N1" s="56"/>
      <c r="O1" s="56"/>
      <c r="P1" s="56"/>
      <c r="Q1" s="56"/>
      <c r="R1" s="56"/>
      <c r="S1" s="56"/>
      <c r="T1" s="56"/>
      <c r="U1" s="56"/>
      <c r="V1" s="57"/>
      <c r="W1" s="99" t="str">
        <f>IF(表紙!W1="","",表紙!W1)</f>
        <v>詳細設計書</v>
      </c>
      <c r="X1" s="78"/>
      <c r="Y1" s="78"/>
      <c r="Z1" s="78"/>
      <c r="AA1" s="78"/>
      <c r="AB1" s="78"/>
      <c r="AC1" s="78"/>
      <c r="AD1" s="78"/>
      <c r="AE1" s="78"/>
      <c r="AF1" s="78"/>
      <c r="AG1" s="78"/>
      <c r="AH1" s="78"/>
      <c r="AI1" s="78"/>
      <c r="AJ1" s="78"/>
      <c r="AK1" s="78"/>
      <c r="AL1" s="78"/>
      <c r="AM1" s="78"/>
      <c r="AN1" s="78"/>
      <c r="AO1" s="79"/>
      <c r="AP1" s="55" t="s">
        <v>83</v>
      </c>
      <c r="AQ1" s="56"/>
      <c r="AR1" s="56"/>
      <c r="AS1" s="57"/>
      <c r="AT1" s="55" t="s">
        <v>84</v>
      </c>
      <c r="AU1" s="56"/>
      <c r="AV1" s="56"/>
      <c r="AW1" s="56"/>
      <c r="AX1" s="57"/>
      <c r="AY1" s="55" t="s">
        <v>85</v>
      </c>
      <c r="AZ1" s="56"/>
      <c r="BA1" s="56"/>
      <c r="BB1" s="57"/>
      <c r="BC1" s="55" t="s">
        <v>86</v>
      </c>
      <c r="BD1" s="56"/>
      <c r="BE1" s="56"/>
      <c r="BF1" s="56"/>
      <c r="BG1" s="57"/>
      <c r="BH1" s="55" t="s">
        <v>87</v>
      </c>
      <c r="BI1" s="56"/>
      <c r="BJ1" s="56"/>
      <c r="BK1" s="57"/>
    </row>
    <row r="2" spans="1:63" ht="15" customHeight="1">
      <c r="A2" s="40" t="str">
        <f>IF(表紙!A2="","",表紙!A2)</f>
        <v>POSサーバー</v>
      </c>
      <c r="B2" s="41"/>
      <c r="C2" s="41"/>
      <c r="D2" s="41"/>
      <c r="E2" s="41"/>
      <c r="F2" s="41"/>
      <c r="G2" s="41"/>
      <c r="H2" s="41"/>
      <c r="I2" s="41"/>
      <c r="J2" s="42"/>
      <c r="K2" s="40" t="str">
        <f>IF(表紙!K2="","",表紙!K2)</f>
        <v>POSサーバー</v>
      </c>
      <c r="L2" s="41"/>
      <c r="M2" s="41"/>
      <c r="N2" s="41"/>
      <c r="O2" s="41"/>
      <c r="P2" s="41"/>
      <c r="Q2" s="41"/>
      <c r="R2" s="41"/>
      <c r="S2" s="41"/>
      <c r="T2" s="41"/>
      <c r="U2" s="41"/>
      <c r="V2" s="42"/>
      <c r="W2" s="80"/>
      <c r="X2" s="81"/>
      <c r="Y2" s="81"/>
      <c r="Z2" s="81"/>
      <c r="AA2" s="81"/>
      <c r="AB2" s="81"/>
      <c r="AC2" s="81"/>
      <c r="AD2" s="81"/>
      <c r="AE2" s="81"/>
      <c r="AF2" s="81"/>
      <c r="AG2" s="81"/>
      <c r="AH2" s="81"/>
      <c r="AI2" s="81"/>
      <c r="AJ2" s="81"/>
      <c r="AK2" s="81"/>
      <c r="AL2" s="81"/>
      <c r="AM2" s="81"/>
      <c r="AN2" s="81"/>
      <c r="AO2" s="82"/>
      <c r="AP2" s="40" t="str">
        <f>IF(表紙!AP2="","",表紙!AP2)</f>
        <v>DuNT</v>
      </c>
      <c r="AQ2" s="41"/>
      <c r="AR2" s="41"/>
      <c r="AS2" s="42"/>
      <c r="AT2" s="70">
        <f>IF(表紙!AT2="","",表紙!AT2)</f>
        <v>45508</v>
      </c>
      <c r="AU2" s="71"/>
      <c r="AV2" s="71"/>
      <c r="AW2" s="71"/>
      <c r="AX2" s="72"/>
      <c r="AY2" s="40" t="str">
        <f>IF(表紙!AY2="","",表紙!AY2)</f>
        <v>DuNT</v>
      </c>
      <c r="AZ2" s="41"/>
      <c r="BA2" s="41"/>
      <c r="BB2" s="42"/>
      <c r="BC2" s="70">
        <f>IF(表紙!BC2="","",表紙!BC2)</f>
        <v>45508</v>
      </c>
      <c r="BD2" s="71"/>
      <c r="BE2" s="71"/>
      <c r="BF2" s="71"/>
      <c r="BG2" s="72"/>
      <c r="BH2" s="40">
        <f>IF(表紙!BH2="","",表紙!BH2)</f>
        <v>0.1</v>
      </c>
      <c r="BI2" s="41"/>
      <c r="BJ2" s="41"/>
      <c r="BK2" s="42"/>
    </row>
    <row r="3" spans="1:63" ht="15" customHeight="1">
      <c r="A3" s="46"/>
      <c r="B3" s="47"/>
      <c r="C3" s="47"/>
      <c r="D3" s="47"/>
      <c r="E3" s="47"/>
      <c r="F3" s="47"/>
      <c r="G3" s="47"/>
      <c r="H3" s="47"/>
      <c r="I3" s="47"/>
      <c r="J3" s="48"/>
      <c r="K3" s="46"/>
      <c r="L3" s="47"/>
      <c r="M3" s="47"/>
      <c r="N3" s="47"/>
      <c r="O3" s="47"/>
      <c r="P3" s="47"/>
      <c r="Q3" s="47"/>
      <c r="R3" s="47"/>
      <c r="S3" s="47"/>
      <c r="T3" s="47"/>
      <c r="U3" s="47"/>
      <c r="V3" s="48"/>
      <c r="W3" s="83"/>
      <c r="X3" s="84"/>
      <c r="Y3" s="84"/>
      <c r="Z3" s="84"/>
      <c r="AA3" s="84"/>
      <c r="AB3" s="84"/>
      <c r="AC3" s="84"/>
      <c r="AD3" s="84"/>
      <c r="AE3" s="84"/>
      <c r="AF3" s="84"/>
      <c r="AG3" s="84"/>
      <c r="AH3" s="84"/>
      <c r="AI3" s="84"/>
      <c r="AJ3" s="84"/>
      <c r="AK3" s="84"/>
      <c r="AL3" s="84"/>
      <c r="AM3" s="84"/>
      <c r="AN3" s="84"/>
      <c r="AO3" s="85"/>
      <c r="AP3" s="46"/>
      <c r="AQ3" s="47"/>
      <c r="AR3" s="47"/>
      <c r="AS3" s="48"/>
      <c r="AT3" s="73"/>
      <c r="AU3" s="74"/>
      <c r="AV3" s="74"/>
      <c r="AW3" s="74"/>
      <c r="AX3" s="75"/>
      <c r="AY3" s="46"/>
      <c r="AZ3" s="47"/>
      <c r="BA3" s="47"/>
      <c r="BB3" s="48"/>
      <c r="BC3" s="73"/>
      <c r="BD3" s="74"/>
      <c r="BE3" s="74"/>
      <c r="BF3" s="74"/>
      <c r="BG3" s="75"/>
      <c r="BH3" s="46"/>
      <c r="BI3" s="47"/>
      <c r="BJ3" s="47"/>
      <c r="BK3" s="48"/>
    </row>
    <row r="4" spans="1:63" ht="24.95" customHeight="1">
      <c r="A4" s="55" t="s">
        <v>95</v>
      </c>
      <c r="B4" s="56"/>
      <c r="C4" s="56"/>
      <c r="D4" s="56"/>
      <c r="E4" s="56"/>
      <c r="F4" s="56"/>
      <c r="G4" s="57"/>
      <c r="H4" s="60" t="str">
        <f>IF(表紙!H4="","",表紙!H4)</f>
        <v>API_00_Common</v>
      </c>
      <c r="I4" s="61"/>
      <c r="J4" s="61"/>
      <c r="K4" s="61"/>
      <c r="L4" s="61"/>
      <c r="M4" s="61"/>
      <c r="N4" s="61"/>
      <c r="O4" s="61"/>
      <c r="P4" s="61"/>
      <c r="Q4" s="61"/>
      <c r="R4" s="61"/>
      <c r="S4" s="61"/>
      <c r="T4" s="62"/>
      <c r="U4" s="55" t="s">
        <v>90</v>
      </c>
      <c r="V4" s="56"/>
      <c r="W4" s="56"/>
      <c r="X4" s="56"/>
      <c r="Y4" s="57"/>
      <c r="Z4" s="60" t="str">
        <f>IF(表紙!Z4="","",表紙!Z4)</f>
        <v>API設計書</v>
      </c>
      <c r="AA4" s="61"/>
      <c r="AB4" s="61"/>
      <c r="AC4" s="61"/>
      <c r="AD4" s="61"/>
      <c r="AE4" s="61"/>
      <c r="AF4" s="61"/>
      <c r="AG4" s="61"/>
      <c r="AH4" s="61"/>
      <c r="AI4" s="61"/>
      <c r="AJ4" s="61"/>
      <c r="AK4" s="61"/>
      <c r="AL4" s="61"/>
      <c r="AM4" s="61"/>
      <c r="AN4" s="61"/>
      <c r="AO4" s="62"/>
      <c r="AP4" s="60" t="str">
        <f t="array" aca="1" ref="AP4" ca="1">RIGHT(CELL("filename",$A$1),LEN(CELL("filename",$A$1))-FIND("]",CELL("filename",$A$1)))</f>
        <v>改訂履歴</v>
      </c>
      <c r="AQ4" s="61"/>
      <c r="AR4" s="61"/>
      <c r="AS4" s="61"/>
      <c r="AT4" s="61"/>
      <c r="AU4" s="61"/>
      <c r="AV4" s="61"/>
      <c r="AW4" s="61"/>
      <c r="AX4" s="61"/>
      <c r="AY4" s="61"/>
      <c r="AZ4" s="61"/>
      <c r="BA4" s="61"/>
      <c r="BB4" s="61"/>
      <c r="BC4" s="61"/>
      <c r="BD4" s="61"/>
      <c r="BE4" s="61"/>
      <c r="BF4" s="61"/>
      <c r="BG4" s="61"/>
      <c r="BH4" s="61"/>
      <c r="BI4" s="61"/>
      <c r="BJ4" s="61"/>
      <c r="BK4" s="62"/>
    </row>
    <row r="5" spans="1:63" ht="5.0999999999999996" customHeight="1">
      <c r="A5" s="18"/>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20"/>
    </row>
    <row r="6" spans="1:63" ht="15" customHeight="1">
      <c r="A6" s="21"/>
      <c r="BK6" s="22"/>
    </row>
    <row r="7" spans="1:63" ht="15" customHeight="1">
      <c r="A7" s="21"/>
      <c r="BK7" s="22"/>
    </row>
    <row r="8" spans="1:63" ht="15" customHeight="1">
      <c r="A8" s="21"/>
      <c r="B8" s="17" t="s">
        <v>0</v>
      </c>
      <c r="BK8" s="22"/>
    </row>
    <row r="9" spans="1:63" ht="15" customHeight="1">
      <c r="A9" s="21"/>
      <c r="BK9" s="22"/>
    </row>
    <row r="10" spans="1:63" ht="15" customHeight="1">
      <c r="A10" s="21"/>
      <c r="B10" s="98" t="s">
        <v>86</v>
      </c>
      <c r="C10" s="98"/>
      <c r="D10" s="98"/>
      <c r="E10" s="98"/>
      <c r="F10" s="98"/>
      <c r="G10" s="98"/>
      <c r="H10" s="98" t="s">
        <v>85</v>
      </c>
      <c r="I10" s="98"/>
      <c r="J10" s="98"/>
      <c r="K10" s="98"/>
      <c r="L10" s="98"/>
      <c r="M10" s="98"/>
      <c r="N10" s="98"/>
      <c r="O10" s="98" t="s">
        <v>87</v>
      </c>
      <c r="P10" s="98"/>
      <c r="Q10" s="98"/>
      <c r="R10" s="98"/>
      <c r="S10" s="98" t="s">
        <v>96</v>
      </c>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t="s">
        <v>93</v>
      </c>
      <c r="AY10" s="98"/>
      <c r="AZ10" s="98"/>
      <c r="BA10" s="98"/>
      <c r="BB10" s="98"/>
      <c r="BC10" s="98"/>
      <c r="BD10" s="98" t="s">
        <v>94</v>
      </c>
      <c r="BE10" s="98"/>
      <c r="BF10" s="98"/>
      <c r="BG10" s="98"/>
      <c r="BH10" s="98"/>
      <c r="BI10" s="98"/>
      <c r="BJ10" s="98"/>
      <c r="BK10" s="22"/>
    </row>
    <row r="11" spans="1:63" ht="15" customHeight="1">
      <c r="A11" s="21"/>
      <c r="B11" s="70">
        <v>45508</v>
      </c>
      <c r="C11" s="41"/>
      <c r="D11" s="41"/>
      <c r="E11" s="41"/>
      <c r="F11" s="41"/>
      <c r="G11" s="42"/>
      <c r="H11" s="76" t="s">
        <v>97</v>
      </c>
      <c r="I11" s="41"/>
      <c r="J11" s="41"/>
      <c r="K11" s="41"/>
      <c r="L11" s="41"/>
      <c r="M11" s="41"/>
      <c r="N11" s="42"/>
      <c r="O11" s="40">
        <v>0.1</v>
      </c>
      <c r="P11" s="41"/>
      <c r="Q11" s="41"/>
      <c r="R11" s="41"/>
      <c r="S11" s="86" t="s">
        <v>2</v>
      </c>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8"/>
      <c r="AX11" s="89"/>
      <c r="AY11" s="89"/>
      <c r="AZ11" s="89"/>
      <c r="BA11" s="89"/>
      <c r="BB11" s="89"/>
      <c r="BC11" s="90"/>
      <c r="BD11" s="93"/>
      <c r="BE11" s="89"/>
      <c r="BF11" s="89"/>
      <c r="BG11" s="89"/>
      <c r="BH11" s="89"/>
      <c r="BI11" s="89"/>
      <c r="BJ11" s="90"/>
      <c r="BK11" s="22"/>
    </row>
    <row r="12" spans="1:63" ht="15" customHeight="1">
      <c r="A12" s="21"/>
      <c r="B12" s="46"/>
      <c r="C12" s="47"/>
      <c r="D12" s="47"/>
      <c r="E12" s="47"/>
      <c r="F12" s="47"/>
      <c r="G12" s="48"/>
      <c r="H12" s="46"/>
      <c r="I12" s="47"/>
      <c r="J12" s="47"/>
      <c r="K12" s="47"/>
      <c r="L12" s="47"/>
      <c r="M12" s="47"/>
      <c r="N12" s="48"/>
      <c r="O12" s="46"/>
      <c r="P12" s="47"/>
      <c r="Q12" s="47"/>
      <c r="R12" s="47"/>
      <c r="S12" s="95"/>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7"/>
      <c r="AX12" s="91"/>
      <c r="AY12" s="91"/>
      <c r="AZ12" s="91"/>
      <c r="BA12" s="91"/>
      <c r="BB12" s="91"/>
      <c r="BC12" s="92"/>
      <c r="BD12" s="94"/>
      <c r="BE12" s="91"/>
      <c r="BF12" s="91"/>
      <c r="BG12" s="91"/>
      <c r="BH12" s="91"/>
      <c r="BI12" s="91"/>
      <c r="BJ12" s="92"/>
      <c r="BK12" s="22"/>
    </row>
    <row r="13" spans="1:63" ht="15" customHeight="1">
      <c r="A13" s="21"/>
      <c r="B13" s="70"/>
      <c r="C13" s="41"/>
      <c r="D13" s="41"/>
      <c r="E13" s="41"/>
      <c r="F13" s="41"/>
      <c r="G13" s="42"/>
      <c r="H13" s="40"/>
      <c r="I13" s="41"/>
      <c r="J13" s="41"/>
      <c r="K13" s="41"/>
      <c r="L13" s="41"/>
      <c r="M13" s="41"/>
      <c r="N13" s="42"/>
      <c r="O13" s="40"/>
      <c r="P13" s="41"/>
      <c r="Q13" s="41"/>
      <c r="R13" s="41"/>
      <c r="S13" s="86"/>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8"/>
      <c r="AX13" s="89"/>
      <c r="AY13" s="89"/>
      <c r="AZ13" s="89"/>
      <c r="BA13" s="89"/>
      <c r="BB13" s="89"/>
      <c r="BC13" s="90"/>
      <c r="BD13" s="93"/>
      <c r="BE13" s="89"/>
      <c r="BF13" s="89"/>
      <c r="BG13" s="89"/>
      <c r="BH13" s="89"/>
      <c r="BI13" s="89"/>
      <c r="BJ13" s="90"/>
      <c r="BK13" s="22"/>
    </row>
    <row r="14" spans="1:63" ht="15" customHeight="1">
      <c r="A14" s="21"/>
      <c r="B14" s="46"/>
      <c r="C14" s="47"/>
      <c r="D14" s="47"/>
      <c r="E14" s="47"/>
      <c r="F14" s="47"/>
      <c r="G14" s="48"/>
      <c r="H14" s="46"/>
      <c r="I14" s="47"/>
      <c r="J14" s="47"/>
      <c r="K14" s="47"/>
      <c r="L14" s="47"/>
      <c r="M14" s="47"/>
      <c r="N14" s="48"/>
      <c r="O14" s="46"/>
      <c r="P14" s="47"/>
      <c r="Q14" s="47"/>
      <c r="R14" s="47"/>
      <c r="S14" s="95"/>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7"/>
      <c r="AX14" s="91"/>
      <c r="AY14" s="91"/>
      <c r="AZ14" s="91"/>
      <c r="BA14" s="91"/>
      <c r="BB14" s="91"/>
      <c r="BC14" s="92"/>
      <c r="BD14" s="94"/>
      <c r="BE14" s="91"/>
      <c r="BF14" s="91"/>
      <c r="BG14" s="91"/>
      <c r="BH14" s="91"/>
      <c r="BI14" s="91"/>
      <c r="BJ14" s="92"/>
      <c r="BK14" s="22"/>
    </row>
    <row r="15" spans="1:63" ht="15" customHeight="1">
      <c r="A15" s="21"/>
      <c r="B15" s="40"/>
      <c r="C15" s="41"/>
      <c r="D15" s="41"/>
      <c r="E15" s="41"/>
      <c r="F15" s="41"/>
      <c r="G15" s="42"/>
      <c r="H15" s="40"/>
      <c r="I15" s="41"/>
      <c r="J15" s="41"/>
      <c r="K15" s="41"/>
      <c r="L15" s="41"/>
      <c r="M15" s="41"/>
      <c r="N15" s="42"/>
      <c r="O15" s="40"/>
      <c r="P15" s="41"/>
      <c r="Q15" s="41"/>
      <c r="R15" s="41"/>
      <c r="S15" s="86"/>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8"/>
      <c r="AX15" s="89"/>
      <c r="AY15" s="89"/>
      <c r="AZ15" s="89"/>
      <c r="BA15" s="89"/>
      <c r="BB15" s="89"/>
      <c r="BC15" s="90"/>
      <c r="BD15" s="93"/>
      <c r="BE15" s="89"/>
      <c r="BF15" s="89"/>
      <c r="BG15" s="89"/>
      <c r="BH15" s="89"/>
      <c r="BI15" s="89"/>
      <c r="BJ15" s="90"/>
      <c r="BK15" s="22"/>
    </row>
    <row r="16" spans="1:63" ht="15" customHeight="1">
      <c r="A16" s="21"/>
      <c r="B16" s="46"/>
      <c r="C16" s="47"/>
      <c r="D16" s="47"/>
      <c r="E16" s="47"/>
      <c r="F16" s="47"/>
      <c r="G16" s="48"/>
      <c r="H16" s="46"/>
      <c r="I16" s="47"/>
      <c r="J16" s="47"/>
      <c r="K16" s="47"/>
      <c r="L16" s="47"/>
      <c r="M16" s="47"/>
      <c r="N16" s="48"/>
      <c r="O16" s="46"/>
      <c r="P16" s="47"/>
      <c r="Q16" s="47"/>
      <c r="R16" s="47"/>
      <c r="S16" s="95"/>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7"/>
      <c r="AX16" s="91"/>
      <c r="AY16" s="91"/>
      <c r="AZ16" s="91"/>
      <c r="BA16" s="91"/>
      <c r="BB16" s="91"/>
      <c r="BC16" s="92"/>
      <c r="BD16" s="94"/>
      <c r="BE16" s="91"/>
      <c r="BF16" s="91"/>
      <c r="BG16" s="91"/>
      <c r="BH16" s="91"/>
      <c r="BI16" s="91"/>
      <c r="BJ16" s="92"/>
      <c r="BK16" s="22"/>
    </row>
    <row r="17" spans="1:63" ht="15" customHeight="1">
      <c r="A17" s="21"/>
      <c r="B17" s="40"/>
      <c r="C17" s="41"/>
      <c r="D17" s="41"/>
      <c r="E17" s="41"/>
      <c r="F17" s="41"/>
      <c r="G17" s="42"/>
      <c r="H17" s="40"/>
      <c r="I17" s="41"/>
      <c r="J17" s="41"/>
      <c r="K17" s="41"/>
      <c r="L17" s="41"/>
      <c r="M17" s="41"/>
      <c r="N17" s="42"/>
      <c r="O17" s="40"/>
      <c r="P17" s="41"/>
      <c r="Q17" s="41"/>
      <c r="R17" s="41"/>
      <c r="S17" s="86"/>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8"/>
      <c r="AX17" s="89"/>
      <c r="AY17" s="89"/>
      <c r="AZ17" s="89"/>
      <c r="BA17" s="89"/>
      <c r="BB17" s="89"/>
      <c r="BC17" s="90"/>
      <c r="BD17" s="93"/>
      <c r="BE17" s="89"/>
      <c r="BF17" s="89"/>
      <c r="BG17" s="89"/>
      <c r="BH17" s="89"/>
      <c r="BI17" s="89"/>
      <c r="BJ17" s="90"/>
      <c r="BK17" s="22"/>
    </row>
    <row r="18" spans="1:63" ht="15" customHeight="1">
      <c r="A18" s="21"/>
      <c r="B18" s="46"/>
      <c r="C18" s="47"/>
      <c r="D18" s="47"/>
      <c r="E18" s="47"/>
      <c r="F18" s="47"/>
      <c r="G18" s="48"/>
      <c r="H18" s="46"/>
      <c r="I18" s="47"/>
      <c r="J18" s="47"/>
      <c r="K18" s="47"/>
      <c r="L18" s="47"/>
      <c r="M18" s="47"/>
      <c r="N18" s="48"/>
      <c r="O18" s="46"/>
      <c r="P18" s="47"/>
      <c r="Q18" s="47"/>
      <c r="R18" s="47"/>
      <c r="S18" s="95"/>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7"/>
      <c r="AX18" s="91"/>
      <c r="AY18" s="91"/>
      <c r="AZ18" s="91"/>
      <c r="BA18" s="91"/>
      <c r="BB18" s="91"/>
      <c r="BC18" s="92"/>
      <c r="BD18" s="94"/>
      <c r="BE18" s="91"/>
      <c r="BF18" s="91"/>
      <c r="BG18" s="91"/>
      <c r="BH18" s="91"/>
      <c r="BI18" s="91"/>
      <c r="BJ18" s="92"/>
      <c r="BK18" s="22"/>
    </row>
    <row r="19" spans="1:63" ht="15" customHeight="1">
      <c r="A19" s="21"/>
      <c r="B19" s="40"/>
      <c r="C19" s="41"/>
      <c r="D19" s="41"/>
      <c r="E19" s="41"/>
      <c r="F19" s="41"/>
      <c r="G19" s="42"/>
      <c r="H19" s="40"/>
      <c r="I19" s="41"/>
      <c r="J19" s="41"/>
      <c r="K19" s="41"/>
      <c r="L19" s="41"/>
      <c r="M19" s="41"/>
      <c r="N19" s="42"/>
      <c r="O19" s="40"/>
      <c r="P19" s="41"/>
      <c r="Q19" s="41"/>
      <c r="R19" s="41"/>
      <c r="S19" s="86"/>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8"/>
      <c r="AX19" s="89"/>
      <c r="AY19" s="89"/>
      <c r="AZ19" s="89"/>
      <c r="BA19" s="89"/>
      <c r="BB19" s="89"/>
      <c r="BC19" s="90"/>
      <c r="BD19" s="93"/>
      <c r="BE19" s="89"/>
      <c r="BF19" s="89"/>
      <c r="BG19" s="89"/>
      <c r="BH19" s="89"/>
      <c r="BI19" s="89"/>
      <c r="BJ19" s="90"/>
      <c r="BK19" s="22"/>
    </row>
    <row r="20" spans="1:63" ht="15" customHeight="1">
      <c r="A20" s="21"/>
      <c r="B20" s="46"/>
      <c r="C20" s="47"/>
      <c r="D20" s="47"/>
      <c r="E20" s="47"/>
      <c r="F20" s="47"/>
      <c r="G20" s="48"/>
      <c r="H20" s="46"/>
      <c r="I20" s="47"/>
      <c r="J20" s="47"/>
      <c r="K20" s="47"/>
      <c r="L20" s="47"/>
      <c r="M20" s="47"/>
      <c r="N20" s="48"/>
      <c r="O20" s="46"/>
      <c r="P20" s="47"/>
      <c r="Q20" s="47"/>
      <c r="R20" s="47"/>
      <c r="S20" s="95"/>
      <c r="T20" s="96"/>
      <c r="U20" s="96"/>
      <c r="V20" s="96"/>
      <c r="W20" s="96"/>
      <c r="X20" s="96"/>
      <c r="Y20" s="96"/>
      <c r="Z20" s="96"/>
      <c r="AA20" s="96"/>
      <c r="AB20" s="96"/>
      <c r="AC20" s="96"/>
      <c r="AD20" s="96"/>
      <c r="AE20" s="96"/>
      <c r="AF20" s="96"/>
      <c r="AG20" s="96"/>
      <c r="AH20" s="96"/>
      <c r="AI20" s="96"/>
      <c r="AJ20" s="96"/>
      <c r="AK20" s="96"/>
      <c r="AL20" s="96"/>
      <c r="AM20" s="96"/>
      <c r="AN20" s="96"/>
      <c r="AO20" s="96"/>
      <c r="AP20" s="96"/>
      <c r="AQ20" s="96"/>
      <c r="AR20" s="96"/>
      <c r="AS20" s="96"/>
      <c r="AT20" s="96"/>
      <c r="AU20" s="96"/>
      <c r="AV20" s="96"/>
      <c r="AW20" s="97"/>
      <c r="AX20" s="91"/>
      <c r="AY20" s="91"/>
      <c r="AZ20" s="91"/>
      <c r="BA20" s="91"/>
      <c r="BB20" s="91"/>
      <c r="BC20" s="92"/>
      <c r="BD20" s="94"/>
      <c r="BE20" s="91"/>
      <c r="BF20" s="91"/>
      <c r="BG20" s="91"/>
      <c r="BH20" s="91"/>
      <c r="BI20" s="91"/>
      <c r="BJ20" s="92"/>
      <c r="BK20" s="22"/>
    </row>
    <row r="21" spans="1:63" ht="15" customHeight="1">
      <c r="A21" s="21"/>
      <c r="B21" s="40"/>
      <c r="C21" s="41"/>
      <c r="D21" s="41"/>
      <c r="E21" s="41"/>
      <c r="F21" s="41"/>
      <c r="G21" s="42"/>
      <c r="H21" s="40"/>
      <c r="I21" s="41"/>
      <c r="J21" s="41"/>
      <c r="K21" s="41"/>
      <c r="L21" s="41"/>
      <c r="M21" s="41"/>
      <c r="N21" s="42"/>
      <c r="O21" s="40"/>
      <c r="P21" s="41"/>
      <c r="Q21" s="41"/>
      <c r="R21" s="41"/>
      <c r="S21" s="86"/>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8"/>
      <c r="AX21" s="89"/>
      <c r="AY21" s="89"/>
      <c r="AZ21" s="89"/>
      <c r="BA21" s="89"/>
      <c r="BB21" s="89"/>
      <c r="BC21" s="90"/>
      <c r="BD21" s="93"/>
      <c r="BE21" s="89"/>
      <c r="BF21" s="89"/>
      <c r="BG21" s="89"/>
      <c r="BH21" s="89"/>
      <c r="BI21" s="89"/>
      <c r="BJ21" s="90"/>
      <c r="BK21" s="22"/>
    </row>
    <row r="22" spans="1:63" ht="15" customHeight="1">
      <c r="A22" s="21"/>
      <c r="B22" s="46"/>
      <c r="C22" s="47"/>
      <c r="D22" s="47"/>
      <c r="E22" s="47"/>
      <c r="F22" s="47"/>
      <c r="G22" s="48"/>
      <c r="H22" s="46"/>
      <c r="I22" s="47"/>
      <c r="J22" s="47"/>
      <c r="K22" s="47"/>
      <c r="L22" s="47"/>
      <c r="M22" s="47"/>
      <c r="N22" s="48"/>
      <c r="O22" s="46"/>
      <c r="P22" s="47"/>
      <c r="Q22" s="47"/>
      <c r="R22" s="47"/>
      <c r="S22" s="95"/>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c r="AW22" s="97"/>
      <c r="AX22" s="91"/>
      <c r="AY22" s="91"/>
      <c r="AZ22" s="91"/>
      <c r="BA22" s="91"/>
      <c r="BB22" s="91"/>
      <c r="BC22" s="92"/>
      <c r="BD22" s="94"/>
      <c r="BE22" s="91"/>
      <c r="BF22" s="91"/>
      <c r="BG22" s="91"/>
      <c r="BH22" s="91"/>
      <c r="BI22" s="91"/>
      <c r="BJ22" s="92"/>
      <c r="BK22" s="22"/>
    </row>
    <row r="23" spans="1:63" ht="15" customHeight="1">
      <c r="A23" s="21"/>
      <c r="B23" s="40"/>
      <c r="C23" s="41"/>
      <c r="D23" s="41"/>
      <c r="E23" s="41"/>
      <c r="F23" s="41"/>
      <c r="G23" s="42"/>
      <c r="H23" s="40"/>
      <c r="I23" s="41"/>
      <c r="J23" s="41"/>
      <c r="K23" s="41"/>
      <c r="L23" s="41"/>
      <c r="M23" s="41"/>
      <c r="N23" s="42"/>
      <c r="O23" s="40"/>
      <c r="P23" s="41"/>
      <c r="Q23" s="41"/>
      <c r="R23" s="41"/>
      <c r="S23" s="86"/>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8"/>
      <c r="AX23" s="89"/>
      <c r="AY23" s="89"/>
      <c r="AZ23" s="89"/>
      <c r="BA23" s="89"/>
      <c r="BB23" s="89"/>
      <c r="BC23" s="90"/>
      <c r="BD23" s="93"/>
      <c r="BE23" s="89"/>
      <c r="BF23" s="89"/>
      <c r="BG23" s="89"/>
      <c r="BH23" s="89"/>
      <c r="BI23" s="89"/>
      <c r="BJ23" s="90"/>
      <c r="BK23" s="22"/>
    </row>
    <row r="24" spans="1:63" ht="15" customHeight="1">
      <c r="A24" s="21"/>
      <c r="B24" s="46"/>
      <c r="C24" s="47"/>
      <c r="D24" s="47"/>
      <c r="E24" s="47"/>
      <c r="F24" s="47"/>
      <c r="G24" s="48"/>
      <c r="H24" s="46"/>
      <c r="I24" s="47"/>
      <c r="J24" s="47"/>
      <c r="K24" s="47"/>
      <c r="L24" s="47"/>
      <c r="M24" s="47"/>
      <c r="N24" s="48"/>
      <c r="O24" s="46"/>
      <c r="P24" s="47"/>
      <c r="Q24" s="47"/>
      <c r="R24" s="47"/>
      <c r="S24" s="95"/>
      <c r="T24" s="96"/>
      <c r="U24" s="96"/>
      <c r="V24" s="96"/>
      <c r="W24" s="96"/>
      <c r="X24" s="96"/>
      <c r="Y24" s="96"/>
      <c r="Z24" s="96"/>
      <c r="AA24" s="96"/>
      <c r="AB24" s="96"/>
      <c r="AC24" s="96"/>
      <c r="AD24" s="96"/>
      <c r="AE24" s="96"/>
      <c r="AF24" s="96"/>
      <c r="AG24" s="96"/>
      <c r="AH24" s="96"/>
      <c r="AI24" s="96"/>
      <c r="AJ24" s="96"/>
      <c r="AK24" s="96"/>
      <c r="AL24" s="96"/>
      <c r="AM24" s="96"/>
      <c r="AN24" s="96"/>
      <c r="AO24" s="96"/>
      <c r="AP24" s="96"/>
      <c r="AQ24" s="96"/>
      <c r="AR24" s="96"/>
      <c r="AS24" s="96"/>
      <c r="AT24" s="96"/>
      <c r="AU24" s="96"/>
      <c r="AV24" s="96"/>
      <c r="AW24" s="97"/>
      <c r="AX24" s="91"/>
      <c r="AY24" s="91"/>
      <c r="AZ24" s="91"/>
      <c r="BA24" s="91"/>
      <c r="BB24" s="91"/>
      <c r="BC24" s="92"/>
      <c r="BD24" s="94"/>
      <c r="BE24" s="91"/>
      <c r="BF24" s="91"/>
      <c r="BG24" s="91"/>
      <c r="BH24" s="91"/>
      <c r="BI24" s="91"/>
      <c r="BJ24" s="92"/>
      <c r="BK24" s="22"/>
    </row>
    <row r="25" spans="1:63" ht="15" customHeight="1">
      <c r="A25" s="21"/>
      <c r="B25" s="40"/>
      <c r="C25" s="41"/>
      <c r="D25" s="41"/>
      <c r="E25" s="41"/>
      <c r="F25" s="41"/>
      <c r="G25" s="42"/>
      <c r="H25" s="40"/>
      <c r="I25" s="41"/>
      <c r="J25" s="41"/>
      <c r="K25" s="41"/>
      <c r="L25" s="41"/>
      <c r="M25" s="41"/>
      <c r="N25" s="42"/>
      <c r="O25" s="40"/>
      <c r="P25" s="41"/>
      <c r="Q25" s="41"/>
      <c r="R25" s="41"/>
      <c r="S25" s="86"/>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8"/>
      <c r="AX25" s="89"/>
      <c r="AY25" s="89"/>
      <c r="AZ25" s="89"/>
      <c r="BA25" s="89"/>
      <c r="BB25" s="89"/>
      <c r="BC25" s="90"/>
      <c r="BD25" s="93"/>
      <c r="BE25" s="89"/>
      <c r="BF25" s="89"/>
      <c r="BG25" s="89"/>
      <c r="BH25" s="89"/>
      <c r="BI25" s="89"/>
      <c r="BJ25" s="90"/>
      <c r="BK25" s="22"/>
    </row>
    <row r="26" spans="1:63" ht="15" customHeight="1">
      <c r="A26" s="21"/>
      <c r="B26" s="46"/>
      <c r="C26" s="47"/>
      <c r="D26" s="47"/>
      <c r="E26" s="47"/>
      <c r="F26" s="47"/>
      <c r="G26" s="48"/>
      <c r="H26" s="46"/>
      <c r="I26" s="47"/>
      <c r="J26" s="47"/>
      <c r="K26" s="47"/>
      <c r="L26" s="47"/>
      <c r="M26" s="47"/>
      <c r="N26" s="48"/>
      <c r="O26" s="46"/>
      <c r="P26" s="47"/>
      <c r="Q26" s="47"/>
      <c r="R26" s="47"/>
      <c r="S26" s="95"/>
      <c r="T26" s="96"/>
      <c r="U26" s="96"/>
      <c r="V26" s="96"/>
      <c r="W26" s="96"/>
      <c r="X26" s="96"/>
      <c r="Y26" s="96"/>
      <c r="Z26" s="96"/>
      <c r="AA26" s="96"/>
      <c r="AB26" s="96"/>
      <c r="AC26" s="96"/>
      <c r="AD26" s="96"/>
      <c r="AE26" s="96"/>
      <c r="AF26" s="96"/>
      <c r="AG26" s="96"/>
      <c r="AH26" s="96"/>
      <c r="AI26" s="96"/>
      <c r="AJ26" s="96"/>
      <c r="AK26" s="96"/>
      <c r="AL26" s="96"/>
      <c r="AM26" s="96"/>
      <c r="AN26" s="96"/>
      <c r="AO26" s="96"/>
      <c r="AP26" s="96"/>
      <c r="AQ26" s="96"/>
      <c r="AR26" s="96"/>
      <c r="AS26" s="96"/>
      <c r="AT26" s="96"/>
      <c r="AU26" s="96"/>
      <c r="AV26" s="96"/>
      <c r="AW26" s="97"/>
      <c r="AX26" s="91"/>
      <c r="AY26" s="91"/>
      <c r="AZ26" s="91"/>
      <c r="BA26" s="91"/>
      <c r="BB26" s="91"/>
      <c r="BC26" s="92"/>
      <c r="BD26" s="94"/>
      <c r="BE26" s="91"/>
      <c r="BF26" s="91"/>
      <c r="BG26" s="91"/>
      <c r="BH26" s="91"/>
      <c r="BI26" s="91"/>
      <c r="BJ26" s="92"/>
      <c r="BK26" s="22"/>
    </row>
    <row r="27" spans="1:63" ht="15" customHeight="1">
      <c r="A27" s="21"/>
      <c r="B27" s="40"/>
      <c r="C27" s="41"/>
      <c r="D27" s="41"/>
      <c r="E27" s="41"/>
      <c r="F27" s="41"/>
      <c r="G27" s="42"/>
      <c r="H27" s="40"/>
      <c r="I27" s="41"/>
      <c r="J27" s="41"/>
      <c r="K27" s="41"/>
      <c r="L27" s="41"/>
      <c r="M27" s="41"/>
      <c r="N27" s="42"/>
      <c r="O27" s="40"/>
      <c r="P27" s="41"/>
      <c r="Q27" s="41"/>
      <c r="R27" s="41"/>
      <c r="S27" s="86"/>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8"/>
      <c r="AX27" s="89"/>
      <c r="AY27" s="89"/>
      <c r="AZ27" s="89"/>
      <c r="BA27" s="89"/>
      <c r="BB27" s="89"/>
      <c r="BC27" s="90"/>
      <c r="BD27" s="93"/>
      <c r="BE27" s="89"/>
      <c r="BF27" s="89"/>
      <c r="BG27" s="89"/>
      <c r="BH27" s="89"/>
      <c r="BI27" s="89"/>
      <c r="BJ27" s="90"/>
      <c r="BK27" s="22"/>
    </row>
    <row r="28" spans="1:63" ht="15" customHeight="1">
      <c r="A28" s="21"/>
      <c r="B28" s="46"/>
      <c r="C28" s="47"/>
      <c r="D28" s="47"/>
      <c r="E28" s="47"/>
      <c r="F28" s="47"/>
      <c r="G28" s="48"/>
      <c r="H28" s="46"/>
      <c r="I28" s="47"/>
      <c r="J28" s="47"/>
      <c r="K28" s="47"/>
      <c r="L28" s="47"/>
      <c r="M28" s="47"/>
      <c r="N28" s="48"/>
      <c r="O28" s="46"/>
      <c r="P28" s="47"/>
      <c r="Q28" s="47"/>
      <c r="R28" s="47"/>
      <c r="S28" s="95"/>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7"/>
      <c r="AX28" s="91"/>
      <c r="AY28" s="91"/>
      <c r="AZ28" s="91"/>
      <c r="BA28" s="91"/>
      <c r="BB28" s="91"/>
      <c r="BC28" s="92"/>
      <c r="BD28" s="94"/>
      <c r="BE28" s="91"/>
      <c r="BF28" s="91"/>
      <c r="BG28" s="91"/>
      <c r="BH28" s="91"/>
      <c r="BI28" s="91"/>
      <c r="BJ28" s="92"/>
      <c r="BK28" s="22"/>
    </row>
    <row r="29" spans="1:63" ht="15" customHeight="1">
      <c r="A29" s="21"/>
      <c r="B29" s="40"/>
      <c r="C29" s="41"/>
      <c r="D29" s="41"/>
      <c r="E29" s="41"/>
      <c r="F29" s="41"/>
      <c r="G29" s="42"/>
      <c r="H29" s="40"/>
      <c r="I29" s="41"/>
      <c r="J29" s="41"/>
      <c r="K29" s="41"/>
      <c r="L29" s="41"/>
      <c r="M29" s="41"/>
      <c r="N29" s="42"/>
      <c r="O29" s="40"/>
      <c r="P29" s="41"/>
      <c r="Q29" s="41"/>
      <c r="R29" s="41"/>
      <c r="S29" s="86"/>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8"/>
      <c r="AX29" s="89"/>
      <c r="AY29" s="89"/>
      <c r="AZ29" s="89"/>
      <c r="BA29" s="89"/>
      <c r="BB29" s="89"/>
      <c r="BC29" s="90"/>
      <c r="BD29" s="93"/>
      <c r="BE29" s="89"/>
      <c r="BF29" s="89"/>
      <c r="BG29" s="89"/>
      <c r="BH29" s="89"/>
      <c r="BI29" s="89"/>
      <c r="BJ29" s="90"/>
      <c r="BK29" s="22"/>
    </row>
    <row r="30" spans="1:63" ht="15" customHeight="1">
      <c r="A30" s="21"/>
      <c r="B30" s="46"/>
      <c r="C30" s="47"/>
      <c r="D30" s="47"/>
      <c r="E30" s="47"/>
      <c r="F30" s="47"/>
      <c r="G30" s="48"/>
      <c r="H30" s="46"/>
      <c r="I30" s="47"/>
      <c r="J30" s="47"/>
      <c r="K30" s="47"/>
      <c r="L30" s="47"/>
      <c r="M30" s="47"/>
      <c r="N30" s="48"/>
      <c r="O30" s="46"/>
      <c r="P30" s="47"/>
      <c r="Q30" s="47"/>
      <c r="R30" s="47"/>
      <c r="S30" s="95"/>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7"/>
      <c r="AX30" s="91"/>
      <c r="AY30" s="91"/>
      <c r="AZ30" s="91"/>
      <c r="BA30" s="91"/>
      <c r="BB30" s="91"/>
      <c r="BC30" s="92"/>
      <c r="BD30" s="94"/>
      <c r="BE30" s="91"/>
      <c r="BF30" s="91"/>
      <c r="BG30" s="91"/>
      <c r="BH30" s="91"/>
      <c r="BI30" s="91"/>
      <c r="BJ30" s="92"/>
      <c r="BK30" s="22"/>
    </row>
    <row r="31" spans="1:63" ht="15" customHeight="1">
      <c r="A31" s="21"/>
      <c r="B31" s="40"/>
      <c r="C31" s="41"/>
      <c r="D31" s="41"/>
      <c r="E31" s="41"/>
      <c r="F31" s="41"/>
      <c r="G31" s="42"/>
      <c r="H31" s="40"/>
      <c r="I31" s="41"/>
      <c r="J31" s="41"/>
      <c r="K31" s="41"/>
      <c r="L31" s="41"/>
      <c r="M31" s="41"/>
      <c r="N31" s="42"/>
      <c r="O31" s="40"/>
      <c r="P31" s="41"/>
      <c r="Q31" s="41"/>
      <c r="R31" s="41"/>
      <c r="S31" s="86"/>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8"/>
      <c r="AX31" s="89"/>
      <c r="AY31" s="89"/>
      <c r="AZ31" s="89"/>
      <c r="BA31" s="89"/>
      <c r="BB31" s="89"/>
      <c r="BC31" s="90"/>
      <c r="BD31" s="93"/>
      <c r="BE31" s="89"/>
      <c r="BF31" s="89"/>
      <c r="BG31" s="89"/>
      <c r="BH31" s="89"/>
      <c r="BI31" s="89"/>
      <c r="BJ31" s="90"/>
      <c r="BK31" s="22"/>
    </row>
    <row r="32" spans="1:63" ht="15" customHeight="1">
      <c r="A32" s="21"/>
      <c r="B32" s="46"/>
      <c r="C32" s="47"/>
      <c r="D32" s="47"/>
      <c r="E32" s="47"/>
      <c r="F32" s="47"/>
      <c r="G32" s="48"/>
      <c r="H32" s="46"/>
      <c r="I32" s="47"/>
      <c r="J32" s="47"/>
      <c r="K32" s="47"/>
      <c r="L32" s="47"/>
      <c r="M32" s="47"/>
      <c r="N32" s="48"/>
      <c r="O32" s="46"/>
      <c r="P32" s="47"/>
      <c r="Q32" s="47"/>
      <c r="R32" s="47"/>
      <c r="S32" s="95"/>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7"/>
      <c r="AX32" s="91"/>
      <c r="AY32" s="91"/>
      <c r="AZ32" s="91"/>
      <c r="BA32" s="91"/>
      <c r="BB32" s="91"/>
      <c r="BC32" s="92"/>
      <c r="BD32" s="94"/>
      <c r="BE32" s="91"/>
      <c r="BF32" s="91"/>
      <c r="BG32" s="91"/>
      <c r="BH32" s="91"/>
      <c r="BI32" s="91"/>
      <c r="BJ32" s="92"/>
      <c r="BK32" s="22"/>
    </row>
    <row r="33" spans="1:63" ht="15" customHeight="1">
      <c r="A33" s="21"/>
      <c r="B33" s="40"/>
      <c r="C33" s="41"/>
      <c r="D33" s="41"/>
      <c r="E33" s="41"/>
      <c r="F33" s="41"/>
      <c r="G33" s="42"/>
      <c r="H33" s="40"/>
      <c r="I33" s="41"/>
      <c r="J33" s="41"/>
      <c r="K33" s="41"/>
      <c r="L33" s="41"/>
      <c r="M33" s="41"/>
      <c r="N33" s="42"/>
      <c r="O33" s="40"/>
      <c r="P33" s="41"/>
      <c r="Q33" s="41"/>
      <c r="R33" s="41"/>
      <c r="S33" s="86"/>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8"/>
      <c r="AX33" s="89"/>
      <c r="AY33" s="89"/>
      <c r="AZ33" s="89"/>
      <c r="BA33" s="89"/>
      <c r="BB33" s="89"/>
      <c r="BC33" s="90"/>
      <c r="BD33" s="93"/>
      <c r="BE33" s="89"/>
      <c r="BF33" s="89"/>
      <c r="BG33" s="89"/>
      <c r="BH33" s="89"/>
      <c r="BI33" s="89"/>
      <c r="BJ33" s="90"/>
      <c r="BK33" s="22"/>
    </row>
    <row r="34" spans="1:63" ht="15" customHeight="1">
      <c r="A34" s="21"/>
      <c r="B34" s="46"/>
      <c r="C34" s="47"/>
      <c r="D34" s="47"/>
      <c r="E34" s="47"/>
      <c r="F34" s="47"/>
      <c r="G34" s="48"/>
      <c r="H34" s="46"/>
      <c r="I34" s="47"/>
      <c r="J34" s="47"/>
      <c r="K34" s="47"/>
      <c r="L34" s="47"/>
      <c r="M34" s="47"/>
      <c r="N34" s="48"/>
      <c r="O34" s="46"/>
      <c r="P34" s="47"/>
      <c r="Q34" s="47"/>
      <c r="R34" s="47"/>
      <c r="S34" s="95"/>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7"/>
      <c r="AX34" s="91"/>
      <c r="AY34" s="91"/>
      <c r="AZ34" s="91"/>
      <c r="BA34" s="91"/>
      <c r="BB34" s="91"/>
      <c r="BC34" s="92"/>
      <c r="BD34" s="94"/>
      <c r="BE34" s="91"/>
      <c r="BF34" s="91"/>
      <c r="BG34" s="91"/>
      <c r="BH34" s="91"/>
      <c r="BI34" s="91"/>
      <c r="BJ34" s="92"/>
      <c r="BK34" s="22"/>
    </row>
    <row r="35" spans="1:63" ht="15" customHeight="1">
      <c r="A35" s="21"/>
      <c r="B35" s="40"/>
      <c r="C35" s="41"/>
      <c r="D35" s="41"/>
      <c r="E35" s="41"/>
      <c r="F35" s="41"/>
      <c r="G35" s="42"/>
      <c r="H35" s="40"/>
      <c r="I35" s="41"/>
      <c r="J35" s="41"/>
      <c r="K35" s="41"/>
      <c r="L35" s="41"/>
      <c r="M35" s="41"/>
      <c r="N35" s="42"/>
      <c r="O35" s="40"/>
      <c r="P35" s="41"/>
      <c r="Q35" s="41"/>
      <c r="R35" s="41"/>
      <c r="S35" s="86"/>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8"/>
      <c r="AX35" s="89"/>
      <c r="AY35" s="89"/>
      <c r="AZ35" s="89"/>
      <c r="BA35" s="89"/>
      <c r="BB35" s="89"/>
      <c r="BC35" s="90"/>
      <c r="BD35" s="93"/>
      <c r="BE35" s="89"/>
      <c r="BF35" s="89"/>
      <c r="BG35" s="89"/>
      <c r="BH35" s="89"/>
      <c r="BI35" s="89"/>
      <c r="BJ35" s="90"/>
      <c r="BK35" s="22"/>
    </row>
    <row r="36" spans="1:63" ht="15" customHeight="1">
      <c r="A36" s="21"/>
      <c r="B36" s="46"/>
      <c r="C36" s="47"/>
      <c r="D36" s="47"/>
      <c r="E36" s="47"/>
      <c r="F36" s="47"/>
      <c r="G36" s="48"/>
      <c r="H36" s="46"/>
      <c r="I36" s="47"/>
      <c r="J36" s="47"/>
      <c r="K36" s="47"/>
      <c r="L36" s="47"/>
      <c r="M36" s="47"/>
      <c r="N36" s="48"/>
      <c r="O36" s="46"/>
      <c r="P36" s="47"/>
      <c r="Q36" s="47"/>
      <c r="R36" s="47"/>
      <c r="S36" s="95"/>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7"/>
      <c r="AX36" s="91"/>
      <c r="AY36" s="91"/>
      <c r="AZ36" s="91"/>
      <c r="BA36" s="91"/>
      <c r="BB36" s="91"/>
      <c r="BC36" s="92"/>
      <c r="BD36" s="94"/>
      <c r="BE36" s="91"/>
      <c r="BF36" s="91"/>
      <c r="BG36" s="91"/>
      <c r="BH36" s="91"/>
      <c r="BI36" s="91"/>
      <c r="BJ36" s="92"/>
      <c r="BK36" s="22"/>
    </row>
    <row r="37" spans="1:63" ht="15" customHeight="1">
      <c r="A37" s="21"/>
      <c r="B37" s="40"/>
      <c r="C37" s="41"/>
      <c r="D37" s="41"/>
      <c r="E37" s="41"/>
      <c r="F37" s="41"/>
      <c r="G37" s="42"/>
      <c r="H37" s="40"/>
      <c r="I37" s="41"/>
      <c r="J37" s="41"/>
      <c r="K37" s="41"/>
      <c r="L37" s="41"/>
      <c r="M37" s="41"/>
      <c r="N37" s="42"/>
      <c r="O37" s="40"/>
      <c r="P37" s="41"/>
      <c r="Q37" s="41"/>
      <c r="R37" s="41"/>
      <c r="S37" s="86"/>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8"/>
      <c r="AX37" s="89"/>
      <c r="AY37" s="89"/>
      <c r="AZ37" s="89"/>
      <c r="BA37" s="89"/>
      <c r="BB37" s="89"/>
      <c r="BC37" s="90"/>
      <c r="BD37" s="93"/>
      <c r="BE37" s="89"/>
      <c r="BF37" s="89"/>
      <c r="BG37" s="89"/>
      <c r="BH37" s="89"/>
      <c r="BI37" s="89"/>
      <c r="BJ37" s="90"/>
      <c r="BK37" s="22"/>
    </row>
    <row r="38" spans="1:63" ht="15" customHeight="1">
      <c r="A38" s="21"/>
      <c r="B38" s="46"/>
      <c r="C38" s="47"/>
      <c r="D38" s="47"/>
      <c r="E38" s="47"/>
      <c r="F38" s="47"/>
      <c r="G38" s="48"/>
      <c r="H38" s="46"/>
      <c r="I38" s="47"/>
      <c r="J38" s="47"/>
      <c r="K38" s="47"/>
      <c r="L38" s="47"/>
      <c r="M38" s="47"/>
      <c r="N38" s="48"/>
      <c r="O38" s="46"/>
      <c r="P38" s="47"/>
      <c r="Q38" s="47"/>
      <c r="R38" s="47"/>
      <c r="S38" s="95"/>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7"/>
      <c r="AX38" s="91"/>
      <c r="AY38" s="91"/>
      <c r="AZ38" s="91"/>
      <c r="BA38" s="91"/>
      <c r="BB38" s="91"/>
      <c r="BC38" s="92"/>
      <c r="BD38" s="94"/>
      <c r="BE38" s="91"/>
      <c r="BF38" s="91"/>
      <c r="BG38" s="91"/>
      <c r="BH38" s="91"/>
      <c r="BI38" s="91"/>
      <c r="BJ38" s="92"/>
      <c r="BK38" s="22"/>
    </row>
    <row r="39" spans="1:63" ht="15" customHeight="1">
      <c r="A39" s="21"/>
      <c r="B39" s="40"/>
      <c r="C39" s="41"/>
      <c r="D39" s="41"/>
      <c r="E39" s="41"/>
      <c r="F39" s="41"/>
      <c r="G39" s="42"/>
      <c r="H39" s="40"/>
      <c r="I39" s="41"/>
      <c r="J39" s="41"/>
      <c r="K39" s="41"/>
      <c r="L39" s="41"/>
      <c r="M39" s="41"/>
      <c r="N39" s="42"/>
      <c r="O39" s="40"/>
      <c r="P39" s="41"/>
      <c r="Q39" s="41"/>
      <c r="R39" s="41"/>
      <c r="S39" s="86"/>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8"/>
      <c r="AX39" s="89"/>
      <c r="AY39" s="89"/>
      <c r="AZ39" s="89"/>
      <c r="BA39" s="89"/>
      <c r="BB39" s="89"/>
      <c r="BC39" s="90"/>
      <c r="BD39" s="93"/>
      <c r="BE39" s="89"/>
      <c r="BF39" s="89"/>
      <c r="BG39" s="89"/>
      <c r="BH39" s="89"/>
      <c r="BI39" s="89"/>
      <c r="BJ39" s="90"/>
      <c r="BK39" s="22"/>
    </row>
    <row r="40" spans="1:63" ht="15" customHeight="1">
      <c r="A40" s="21"/>
      <c r="B40" s="46"/>
      <c r="C40" s="47"/>
      <c r="D40" s="47"/>
      <c r="E40" s="47"/>
      <c r="F40" s="47"/>
      <c r="G40" s="48"/>
      <c r="H40" s="46"/>
      <c r="I40" s="47"/>
      <c r="J40" s="47"/>
      <c r="K40" s="47"/>
      <c r="L40" s="47"/>
      <c r="M40" s="47"/>
      <c r="N40" s="48"/>
      <c r="O40" s="46"/>
      <c r="P40" s="47"/>
      <c r="Q40" s="47"/>
      <c r="R40" s="47"/>
      <c r="S40" s="95"/>
      <c r="T40" s="96"/>
      <c r="U40" s="96"/>
      <c r="V40" s="96"/>
      <c r="W40" s="96"/>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7"/>
      <c r="AX40" s="91"/>
      <c r="AY40" s="91"/>
      <c r="AZ40" s="91"/>
      <c r="BA40" s="91"/>
      <c r="BB40" s="91"/>
      <c r="BC40" s="92"/>
      <c r="BD40" s="94"/>
      <c r="BE40" s="91"/>
      <c r="BF40" s="91"/>
      <c r="BG40" s="91"/>
      <c r="BH40" s="91"/>
      <c r="BI40" s="91"/>
      <c r="BJ40" s="92"/>
      <c r="BK40" s="22"/>
    </row>
    <row r="41" spans="1:63" ht="15" customHeight="1">
      <c r="A41" s="21"/>
      <c r="B41" s="40"/>
      <c r="C41" s="41"/>
      <c r="D41" s="41"/>
      <c r="E41" s="41"/>
      <c r="F41" s="41"/>
      <c r="G41" s="42"/>
      <c r="H41" s="40"/>
      <c r="I41" s="41"/>
      <c r="J41" s="41"/>
      <c r="K41" s="41"/>
      <c r="L41" s="41"/>
      <c r="M41" s="41"/>
      <c r="N41" s="42"/>
      <c r="O41" s="40"/>
      <c r="P41" s="41"/>
      <c r="Q41" s="41"/>
      <c r="R41" s="41"/>
      <c r="S41" s="86"/>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8"/>
      <c r="AX41" s="89"/>
      <c r="AY41" s="89"/>
      <c r="AZ41" s="89"/>
      <c r="BA41" s="89"/>
      <c r="BB41" s="89"/>
      <c r="BC41" s="90"/>
      <c r="BD41" s="93"/>
      <c r="BE41" s="89"/>
      <c r="BF41" s="89"/>
      <c r="BG41" s="89"/>
      <c r="BH41" s="89"/>
      <c r="BI41" s="89"/>
      <c r="BJ41" s="90"/>
      <c r="BK41" s="22"/>
    </row>
    <row r="42" spans="1:63" ht="15" customHeight="1">
      <c r="A42" s="21"/>
      <c r="B42" s="46"/>
      <c r="C42" s="47"/>
      <c r="D42" s="47"/>
      <c r="E42" s="47"/>
      <c r="F42" s="47"/>
      <c r="G42" s="48"/>
      <c r="H42" s="46"/>
      <c r="I42" s="47"/>
      <c r="J42" s="47"/>
      <c r="K42" s="47"/>
      <c r="L42" s="47"/>
      <c r="M42" s="47"/>
      <c r="N42" s="48"/>
      <c r="O42" s="46"/>
      <c r="P42" s="47"/>
      <c r="Q42" s="47"/>
      <c r="R42" s="47"/>
      <c r="S42" s="95"/>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7"/>
      <c r="AX42" s="91"/>
      <c r="AY42" s="91"/>
      <c r="AZ42" s="91"/>
      <c r="BA42" s="91"/>
      <c r="BB42" s="91"/>
      <c r="BC42" s="92"/>
      <c r="BD42" s="94"/>
      <c r="BE42" s="91"/>
      <c r="BF42" s="91"/>
      <c r="BG42" s="91"/>
      <c r="BH42" s="91"/>
      <c r="BI42" s="91"/>
      <c r="BJ42" s="92"/>
      <c r="BK42" s="22"/>
    </row>
    <row r="43" spans="1:63" ht="15" customHeight="1">
      <c r="A43" s="21"/>
      <c r="B43" s="40"/>
      <c r="C43" s="41"/>
      <c r="D43" s="41"/>
      <c r="E43" s="41"/>
      <c r="F43" s="41"/>
      <c r="G43" s="42"/>
      <c r="H43" s="40"/>
      <c r="I43" s="41"/>
      <c r="J43" s="41"/>
      <c r="K43" s="41"/>
      <c r="L43" s="41"/>
      <c r="M43" s="41"/>
      <c r="N43" s="42"/>
      <c r="O43" s="40"/>
      <c r="P43" s="41"/>
      <c r="Q43" s="41"/>
      <c r="R43" s="41"/>
      <c r="S43" s="86"/>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8"/>
      <c r="AX43" s="89"/>
      <c r="AY43" s="89"/>
      <c r="AZ43" s="89"/>
      <c r="BA43" s="89"/>
      <c r="BB43" s="89"/>
      <c r="BC43" s="90"/>
      <c r="BD43" s="93"/>
      <c r="BE43" s="89"/>
      <c r="BF43" s="89"/>
      <c r="BG43" s="89"/>
      <c r="BH43" s="89"/>
      <c r="BI43" s="89"/>
      <c r="BJ43" s="90"/>
      <c r="BK43" s="22"/>
    </row>
    <row r="44" spans="1:63" ht="15" customHeight="1">
      <c r="A44" s="21"/>
      <c r="B44" s="46"/>
      <c r="C44" s="47"/>
      <c r="D44" s="47"/>
      <c r="E44" s="47"/>
      <c r="F44" s="47"/>
      <c r="G44" s="48"/>
      <c r="H44" s="46"/>
      <c r="I44" s="47"/>
      <c r="J44" s="47"/>
      <c r="K44" s="47"/>
      <c r="L44" s="47"/>
      <c r="M44" s="47"/>
      <c r="N44" s="48"/>
      <c r="O44" s="46"/>
      <c r="P44" s="47"/>
      <c r="Q44" s="47"/>
      <c r="R44" s="47"/>
      <c r="S44" s="95"/>
      <c r="T44" s="96"/>
      <c r="U44" s="96"/>
      <c r="V44" s="96"/>
      <c r="W44" s="96"/>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7"/>
      <c r="AX44" s="91"/>
      <c r="AY44" s="91"/>
      <c r="AZ44" s="91"/>
      <c r="BA44" s="91"/>
      <c r="BB44" s="91"/>
      <c r="BC44" s="92"/>
      <c r="BD44" s="94"/>
      <c r="BE44" s="91"/>
      <c r="BF44" s="91"/>
      <c r="BG44" s="91"/>
      <c r="BH44" s="91"/>
      <c r="BI44" s="91"/>
      <c r="BJ44" s="92"/>
      <c r="BK44" s="22"/>
    </row>
    <row r="45" spans="1:63" ht="15" customHeight="1">
      <c r="A45" s="21"/>
      <c r="B45" s="40"/>
      <c r="C45" s="41"/>
      <c r="D45" s="41"/>
      <c r="E45" s="41"/>
      <c r="F45" s="41"/>
      <c r="G45" s="42"/>
      <c r="H45" s="40"/>
      <c r="I45" s="41"/>
      <c r="J45" s="41"/>
      <c r="K45" s="41"/>
      <c r="L45" s="41"/>
      <c r="M45" s="41"/>
      <c r="N45" s="42"/>
      <c r="O45" s="40"/>
      <c r="P45" s="41"/>
      <c r="Q45" s="41"/>
      <c r="R45" s="41"/>
      <c r="S45" s="86"/>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8"/>
      <c r="AX45" s="89"/>
      <c r="AY45" s="89"/>
      <c r="AZ45" s="89"/>
      <c r="BA45" s="89"/>
      <c r="BB45" s="89"/>
      <c r="BC45" s="90"/>
      <c r="BD45" s="93"/>
      <c r="BE45" s="89"/>
      <c r="BF45" s="89"/>
      <c r="BG45" s="89"/>
      <c r="BH45" s="89"/>
      <c r="BI45" s="89"/>
      <c r="BJ45" s="90"/>
      <c r="BK45" s="22"/>
    </row>
    <row r="46" spans="1:63" ht="15" customHeight="1">
      <c r="A46" s="21"/>
      <c r="B46" s="46"/>
      <c r="C46" s="47"/>
      <c r="D46" s="47"/>
      <c r="E46" s="47"/>
      <c r="F46" s="47"/>
      <c r="G46" s="48"/>
      <c r="H46" s="46"/>
      <c r="I46" s="47"/>
      <c r="J46" s="47"/>
      <c r="K46" s="47"/>
      <c r="L46" s="47"/>
      <c r="M46" s="47"/>
      <c r="N46" s="48"/>
      <c r="O46" s="46"/>
      <c r="P46" s="47"/>
      <c r="Q46" s="47"/>
      <c r="R46" s="47"/>
      <c r="S46" s="95"/>
      <c r="T46" s="96"/>
      <c r="U46" s="96"/>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7"/>
      <c r="AX46" s="91"/>
      <c r="AY46" s="91"/>
      <c r="AZ46" s="91"/>
      <c r="BA46" s="91"/>
      <c r="BB46" s="91"/>
      <c r="BC46" s="92"/>
      <c r="BD46" s="94"/>
      <c r="BE46" s="91"/>
      <c r="BF46" s="91"/>
      <c r="BG46" s="91"/>
      <c r="BH46" s="91"/>
      <c r="BI46" s="91"/>
      <c r="BJ46" s="92"/>
      <c r="BK46" s="22"/>
    </row>
    <row r="47" spans="1:63" ht="15" customHeight="1">
      <c r="A47" s="21"/>
      <c r="B47" s="40"/>
      <c r="C47" s="41"/>
      <c r="D47" s="41"/>
      <c r="E47" s="41"/>
      <c r="F47" s="41"/>
      <c r="G47" s="42"/>
      <c r="H47" s="40"/>
      <c r="I47" s="41"/>
      <c r="J47" s="41"/>
      <c r="K47" s="41"/>
      <c r="L47" s="41"/>
      <c r="M47" s="41"/>
      <c r="N47" s="42"/>
      <c r="O47" s="40"/>
      <c r="P47" s="41"/>
      <c r="Q47" s="41"/>
      <c r="R47" s="41"/>
      <c r="S47" s="86"/>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8"/>
      <c r="AX47" s="89"/>
      <c r="AY47" s="89"/>
      <c r="AZ47" s="89"/>
      <c r="BA47" s="89"/>
      <c r="BB47" s="89"/>
      <c r="BC47" s="90"/>
      <c r="BD47" s="93"/>
      <c r="BE47" s="89"/>
      <c r="BF47" s="89"/>
      <c r="BG47" s="89"/>
      <c r="BH47" s="89"/>
      <c r="BI47" s="89"/>
      <c r="BJ47" s="90"/>
      <c r="BK47" s="22"/>
    </row>
    <row r="48" spans="1:63" ht="15" customHeight="1">
      <c r="A48" s="21"/>
      <c r="B48" s="46"/>
      <c r="C48" s="47"/>
      <c r="D48" s="47"/>
      <c r="E48" s="47"/>
      <c r="F48" s="47"/>
      <c r="G48" s="48"/>
      <c r="H48" s="46"/>
      <c r="I48" s="47"/>
      <c r="J48" s="47"/>
      <c r="K48" s="47"/>
      <c r="L48" s="47"/>
      <c r="M48" s="47"/>
      <c r="N48" s="48"/>
      <c r="O48" s="46"/>
      <c r="P48" s="47"/>
      <c r="Q48" s="47"/>
      <c r="R48" s="47"/>
      <c r="S48" s="95"/>
      <c r="T48" s="96"/>
      <c r="U48" s="96"/>
      <c r="V48" s="96"/>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7"/>
      <c r="AX48" s="91"/>
      <c r="AY48" s="91"/>
      <c r="AZ48" s="91"/>
      <c r="BA48" s="91"/>
      <c r="BB48" s="91"/>
      <c r="BC48" s="92"/>
      <c r="BD48" s="94"/>
      <c r="BE48" s="91"/>
      <c r="BF48" s="91"/>
      <c r="BG48" s="91"/>
      <c r="BH48" s="91"/>
      <c r="BI48" s="91"/>
      <c r="BJ48" s="92"/>
      <c r="BK48" s="22"/>
    </row>
    <row r="49" spans="1:63" ht="15" customHeight="1">
      <c r="A49" s="21"/>
      <c r="B49" s="40"/>
      <c r="C49" s="41"/>
      <c r="D49" s="41"/>
      <c r="E49" s="41"/>
      <c r="F49" s="41"/>
      <c r="G49" s="42"/>
      <c r="H49" s="40"/>
      <c r="I49" s="41"/>
      <c r="J49" s="41"/>
      <c r="K49" s="41"/>
      <c r="L49" s="41"/>
      <c r="M49" s="41"/>
      <c r="N49" s="42"/>
      <c r="O49" s="40"/>
      <c r="P49" s="41"/>
      <c r="Q49" s="41"/>
      <c r="R49" s="41"/>
      <c r="S49" s="86"/>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8"/>
      <c r="AX49" s="89"/>
      <c r="AY49" s="89"/>
      <c r="AZ49" s="89"/>
      <c r="BA49" s="89"/>
      <c r="BB49" s="89"/>
      <c r="BC49" s="90"/>
      <c r="BD49" s="93"/>
      <c r="BE49" s="89"/>
      <c r="BF49" s="89"/>
      <c r="BG49" s="89"/>
      <c r="BH49" s="89"/>
      <c r="BI49" s="89"/>
      <c r="BJ49" s="90"/>
      <c r="BK49" s="22"/>
    </row>
    <row r="50" spans="1:63" ht="15" customHeight="1">
      <c r="A50" s="21"/>
      <c r="B50" s="46"/>
      <c r="C50" s="47"/>
      <c r="D50" s="47"/>
      <c r="E50" s="47"/>
      <c r="F50" s="47"/>
      <c r="G50" s="48"/>
      <c r="H50" s="46"/>
      <c r="I50" s="47"/>
      <c r="J50" s="47"/>
      <c r="K50" s="47"/>
      <c r="L50" s="47"/>
      <c r="M50" s="47"/>
      <c r="N50" s="48"/>
      <c r="O50" s="46"/>
      <c r="P50" s="47"/>
      <c r="Q50" s="47"/>
      <c r="R50" s="47"/>
      <c r="S50" s="95"/>
      <c r="T50" s="96"/>
      <c r="U50" s="96"/>
      <c r="V50" s="96"/>
      <c r="W50" s="96"/>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7"/>
      <c r="AX50" s="91"/>
      <c r="AY50" s="91"/>
      <c r="AZ50" s="91"/>
      <c r="BA50" s="91"/>
      <c r="BB50" s="91"/>
      <c r="BC50" s="92"/>
      <c r="BD50" s="94"/>
      <c r="BE50" s="91"/>
      <c r="BF50" s="91"/>
      <c r="BG50" s="91"/>
      <c r="BH50" s="91"/>
      <c r="BI50" s="91"/>
      <c r="BJ50" s="92"/>
      <c r="BK50" s="22"/>
    </row>
    <row r="51" spans="1:63" ht="15" customHeight="1">
      <c r="A51" s="21"/>
      <c r="B51" s="40"/>
      <c r="C51" s="41"/>
      <c r="D51" s="41"/>
      <c r="E51" s="41"/>
      <c r="F51" s="41"/>
      <c r="G51" s="42"/>
      <c r="H51" s="40"/>
      <c r="I51" s="41"/>
      <c r="J51" s="41"/>
      <c r="K51" s="41"/>
      <c r="L51" s="41"/>
      <c r="M51" s="41"/>
      <c r="N51" s="42"/>
      <c r="O51" s="40"/>
      <c r="P51" s="41"/>
      <c r="Q51" s="41"/>
      <c r="R51" s="41"/>
      <c r="S51" s="86"/>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8"/>
      <c r="AX51" s="89"/>
      <c r="AY51" s="89"/>
      <c r="AZ51" s="89"/>
      <c r="BA51" s="89"/>
      <c r="BB51" s="89"/>
      <c r="BC51" s="90"/>
      <c r="BD51" s="93"/>
      <c r="BE51" s="89"/>
      <c r="BF51" s="89"/>
      <c r="BG51" s="89"/>
      <c r="BH51" s="89"/>
      <c r="BI51" s="89"/>
      <c r="BJ51" s="90"/>
      <c r="BK51" s="22"/>
    </row>
    <row r="52" spans="1:63" ht="15" customHeight="1">
      <c r="A52" s="21"/>
      <c r="B52" s="46"/>
      <c r="C52" s="47"/>
      <c r="D52" s="47"/>
      <c r="E52" s="47"/>
      <c r="F52" s="47"/>
      <c r="G52" s="48"/>
      <c r="H52" s="46"/>
      <c r="I52" s="47"/>
      <c r="J52" s="47"/>
      <c r="K52" s="47"/>
      <c r="L52" s="47"/>
      <c r="M52" s="47"/>
      <c r="N52" s="48"/>
      <c r="O52" s="46"/>
      <c r="P52" s="47"/>
      <c r="Q52" s="47"/>
      <c r="R52" s="47"/>
      <c r="S52" s="95"/>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7"/>
      <c r="AX52" s="91"/>
      <c r="AY52" s="91"/>
      <c r="AZ52" s="91"/>
      <c r="BA52" s="91"/>
      <c r="BB52" s="91"/>
      <c r="BC52" s="92"/>
      <c r="BD52" s="94"/>
      <c r="BE52" s="91"/>
      <c r="BF52" s="91"/>
      <c r="BG52" s="91"/>
      <c r="BH52" s="91"/>
      <c r="BI52" s="91"/>
      <c r="BJ52" s="92"/>
      <c r="BK52" s="22"/>
    </row>
    <row r="53" spans="1:63" ht="15" customHeight="1">
      <c r="A53" s="21"/>
      <c r="B53" s="40"/>
      <c r="C53" s="41"/>
      <c r="D53" s="41"/>
      <c r="E53" s="41"/>
      <c r="F53" s="41"/>
      <c r="G53" s="42"/>
      <c r="H53" s="40"/>
      <c r="I53" s="41"/>
      <c r="J53" s="41"/>
      <c r="K53" s="41"/>
      <c r="L53" s="41"/>
      <c r="M53" s="41"/>
      <c r="N53" s="42"/>
      <c r="O53" s="40"/>
      <c r="P53" s="41"/>
      <c r="Q53" s="41"/>
      <c r="R53" s="41"/>
      <c r="S53" s="86"/>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8"/>
      <c r="AX53" s="89"/>
      <c r="AY53" s="89"/>
      <c r="AZ53" s="89"/>
      <c r="BA53" s="89"/>
      <c r="BB53" s="89"/>
      <c r="BC53" s="90"/>
      <c r="BD53" s="93"/>
      <c r="BE53" s="89"/>
      <c r="BF53" s="89"/>
      <c r="BG53" s="89"/>
      <c r="BH53" s="89"/>
      <c r="BI53" s="89"/>
      <c r="BJ53" s="90"/>
      <c r="BK53" s="22"/>
    </row>
    <row r="54" spans="1:63" ht="15" customHeight="1">
      <c r="A54" s="21"/>
      <c r="B54" s="46"/>
      <c r="C54" s="47"/>
      <c r="D54" s="47"/>
      <c r="E54" s="47"/>
      <c r="F54" s="47"/>
      <c r="G54" s="48"/>
      <c r="H54" s="46"/>
      <c r="I54" s="47"/>
      <c r="J54" s="47"/>
      <c r="K54" s="47"/>
      <c r="L54" s="47"/>
      <c r="M54" s="47"/>
      <c r="N54" s="48"/>
      <c r="O54" s="46"/>
      <c r="P54" s="47"/>
      <c r="Q54" s="47"/>
      <c r="R54" s="47"/>
      <c r="S54" s="95"/>
      <c r="T54" s="96"/>
      <c r="U54" s="96"/>
      <c r="V54" s="96"/>
      <c r="W54" s="96"/>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7"/>
      <c r="AX54" s="91"/>
      <c r="AY54" s="91"/>
      <c r="AZ54" s="91"/>
      <c r="BA54" s="91"/>
      <c r="BB54" s="91"/>
      <c r="BC54" s="92"/>
      <c r="BD54" s="94"/>
      <c r="BE54" s="91"/>
      <c r="BF54" s="91"/>
      <c r="BG54" s="91"/>
      <c r="BH54" s="91"/>
      <c r="BI54" s="91"/>
      <c r="BJ54" s="92"/>
      <c r="BK54" s="22"/>
    </row>
    <row r="55" spans="1:63" ht="15" customHeight="1">
      <c r="A55" s="18"/>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20"/>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cols>
    <col min="1" max="63" width="2.77734375" style="1" customWidth="1"/>
    <col min="64" max="16384" width="10.109375" style="1"/>
  </cols>
  <sheetData>
    <row r="1" spans="1:63" ht="24.95" customHeight="1">
      <c r="A1" s="106" t="s">
        <v>80</v>
      </c>
      <c r="B1" s="107"/>
      <c r="C1" s="107"/>
      <c r="D1" s="107"/>
      <c r="E1" s="107"/>
      <c r="F1" s="107"/>
      <c r="G1" s="107"/>
      <c r="H1" s="107"/>
      <c r="I1" s="107"/>
      <c r="J1" s="108"/>
      <c r="K1" s="106" t="s">
        <v>81</v>
      </c>
      <c r="L1" s="107"/>
      <c r="M1" s="107"/>
      <c r="N1" s="107"/>
      <c r="O1" s="107"/>
      <c r="P1" s="107"/>
      <c r="Q1" s="107"/>
      <c r="R1" s="107"/>
      <c r="S1" s="107"/>
      <c r="T1" s="107"/>
      <c r="U1" s="107"/>
      <c r="V1" s="108"/>
      <c r="W1" s="109" t="str">
        <f>IF(表紙!W1="","",表紙!W1)</f>
        <v>詳細設計書</v>
      </c>
      <c r="X1" s="110"/>
      <c r="Y1" s="110"/>
      <c r="Z1" s="110"/>
      <c r="AA1" s="110"/>
      <c r="AB1" s="110"/>
      <c r="AC1" s="110"/>
      <c r="AD1" s="110"/>
      <c r="AE1" s="110"/>
      <c r="AF1" s="110"/>
      <c r="AG1" s="110"/>
      <c r="AH1" s="110"/>
      <c r="AI1" s="110"/>
      <c r="AJ1" s="110"/>
      <c r="AK1" s="110"/>
      <c r="AL1" s="110"/>
      <c r="AM1" s="110"/>
      <c r="AN1" s="110"/>
      <c r="AO1" s="111"/>
      <c r="AP1" s="55" t="s">
        <v>83</v>
      </c>
      <c r="AQ1" s="56"/>
      <c r="AR1" s="56"/>
      <c r="AS1" s="57"/>
      <c r="AT1" s="55" t="s">
        <v>84</v>
      </c>
      <c r="AU1" s="56"/>
      <c r="AV1" s="56"/>
      <c r="AW1" s="56"/>
      <c r="AX1" s="57"/>
      <c r="AY1" s="55" t="s">
        <v>85</v>
      </c>
      <c r="AZ1" s="56"/>
      <c r="BA1" s="56"/>
      <c r="BB1" s="57"/>
      <c r="BC1" s="55" t="s">
        <v>86</v>
      </c>
      <c r="BD1" s="56"/>
      <c r="BE1" s="56"/>
      <c r="BF1" s="56"/>
      <c r="BG1" s="57"/>
      <c r="BH1" s="55" t="s">
        <v>87</v>
      </c>
      <c r="BI1" s="56"/>
      <c r="BJ1" s="56"/>
      <c r="BK1" s="57"/>
    </row>
    <row r="2" spans="1:63" ht="15" customHeight="1">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12"/>
      <c r="X2" s="113"/>
      <c r="Y2" s="113"/>
      <c r="Z2" s="113"/>
      <c r="AA2" s="113"/>
      <c r="AB2" s="113"/>
      <c r="AC2" s="113"/>
      <c r="AD2" s="113"/>
      <c r="AE2" s="113"/>
      <c r="AF2" s="113"/>
      <c r="AG2" s="113"/>
      <c r="AH2" s="113"/>
      <c r="AI2" s="113"/>
      <c r="AJ2" s="113"/>
      <c r="AK2" s="113"/>
      <c r="AL2" s="113"/>
      <c r="AM2" s="113"/>
      <c r="AN2" s="113"/>
      <c r="AO2" s="114"/>
      <c r="AP2" s="40" t="str">
        <f>IF(表紙!AP2="","",表紙!AP2)</f>
        <v>DuNT</v>
      </c>
      <c r="AQ2" s="41"/>
      <c r="AR2" s="41"/>
      <c r="AS2" s="42"/>
      <c r="AT2" s="70">
        <f>IF(表紙!AT2="","",表紙!AT2)</f>
        <v>45508</v>
      </c>
      <c r="AU2" s="71"/>
      <c r="AV2" s="71"/>
      <c r="AW2" s="71"/>
      <c r="AX2" s="72"/>
      <c r="AY2" s="40" t="str">
        <f>IF(表紙!AY2="","",表紙!AY2)</f>
        <v>DuNT</v>
      </c>
      <c r="AZ2" s="41"/>
      <c r="BA2" s="41"/>
      <c r="BB2" s="42"/>
      <c r="BC2" s="70">
        <f>IF(表紙!BC2="","",表紙!BC2)</f>
        <v>45508</v>
      </c>
      <c r="BD2" s="71"/>
      <c r="BE2" s="71"/>
      <c r="BF2" s="71"/>
      <c r="BG2" s="72"/>
      <c r="BH2" s="40">
        <f>IF(表紙!BH2="","",表紙!BH2)</f>
        <v>0.1</v>
      </c>
      <c r="BI2" s="41"/>
      <c r="BJ2" s="41"/>
      <c r="BK2" s="42"/>
    </row>
    <row r="3" spans="1:63" ht="15" customHeight="1">
      <c r="A3" s="103"/>
      <c r="B3" s="104"/>
      <c r="C3" s="104"/>
      <c r="D3" s="104"/>
      <c r="E3" s="104"/>
      <c r="F3" s="104"/>
      <c r="G3" s="104"/>
      <c r="H3" s="104"/>
      <c r="I3" s="104"/>
      <c r="J3" s="105"/>
      <c r="K3" s="103"/>
      <c r="L3" s="104"/>
      <c r="M3" s="104"/>
      <c r="N3" s="104"/>
      <c r="O3" s="104"/>
      <c r="P3" s="104"/>
      <c r="Q3" s="104"/>
      <c r="R3" s="104"/>
      <c r="S3" s="104"/>
      <c r="T3" s="104"/>
      <c r="U3" s="104"/>
      <c r="V3" s="105"/>
      <c r="W3" s="115"/>
      <c r="X3" s="116"/>
      <c r="Y3" s="116"/>
      <c r="Z3" s="116"/>
      <c r="AA3" s="116"/>
      <c r="AB3" s="116"/>
      <c r="AC3" s="116"/>
      <c r="AD3" s="116"/>
      <c r="AE3" s="116"/>
      <c r="AF3" s="116"/>
      <c r="AG3" s="116"/>
      <c r="AH3" s="116"/>
      <c r="AI3" s="116"/>
      <c r="AJ3" s="116"/>
      <c r="AK3" s="116"/>
      <c r="AL3" s="116"/>
      <c r="AM3" s="116"/>
      <c r="AN3" s="116"/>
      <c r="AO3" s="117"/>
      <c r="AP3" s="46"/>
      <c r="AQ3" s="47"/>
      <c r="AR3" s="47"/>
      <c r="AS3" s="48"/>
      <c r="AT3" s="73"/>
      <c r="AU3" s="74"/>
      <c r="AV3" s="74"/>
      <c r="AW3" s="74"/>
      <c r="AX3" s="75"/>
      <c r="AY3" s="46"/>
      <c r="AZ3" s="47"/>
      <c r="BA3" s="47"/>
      <c r="BB3" s="48"/>
      <c r="BC3" s="73"/>
      <c r="BD3" s="74"/>
      <c r="BE3" s="74"/>
      <c r="BF3" s="74"/>
      <c r="BG3" s="75"/>
      <c r="BH3" s="46"/>
      <c r="BI3" s="47"/>
      <c r="BJ3" s="47"/>
      <c r="BK3" s="48"/>
    </row>
    <row r="4" spans="1:63" ht="24.95" customHeight="1">
      <c r="A4" s="106" t="s">
        <v>89</v>
      </c>
      <c r="B4" s="107"/>
      <c r="C4" s="107"/>
      <c r="D4" s="107"/>
      <c r="E4" s="107"/>
      <c r="F4" s="107"/>
      <c r="G4" s="108"/>
      <c r="H4" s="118" t="str">
        <f>IF(表紙!H4="","",表紙!H4)</f>
        <v>API_00_Common</v>
      </c>
      <c r="I4" s="119"/>
      <c r="J4" s="119"/>
      <c r="K4" s="119"/>
      <c r="L4" s="119"/>
      <c r="M4" s="119"/>
      <c r="N4" s="119"/>
      <c r="O4" s="119"/>
      <c r="P4" s="119"/>
      <c r="Q4" s="119"/>
      <c r="R4" s="119"/>
      <c r="S4" s="119"/>
      <c r="T4" s="120"/>
      <c r="U4" s="106" t="s">
        <v>90</v>
      </c>
      <c r="V4" s="107"/>
      <c r="W4" s="107"/>
      <c r="X4" s="107"/>
      <c r="Y4" s="108"/>
      <c r="Z4" s="118" t="str">
        <f>IF(表紙!Z4="","",表紙!Z4)</f>
        <v>API設計書</v>
      </c>
      <c r="AA4" s="119"/>
      <c r="AB4" s="119"/>
      <c r="AC4" s="119"/>
      <c r="AD4" s="119"/>
      <c r="AE4" s="119"/>
      <c r="AF4" s="119"/>
      <c r="AG4" s="119"/>
      <c r="AH4" s="119"/>
      <c r="AI4" s="119"/>
      <c r="AJ4" s="119"/>
      <c r="AK4" s="119"/>
      <c r="AL4" s="119"/>
      <c r="AM4" s="119"/>
      <c r="AN4" s="119"/>
      <c r="AO4" s="120"/>
      <c r="AP4" s="121" t="str">
        <f ca="1">MID(CELL("filename",A1),FIND("]",CELL("filename",A1))+1,255)</f>
        <v>処理フロー凡例</v>
      </c>
      <c r="AQ4" s="119"/>
      <c r="AR4" s="119"/>
      <c r="AS4" s="119"/>
      <c r="AT4" s="119"/>
      <c r="AU4" s="119"/>
      <c r="AV4" s="119"/>
      <c r="AW4" s="119"/>
      <c r="AX4" s="119"/>
      <c r="AY4" s="119"/>
      <c r="AZ4" s="119"/>
      <c r="BA4" s="119"/>
      <c r="BB4" s="119"/>
      <c r="BC4" s="119"/>
      <c r="BD4" s="119"/>
      <c r="BE4" s="119"/>
      <c r="BF4" s="119"/>
      <c r="BG4" s="119"/>
      <c r="BH4" s="119"/>
      <c r="BI4" s="119"/>
      <c r="BJ4" s="119"/>
      <c r="BK4" s="120"/>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17" customFormat="1" ht="15" customHeight="1">
      <c r="A7" s="33"/>
      <c r="B7" s="34" t="s">
        <v>98</v>
      </c>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6"/>
      <c r="AF7" s="37"/>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6"/>
      <c r="BJ7" s="35"/>
      <c r="BK7" s="38"/>
    </row>
    <row r="8" spans="1:63" s="39" customFormat="1" ht="15" customHeight="1">
      <c r="BK8" s="38"/>
    </row>
    <row r="9" spans="1:63" s="39" customFormat="1" ht="15" customHeight="1">
      <c r="BK9" s="38"/>
    </row>
    <row r="10" spans="1:63" s="39" customFormat="1" ht="15" customHeight="1">
      <c r="BK10" s="38"/>
    </row>
    <row r="11" spans="1:63" s="39" customFormat="1" ht="15" customHeight="1">
      <c r="BK11" s="38"/>
    </row>
    <row r="12" spans="1:63" s="39" customFormat="1" ht="15" customHeight="1">
      <c r="BK12" s="38"/>
    </row>
    <row r="13" spans="1:63" s="39" customFormat="1" ht="15" customHeight="1">
      <c r="BK13" s="38"/>
    </row>
    <row r="14" spans="1:63" s="39" customFormat="1" ht="15" customHeight="1">
      <c r="BK14" s="38"/>
    </row>
    <row r="15" spans="1:63" s="39" customFormat="1" ht="15" customHeight="1">
      <c r="BK15" s="38"/>
    </row>
    <row r="16" spans="1:63" s="39" customFormat="1" ht="15" customHeight="1">
      <c r="BK16" s="38"/>
    </row>
    <row r="17" spans="63:63" s="39" customFormat="1" ht="15" customHeight="1">
      <c r="BK17" s="38"/>
    </row>
    <row r="18" spans="63:63" s="39" customFormat="1" ht="15" customHeight="1">
      <c r="BK18" s="38"/>
    </row>
    <row r="19" spans="63:63" s="39" customFormat="1" ht="15" customHeight="1">
      <c r="BK19" s="38"/>
    </row>
    <row r="20" spans="63:63" s="39" customFormat="1" ht="15" customHeight="1">
      <c r="BK20" s="38"/>
    </row>
    <row r="21" spans="63:63" s="39" customFormat="1" ht="15" customHeight="1">
      <c r="BK21" s="38"/>
    </row>
    <row r="22" spans="63:63" s="39" customFormat="1" ht="15" customHeight="1">
      <c r="BK22" s="38"/>
    </row>
    <row r="23" spans="63:63" s="39" customFormat="1" ht="15" customHeight="1">
      <c r="BK23" s="38"/>
    </row>
    <row r="24" spans="63:63" s="39" customFormat="1" ht="15" customHeight="1">
      <c r="BK24" s="38"/>
    </row>
    <row r="25" spans="63:63" s="39" customFormat="1" ht="15" customHeight="1">
      <c r="BK25" s="38"/>
    </row>
    <row r="26" spans="63:63" s="39" customFormat="1" ht="15" customHeight="1">
      <c r="BK26" s="38"/>
    </row>
    <row r="27" spans="63:63" s="39" customFormat="1" ht="15" customHeight="1">
      <c r="BK27" s="38"/>
    </row>
    <row r="28" spans="63:63" s="39" customFormat="1" ht="15" customHeight="1">
      <c r="BK28" s="38"/>
    </row>
    <row r="29" spans="63:63" s="39" customFormat="1" ht="15" customHeight="1">
      <c r="BK29" s="38"/>
    </row>
    <row r="30" spans="63:63" s="39" customFormat="1" ht="15" customHeight="1">
      <c r="BK30" s="38"/>
    </row>
    <row r="31" spans="63:63" s="39" customFormat="1" ht="15" customHeight="1">
      <c r="BK31" s="38"/>
    </row>
    <row r="32" spans="63:63" s="39" customFormat="1" ht="15" customHeight="1">
      <c r="BK32" s="38"/>
    </row>
    <row r="33" spans="63:63" s="39" customFormat="1" ht="15" customHeight="1">
      <c r="BK33" s="38"/>
    </row>
    <row r="34" spans="63:63" s="39" customFormat="1" ht="15" customHeight="1">
      <c r="BK34" s="38"/>
    </row>
    <row r="35" spans="63:63" s="39" customFormat="1" ht="15" customHeight="1">
      <c r="BK35" s="38"/>
    </row>
    <row r="36" spans="63:63" s="39" customFormat="1" ht="15" customHeight="1">
      <c r="BK36" s="38"/>
    </row>
    <row r="37" spans="63:63" s="39" customFormat="1" ht="15" customHeight="1">
      <c r="BK37" s="38"/>
    </row>
    <row r="38" spans="63:63" s="39" customFormat="1" ht="15" customHeight="1">
      <c r="BK38" s="38"/>
    </row>
    <row r="39" spans="63:63" s="39" customFormat="1" ht="15" customHeight="1">
      <c r="BK39" s="38"/>
    </row>
    <row r="40" spans="63:63" s="39" customFormat="1" ht="15" customHeight="1">
      <c r="BK40" s="38"/>
    </row>
    <row r="41" spans="63:63" s="39" customFormat="1" ht="15" customHeight="1">
      <c r="BK41" s="38"/>
    </row>
    <row r="42" spans="63:63" s="39" customFormat="1" ht="15" customHeight="1">
      <c r="BK42" s="38"/>
    </row>
    <row r="43" spans="63:63" s="39" customFormat="1" ht="15" customHeight="1">
      <c r="BK43" s="38"/>
    </row>
    <row r="44" spans="63:63" s="39" customFormat="1" ht="15" customHeight="1">
      <c r="BK44" s="38"/>
    </row>
    <row r="45" spans="63:63" s="39" customFormat="1" ht="15" customHeight="1">
      <c r="BK45" s="38"/>
    </row>
    <row r="46" spans="63:63" s="39" customFormat="1" ht="15" customHeight="1">
      <c r="BK46" s="38"/>
    </row>
    <row r="47" spans="63:63" ht="15" customHeight="1">
      <c r="BK47" s="5"/>
    </row>
    <row r="48" spans="63:63" ht="15" customHeight="1">
      <c r="BK48" s="5"/>
    </row>
    <row r="49" spans="1:63" ht="15" customHeight="1">
      <c r="BK49" s="5"/>
    </row>
    <row r="50" spans="1:63" ht="15" customHeight="1">
      <c r="BK50" s="5"/>
    </row>
    <row r="51" spans="1:63" ht="15" customHeight="1">
      <c r="BK51" s="5"/>
    </row>
    <row r="52" spans="1:63" ht="15" customHeight="1">
      <c r="BK52" s="5"/>
    </row>
    <row r="53" spans="1:63" ht="15" customHeight="1">
      <c r="BK53" s="5"/>
    </row>
    <row r="54" spans="1:63" ht="1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47FFF-3BE0-4B41-AD52-FA20697C9D57}">
  <sheetPr>
    <pageSetUpPr fitToPage="1"/>
  </sheetPr>
  <dimension ref="A1:BK53"/>
  <sheetViews>
    <sheetView view="pageBreakPreview" zoomScale="85" zoomScaleNormal="100" zoomScaleSheetLayoutView="85" workbookViewId="0">
      <selection sqref="A1:J1"/>
    </sheetView>
  </sheetViews>
  <sheetFormatPr defaultColWidth="10.109375" defaultRowHeight="15.75"/>
  <cols>
    <col min="1" max="63" width="2.77734375" style="1" customWidth="1"/>
    <col min="64" max="16384" width="10.109375" style="1"/>
  </cols>
  <sheetData>
    <row r="1" spans="1:63" ht="24.95" customHeight="1">
      <c r="A1" s="106" t="s">
        <v>80</v>
      </c>
      <c r="B1" s="107"/>
      <c r="C1" s="107"/>
      <c r="D1" s="107"/>
      <c r="E1" s="107"/>
      <c r="F1" s="107"/>
      <c r="G1" s="107"/>
      <c r="H1" s="107"/>
      <c r="I1" s="107"/>
      <c r="J1" s="108"/>
      <c r="K1" s="106" t="s">
        <v>81</v>
      </c>
      <c r="L1" s="107"/>
      <c r="M1" s="107"/>
      <c r="N1" s="107"/>
      <c r="O1" s="107"/>
      <c r="P1" s="107"/>
      <c r="Q1" s="107"/>
      <c r="R1" s="107"/>
      <c r="S1" s="107"/>
      <c r="T1" s="107"/>
      <c r="U1" s="107"/>
      <c r="V1" s="108"/>
      <c r="W1" s="109" t="str">
        <f>IF(表紙!W1="","",表紙!W1)</f>
        <v>詳細設計書</v>
      </c>
      <c r="X1" s="110"/>
      <c r="Y1" s="110"/>
      <c r="Z1" s="110"/>
      <c r="AA1" s="110"/>
      <c r="AB1" s="110"/>
      <c r="AC1" s="110"/>
      <c r="AD1" s="110"/>
      <c r="AE1" s="110"/>
      <c r="AF1" s="110"/>
      <c r="AG1" s="110"/>
      <c r="AH1" s="110"/>
      <c r="AI1" s="110"/>
      <c r="AJ1" s="110"/>
      <c r="AK1" s="110"/>
      <c r="AL1" s="110"/>
      <c r="AM1" s="110"/>
      <c r="AN1" s="110"/>
      <c r="AO1" s="111"/>
      <c r="AP1" s="55" t="s">
        <v>83</v>
      </c>
      <c r="AQ1" s="56"/>
      <c r="AR1" s="56"/>
      <c r="AS1" s="57"/>
      <c r="AT1" s="55" t="s">
        <v>84</v>
      </c>
      <c r="AU1" s="56"/>
      <c r="AV1" s="56"/>
      <c r="AW1" s="56"/>
      <c r="AX1" s="57"/>
      <c r="AY1" s="55" t="s">
        <v>85</v>
      </c>
      <c r="AZ1" s="56"/>
      <c r="BA1" s="56"/>
      <c r="BB1" s="57"/>
      <c r="BC1" s="55" t="s">
        <v>86</v>
      </c>
      <c r="BD1" s="56"/>
      <c r="BE1" s="56"/>
      <c r="BF1" s="56"/>
      <c r="BG1" s="57"/>
      <c r="BH1" s="55" t="s">
        <v>87</v>
      </c>
      <c r="BI1" s="56"/>
      <c r="BJ1" s="56"/>
      <c r="BK1" s="57"/>
    </row>
    <row r="2" spans="1:63" ht="15" customHeight="1">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12"/>
      <c r="X2" s="113"/>
      <c r="Y2" s="113"/>
      <c r="Z2" s="113"/>
      <c r="AA2" s="113"/>
      <c r="AB2" s="113"/>
      <c r="AC2" s="113"/>
      <c r="AD2" s="113"/>
      <c r="AE2" s="113"/>
      <c r="AF2" s="113"/>
      <c r="AG2" s="113"/>
      <c r="AH2" s="113"/>
      <c r="AI2" s="113"/>
      <c r="AJ2" s="113"/>
      <c r="AK2" s="113"/>
      <c r="AL2" s="113"/>
      <c r="AM2" s="113"/>
      <c r="AN2" s="113"/>
      <c r="AO2" s="114"/>
      <c r="AP2" s="40" t="str">
        <f>IF(表紙!AP2="","",表紙!AP2)</f>
        <v>DuNT</v>
      </c>
      <c r="AQ2" s="41"/>
      <c r="AR2" s="41"/>
      <c r="AS2" s="42"/>
      <c r="AT2" s="70">
        <f>IF(表紙!AT2="","",表紙!AT2)</f>
        <v>45508</v>
      </c>
      <c r="AU2" s="71"/>
      <c r="AV2" s="71"/>
      <c r="AW2" s="71"/>
      <c r="AX2" s="72"/>
      <c r="AY2" s="40" t="str">
        <f>IF(表紙!AY2="","",表紙!AY2)</f>
        <v>DuNT</v>
      </c>
      <c r="AZ2" s="41"/>
      <c r="BA2" s="41"/>
      <c r="BB2" s="42"/>
      <c r="BC2" s="70">
        <f>IF(表紙!BC2="","",表紙!BC2)</f>
        <v>45508</v>
      </c>
      <c r="BD2" s="71"/>
      <c r="BE2" s="71"/>
      <c r="BF2" s="71"/>
      <c r="BG2" s="72"/>
      <c r="BH2" s="40">
        <f>IF(表紙!BH2="","",表紙!BH2)</f>
        <v>0.1</v>
      </c>
      <c r="BI2" s="41"/>
      <c r="BJ2" s="41"/>
      <c r="BK2" s="42"/>
    </row>
    <row r="3" spans="1:63" ht="15" customHeight="1">
      <c r="A3" s="103"/>
      <c r="B3" s="104"/>
      <c r="C3" s="104"/>
      <c r="D3" s="104"/>
      <c r="E3" s="104"/>
      <c r="F3" s="104"/>
      <c r="G3" s="104"/>
      <c r="H3" s="104"/>
      <c r="I3" s="104"/>
      <c r="J3" s="105"/>
      <c r="K3" s="103"/>
      <c r="L3" s="104"/>
      <c r="M3" s="104"/>
      <c r="N3" s="104"/>
      <c r="O3" s="104"/>
      <c r="P3" s="104"/>
      <c r="Q3" s="104"/>
      <c r="R3" s="104"/>
      <c r="S3" s="104"/>
      <c r="T3" s="104"/>
      <c r="U3" s="104"/>
      <c r="V3" s="105"/>
      <c r="W3" s="115"/>
      <c r="X3" s="116"/>
      <c r="Y3" s="116"/>
      <c r="Z3" s="116"/>
      <c r="AA3" s="116"/>
      <c r="AB3" s="116"/>
      <c r="AC3" s="116"/>
      <c r="AD3" s="116"/>
      <c r="AE3" s="116"/>
      <c r="AF3" s="116"/>
      <c r="AG3" s="116"/>
      <c r="AH3" s="116"/>
      <c r="AI3" s="116"/>
      <c r="AJ3" s="116"/>
      <c r="AK3" s="116"/>
      <c r="AL3" s="116"/>
      <c r="AM3" s="116"/>
      <c r="AN3" s="116"/>
      <c r="AO3" s="117"/>
      <c r="AP3" s="46"/>
      <c r="AQ3" s="47"/>
      <c r="AR3" s="47"/>
      <c r="AS3" s="48"/>
      <c r="AT3" s="73"/>
      <c r="AU3" s="74"/>
      <c r="AV3" s="74"/>
      <c r="AW3" s="74"/>
      <c r="AX3" s="75"/>
      <c r="AY3" s="46"/>
      <c r="AZ3" s="47"/>
      <c r="BA3" s="47"/>
      <c r="BB3" s="48"/>
      <c r="BC3" s="73"/>
      <c r="BD3" s="74"/>
      <c r="BE3" s="74"/>
      <c r="BF3" s="74"/>
      <c r="BG3" s="75"/>
      <c r="BH3" s="46"/>
      <c r="BI3" s="47"/>
      <c r="BJ3" s="47"/>
      <c r="BK3" s="48"/>
    </row>
    <row r="4" spans="1:63" ht="24.95" customHeight="1">
      <c r="A4" s="106" t="s">
        <v>89</v>
      </c>
      <c r="B4" s="107"/>
      <c r="C4" s="107"/>
      <c r="D4" s="107"/>
      <c r="E4" s="107"/>
      <c r="F4" s="107"/>
      <c r="G4" s="108"/>
      <c r="H4" s="118" t="str">
        <f>IF(表紙!H4="","",表紙!H4)</f>
        <v>API_00_Common</v>
      </c>
      <c r="I4" s="119"/>
      <c r="J4" s="119"/>
      <c r="K4" s="119"/>
      <c r="L4" s="119"/>
      <c r="M4" s="119"/>
      <c r="N4" s="119"/>
      <c r="O4" s="119"/>
      <c r="P4" s="119"/>
      <c r="Q4" s="119"/>
      <c r="R4" s="119"/>
      <c r="S4" s="119"/>
      <c r="T4" s="120"/>
      <c r="U4" s="106" t="s">
        <v>90</v>
      </c>
      <c r="V4" s="107"/>
      <c r="W4" s="107"/>
      <c r="X4" s="107"/>
      <c r="Y4" s="108"/>
      <c r="Z4" s="118" t="str">
        <f>IF(表紙!Z4="","",表紙!Z4)</f>
        <v>API設計書</v>
      </c>
      <c r="AA4" s="119"/>
      <c r="AB4" s="119"/>
      <c r="AC4" s="119"/>
      <c r="AD4" s="119"/>
      <c r="AE4" s="119"/>
      <c r="AF4" s="119"/>
      <c r="AG4" s="119"/>
      <c r="AH4" s="119"/>
      <c r="AI4" s="119"/>
      <c r="AJ4" s="119"/>
      <c r="AK4" s="119"/>
      <c r="AL4" s="119"/>
      <c r="AM4" s="119"/>
      <c r="AN4" s="119"/>
      <c r="AO4" s="120"/>
      <c r="AP4" s="121" t="str">
        <f ca="1">MID(CELL("filename",A1),FIND("]",CELL("filename",A1))+1,255)</f>
        <v>ルール</v>
      </c>
      <c r="AQ4" s="119"/>
      <c r="AR4" s="119"/>
      <c r="AS4" s="119"/>
      <c r="AT4" s="119"/>
      <c r="AU4" s="119"/>
      <c r="AV4" s="119"/>
      <c r="AW4" s="119"/>
      <c r="AX4" s="119"/>
      <c r="AY4" s="119"/>
      <c r="AZ4" s="119"/>
      <c r="BA4" s="119"/>
      <c r="BB4" s="119"/>
      <c r="BC4" s="119"/>
      <c r="BD4" s="119"/>
      <c r="BE4" s="119"/>
      <c r="BF4" s="119"/>
      <c r="BG4" s="119"/>
      <c r="BH4" s="119"/>
      <c r="BI4" s="119"/>
      <c r="BJ4" s="119"/>
      <c r="BK4" s="120"/>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39" customFormat="1" ht="15" customHeight="1">
      <c r="B7" s="179" t="s">
        <v>99</v>
      </c>
      <c r="C7" s="180"/>
      <c r="D7" s="180"/>
      <c r="E7" s="180"/>
      <c r="F7" s="180"/>
      <c r="G7" s="180"/>
      <c r="H7" s="180"/>
      <c r="I7" s="180"/>
      <c r="J7" s="180"/>
      <c r="K7" s="180"/>
      <c r="L7" s="180"/>
      <c r="M7" s="180"/>
      <c r="N7" s="180"/>
      <c r="O7" s="180"/>
      <c r="BK7" s="38"/>
    </row>
    <row r="8" spans="1:63" s="39" customFormat="1" ht="15" customHeight="1">
      <c r="B8" s="180"/>
      <c r="C8" s="181" t="s">
        <v>100</v>
      </c>
      <c r="D8" s="180"/>
      <c r="E8" s="180"/>
      <c r="F8" s="180"/>
      <c r="G8" s="180"/>
      <c r="H8" s="180"/>
      <c r="I8" s="180"/>
      <c r="J8" s="180"/>
      <c r="K8" s="180"/>
      <c r="L8" s="180"/>
      <c r="M8" s="180"/>
      <c r="N8" s="180"/>
      <c r="O8" s="180"/>
      <c r="BK8" s="38"/>
    </row>
    <row r="9" spans="1:63" s="39" customFormat="1" ht="15" customHeight="1">
      <c r="B9" s="180"/>
      <c r="C9" s="181" t="s">
        <v>101</v>
      </c>
      <c r="D9" s="180"/>
      <c r="E9" s="180"/>
      <c r="F9" s="180"/>
      <c r="G9" s="180"/>
      <c r="H9" s="180"/>
      <c r="I9" s="180"/>
      <c r="J9" s="180"/>
      <c r="K9" s="180"/>
      <c r="L9" s="180"/>
      <c r="M9" s="180"/>
      <c r="N9" s="180"/>
      <c r="O9" s="180"/>
      <c r="BK9" s="38"/>
    </row>
    <row r="10" spans="1:63" s="39" customFormat="1" ht="15" customHeight="1">
      <c r="B10" s="180"/>
      <c r="C10" s="181" t="s">
        <v>102</v>
      </c>
      <c r="D10" s="180"/>
      <c r="E10" s="180"/>
      <c r="F10" s="180"/>
      <c r="G10" s="180"/>
      <c r="H10" s="180"/>
      <c r="I10" s="180"/>
      <c r="J10" s="180"/>
      <c r="K10" s="180"/>
      <c r="L10" s="180"/>
      <c r="M10" s="180"/>
      <c r="N10" s="180"/>
      <c r="O10" s="180"/>
      <c r="BK10" s="38"/>
    </row>
    <row r="11" spans="1:63" s="39" customFormat="1" ht="15" customHeight="1">
      <c r="BK11" s="38"/>
    </row>
    <row r="12" spans="1:63" s="39" customFormat="1" ht="15" customHeight="1">
      <c r="BK12" s="38"/>
    </row>
    <row r="13" spans="1:63" s="39" customFormat="1" ht="15" customHeight="1">
      <c r="BK13" s="38"/>
    </row>
    <row r="14" spans="1:63" s="39" customFormat="1" ht="15" customHeight="1">
      <c r="BK14" s="38"/>
    </row>
    <row r="15" spans="1:63" s="39" customFormat="1" ht="15" customHeight="1">
      <c r="BK15" s="38"/>
    </row>
    <row r="16" spans="1:63" s="39" customFormat="1" ht="15" customHeight="1">
      <c r="BK16" s="38"/>
    </row>
    <row r="17" spans="63:63" s="39" customFormat="1" ht="15" customHeight="1">
      <c r="BK17" s="38"/>
    </row>
    <row r="18" spans="63:63" s="39" customFormat="1" ht="15" customHeight="1">
      <c r="BK18" s="38"/>
    </row>
    <row r="19" spans="63:63" s="39" customFormat="1" ht="15" customHeight="1">
      <c r="BK19" s="38"/>
    </row>
    <row r="20" spans="63:63" s="39" customFormat="1" ht="15" customHeight="1">
      <c r="BK20" s="38"/>
    </row>
    <row r="21" spans="63:63" s="39" customFormat="1" ht="15" customHeight="1">
      <c r="BK21" s="38"/>
    </row>
    <row r="22" spans="63:63" s="39" customFormat="1" ht="15" customHeight="1">
      <c r="BK22" s="38"/>
    </row>
    <row r="23" spans="63:63" s="39" customFormat="1" ht="15" customHeight="1">
      <c r="BK23" s="38"/>
    </row>
    <row r="24" spans="63:63" s="39" customFormat="1" ht="15" customHeight="1">
      <c r="BK24" s="38"/>
    </row>
    <row r="25" spans="63:63" s="39" customFormat="1" ht="15" customHeight="1">
      <c r="BK25" s="38"/>
    </row>
    <row r="26" spans="63:63" s="39" customFormat="1" ht="15" customHeight="1">
      <c r="BK26" s="38"/>
    </row>
    <row r="27" spans="63:63" s="39" customFormat="1" ht="15" customHeight="1">
      <c r="BK27" s="38"/>
    </row>
    <row r="28" spans="63:63" s="39" customFormat="1" ht="15" customHeight="1">
      <c r="BK28" s="38"/>
    </row>
    <row r="29" spans="63:63" s="39" customFormat="1" ht="15" customHeight="1">
      <c r="BK29" s="38"/>
    </row>
    <row r="30" spans="63:63" s="39" customFormat="1" ht="15" customHeight="1">
      <c r="BK30" s="38"/>
    </row>
    <row r="31" spans="63:63" s="39" customFormat="1" ht="15" customHeight="1">
      <c r="BK31" s="38"/>
    </row>
    <row r="32" spans="63:63" s="39" customFormat="1" ht="15" customHeight="1">
      <c r="BK32" s="38"/>
    </row>
    <row r="33" spans="63:63" s="39" customFormat="1" ht="15" customHeight="1">
      <c r="BK33" s="38"/>
    </row>
    <row r="34" spans="63:63" s="39" customFormat="1" ht="15" customHeight="1">
      <c r="BK34" s="38"/>
    </row>
    <row r="35" spans="63:63" s="39" customFormat="1" ht="15" customHeight="1">
      <c r="BK35" s="38"/>
    </row>
    <row r="36" spans="63:63" s="39" customFormat="1" ht="15" customHeight="1">
      <c r="BK36" s="38"/>
    </row>
    <row r="37" spans="63:63" s="39" customFormat="1" ht="15" customHeight="1">
      <c r="BK37" s="38"/>
    </row>
    <row r="38" spans="63:63" s="39" customFormat="1" ht="15" customHeight="1">
      <c r="BK38" s="38"/>
    </row>
    <row r="39" spans="63:63" s="39" customFormat="1" ht="15" customHeight="1">
      <c r="BK39" s="38"/>
    </row>
    <row r="40" spans="63:63" s="39" customFormat="1" ht="15" customHeight="1">
      <c r="BK40" s="38"/>
    </row>
    <row r="41" spans="63:63" s="39" customFormat="1" ht="15" customHeight="1">
      <c r="BK41" s="38"/>
    </row>
    <row r="42" spans="63:63" s="39" customFormat="1" ht="15" customHeight="1">
      <c r="BK42" s="38"/>
    </row>
    <row r="43" spans="63:63" s="39" customFormat="1" ht="15" customHeight="1">
      <c r="BK43" s="38"/>
    </row>
    <row r="44" spans="63:63" s="39" customFormat="1" ht="15" customHeight="1">
      <c r="BK44" s="38"/>
    </row>
    <row r="45" spans="63:63" s="39" customFormat="1" ht="15" customHeight="1">
      <c r="BK45" s="38"/>
    </row>
    <row r="46" spans="63:63" ht="15" customHeight="1">
      <c r="BK46" s="5"/>
    </row>
    <row r="47" spans="63:63" ht="15" customHeight="1">
      <c r="BK47" s="5"/>
    </row>
    <row r="48" spans="63:63" ht="15" customHeight="1">
      <c r="BK48" s="5"/>
    </row>
    <row r="49" spans="1:63" ht="15" customHeight="1">
      <c r="BK49" s="5"/>
    </row>
    <row r="50" spans="1:63" ht="15" customHeight="1">
      <c r="BK50" s="5"/>
    </row>
    <row r="51" spans="1:63" ht="15" customHeight="1">
      <c r="BK51" s="5"/>
    </row>
    <row r="52" spans="1:63" ht="15" customHeight="1">
      <c r="BK52" s="5"/>
    </row>
    <row r="53" spans="1:63" ht="1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pageSetUpPr fitToPage="1"/>
  </sheetPr>
  <dimension ref="A1:BK118"/>
  <sheetViews>
    <sheetView view="pageBreakPreview" topLeftCell="A7" zoomScale="85" zoomScaleNormal="100" zoomScaleSheetLayoutView="85" zoomScalePageLayoutView="70" workbookViewId="0">
      <selection sqref="A1:J1"/>
    </sheetView>
  </sheetViews>
  <sheetFormatPr defaultColWidth="10.109375" defaultRowHeight="15.75"/>
  <cols>
    <col min="1" max="63" width="2.77734375" style="1" customWidth="1"/>
    <col min="64" max="16384" width="10.109375" style="1"/>
  </cols>
  <sheetData>
    <row r="1" spans="1:63" s="17" customFormat="1" ht="25.5" customHeight="1">
      <c r="A1" s="106" t="s">
        <v>80</v>
      </c>
      <c r="B1" s="107"/>
      <c r="C1" s="107"/>
      <c r="D1" s="107"/>
      <c r="E1" s="107"/>
      <c r="F1" s="107"/>
      <c r="G1" s="107"/>
      <c r="H1" s="107"/>
      <c r="I1" s="107"/>
      <c r="J1" s="108"/>
      <c r="K1" s="106" t="s">
        <v>81</v>
      </c>
      <c r="L1" s="107"/>
      <c r="M1" s="107"/>
      <c r="N1" s="107"/>
      <c r="O1" s="107"/>
      <c r="P1" s="107"/>
      <c r="Q1" s="107"/>
      <c r="R1" s="107"/>
      <c r="S1" s="107"/>
      <c r="T1" s="107"/>
      <c r="U1" s="107"/>
      <c r="V1" s="108"/>
      <c r="W1" s="109" t="str">
        <f>IF(表紙!W1="","",表紙!W1)</f>
        <v>詳細設計書</v>
      </c>
      <c r="X1" s="110"/>
      <c r="Y1" s="110"/>
      <c r="Z1" s="110"/>
      <c r="AA1" s="110"/>
      <c r="AB1" s="110"/>
      <c r="AC1" s="110"/>
      <c r="AD1" s="110"/>
      <c r="AE1" s="110"/>
      <c r="AF1" s="110"/>
      <c r="AG1" s="110"/>
      <c r="AH1" s="110"/>
      <c r="AI1" s="110"/>
      <c r="AJ1" s="110"/>
      <c r="AK1" s="110"/>
      <c r="AL1" s="110"/>
      <c r="AM1" s="110"/>
      <c r="AN1" s="110"/>
      <c r="AO1" s="111"/>
      <c r="AP1" s="55" t="s">
        <v>83</v>
      </c>
      <c r="AQ1" s="56"/>
      <c r="AR1" s="56"/>
      <c r="AS1" s="57"/>
      <c r="AT1" s="55" t="s">
        <v>84</v>
      </c>
      <c r="AU1" s="56"/>
      <c r="AV1" s="56"/>
      <c r="AW1" s="56"/>
      <c r="AX1" s="57"/>
      <c r="AY1" s="55" t="s">
        <v>85</v>
      </c>
      <c r="AZ1" s="56"/>
      <c r="BA1" s="56"/>
      <c r="BB1" s="57"/>
      <c r="BC1" s="55" t="s">
        <v>86</v>
      </c>
      <c r="BD1" s="56"/>
      <c r="BE1" s="56"/>
      <c r="BF1" s="56"/>
      <c r="BG1" s="57"/>
      <c r="BH1" s="55" t="s">
        <v>87</v>
      </c>
      <c r="BI1" s="56"/>
      <c r="BJ1" s="56"/>
      <c r="BK1" s="57"/>
    </row>
    <row r="2" spans="1:63" s="17" customFormat="1" ht="25.5" customHeight="1">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12"/>
      <c r="X2" s="113"/>
      <c r="Y2" s="113"/>
      <c r="Z2" s="113"/>
      <c r="AA2" s="113"/>
      <c r="AB2" s="113"/>
      <c r="AC2" s="113"/>
      <c r="AD2" s="113"/>
      <c r="AE2" s="113"/>
      <c r="AF2" s="113"/>
      <c r="AG2" s="113"/>
      <c r="AH2" s="113"/>
      <c r="AI2" s="113"/>
      <c r="AJ2" s="113"/>
      <c r="AK2" s="113"/>
      <c r="AL2" s="113"/>
      <c r="AM2" s="113"/>
      <c r="AN2" s="113"/>
      <c r="AO2" s="114"/>
      <c r="AP2" s="40" t="str">
        <f>IF(表紙!AP2="","",表紙!AP2)</f>
        <v>DuNT</v>
      </c>
      <c r="AQ2" s="41"/>
      <c r="AR2" s="41"/>
      <c r="AS2" s="42"/>
      <c r="AT2" s="70">
        <f>IF(表紙!AT2="","",表紙!AT2)</f>
        <v>45508</v>
      </c>
      <c r="AU2" s="71"/>
      <c r="AV2" s="71"/>
      <c r="AW2" s="71"/>
      <c r="AX2" s="72"/>
      <c r="AY2" s="40" t="str">
        <f>IF(表紙!AY2="","",表紙!AY2)</f>
        <v>DuNT</v>
      </c>
      <c r="AZ2" s="41"/>
      <c r="BA2" s="41"/>
      <c r="BB2" s="42"/>
      <c r="BC2" s="70">
        <f>IF(表紙!BC2="","",表紙!BC2)</f>
        <v>45508</v>
      </c>
      <c r="BD2" s="71"/>
      <c r="BE2" s="71"/>
      <c r="BF2" s="71"/>
      <c r="BG2" s="72"/>
      <c r="BH2" s="40">
        <f>IF(表紙!BH2="","",表紙!BH2)</f>
        <v>0.1</v>
      </c>
      <c r="BI2" s="41"/>
      <c r="BJ2" s="41"/>
      <c r="BK2" s="42"/>
    </row>
    <row r="3" spans="1:63" s="17" customFormat="1" ht="6" customHeight="1">
      <c r="A3" s="103"/>
      <c r="B3" s="104"/>
      <c r="C3" s="104"/>
      <c r="D3" s="104"/>
      <c r="E3" s="104"/>
      <c r="F3" s="104"/>
      <c r="G3" s="104"/>
      <c r="H3" s="104"/>
      <c r="I3" s="104"/>
      <c r="J3" s="105"/>
      <c r="K3" s="103"/>
      <c r="L3" s="104"/>
      <c r="M3" s="104"/>
      <c r="N3" s="104"/>
      <c r="O3" s="104"/>
      <c r="P3" s="104"/>
      <c r="Q3" s="104"/>
      <c r="R3" s="104"/>
      <c r="S3" s="104"/>
      <c r="T3" s="104"/>
      <c r="U3" s="104"/>
      <c r="V3" s="105"/>
      <c r="W3" s="115"/>
      <c r="X3" s="116"/>
      <c r="Y3" s="116"/>
      <c r="Z3" s="116"/>
      <c r="AA3" s="116"/>
      <c r="AB3" s="116"/>
      <c r="AC3" s="116"/>
      <c r="AD3" s="116"/>
      <c r="AE3" s="116"/>
      <c r="AF3" s="116"/>
      <c r="AG3" s="116"/>
      <c r="AH3" s="116"/>
      <c r="AI3" s="116"/>
      <c r="AJ3" s="116"/>
      <c r="AK3" s="116"/>
      <c r="AL3" s="116"/>
      <c r="AM3" s="116"/>
      <c r="AN3" s="116"/>
      <c r="AO3" s="117"/>
      <c r="AP3" s="46"/>
      <c r="AQ3" s="47"/>
      <c r="AR3" s="47"/>
      <c r="AS3" s="48"/>
      <c r="AT3" s="73"/>
      <c r="AU3" s="74"/>
      <c r="AV3" s="74"/>
      <c r="AW3" s="74"/>
      <c r="AX3" s="75"/>
      <c r="AY3" s="46"/>
      <c r="AZ3" s="47"/>
      <c r="BA3" s="47"/>
      <c r="BB3" s="48"/>
      <c r="BC3" s="73"/>
      <c r="BD3" s="74"/>
      <c r="BE3" s="74"/>
      <c r="BF3" s="74"/>
      <c r="BG3" s="75"/>
      <c r="BH3" s="46"/>
      <c r="BI3" s="47"/>
      <c r="BJ3" s="47"/>
      <c r="BK3" s="48"/>
    </row>
    <row r="4" spans="1:63" ht="24.95" customHeight="1">
      <c r="A4" s="106" t="s">
        <v>89</v>
      </c>
      <c r="B4" s="107"/>
      <c r="C4" s="107"/>
      <c r="D4" s="107"/>
      <c r="E4" s="107"/>
      <c r="F4" s="107"/>
      <c r="G4" s="108"/>
      <c r="H4" s="118" t="str">
        <f>IF(表紙!H4="","",表紙!H4)</f>
        <v>API_00_Common</v>
      </c>
      <c r="I4" s="119"/>
      <c r="J4" s="119"/>
      <c r="K4" s="119"/>
      <c r="L4" s="119"/>
      <c r="M4" s="119"/>
      <c r="N4" s="119"/>
      <c r="O4" s="119"/>
      <c r="P4" s="119"/>
      <c r="Q4" s="119"/>
      <c r="R4" s="119"/>
      <c r="S4" s="119"/>
      <c r="T4" s="120"/>
      <c r="U4" s="106" t="s">
        <v>90</v>
      </c>
      <c r="V4" s="107"/>
      <c r="W4" s="107"/>
      <c r="X4" s="107"/>
      <c r="Y4" s="108"/>
      <c r="Z4" s="118" t="str">
        <f>IF(表紙!Z4="","",表紙!Z4)</f>
        <v>API設計書</v>
      </c>
      <c r="AA4" s="119"/>
      <c r="AB4" s="119"/>
      <c r="AC4" s="119"/>
      <c r="AD4" s="119"/>
      <c r="AE4" s="119"/>
      <c r="AF4" s="119"/>
      <c r="AG4" s="119"/>
      <c r="AH4" s="119"/>
      <c r="AI4" s="119"/>
      <c r="AJ4" s="119"/>
      <c r="AK4" s="119"/>
      <c r="AL4" s="119"/>
      <c r="AM4" s="119"/>
      <c r="AN4" s="119"/>
      <c r="AO4" s="120"/>
      <c r="AP4" s="121" t="str">
        <f ca="1">MID(CELL("filename",A1),FIND("]",CELL("filename",A1))+1,255)</f>
        <v>レスポンス共通</v>
      </c>
      <c r="AQ4" s="119"/>
      <c r="AR4" s="119"/>
      <c r="AS4" s="119"/>
      <c r="AT4" s="119"/>
      <c r="AU4" s="119"/>
      <c r="AV4" s="119"/>
      <c r="AW4" s="119"/>
      <c r="AX4" s="119"/>
      <c r="AY4" s="119"/>
      <c r="AZ4" s="119"/>
      <c r="BA4" s="119"/>
      <c r="BB4" s="119"/>
      <c r="BC4" s="119"/>
      <c r="BD4" s="119"/>
      <c r="BE4" s="119"/>
      <c r="BF4" s="119"/>
      <c r="BG4" s="119"/>
      <c r="BH4" s="119"/>
      <c r="BI4" s="119"/>
      <c r="BJ4" s="119"/>
      <c r="BK4" s="120"/>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17" customFormat="1" ht="15" customHeight="1">
      <c r="A7" s="21"/>
      <c r="B7" s="142" t="s">
        <v>103</v>
      </c>
      <c r="C7" s="143"/>
      <c r="D7" s="35"/>
      <c r="E7" s="35"/>
      <c r="F7" s="35"/>
      <c r="G7" s="35"/>
      <c r="H7" s="35"/>
      <c r="I7" s="35"/>
      <c r="J7" s="35"/>
      <c r="K7" s="35"/>
      <c r="L7" s="35"/>
      <c r="M7" s="35"/>
      <c r="N7" s="35"/>
      <c r="O7" s="35"/>
      <c r="P7" s="35"/>
      <c r="Q7" s="35"/>
      <c r="R7" s="35"/>
      <c r="S7" s="35"/>
      <c r="T7" s="144"/>
      <c r="U7" s="143"/>
      <c r="V7" s="35"/>
      <c r="W7" s="35"/>
      <c r="X7" s="35"/>
      <c r="Y7" s="35"/>
      <c r="Z7" s="35"/>
      <c r="AA7" s="35"/>
      <c r="AB7" s="35"/>
      <c r="AC7" s="144"/>
      <c r="AD7" s="143"/>
      <c r="AE7" s="35"/>
      <c r="AF7" s="35"/>
      <c r="AG7" s="35"/>
      <c r="AH7" s="35"/>
      <c r="AI7" s="35"/>
      <c r="AJ7" s="35"/>
      <c r="AK7" s="35"/>
      <c r="AL7" s="144"/>
      <c r="AM7" s="143"/>
      <c r="AN7" s="35"/>
      <c r="AO7" s="35"/>
      <c r="AP7" s="35"/>
      <c r="AQ7" s="35"/>
      <c r="AR7" s="35"/>
      <c r="AS7" s="35"/>
      <c r="AT7" s="35"/>
      <c r="AU7" s="35"/>
      <c r="AV7" s="35"/>
      <c r="AW7" s="35"/>
      <c r="AX7" s="35"/>
      <c r="AY7" s="35"/>
      <c r="AZ7" s="35"/>
      <c r="BA7" s="35"/>
      <c r="BB7" s="35"/>
      <c r="BC7" s="35"/>
      <c r="BD7" s="35"/>
      <c r="BE7" s="35"/>
      <c r="BF7" s="35"/>
      <c r="BG7" s="35"/>
      <c r="BH7" s="35"/>
      <c r="BI7" s="144"/>
      <c r="BJ7" s="35"/>
      <c r="BK7" s="22"/>
    </row>
    <row r="8" spans="1:63" s="17" customFormat="1" ht="15" customHeight="1">
      <c r="A8" s="21"/>
      <c r="C8" s="145"/>
      <c r="U8" s="145"/>
      <c r="AD8" s="145"/>
      <c r="AM8" s="145"/>
      <c r="BI8" s="146"/>
    </row>
    <row r="9" spans="1:63" s="17" customFormat="1" ht="15" customHeight="1">
      <c r="A9" s="21"/>
      <c r="B9" s="10" t="s">
        <v>9</v>
      </c>
      <c r="C9" s="145"/>
      <c r="U9" s="145"/>
      <c r="AD9" s="145"/>
      <c r="AM9" s="145"/>
      <c r="BI9" s="146"/>
    </row>
    <row r="10" spans="1:63" s="17" customFormat="1" ht="15" customHeight="1">
      <c r="A10" s="21"/>
      <c r="C10" s="145"/>
      <c r="U10" s="145"/>
      <c r="AD10" s="145"/>
      <c r="AM10" s="145"/>
      <c r="BI10" s="146"/>
    </row>
    <row r="11" spans="1:63" s="17" customFormat="1" ht="15" customHeight="1">
      <c r="A11" s="21"/>
      <c r="C11" s="11" t="s">
        <v>104</v>
      </c>
      <c r="U11" s="145"/>
      <c r="AD11" s="145"/>
      <c r="AM11" s="145"/>
      <c r="BI11" s="146"/>
    </row>
    <row r="12" spans="1:63" s="17" customFormat="1" ht="15" customHeight="1">
      <c r="A12" s="21"/>
      <c r="C12" s="145"/>
      <c r="U12" s="145"/>
      <c r="AD12" s="145"/>
      <c r="AM12" s="145"/>
      <c r="BI12" s="146"/>
    </row>
    <row r="13" spans="1:63" s="17" customFormat="1" ht="15" customHeight="1">
      <c r="A13" s="21"/>
      <c r="C13" s="145"/>
      <c r="D13" s="10" t="s">
        <v>105</v>
      </c>
      <c r="U13" s="145"/>
      <c r="AD13" s="145"/>
      <c r="AM13" s="145"/>
      <c r="BI13" s="146"/>
    </row>
    <row r="14" spans="1:63" s="17" customFormat="1" ht="15" customHeight="1">
      <c r="A14" s="21"/>
      <c r="C14" s="145"/>
      <c r="E14" s="17" t="s">
        <v>106</v>
      </c>
      <c r="U14" s="145"/>
      <c r="AD14" s="145"/>
      <c r="AM14" s="145"/>
      <c r="BI14" s="146"/>
    </row>
    <row r="15" spans="1:63" s="17" customFormat="1" ht="15" customHeight="1">
      <c r="A15" s="21"/>
      <c r="C15" s="145"/>
      <c r="E15" s="17" t="s">
        <v>107</v>
      </c>
      <c r="U15" s="145"/>
      <c r="AD15" s="145"/>
      <c r="AM15" s="145"/>
      <c r="BI15" s="146"/>
    </row>
    <row r="16" spans="1:63" s="17" customFormat="1" ht="15" customHeight="1">
      <c r="A16" s="21"/>
      <c r="C16" s="145"/>
      <c r="E16" s="17" t="s">
        <v>108</v>
      </c>
      <c r="U16" s="145"/>
      <c r="AD16" s="145"/>
      <c r="AM16" s="145"/>
      <c r="BI16" s="146"/>
    </row>
    <row r="17" spans="1:61" s="17" customFormat="1" ht="15" customHeight="1">
      <c r="A17" s="21"/>
      <c r="C17" s="145"/>
      <c r="E17" s="17" t="s">
        <v>109</v>
      </c>
      <c r="U17" s="145"/>
      <c r="AD17" s="145"/>
      <c r="AM17" s="145"/>
      <c r="BI17" s="146"/>
    </row>
    <row r="18" spans="1:61" s="17" customFormat="1" ht="15" customHeight="1">
      <c r="A18" s="21"/>
      <c r="C18" s="145"/>
      <c r="E18" s="17" t="s">
        <v>110</v>
      </c>
      <c r="U18" s="145"/>
      <c r="AD18" s="145"/>
      <c r="AM18" s="145"/>
      <c r="BI18" s="146"/>
    </row>
    <row r="19" spans="1:61" s="17" customFormat="1" ht="15" customHeight="1">
      <c r="A19" s="21"/>
      <c r="C19" s="145"/>
      <c r="U19" s="145"/>
      <c r="AD19" s="145"/>
      <c r="AM19" s="145"/>
      <c r="BI19" s="146"/>
    </row>
    <row r="20" spans="1:61" s="17" customFormat="1" ht="24.75" customHeight="1">
      <c r="A20" s="21"/>
      <c r="C20" s="147" t="s">
        <v>111</v>
      </c>
      <c r="D20" s="148"/>
      <c r="E20" s="171" t="s">
        <v>164</v>
      </c>
      <c r="F20" s="149"/>
      <c r="G20" s="148"/>
      <c r="H20" s="147" t="s">
        <v>112</v>
      </c>
      <c r="I20" s="149"/>
      <c r="J20" s="149"/>
      <c r="K20" s="149"/>
      <c r="L20" s="149"/>
      <c r="M20" s="149"/>
      <c r="N20" s="148"/>
      <c r="O20" s="147" t="s">
        <v>113</v>
      </c>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8"/>
      <c r="AS20" s="147" t="s">
        <v>114</v>
      </c>
      <c r="AT20" s="149"/>
      <c r="AU20" s="149"/>
      <c r="AV20" s="149"/>
      <c r="AW20" s="149"/>
      <c r="AX20" s="149"/>
      <c r="AY20" s="149"/>
      <c r="AZ20" s="149"/>
      <c r="BA20" s="149"/>
      <c r="BB20" s="149"/>
      <c r="BC20" s="149"/>
      <c r="BD20" s="149"/>
      <c r="BE20" s="149"/>
      <c r="BF20" s="149"/>
      <c r="BG20" s="149"/>
      <c r="BI20" s="146"/>
    </row>
    <row r="21" spans="1:61" s="17" customFormat="1" ht="15" customHeight="1">
      <c r="A21" s="21"/>
      <c r="C21" s="60">
        <v>1</v>
      </c>
      <c r="D21" s="62"/>
      <c r="E21" s="60">
        <v>200</v>
      </c>
      <c r="F21" s="61"/>
      <c r="G21" s="62"/>
      <c r="H21" s="150" t="s">
        <v>10</v>
      </c>
      <c r="I21" s="151"/>
      <c r="J21" s="151"/>
      <c r="K21" s="151"/>
      <c r="L21" s="151"/>
      <c r="M21" s="151"/>
      <c r="N21" s="152"/>
      <c r="O21" s="153" t="s">
        <v>115</v>
      </c>
      <c r="P21" s="153"/>
      <c r="Q21" s="153"/>
      <c r="R21" s="153"/>
      <c r="S21" s="153"/>
      <c r="T21" s="153"/>
      <c r="U21" s="153"/>
      <c r="V21" s="153"/>
      <c r="W21" s="153"/>
      <c r="X21" s="153"/>
      <c r="Y21" s="153"/>
      <c r="Z21" s="153"/>
      <c r="AA21" s="153"/>
      <c r="AB21" s="153"/>
      <c r="AC21" s="153"/>
      <c r="AD21" s="153"/>
      <c r="AE21" s="153"/>
      <c r="AF21" s="153"/>
      <c r="AG21" s="153"/>
      <c r="AH21" s="153"/>
      <c r="AI21" s="153"/>
      <c r="AJ21" s="153"/>
      <c r="AK21" s="153"/>
      <c r="AL21" s="153"/>
      <c r="AM21" s="153"/>
      <c r="AN21" s="153"/>
      <c r="AO21" s="153"/>
      <c r="AP21" s="153"/>
      <c r="AQ21" s="153"/>
      <c r="AR21" s="153"/>
      <c r="AS21" s="154" t="s">
        <v>11</v>
      </c>
      <c r="AT21" s="155"/>
      <c r="AU21" s="155"/>
      <c r="AV21" s="155"/>
      <c r="AW21" s="155"/>
      <c r="AX21" s="155"/>
      <c r="AY21" s="155"/>
      <c r="AZ21" s="155"/>
      <c r="BA21" s="155"/>
      <c r="BB21" s="155"/>
      <c r="BC21" s="155"/>
      <c r="BD21" s="155"/>
      <c r="BE21" s="155"/>
      <c r="BF21" s="155"/>
      <c r="BG21" s="156"/>
      <c r="BI21" s="146"/>
    </row>
    <row r="22" spans="1:61" s="17" customFormat="1" ht="15" customHeight="1">
      <c r="A22" s="21"/>
      <c r="C22" s="60">
        <v>2</v>
      </c>
      <c r="D22" s="62"/>
      <c r="E22" s="60">
        <v>201</v>
      </c>
      <c r="F22" s="61"/>
      <c r="G22" s="62"/>
      <c r="H22" s="150" t="s">
        <v>12</v>
      </c>
      <c r="I22" s="151"/>
      <c r="J22" s="151"/>
      <c r="K22" s="151"/>
      <c r="L22" s="151"/>
      <c r="M22" s="151"/>
      <c r="N22" s="152"/>
      <c r="O22" s="153" t="s">
        <v>13</v>
      </c>
      <c r="P22" s="153"/>
      <c r="Q22" s="153"/>
      <c r="R22" s="153"/>
      <c r="S22" s="153"/>
      <c r="T22" s="153"/>
      <c r="U22" s="153"/>
      <c r="V22" s="153"/>
      <c r="W22" s="153"/>
      <c r="X22" s="153"/>
      <c r="Y22" s="153"/>
      <c r="Z22" s="153"/>
      <c r="AA22" s="153"/>
      <c r="AB22" s="153"/>
      <c r="AC22" s="153"/>
      <c r="AD22" s="153"/>
      <c r="AE22" s="153"/>
      <c r="AF22" s="153"/>
      <c r="AG22" s="153"/>
      <c r="AH22" s="153"/>
      <c r="AI22" s="153"/>
      <c r="AJ22" s="153"/>
      <c r="AK22" s="153"/>
      <c r="AL22" s="153"/>
      <c r="AM22" s="153"/>
      <c r="AN22" s="153"/>
      <c r="AO22" s="153"/>
      <c r="AP22" s="153"/>
      <c r="AQ22" s="153"/>
      <c r="AR22" s="153"/>
      <c r="AS22" s="154" t="s">
        <v>11</v>
      </c>
      <c r="AT22" s="155"/>
      <c r="AU22" s="155"/>
      <c r="AV22" s="155"/>
      <c r="AW22" s="155"/>
      <c r="AX22" s="155"/>
      <c r="AY22" s="155"/>
      <c r="AZ22" s="155"/>
      <c r="BA22" s="155"/>
      <c r="BB22" s="155"/>
      <c r="BC22" s="155"/>
      <c r="BD22" s="155"/>
      <c r="BE22" s="155"/>
      <c r="BF22" s="155"/>
      <c r="BG22" s="156"/>
      <c r="BI22" s="146"/>
    </row>
    <row r="23" spans="1:61" s="17" customFormat="1" ht="15" customHeight="1">
      <c r="A23" s="21"/>
      <c r="C23" s="60">
        <v>3</v>
      </c>
      <c r="D23" s="62"/>
      <c r="E23" s="60">
        <v>202</v>
      </c>
      <c r="F23" s="61"/>
      <c r="G23" s="62"/>
      <c r="H23" s="150" t="s">
        <v>14</v>
      </c>
      <c r="I23" s="151"/>
      <c r="J23" s="151"/>
      <c r="K23" s="151"/>
      <c r="L23" s="151"/>
      <c r="M23" s="151"/>
      <c r="N23" s="152"/>
      <c r="O23" s="153" t="s">
        <v>15</v>
      </c>
      <c r="P23" s="153"/>
      <c r="Q23" s="153"/>
      <c r="R23" s="153"/>
      <c r="S23" s="153"/>
      <c r="T23" s="153"/>
      <c r="U23" s="153"/>
      <c r="V23" s="153"/>
      <c r="W23" s="153"/>
      <c r="X23" s="153"/>
      <c r="Y23" s="153"/>
      <c r="Z23" s="153"/>
      <c r="AA23" s="153"/>
      <c r="AB23" s="153"/>
      <c r="AC23" s="153"/>
      <c r="AD23" s="153"/>
      <c r="AE23" s="153"/>
      <c r="AF23" s="153"/>
      <c r="AG23" s="153"/>
      <c r="AH23" s="153"/>
      <c r="AI23" s="153"/>
      <c r="AJ23" s="153"/>
      <c r="AK23" s="153"/>
      <c r="AL23" s="153"/>
      <c r="AM23" s="153"/>
      <c r="AN23" s="153"/>
      <c r="AO23" s="153"/>
      <c r="AP23" s="153"/>
      <c r="AQ23" s="153"/>
      <c r="AR23" s="153"/>
      <c r="AS23" s="154" t="s">
        <v>11</v>
      </c>
      <c r="AT23" s="155"/>
      <c r="AU23" s="155"/>
      <c r="AV23" s="155"/>
      <c r="AW23" s="155"/>
      <c r="AX23" s="155"/>
      <c r="AY23" s="155"/>
      <c r="AZ23" s="155"/>
      <c r="BA23" s="155"/>
      <c r="BB23" s="155"/>
      <c r="BC23" s="155"/>
      <c r="BD23" s="155"/>
      <c r="BE23" s="155"/>
      <c r="BF23" s="155"/>
      <c r="BG23" s="156"/>
      <c r="BI23" s="146"/>
    </row>
    <row r="24" spans="1:61" s="17" customFormat="1" ht="15" customHeight="1">
      <c r="A24" s="21"/>
      <c r="C24" s="60">
        <v>4</v>
      </c>
      <c r="D24" s="62"/>
      <c r="E24" s="60">
        <v>204</v>
      </c>
      <c r="F24" s="61"/>
      <c r="G24" s="62"/>
      <c r="H24" s="150" t="s">
        <v>16</v>
      </c>
      <c r="I24" s="151"/>
      <c r="J24" s="151"/>
      <c r="K24" s="151"/>
      <c r="L24" s="151"/>
      <c r="M24" s="151"/>
      <c r="N24" s="152"/>
      <c r="O24" s="153" t="s">
        <v>17</v>
      </c>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4" t="s">
        <v>11</v>
      </c>
      <c r="AT24" s="155"/>
      <c r="AU24" s="155"/>
      <c r="AV24" s="155"/>
      <c r="AW24" s="155"/>
      <c r="AX24" s="155"/>
      <c r="AY24" s="155"/>
      <c r="AZ24" s="155"/>
      <c r="BA24" s="155"/>
      <c r="BB24" s="155"/>
      <c r="BC24" s="155"/>
      <c r="BD24" s="155"/>
      <c r="BE24" s="155"/>
      <c r="BF24" s="155"/>
      <c r="BG24" s="156"/>
      <c r="BI24" s="146"/>
    </row>
    <row r="25" spans="1:61" s="17" customFormat="1" ht="15" customHeight="1">
      <c r="A25" s="21"/>
      <c r="C25" s="60">
        <v>5</v>
      </c>
      <c r="D25" s="62"/>
      <c r="E25" s="60">
        <v>301</v>
      </c>
      <c r="F25" s="61"/>
      <c r="G25" s="62"/>
      <c r="H25" s="150" t="s">
        <v>18</v>
      </c>
      <c r="I25" s="151"/>
      <c r="J25" s="151"/>
      <c r="K25" s="151"/>
      <c r="L25" s="151"/>
      <c r="M25" s="151"/>
      <c r="N25" s="152"/>
      <c r="O25" s="153" t="s">
        <v>19</v>
      </c>
      <c r="P25" s="153"/>
      <c r="Q25" s="153"/>
      <c r="R25" s="153"/>
      <c r="S25" s="153"/>
      <c r="T25" s="153"/>
      <c r="U25" s="153"/>
      <c r="V25" s="153"/>
      <c r="W25" s="153"/>
      <c r="X25" s="153"/>
      <c r="Y25" s="153"/>
      <c r="Z25" s="153"/>
      <c r="AA25" s="153"/>
      <c r="AB25" s="153"/>
      <c r="AC25" s="153"/>
      <c r="AD25" s="153"/>
      <c r="AE25" s="153"/>
      <c r="AF25" s="153"/>
      <c r="AG25" s="153"/>
      <c r="AH25" s="153"/>
      <c r="AI25" s="153"/>
      <c r="AJ25" s="153"/>
      <c r="AK25" s="153"/>
      <c r="AL25" s="153"/>
      <c r="AM25" s="153"/>
      <c r="AN25" s="153"/>
      <c r="AO25" s="153"/>
      <c r="AP25" s="153"/>
      <c r="AQ25" s="153"/>
      <c r="AR25" s="153"/>
      <c r="AS25" s="154" t="s">
        <v>11</v>
      </c>
      <c r="AT25" s="155"/>
      <c r="AU25" s="155"/>
      <c r="AV25" s="155"/>
      <c r="AW25" s="155"/>
      <c r="AX25" s="155"/>
      <c r="AY25" s="155"/>
      <c r="AZ25" s="155"/>
      <c r="BA25" s="155"/>
      <c r="BB25" s="155"/>
      <c r="BC25" s="155"/>
      <c r="BD25" s="155"/>
      <c r="BE25" s="155"/>
      <c r="BF25" s="155"/>
      <c r="BG25" s="156"/>
      <c r="BI25" s="146"/>
    </row>
    <row r="26" spans="1:61" s="17" customFormat="1" ht="35.25" customHeight="1">
      <c r="A26" s="21"/>
      <c r="C26" s="60">
        <v>6</v>
      </c>
      <c r="D26" s="62"/>
      <c r="E26" s="60">
        <v>302</v>
      </c>
      <c r="F26" s="61"/>
      <c r="G26" s="62"/>
      <c r="H26" s="150" t="s">
        <v>20</v>
      </c>
      <c r="I26" s="151"/>
      <c r="J26" s="151"/>
      <c r="K26" s="151"/>
      <c r="L26" s="151"/>
      <c r="M26" s="151"/>
      <c r="N26" s="152"/>
      <c r="O26" s="157" t="s">
        <v>116</v>
      </c>
      <c r="P26" s="157"/>
      <c r="Q26" s="157"/>
      <c r="R26" s="157"/>
      <c r="S26" s="157"/>
      <c r="T26" s="157"/>
      <c r="U26" s="157"/>
      <c r="V26" s="157"/>
      <c r="W26" s="157"/>
      <c r="X26" s="157"/>
      <c r="Y26" s="157"/>
      <c r="Z26" s="157"/>
      <c r="AA26" s="157"/>
      <c r="AB26" s="157"/>
      <c r="AC26" s="157"/>
      <c r="AD26" s="157"/>
      <c r="AE26" s="157"/>
      <c r="AF26" s="157"/>
      <c r="AG26" s="157"/>
      <c r="AH26" s="157"/>
      <c r="AI26" s="157"/>
      <c r="AJ26" s="157"/>
      <c r="AK26" s="157"/>
      <c r="AL26" s="157"/>
      <c r="AM26" s="157"/>
      <c r="AN26" s="157"/>
      <c r="AO26" s="157"/>
      <c r="AP26" s="157"/>
      <c r="AQ26" s="157"/>
      <c r="AR26" s="157"/>
      <c r="AS26" s="154" t="s">
        <v>11</v>
      </c>
      <c r="AT26" s="155"/>
      <c r="AU26" s="155"/>
      <c r="AV26" s="155"/>
      <c r="AW26" s="155"/>
      <c r="AX26" s="155"/>
      <c r="AY26" s="155"/>
      <c r="AZ26" s="155"/>
      <c r="BA26" s="155"/>
      <c r="BB26" s="155"/>
      <c r="BC26" s="155"/>
      <c r="BD26" s="155"/>
      <c r="BE26" s="155"/>
      <c r="BF26" s="155"/>
      <c r="BG26" s="156"/>
      <c r="BI26" s="146"/>
    </row>
    <row r="27" spans="1:61" s="17" customFormat="1" ht="33" customHeight="1">
      <c r="A27" s="21"/>
      <c r="C27" s="60">
        <v>7</v>
      </c>
      <c r="D27" s="62"/>
      <c r="E27" s="60">
        <v>303</v>
      </c>
      <c r="F27" s="61"/>
      <c r="G27" s="62"/>
      <c r="H27" s="150" t="s">
        <v>21</v>
      </c>
      <c r="I27" s="151"/>
      <c r="J27" s="151"/>
      <c r="K27" s="151"/>
      <c r="L27" s="151"/>
      <c r="M27" s="151"/>
      <c r="N27" s="152"/>
      <c r="O27" s="157" t="s">
        <v>117</v>
      </c>
      <c r="P27" s="157"/>
      <c r="Q27" s="157"/>
      <c r="R27" s="157"/>
      <c r="S27" s="157"/>
      <c r="T27" s="157"/>
      <c r="U27" s="157"/>
      <c r="V27" s="157"/>
      <c r="W27" s="157"/>
      <c r="X27" s="157"/>
      <c r="Y27" s="157"/>
      <c r="Z27" s="157"/>
      <c r="AA27" s="157"/>
      <c r="AB27" s="157"/>
      <c r="AC27" s="157"/>
      <c r="AD27" s="157"/>
      <c r="AE27" s="157"/>
      <c r="AF27" s="157"/>
      <c r="AG27" s="157"/>
      <c r="AH27" s="157"/>
      <c r="AI27" s="157"/>
      <c r="AJ27" s="157"/>
      <c r="AK27" s="157"/>
      <c r="AL27" s="157"/>
      <c r="AM27" s="157"/>
      <c r="AN27" s="157"/>
      <c r="AO27" s="157"/>
      <c r="AP27" s="157"/>
      <c r="AQ27" s="157"/>
      <c r="AR27" s="157"/>
      <c r="AS27" s="154" t="s">
        <v>11</v>
      </c>
      <c r="AT27" s="155"/>
      <c r="AU27" s="155"/>
      <c r="AV27" s="155"/>
      <c r="AW27" s="155"/>
      <c r="AX27" s="155"/>
      <c r="AY27" s="155"/>
      <c r="AZ27" s="155"/>
      <c r="BA27" s="155"/>
      <c r="BB27" s="155"/>
      <c r="BC27" s="155"/>
      <c r="BD27" s="155"/>
      <c r="BE27" s="155"/>
      <c r="BF27" s="155"/>
      <c r="BG27" s="156"/>
      <c r="BI27" s="146"/>
    </row>
    <row r="28" spans="1:61" s="17" customFormat="1" ht="31.5" customHeight="1">
      <c r="A28" s="21"/>
      <c r="C28" s="60">
        <v>8</v>
      </c>
      <c r="D28" s="62"/>
      <c r="E28" s="60">
        <v>304</v>
      </c>
      <c r="F28" s="61"/>
      <c r="G28" s="62"/>
      <c r="H28" s="150" t="s">
        <v>22</v>
      </c>
      <c r="I28" s="151"/>
      <c r="J28" s="151"/>
      <c r="K28" s="151"/>
      <c r="L28" s="151"/>
      <c r="M28" s="151"/>
      <c r="N28" s="152"/>
      <c r="O28" s="157" t="s">
        <v>118</v>
      </c>
      <c r="P28" s="157"/>
      <c r="Q28" s="157"/>
      <c r="R28" s="157"/>
      <c r="S28" s="157"/>
      <c r="T28" s="157"/>
      <c r="U28" s="157"/>
      <c r="V28" s="157"/>
      <c r="W28" s="157"/>
      <c r="X28" s="157"/>
      <c r="Y28" s="157"/>
      <c r="Z28" s="157"/>
      <c r="AA28" s="157"/>
      <c r="AB28" s="157"/>
      <c r="AC28" s="157"/>
      <c r="AD28" s="157"/>
      <c r="AE28" s="157"/>
      <c r="AF28" s="157"/>
      <c r="AG28" s="157"/>
      <c r="AH28" s="157"/>
      <c r="AI28" s="157"/>
      <c r="AJ28" s="157"/>
      <c r="AK28" s="157"/>
      <c r="AL28" s="157"/>
      <c r="AM28" s="157"/>
      <c r="AN28" s="157"/>
      <c r="AO28" s="157"/>
      <c r="AP28" s="157"/>
      <c r="AQ28" s="157"/>
      <c r="AR28" s="157"/>
      <c r="AS28" s="154" t="s">
        <v>11</v>
      </c>
      <c r="AT28" s="155"/>
      <c r="AU28" s="155"/>
      <c r="AV28" s="155"/>
      <c r="AW28" s="155"/>
      <c r="AX28" s="155"/>
      <c r="AY28" s="155"/>
      <c r="AZ28" s="155"/>
      <c r="BA28" s="155"/>
      <c r="BB28" s="155"/>
      <c r="BC28" s="155"/>
      <c r="BD28" s="155"/>
      <c r="BE28" s="155"/>
      <c r="BF28" s="155"/>
      <c r="BG28" s="156"/>
      <c r="BI28" s="146"/>
    </row>
    <row r="29" spans="1:61" s="17" customFormat="1" ht="31.5" customHeight="1">
      <c r="A29" s="21"/>
      <c r="C29" s="60">
        <v>9</v>
      </c>
      <c r="D29" s="62"/>
      <c r="E29" s="60">
        <v>400</v>
      </c>
      <c r="F29" s="61"/>
      <c r="G29" s="62"/>
      <c r="H29" s="150" t="s">
        <v>23</v>
      </c>
      <c r="I29" s="151"/>
      <c r="J29" s="151"/>
      <c r="K29" s="151"/>
      <c r="L29" s="151"/>
      <c r="M29" s="151"/>
      <c r="N29" s="152"/>
      <c r="O29" s="157" t="s">
        <v>24</v>
      </c>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4" t="s">
        <v>25</v>
      </c>
      <c r="AT29" s="155"/>
      <c r="AU29" s="155"/>
      <c r="AV29" s="155"/>
      <c r="AW29" s="155"/>
      <c r="AX29" s="155"/>
      <c r="AY29" s="155"/>
      <c r="AZ29" s="155"/>
      <c r="BA29" s="155"/>
      <c r="BB29" s="155"/>
      <c r="BC29" s="155"/>
      <c r="BD29" s="155"/>
      <c r="BE29" s="155"/>
      <c r="BF29" s="155"/>
      <c r="BG29" s="156"/>
      <c r="BI29" s="146"/>
    </row>
    <row r="30" spans="1:61" s="17" customFormat="1" ht="33" customHeight="1">
      <c r="A30" s="21"/>
      <c r="C30" s="60">
        <v>10</v>
      </c>
      <c r="D30" s="62"/>
      <c r="E30" s="60">
        <v>401</v>
      </c>
      <c r="F30" s="61"/>
      <c r="G30" s="62"/>
      <c r="H30" s="150" t="s">
        <v>26</v>
      </c>
      <c r="I30" s="151"/>
      <c r="J30" s="151"/>
      <c r="K30" s="151"/>
      <c r="L30" s="151"/>
      <c r="M30" s="151"/>
      <c r="N30" s="152"/>
      <c r="O30" s="157" t="s">
        <v>27</v>
      </c>
      <c r="P30" s="157"/>
      <c r="Q30" s="157"/>
      <c r="R30" s="157"/>
      <c r="S30" s="157"/>
      <c r="T30" s="157"/>
      <c r="U30" s="157"/>
      <c r="V30" s="157"/>
      <c r="W30" s="157"/>
      <c r="X30" s="157"/>
      <c r="Y30" s="157"/>
      <c r="Z30" s="157"/>
      <c r="AA30" s="157"/>
      <c r="AB30" s="157"/>
      <c r="AC30" s="157"/>
      <c r="AD30" s="157"/>
      <c r="AE30" s="157"/>
      <c r="AF30" s="157"/>
      <c r="AG30" s="157"/>
      <c r="AH30" s="157"/>
      <c r="AI30" s="157"/>
      <c r="AJ30" s="157"/>
      <c r="AK30" s="157"/>
      <c r="AL30" s="157"/>
      <c r="AM30" s="157"/>
      <c r="AN30" s="157"/>
      <c r="AO30" s="157"/>
      <c r="AP30" s="157"/>
      <c r="AQ30" s="157"/>
      <c r="AR30" s="157"/>
      <c r="AS30" s="154" t="s">
        <v>28</v>
      </c>
      <c r="AT30" s="155"/>
      <c r="AU30" s="155"/>
      <c r="AV30" s="155"/>
      <c r="AW30" s="155"/>
      <c r="AX30" s="155"/>
      <c r="AY30" s="155"/>
      <c r="AZ30" s="155"/>
      <c r="BA30" s="155"/>
      <c r="BB30" s="155"/>
      <c r="BC30" s="155"/>
      <c r="BD30" s="155"/>
      <c r="BE30" s="155"/>
      <c r="BF30" s="155"/>
      <c r="BG30" s="156"/>
      <c r="BI30" s="146"/>
    </row>
    <row r="31" spans="1:61" s="17" customFormat="1" ht="34.5" customHeight="1">
      <c r="A31" s="21"/>
      <c r="C31" s="60">
        <v>11</v>
      </c>
      <c r="D31" s="62"/>
      <c r="E31" s="60">
        <v>403</v>
      </c>
      <c r="F31" s="61"/>
      <c r="G31" s="62"/>
      <c r="H31" s="150" t="s">
        <v>29</v>
      </c>
      <c r="I31" s="151"/>
      <c r="J31" s="151"/>
      <c r="K31" s="151"/>
      <c r="L31" s="151"/>
      <c r="M31" s="151"/>
      <c r="N31" s="152"/>
      <c r="O31" s="157" t="s">
        <v>30</v>
      </c>
      <c r="P31" s="157"/>
      <c r="Q31" s="157"/>
      <c r="R31" s="157"/>
      <c r="S31" s="157"/>
      <c r="T31" s="157"/>
      <c r="U31" s="157"/>
      <c r="V31" s="157"/>
      <c r="W31" s="157"/>
      <c r="X31" s="157"/>
      <c r="Y31" s="157"/>
      <c r="Z31" s="157"/>
      <c r="AA31" s="157"/>
      <c r="AB31" s="157"/>
      <c r="AC31" s="157"/>
      <c r="AD31" s="157"/>
      <c r="AE31" s="157"/>
      <c r="AF31" s="157"/>
      <c r="AG31" s="157"/>
      <c r="AH31" s="157"/>
      <c r="AI31" s="157"/>
      <c r="AJ31" s="157"/>
      <c r="AK31" s="157"/>
      <c r="AL31" s="157"/>
      <c r="AM31" s="157"/>
      <c r="AN31" s="157"/>
      <c r="AO31" s="157"/>
      <c r="AP31" s="157"/>
      <c r="AQ31" s="157"/>
      <c r="AR31" s="157"/>
      <c r="AS31" s="154" t="s">
        <v>31</v>
      </c>
      <c r="AT31" s="155"/>
      <c r="AU31" s="155"/>
      <c r="AV31" s="155"/>
      <c r="AW31" s="155"/>
      <c r="AX31" s="155"/>
      <c r="AY31" s="155"/>
      <c r="AZ31" s="155"/>
      <c r="BA31" s="155"/>
      <c r="BB31" s="155"/>
      <c r="BC31" s="155"/>
      <c r="BD31" s="155"/>
      <c r="BE31" s="155"/>
      <c r="BF31" s="155"/>
      <c r="BG31" s="156"/>
      <c r="BI31" s="146"/>
    </row>
    <row r="32" spans="1:61" s="17" customFormat="1" ht="15" customHeight="1">
      <c r="A32" s="21"/>
      <c r="C32" s="60">
        <v>12</v>
      </c>
      <c r="D32" s="62"/>
      <c r="E32" s="60">
        <v>404</v>
      </c>
      <c r="F32" s="61"/>
      <c r="G32" s="62"/>
      <c r="H32" s="150" t="s">
        <v>32</v>
      </c>
      <c r="I32" s="151"/>
      <c r="J32" s="151"/>
      <c r="K32" s="151"/>
      <c r="L32" s="151"/>
      <c r="M32" s="151"/>
      <c r="N32" s="152"/>
      <c r="O32" s="157" t="s">
        <v>33</v>
      </c>
      <c r="P32" s="157"/>
      <c r="Q32" s="157"/>
      <c r="R32" s="157"/>
      <c r="S32" s="157"/>
      <c r="T32" s="157"/>
      <c r="U32" s="157"/>
      <c r="V32" s="157"/>
      <c r="W32" s="157"/>
      <c r="X32" s="157"/>
      <c r="Y32" s="157"/>
      <c r="Z32" s="157"/>
      <c r="AA32" s="157"/>
      <c r="AB32" s="157"/>
      <c r="AC32" s="157"/>
      <c r="AD32" s="157"/>
      <c r="AE32" s="157"/>
      <c r="AF32" s="157"/>
      <c r="AG32" s="157"/>
      <c r="AH32" s="157"/>
      <c r="AI32" s="157"/>
      <c r="AJ32" s="157"/>
      <c r="AK32" s="157"/>
      <c r="AL32" s="157"/>
      <c r="AM32" s="157"/>
      <c r="AN32" s="157"/>
      <c r="AO32" s="157"/>
      <c r="AP32" s="157"/>
      <c r="AQ32" s="157"/>
      <c r="AR32" s="157"/>
      <c r="AS32" s="154" t="s">
        <v>34</v>
      </c>
      <c r="AT32" s="155"/>
      <c r="AU32" s="155"/>
      <c r="AV32" s="155"/>
      <c r="AW32" s="155"/>
      <c r="AX32" s="155"/>
      <c r="AY32" s="155"/>
      <c r="AZ32" s="155"/>
      <c r="BA32" s="155"/>
      <c r="BB32" s="155"/>
      <c r="BC32" s="155"/>
      <c r="BD32" s="155"/>
      <c r="BE32" s="155"/>
      <c r="BF32" s="155"/>
      <c r="BG32" s="156"/>
      <c r="BI32" s="146"/>
    </row>
    <row r="33" spans="1:61" s="17" customFormat="1" ht="15" customHeight="1">
      <c r="A33" s="21"/>
      <c r="C33" s="60">
        <v>13</v>
      </c>
      <c r="D33" s="62"/>
      <c r="E33" s="60">
        <v>405</v>
      </c>
      <c r="F33" s="61"/>
      <c r="G33" s="62"/>
      <c r="H33" s="150" t="s">
        <v>35</v>
      </c>
      <c r="I33" s="151"/>
      <c r="J33" s="151"/>
      <c r="K33" s="151"/>
      <c r="L33" s="151"/>
      <c r="M33" s="151"/>
      <c r="N33" s="152"/>
      <c r="O33" s="157" t="s">
        <v>36</v>
      </c>
      <c r="P33" s="157"/>
      <c r="Q33" s="157"/>
      <c r="R33" s="157"/>
      <c r="S33" s="157"/>
      <c r="T33" s="157"/>
      <c r="U33" s="157"/>
      <c r="V33" s="157"/>
      <c r="W33" s="157"/>
      <c r="X33" s="157"/>
      <c r="Y33" s="157"/>
      <c r="Z33" s="157"/>
      <c r="AA33" s="157"/>
      <c r="AB33" s="157"/>
      <c r="AC33" s="157"/>
      <c r="AD33" s="157"/>
      <c r="AE33" s="157"/>
      <c r="AF33" s="157"/>
      <c r="AG33" s="157"/>
      <c r="AH33" s="157"/>
      <c r="AI33" s="157"/>
      <c r="AJ33" s="157"/>
      <c r="AK33" s="157"/>
      <c r="AL33" s="157"/>
      <c r="AM33" s="157"/>
      <c r="AN33" s="157"/>
      <c r="AO33" s="157"/>
      <c r="AP33" s="157"/>
      <c r="AQ33" s="157"/>
      <c r="AR33" s="157"/>
      <c r="AS33" s="154" t="s">
        <v>37</v>
      </c>
      <c r="AT33" s="155"/>
      <c r="AU33" s="155"/>
      <c r="AV33" s="155"/>
      <c r="AW33" s="155"/>
      <c r="AX33" s="155"/>
      <c r="AY33" s="155"/>
      <c r="AZ33" s="155"/>
      <c r="BA33" s="155"/>
      <c r="BB33" s="155"/>
      <c r="BC33" s="155"/>
      <c r="BD33" s="155"/>
      <c r="BE33" s="155"/>
      <c r="BF33" s="155"/>
      <c r="BG33" s="156"/>
      <c r="BI33" s="146"/>
    </row>
    <row r="34" spans="1:61" s="17" customFormat="1" ht="15" customHeight="1">
      <c r="A34" s="21"/>
      <c r="C34" s="60">
        <v>14</v>
      </c>
      <c r="D34" s="62"/>
      <c r="E34" s="60">
        <v>409</v>
      </c>
      <c r="F34" s="61"/>
      <c r="G34" s="62"/>
      <c r="H34" s="150" t="s">
        <v>38</v>
      </c>
      <c r="I34" s="151"/>
      <c r="J34" s="151"/>
      <c r="K34" s="151"/>
      <c r="L34" s="151"/>
      <c r="M34" s="151"/>
      <c r="N34" s="152"/>
      <c r="O34" s="157" t="s">
        <v>39</v>
      </c>
      <c r="P34" s="157"/>
      <c r="Q34" s="157"/>
      <c r="R34" s="157"/>
      <c r="S34" s="157"/>
      <c r="T34" s="157"/>
      <c r="U34" s="157"/>
      <c r="V34" s="157"/>
      <c r="W34" s="157"/>
      <c r="X34" s="157"/>
      <c r="Y34" s="157"/>
      <c r="Z34" s="157"/>
      <c r="AA34" s="157"/>
      <c r="AB34" s="157"/>
      <c r="AC34" s="157"/>
      <c r="AD34" s="157"/>
      <c r="AE34" s="157"/>
      <c r="AF34" s="157"/>
      <c r="AG34" s="157"/>
      <c r="AH34" s="157"/>
      <c r="AI34" s="157"/>
      <c r="AJ34" s="157"/>
      <c r="AK34" s="157"/>
      <c r="AL34" s="157"/>
      <c r="AM34" s="157"/>
      <c r="AN34" s="157"/>
      <c r="AO34" s="157"/>
      <c r="AP34" s="157"/>
      <c r="AQ34" s="157"/>
      <c r="AR34" s="157"/>
      <c r="AS34" s="154" t="s">
        <v>40</v>
      </c>
      <c r="AT34" s="155"/>
      <c r="AU34" s="155"/>
      <c r="AV34" s="155"/>
      <c r="AW34" s="155"/>
      <c r="AX34" s="155"/>
      <c r="AY34" s="155"/>
      <c r="AZ34" s="155"/>
      <c r="BA34" s="155"/>
      <c r="BB34" s="155"/>
      <c r="BC34" s="155"/>
      <c r="BD34" s="155"/>
      <c r="BE34" s="155"/>
      <c r="BF34" s="155"/>
      <c r="BG34" s="156"/>
      <c r="BI34" s="146"/>
    </row>
    <row r="35" spans="1:61" s="17" customFormat="1" ht="15" customHeight="1">
      <c r="A35" s="21"/>
      <c r="C35" s="60">
        <v>15</v>
      </c>
      <c r="D35" s="62"/>
      <c r="E35" s="60">
        <v>415</v>
      </c>
      <c r="F35" s="61"/>
      <c r="G35" s="62"/>
      <c r="H35" s="158" t="s">
        <v>41</v>
      </c>
      <c r="I35" s="159"/>
      <c r="J35" s="159"/>
      <c r="K35" s="159"/>
      <c r="L35" s="159"/>
      <c r="M35" s="159"/>
      <c r="N35" s="160"/>
      <c r="O35" s="157" t="s">
        <v>42</v>
      </c>
      <c r="P35" s="157"/>
      <c r="Q35" s="157"/>
      <c r="R35" s="157"/>
      <c r="S35" s="157"/>
      <c r="T35" s="157"/>
      <c r="U35" s="157"/>
      <c r="V35" s="157"/>
      <c r="W35" s="157"/>
      <c r="X35" s="157"/>
      <c r="Y35" s="157"/>
      <c r="Z35" s="157"/>
      <c r="AA35" s="157"/>
      <c r="AB35" s="157"/>
      <c r="AC35" s="157"/>
      <c r="AD35" s="157"/>
      <c r="AE35" s="157"/>
      <c r="AF35" s="157"/>
      <c r="AG35" s="157"/>
      <c r="AH35" s="157"/>
      <c r="AI35" s="157"/>
      <c r="AJ35" s="157"/>
      <c r="AK35" s="157"/>
      <c r="AL35" s="157"/>
      <c r="AM35" s="157"/>
      <c r="AN35" s="157"/>
      <c r="AO35" s="157"/>
      <c r="AP35" s="157"/>
      <c r="AQ35" s="157"/>
      <c r="AR35" s="157"/>
      <c r="AS35" s="154" t="s">
        <v>43</v>
      </c>
      <c r="AT35" s="155"/>
      <c r="AU35" s="155"/>
      <c r="AV35" s="155"/>
      <c r="AW35" s="155"/>
      <c r="AX35" s="155"/>
      <c r="AY35" s="155"/>
      <c r="AZ35" s="155"/>
      <c r="BA35" s="155"/>
      <c r="BB35" s="155"/>
      <c r="BC35" s="155"/>
      <c r="BD35" s="155"/>
      <c r="BE35" s="155"/>
      <c r="BF35" s="155"/>
      <c r="BG35" s="156"/>
      <c r="BI35" s="146"/>
    </row>
    <row r="36" spans="1:61" s="17" customFormat="1" ht="50.25" customHeight="1">
      <c r="A36" s="21"/>
      <c r="C36" s="60">
        <v>16</v>
      </c>
      <c r="D36" s="62"/>
      <c r="E36" s="60">
        <v>422</v>
      </c>
      <c r="F36" s="61"/>
      <c r="G36" s="62"/>
      <c r="H36" s="158" t="s">
        <v>44</v>
      </c>
      <c r="I36" s="159"/>
      <c r="J36" s="159"/>
      <c r="K36" s="159"/>
      <c r="L36" s="159"/>
      <c r="M36" s="159"/>
      <c r="N36" s="160"/>
      <c r="O36" s="157" t="s">
        <v>45</v>
      </c>
      <c r="P36" s="157"/>
      <c r="Q36" s="157"/>
      <c r="R36" s="157"/>
      <c r="S36" s="157"/>
      <c r="T36" s="157"/>
      <c r="U36" s="157"/>
      <c r="V36" s="157"/>
      <c r="W36" s="157"/>
      <c r="X36" s="157"/>
      <c r="Y36" s="157"/>
      <c r="Z36" s="157"/>
      <c r="AA36" s="157"/>
      <c r="AB36" s="157"/>
      <c r="AC36" s="157"/>
      <c r="AD36" s="157"/>
      <c r="AE36" s="157"/>
      <c r="AF36" s="157"/>
      <c r="AG36" s="157"/>
      <c r="AH36" s="157"/>
      <c r="AI36" s="157"/>
      <c r="AJ36" s="157"/>
      <c r="AK36" s="157"/>
      <c r="AL36" s="157"/>
      <c r="AM36" s="157"/>
      <c r="AN36" s="157"/>
      <c r="AO36" s="157"/>
      <c r="AP36" s="157"/>
      <c r="AQ36" s="157"/>
      <c r="AR36" s="157"/>
      <c r="AS36" s="172" t="s">
        <v>165</v>
      </c>
      <c r="AT36" s="161"/>
      <c r="AU36" s="161"/>
      <c r="AV36" s="161"/>
      <c r="AW36" s="161"/>
      <c r="AX36" s="161"/>
      <c r="AY36" s="161"/>
      <c r="AZ36" s="161"/>
      <c r="BA36" s="161"/>
      <c r="BB36" s="161"/>
      <c r="BC36" s="161"/>
      <c r="BD36" s="161"/>
      <c r="BE36" s="161"/>
      <c r="BF36" s="161"/>
      <c r="BG36" s="162"/>
      <c r="BI36" s="146"/>
    </row>
    <row r="37" spans="1:61" s="17" customFormat="1" ht="15" customHeight="1">
      <c r="A37" s="21"/>
      <c r="C37" s="60">
        <v>16</v>
      </c>
      <c r="D37" s="62"/>
      <c r="E37" s="60">
        <v>500</v>
      </c>
      <c r="F37" s="61"/>
      <c r="G37" s="62"/>
      <c r="H37" s="158" t="s">
        <v>46</v>
      </c>
      <c r="I37" s="159"/>
      <c r="J37" s="159"/>
      <c r="K37" s="159"/>
      <c r="L37" s="159"/>
      <c r="M37" s="159"/>
      <c r="N37" s="160"/>
      <c r="O37" s="157" t="s">
        <v>47</v>
      </c>
      <c r="P37" s="157"/>
      <c r="Q37" s="157"/>
      <c r="R37" s="157"/>
      <c r="S37" s="157"/>
      <c r="T37" s="157"/>
      <c r="U37" s="157"/>
      <c r="V37" s="157"/>
      <c r="W37" s="157"/>
      <c r="X37" s="157"/>
      <c r="Y37" s="157"/>
      <c r="Z37" s="157"/>
      <c r="AA37" s="157"/>
      <c r="AB37" s="157"/>
      <c r="AC37" s="157"/>
      <c r="AD37" s="157"/>
      <c r="AE37" s="157"/>
      <c r="AF37" s="157"/>
      <c r="AG37" s="157"/>
      <c r="AH37" s="157"/>
      <c r="AI37" s="157"/>
      <c r="AJ37" s="157"/>
      <c r="AK37" s="157"/>
      <c r="AL37" s="157"/>
      <c r="AM37" s="157"/>
      <c r="AN37" s="157"/>
      <c r="AO37" s="157"/>
      <c r="AP37" s="157"/>
      <c r="AQ37" s="157"/>
      <c r="AR37" s="157"/>
      <c r="AS37" s="154" t="s">
        <v>48</v>
      </c>
      <c r="AT37" s="155"/>
      <c r="AU37" s="155"/>
      <c r="AV37" s="155"/>
      <c r="AW37" s="155"/>
      <c r="AX37" s="155"/>
      <c r="AY37" s="155"/>
      <c r="AZ37" s="155"/>
      <c r="BA37" s="155"/>
      <c r="BB37" s="155"/>
      <c r="BC37" s="155"/>
      <c r="BD37" s="155"/>
      <c r="BE37" s="155"/>
      <c r="BF37" s="155"/>
      <c r="BG37" s="156"/>
      <c r="BI37" s="146"/>
    </row>
    <row r="38" spans="1:61" s="17" customFormat="1" ht="15" customHeight="1">
      <c r="A38" s="21"/>
      <c r="C38" s="60">
        <v>17</v>
      </c>
      <c r="D38" s="62"/>
      <c r="E38" s="60">
        <v>503</v>
      </c>
      <c r="F38" s="61"/>
      <c r="G38" s="62"/>
      <c r="H38" s="158" t="s">
        <v>49</v>
      </c>
      <c r="I38" s="159"/>
      <c r="J38" s="159"/>
      <c r="K38" s="159"/>
      <c r="L38" s="159"/>
      <c r="M38" s="159"/>
      <c r="N38" s="160"/>
      <c r="O38" s="157" t="s">
        <v>50</v>
      </c>
      <c r="P38" s="157"/>
      <c r="Q38" s="157"/>
      <c r="R38" s="157"/>
      <c r="S38" s="157"/>
      <c r="T38" s="157"/>
      <c r="U38" s="157"/>
      <c r="V38" s="157"/>
      <c r="W38" s="157"/>
      <c r="X38" s="157"/>
      <c r="Y38" s="157"/>
      <c r="Z38" s="157"/>
      <c r="AA38" s="157"/>
      <c r="AB38" s="157"/>
      <c r="AC38" s="157"/>
      <c r="AD38" s="157"/>
      <c r="AE38" s="157"/>
      <c r="AF38" s="157"/>
      <c r="AG38" s="157"/>
      <c r="AH38" s="157"/>
      <c r="AI38" s="157"/>
      <c r="AJ38" s="157"/>
      <c r="AK38" s="157"/>
      <c r="AL38" s="157"/>
      <c r="AM38" s="157"/>
      <c r="AN38" s="157"/>
      <c r="AO38" s="157"/>
      <c r="AP38" s="157"/>
      <c r="AQ38" s="157"/>
      <c r="AR38" s="157"/>
      <c r="AS38" s="154" t="s">
        <v>51</v>
      </c>
      <c r="AT38" s="155"/>
      <c r="AU38" s="155"/>
      <c r="AV38" s="155"/>
      <c r="AW38" s="155"/>
      <c r="AX38" s="155"/>
      <c r="AY38" s="155"/>
      <c r="AZ38" s="155"/>
      <c r="BA38" s="155"/>
      <c r="BB38" s="155"/>
      <c r="BC38" s="155"/>
      <c r="BD38" s="155"/>
      <c r="BE38" s="155"/>
      <c r="BF38" s="155"/>
      <c r="BG38" s="156"/>
      <c r="BI38" s="146"/>
    </row>
    <row r="39" spans="1:61" s="17" customFormat="1" ht="30" customHeight="1">
      <c r="A39" s="21"/>
      <c r="C39" s="60">
        <v>18</v>
      </c>
      <c r="D39" s="62"/>
      <c r="E39" s="60">
        <v>505</v>
      </c>
      <c r="F39" s="61"/>
      <c r="G39" s="62"/>
      <c r="H39" s="158" t="s">
        <v>52</v>
      </c>
      <c r="I39" s="159"/>
      <c r="J39" s="159"/>
      <c r="K39" s="159"/>
      <c r="L39" s="159"/>
      <c r="M39" s="159"/>
      <c r="N39" s="160"/>
      <c r="O39" s="157" t="s">
        <v>53</v>
      </c>
      <c r="P39" s="157"/>
      <c r="Q39" s="157"/>
      <c r="R39" s="157"/>
      <c r="S39" s="157"/>
      <c r="T39" s="157"/>
      <c r="U39" s="157"/>
      <c r="V39" s="157"/>
      <c r="W39" s="157"/>
      <c r="X39" s="157"/>
      <c r="Y39" s="157"/>
      <c r="Z39" s="157"/>
      <c r="AA39" s="157"/>
      <c r="AB39" s="157"/>
      <c r="AC39" s="157"/>
      <c r="AD39" s="157"/>
      <c r="AE39" s="157"/>
      <c r="AF39" s="157"/>
      <c r="AG39" s="157"/>
      <c r="AH39" s="157"/>
      <c r="AI39" s="157"/>
      <c r="AJ39" s="157"/>
      <c r="AK39" s="157"/>
      <c r="AL39" s="157"/>
      <c r="AM39" s="157"/>
      <c r="AN39" s="157"/>
      <c r="AO39" s="157"/>
      <c r="AP39" s="157"/>
      <c r="AQ39" s="157"/>
      <c r="AR39" s="157"/>
      <c r="AS39" s="154" t="s">
        <v>54</v>
      </c>
      <c r="AT39" s="155"/>
      <c r="AU39" s="155"/>
      <c r="AV39" s="155"/>
      <c r="AW39" s="155"/>
      <c r="AX39" s="155"/>
      <c r="AY39" s="155"/>
      <c r="AZ39" s="155"/>
      <c r="BA39" s="155"/>
      <c r="BB39" s="155"/>
      <c r="BC39" s="155"/>
      <c r="BD39" s="155"/>
      <c r="BE39" s="155"/>
      <c r="BF39" s="155"/>
      <c r="BG39" s="156"/>
      <c r="BI39" s="146"/>
    </row>
    <row r="40" spans="1:61" s="17" customFormat="1" ht="15" customHeight="1">
      <c r="A40" s="21"/>
      <c r="C40" s="145" t="s">
        <v>55</v>
      </c>
      <c r="U40" s="145"/>
      <c r="AD40" s="145"/>
      <c r="AM40" s="145"/>
      <c r="BI40" s="146"/>
    </row>
    <row r="41" spans="1:61" s="17" customFormat="1" ht="15" customHeight="1">
      <c r="A41" s="21"/>
      <c r="C41" s="145"/>
      <c r="U41" s="145"/>
      <c r="AD41" s="145"/>
      <c r="AM41" s="145"/>
      <c r="BI41" s="146"/>
    </row>
    <row r="42" spans="1:61" s="17" customFormat="1" ht="15" customHeight="1">
      <c r="A42" s="21"/>
      <c r="C42" s="11" t="s">
        <v>119</v>
      </c>
      <c r="U42" s="145"/>
      <c r="AD42" s="145"/>
      <c r="AM42" s="145"/>
      <c r="BI42" s="146"/>
    </row>
    <row r="43" spans="1:61" s="17" customFormat="1" ht="15" customHeight="1">
      <c r="A43" s="21"/>
      <c r="C43" s="145"/>
      <c r="U43" s="145"/>
      <c r="AD43" s="145"/>
      <c r="AM43" s="145"/>
      <c r="BI43" s="146"/>
    </row>
    <row r="44" spans="1:61" s="17" customFormat="1" ht="15" customHeight="1">
      <c r="A44" s="21"/>
      <c r="C44" s="145"/>
      <c r="D44" s="10" t="s">
        <v>120</v>
      </c>
      <c r="U44" s="145"/>
      <c r="AD44" s="145"/>
      <c r="AM44" s="145"/>
      <c r="BI44" s="146"/>
    </row>
    <row r="45" spans="1:61" s="17" customFormat="1" ht="15" customHeight="1">
      <c r="A45" s="21"/>
      <c r="C45" s="145"/>
      <c r="U45" s="145"/>
      <c r="AD45" s="145"/>
      <c r="AM45" s="145"/>
      <c r="BI45" s="146"/>
    </row>
    <row r="46" spans="1:61" s="17" customFormat="1" ht="15" customHeight="1">
      <c r="A46" s="21"/>
      <c r="C46" s="145"/>
      <c r="D46" s="10" t="s">
        <v>56</v>
      </c>
      <c r="U46" s="145"/>
      <c r="AD46" s="145"/>
      <c r="AM46" s="145"/>
      <c r="BI46" s="146"/>
    </row>
    <row r="47" spans="1:61" s="17" customFormat="1" ht="15" customHeight="1">
      <c r="A47" s="21"/>
      <c r="C47" s="145"/>
      <c r="E47" s="174" t="s">
        <v>121</v>
      </c>
      <c r="F47" s="175"/>
      <c r="G47" s="175"/>
      <c r="H47" s="175"/>
      <c r="I47" s="175"/>
      <c r="J47" s="175"/>
      <c r="K47" s="175"/>
      <c r="L47" s="175"/>
      <c r="M47" s="175"/>
      <c r="N47" s="175"/>
      <c r="O47" s="175"/>
      <c r="P47" s="175"/>
      <c r="Q47" s="175"/>
      <c r="R47" s="175"/>
      <c r="S47" s="175"/>
      <c r="T47" s="175"/>
      <c r="U47" s="176"/>
      <c r="V47" s="175"/>
      <c r="W47" s="175"/>
      <c r="X47" s="175"/>
      <c r="Y47" s="175"/>
      <c r="Z47" s="175"/>
      <c r="AA47" s="175"/>
      <c r="AB47" s="175"/>
      <c r="AC47" s="175"/>
      <c r="AD47" s="176"/>
      <c r="AE47" s="175"/>
      <c r="AF47" s="175"/>
      <c r="AG47" s="175"/>
      <c r="AH47" s="175"/>
      <c r="AI47" s="175"/>
      <c r="AJ47" s="175"/>
      <c r="AK47" s="175"/>
      <c r="AL47" s="175"/>
      <c r="AM47" s="176"/>
      <c r="AN47" s="175"/>
      <c r="AO47" s="175"/>
      <c r="AP47" s="175"/>
      <c r="AQ47" s="175"/>
      <c r="AR47" s="175"/>
      <c r="AS47" s="175"/>
      <c r="AT47" s="175"/>
      <c r="AU47" s="175"/>
      <c r="AV47" s="175"/>
      <c r="AW47" s="175"/>
      <c r="AX47" s="175"/>
      <c r="AY47" s="175"/>
      <c r="AZ47" s="175"/>
      <c r="BA47" s="175"/>
      <c r="BB47" s="175"/>
      <c r="BC47" s="175"/>
      <c r="BI47" s="146"/>
    </row>
    <row r="48" spans="1:61" s="17" customFormat="1" ht="15" customHeight="1">
      <c r="A48" s="21"/>
      <c r="C48" s="145"/>
      <c r="E48" s="174"/>
      <c r="F48" s="175"/>
      <c r="G48" s="175"/>
      <c r="H48" s="175"/>
      <c r="I48" s="175"/>
      <c r="J48" s="175"/>
      <c r="K48" s="175"/>
      <c r="L48" s="175"/>
      <c r="M48" s="175"/>
      <c r="N48" s="175"/>
      <c r="O48" s="175"/>
      <c r="P48" s="175"/>
      <c r="Q48" s="175"/>
      <c r="R48" s="175"/>
      <c r="S48" s="175"/>
      <c r="T48" s="175"/>
      <c r="U48" s="176"/>
      <c r="V48" s="175"/>
      <c r="W48" s="175"/>
      <c r="X48" s="175"/>
      <c r="Y48" s="175"/>
      <c r="Z48" s="175"/>
      <c r="AA48" s="175"/>
      <c r="AB48" s="175"/>
      <c r="AC48" s="175"/>
      <c r="AD48" s="176"/>
      <c r="AE48" s="175"/>
      <c r="AF48" s="175"/>
      <c r="AG48" s="175"/>
      <c r="AH48" s="175"/>
      <c r="AI48" s="175"/>
      <c r="AJ48" s="175"/>
      <c r="AK48" s="175"/>
      <c r="AL48" s="175"/>
      <c r="AM48" s="176"/>
      <c r="AN48" s="175"/>
      <c r="AO48" s="175"/>
      <c r="AP48" s="175"/>
      <c r="AQ48" s="175"/>
      <c r="AR48" s="175"/>
      <c r="AS48" s="175"/>
      <c r="AT48" s="175"/>
      <c r="AU48" s="175"/>
      <c r="AV48" s="175"/>
      <c r="AW48" s="175"/>
      <c r="AX48" s="175"/>
      <c r="AY48" s="175"/>
      <c r="AZ48" s="175"/>
      <c r="BA48" s="175"/>
      <c r="BB48" s="175"/>
      <c r="BC48" s="175"/>
      <c r="BI48" s="146"/>
    </row>
    <row r="49" spans="1:61" s="17" customFormat="1" ht="15" customHeight="1">
      <c r="A49" s="21"/>
      <c r="C49" s="145"/>
      <c r="E49" s="175"/>
      <c r="F49" s="175"/>
      <c r="G49" s="137" t="s">
        <v>173</v>
      </c>
      <c r="H49" s="139"/>
      <c r="I49" s="137" t="s">
        <v>122</v>
      </c>
      <c r="J49" s="138"/>
      <c r="K49" s="138"/>
      <c r="L49" s="138"/>
      <c r="M49" s="138"/>
      <c r="N49" s="138"/>
      <c r="O49" s="138"/>
      <c r="P49" s="138"/>
      <c r="Q49" s="138"/>
      <c r="R49" s="139"/>
      <c r="S49" s="134" t="s">
        <v>123</v>
      </c>
      <c r="T49" s="135"/>
      <c r="U49" s="135"/>
      <c r="V49" s="136"/>
      <c r="W49" s="137" t="s">
        <v>124</v>
      </c>
      <c r="X49" s="138"/>
      <c r="Y49" s="138"/>
      <c r="Z49" s="138"/>
      <c r="AA49" s="138"/>
      <c r="AB49" s="138"/>
      <c r="AC49" s="138"/>
      <c r="AD49" s="138"/>
      <c r="AE49" s="138"/>
      <c r="AF49" s="139"/>
      <c r="AG49" s="137" t="s">
        <v>125</v>
      </c>
      <c r="AH49" s="138"/>
      <c r="AI49" s="138"/>
      <c r="AJ49" s="138"/>
      <c r="AK49" s="138"/>
      <c r="AL49" s="138"/>
      <c r="AM49" s="138"/>
      <c r="AN49" s="138"/>
      <c r="AO49" s="138"/>
      <c r="AP49" s="138"/>
      <c r="AQ49" s="138"/>
      <c r="AR49" s="138"/>
      <c r="AS49" s="138"/>
      <c r="AT49" s="138"/>
      <c r="AU49" s="138"/>
      <c r="AV49" s="138"/>
      <c r="AW49" s="138"/>
      <c r="AX49" s="138"/>
      <c r="AY49" s="139"/>
      <c r="AZ49" s="175"/>
      <c r="BA49" s="175"/>
      <c r="BB49" s="175"/>
      <c r="BC49" s="175"/>
      <c r="BI49" s="146"/>
    </row>
    <row r="50" spans="1:61" s="17" customFormat="1" ht="58.5" customHeight="1">
      <c r="A50" s="21"/>
      <c r="C50" s="145"/>
      <c r="E50" s="175"/>
      <c r="F50" s="175"/>
      <c r="G50" s="122">
        <v>1</v>
      </c>
      <c r="H50" s="123"/>
      <c r="I50" s="122" t="s">
        <v>126</v>
      </c>
      <c r="J50" s="127"/>
      <c r="K50" s="127"/>
      <c r="L50" s="127"/>
      <c r="M50" s="127"/>
      <c r="N50" s="127"/>
      <c r="O50" s="127"/>
      <c r="P50" s="127"/>
      <c r="Q50" s="127"/>
      <c r="R50" s="123"/>
      <c r="S50" s="122" t="s">
        <v>127</v>
      </c>
      <c r="T50" s="127"/>
      <c r="U50" s="127"/>
      <c r="V50" s="123"/>
      <c r="W50" s="122" t="s">
        <v>3</v>
      </c>
      <c r="X50" s="127"/>
      <c r="Y50" s="127"/>
      <c r="Z50" s="127"/>
      <c r="AA50" s="127"/>
      <c r="AB50" s="127"/>
      <c r="AC50" s="127"/>
      <c r="AD50" s="127"/>
      <c r="AE50" s="127"/>
      <c r="AF50" s="123"/>
      <c r="AG50" s="140" t="s">
        <v>166</v>
      </c>
      <c r="AH50" s="129"/>
      <c r="AI50" s="129"/>
      <c r="AJ50" s="129"/>
      <c r="AK50" s="129"/>
      <c r="AL50" s="129"/>
      <c r="AM50" s="129"/>
      <c r="AN50" s="129"/>
      <c r="AO50" s="129"/>
      <c r="AP50" s="129"/>
      <c r="AQ50" s="129"/>
      <c r="AR50" s="129"/>
      <c r="AS50" s="129"/>
      <c r="AT50" s="129"/>
      <c r="AU50" s="129"/>
      <c r="AV50" s="129"/>
      <c r="AW50" s="129"/>
      <c r="AX50" s="129"/>
      <c r="AY50" s="130"/>
      <c r="AZ50" s="175"/>
      <c r="BA50" s="175"/>
      <c r="BB50" s="175"/>
      <c r="BC50" s="175"/>
      <c r="BI50" s="146"/>
    </row>
    <row r="51" spans="1:61" s="17" customFormat="1">
      <c r="A51" s="21"/>
      <c r="C51" s="145"/>
      <c r="E51" s="175"/>
      <c r="F51" s="175"/>
      <c r="G51" s="122">
        <f>G50+1</f>
        <v>2</v>
      </c>
      <c r="H51" s="123"/>
      <c r="I51" s="122" t="s">
        <v>128</v>
      </c>
      <c r="J51" s="127"/>
      <c r="K51" s="127"/>
      <c r="L51" s="127"/>
      <c r="M51" s="127"/>
      <c r="N51" s="127"/>
      <c r="O51" s="127"/>
      <c r="P51" s="127"/>
      <c r="Q51" s="127"/>
      <c r="R51" s="123"/>
      <c r="S51" s="122" t="s">
        <v>129</v>
      </c>
      <c r="T51" s="127"/>
      <c r="U51" s="127"/>
      <c r="V51" s="123"/>
      <c r="W51" s="122" t="s">
        <v>3</v>
      </c>
      <c r="X51" s="127"/>
      <c r="Y51" s="127"/>
      <c r="Z51" s="127"/>
      <c r="AA51" s="127"/>
      <c r="AB51" s="127"/>
      <c r="AC51" s="127"/>
      <c r="AD51" s="127"/>
      <c r="AE51" s="127"/>
      <c r="AF51" s="123"/>
      <c r="AG51" s="128" t="s">
        <v>130</v>
      </c>
      <c r="AH51" s="129"/>
      <c r="AI51" s="129"/>
      <c r="AJ51" s="129"/>
      <c r="AK51" s="129"/>
      <c r="AL51" s="129"/>
      <c r="AM51" s="129"/>
      <c r="AN51" s="129"/>
      <c r="AO51" s="129"/>
      <c r="AP51" s="129"/>
      <c r="AQ51" s="129"/>
      <c r="AR51" s="129"/>
      <c r="AS51" s="129"/>
      <c r="AT51" s="129"/>
      <c r="AU51" s="129"/>
      <c r="AV51" s="129"/>
      <c r="AW51" s="129"/>
      <c r="AX51" s="129"/>
      <c r="AY51" s="130"/>
      <c r="AZ51" s="175"/>
      <c r="BA51" s="175"/>
      <c r="BB51" s="175"/>
      <c r="BC51" s="175"/>
      <c r="BI51" s="146"/>
    </row>
    <row r="52" spans="1:61" s="17" customFormat="1">
      <c r="A52" s="21"/>
      <c r="C52" s="145"/>
      <c r="E52" s="175"/>
      <c r="F52" s="175"/>
      <c r="G52" s="9"/>
      <c r="H52" s="9"/>
      <c r="I52" s="9"/>
      <c r="J52" s="9"/>
      <c r="K52" s="9"/>
      <c r="L52" s="9"/>
      <c r="M52" s="9"/>
      <c r="N52" s="9"/>
      <c r="O52" s="9"/>
      <c r="P52" s="9"/>
      <c r="Q52" s="9"/>
      <c r="R52" s="9"/>
      <c r="S52" s="9"/>
      <c r="T52" s="9"/>
      <c r="U52" s="9"/>
      <c r="V52" s="9"/>
      <c r="W52" s="9"/>
      <c r="X52" s="9"/>
      <c r="Y52" s="9"/>
      <c r="Z52" s="9"/>
      <c r="AA52" s="9"/>
      <c r="AB52" s="9"/>
      <c r="AC52" s="9"/>
      <c r="AD52" s="9"/>
      <c r="AE52" s="9"/>
      <c r="AF52" s="9"/>
      <c r="AG52" s="177"/>
      <c r="AH52" s="13"/>
      <c r="AI52" s="13"/>
      <c r="AJ52" s="13"/>
      <c r="AK52" s="13"/>
      <c r="AL52" s="13"/>
      <c r="AM52" s="13"/>
      <c r="AN52" s="13"/>
      <c r="AO52" s="13"/>
      <c r="AP52" s="13"/>
      <c r="AQ52" s="13"/>
      <c r="AR52" s="13"/>
      <c r="AS52" s="13"/>
      <c r="AT52" s="13"/>
      <c r="AU52" s="13"/>
      <c r="AV52" s="13"/>
      <c r="AW52" s="13"/>
      <c r="AX52" s="13"/>
      <c r="AY52" s="13"/>
      <c r="AZ52" s="175"/>
      <c r="BA52" s="175"/>
      <c r="BB52" s="175"/>
      <c r="BC52" s="175"/>
      <c r="BI52" s="146"/>
    </row>
    <row r="53" spans="1:61" s="17" customFormat="1" ht="15" customHeight="1">
      <c r="A53" s="21"/>
      <c r="C53" s="145"/>
      <c r="E53" s="174"/>
      <c r="F53" s="175" t="s">
        <v>65</v>
      </c>
      <c r="G53" s="175"/>
      <c r="H53" s="175"/>
      <c r="I53" s="175"/>
      <c r="J53" s="175"/>
      <c r="K53" s="175"/>
      <c r="L53" s="175"/>
      <c r="M53" s="175"/>
      <c r="N53" s="175"/>
      <c r="O53" s="175"/>
      <c r="P53" s="175"/>
      <c r="Q53" s="175"/>
      <c r="R53" s="175"/>
      <c r="S53" s="175"/>
      <c r="T53" s="175"/>
      <c r="U53" s="176"/>
      <c r="V53" s="175"/>
      <c r="W53" s="175"/>
      <c r="X53" s="175"/>
      <c r="Y53" s="175"/>
      <c r="Z53" s="175"/>
      <c r="AA53" s="175"/>
      <c r="AB53" s="175"/>
      <c r="AC53" s="175"/>
      <c r="AD53" s="176"/>
      <c r="AE53" s="175"/>
      <c r="AF53" s="175"/>
      <c r="AG53" s="175"/>
      <c r="AH53" s="175"/>
      <c r="AI53" s="175"/>
      <c r="AJ53" s="175"/>
      <c r="AK53" s="175"/>
      <c r="AL53" s="175"/>
      <c r="AM53" s="176"/>
      <c r="AN53" s="175"/>
      <c r="AO53" s="175"/>
      <c r="AP53" s="175"/>
      <c r="AQ53" s="175"/>
      <c r="AR53" s="175"/>
      <c r="AS53" s="175"/>
      <c r="AT53" s="175"/>
      <c r="AU53" s="175"/>
      <c r="AV53" s="175"/>
      <c r="AW53" s="175"/>
      <c r="AX53" s="175"/>
      <c r="AY53" s="175"/>
      <c r="AZ53" s="175"/>
      <c r="BA53" s="175"/>
      <c r="BB53" s="175"/>
      <c r="BC53" s="175"/>
      <c r="BI53" s="146"/>
    </row>
    <row r="54" spans="1:61" s="17" customFormat="1" ht="15" customHeight="1">
      <c r="A54" s="21"/>
      <c r="C54" s="145"/>
      <c r="E54" s="174"/>
      <c r="F54" s="175"/>
      <c r="G54" s="175" t="s">
        <v>131</v>
      </c>
      <c r="H54" s="175"/>
      <c r="I54" s="175"/>
      <c r="J54" s="175"/>
      <c r="K54" s="175"/>
      <c r="L54" s="175"/>
      <c r="M54" s="175"/>
      <c r="N54" s="175"/>
      <c r="O54" s="175"/>
      <c r="P54" s="175"/>
      <c r="Q54" s="175"/>
      <c r="R54" s="175"/>
      <c r="S54" s="175"/>
      <c r="T54" s="175"/>
      <c r="U54" s="176"/>
      <c r="V54" s="175"/>
      <c r="W54" s="175"/>
      <c r="X54" s="175"/>
      <c r="Y54" s="175"/>
      <c r="Z54" s="175"/>
      <c r="AA54" s="175"/>
      <c r="AB54" s="175"/>
      <c r="AC54" s="175"/>
      <c r="AD54" s="176"/>
      <c r="AE54" s="175"/>
      <c r="AF54" s="175"/>
      <c r="AG54" s="175"/>
      <c r="AH54" s="175"/>
      <c r="AI54" s="175"/>
      <c r="AJ54" s="175"/>
      <c r="AK54" s="175"/>
      <c r="AL54" s="175"/>
      <c r="AM54" s="176"/>
      <c r="AN54" s="175"/>
      <c r="AO54" s="175"/>
      <c r="AP54" s="175"/>
      <c r="AQ54" s="175"/>
      <c r="AR54" s="175"/>
      <c r="AS54" s="175"/>
      <c r="AT54" s="175"/>
      <c r="AU54" s="175"/>
      <c r="AV54" s="175"/>
      <c r="AW54" s="175"/>
      <c r="AX54" s="175"/>
      <c r="AY54" s="175"/>
      <c r="AZ54" s="175"/>
      <c r="BA54" s="175"/>
      <c r="BB54" s="175"/>
      <c r="BC54" s="175"/>
      <c r="BI54" s="146"/>
    </row>
    <row r="55" spans="1:61" s="17" customFormat="1" ht="15" customHeight="1">
      <c r="A55" s="21"/>
      <c r="C55" s="145"/>
      <c r="E55" s="174"/>
      <c r="F55" s="175"/>
      <c r="G55" s="175" t="s">
        <v>132</v>
      </c>
      <c r="H55" s="175"/>
      <c r="I55" s="175"/>
      <c r="J55" s="175"/>
      <c r="K55" s="175"/>
      <c r="L55" s="175"/>
      <c r="M55" s="175"/>
      <c r="N55" s="175"/>
      <c r="O55" s="175"/>
      <c r="P55" s="175"/>
      <c r="Q55" s="175"/>
      <c r="R55" s="175"/>
      <c r="S55" s="175"/>
      <c r="T55" s="175"/>
      <c r="U55" s="176"/>
      <c r="V55" s="175"/>
      <c r="W55" s="175"/>
      <c r="X55" s="175"/>
      <c r="Y55" s="175"/>
      <c r="Z55" s="175"/>
      <c r="AA55" s="175"/>
      <c r="AB55" s="175"/>
      <c r="AC55" s="175"/>
      <c r="AD55" s="176"/>
      <c r="AE55" s="175"/>
      <c r="AF55" s="175"/>
      <c r="AG55" s="175"/>
      <c r="AH55" s="175"/>
      <c r="AI55" s="175"/>
      <c r="AJ55" s="175"/>
      <c r="AK55" s="175"/>
      <c r="AL55" s="175"/>
      <c r="AM55" s="176"/>
      <c r="AN55" s="175"/>
      <c r="AO55" s="175"/>
      <c r="AP55" s="175"/>
      <c r="AQ55" s="175"/>
      <c r="AR55" s="175"/>
      <c r="AS55" s="175"/>
      <c r="AT55" s="175"/>
      <c r="AU55" s="175"/>
      <c r="AV55" s="175"/>
      <c r="AW55" s="175"/>
      <c r="AX55" s="175"/>
      <c r="AY55" s="175"/>
      <c r="AZ55" s="175"/>
      <c r="BA55" s="175"/>
      <c r="BB55" s="175"/>
      <c r="BC55" s="175"/>
      <c r="BI55" s="146"/>
    </row>
    <row r="56" spans="1:61" s="17" customFormat="1" ht="15" customHeight="1">
      <c r="A56" s="21"/>
      <c r="C56" s="145"/>
      <c r="E56" s="174"/>
      <c r="F56" s="175"/>
      <c r="G56" s="175"/>
      <c r="H56" s="175" t="s">
        <v>133</v>
      </c>
      <c r="I56" s="175"/>
      <c r="J56" s="175"/>
      <c r="K56" s="175"/>
      <c r="L56" s="175"/>
      <c r="M56" s="175"/>
      <c r="N56" s="175"/>
      <c r="O56" s="175"/>
      <c r="P56" s="175"/>
      <c r="Q56" s="175"/>
      <c r="R56" s="175"/>
      <c r="S56" s="175"/>
      <c r="T56" s="175"/>
      <c r="U56" s="176"/>
      <c r="V56" s="175"/>
      <c r="W56" s="175"/>
      <c r="X56" s="175"/>
      <c r="Y56" s="175"/>
      <c r="Z56" s="175"/>
      <c r="AA56" s="175"/>
      <c r="AB56" s="175"/>
      <c r="AC56" s="175"/>
      <c r="AD56" s="176"/>
      <c r="AE56" s="175"/>
      <c r="AF56" s="175"/>
      <c r="AG56" s="175"/>
      <c r="AH56" s="175"/>
      <c r="AI56" s="175"/>
      <c r="AJ56" s="175"/>
      <c r="AK56" s="175"/>
      <c r="AL56" s="175"/>
      <c r="AM56" s="176"/>
      <c r="AN56" s="175"/>
      <c r="AO56" s="175"/>
      <c r="AP56" s="175"/>
      <c r="AQ56" s="175"/>
      <c r="AR56" s="175"/>
      <c r="AS56" s="175"/>
      <c r="AT56" s="175"/>
      <c r="AU56" s="175"/>
      <c r="AV56" s="175"/>
      <c r="AW56" s="175"/>
      <c r="AX56" s="175"/>
      <c r="AY56" s="175"/>
      <c r="AZ56" s="175"/>
      <c r="BA56" s="175"/>
      <c r="BB56" s="175"/>
      <c r="BC56" s="175"/>
      <c r="BI56" s="146"/>
    </row>
    <row r="57" spans="1:61" s="17" customFormat="1" ht="15" customHeight="1">
      <c r="A57" s="21"/>
      <c r="C57" s="145"/>
      <c r="E57" s="174"/>
      <c r="F57" s="175"/>
      <c r="G57" s="175" t="s">
        <v>69</v>
      </c>
      <c r="H57" s="175"/>
      <c r="I57" s="175"/>
      <c r="J57" s="175"/>
      <c r="K57" s="175"/>
      <c r="L57" s="175"/>
      <c r="M57" s="175"/>
      <c r="N57" s="175"/>
      <c r="O57" s="175"/>
      <c r="P57" s="175"/>
      <c r="Q57" s="175"/>
      <c r="R57" s="175"/>
      <c r="S57" s="175"/>
      <c r="T57" s="175"/>
      <c r="U57" s="176"/>
      <c r="V57" s="175"/>
      <c r="W57" s="175"/>
      <c r="X57" s="175"/>
      <c r="Y57" s="175"/>
      <c r="Z57" s="175"/>
      <c r="AA57" s="175"/>
      <c r="AB57" s="175"/>
      <c r="AC57" s="175"/>
      <c r="AD57" s="176"/>
      <c r="AE57" s="175"/>
      <c r="AF57" s="175"/>
      <c r="AG57" s="175"/>
      <c r="AH57" s="175"/>
      <c r="AI57" s="175"/>
      <c r="AJ57" s="175"/>
      <c r="AK57" s="175"/>
      <c r="AL57" s="175"/>
      <c r="AM57" s="176"/>
      <c r="AN57" s="175"/>
      <c r="AO57" s="175"/>
      <c r="AP57" s="175"/>
      <c r="AQ57" s="175"/>
      <c r="AR57" s="175"/>
      <c r="AS57" s="175"/>
      <c r="AT57" s="175"/>
      <c r="AU57" s="175"/>
      <c r="AV57" s="175"/>
      <c r="AW57" s="175"/>
      <c r="AX57" s="175"/>
      <c r="AY57" s="175"/>
      <c r="AZ57" s="175"/>
      <c r="BA57" s="175"/>
      <c r="BB57" s="175"/>
      <c r="BC57" s="175"/>
      <c r="BI57" s="146"/>
    </row>
    <row r="58" spans="1:61" s="17" customFormat="1" ht="15" customHeight="1">
      <c r="A58" s="21"/>
      <c r="C58" s="145"/>
      <c r="E58" s="174"/>
      <c r="F58" s="175" t="s">
        <v>69</v>
      </c>
      <c r="G58" s="175"/>
      <c r="H58" s="175"/>
      <c r="I58" s="175"/>
      <c r="J58" s="175"/>
      <c r="K58" s="175"/>
      <c r="L58" s="175"/>
      <c r="M58" s="175"/>
      <c r="N58" s="175"/>
      <c r="O58" s="175"/>
      <c r="P58" s="175"/>
      <c r="Q58" s="175"/>
      <c r="R58" s="175"/>
      <c r="S58" s="175"/>
      <c r="T58" s="175"/>
      <c r="U58" s="176"/>
      <c r="V58" s="175"/>
      <c r="W58" s="175"/>
      <c r="X58" s="175"/>
      <c r="Y58" s="175"/>
      <c r="Z58" s="175"/>
      <c r="AA58" s="175"/>
      <c r="AB58" s="175"/>
      <c r="AC58" s="175"/>
      <c r="AD58" s="176"/>
      <c r="AE58" s="175"/>
      <c r="AF58" s="175"/>
      <c r="AG58" s="175"/>
      <c r="AH58" s="175"/>
      <c r="AI58" s="175"/>
      <c r="AJ58" s="175"/>
      <c r="AK58" s="175"/>
      <c r="AL58" s="175"/>
      <c r="AM58" s="176"/>
      <c r="AN58" s="175"/>
      <c r="AO58" s="175"/>
      <c r="AP58" s="175"/>
      <c r="AQ58" s="175"/>
      <c r="AR58" s="175"/>
      <c r="AS58" s="175"/>
      <c r="AT58" s="175"/>
      <c r="AU58" s="175"/>
      <c r="AV58" s="175"/>
      <c r="AW58" s="175"/>
      <c r="AX58" s="175"/>
      <c r="AY58" s="175"/>
      <c r="AZ58" s="175"/>
      <c r="BA58" s="175"/>
      <c r="BB58" s="175"/>
      <c r="BC58" s="175"/>
      <c r="BI58" s="146"/>
    </row>
    <row r="59" spans="1:61" s="17" customFormat="1" ht="15" customHeight="1">
      <c r="A59" s="21"/>
      <c r="C59" s="145"/>
      <c r="U59" s="145"/>
      <c r="AD59" s="145"/>
      <c r="AM59" s="145"/>
      <c r="BI59" s="146"/>
    </row>
    <row r="60" spans="1:61" s="17" customFormat="1" ht="15" customHeight="1">
      <c r="A60" s="21"/>
      <c r="C60" s="145"/>
      <c r="E60" s="163" t="s">
        <v>57</v>
      </c>
      <c r="U60" s="145"/>
      <c r="AD60" s="145"/>
      <c r="AM60" s="145"/>
      <c r="BI60" s="146"/>
    </row>
    <row r="61" spans="1:61" s="17" customFormat="1" ht="15" customHeight="1">
      <c r="A61" s="21"/>
      <c r="C61" s="145"/>
      <c r="U61" s="145"/>
      <c r="AD61" s="145"/>
      <c r="AM61" s="145"/>
      <c r="BI61" s="146"/>
    </row>
    <row r="62" spans="1:61" s="17" customFormat="1" ht="15" customHeight="1">
      <c r="A62" s="21"/>
      <c r="C62" s="145"/>
      <c r="G62" s="164" t="s">
        <v>134</v>
      </c>
      <c r="H62" s="164"/>
      <c r="I62" s="164"/>
      <c r="J62" s="164"/>
      <c r="K62" s="164"/>
      <c r="L62" s="164"/>
      <c r="M62" s="164"/>
      <c r="N62" s="164"/>
      <c r="O62" s="164"/>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BI62" s="146"/>
    </row>
    <row r="63" spans="1:61" s="17" customFormat="1" ht="15" customHeight="1">
      <c r="A63" s="21"/>
      <c r="C63" s="145"/>
      <c r="G63" s="137" t="s">
        <v>4</v>
      </c>
      <c r="H63" s="139"/>
      <c r="I63" s="131" t="s">
        <v>122</v>
      </c>
      <c r="J63" s="132"/>
      <c r="K63" s="132"/>
      <c r="L63" s="132"/>
      <c r="M63" s="132"/>
      <c r="N63" s="132"/>
      <c r="O63" s="132"/>
      <c r="P63" s="132"/>
      <c r="Q63" s="132"/>
      <c r="R63" s="133"/>
      <c r="S63" s="134" t="s">
        <v>6</v>
      </c>
      <c r="T63" s="135"/>
      <c r="U63" s="135"/>
      <c r="V63" s="136"/>
      <c r="W63" s="137" t="s">
        <v>7</v>
      </c>
      <c r="X63" s="138"/>
      <c r="Y63" s="138"/>
      <c r="Z63" s="138"/>
      <c r="AA63" s="138"/>
      <c r="AB63" s="138"/>
      <c r="AC63" s="138"/>
      <c r="AD63" s="138"/>
      <c r="AE63" s="138"/>
      <c r="AF63" s="139"/>
      <c r="AG63" s="137" t="s">
        <v>5</v>
      </c>
      <c r="AH63" s="138"/>
      <c r="AI63" s="138"/>
      <c r="AJ63" s="138"/>
      <c r="AK63" s="138"/>
      <c r="AL63" s="138"/>
      <c r="AM63" s="138"/>
      <c r="AN63" s="138"/>
      <c r="AO63" s="138"/>
      <c r="AP63" s="138"/>
      <c r="AQ63" s="138"/>
      <c r="AR63" s="138"/>
      <c r="AS63" s="138"/>
      <c r="AT63" s="138"/>
      <c r="AU63" s="138"/>
      <c r="AV63" s="138"/>
      <c r="AW63" s="138"/>
      <c r="AX63" s="138"/>
      <c r="AY63" s="139"/>
      <c r="BI63" s="146"/>
    </row>
    <row r="64" spans="1:61" s="17" customFormat="1" ht="15" customHeight="1">
      <c r="A64" s="21"/>
      <c r="C64" s="145"/>
      <c r="G64" s="122">
        <v>1</v>
      </c>
      <c r="H64" s="123"/>
      <c r="I64" s="124" t="s">
        <v>58</v>
      </c>
      <c r="J64" s="125"/>
      <c r="K64" s="125"/>
      <c r="L64" s="125"/>
      <c r="M64" s="125"/>
      <c r="N64" s="125"/>
      <c r="O64" s="125"/>
      <c r="P64" s="125"/>
      <c r="Q64" s="125"/>
      <c r="R64" s="126"/>
      <c r="S64" s="122" t="s">
        <v>79</v>
      </c>
      <c r="T64" s="127"/>
      <c r="U64" s="127"/>
      <c r="V64" s="123"/>
      <c r="W64" s="165" t="s">
        <v>3</v>
      </c>
      <c r="X64" s="166"/>
      <c r="Y64" s="166"/>
      <c r="Z64" s="166"/>
      <c r="AA64" s="166"/>
      <c r="AB64" s="166"/>
      <c r="AC64" s="166"/>
      <c r="AD64" s="166"/>
      <c r="AE64" s="166"/>
      <c r="AF64" s="167"/>
      <c r="AG64" s="141" t="s">
        <v>3</v>
      </c>
      <c r="AH64" s="127"/>
      <c r="AI64" s="127"/>
      <c r="AJ64" s="127"/>
      <c r="AK64" s="127"/>
      <c r="AL64" s="127"/>
      <c r="AM64" s="127"/>
      <c r="AN64" s="127"/>
      <c r="AO64" s="127"/>
      <c r="AP64" s="127"/>
      <c r="AQ64" s="127"/>
      <c r="AR64" s="127"/>
      <c r="AS64" s="127"/>
      <c r="AT64" s="127"/>
      <c r="AU64" s="127"/>
      <c r="AV64" s="127"/>
      <c r="AW64" s="127"/>
      <c r="AX64" s="127"/>
      <c r="AY64" s="123"/>
      <c r="BI64" s="146"/>
    </row>
    <row r="65" spans="1:61" s="17" customFormat="1" ht="36" customHeight="1">
      <c r="A65" s="21"/>
      <c r="C65" s="145"/>
      <c r="G65" s="122">
        <f>G64+1</f>
        <v>2</v>
      </c>
      <c r="H65" s="123"/>
      <c r="I65" s="124" t="s">
        <v>59</v>
      </c>
      <c r="J65" s="125"/>
      <c r="K65" s="125"/>
      <c r="L65" s="125"/>
      <c r="M65" s="125"/>
      <c r="N65" s="125"/>
      <c r="O65" s="125"/>
      <c r="P65" s="125"/>
      <c r="Q65" s="125"/>
      <c r="R65" s="126"/>
      <c r="S65" s="122" t="s">
        <v>60</v>
      </c>
      <c r="T65" s="127"/>
      <c r="U65" s="127"/>
      <c r="V65" s="123"/>
      <c r="W65" s="165" t="s">
        <v>3</v>
      </c>
      <c r="X65" s="166"/>
      <c r="Y65" s="166"/>
      <c r="Z65" s="166"/>
      <c r="AA65" s="166"/>
      <c r="AB65" s="166"/>
      <c r="AC65" s="166"/>
      <c r="AD65" s="166"/>
      <c r="AE65" s="166"/>
      <c r="AF65" s="167"/>
      <c r="AG65" s="128" t="s">
        <v>61</v>
      </c>
      <c r="AH65" s="129"/>
      <c r="AI65" s="129"/>
      <c r="AJ65" s="129"/>
      <c r="AK65" s="129"/>
      <c r="AL65" s="129"/>
      <c r="AM65" s="129"/>
      <c r="AN65" s="129"/>
      <c r="AO65" s="129"/>
      <c r="AP65" s="129"/>
      <c r="AQ65" s="129"/>
      <c r="AR65" s="129"/>
      <c r="AS65" s="129"/>
      <c r="AT65" s="129"/>
      <c r="AU65" s="129"/>
      <c r="AV65" s="129"/>
      <c r="AW65" s="129"/>
      <c r="AX65" s="129"/>
      <c r="AY65" s="130"/>
      <c r="BI65" s="146"/>
    </row>
    <row r="66" spans="1:61" s="17" customFormat="1" ht="36" customHeight="1">
      <c r="A66" s="21"/>
      <c r="C66" s="145"/>
      <c r="G66" s="122">
        <f>G65+1</f>
        <v>3</v>
      </c>
      <c r="H66" s="123"/>
      <c r="I66" s="124" t="s">
        <v>62</v>
      </c>
      <c r="J66" s="125"/>
      <c r="K66" s="125"/>
      <c r="L66" s="125"/>
      <c r="M66" s="125"/>
      <c r="N66" s="125"/>
      <c r="O66" s="125"/>
      <c r="P66" s="125"/>
      <c r="Q66" s="125"/>
      <c r="R66" s="126"/>
      <c r="S66" s="122" t="s">
        <v>79</v>
      </c>
      <c r="T66" s="127"/>
      <c r="U66" s="127"/>
      <c r="V66" s="123"/>
      <c r="W66" s="165" t="s">
        <v>3</v>
      </c>
      <c r="X66" s="166"/>
      <c r="Y66" s="166"/>
      <c r="Z66" s="166"/>
      <c r="AA66" s="166"/>
      <c r="AB66" s="166"/>
      <c r="AC66" s="166"/>
      <c r="AD66" s="166"/>
      <c r="AE66" s="166"/>
      <c r="AF66" s="167"/>
      <c r="AG66" s="140" t="s">
        <v>135</v>
      </c>
      <c r="AH66" s="129"/>
      <c r="AI66" s="129"/>
      <c r="AJ66" s="129"/>
      <c r="AK66" s="129"/>
      <c r="AL66" s="129"/>
      <c r="AM66" s="129"/>
      <c r="AN66" s="129"/>
      <c r="AO66" s="129"/>
      <c r="AP66" s="129"/>
      <c r="AQ66" s="129"/>
      <c r="AR66" s="129"/>
      <c r="AS66" s="129"/>
      <c r="AT66" s="129"/>
      <c r="AU66" s="129"/>
      <c r="AV66" s="129"/>
      <c r="AW66" s="129"/>
      <c r="AX66" s="129"/>
      <c r="AY66" s="130"/>
      <c r="BI66" s="146"/>
    </row>
    <row r="67" spans="1:61" s="17" customFormat="1" ht="15" customHeight="1">
      <c r="A67" s="21"/>
      <c r="C67" s="145"/>
      <c r="U67" s="145"/>
      <c r="AD67" s="145"/>
      <c r="AM67" s="145"/>
      <c r="BI67" s="146"/>
    </row>
    <row r="68" spans="1:61" s="17" customFormat="1" ht="15" customHeight="1">
      <c r="A68" s="21"/>
      <c r="C68" s="145"/>
      <c r="G68" s="17" t="s">
        <v>63</v>
      </c>
      <c r="U68" s="145"/>
      <c r="AD68" s="145"/>
      <c r="AM68" s="145"/>
      <c r="BI68" s="146"/>
    </row>
    <row r="69" spans="1:61" s="17" customFormat="1" ht="15" customHeight="1">
      <c r="A69" s="21"/>
      <c r="C69" s="145"/>
      <c r="G69" s="17" t="s">
        <v>136</v>
      </c>
      <c r="U69" s="145"/>
      <c r="AD69" s="145"/>
      <c r="AM69" s="145"/>
      <c r="BI69" s="146"/>
    </row>
    <row r="70" spans="1:61" s="17" customFormat="1" ht="15" customHeight="1">
      <c r="A70" s="21"/>
      <c r="C70" s="145"/>
      <c r="G70" s="17" t="s">
        <v>64</v>
      </c>
      <c r="U70" s="145"/>
      <c r="AD70" s="145"/>
      <c r="AM70" s="145"/>
      <c r="BI70" s="146"/>
    </row>
    <row r="71" spans="1:61" s="17" customFormat="1" ht="15" customHeight="1">
      <c r="A71" s="21"/>
      <c r="C71" s="145"/>
      <c r="G71" s="17" t="s">
        <v>65</v>
      </c>
      <c r="U71" s="145"/>
      <c r="AD71" s="145"/>
      <c r="AM71" s="145"/>
      <c r="BI71" s="146"/>
    </row>
    <row r="72" spans="1:61" s="17" customFormat="1" ht="15" customHeight="1">
      <c r="A72" s="21"/>
      <c r="C72" s="145"/>
      <c r="H72" s="17" t="s">
        <v>137</v>
      </c>
      <c r="U72" s="145"/>
      <c r="AD72" s="145"/>
      <c r="AM72" s="145"/>
      <c r="BI72" s="146"/>
    </row>
    <row r="73" spans="1:61" s="17" customFormat="1" ht="15" customHeight="1">
      <c r="A73" s="21"/>
      <c r="C73" s="145"/>
      <c r="H73" s="17" t="s">
        <v>138</v>
      </c>
      <c r="U73" s="145"/>
      <c r="AD73" s="145"/>
      <c r="AM73" s="145"/>
      <c r="BI73" s="146"/>
    </row>
    <row r="74" spans="1:61" s="17" customFormat="1" ht="15" customHeight="1">
      <c r="A74" s="21"/>
      <c r="C74" s="145"/>
      <c r="H74" s="17" t="s">
        <v>66</v>
      </c>
      <c r="U74" s="145"/>
      <c r="AD74" s="145"/>
      <c r="AM74" s="145"/>
      <c r="BI74" s="146"/>
    </row>
    <row r="75" spans="1:61" s="17" customFormat="1" ht="15" customHeight="1">
      <c r="A75" s="21"/>
      <c r="C75" s="145"/>
      <c r="I75" s="17" t="s">
        <v>67</v>
      </c>
      <c r="U75" s="145"/>
      <c r="AD75" s="145"/>
      <c r="AM75" s="145"/>
      <c r="BI75" s="146"/>
    </row>
    <row r="76" spans="1:61" s="17" customFormat="1" ht="15" customHeight="1">
      <c r="A76" s="21"/>
      <c r="C76" s="145"/>
      <c r="I76" s="17" t="s">
        <v>68</v>
      </c>
      <c r="U76" s="145"/>
      <c r="AD76" s="145"/>
      <c r="AM76" s="145"/>
      <c r="BI76" s="146"/>
    </row>
    <row r="77" spans="1:61" s="17" customFormat="1" ht="15" customHeight="1">
      <c r="A77" s="21"/>
      <c r="C77" s="145"/>
      <c r="H77" s="17" t="s">
        <v>69</v>
      </c>
      <c r="U77" s="145"/>
      <c r="AD77" s="145"/>
      <c r="AM77" s="145"/>
      <c r="BI77" s="146"/>
    </row>
    <row r="78" spans="1:61" s="17" customFormat="1" ht="15" customHeight="1">
      <c r="A78" s="21"/>
      <c r="C78" s="145"/>
      <c r="G78" s="17" t="s">
        <v>69</v>
      </c>
      <c r="U78" s="145"/>
      <c r="AD78" s="145"/>
      <c r="AM78" s="145"/>
      <c r="BI78" s="146"/>
    </row>
    <row r="79" spans="1:61" s="17" customFormat="1" ht="15" customHeight="1">
      <c r="A79" s="21"/>
      <c r="C79" s="145"/>
      <c r="U79" s="145"/>
      <c r="AD79" s="145"/>
      <c r="AM79" s="145"/>
      <c r="BI79" s="146"/>
    </row>
    <row r="80" spans="1:61" s="17" customFormat="1" ht="15" customHeight="1">
      <c r="A80" s="21"/>
      <c r="C80" s="145"/>
      <c r="E80" s="163" t="s">
        <v>139</v>
      </c>
      <c r="U80" s="145"/>
      <c r="AD80" s="145"/>
      <c r="AM80" s="145"/>
      <c r="BI80" s="146"/>
    </row>
    <row r="81" spans="1:61" s="17" customFormat="1" ht="15" customHeight="1">
      <c r="A81" s="21"/>
      <c r="C81" s="145"/>
      <c r="E81" s="163"/>
      <c r="U81" s="145"/>
      <c r="AD81" s="145"/>
      <c r="AM81" s="145"/>
      <c r="BI81" s="146"/>
    </row>
    <row r="82" spans="1:61" s="17" customFormat="1" ht="15" customHeight="1">
      <c r="A82" s="21"/>
      <c r="C82" s="145"/>
      <c r="G82" s="164" t="s">
        <v>140</v>
      </c>
      <c r="H82" s="164"/>
      <c r="I82" s="164"/>
      <c r="J82" s="164"/>
      <c r="K82" s="164"/>
      <c r="L82" s="164"/>
      <c r="M82" s="164"/>
      <c r="N82" s="164"/>
      <c r="O82" s="164"/>
      <c r="P82" s="164"/>
      <c r="Q82" s="164"/>
      <c r="R82" s="164"/>
      <c r="S82" s="164"/>
      <c r="T82" s="164"/>
      <c r="U82" s="164"/>
      <c r="V82" s="164"/>
      <c r="W82" s="164"/>
      <c r="X82" s="164"/>
      <c r="Y82" s="164"/>
      <c r="Z82" s="164"/>
      <c r="AA82" s="164"/>
      <c r="AB82" s="164"/>
      <c r="AC82" s="164"/>
      <c r="AD82" s="164"/>
      <c r="AE82" s="164"/>
      <c r="AF82" s="164"/>
      <c r="AG82" s="164"/>
      <c r="AH82" s="164"/>
      <c r="AI82" s="164"/>
      <c r="AJ82" s="164"/>
      <c r="AK82" s="164"/>
      <c r="AL82" s="164"/>
      <c r="AM82" s="164"/>
      <c r="AN82" s="164"/>
      <c r="AO82" s="164"/>
      <c r="AP82" s="164"/>
      <c r="AQ82" s="164"/>
      <c r="AR82" s="164"/>
      <c r="AS82" s="164"/>
      <c r="AT82" s="164"/>
      <c r="AU82" s="164"/>
      <c r="AV82" s="164"/>
      <c r="AW82" s="164"/>
      <c r="AX82" s="164"/>
      <c r="AY82" s="164"/>
      <c r="BI82" s="146"/>
    </row>
    <row r="83" spans="1:61" s="17" customFormat="1" ht="15" customHeight="1">
      <c r="A83" s="21"/>
      <c r="C83" s="145"/>
      <c r="G83" s="137" t="s">
        <v>4</v>
      </c>
      <c r="H83" s="139"/>
      <c r="I83" s="131" t="s">
        <v>122</v>
      </c>
      <c r="J83" s="132"/>
      <c r="K83" s="132"/>
      <c r="L83" s="132"/>
      <c r="M83" s="132"/>
      <c r="N83" s="132"/>
      <c r="O83" s="132"/>
      <c r="P83" s="132"/>
      <c r="Q83" s="132"/>
      <c r="R83" s="133"/>
      <c r="S83" s="134" t="s">
        <v>6</v>
      </c>
      <c r="T83" s="135"/>
      <c r="U83" s="135"/>
      <c r="V83" s="136"/>
      <c r="W83" s="137" t="s">
        <v>7</v>
      </c>
      <c r="X83" s="138"/>
      <c r="Y83" s="138"/>
      <c r="Z83" s="138"/>
      <c r="AA83" s="138"/>
      <c r="AB83" s="138"/>
      <c r="AC83" s="138"/>
      <c r="AD83" s="138"/>
      <c r="AE83" s="138"/>
      <c r="AF83" s="139"/>
      <c r="AG83" s="137" t="s">
        <v>5</v>
      </c>
      <c r="AH83" s="138"/>
      <c r="AI83" s="138"/>
      <c r="AJ83" s="138"/>
      <c r="AK83" s="138"/>
      <c r="AL83" s="138"/>
      <c r="AM83" s="138"/>
      <c r="AN83" s="138"/>
      <c r="AO83" s="138"/>
      <c r="AP83" s="138"/>
      <c r="AQ83" s="138"/>
      <c r="AR83" s="138"/>
      <c r="AS83" s="138"/>
      <c r="AT83" s="138"/>
      <c r="AU83" s="138"/>
      <c r="AV83" s="138"/>
      <c r="AW83" s="138"/>
      <c r="AX83" s="138"/>
      <c r="AY83" s="139"/>
      <c r="BI83" s="146"/>
    </row>
    <row r="84" spans="1:61" s="17" customFormat="1" ht="15" customHeight="1">
      <c r="A84" s="21"/>
      <c r="C84" s="145"/>
      <c r="G84" s="122">
        <v>1</v>
      </c>
      <c r="H84" s="123"/>
      <c r="I84" s="124" t="s">
        <v>58</v>
      </c>
      <c r="J84" s="125"/>
      <c r="K84" s="125"/>
      <c r="L84" s="125"/>
      <c r="M84" s="125"/>
      <c r="N84" s="125"/>
      <c r="O84" s="125"/>
      <c r="P84" s="125"/>
      <c r="Q84" s="125"/>
      <c r="R84" s="126"/>
      <c r="S84" s="122" t="s">
        <v>79</v>
      </c>
      <c r="T84" s="127"/>
      <c r="U84" s="127"/>
      <c r="V84" s="123"/>
      <c r="W84" s="165" t="s">
        <v>3</v>
      </c>
      <c r="X84" s="166"/>
      <c r="Y84" s="166"/>
      <c r="Z84" s="166"/>
      <c r="AA84" s="166"/>
      <c r="AB84" s="166"/>
      <c r="AC84" s="166"/>
      <c r="AD84" s="166"/>
      <c r="AE84" s="166"/>
      <c r="AF84" s="167"/>
      <c r="AG84" s="141" t="s">
        <v>3</v>
      </c>
      <c r="AH84" s="127"/>
      <c r="AI84" s="127"/>
      <c r="AJ84" s="127"/>
      <c r="AK84" s="127"/>
      <c r="AL84" s="127"/>
      <c r="AM84" s="127"/>
      <c r="AN84" s="127"/>
      <c r="AO84" s="127"/>
      <c r="AP84" s="127"/>
      <c r="AQ84" s="127"/>
      <c r="AR84" s="127"/>
      <c r="AS84" s="127"/>
      <c r="AT84" s="127"/>
      <c r="AU84" s="127"/>
      <c r="AV84" s="127"/>
      <c r="AW84" s="127"/>
      <c r="AX84" s="127"/>
      <c r="AY84" s="123"/>
      <c r="BI84" s="146"/>
    </row>
    <row r="85" spans="1:61" s="17" customFormat="1" ht="19.5" customHeight="1">
      <c r="A85" s="21"/>
      <c r="C85" s="145"/>
      <c r="G85" s="122">
        <f>G84+1</f>
        <v>2</v>
      </c>
      <c r="H85" s="123"/>
      <c r="I85" s="124" t="s">
        <v>59</v>
      </c>
      <c r="J85" s="125"/>
      <c r="K85" s="125"/>
      <c r="L85" s="125"/>
      <c r="M85" s="125"/>
      <c r="N85" s="125"/>
      <c r="O85" s="125"/>
      <c r="P85" s="125"/>
      <c r="Q85" s="125"/>
      <c r="R85" s="126"/>
      <c r="S85" s="122" t="s">
        <v>70</v>
      </c>
      <c r="T85" s="127"/>
      <c r="U85" s="127"/>
      <c r="V85" s="123"/>
      <c r="W85" s="165" t="s">
        <v>3</v>
      </c>
      <c r="X85" s="166"/>
      <c r="Y85" s="166"/>
      <c r="Z85" s="166"/>
      <c r="AA85" s="166"/>
      <c r="AB85" s="166"/>
      <c r="AC85" s="166"/>
      <c r="AD85" s="166"/>
      <c r="AE85" s="166"/>
      <c r="AF85" s="167"/>
      <c r="AG85" s="128" t="s">
        <v>141</v>
      </c>
      <c r="AH85" s="129"/>
      <c r="AI85" s="129"/>
      <c r="AJ85" s="129"/>
      <c r="AK85" s="129"/>
      <c r="AL85" s="129"/>
      <c r="AM85" s="129"/>
      <c r="AN85" s="129"/>
      <c r="AO85" s="129"/>
      <c r="AP85" s="129"/>
      <c r="AQ85" s="129"/>
      <c r="AR85" s="129"/>
      <c r="AS85" s="129"/>
      <c r="AT85" s="129"/>
      <c r="AU85" s="129"/>
      <c r="AV85" s="129"/>
      <c r="AW85" s="129"/>
      <c r="AX85" s="129"/>
      <c r="AY85" s="130"/>
      <c r="BI85" s="146"/>
    </row>
    <row r="86" spans="1:61" s="17" customFormat="1" ht="15.75" customHeight="1">
      <c r="A86" s="21"/>
      <c r="C86" s="145"/>
      <c r="G86" s="9"/>
      <c r="H86" s="9"/>
      <c r="I86" s="12"/>
      <c r="J86" s="12"/>
      <c r="K86" s="12"/>
      <c r="L86" s="12"/>
      <c r="M86" s="12"/>
      <c r="N86" s="12"/>
      <c r="O86" s="12"/>
      <c r="P86" s="12"/>
      <c r="Q86" s="12"/>
      <c r="R86" s="12"/>
      <c r="S86" s="9"/>
      <c r="T86" s="9"/>
      <c r="U86" s="9"/>
      <c r="V86" s="9"/>
      <c r="W86" s="168"/>
      <c r="X86" s="168"/>
      <c r="Y86" s="168"/>
      <c r="Z86" s="168"/>
      <c r="AA86" s="168"/>
      <c r="AB86" s="168"/>
      <c r="AC86" s="168"/>
      <c r="AD86" s="168"/>
      <c r="AE86" s="168"/>
      <c r="AF86" s="168"/>
      <c r="AG86" s="13"/>
      <c r="AH86" s="13"/>
      <c r="AI86" s="13"/>
      <c r="AJ86" s="13"/>
      <c r="AK86" s="13"/>
      <c r="AL86" s="13"/>
      <c r="AM86" s="13"/>
      <c r="AN86" s="13"/>
      <c r="AO86" s="13"/>
      <c r="AP86" s="13"/>
      <c r="AQ86" s="13"/>
      <c r="AR86" s="13"/>
      <c r="AS86" s="13"/>
      <c r="AT86" s="13"/>
      <c r="AU86" s="13"/>
      <c r="AV86" s="13"/>
      <c r="AW86" s="13"/>
      <c r="AX86" s="13"/>
      <c r="AY86" s="13"/>
      <c r="BI86" s="146"/>
    </row>
    <row r="87" spans="1:61" s="17" customFormat="1" ht="15" customHeight="1">
      <c r="A87" s="21"/>
      <c r="C87" s="145"/>
      <c r="G87" s="9" t="s">
        <v>63</v>
      </c>
      <c r="H87" s="9"/>
      <c r="I87" s="12"/>
      <c r="J87" s="12"/>
      <c r="K87" s="12"/>
      <c r="L87" s="12"/>
      <c r="M87" s="12"/>
      <c r="N87" s="12"/>
      <c r="O87" s="12"/>
      <c r="P87" s="12"/>
      <c r="Q87" s="12"/>
      <c r="R87" s="12"/>
      <c r="S87" s="9"/>
      <c r="T87" s="9"/>
      <c r="U87" s="9"/>
      <c r="V87" s="9"/>
      <c r="W87" s="168"/>
      <c r="X87" s="168"/>
      <c r="Y87" s="168"/>
      <c r="Z87" s="168"/>
      <c r="AA87" s="168"/>
      <c r="AB87" s="168"/>
      <c r="AC87" s="168"/>
      <c r="AD87" s="168"/>
      <c r="AE87" s="168"/>
      <c r="AF87" s="168"/>
      <c r="AG87" s="13"/>
      <c r="AH87" s="13"/>
      <c r="AI87" s="13"/>
      <c r="AJ87" s="13"/>
      <c r="AK87" s="13"/>
      <c r="AL87" s="13"/>
      <c r="AM87" s="13"/>
      <c r="AN87" s="13"/>
      <c r="AO87" s="13"/>
      <c r="AP87" s="13"/>
      <c r="AQ87" s="13"/>
      <c r="AR87" s="13"/>
      <c r="AS87" s="13"/>
      <c r="AT87" s="13"/>
      <c r="AU87" s="13"/>
      <c r="AV87" s="13"/>
      <c r="AW87" s="13"/>
      <c r="AX87" s="13"/>
      <c r="AY87" s="13"/>
      <c r="BI87" s="146"/>
    </row>
    <row r="88" spans="1:61" s="17" customFormat="1" ht="15" customHeight="1">
      <c r="A88" s="21"/>
      <c r="C88" s="145"/>
      <c r="G88" s="17" t="s">
        <v>142</v>
      </c>
      <c r="U88" s="145"/>
      <c r="AD88" s="145"/>
      <c r="AM88" s="145"/>
      <c r="BI88" s="146"/>
    </row>
    <row r="89" spans="1:61" s="17" customFormat="1" ht="15" customHeight="1">
      <c r="A89" s="21"/>
      <c r="C89" s="145"/>
      <c r="G89" s="17" t="s">
        <v>64</v>
      </c>
      <c r="U89" s="145"/>
      <c r="AD89" s="145"/>
      <c r="AM89" s="145"/>
      <c r="BI89" s="146"/>
    </row>
    <row r="90" spans="1:61" s="17" customFormat="1" ht="15" customHeight="1">
      <c r="A90" s="21"/>
      <c r="C90" s="145"/>
      <c r="G90" s="17" t="s">
        <v>65</v>
      </c>
      <c r="U90" s="145"/>
      <c r="AD90" s="145"/>
      <c r="AM90" s="145"/>
      <c r="BI90" s="146"/>
    </row>
    <row r="91" spans="1:61" s="17" customFormat="1" ht="15" customHeight="1">
      <c r="A91" s="21"/>
      <c r="C91" s="145"/>
      <c r="H91" s="17" t="s">
        <v>143</v>
      </c>
      <c r="U91" s="145"/>
      <c r="AD91" s="145"/>
      <c r="AM91" s="145"/>
      <c r="BI91" s="146"/>
    </row>
    <row r="92" spans="1:61" s="17" customFormat="1" ht="15" customHeight="1">
      <c r="A92" s="21"/>
      <c r="C92" s="145"/>
      <c r="H92" s="17" t="s">
        <v>71</v>
      </c>
      <c r="U92" s="145"/>
      <c r="AD92" s="145"/>
      <c r="AM92" s="145"/>
      <c r="BI92" s="146"/>
    </row>
    <row r="93" spans="1:61" s="17" customFormat="1" ht="15" customHeight="1">
      <c r="A93" s="21"/>
      <c r="C93" s="145"/>
      <c r="G93" s="17" t="s">
        <v>69</v>
      </c>
      <c r="U93" s="145"/>
      <c r="AD93" s="145"/>
      <c r="AM93" s="145"/>
      <c r="BI93" s="146"/>
    </row>
    <row r="94" spans="1:61" s="17" customFormat="1" ht="15" customHeight="1">
      <c r="A94" s="21"/>
      <c r="C94" s="145"/>
      <c r="U94" s="145"/>
      <c r="AD94" s="145"/>
      <c r="AM94" s="145"/>
      <c r="BI94" s="146"/>
    </row>
    <row r="95" spans="1:61" s="17" customFormat="1" ht="15" customHeight="1">
      <c r="A95" s="21"/>
      <c r="C95" s="145"/>
      <c r="D95" s="178" t="s">
        <v>144</v>
      </c>
      <c r="E95" s="175"/>
      <c r="F95" s="175"/>
      <c r="G95" s="175"/>
      <c r="H95" s="175"/>
      <c r="I95" s="175"/>
      <c r="J95" s="175"/>
      <c r="K95" s="175"/>
      <c r="L95" s="175"/>
      <c r="M95" s="175"/>
      <c r="N95" s="175"/>
      <c r="O95" s="175"/>
      <c r="P95" s="175"/>
      <c r="Q95" s="175"/>
      <c r="R95" s="175"/>
      <c r="S95" s="175"/>
      <c r="T95" s="175"/>
      <c r="U95" s="176"/>
      <c r="V95" s="175"/>
      <c r="W95" s="175"/>
      <c r="X95" s="175"/>
      <c r="Y95" s="175"/>
      <c r="Z95" s="175"/>
      <c r="AA95" s="175"/>
      <c r="AB95" s="175"/>
      <c r="AC95" s="175"/>
      <c r="AD95" s="176"/>
      <c r="AE95" s="175"/>
      <c r="AF95" s="175"/>
      <c r="AG95" s="175"/>
      <c r="AH95" s="175"/>
      <c r="AI95" s="175"/>
      <c r="AJ95" s="175"/>
      <c r="AK95" s="175"/>
      <c r="AL95" s="175"/>
      <c r="AM95" s="176"/>
      <c r="AN95" s="175"/>
      <c r="AO95" s="175"/>
      <c r="AP95" s="175"/>
      <c r="AQ95" s="175"/>
      <c r="AR95" s="175"/>
      <c r="AS95" s="175"/>
      <c r="AT95" s="175"/>
      <c r="AU95" s="175"/>
      <c r="AV95" s="175"/>
      <c r="AW95" s="175"/>
      <c r="AX95" s="175"/>
      <c r="AY95" s="175"/>
      <c r="AZ95" s="175"/>
      <c r="BA95" s="175"/>
      <c r="BB95" s="175"/>
      <c r="BC95" s="175"/>
      <c r="BI95" s="146"/>
    </row>
    <row r="96" spans="1:61" s="17" customFormat="1" ht="15" customHeight="1">
      <c r="A96" s="21"/>
      <c r="C96" s="145"/>
      <c r="D96" s="175"/>
      <c r="E96" s="175"/>
      <c r="F96" s="175"/>
      <c r="G96" s="175"/>
      <c r="H96" s="175"/>
      <c r="I96" s="175"/>
      <c r="J96" s="175"/>
      <c r="K96" s="175"/>
      <c r="L96" s="175"/>
      <c r="M96" s="175"/>
      <c r="N96" s="175"/>
      <c r="O96" s="175"/>
      <c r="P96" s="175"/>
      <c r="Q96" s="175"/>
      <c r="R96" s="175"/>
      <c r="S96" s="175"/>
      <c r="T96" s="175"/>
      <c r="U96" s="176"/>
      <c r="V96" s="175"/>
      <c r="W96" s="175"/>
      <c r="X96" s="175"/>
      <c r="Y96" s="175"/>
      <c r="Z96" s="175"/>
      <c r="AA96" s="175"/>
      <c r="AB96" s="175"/>
      <c r="AC96" s="175"/>
      <c r="AD96" s="176"/>
      <c r="AE96" s="175"/>
      <c r="AF96" s="175"/>
      <c r="AG96" s="175"/>
      <c r="AH96" s="175"/>
      <c r="AI96" s="175"/>
      <c r="AJ96" s="175"/>
      <c r="AK96" s="175"/>
      <c r="AL96" s="175"/>
      <c r="AM96" s="176"/>
      <c r="AN96" s="175"/>
      <c r="AO96" s="175"/>
      <c r="AP96" s="175"/>
      <c r="AQ96" s="175"/>
      <c r="AR96" s="175"/>
      <c r="AS96" s="175"/>
      <c r="AT96" s="175"/>
      <c r="AU96" s="175"/>
      <c r="AV96" s="175"/>
      <c r="AW96" s="175"/>
      <c r="AX96" s="175"/>
      <c r="AY96" s="175"/>
      <c r="AZ96" s="175"/>
      <c r="BA96" s="175"/>
      <c r="BB96" s="175"/>
      <c r="BC96" s="175"/>
      <c r="BI96" s="146"/>
    </row>
    <row r="97" spans="1:61" s="17" customFormat="1" ht="15" customHeight="1">
      <c r="A97" s="21"/>
      <c r="C97" s="145"/>
      <c r="D97" s="175"/>
      <c r="E97" s="175" t="s">
        <v>145</v>
      </c>
      <c r="F97" s="175"/>
      <c r="G97" s="175"/>
      <c r="H97" s="175"/>
      <c r="I97" s="175"/>
      <c r="J97" s="175"/>
      <c r="K97" s="175"/>
      <c r="L97" s="175"/>
      <c r="M97" s="175"/>
      <c r="N97" s="175"/>
      <c r="O97" s="175"/>
      <c r="P97" s="175"/>
      <c r="Q97" s="175"/>
      <c r="R97" s="175"/>
      <c r="S97" s="175"/>
      <c r="T97" s="175"/>
      <c r="U97" s="176"/>
      <c r="V97" s="175"/>
      <c r="W97" s="175"/>
      <c r="X97" s="175"/>
      <c r="Y97" s="175"/>
      <c r="Z97" s="175"/>
      <c r="AA97" s="175"/>
      <c r="AB97" s="175"/>
      <c r="AC97" s="175"/>
      <c r="AD97" s="176"/>
      <c r="AE97" s="175"/>
      <c r="AF97" s="175"/>
      <c r="AG97" s="175"/>
      <c r="AH97" s="175"/>
      <c r="AI97" s="175"/>
      <c r="AJ97" s="175"/>
      <c r="AK97" s="175"/>
      <c r="AL97" s="175"/>
      <c r="AM97" s="176"/>
      <c r="AN97" s="175"/>
      <c r="AO97" s="175"/>
      <c r="AP97" s="175"/>
      <c r="AQ97" s="175"/>
      <c r="AR97" s="175"/>
      <c r="AS97" s="175"/>
      <c r="AT97" s="175"/>
      <c r="AU97" s="175"/>
      <c r="AV97" s="175"/>
      <c r="AW97" s="175"/>
      <c r="AX97" s="175"/>
      <c r="AY97" s="175"/>
      <c r="AZ97" s="175"/>
      <c r="BA97" s="175"/>
      <c r="BB97" s="175"/>
      <c r="BC97" s="175"/>
      <c r="BI97" s="146"/>
    </row>
    <row r="98" spans="1:61" s="17" customFormat="1" ht="15" customHeight="1">
      <c r="A98" s="21"/>
      <c r="C98" s="145"/>
      <c r="D98" s="175"/>
      <c r="E98" s="175"/>
      <c r="F98" s="175"/>
      <c r="G98" s="175"/>
      <c r="H98" s="175"/>
      <c r="I98" s="175"/>
      <c r="J98" s="175"/>
      <c r="K98" s="175"/>
      <c r="L98" s="175"/>
      <c r="M98" s="175"/>
      <c r="N98" s="175"/>
      <c r="O98" s="175"/>
      <c r="P98" s="175"/>
      <c r="Q98" s="175"/>
      <c r="R98" s="175"/>
      <c r="S98" s="175"/>
      <c r="T98" s="175"/>
      <c r="U98" s="176"/>
      <c r="V98" s="175"/>
      <c r="W98" s="175"/>
      <c r="X98" s="175"/>
      <c r="Y98" s="175"/>
      <c r="Z98" s="175"/>
      <c r="AA98" s="175"/>
      <c r="AB98" s="175"/>
      <c r="AC98" s="175"/>
      <c r="AD98" s="176"/>
      <c r="AE98" s="175"/>
      <c r="AF98" s="175"/>
      <c r="AG98" s="175"/>
      <c r="AH98" s="175"/>
      <c r="AI98" s="175"/>
      <c r="AJ98" s="175"/>
      <c r="AK98" s="175"/>
      <c r="AL98" s="175"/>
      <c r="AM98" s="176"/>
      <c r="AN98" s="175"/>
      <c r="AO98" s="175"/>
      <c r="AP98" s="175"/>
      <c r="AQ98" s="175"/>
      <c r="AR98" s="175"/>
      <c r="AS98" s="175"/>
      <c r="AT98" s="175"/>
      <c r="AU98" s="175"/>
      <c r="AV98" s="175"/>
      <c r="AW98" s="175"/>
      <c r="AX98" s="175"/>
      <c r="AY98" s="175"/>
      <c r="AZ98" s="175"/>
      <c r="BA98" s="175"/>
      <c r="BB98" s="175"/>
      <c r="BC98" s="175"/>
      <c r="BI98" s="146"/>
    </row>
    <row r="99" spans="1:61" s="17" customFormat="1" ht="15" customHeight="1">
      <c r="A99" s="21"/>
      <c r="C99" s="145"/>
      <c r="D99" s="175"/>
      <c r="E99" s="175"/>
      <c r="F99" s="175"/>
      <c r="G99" s="137" t="s">
        <v>173</v>
      </c>
      <c r="H99" s="139"/>
      <c r="I99" s="137" t="s">
        <v>122</v>
      </c>
      <c r="J99" s="138"/>
      <c r="K99" s="138"/>
      <c r="L99" s="138"/>
      <c r="M99" s="138"/>
      <c r="N99" s="138"/>
      <c r="O99" s="138"/>
      <c r="P99" s="138"/>
      <c r="Q99" s="138"/>
      <c r="R99" s="139"/>
      <c r="S99" s="134" t="s">
        <v>123</v>
      </c>
      <c r="T99" s="135"/>
      <c r="U99" s="135"/>
      <c r="V99" s="136"/>
      <c r="W99" s="137" t="s">
        <v>124</v>
      </c>
      <c r="X99" s="138"/>
      <c r="Y99" s="138"/>
      <c r="Z99" s="138"/>
      <c r="AA99" s="138"/>
      <c r="AB99" s="138"/>
      <c r="AC99" s="138"/>
      <c r="AD99" s="138"/>
      <c r="AE99" s="138"/>
      <c r="AF99" s="139"/>
      <c r="AG99" s="137" t="s">
        <v>125</v>
      </c>
      <c r="AH99" s="138"/>
      <c r="AI99" s="138"/>
      <c r="AJ99" s="138"/>
      <c r="AK99" s="138"/>
      <c r="AL99" s="138"/>
      <c r="AM99" s="138"/>
      <c r="AN99" s="138"/>
      <c r="AO99" s="138"/>
      <c r="AP99" s="138"/>
      <c r="AQ99" s="138"/>
      <c r="AR99" s="138"/>
      <c r="AS99" s="138"/>
      <c r="AT99" s="138"/>
      <c r="AU99" s="138"/>
      <c r="AV99" s="138"/>
      <c r="AW99" s="138"/>
      <c r="AX99" s="138"/>
      <c r="AY99" s="139"/>
      <c r="AZ99" s="175"/>
      <c r="BA99" s="175"/>
      <c r="BB99" s="175"/>
      <c r="BC99" s="175"/>
      <c r="BI99" s="146"/>
    </row>
    <row r="100" spans="1:61" s="17" customFormat="1" ht="30" customHeight="1">
      <c r="A100" s="21"/>
      <c r="C100" s="145"/>
      <c r="D100" s="175"/>
      <c r="E100" s="175"/>
      <c r="F100" s="175"/>
      <c r="G100" s="122">
        <v>1</v>
      </c>
      <c r="H100" s="123"/>
      <c r="I100" s="122" t="s">
        <v>126</v>
      </c>
      <c r="J100" s="127"/>
      <c r="K100" s="127"/>
      <c r="L100" s="127"/>
      <c r="M100" s="127"/>
      <c r="N100" s="127"/>
      <c r="O100" s="127"/>
      <c r="P100" s="127"/>
      <c r="Q100" s="127"/>
      <c r="R100" s="123"/>
      <c r="S100" s="122" t="s">
        <v>127</v>
      </c>
      <c r="T100" s="127"/>
      <c r="U100" s="127"/>
      <c r="V100" s="123"/>
      <c r="W100" s="122" t="s">
        <v>3</v>
      </c>
      <c r="X100" s="127"/>
      <c r="Y100" s="127"/>
      <c r="Z100" s="127"/>
      <c r="AA100" s="127"/>
      <c r="AB100" s="127"/>
      <c r="AC100" s="127"/>
      <c r="AD100" s="127"/>
      <c r="AE100" s="127"/>
      <c r="AF100" s="123"/>
      <c r="AG100" s="140" t="s">
        <v>167</v>
      </c>
      <c r="AH100" s="129"/>
      <c r="AI100" s="129"/>
      <c r="AJ100" s="129"/>
      <c r="AK100" s="129"/>
      <c r="AL100" s="129"/>
      <c r="AM100" s="129"/>
      <c r="AN100" s="129"/>
      <c r="AO100" s="129"/>
      <c r="AP100" s="129"/>
      <c r="AQ100" s="129"/>
      <c r="AR100" s="129"/>
      <c r="AS100" s="129"/>
      <c r="AT100" s="129"/>
      <c r="AU100" s="129"/>
      <c r="AV100" s="129"/>
      <c r="AW100" s="129"/>
      <c r="AX100" s="129"/>
      <c r="AY100" s="130"/>
      <c r="AZ100" s="175"/>
      <c r="BA100" s="175"/>
      <c r="BB100" s="175"/>
      <c r="BC100" s="175"/>
      <c r="BI100" s="146"/>
    </row>
    <row r="101" spans="1:61" s="17" customFormat="1">
      <c r="A101" s="21"/>
      <c r="C101" s="145"/>
      <c r="D101" s="175"/>
      <c r="E101" s="175"/>
      <c r="F101" s="175"/>
      <c r="G101" s="122">
        <f>G100+1</f>
        <v>2</v>
      </c>
      <c r="H101" s="123"/>
      <c r="I101" s="122" t="s">
        <v>128</v>
      </c>
      <c r="J101" s="127"/>
      <c r="K101" s="127"/>
      <c r="L101" s="127"/>
      <c r="M101" s="127"/>
      <c r="N101" s="127"/>
      <c r="O101" s="127"/>
      <c r="P101" s="127"/>
      <c r="Q101" s="127"/>
      <c r="R101" s="123"/>
      <c r="S101" s="122" t="s">
        <v>129</v>
      </c>
      <c r="T101" s="127"/>
      <c r="U101" s="127"/>
      <c r="V101" s="123"/>
      <c r="W101" s="122" t="s">
        <v>3</v>
      </c>
      <c r="X101" s="127"/>
      <c r="Y101" s="127"/>
      <c r="Z101" s="127"/>
      <c r="AA101" s="127"/>
      <c r="AB101" s="127"/>
      <c r="AC101" s="127"/>
      <c r="AD101" s="127"/>
      <c r="AE101" s="127"/>
      <c r="AF101" s="123"/>
      <c r="AG101" s="128" t="s">
        <v>130</v>
      </c>
      <c r="AH101" s="129"/>
      <c r="AI101" s="129"/>
      <c r="AJ101" s="129"/>
      <c r="AK101" s="129"/>
      <c r="AL101" s="129"/>
      <c r="AM101" s="129"/>
      <c r="AN101" s="129"/>
      <c r="AO101" s="129"/>
      <c r="AP101" s="129"/>
      <c r="AQ101" s="129"/>
      <c r="AR101" s="129"/>
      <c r="AS101" s="129"/>
      <c r="AT101" s="129"/>
      <c r="AU101" s="129"/>
      <c r="AV101" s="129"/>
      <c r="AW101" s="129"/>
      <c r="AX101" s="129"/>
      <c r="AY101" s="130"/>
      <c r="AZ101" s="175"/>
      <c r="BA101" s="175"/>
      <c r="BB101" s="175"/>
      <c r="BC101" s="175"/>
      <c r="BI101" s="146"/>
    </row>
    <row r="102" spans="1:61" s="17" customFormat="1">
      <c r="A102" s="21"/>
      <c r="C102" s="145"/>
      <c r="D102" s="175"/>
      <c r="E102" s="175"/>
      <c r="F102" s="175"/>
      <c r="G102" s="122">
        <f t="shared" ref="G102:G106" si="0">G101+1</f>
        <v>3</v>
      </c>
      <c r="H102" s="123"/>
      <c r="I102" s="122" t="s">
        <v>146</v>
      </c>
      <c r="J102" s="127"/>
      <c r="K102" s="127"/>
      <c r="L102" s="127"/>
      <c r="M102" s="127"/>
      <c r="N102" s="127"/>
      <c r="O102" s="127"/>
      <c r="P102" s="127"/>
      <c r="Q102" s="127"/>
      <c r="R102" s="123"/>
      <c r="S102" s="122" t="s">
        <v>147</v>
      </c>
      <c r="T102" s="127"/>
      <c r="U102" s="127"/>
      <c r="V102" s="123"/>
      <c r="W102" s="122" t="s">
        <v>3</v>
      </c>
      <c r="X102" s="127"/>
      <c r="Y102" s="127"/>
      <c r="Z102" s="127"/>
      <c r="AA102" s="127"/>
      <c r="AB102" s="127"/>
      <c r="AC102" s="127"/>
      <c r="AD102" s="127"/>
      <c r="AE102" s="127"/>
      <c r="AF102" s="123"/>
      <c r="AG102" s="128" t="s">
        <v>148</v>
      </c>
      <c r="AH102" s="129"/>
      <c r="AI102" s="129"/>
      <c r="AJ102" s="129"/>
      <c r="AK102" s="129"/>
      <c r="AL102" s="129"/>
      <c r="AM102" s="129"/>
      <c r="AN102" s="129"/>
      <c r="AO102" s="129"/>
      <c r="AP102" s="129"/>
      <c r="AQ102" s="129"/>
      <c r="AR102" s="129"/>
      <c r="AS102" s="129"/>
      <c r="AT102" s="129"/>
      <c r="AU102" s="129"/>
      <c r="AV102" s="129"/>
      <c r="AW102" s="129"/>
      <c r="AX102" s="129"/>
      <c r="AY102" s="130"/>
      <c r="AZ102" s="175"/>
      <c r="BA102" s="175"/>
      <c r="BB102" s="175"/>
      <c r="BC102" s="175"/>
      <c r="BI102" s="146"/>
    </row>
    <row r="103" spans="1:61" s="17" customFormat="1">
      <c r="A103" s="21"/>
      <c r="C103" s="145"/>
      <c r="D103" s="175"/>
      <c r="E103" s="175"/>
      <c r="F103" s="175"/>
      <c r="G103" s="122">
        <f t="shared" si="0"/>
        <v>4</v>
      </c>
      <c r="H103" s="123"/>
      <c r="I103" s="122" t="s">
        <v>149</v>
      </c>
      <c r="J103" s="127"/>
      <c r="K103" s="127"/>
      <c r="L103" s="127"/>
      <c r="M103" s="127"/>
      <c r="N103" s="127"/>
      <c r="O103" s="127"/>
      <c r="P103" s="127"/>
      <c r="Q103" s="127"/>
      <c r="R103" s="123"/>
      <c r="S103" s="122" t="s">
        <v>147</v>
      </c>
      <c r="T103" s="127"/>
      <c r="U103" s="127"/>
      <c r="V103" s="123"/>
      <c r="W103" s="122" t="s">
        <v>3</v>
      </c>
      <c r="X103" s="127"/>
      <c r="Y103" s="127"/>
      <c r="Z103" s="127"/>
      <c r="AA103" s="127"/>
      <c r="AB103" s="127"/>
      <c r="AC103" s="127"/>
      <c r="AD103" s="127"/>
      <c r="AE103" s="127"/>
      <c r="AF103" s="123"/>
      <c r="AG103" s="128" t="s">
        <v>150</v>
      </c>
      <c r="AH103" s="129"/>
      <c r="AI103" s="129"/>
      <c r="AJ103" s="129"/>
      <c r="AK103" s="129"/>
      <c r="AL103" s="129"/>
      <c r="AM103" s="129"/>
      <c r="AN103" s="129"/>
      <c r="AO103" s="129"/>
      <c r="AP103" s="129"/>
      <c r="AQ103" s="129"/>
      <c r="AR103" s="129"/>
      <c r="AS103" s="129"/>
      <c r="AT103" s="129"/>
      <c r="AU103" s="129"/>
      <c r="AV103" s="129"/>
      <c r="AW103" s="129"/>
      <c r="AX103" s="129"/>
      <c r="AY103" s="130"/>
      <c r="AZ103" s="175"/>
      <c r="BA103" s="175"/>
      <c r="BB103" s="175"/>
      <c r="BC103" s="175"/>
      <c r="BI103" s="146"/>
    </row>
    <row r="104" spans="1:61" s="17" customFormat="1">
      <c r="A104" s="21"/>
      <c r="C104" s="145"/>
      <c r="D104" s="175"/>
      <c r="E104" s="175"/>
      <c r="F104" s="175"/>
      <c r="G104" s="122">
        <f t="shared" si="0"/>
        <v>5</v>
      </c>
      <c r="H104" s="123"/>
      <c r="I104" s="122" t="s">
        <v>151</v>
      </c>
      <c r="J104" s="127"/>
      <c r="K104" s="127"/>
      <c r="L104" s="127"/>
      <c r="M104" s="127"/>
      <c r="N104" s="127"/>
      <c r="O104" s="127"/>
      <c r="P104" s="127"/>
      <c r="Q104" s="127"/>
      <c r="R104" s="123"/>
      <c r="S104" s="122" t="s">
        <v>147</v>
      </c>
      <c r="T104" s="127"/>
      <c r="U104" s="127"/>
      <c r="V104" s="123"/>
      <c r="W104" s="122" t="s">
        <v>3</v>
      </c>
      <c r="X104" s="127"/>
      <c r="Y104" s="127"/>
      <c r="Z104" s="127"/>
      <c r="AA104" s="127"/>
      <c r="AB104" s="127"/>
      <c r="AC104" s="127"/>
      <c r="AD104" s="127"/>
      <c r="AE104" s="127"/>
      <c r="AF104" s="123"/>
      <c r="AG104" s="128" t="s">
        <v>152</v>
      </c>
      <c r="AH104" s="129"/>
      <c r="AI104" s="129"/>
      <c r="AJ104" s="129"/>
      <c r="AK104" s="129"/>
      <c r="AL104" s="129"/>
      <c r="AM104" s="129"/>
      <c r="AN104" s="129"/>
      <c r="AO104" s="129"/>
      <c r="AP104" s="129"/>
      <c r="AQ104" s="129"/>
      <c r="AR104" s="129"/>
      <c r="AS104" s="129"/>
      <c r="AT104" s="129"/>
      <c r="AU104" s="129"/>
      <c r="AV104" s="129"/>
      <c r="AW104" s="129"/>
      <c r="AX104" s="129"/>
      <c r="AY104" s="130"/>
      <c r="AZ104" s="175"/>
      <c r="BA104" s="175"/>
      <c r="BB104" s="175"/>
      <c r="BC104" s="175"/>
      <c r="BI104" s="146"/>
    </row>
    <row r="105" spans="1:61" s="17" customFormat="1">
      <c r="A105" s="21"/>
      <c r="C105" s="145"/>
      <c r="D105" s="175"/>
      <c r="E105" s="175"/>
      <c r="F105" s="175"/>
      <c r="G105" s="122">
        <f t="shared" si="0"/>
        <v>6</v>
      </c>
      <c r="H105" s="123"/>
      <c r="I105" s="122" t="s">
        <v>153</v>
      </c>
      <c r="J105" s="127"/>
      <c r="K105" s="127"/>
      <c r="L105" s="127"/>
      <c r="M105" s="127"/>
      <c r="N105" s="127"/>
      <c r="O105" s="127"/>
      <c r="P105" s="127"/>
      <c r="Q105" s="127"/>
      <c r="R105" s="123"/>
      <c r="S105" s="122" t="s">
        <v>154</v>
      </c>
      <c r="T105" s="127"/>
      <c r="U105" s="127"/>
      <c r="V105" s="123"/>
      <c r="W105" s="122" t="s">
        <v>3</v>
      </c>
      <c r="X105" s="127"/>
      <c r="Y105" s="127"/>
      <c r="Z105" s="127"/>
      <c r="AA105" s="127"/>
      <c r="AB105" s="127"/>
      <c r="AC105" s="127"/>
      <c r="AD105" s="127"/>
      <c r="AE105" s="127"/>
      <c r="AF105" s="123"/>
      <c r="AG105" s="128" t="s">
        <v>155</v>
      </c>
      <c r="AH105" s="129"/>
      <c r="AI105" s="129"/>
      <c r="AJ105" s="129"/>
      <c r="AK105" s="129"/>
      <c r="AL105" s="129"/>
      <c r="AM105" s="129"/>
      <c r="AN105" s="129"/>
      <c r="AO105" s="129"/>
      <c r="AP105" s="129"/>
      <c r="AQ105" s="129"/>
      <c r="AR105" s="129"/>
      <c r="AS105" s="129"/>
      <c r="AT105" s="129"/>
      <c r="AU105" s="129"/>
      <c r="AV105" s="129"/>
      <c r="AW105" s="129"/>
      <c r="AX105" s="129"/>
      <c r="AY105" s="130"/>
      <c r="AZ105" s="175"/>
      <c r="BA105" s="175"/>
      <c r="BB105" s="175"/>
      <c r="BC105" s="175"/>
      <c r="BI105" s="146"/>
    </row>
    <row r="106" spans="1:61" s="17" customFormat="1">
      <c r="A106" s="21"/>
      <c r="C106" s="145"/>
      <c r="D106" s="175"/>
      <c r="E106" s="175"/>
      <c r="F106" s="175"/>
      <c r="G106" s="122">
        <f t="shared" si="0"/>
        <v>7</v>
      </c>
      <c r="H106" s="123"/>
      <c r="I106" s="122" t="s">
        <v>156</v>
      </c>
      <c r="J106" s="127"/>
      <c r="K106" s="127"/>
      <c r="L106" s="127"/>
      <c r="M106" s="127"/>
      <c r="N106" s="127"/>
      <c r="O106" s="127"/>
      <c r="P106" s="127"/>
      <c r="Q106" s="127"/>
      <c r="R106" s="123"/>
      <c r="S106" s="122" t="s">
        <v>154</v>
      </c>
      <c r="T106" s="127"/>
      <c r="U106" s="127"/>
      <c r="V106" s="123"/>
      <c r="W106" s="122" t="s">
        <v>3</v>
      </c>
      <c r="X106" s="127"/>
      <c r="Y106" s="127"/>
      <c r="Z106" s="127"/>
      <c r="AA106" s="127"/>
      <c r="AB106" s="127"/>
      <c r="AC106" s="127"/>
      <c r="AD106" s="127"/>
      <c r="AE106" s="127"/>
      <c r="AF106" s="123"/>
      <c r="AG106" s="128" t="s">
        <v>157</v>
      </c>
      <c r="AH106" s="129"/>
      <c r="AI106" s="129"/>
      <c r="AJ106" s="129"/>
      <c r="AK106" s="129"/>
      <c r="AL106" s="129"/>
      <c r="AM106" s="129"/>
      <c r="AN106" s="129"/>
      <c r="AO106" s="129"/>
      <c r="AP106" s="129"/>
      <c r="AQ106" s="129"/>
      <c r="AR106" s="129"/>
      <c r="AS106" s="129"/>
      <c r="AT106" s="129"/>
      <c r="AU106" s="129"/>
      <c r="AV106" s="129"/>
      <c r="AW106" s="129"/>
      <c r="AX106" s="129"/>
      <c r="AY106" s="130"/>
      <c r="AZ106" s="175"/>
      <c r="BA106" s="175"/>
      <c r="BB106" s="175"/>
      <c r="BC106" s="175"/>
      <c r="BI106" s="146"/>
    </row>
    <row r="107" spans="1:61" s="17" customFormat="1" ht="15" customHeight="1">
      <c r="A107" s="21"/>
      <c r="C107" s="145"/>
      <c r="D107" s="175"/>
      <c r="E107" s="175"/>
      <c r="F107" s="175"/>
      <c r="G107" s="175"/>
      <c r="H107" s="175"/>
      <c r="I107" s="175"/>
      <c r="J107" s="175"/>
      <c r="K107" s="175"/>
      <c r="L107" s="175"/>
      <c r="M107" s="175"/>
      <c r="N107" s="175"/>
      <c r="O107" s="175"/>
      <c r="P107" s="175"/>
      <c r="Q107" s="175"/>
      <c r="R107" s="175"/>
      <c r="S107" s="175"/>
      <c r="T107" s="175"/>
      <c r="U107" s="176"/>
      <c r="V107" s="175"/>
      <c r="W107" s="175"/>
      <c r="X107" s="175"/>
      <c r="Y107" s="175"/>
      <c r="Z107" s="175"/>
      <c r="AA107" s="175"/>
      <c r="AB107" s="175"/>
      <c r="AC107" s="175"/>
      <c r="AD107" s="176"/>
      <c r="AE107" s="175"/>
      <c r="AF107" s="175"/>
      <c r="AG107" s="175"/>
      <c r="AH107" s="175"/>
      <c r="AI107" s="175"/>
      <c r="AJ107" s="175"/>
      <c r="AK107" s="175"/>
      <c r="AL107" s="175"/>
      <c r="AM107" s="176"/>
      <c r="AN107" s="175"/>
      <c r="AO107" s="175"/>
      <c r="AP107" s="175"/>
      <c r="AQ107" s="175"/>
      <c r="AR107" s="175"/>
      <c r="AS107" s="175"/>
      <c r="AT107" s="175"/>
      <c r="AU107" s="175"/>
      <c r="AV107" s="175"/>
      <c r="AW107" s="175"/>
      <c r="AX107" s="175"/>
      <c r="AY107" s="175"/>
      <c r="AZ107" s="175"/>
      <c r="BA107" s="175"/>
      <c r="BB107" s="175"/>
      <c r="BC107" s="175"/>
      <c r="BI107" s="146"/>
    </row>
    <row r="108" spans="1:61" s="17" customFormat="1" ht="15" customHeight="1">
      <c r="A108" s="21"/>
      <c r="C108" s="145"/>
      <c r="D108" s="178" t="s">
        <v>158</v>
      </c>
      <c r="E108" s="175"/>
      <c r="F108" s="175"/>
      <c r="G108" s="175"/>
      <c r="H108" s="175"/>
      <c r="I108" s="175"/>
      <c r="J108" s="175"/>
      <c r="K108" s="175"/>
      <c r="L108" s="175"/>
      <c r="M108" s="175"/>
      <c r="N108" s="175"/>
      <c r="O108" s="175"/>
      <c r="P108" s="175"/>
      <c r="Q108" s="175"/>
      <c r="R108" s="175"/>
      <c r="S108" s="175"/>
      <c r="T108" s="175"/>
      <c r="U108" s="176"/>
      <c r="V108" s="175"/>
      <c r="W108" s="175"/>
      <c r="X108" s="175"/>
      <c r="Y108" s="175"/>
      <c r="Z108" s="175"/>
      <c r="AA108" s="175"/>
      <c r="AB108" s="175"/>
      <c r="AC108" s="175"/>
      <c r="AD108" s="176"/>
      <c r="AE108" s="175"/>
      <c r="AF108" s="175"/>
      <c r="AG108" s="175"/>
      <c r="AH108" s="175"/>
      <c r="AI108" s="175"/>
      <c r="AJ108" s="175"/>
      <c r="AK108" s="175"/>
      <c r="AL108" s="175"/>
      <c r="AM108" s="176"/>
      <c r="AN108" s="175"/>
      <c r="AO108" s="175"/>
      <c r="AP108" s="175"/>
      <c r="AQ108" s="175"/>
      <c r="AR108" s="175"/>
      <c r="AS108" s="175"/>
      <c r="AT108" s="175"/>
      <c r="AU108" s="175"/>
      <c r="AV108" s="175"/>
      <c r="AW108" s="175"/>
      <c r="AX108" s="175"/>
      <c r="AY108" s="175"/>
      <c r="AZ108" s="175"/>
      <c r="BA108" s="175"/>
      <c r="BB108" s="175"/>
      <c r="BC108" s="175"/>
      <c r="BI108" s="146"/>
    </row>
    <row r="109" spans="1:61" s="17" customFormat="1" ht="15" customHeight="1">
      <c r="A109" s="21"/>
      <c r="C109" s="145"/>
      <c r="D109" s="175"/>
      <c r="E109" s="175"/>
      <c r="F109" s="175"/>
      <c r="G109" s="175"/>
      <c r="H109" s="175"/>
      <c r="I109" s="175"/>
      <c r="J109" s="175"/>
      <c r="K109" s="175"/>
      <c r="L109" s="175"/>
      <c r="M109" s="175"/>
      <c r="N109" s="175"/>
      <c r="O109" s="175"/>
      <c r="P109" s="175"/>
      <c r="Q109" s="175"/>
      <c r="R109" s="175"/>
      <c r="S109" s="175"/>
      <c r="T109" s="175"/>
      <c r="U109" s="176"/>
      <c r="V109" s="175"/>
      <c r="W109" s="175"/>
      <c r="X109" s="175"/>
      <c r="Y109" s="175"/>
      <c r="Z109" s="175"/>
      <c r="AA109" s="175"/>
      <c r="AB109" s="175"/>
      <c r="AC109" s="175"/>
      <c r="AD109" s="176"/>
      <c r="AE109" s="175"/>
      <c r="AF109" s="175"/>
      <c r="AG109" s="175"/>
      <c r="AH109" s="175"/>
      <c r="AI109" s="175"/>
      <c r="AJ109" s="175"/>
      <c r="AK109" s="175"/>
      <c r="AL109" s="175"/>
      <c r="AM109" s="176"/>
      <c r="AN109" s="175"/>
      <c r="AO109" s="175"/>
      <c r="AP109" s="175"/>
      <c r="AQ109" s="175"/>
      <c r="AR109" s="175"/>
      <c r="AS109" s="175"/>
      <c r="AT109" s="175"/>
      <c r="AU109" s="175"/>
      <c r="AV109" s="175"/>
      <c r="AW109" s="175"/>
      <c r="AX109" s="175"/>
      <c r="AY109" s="175"/>
      <c r="AZ109" s="175"/>
      <c r="BA109" s="175"/>
      <c r="BB109" s="175"/>
      <c r="BC109" s="175"/>
      <c r="BI109" s="146"/>
    </row>
    <row r="110" spans="1:61" s="17" customFormat="1" ht="15" customHeight="1">
      <c r="A110" s="21"/>
      <c r="C110" s="145"/>
      <c r="D110" s="175"/>
      <c r="E110" s="175" t="s">
        <v>159</v>
      </c>
      <c r="F110" s="175"/>
      <c r="G110" s="175"/>
      <c r="H110" s="175"/>
      <c r="I110" s="175"/>
      <c r="J110" s="175"/>
      <c r="K110" s="175"/>
      <c r="L110" s="175"/>
      <c r="M110" s="175"/>
      <c r="N110" s="175"/>
      <c r="O110" s="175"/>
      <c r="P110" s="175"/>
      <c r="Q110" s="175"/>
      <c r="R110" s="175"/>
      <c r="S110" s="175"/>
      <c r="T110" s="175"/>
      <c r="U110" s="176"/>
      <c r="V110" s="175"/>
      <c r="W110" s="175"/>
      <c r="X110" s="175"/>
      <c r="Y110" s="175"/>
      <c r="Z110" s="175"/>
      <c r="AA110" s="175"/>
      <c r="AB110" s="175"/>
      <c r="AC110" s="175"/>
      <c r="AD110" s="176"/>
      <c r="AE110" s="175"/>
      <c r="AF110" s="175"/>
      <c r="AG110" s="175"/>
      <c r="AH110" s="175"/>
      <c r="AI110" s="175"/>
      <c r="AJ110" s="175"/>
      <c r="AK110" s="175"/>
      <c r="AL110" s="175"/>
      <c r="AM110" s="176"/>
      <c r="AN110" s="175"/>
      <c r="AO110" s="175"/>
      <c r="AP110" s="175"/>
      <c r="AQ110" s="175"/>
      <c r="AR110" s="175"/>
      <c r="AS110" s="175"/>
      <c r="AT110" s="175"/>
      <c r="AU110" s="175"/>
      <c r="AV110" s="175"/>
      <c r="AW110" s="175"/>
      <c r="AX110" s="175"/>
      <c r="AY110" s="175"/>
      <c r="AZ110" s="175"/>
      <c r="BA110" s="175"/>
      <c r="BB110" s="175"/>
      <c r="BC110" s="175"/>
      <c r="BI110" s="146"/>
    </row>
    <row r="111" spans="1:61" s="17" customFormat="1" ht="15" customHeight="1">
      <c r="A111" s="21"/>
      <c r="C111" s="145"/>
      <c r="D111" s="175"/>
      <c r="E111" s="175"/>
      <c r="F111" s="175" t="s">
        <v>160</v>
      </c>
      <c r="G111" s="175"/>
      <c r="H111" s="175"/>
      <c r="I111" s="175"/>
      <c r="J111" s="175"/>
      <c r="K111" s="175"/>
      <c r="L111" s="175"/>
      <c r="M111" s="175"/>
      <c r="N111" s="175"/>
      <c r="O111" s="175"/>
      <c r="P111" s="175"/>
      <c r="Q111" s="175"/>
      <c r="R111" s="175"/>
      <c r="S111" s="175"/>
      <c r="T111" s="175"/>
      <c r="U111" s="176"/>
      <c r="V111" s="175"/>
      <c r="W111" s="175"/>
      <c r="X111" s="175"/>
      <c r="Y111" s="175"/>
      <c r="Z111" s="175"/>
      <c r="AA111" s="175"/>
      <c r="AB111" s="175"/>
      <c r="AC111" s="175"/>
      <c r="AD111" s="176"/>
      <c r="AE111" s="175"/>
      <c r="AF111" s="175"/>
      <c r="AG111" s="175"/>
      <c r="AH111" s="175"/>
      <c r="AI111" s="175"/>
      <c r="AJ111" s="175"/>
      <c r="AK111" s="175"/>
      <c r="AL111" s="175"/>
      <c r="AM111" s="176"/>
      <c r="AN111" s="175"/>
      <c r="AO111" s="175"/>
      <c r="AP111" s="175"/>
      <c r="AQ111" s="175"/>
      <c r="AR111" s="175"/>
      <c r="AS111" s="175"/>
      <c r="AT111" s="175"/>
      <c r="AU111" s="175"/>
      <c r="AV111" s="175"/>
      <c r="AW111" s="175"/>
      <c r="AX111" s="175"/>
      <c r="AY111" s="175"/>
      <c r="AZ111" s="175"/>
      <c r="BA111" s="175"/>
      <c r="BB111" s="175"/>
      <c r="BC111" s="175"/>
      <c r="BI111" s="146"/>
    </row>
    <row r="112" spans="1:61" s="17" customFormat="1" ht="15" customHeight="1">
      <c r="A112" s="21"/>
      <c r="C112" s="145"/>
      <c r="D112" s="175"/>
      <c r="E112" s="175"/>
      <c r="F112" s="175" t="s">
        <v>161</v>
      </c>
      <c r="G112" s="175"/>
      <c r="H112" s="175"/>
      <c r="I112" s="175"/>
      <c r="J112" s="175"/>
      <c r="K112" s="175"/>
      <c r="L112" s="175"/>
      <c r="M112" s="175"/>
      <c r="N112" s="175"/>
      <c r="O112" s="175"/>
      <c r="P112" s="175"/>
      <c r="Q112" s="175"/>
      <c r="R112" s="175"/>
      <c r="S112" s="175"/>
      <c r="T112" s="175"/>
      <c r="U112" s="176"/>
      <c r="V112" s="175"/>
      <c r="W112" s="175"/>
      <c r="X112" s="175"/>
      <c r="Y112" s="175"/>
      <c r="Z112" s="175"/>
      <c r="AA112" s="175"/>
      <c r="AB112" s="175"/>
      <c r="AC112" s="175"/>
      <c r="AD112" s="176"/>
      <c r="AE112" s="175"/>
      <c r="AF112" s="175"/>
      <c r="AG112" s="175"/>
      <c r="AH112" s="175"/>
      <c r="AI112" s="175"/>
      <c r="AJ112" s="175"/>
      <c r="AK112" s="175"/>
      <c r="AL112" s="175"/>
      <c r="AM112" s="176"/>
      <c r="AN112" s="175"/>
      <c r="AO112" s="175"/>
      <c r="AP112" s="175"/>
      <c r="AQ112" s="175"/>
      <c r="AR112" s="175"/>
      <c r="AS112" s="175"/>
      <c r="AT112" s="175"/>
      <c r="AU112" s="175"/>
      <c r="AV112" s="175"/>
      <c r="AW112" s="175"/>
      <c r="AX112" s="175"/>
      <c r="AY112" s="175"/>
      <c r="AZ112" s="175"/>
      <c r="BA112" s="175"/>
      <c r="BB112" s="175"/>
      <c r="BC112" s="175"/>
      <c r="BI112" s="146"/>
    </row>
    <row r="113" spans="1:63" s="17" customFormat="1" ht="15" customHeight="1">
      <c r="A113" s="21"/>
      <c r="C113" s="145"/>
      <c r="D113" s="175"/>
      <c r="E113" s="175"/>
      <c r="F113" s="175" t="s">
        <v>162</v>
      </c>
      <c r="G113" s="175"/>
      <c r="H113" s="175"/>
      <c r="I113" s="175"/>
      <c r="J113" s="175"/>
      <c r="K113" s="175"/>
      <c r="L113" s="175"/>
      <c r="M113" s="175"/>
      <c r="N113" s="175"/>
      <c r="O113" s="175"/>
      <c r="P113" s="175"/>
      <c r="Q113" s="175"/>
      <c r="R113" s="175"/>
      <c r="S113" s="175"/>
      <c r="T113" s="175"/>
      <c r="U113" s="176"/>
      <c r="V113" s="175"/>
      <c r="W113" s="175"/>
      <c r="X113" s="175"/>
      <c r="Y113" s="175"/>
      <c r="Z113" s="175"/>
      <c r="AA113" s="175"/>
      <c r="AB113" s="175"/>
      <c r="AC113" s="175"/>
      <c r="AD113" s="176"/>
      <c r="AE113" s="175"/>
      <c r="AF113" s="175"/>
      <c r="AG113" s="175"/>
      <c r="AH113" s="175"/>
      <c r="AI113" s="175"/>
      <c r="AJ113" s="175"/>
      <c r="AK113" s="175"/>
      <c r="AL113" s="175"/>
      <c r="AM113" s="176"/>
      <c r="AN113" s="175"/>
      <c r="AO113" s="175"/>
      <c r="AP113" s="175"/>
      <c r="AQ113" s="175"/>
      <c r="AR113" s="175"/>
      <c r="AS113" s="175"/>
      <c r="AT113" s="175"/>
      <c r="AU113" s="175"/>
      <c r="AV113" s="175"/>
      <c r="AW113" s="175"/>
      <c r="AX113" s="175"/>
      <c r="AY113" s="175"/>
      <c r="AZ113" s="175"/>
      <c r="BA113" s="175"/>
      <c r="BB113" s="175"/>
      <c r="BC113" s="175"/>
      <c r="BI113" s="146"/>
    </row>
    <row r="114" spans="1:63" s="17" customFormat="1" ht="15" customHeight="1">
      <c r="A114" s="21"/>
      <c r="C114" s="145"/>
      <c r="D114" s="175"/>
      <c r="E114" s="175"/>
      <c r="F114" s="175" t="s">
        <v>163</v>
      </c>
      <c r="G114" s="175"/>
      <c r="H114" s="175"/>
      <c r="I114" s="175"/>
      <c r="J114" s="175"/>
      <c r="K114" s="175"/>
      <c r="L114" s="175"/>
      <c r="M114" s="175"/>
      <c r="N114" s="175"/>
      <c r="O114" s="175"/>
      <c r="P114" s="175"/>
      <c r="Q114" s="175"/>
      <c r="R114" s="175"/>
      <c r="S114" s="175"/>
      <c r="T114" s="175"/>
      <c r="U114" s="176"/>
      <c r="V114" s="175"/>
      <c r="W114" s="175"/>
      <c r="X114" s="175"/>
      <c r="Y114" s="175"/>
      <c r="Z114" s="175"/>
      <c r="AA114" s="175"/>
      <c r="AB114" s="175"/>
      <c r="AC114" s="175"/>
      <c r="AD114" s="176"/>
      <c r="AE114" s="175"/>
      <c r="AF114" s="175"/>
      <c r="AG114" s="175"/>
      <c r="AH114" s="175"/>
      <c r="AI114" s="175"/>
      <c r="AJ114" s="175"/>
      <c r="AK114" s="175"/>
      <c r="AL114" s="175"/>
      <c r="AM114" s="176"/>
      <c r="AN114" s="175"/>
      <c r="AO114" s="175"/>
      <c r="AP114" s="175"/>
      <c r="AQ114" s="175"/>
      <c r="AR114" s="175"/>
      <c r="AS114" s="175"/>
      <c r="AT114" s="175"/>
      <c r="AU114" s="175"/>
      <c r="AV114" s="175"/>
      <c r="AW114" s="175"/>
      <c r="AX114" s="175"/>
      <c r="AY114" s="175"/>
      <c r="AZ114" s="175"/>
      <c r="BA114" s="175"/>
      <c r="BB114" s="175"/>
      <c r="BC114" s="175"/>
      <c r="BI114" s="146"/>
    </row>
    <row r="115" spans="1:63" s="17" customFormat="1" ht="15" customHeight="1">
      <c r="A115" s="21"/>
      <c r="C115" s="145"/>
      <c r="D115" s="175"/>
      <c r="E115" s="175"/>
      <c r="F115" s="175" t="s">
        <v>72</v>
      </c>
      <c r="G115" s="175"/>
      <c r="H115" s="175"/>
      <c r="I115" s="175"/>
      <c r="J115" s="175"/>
      <c r="K115" s="175"/>
      <c r="L115" s="175"/>
      <c r="M115" s="175"/>
      <c r="N115" s="175"/>
      <c r="O115" s="175"/>
      <c r="P115" s="175"/>
      <c r="Q115" s="175"/>
      <c r="R115" s="175"/>
      <c r="S115" s="175"/>
      <c r="T115" s="175"/>
      <c r="U115" s="176"/>
      <c r="V115" s="175"/>
      <c r="W115" s="175"/>
      <c r="X115" s="175"/>
      <c r="Y115" s="175"/>
      <c r="Z115" s="175"/>
      <c r="AA115" s="175"/>
      <c r="AB115" s="175"/>
      <c r="AC115" s="175"/>
      <c r="AD115" s="176"/>
      <c r="AE115" s="175"/>
      <c r="AF115" s="175"/>
      <c r="AG115" s="175"/>
      <c r="AH115" s="175"/>
      <c r="AI115" s="175"/>
      <c r="AJ115" s="175"/>
      <c r="AK115" s="175"/>
      <c r="AL115" s="175"/>
      <c r="AM115" s="176"/>
      <c r="AN115" s="175"/>
      <c r="AO115" s="175"/>
      <c r="AP115" s="175"/>
      <c r="AQ115" s="175"/>
      <c r="AR115" s="175"/>
      <c r="AS115" s="175"/>
      <c r="AT115" s="175"/>
      <c r="AU115" s="175"/>
      <c r="AV115" s="175"/>
      <c r="AW115" s="175"/>
      <c r="AX115" s="175"/>
      <c r="AY115" s="175"/>
      <c r="AZ115" s="175"/>
      <c r="BA115" s="175"/>
      <c r="BB115" s="175"/>
      <c r="BC115" s="175"/>
      <c r="BI115" s="146"/>
    </row>
    <row r="116" spans="1:63" s="17" customFormat="1" ht="15" customHeight="1">
      <c r="A116" s="21"/>
      <c r="C116" s="145"/>
      <c r="D116" s="175"/>
      <c r="E116" s="175"/>
      <c r="F116" s="175" t="s">
        <v>73</v>
      </c>
      <c r="G116" s="175"/>
      <c r="H116" s="175"/>
      <c r="I116" s="175"/>
      <c r="J116" s="175"/>
      <c r="K116" s="175"/>
      <c r="L116" s="175"/>
      <c r="M116" s="175"/>
      <c r="N116" s="175"/>
      <c r="O116" s="175"/>
      <c r="P116" s="175"/>
      <c r="Q116" s="175"/>
      <c r="R116" s="175"/>
      <c r="S116" s="175"/>
      <c r="T116" s="175"/>
      <c r="U116" s="176"/>
      <c r="V116" s="175"/>
      <c r="W116" s="175"/>
      <c r="X116" s="175"/>
      <c r="Y116" s="175"/>
      <c r="Z116" s="175"/>
      <c r="AA116" s="175"/>
      <c r="AB116" s="175"/>
      <c r="AC116" s="175"/>
      <c r="AD116" s="176"/>
      <c r="AE116" s="175"/>
      <c r="AF116" s="175"/>
      <c r="AG116" s="175"/>
      <c r="AH116" s="175"/>
      <c r="AI116" s="175"/>
      <c r="AJ116" s="175"/>
      <c r="AK116" s="175"/>
      <c r="AL116" s="175"/>
      <c r="AM116" s="176"/>
      <c r="AN116" s="175"/>
      <c r="AO116" s="175"/>
      <c r="AP116" s="175"/>
      <c r="AQ116" s="175"/>
      <c r="AR116" s="175"/>
      <c r="AS116" s="175"/>
      <c r="AT116" s="175"/>
      <c r="AU116" s="175"/>
      <c r="AV116" s="175"/>
      <c r="AW116" s="175"/>
      <c r="AX116" s="175"/>
      <c r="AY116" s="175"/>
      <c r="AZ116" s="175"/>
      <c r="BA116" s="175"/>
      <c r="BB116" s="175"/>
      <c r="BC116" s="175"/>
      <c r="BI116" s="146"/>
    </row>
    <row r="117" spans="1:63" s="17" customFormat="1" ht="15" customHeight="1">
      <c r="A117" s="21"/>
      <c r="C117" s="145"/>
      <c r="D117" s="175"/>
      <c r="E117" s="175"/>
      <c r="F117" s="175" t="s">
        <v>74</v>
      </c>
      <c r="G117" s="175"/>
      <c r="H117" s="175"/>
      <c r="I117" s="175"/>
      <c r="J117" s="175"/>
      <c r="K117" s="175"/>
      <c r="L117" s="175"/>
      <c r="M117" s="175"/>
      <c r="N117" s="175"/>
      <c r="O117" s="175"/>
      <c r="P117" s="175"/>
      <c r="Q117" s="175"/>
      <c r="R117" s="175"/>
      <c r="S117" s="175"/>
      <c r="T117" s="175"/>
      <c r="U117" s="176"/>
      <c r="V117" s="175"/>
      <c r="W117" s="175"/>
      <c r="X117" s="175"/>
      <c r="Y117" s="175"/>
      <c r="Z117" s="175"/>
      <c r="AA117" s="175"/>
      <c r="AB117" s="175"/>
      <c r="AC117" s="175"/>
      <c r="AD117" s="176"/>
      <c r="AE117" s="175"/>
      <c r="AF117" s="175"/>
      <c r="AG117" s="175"/>
      <c r="AH117" s="175"/>
      <c r="AI117" s="175"/>
      <c r="AJ117" s="175"/>
      <c r="AK117" s="175"/>
      <c r="AL117" s="175"/>
      <c r="AM117" s="176"/>
      <c r="AN117" s="175"/>
      <c r="AO117" s="175"/>
      <c r="AP117" s="175"/>
      <c r="AQ117" s="175"/>
      <c r="AR117" s="175"/>
      <c r="AS117" s="175"/>
      <c r="AT117" s="175"/>
      <c r="AU117" s="175"/>
      <c r="AV117" s="175"/>
      <c r="AW117" s="175"/>
      <c r="AX117" s="175"/>
      <c r="AY117" s="175"/>
      <c r="AZ117" s="175"/>
      <c r="BA117" s="175"/>
      <c r="BB117" s="175"/>
      <c r="BC117" s="175"/>
      <c r="BI117" s="146"/>
    </row>
    <row r="118" spans="1:63" s="17" customFormat="1" ht="15" customHeight="1">
      <c r="A118" s="18"/>
      <c r="B118" s="19"/>
      <c r="C118" s="169"/>
      <c r="D118" s="19"/>
      <c r="E118" s="19"/>
      <c r="F118" s="19"/>
      <c r="G118" s="19"/>
      <c r="H118" s="19"/>
      <c r="I118" s="19"/>
      <c r="J118" s="19"/>
      <c r="K118" s="19"/>
      <c r="L118" s="19"/>
      <c r="M118" s="19"/>
      <c r="N118" s="19"/>
      <c r="O118" s="19"/>
      <c r="P118" s="19"/>
      <c r="Q118" s="19"/>
      <c r="R118" s="19"/>
      <c r="S118" s="19"/>
      <c r="T118" s="19"/>
      <c r="U118" s="169"/>
      <c r="V118" s="19"/>
      <c r="W118" s="19"/>
      <c r="X118" s="19"/>
      <c r="Y118" s="19"/>
      <c r="Z118" s="19"/>
      <c r="AA118" s="19"/>
      <c r="AB118" s="19"/>
      <c r="AC118" s="19"/>
      <c r="AD118" s="169"/>
      <c r="AE118" s="19"/>
      <c r="AF118" s="19"/>
      <c r="AG118" s="19"/>
      <c r="AH118" s="19"/>
      <c r="AI118" s="19"/>
      <c r="AJ118" s="19"/>
      <c r="AK118" s="19"/>
      <c r="AL118" s="19"/>
      <c r="AM118" s="16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70"/>
      <c r="BJ118" s="19"/>
      <c r="BK118" s="19"/>
    </row>
  </sheetData>
  <mergeCells count="212">
    <mergeCell ref="BC1:BG1"/>
    <mergeCell ref="BH1:BK1"/>
    <mergeCell ref="A2:J3"/>
    <mergeCell ref="K2:V3"/>
    <mergeCell ref="AP2:AS3"/>
    <mergeCell ref="AT2:AX3"/>
    <mergeCell ref="AY2:BB3"/>
    <mergeCell ref="BC2:BG3"/>
    <mergeCell ref="BH2:BK3"/>
    <mergeCell ref="C20:D20"/>
    <mergeCell ref="E20:G20"/>
    <mergeCell ref="H20:N20"/>
    <mergeCell ref="O20:AR20"/>
    <mergeCell ref="AS20:BG20"/>
    <mergeCell ref="A4:G4"/>
    <mergeCell ref="H4:T4"/>
    <mergeCell ref="U4:Y4"/>
    <mergeCell ref="Z4:AO4"/>
    <mergeCell ref="AP4:BK4"/>
    <mergeCell ref="C22:D22"/>
    <mergeCell ref="E22:G22"/>
    <mergeCell ref="H22:N22"/>
    <mergeCell ref="O22:AR22"/>
    <mergeCell ref="AS22:BG22"/>
    <mergeCell ref="C21:D21"/>
    <mergeCell ref="E21:G21"/>
    <mergeCell ref="H21:N21"/>
    <mergeCell ref="O21:AR21"/>
    <mergeCell ref="AS21:BG21"/>
    <mergeCell ref="C24:D24"/>
    <mergeCell ref="E24:G24"/>
    <mergeCell ref="H24:N24"/>
    <mergeCell ref="O24:AR24"/>
    <mergeCell ref="AS24:BG24"/>
    <mergeCell ref="C23:D23"/>
    <mergeCell ref="E23:G23"/>
    <mergeCell ref="H23:N23"/>
    <mergeCell ref="O23:AR23"/>
    <mergeCell ref="AS23:BG23"/>
    <mergeCell ref="C26:D26"/>
    <mergeCell ref="E26:G26"/>
    <mergeCell ref="H26:N26"/>
    <mergeCell ref="O26:AR26"/>
    <mergeCell ref="AS26:BG26"/>
    <mergeCell ref="C25:D25"/>
    <mergeCell ref="E25:G25"/>
    <mergeCell ref="H25:N25"/>
    <mergeCell ref="O25:AR25"/>
    <mergeCell ref="AS25:BG25"/>
    <mergeCell ref="C28:D28"/>
    <mergeCell ref="E28:G28"/>
    <mergeCell ref="H28:N28"/>
    <mergeCell ref="O28:AR28"/>
    <mergeCell ref="AS28:BG28"/>
    <mergeCell ref="C27:D27"/>
    <mergeCell ref="E27:G27"/>
    <mergeCell ref="H27:N27"/>
    <mergeCell ref="O27:AR27"/>
    <mergeCell ref="AS27:BG27"/>
    <mergeCell ref="C30:D30"/>
    <mergeCell ref="E30:G30"/>
    <mergeCell ref="H30:N30"/>
    <mergeCell ref="O30:AR30"/>
    <mergeCell ref="AS30:BG30"/>
    <mergeCell ref="C29:D29"/>
    <mergeCell ref="E29:G29"/>
    <mergeCell ref="H29:N29"/>
    <mergeCell ref="O29:AR29"/>
    <mergeCell ref="AS29:BG29"/>
    <mergeCell ref="C32:D32"/>
    <mergeCell ref="E32:G32"/>
    <mergeCell ref="H32:N32"/>
    <mergeCell ref="O32:AR32"/>
    <mergeCell ref="AS32:BG32"/>
    <mergeCell ref="C31:D31"/>
    <mergeCell ref="E31:G31"/>
    <mergeCell ref="H31:N31"/>
    <mergeCell ref="O31:AR31"/>
    <mergeCell ref="AS31:BG31"/>
    <mergeCell ref="C34:D34"/>
    <mergeCell ref="E34:G34"/>
    <mergeCell ref="H34:N34"/>
    <mergeCell ref="O34:AR34"/>
    <mergeCell ref="AS34:BG34"/>
    <mergeCell ref="C33:D33"/>
    <mergeCell ref="E33:G33"/>
    <mergeCell ref="H33:N33"/>
    <mergeCell ref="O33:AR33"/>
    <mergeCell ref="AS33:BG33"/>
    <mergeCell ref="C36:D36"/>
    <mergeCell ref="E36:G36"/>
    <mergeCell ref="H36:N36"/>
    <mergeCell ref="O36:AR36"/>
    <mergeCell ref="AS36:BG36"/>
    <mergeCell ref="C35:D35"/>
    <mergeCell ref="E35:G35"/>
    <mergeCell ref="H35:N35"/>
    <mergeCell ref="O35:AR35"/>
    <mergeCell ref="AS35:BG35"/>
    <mergeCell ref="C38:D38"/>
    <mergeCell ref="E38:G38"/>
    <mergeCell ref="H38:N38"/>
    <mergeCell ref="O38:AR38"/>
    <mergeCell ref="AS38:BG38"/>
    <mergeCell ref="C37:D37"/>
    <mergeCell ref="E37:G37"/>
    <mergeCell ref="H37:N37"/>
    <mergeCell ref="O37:AR37"/>
    <mergeCell ref="AS37:BG37"/>
    <mergeCell ref="G62:AY62"/>
    <mergeCell ref="G63:H63"/>
    <mergeCell ref="I63:R63"/>
    <mergeCell ref="S63:V63"/>
    <mergeCell ref="W63:AF63"/>
    <mergeCell ref="AG63:AY63"/>
    <mergeCell ref="C39:D39"/>
    <mergeCell ref="E39:G39"/>
    <mergeCell ref="H39:N39"/>
    <mergeCell ref="O39:AR39"/>
    <mergeCell ref="AS39:BG39"/>
    <mergeCell ref="G49:H49"/>
    <mergeCell ref="I49:R49"/>
    <mergeCell ref="S49:V49"/>
    <mergeCell ref="W49:AF49"/>
    <mergeCell ref="AG49:AY49"/>
    <mergeCell ref="G51:H51"/>
    <mergeCell ref="I51:R51"/>
    <mergeCell ref="S51:V51"/>
    <mergeCell ref="W51:AF51"/>
    <mergeCell ref="AG51:AY51"/>
    <mergeCell ref="G50:H50"/>
    <mergeCell ref="I50:R50"/>
    <mergeCell ref="S50:V50"/>
    <mergeCell ref="G65:H65"/>
    <mergeCell ref="I65:R65"/>
    <mergeCell ref="S65:V65"/>
    <mergeCell ref="W65:AF65"/>
    <mergeCell ref="AG65:AY65"/>
    <mergeCell ref="G64:H64"/>
    <mergeCell ref="I64:R64"/>
    <mergeCell ref="S64:V64"/>
    <mergeCell ref="W64:AF64"/>
    <mergeCell ref="AG64:AY64"/>
    <mergeCell ref="G85:H85"/>
    <mergeCell ref="I85:R85"/>
    <mergeCell ref="S85:V85"/>
    <mergeCell ref="W85:AF85"/>
    <mergeCell ref="AG85:AY85"/>
    <mergeCell ref="G84:H84"/>
    <mergeCell ref="I84:R84"/>
    <mergeCell ref="S84:V84"/>
    <mergeCell ref="W84:AF84"/>
    <mergeCell ref="AG84:AY84"/>
    <mergeCell ref="G82:AY82"/>
    <mergeCell ref="G83:H83"/>
    <mergeCell ref="I83:R83"/>
    <mergeCell ref="S83:V83"/>
    <mergeCell ref="W83:AF83"/>
    <mergeCell ref="AG83:AY83"/>
    <mergeCell ref="G66:H66"/>
    <mergeCell ref="I66:R66"/>
    <mergeCell ref="S66:V66"/>
    <mergeCell ref="W66:AF66"/>
    <mergeCell ref="AG66:AY66"/>
    <mergeCell ref="W50:AF50"/>
    <mergeCell ref="AG50:AY50"/>
    <mergeCell ref="A1:J1"/>
    <mergeCell ref="K1:V1"/>
    <mergeCell ref="W1:AO3"/>
    <mergeCell ref="AP1:AS1"/>
    <mergeCell ref="AT1:AX1"/>
    <mergeCell ref="AY1:BB1"/>
    <mergeCell ref="G100:H100"/>
    <mergeCell ref="I100:R100"/>
    <mergeCell ref="S100:V100"/>
    <mergeCell ref="W100:AF100"/>
    <mergeCell ref="AG100:AY100"/>
    <mergeCell ref="G99:H99"/>
    <mergeCell ref="I99:R99"/>
    <mergeCell ref="S99:V99"/>
    <mergeCell ref="W99:AF99"/>
    <mergeCell ref="AG99:AY99"/>
    <mergeCell ref="G102:H102"/>
    <mergeCell ref="I102:R102"/>
    <mergeCell ref="S102:V102"/>
    <mergeCell ref="W102:AF102"/>
    <mergeCell ref="AG102:AY102"/>
    <mergeCell ref="G101:H101"/>
    <mergeCell ref="I101:R101"/>
    <mergeCell ref="S101:V101"/>
    <mergeCell ref="W101:AF101"/>
    <mergeCell ref="AG101:AY101"/>
    <mergeCell ref="G104:H104"/>
    <mergeCell ref="I104:R104"/>
    <mergeCell ref="S104:V104"/>
    <mergeCell ref="W104:AF104"/>
    <mergeCell ref="AG104:AY104"/>
    <mergeCell ref="G103:H103"/>
    <mergeCell ref="I103:R103"/>
    <mergeCell ref="S103:V103"/>
    <mergeCell ref="W103:AF103"/>
    <mergeCell ref="AG103:AY103"/>
    <mergeCell ref="G106:H106"/>
    <mergeCell ref="I106:R106"/>
    <mergeCell ref="S106:V106"/>
    <mergeCell ref="W106:AF106"/>
    <mergeCell ref="AG106:AY106"/>
    <mergeCell ref="G105:H105"/>
    <mergeCell ref="I105:R105"/>
    <mergeCell ref="S105:V105"/>
    <mergeCell ref="W105:AF105"/>
    <mergeCell ref="AG105:AY105"/>
  </mergeCells>
  <pageMargins left="0.7" right="0.7" top="0.75" bottom="0.75" header="0.3" footer="0.3"/>
  <pageSetup scale="3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883ED-AA0D-452E-9277-AC4185FC2931}">
  <sheetPr>
    <pageSetUpPr fitToPage="1"/>
  </sheetPr>
  <dimension ref="A1:BK58"/>
  <sheetViews>
    <sheetView view="pageBreakPreview" zoomScale="85" zoomScaleNormal="100" zoomScaleSheetLayoutView="85" workbookViewId="0">
      <selection sqref="A1:J1"/>
    </sheetView>
  </sheetViews>
  <sheetFormatPr defaultColWidth="10.109375" defaultRowHeight="15.75"/>
  <cols>
    <col min="1" max="63" width="2.77734375" style="1" customWidth="1"/>
    <col min="64" max="16384" width="10.109375" style="1"/>
  </cols>
  <sheetData>
    <row r="1" spans="1:63" ht="24.95" customHeight="1">
      <c r="A1" s="106" t="s">
        <v>80</v>
      </c>
      <c r="B1" s="107"/>
      <c r="C1" s="107"/>
      <c r="D1" s="107"/>
      <c r="E1" s="107"/>
      <c r="F1" s="107"/>
      <c r="G1" s="107"/>
      <c r="H1" s="107"/>
      <c r="I1" s="107"/>
      <c r="J1" s="108"/>
      <c r="K1" s="106" t="s">
        <v>81</v>
      </c>
      <c r="L1" s="107"/>
      <c r="M1" s="107"/>
      <c r="N1" s="107"/>
      <c r="O1" s="107"/>
      <c r="P1" s="107"/>
      <c r="Q1" s="107"/>
      <c r="R1" s="107"/>
      <c r="S1" s="107"/>
      <c r="T1" s="107"/>
      <c r="U1" s="107"/>
      <c r="V1" s="108"/>
      <c r="W1" s="109" t="str">
        <f>IF(表紙!W1="","",表紙!W1)</f>
        <v>詳細設計書</v>
      </c>
      <c r="X1" s="110"/>
      <c r="Y1" s="110"/>
      <c r="Z1" s="110"/>
      <c r="AA1" s="110"/>
      <c r="AB1" s="110"/>
      <c r="AC1" s="110"/>
      <c r="AD1" s="110"/>
      <c r="AE1" s="110"/>
      <c r="AF1" s="110"/>
      <c r="AG1" s="110"/>
      <c r="AH1" s="110"/>
      <c r="AI1" s="110"/>
      <c r="AJ1" s="110"/>
      <c r="AK1" s="110"/>
      <c r="AL1" s="110"/>
      <c r="AM1" s="110"/>
      <c r="AN1" s="110"/>
      <c r="AO1" s="111"/>
      <c r="AP1" s="55" t="s">
        <v>83</v>
      </c>
      <c r="AQ1" s="56"/>
      <c r="AR1" s="56"/>
      <c r="AS1" s="57"/>
      <c r="AT1" s="55" t="s">
        <v>84</v>
      </c>
      <c r="AU1" s="56"/>
      <c r="AV1" s="56"/>
      <c r="AW1" s="56"/>
      <c r="AX1" s="57"/>
      <c r="AY1" s="55" t="s">
        <v>85</v>
      </c>
      <c r="AZ1" s="56"/>
      <c r="BA1" s="56"/>
      <c r="BB1" s="57"/>
      <c r="BC1" s="55" t="s">
        <v>86</v>
      </c>
      <c r="BD1" s="56"/>
      <c r="BE1" s="56"/>
      <c r="BF1" s="56"/>
      <c r="BG1" s="57"/>
      <c r="BH1" s="55" t="s">
        <v>87</v>
      </c>
      <c r="BI1" s="56"/>
      <c r="BJ1" s="56"/>
      <c r="BK1" s="57"/>
    </row>
    <row r="2" spans="1:63" ht="15" customHeight="1">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12"/>
      <c r="X2" s="113"/>
      <c r="Y2" s="113"/>
      <c r="Z2" s="113"/>
      <c r="AA2" s="113"/>
      <c r="AB2" s="113"/>
      <c r="AC2" s="113"/>
      <c r="AD2" s="113"/>
      <c r="AE2" s="113"/>
      <c r="AF2" s="113"/>
      <c r="AG2" s="113"/>
      <c r="AH2" s="113"/>
      <c r="AI2" s="113"/>
      <c r="AJ2" s="113"/>
      <c r="AK2" s="113"/>
      <c r="AL2" s="113"/>
      <c r="AM2" s="113"/>
      <c r="AN2" s="113"/>
      <c r="AO2" s="114"/>
      <c r="AP2" s="40" t="str">
        <f>IF(表紙!AP2="","",表紙!AP2)</f>
        <v>DuNT</v>
      </c>
      <c r="AQ2" s="41"/>
      <c r="AR2" s="41"/>
      <c r="AS2" s="42"/>
      <c r="AT2" s="70">
        <f>IF(表紙!AT2="","",表紙!AT2)</f>
        <v>45508</v>
      </c>
      <c r="AU2" s="71"/>
      <c r="AV2" s="71"/>
      <c r="AW2" s="71"/>
      <c r="AX2" s="72"/>
      <c r="AY2" s="40" t="str">
        <f>IF(表紙!AY2="","",表紙!AY2)</f>
        <v>DuNT</v>
      </c>
      <c r="AZ2" s="41"/>
      <c r="BA2" s="41"/>
      <c r="BB2" s="42"/>
      <c r="BC2" s="70">
        <f>IF(表紙!BC2="","",表紙!BC2)</f>
        <v>45508</v>
      </c>
      <c r="BD2" s="71"/>
      <c r="BE2" s="71"/>
      <c r="BF2" s="71"/>
      <c r="BG2" s="72"/>
      <c r="BH2" s="40">
        <f>IF(表紙!BH2="","",表紙!BH2)</f>
        <v>0.1</v>
      </c>
      <c r="BI2" s="41"/>
      <c r="BJ2" s="41"/>
      <c r="BK2" s="42"/>
    </row>
    <row r="3" spans="1:63" ht="15" customHeight="1">
      <c r="A3" s="103"/>
      <c r="B3" s="104"/>
      <c r="C3" s="104"/>
      <c r="D3" s="104"/>
      <c r="E3" s="104"/>
      <c r="F3" s="104"/>
      <c r="G3" s="104"/>
      <c r="H3" s="104"/>
      <c r="I3" s="104"/>
      <c r="J3" s="105"/>
      <c r="K3" s="103"/>
      <c r="L3" s="104"/>
      <c r="M3" s="104"/>
      <c r="N3" s="104"/>
      <c r="O3" s="104"/>
      <c r="P3" s="104"/>
      <c r="Q3" s="104"/>
      <c r="R3" s="104"/>
      <c r="S3" s="104"/>
      <c r="T3" s="104"/>
      <c r="U3" s="104"/>
      <c r="V3" s="105"/>
      <c r="W3" s="115"/>
      <c r="X3" s="116"/>
      <c r="Y3" s="116"/>
      <c r="Z3" s="116"/>
      <c r="AA3" s="116"/>
      <c r="AB3" s="116"/>
      <c r="AC3" s="116"/>
      <c r="AD3" s="116"/>
      <c r="AE3" s="116"/>
      <c r="AF3" s="116"/>
      <c r="AG3" s="116"/>
      <c r="AH3" s="116"/>
      <c r="AI3" s="116"/>
      <c r="AJ3" s="116"/>
      <c r="AK3" s="116"/>
      <c r="AL3" s="116"/>
      <c r="AM3" s="116"/>
      <c r="AN3" s="116"/>
      <c r="AO3" s="117"/>
      <c r="AP3" s="46"/>
      <c r="AQ3" s="47"/>
      <c r="AR3" s="47"/>
      <c r="AS3" s="48"/>
      <c r="AT3" s="73"/>
      <c r="AU3" s="74"/>
      <c r="AV3" s="74"/>
      <c r="AW3" s="74"/>
      <c r="AX3" s="75"/>
      <c r="AY3" s="46"/>
      <c r="AZ3" s="47"/>
      <c r="BA3" s="47"/>
      <c r="BB3" s="48"/>
      <c r="BC3" s="73"/>
      <c r="BD3" s="74"/>
      <c r="BE3" s="74"/>
      <c r="BF3" s="74"/>
      <c r="BG3" s="75"/>
      <c r="BH3" s="46"/>
      <c r="BI3" s="47"/>
      <c r="BJ3" s="47"/>
      <c r="BK3" s="48"/>
    </row>
    <row r="4" spans="1:63" ht="24.95" customHeight="1">
      <c r="A4" s="106" t="s">
        <v>89</v>
      </c>
      <c r="B4" s="107"/>
      <c r="C4" s="107"/>
      <c r="D4" s="107"/>
      <c r="E4" s="107"/>
      <c r="F4" s="107"/>
      <c r="G4" s="108"/>
      <c r="H4" s="118" t="str">
        <f>IF(表紙!H4="","",表紙!H4)</f>
        <v>API_00_Common</v>
      </c>
      <c r="I4" s="119"/>
      <c r="J4" s="119"/>
      <c r="K4" s="119"/>
      <c r="L4" s="119"/>
      <c r="M4" s="119"/>
      <c r="N4" s="119"/>
      <c r="O4" s="119"/>
      <c r="P4" s="119"/>
      <c r="Q4" s="119"/>
      <c r="R4" s="119"/>
      <c r="S4" s="119"/>
      <c r="T4" s="120"/>
      <c r="U4" s="106" t="s">
        <v>90</v>
      </c>
      <c r="V4" s="107"/>
      <c r="W4" s="107"/>
      <c r="X4" s="107"/>
      <c r="Y4" s="108"/>
      <c r="Z4" s="118" t="str">
        <f>IF(表紙!Z4="","",表紙!Z4)</f>
        <v>API設計書</v>
      </c>
      <c r="AA4" s="119"/>
      <c r="AB4" s="119"/>
      <c r="AC4" s="119"/>
      <c r="AD4" s="119"/>
      <c r="AE4" s="119"/>
      <c r="AF4" s="119"/>
      <c r="AG4" s="119"/>
      <c r="AH4" s="119"/>
      <c r="AI4" s="119"/>
      <c r="AJ4" s="119"/>
      <c r="AK4" s="119"/>
      <c r="AL4" s="119"/>
      <c r="AM4" s="119"/>
      <c r="AN4" s="119"/>
      <c r="AO4" s="120"/>
      <c r="AP4" s="121" t="str">
        <f ca="1">MID(CELL("filename",A1),FIND("]",CELL("filename",A1))+1,255)</f>
        <v>権限共通</v>
      </c>
      <c r="AQ4" s="119"/>
      <c r="AR4" s="119"/>
      <c r="AS4" s="119"/>
      <c r="AT4" s="119"/>
      <c r="AU4" s="119"/>
      <c r="AV4" s="119"/>
      <c r="AW4" s="119"/>
      <c r="AX4" s="119"/>
      <c r="AY4" s="119"/>
      <c r="AZ4" s="119"/>
      <c r="BA4" s="119"/>
      <c r="BB4" s="119"/>
      <c r="BC4" s="119"/>
      <c r="BD4" s="119"/>
      <c r="BE4" s="119"/>
      <c r="BF4" s="119"/>
      <c r="BG4" s="119"/>
      <c r="BH4" s="119"/>
      <c r="BI4" s="119"/>
      <c r="BJ4" s="119"/>
      <c r="BK4" s="120"/>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39" customFormat="1" ht="15" customHeight="1">
      <c r="BK7" s="38"/>
    </row>
    <row r="8" spans="1:63" s="39" customFormat="1" ht="15" customHeight="1">
      <c r="C8" s="14" t="s">
        <v>168</v>
      </c>
      <c r="J8" s="15"/>
      <c r="K8" s="15"/>
      <c r="L8" s="15"/>
      <c r="BK8" s="38"/>
    </row>
    <row r="9" spans="1:63" s="39" customFormat="1" ht="15" customHeight="1">
      <c r="J9" s="15"/>
      <c r="K9" s="15"/>
      <c r="L9" s="15"/>
      <c r="BK9" s="38"/>
    </row>
    <row r="10" spans="1:63" s="39" customFormat="1" ht="15" customHeight="1">
      <c r="D10" s="39" t="s">
        <v>75</v>
      </c>
      <c r="J10" s="15"/>
      <c r="K10" s="15"/>
      <c r="L10" s="15"/>
      <c r="BK10" s="38"/>
    </row>
    <row r="11" spans="1:63" s="39" customFormat="1" ht="15" customHeight="1">
      <c r="E11" s="39" t="s">
        <v>169</v>
      </c>
      <c r="J11" s="15"/>
      <c r="K11" s="15"/>
      <c r="L11" s="15"/>
      <c r="BK11" s="38"/>
    </row>
    <row r="12" spans="1:63" s="39" customFormat="1" ht="15" customHeight="1">
      <c r="F12" s="39" t="s">
        <v>76</v>
      </c>
      <c r="J12" s="15"/>
      <c r="K12" s="15"/>
      <c r="L12" s="15"/>
      <c r="BK12" s="38"/>
    </row>
    <row r="13" spans="1:63" s="39" customFormat="1" ht="15" customHeight="1">
      <c r="J13" s="15"/>
      <c r="K13" s="15"/>
      <c r="L13" s="15"/>
      <c r="BK13" s="38"/>
    </row>
    <row r="14" spans="1:63" s="39" customFormat="1" ht="15" customHeight="1">
      <c r="J14" s="15"/>
      <c r="K14" s="15"/>
      <c r="L14" s="15"/>
      <c r="BK14" s="38"/>
    </row>
    <row r="15" spans="1:63" s="39" customFormat="1" ht="15" customHeight="1">
      <c r="E15" s="39" t="s">
        <v>170</v>
      </c>
      <c r="J15" s="15"/>
      <c r="K15" s="15"/>
      <c r="L15" s="15"/>
      <c r="BK15" s="38"/>
    </row>
    <row r="16" spans="1:63" s="39" customFormat="1" ht="15" customHeight="1">
      <c r="F16" s="173" t="s">
        <v>77</v>
      </c>
      <c r="J16" s="15"/>
      <c r="K16" s="15"/>
      <c r="L16" s="15"/>
      <c r="BK16" s="38"/>
    </row>
    <row r="17" spans="3:63" s="39" customFormat="1" ht="15" customHeight="1">
      <c r="G17" s="39" t="s">
        <v>171</v>
      </c>
      <c r="J17" s="15"/>
      <c r="K17" s="15"/>
      <c r="L17" s="15"/>
      <c r="BK17" s="38"/>
    </row>
    <row r="18" spans="3:63" s="39" customFormat="1" ht="15" customHeight="1">
      <c r="F18" s="173" t="s">
        <v>78</v>
      </c>
      <c r="J18" s="15"/>
      <c r="K18" s="15"/>
      <c r="L18" s="15"/>
      <c r="BK18" s="38"/>
    </row>
    <row r="19" spans="3:63" s="39" customFormat="1" ht="15" customHeight="1">
      <c r="J19" s="15"/>
      <c r="K19" s="15"/>
      <c r="L19" s="15"/>
      <c r="BK19" s="38"/>
    </row>
    <row r="20" spans="3:63" s="39" customFormat="1" ht="15" customHeight="1">
      <c r="J20" s="15"/>
      <c r="K20" s="15"/>
      <c r="L20" s="15"/>
      <c r="BK20" s="38"/>
    </row>
    <row r="21" spans="3:63" s="39" customFormat="1" ht="15" customHeight="1">
      <c r="C21" s="14" t="s">
        <v>172</v>
      </c>
      <c r="J21" s="15"/>
      <c r="K21" s="15"/>
      <c r="L21" s="15"/>
      <c r="BK21" s="38"/>
    </row>
    <row r="22" spans="3:63" s="39" customFormat="1" ht="15" customHeight="1">
      <c r="C22" s="15"/>
      <c r="D22" s="15"/>
      <c r="E22" s="15"/>
      <c r="F22" s="15"/>
      <c r="G22" s="15"/>
      <c r="H22" s="15"/>
      <c r="I22" s="15"/>
      <c r="J22" s="15"/>
      <c r="K22" s="15"/>
      <c r="L22" s="15"/>
      <c r="BK22" s="38"/>
    </row>
    <row r="23" spans="3:63" s="39" customFormat="1" ht="15" customHeight="1">
      <c r="C23" s="15"/>
      <c r="D23" s="15"/>
      <c r="E23" s="15"/>
      <c r="F23" s="15"/>
      <c r="G23" s="15"/>
      <c r="H23" s="15"/>
      <c r="I23" s="15"/>
      <c r="J23" s="15"/>
      <c r="K23" s="15"/>
      <c r="L23" s="15"/>
      <c r="BK23" s="38"/>
    </row>
    <row r="24" spans="3:63" s="39" customFormat="1" ht="15" customHeight="1">
      <c r="C24" s="15"/>
      <c r="D24" s="15"/>
      <c r="E24" s="15"/>
      <c r="F24" s="15"/>
      <c r="G24" s="15"/>
      <c r="H24" s="15"/>
      <c r="I24" s="15"/>
      <c r="J24" s="15"/>
      <c r="K24" s="15"/>
      <c r="L24" s="15"/>
      <c r="BK24" s="38"/>
    </row>
    <row r="25" spans="3:63" s="39" customFormat="1" ht="15" customHeight="1">
      <c r="C25" s="15"/>
      <c r="E25" s="16"/>
      <c r="F25" s="15"/>
      <c r="G25" s="15"/>
      <c r="H25" s="15"/>
      <c r="I25" s="15"/>
      <c r="J25" s="15"/>
      <c r="K25" s="15"/>
      <c r="L25" s="15"/>
      <c r="BK25" s="38"/>
    </row>
    <row r="26" spans="3:63" s="39" customFormat="1" ht="15" customHeight="1">
      <c r="C26" s="15"/>
      <c r="E26" s="15"/>
      <c r="F26" s="15"/>
      <c r="G26" s="15"/>
      <c r="H26" s="15"/>
      <c r="I26" s="15"/>
      <c r="J26" s="15"/>
      <c r="K26" s="15"/>
      <c r="L26" s="15"/>
      <c r="BK26" s="38"/>
    </row>
    <row r="27" spans="3:63" s="39" customFormat="1" ht="15" customHeight="1">
      <c r="C27" s="15"/>
      <c r="E27" s="16"/>
      <c r="F27" s="15"/>
      <c r="G27" s="15"/>
      <c r="H27" s="15"/>
      <c r="I27" s="15"/>
      <c r="J27" s="15"/>
      <c r="K27" s="15"/>
      <c r="L27" s="15"/>
      <c r="BK27" s="38"/>
    </row>
    <row r="28" spans="3:63" s="39" customFormat="1" ht="15" customHeight="1">
      <c r="C28" s="15"/>
      <c r="E28" s="15"/>
      <c r="F28" s="15"/>
      <c r="G28" s="15"/>
      <c r="H28" s="15"/>
      <c r="I28" s="15"/>
      <c r="J28" s="15"/>
      <c r="K28" s="15"/>
      <c r="L28" s="15"/>
      <c r="BK28" s="38"/>
    </row>
    <row r="29" spans="3:63" s="39" customFormat="1" ht="15" customHeight="1">
      <c r="BK29" s="38"/>
    </row>
    <row r="30" spans="3:63" s="39" customFormat="1" ht="15" customHeight="1">
      <c r="BK30" s="38"/>
    </row>
    <row r="31" spans="3:63" s="39" customFormat="1" ht="15" customHeight="1">
      <c r="BK31" s="38"/>
    </row>
    <row r="32" spans="3:63" s="39" customFormat="1" ht="15" customHeight="1">
      <c r="BK32" s="38"/>
    </row>
    <row r="33" spans="4:63" s="39" customFormat="1" ht="15" customHeight="1">
      <c r="BK33" s="38"/>
    </row>
    <row r="34" spans="4:63" s="39" customFormat="1" ht="15" customHeight="1">
      <c r="BK34" s="38"/>
    </row>
    <row r="35" spans="4:63" s="39" customFormat="1" ht="15" customHeight="1">
      <c r="BK35" s="38"/>
    </row>
    <row r="36" spans="4:63" s="39" customFormat="1" ht="15" customHeight="1">
      <c r="BK36" s="38"/>
    </row>
    <row r="37" spans="4:63" s="39" customFormat="1" ht="15" customHeight="1">
      <c r="BK37" s="38"/>
    </row>
    <row r="38" spans="4:63" s="39" customFormat="1" ht="15" customHeight="1">
      <c r="BK38" s="38"/>
    </row>
    <row r="39" spans="4:63" s="39" customFormat="1" ht="15" customHeight="1">
      <c r="BK39" s="38"/>
    </row>
    <row r="40" spans="4:63" s="39" customFormat="1" ht="15" customHeight="1">
      <c r="D40" s="15"/>
      <c r="BK40" s="38"/>
    </row>
    <row r="41" spans="4:63" s="39" customFormat="1" ht="15" customHeight="1">
      <c r="E41" s="16"/>
      <c r="F41" s="15"/>
      <c r="BK41" s="38"/>
    </row>
    <row r="42" spans="4:63" s="39" customFormat="1" ht="15" customHeight="1">
      <c r="E42" s="15"/>
      <c r="F42" s="15"/>
      <c r="BK42" s="38"/>
    </row>
    <row r="43" spans="4:63" s="39" customFormat="1" ht="15" customHeight="1">
      <c r="E43" s="16"/>
      <c r="F43" s="15"/>
      <c r="BK43" s="38"/>
    </row>
    <row r="44" spans="4:63" s="39" customFormat="1" ht="15" customHeight="1">
      <c r="E44" s="15"/>
      <c r="F44" s="15"/>
      <c r="BK44" s="38"/>
    </row>
    <row r="45" spans="4:63" s="39" customFormat="1" ht="15" customHeight="1">
      <c r="BK45" s="38"/>
    </row>
    <row r="46" spans="4:63" s="39" customFormat="1" ht="15" customHeight="1">
      <c r="BK46" s="38"/>
    </row>
    <row r="47" spans="4:63" s="39" customFormat="1" ht="15" customHeight="1">
      <c r="BK47" s="38"/>
    </row>
    <row r="48" spans="4:63" ht="15" customHeight="1">
      <c r="BK48" s="5"/>
    </row>
    <row r="49" spans="63:63" ht="15" customHeight="1">
      <c r="BK49" s="5"/>
    </row>
    <row r="50" spans="63:63" ht="15" customHeight="1">
      <c r="BK50" s="5"/>
    </row>
    <row r="51" spans="63:63" ht="15" customHeight="1">
      <c r="BK51" s="5"/>
    </row>
    <row r="52" spans="63:63" ht="15" customHeight="1">
      <c r="BK52" s="5"/>
    </row>
    <row r="53" spans="63:63" ht="15" customHeight="1">
      <c r="BK53" s="5"/>
    </row>
    <row r="54" spans="63:63" ht="15" customHeight="1">
      <c r="BK54" s="5"/>
    </row>
    <row r="55" spans="63:63" ht="15" customHeight="1">
      <c r="BK55" s="5"/>
    </row>
    <row r="56" spans="63:63" ht="15" customHeight="1">
      <c r="BK56" s="5"/>
    </row>
    <row r="57" spans="63:63" ht="15" customHeight="1">
      <c r="BK57" s="5"/>
    </row>
    <row r="58" spans="63:63" ht="15" customHeight="1">
      <c r="BK58" s="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cols>
    <col min="1" max="63" width="2.77734375" style="1" customWidth="1"/>
    <col min="64" max="16384" width="10.109375" style="1"/>
  </cols>
  <sheetData>
    <row r="1" spans="1:63" ht="24.95" customHeight="1">
      <c r="A1" s="106" t="s">
        <v>80</v>
      </c>
      <c r="B1" s="107"/>
      <c r="C1" s="107"/>
      <c r="D1" s="107"/>
      <c r="E1" s="107"/>
      <c r="F1" s="107"/>
      <c r="G1" s="107"/>
      <c r="H1" s="107"/>
      <c r="I1" s="107"/>
      <c r="J1" s="108"/>
      <c r="K1" s="106" t="s">
        <v>81</v>
      </c>
      <c r="L1" s="107"/>
      <c r="M1" s="107"/>
      <c r="N1" s="107"/>
      <c r="O1" s="107"/>
      <c r="P1" s="107"/>
      <c r="Q1" s="107"/>
      <c r="R1" s="107"/>
      <c r="S1" s="107"/>
      <c r="T1" s="107"/>
      <c r="U1" s="107"/>
      <c r="V1" s="108"/>
      <c r="W1" s="109" t="str">
        <f>IF(表紙!W1="","",表紙!W1)</f>
        <v>詳細設計書</v>
      </c>
      <c r="X1" s="110"/>
      <c r="Y1" s="110"/>
      <c r="Z1" s="110"/>
      <c r="AA1" s="110"/>
      <c r="AB1" s="110"/>
      <c r="AC1" s="110"/>
      <c r="AD1" s="110"/>
      <c r="AE1" s="110"/>
      <c r="AF1" s="110"/>
      <c r="AG1" s="110"/>
      <c r="AH1" s="110"/>
      <c r="AI1" s="110"/>
      <c r="AJ1" s="110"/>
      <c r="AK1" s="110"/>
      <c r="AL1" s="110"/>
      <c r="AM1" s="110"/>
      <c r="AN1" s="110"/>
      <c r="AO1" s="111"/>
      <c r="AP1" s="55" t="s">
        <v>83</v>
      </c>
      <c r="AQ1" s="56"/>
      <c r="AR1" s="56"/>
      <c r="AS1" s="57"/>
      <c r="AT1" s="55" t="s">
        <v>84</v>
      </c>
      <c r="AU1" s="56"/>
      <c r="AV1" s="56"/>
      <c r="AW1" s="56"/>
      <c r="AX1" s="57"/>
      <c r="AY1" s="55" t="s">
        <v>85</v>
      </c>
      <c r="AZ1" s="56"/>
      <c r="BA1" s="56"/>
      <c r="BB1" s="57"/>
      <c r="BC1" s="55" t="s">
        <v>86</v>
      </c>
      <c r="BD1" s="56"/>
      <c r="BE1" s="56"/>
      <c r="BF1" s="56"/>
      <c r="BG1" s="57"/>
      <c r="BH1" s="55" t="s">
        <v>87</v>
      </c>
      <c r="BI1" s="56"/>
      <c r="BJ1" s="56"/>
      <c r="BK1" s="57"/>
    </row>
    <row r="2" spans="1:63" ht="15" customHeight="1">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12"/>
      <c r="X2" s="113"/>
      <c r="Y2" s="113"/>
      <c r="Z2" s="113"/>
      <c r="AA2" s="113"/>
      <c r="AB2" s="113"/>
      <c r="AC2" s="113"/>
      <c r="AD2" s="113"/>
      <c r="AE2" s="113"/>
      <c r="AF2" s="113"/>
      <c r="AG2" s="113"/>
      <c r="AH2" s="113"/>
      <c r="AI2" s="113"/>
      <c r="AJ2" s="113"/>
      <c r="AK2" s="113"/>
      <c r="AL2" s="113"/>
      <c r="AM2" s="113"/>
      <c r="AN2" s="113"/>
      <c r="AO2" s="114"/>
      <c r="AP2" s="40" t="str">
        <f>IF(表紙!AP2="","",表紙!AP2)</f>
        <v>DuNT</v>
      </c>
      <c r="AQ2" s="41"/>
      <c r="AR2" s="41"/>
      <c r="AS2" s="42"/>
      <c r="AT2" s="70">
        <f>IF(表紙!AT2="","",表紙!AT2)</f>
        <v>45508</v>
      </c>
      <c r="AU2" s="71"/>
      <c r="AV2" s="71"/>
      <c r="AW2" s="71"/>
      <c r="AX2" s="72"/>
      <c r="AY2" s="40" t="str">
        <f>IF(表紙!AY2="","",表紙!AY2)</f>
        <v>DuNT</v>
      </c>
      <c r="AZ2" s="41"/>
      <c r="BA2" s="41"/>
      <c r="BB2" s="42"/>
      <c r="BC2" s="70">
        <f>IF(表紙!BC2="","",表紙!BC2)</f>
        <v>45508</v>
      </c>
      <c r="BD2" s="71"/>
      <c r="BE2" s="71"/>
      <c r="BF2" s="71"/>
      <c r="BG2" s="72"/>
      <c r="BH2" s="40">
        <f>IF(表紙!BH2="","",表紙!BH2)</f>
        <v>0.1</v>
      </c>
      <c r="BI2" s="41"/>
      <c r="BJ2" s="41"/>
      <c r="BK2" s="42"/>
    </row>
    <row r="3" spans="1:63" ht="15" customHeight="1">
      <c r="A3" s="103"/>
      <c r="B3" s="104"/>
      <c r="C3" s="104"/>
      <c r="D3" s="104"/>
      <c r="E3" s="104"/>
      <c r="F3" s="104"/>
      <c r="G3" s="104"/>
      <c r="H3" s="104"/>
      <c r="I3" s="104"/>
      <c r="J3" s="105"/>
      <c r="K3" s="103"/>
      <c r="L3" s="104"/>
      <c r="M3" s="104"/>
      <c r="N3" s="104"/>
      <c r="O3" s="104"/>
      <c r="P3" s="104"/>
      <c r="Q3" s="104"/>
      <c r="R3" s="104"/>
      <c r="S3" s="104"/>
      <c r="T3" s="104"/>
      <c r="U3" s="104"/>
      <c r="V3" s="105"/>
      <c r="W3" s="115"/>
      <c r="X3" s="116"/>
      <c r="Y3" s="116"/>
      <c r="Z3" s="116"/>
      <c r="AA3" s="116"/>
      <c r="AB3" s="116"/>
      <c r="AC3" s="116"/>
      <c r="AD3" s="116"/>
      <c r="AE3" s="116"/>
      <c r="AF3" s="116"/>
      <c r="AG3" s="116"/>
      <c r="AH3" s="116"/>
      <c r="AI3" s="116"/>
      <c r="AJ3" s="116"/>
      <c r="AK3" s="116"/>
      <c r="AL3" s="116"/>
      <c r="AM3" s="116"/>
      <c r="AN3" s="116"/>
      <c r="AO3" s="117"/>
      <c r="AP3" s="46"/>
      <c r="AQ3" s="47"/>
      <c r="AR3" s="47"/>
      <c r="AS3" s="48"/>
      <c r="AT3" s="73"/>
      <c r="AU3" s="74"/>
      <c r="AV3" s="74"/>
      <c r="AW3" s="74"/>
      <c r="AX3" s="75"/>
      <c r="AY3" s="46"/>
      <c r="AZ3" s="47"/>
      <c r="BA3" s="47"/>
      <c r="BB3" s="48"/>
      <c r="BC3" s="73"/>
      <c r="BD3" s="74"/>
      <c r="BE3" s="74"/>
      <c r="BF3" s="74"/>
      <c r="BG3" s="75"/>
      <c r="BH3" s="46"/>
      <c r="BI3" s="47"/>
      <c r="BJ3" s="47"/>
      <c r="BK3" s="48"/>
    </row>
    <row r="4" spans="1:63" ht="24.95" customHeight="1">
      <c r="A4" s="106" t="s">
        <v>89</v>
      </c>
      <c r="B4" s="107"/>
      <c r="C4" s="107"/>
      <c r="D4" s="107"/>
      <c r="E4" s="107"/>
      <c r="F4" s="107"/>
      <c r="G4" s="108"/>
      <c r="H4" s="118" t="str">
        <f>IF(表紙!H4="","",表紙!H4)</f>
        <v>API_00_Common</v>
      </c>
      <c r="I4" s="119"/>
      <c r="J4" s="119"/>
      <c r="K4" s="119"/>
      <c r="L4" s="119"/>
      <c r="M4" s="119"/>
      <c r="N4" s="119"/>
      <c r="O4" s="119"/>
      <c r="P4" s="119"/>
      <c r="Q4" s="119"/>
      <c r="R4" s="119"/>
      <c r="S4" s="119"/>
      <c r="T4" s="120"/>
      <c r="U4" s="106" t="s">
        <v>90</v>
      </c>
      <c r="V4" s="107"/>
      <c r="W4" s="107"/>
      <c r="X4" s="107"/>
      <c r="Y4" s="108"/>
      <c r="Z4" s="118" t="str">
        <f>IF(表紙!Z4="","",表紙!Z4)</f>
        <v>API設計書</v>
      </c>
      <c r="AA4" s="119"/>
      <c r="AB4" s="119"/>
      <c r="AC4" s="119"/>
      <c r="AD4" s="119"/>
      <c r="AE4" s="119"/>
      <c r="AF4" s="119"/>
      <c r="AG4" s="119"/>
      <c r="AH4" s="119"/>
      <c r="AI4" s="119"/>
      <c r="AJ4" s="119"/>
      <c r="AK4" s="119"/>
      <c r="AL4" s="119"/>
      <c r="AM4" s="119"/>
      <c r="AN4" s="119"/>
      <c r="AO4" s="120"/>
      <c r="AP4" s="121" t="str">
        <f ca="1">MID(CELL("filename",A1),FIND("]",CELL("filename",A1))+1,255)</f>
        <v>テンプレート</v>
      </c>
      <c r="AQ4" s="119"/>
      <c r="AR4" s="119"/>
      <c r="AS4" s="119"/>
      <c r="AT4" s="119"/>
      <c r="AU4" s="119"/>
      <c r="AV4" s="119"/>
      <c r="AW4" s="119"/>
      <c r="AX4" s="119"/>
      <c r="AY4" s="119"/>
      <c r="AZ4" s="119"/>
      <c r="BA4" s="119"/>
      <c r="BB4" s="119"/>
      <c r="BC4" s="119"/>
      <c r="BD4" s="119"/>
      <c r="BE4" s="119"/>
      <c r="BF4" s="119"/>
      <c r="BG4" s="119"/>
      <c r="BH4" s="119"/>
      <c r="BI4" s="119"/>
      <c r="BJ4" s="119"/>
      <c r="BK4" s="120"/>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39" customFormat="1" ht="15" customHeight="1">
      <c r="BK7" s="38"/>
    </row>
    <row r="8" spans="1:63" s="39" customFormat="1" ht="15" customHeight="1">
      <c r="BK8" s="38"/>
    </row>
    <row r="9" spans="1:63" s="39" customFormat="1" ht="15" customHeight="1">
      <c r="BK9" s="38"/>
    </row>
    <row r="10" spans="1:63" s="39" customFormat="1" ht="15" customHeight="1">
      <c r="BK10" s="38"/>
    </row>
    <row r="11" spans="1:63" s="39" customFormat="1" ht="15" customHeight="1">
      <c r="BK11" s="38"/>
    </row>
    <row r="12" spans="1:63" s="39" customFormat="1" ht="15" customHeight="1">
      <c r="BK12" s="38"/>
    </row>
    <row r="13" spans="1:63" s="39" customFormat="1" ht="15" customHeight="1">
      <c r="BK13" s="38"/>
    </row>
    <row r="14" spans="1:63" s="39" customFormat="1" ht="15" customHeight="1">
      <c r="BK14" s="38"/>
    </row>
    <row r="15" spans="1:63" s="39" customFormat="1" ht="15" customHeight="1">
      <c r="BK15" s="38"/>
    </row>
    <row r="16" spans="1:63" s="39" customFormat="1" ht="15" customHeight="1">
      <c r="BK16" s="38"/>
    </row>
    <row r="17" spans="63:63" s="39" customFormat="1" ht="15" customHeight="1">
      <c r="BK17" s="38"/>
    </row>
    <row r="18" spans="63:63" s="39" customFormat="1" ht="15" customHeight="1">
      <c r="BK18" s="38"/>
    </row>
    <row r="19" spans="63:63" s="39" customFormat="1" ht="15" customHeight="1">
      <c r="BK19" s="38"/>
    </row>
    <row r="20" spans="63:63" s="39" customFormat="1" ht="15" customHeight="1">
      <c r="BK20" s="38"/>
    </row>
    <row r="21" spans="63:63" s="39" customFormat="1" ht="15" customHeight="1">
      <c r="BK21" s="38"/>
    </row>
    <row r="22" spans="63:63" s="39" customFormat="1" ht="15" customHeight="1">
      <c r="BK22" s="38"/>
    </row>
    <row r="23" spans="63:63" s="39" customFormat="1" ht="15" customHeight="1">
      <c r="BK23" s="38"/>
    </row>
    <row r="24" spans="63:63" s="39" customFormat="1" ht="15" customHeight="1">
      <c r="BK24" s="38"/>
    </row>
    <row r="25" spans="63:63" s="39" customFormat="1" ht="15" customHeight="1">
      <c r="BK25" s="38"/>
    </row>
    <row r="26" spans="63:63" s="39" customFormat="1" ht="15" customHeight="1">
      <c r="BK26" s="38"/>
    </row>
    <row r="27" spans="63:63" s="39" customFormat="1" ht="15" customHeight="1">
      <c r="BK27" s="38"/>
    </row>
    <row r="28" spans="63:63" s="39" customFormat="1" ht="15" customHeight="1">
      <c r="BK28" s="38"/>
    </row>
    <row r="29" spans="63:63" s="39" customFormat="1" ht="15" customHeight="1">
      <c r="BK29" s="38"/>
    </row>
    <row r="30" spans="63:63" s="39" customFormat="1" ht="15" customHeight="1">
      <c r="BK30" s="38"/>
    </row>
    <row r="31" spans="63:63" s="39" customFormat="1" ht="15" customHeight="1">
      <c r="BK31" s="38"/>
    </row>
    <row r="32" spans="63:63" s="39" customFormat="1" ht="15" customHeight="1">
      <c r="BK32" s="38"/>
    </row>
    <row r="33" spans="63:63" s="39" customFormat="1" ht="15" customHeight="1">
      <c r="BK33" s="38"/>
    </row>
    <row r="34" spans="63:63" s="39" customFormat="1" ht="15" customHeight="1">
      <c r="BK34" s="38"/>
    </row>
    <row r="35" spans="63:63" s="39" customFormat="1" ht="15" customHeight="1">
      <c r="BK35" s="38"/>
    </row>
    <row r="36" spans="63:63" s="39" customFormat="1" ht="15" customHeight="1">
      <c r="BK36" s="38"/>
    </row>
    <row r="37" spans="63:63" s="39" customFormat="1" ht="15" customHeight="1">
      <c r="BK37" s="38"/>
    </row>
    <row r="38" spans="63:63" s="39" customFormat="1" ht="15" customHeight="1">
      <c r="BK38" s="38"/>
    </row>
    <row r="39" spans="63:63" s="39" customFormat="1" ht="15" customHeight="1">
      <c r="BK39" s="38"/>
    </row>
    <row r="40" spans="63:63" s="39" customFormat="1" ht="15" customHeight="1">
      <c r="BK40" s="38"/>
    </row>
    <row r="41" spans="63:63" s="39" customFormat="1" ht="15" customHeight="1">
      <c r="BK41" s="38"/>
    </row>
    <row r="42" spans="63:63" s="39" customFormat="1" ht="15" customHeight="1">
      <c r="BK42" s="38"/>
    </row>
    <row r="43" spans="63:63" s="39" customFormat="1" ht="15" customHeight="1">
      <c r="BK43" s="38"/>
    </row>
    <row r="44" spans="63:63" s="39" customFormat="1" ht="15" customHeight="1">
      <c r="BK44" s="38"/>
    </row>
    <row r="45" spans="63:63" s="39" customFormat="1" ht="15" customHeight="1">
      <c r="BK45" s="38"/>
    </row>
    <row r="46" spans="63:63" s="39" customFormat="1" ht="15" customHeight="1">
      <c r="BK46" s="38"/>
    </row>
    <row r="47" spans="63:63" ht="15" customHeight="1">
      <c r="BK47" s="5"/>
    </row>
    <row r="48" spans="63:63" ht="15" customHeight="1">
      <c r="BK48" s="5"/>
    </row>
    <row r="49" spans="1:63" ht="15" customHeight="1">
      <c r="BK49" s="5"/>
    </row>
    <row r="50" spans="1:63" ht="15" customHeight="1">
      <c r="BK50" s="5"/>
    </row>
    <row r="51" spans="1:63" ht="15" customHeight="1">
      <c r="BK51" s="5"/>
    </row>
    <row r="52" spans="1:63" ht="15" customHeight="1">
      <c r="BK52" s="5"/>
    </row>
    <row r="53" spans="1:63" ht="15" customHeight="1">
      <c r="BK53" s="5"/>
    </row>
    <row r="54" spans="1:63" ht="1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表紙</vt:lpstr>
      <vt:lpstr>改訂履歴</vt:lpstr>
      <vt:lpstr>処理フロー凡例</vt:lpstr>
      <vt:lpstr>ルール</vt:lpstr>
      <vt:lpstr>レスポンス共通</vt:lpstr>
      <vt:lpstr>権限共通</vt:lpstr>
      <vt:lpstr>テンプレート</vt:lpstr>
      <vt:lpstr>テンプレート!Print_Area</vt:lpstr>
      <vt:lpstr>ルール!Print_Area</vt:lpstr>
      <vt:lpstr>レスポンス共通!Print_Area</vt:lpstr>
      <vt:lpstr>処理フロー凡例!Print_Area</vt:lpstr>
      <vt:lpstr>改訂履歴!Print_Area</vt:lpstr>
      <vt:lpstr>権限共通!Print_Area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2024-08-19T06:21:23Z</dcterms:modified>
  <cp:category/>
  <cp:contentStatus/>
</cp:coreProperties>
</file>