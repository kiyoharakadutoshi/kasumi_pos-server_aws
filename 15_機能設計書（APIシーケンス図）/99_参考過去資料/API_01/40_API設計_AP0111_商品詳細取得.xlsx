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79945247-5FFC-42AD-9A84-DAF7DD1F4BF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111" sheetId="8" r:id="rId4"/>
    <sheet name="処理フロー" sheetId="9" r:id="rId5"/>
    <sheet name="テンプレート" sheetId="7" r:id="rId6"/>
  </sheets>
  <definedNames>
    <definedName name="_xlnm.Print_Area" localSheetId="3">'AP0111'!$A$1:$BK$145</definedName>
    <definedName name="_xlnm.Print_Area" localSheetId="5">テンプレート!$A$1:$BK$54</definedName>
    <definedName name="_xlnm.Print_Area" localSheetId="4">処理フロー!$A$1:$BK$70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<sst xmlns="http://schemas.openxmlformats.org/spreadsheetml/2006/main" count="342" uniqueCount="206">
  <si>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</si>
  <si>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</si>
  <si>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</si>
  <si>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</si>
  <si>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</si>
  <si>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</si>
  <si>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</si>
  <si>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</si>
  <si>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</si>
  <si>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</si>
  <si>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</si>
  <si>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</si>
  <si>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</si>
  <si>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</si>
  <si>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</si>
  <si>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</si>
  <si>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</si>
  <si>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</si>
  <si>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</si>
  <si>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</si>
  <si>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</si>
  <si>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</si>
  <si>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</si>
  <si>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</si>
  <si>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</si>
  <si>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</si>
  <si>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</si>
  <si>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</si>
  <si>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</si>
  <si>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Int</t>
    </r>
  </si>
  <si>
    <t>}</t>
  </si>
  <si>
    <t>{</t>
  </si>
  <si>
    <t>],</t>
  </si>
  <si>
    <r>
      <rPr>
        <sz val="11"/>
        <color rgb="FF000000"/>
        <rFont val="Meiryo UI"/>
        <family val="2"/>
      </rPr>
      <t>AP0101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</si>
  <si>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</si>
  <si>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商品の詳細情報を取得する。</t>
    </r>
  </si>
  <si>
    <r>
      <rPr>
        <sz val="11"/>
        <color rgb="FF000000"/>
        <rFont val="Meiryo UI"/>
        <family val="2"/>
      </rPr>
      <t>Querry parameter: 対象商品を含む店舗コード</t>
    </r>
  </si>
  <si>
    <r>
      <rPr>
        <sz val="11"/>
        <color rgb="FF000000"/>
        <rFont val="Meiryo UI"/>
        <family val="2"/>
      </rPr>
      <t>ItemMaster.StoreCode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</si>
  <si>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</si>
  <si>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ItemMaster.Code</t>
    </r>
  </si>
  <si>
    <r>
      <rPr>
        <sz val="11"/>
        <color rgb="FF000000"/>
        <rFont val="Meiryo UI"/>
        <family val="2"/>
      </rPr>
      <t>ItemMaster.MyCompanyCode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</si>
  <si>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</si>
  <si>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tax_group_code</t>
    </r>
  </si>
  <si>
    <r>
      <rPr>
        <sz val="11"/>
        <color rgb="FF000000"/>
        <rFont val="Meiryo UI"/>
        <family val="2"/>
      </rPr>
      <t>ItemMaster.TaxGroupCode</t>
    </r>
  </si>
  <si>
    <r>
      <rPr>
        <sz val="11"/>
        <color rgb="FF000000"/>
        <rFont val="Meiryo UI"/>
        <family val="2"/>
      </rPr>
      <t>MDHierarchyMaster.Code</t>
    </r>
  </si>
  <si>
    <r>
      <rPr>
        <sz val="11"/>
        <color rgb="FF000000"/>
        <rFont val="Meiryo UI"/>
        <family val="2"/>
      </rPr>
      <t>MDHierarchyMaster.Level</t>
    </r>
  </si>
  <si>
    <r>
      <rPr>
        <sz val="11"/>
        <color rgb="FF000000"/>
        <rFont val="Meiryo UI"/>
        <family val="2"/>
      </rPr>
      <t>MDHierarchyMaster.Description</t>
    </r>
  </si>
  <si>
    <r>
      <rPr>
        <sz val="11"/>
        <color rgb="FF000000"/>
        <rFont val="Meiryo UI"/>
        <family val="2"/>
      </rPr>
      <t>standard_price</t>
    </r>
  </si>
  <si>
    <r>
      <rPr>
        <sz val="11"/>
        <color rgb="FF000000"/>
        <rFont val="Meiryo UI"/>
        <family val="2"/>
      </rPr>
      <t>ItemMaster.UnitPrice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</si>
  <si>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</si>
  <si>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</si>
  <si>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receipt_name</t>
    </r>
  </si>
  <si>
    <r>
      <rPr>
        <sz val="11"/>
        <color rgb="FF000000"/>
        <rFont val="Meiryo UI"/>
        <family val="2"/>
      </rPr>
      <t>product_name</t>
    </r>
  </si>
  <si>
    <r>
      <rPr>
        <sz val="11"/>
        <color rgb="FF000000"/>
        <rFont val="Meiryo UI"/>
        <family val="2"/>
      </rPr>
      <t>kana_name</t>
    </r>
  </si>
  <si>
    <r>
      <rPr>
        <sz val="11"/>
        <color rgb="FF000000"/>
        <rFont val="Meiryo UI"/>
        <family val="2"/>
      </rPr>
      <t>レシートで使用される商品名称</t>
    </r>
  </si>
  <si>
    <r>
      <rPr>
        <sz val="11"/>
        <color rgb="FF000000"/>
        <rFont val="Meiryo UI"/>
        <family val="2"/>
      </rPr>
      <t>カタカナで書かれる商品名称</t>
    </r>
  </si>
  <si>
    <r>
      <rPr>
        <sz val="11"/>
        <color rgb="FF000000"/>
        <rFont val="Meiryo UI"/>
        <family val="2"/>
      </rPr>
      <t>is_item_manual_discount_prohibition</t>
    </r>
  </si>
  <si>
    <r>
      <rPr>
        <sz val="11"/>
        <color rgb="FF000000"/>
        <rFont val="Meiryo UI"/>
        <family val="2"/>
      </rPr>
      <t>ItemMaster.IsItemManualDiscountProhibition</t>
    </r>
  </si>
  <si>
    <r>
      <rPr>
        <sz val="11"/>
        <color rgb="FF000000"/>
        <rFont val="Meiryo UI"/>
        <family val="2"/>
      </rPr>
      <t>ItemMaster.IsSubTotalDiscountProhibition</t>
    </r>
  </si>
  <si>
    <r>
      <rPr>
        <sz val="11"/>
        <color rgb="FF000000"/>
        <rFont val="Meiryo UI"/>
        <family val="2"/>
      </rPr>
      <t>is_subtotal_discount_prohibition</t>
    </r>
  </si>
  <si>
    <r>
      <rPr>
        <sz val="11"/>
        <color rgb="FF000000"/>
        <rFont val="Meiryo UI"/>
        <family val="2"/>
      </rPr>
      <t>create_date</t>
    </r>
  </si>
  <si>
    <r>
      <rPr>
        <sz val="11"/>
        <color rgb="FF000000"/>
        <rFont val="Meiryo UI"/>
        <family val="2"/>
      </rPr>
      <t>update_date</t>
    </r>
  </si>
  <si>
    <r>
      <rPr>
        <sz val="11"/>
        <color rgb="FF000000"/>
        <rFont val="Meiryo UI"/>
        <family val="2"/>
      </rPr>
      <t>Date</t>
    </r>
  </si>
  <si>
    <t>??</t>
  </si>
  <si>
    <r>
      <rPr>
        <sz val="11"/>
        <color rgb="FF000000"/>
        <rFont val="Meiryo UI"/>
        <family val="2"/>
      </rPr>
      <t>employee_update</t>
    </r>
  </si>
  <si>
    <t>???</t>
  </si>
  <si>
    <r>
      <rPr>
        <sz val="11"/>
        <color rgb="FF000000"/>
        <rFont val="Meiryo UI"/>
        <family val="2"/>
      </rPr>
      <t>最終更新者</t>
    </r>
  </si>
  <si>
    <r>
      <rPr>
        <sz val="11"/>
        <color rgb="FF000000"/>
        <rFont val="Meiryo UI"/>
        <family val="2"/>
      </rPr>
      <t>List&lt;Child&gt;</t>
    </r>
  </si>
  <si>
    <r>
      <rPr>
        <sz val="11"/>
        <color rgb="FF000000"/>
        <rFont val="Meiryo UI"/>
        <family val="2"/>
      </rPr>
      <t>子JAN一覧</t>
    </r>
  </si>
  <si>
    <r>
      <rPr>
        <sz val="11"/>
        <color rgb="FF000000"/>
        <rFont val="Meiryo UI"/>
        <family val="2"/>
      </rPr>
      <t>子JANコード</t>
    </r>
  </si>
  <si>
    <r>
      <rPr>
        <sz val="11"/>
        <color rgb="FF000000"/>
        <rFont val="Meiryo UI"/>
        <family val="2"/>
      </rPr>
      <t>children</t>
    </r>
  </si>
  <si>
    <r>
      <rPr>
        <sz val="11"/>
        <color rgb="FF000000"/>
        <rFont val="Meiryo UI"/>
        <family val="2"/>
      </rPr>
      <t>order_unit</t>
    </r>
  </si>
  <si>
    <r>
      <rPr>
        <sz val="11"/>
        <color rgb="FF000000"/>
        <rFont val="Meiryo UI"/>
        <family val="2"/>
      </rPr>
      <t>ItemMaster.OrderUnit</t>
    </r>
  </si>
  <si>
    <r>
      <rPr>
        <sz val="11"/>
        <color rgb="FF000000"/>
        <rFont val="Meiryo UI"/>
        <family val="2"/>
      </rPr>
      <t>number_of_unit</t>
    </r>
  </si>
  <si>
    <r>
      <rPr>
        <sz val="11"/>
        <color rgb="FF000000"/>
        <rFont val="Meiryo UI"/>
        <family val="2"/>
      </rPr>
      <t>ItemMaster.NumberOfPiecesPerBox</t>
    </r>
  </si>
  <si>
    <r>
      <rPr>
        <sz val="11"/>
        <color rgb="FF000000"/>
        <rFont val="Meiryo UI"/>
        <family val="2"/>
      </rPr>
      <t>子JANレコードID</t>
    </r>
  </si>
  <si>
    <r>
      <rPr>
        <sz val="11"/>
        <color rgb="FF000000"/>
        <rFont val="Meiryo UI"/>
        <family val="2"/>
      </rPr>
      <t>unit</t>
    </r>
  </si>
  <si>
    <r>
      <rPr>
        <sz val="11"/>
        <color rgb="FF000000"/>
        <rFont val="Meiryo UI"/>
        <family val="2"/>
      </rPr>
      <t>tax_group_name</t>
    </r>
  </si>
  <si>
    <r>
      <rPr>
        <sz val="11"/>
        <color rgb="FF000000"/>
        <rFont val="Meiryo UI"/>
        <family val="2"/>
      </rPr>
      <t>商品の税種別コード</t>
    </r>
  </si>
  <si>
    <r>
      <rPr>
        <sz val="11"/>
        <color rgb="FF000000"/>
        <rFont val="Meiryo UI"/>
        <family val="2"/>
      </rPr>
      <t>TaxCodeMaster.Description</t>
    </r>
  </si>
  <si>
    <r>
      <rPr>
        <sz val="11"/>
        <color rgb="FF000000"/>
        <rFont val="Meiryo UI"/>
        <family val="2"/>
      </rPr>
      <t>tax_rate</t>
    </r>
  </si>
  <si>
    <r>
      <rPr>
        <sz val="11"/>
        <color rgb="FF000000"/>
        <rFont val="Meiryo UI"/>
        <family val="2"/>
      </rPr>
      <t>TaxCodeMaster.Rate</t>
    </r>
  </si>
  <si>
    <r>
      <rPr>
        <sz val="11"/>
        <color rgb="FF000000"/>
        <rFont val="Meiryo UI"/>
        <family val="2"/>
      </rPr>
      <t>税種別の名称</t>
    </r>
  </si>
  <si>
    <r>
      <rPr>
        <sz val="11"/>
        <color rgb="FF000000"/>
        <rFont val="Meiryo UI"/>
        <family val="2"/>
      </rPr>
      <t>税率</t>
    </r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</si>
  <si>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</si>
  <si>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</si>
  <si>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level_one</t>
    </r>
  </si>
  <si>
    <r>
      <rPr>
        <sz val="11"/>
        <color rgb="FF000000"/>
        <rFont val="Meiryo UI"/>
        <family val="2"/>
      </rPr>
      <t>部門</t>
    </r>
  </si>
  <si>
    <r>
      <rPr>
        <sz val="11"/>
        <color rgb="FF000000"/>
        <rFont val="Meiryo UI"/>
        <family val="2"/>
      </rPr>
      <t>description_level_one</t>
    </r>
  </si>
  <si>
    <r>
      <rPr>
        <sz val="11"/>
        <color rgb="FF000000"/>
        <rFont val="Meiryo UI"/>
        <family val="2"/>
      </rPr>
      <t>部門名称</t>
    </r>
  </si>
  <si>
    <r>
      <rPr>
        <sz val="11"/>
        <color rgb="FF000000"/>
        <rFont val="Meiryo UI"/>
        <family val="2"/>
      </rPr>
      <t>code_level_two</t>
    </r>
  </si>
  <si>
    <r>
      <rPr>
        <sz val="11"/>
        <color rgb="FF000000"/>
        <rFont val="Meiryo UI"/>
        <family val="2"/>
      </rPr>
      <t>品群コード</t>
    </r>
  </si>
  <si>
    <r>
      <rPr>
        <sz val="11"/>
        <color rgb="FF000000"/>
        <rFont val="Meiryo UI"/>
        <family val="2"/>
      </rPr>
      <t>level_two</t>
    </r>
  </si>
  <si>
    <r>
      <rPr>
        <sz val="11"/>
        <color rgb="FF000000"/>
        <rFont val="Meiryo UI"/>
        <family val="2"/>
      </rPr>
      <t>品群</t>
    </r>
  </si>
  <si>
    <r>
      <rPr>
        <sz val="11"/>
        <color rgb="FF000000"/>
        <rFont val="Meiryo UI"/>
        <family val="2"/>
      </rPr>
      <t>description_level_two</t>
    </r>
  </si>
  <si>
    <r>
      <rPr>
        <sz val="11"/>
        <color rgb="FF000000"/>
        <rFont val="Meiryo UI"/>
        <family val="2"/>
      </rPr>
      <t>品群名称</t>
    </r>
  </si>
  <si>
    <r>
      <rPr>
        <sz val="11"/>
        <color rgb="FF000000"/>
        <rFont val="Meiryo UI"/>
        <family val="2"/>
      </rPr>
      <t>code_level_three</t>
    </r>
  </si>
  <si>
    <r>
      <rPr>
        <sz val="11"/>
        <color rgb="FF000000"/>
        <rFont val="Meiryo UI"/>
        <family val="2"/>
      </rPr>
      <t>品種コード</t>
    </r>
  </si>
  <si>
    <r>
      <rPr>
        <sz val="11"/>
        <color rgb="FF000000"/>
        <rFont val="Meiryo UI"/>
        <family val="2"/>
      </rPr>
      <t>level_three</t>
    </r>
  </si>
  <si>
    <r>
      <rPr>
        <sz val="11"/>
        <color rgb="FF000000"/>
        <rFont val="Meiryo UI"/>
        <family val="2"/>
      </rPr>
      <t>品種</t>
    </r>
  </si>
  <si>
    <r>
      <rPr>
        <sz val="11"/>
        <color rgb="FF000000"/>
        <rFont val="Meiryo UI"/>
        <family val="2"/>
      </rPr>
      <t>description_level_three</t>
    </r>
  </si>
  <si>
    <r>
      <rPr>
        <sz val="11"/>
        <color rgb="FF000000"/>
        <rFont val="Meiryo UI"/>
        <family val="2"/>
      </rPr>
      <t>品種名称</t>
    </r>
  </si>
  <si>
    <r>
      <rPr>
        <sz val="11"/>
        <color rgb="FF000000"/>
        <rFont val="Meiryo UI"/>
        <family val="2"/>
      </rPr>
      <t>code_level_four</t>
    </r>
  </si>
  <si>
    <r>
      <rPr>
        <sz val="11"/>
        <color rgb="FF000000"/>
        <rFont val="Meiryo UI"/>
        <family val="2"/>
      </rPr>
      <t>分類コード</t>
    </r>
  </si>
  <si>
    <r>
      <rPr>
        <sz val="11"/>
        <color rgb="FF000000"/>
        <rFont val="Meiryo UI"/>
        <family val="2"/>
      </rPr>
      <t>level_four</t>
    </r>
  </si>
  <si>
    <r>
      <rPr>
        <sz val="11"/>
        <color rgb="FF000000"/>
        <rFont val="Meiryo UI"/>
        <family val="2"/>
      </rPr>
      <t>分類</t>
    </r>
  </si>
  <si>
    <r>
      <rPr>
        <sz val="11"/>
        <color rgb="FF000000"/>
        <rFont val="Meiryo UI"/>
        <family val="2"/>
      </rPr>
      <t>description_level_four</t>
    </r>
  </si>
  <si>
    <r>
      <rPr>
        <sz val="11"/>
        <color rgb="FF000000"/>
        <rFont val="Meiryo UI"/>
        <family val="2"/>
      </rPr>
      <t>分類名称</t>
    </r>
  </si>
  <si>
    <r>
      <rPr>
        <sz val="11"/>
        <color rgb="FF000000"/>
        <rFont val="Meiryo UI"/>
        <family val="2"/>
      </rPr>
      <t>number_of_order</t>
    </r>
  </si>
  <si>
    <r>
      <rPr>
        <sz val="11"/>
        <color rgb="FF000000"/>
        <rFont val="Meiryo UI"/>
        <family val="2"/>
      </rPr>
      <t>standard_unit</t>
    </r>
  </si>
  <si>
    <r>
      <rPr>
        <sz val="11"/>
        <color rgb="FF000000"/>
        <rFont val="Meiryo UI"/>
        <family val="2"/>
      </rPr>
      <t>patner_code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</si>
  <si>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</si>
  <si>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Querry parameter: 会社によって規定される対象商品のコード</t>
    </r>
  </si>
  <si>
    <r>
      <rPr>
        <sz val="11"/>
        <color rgb="FF000000"/>
        <rFont val="Meiryo UI"/>
        <family val="2"/>
      </rPr>
      <t>ItemMaster.RECORD_ID</t>
    </r>
  </si>
  <si>
    <t xml:space="preserve">        {</t>
  </si>
  <si>
    <t xml:space="preserve">        },</t>
  </si>
  <si>
    <t xml:space="preserve">        }</t>
  </si>
  <si>
    <r>
      <rPr>
        <sz val="11"/>
        <color rgb="FF000000"/>
        <rFont val="Meiryo UI"/>
        <family val="2"/>
      </rPr>
      <t>api/v1/product/detail</t>
    </r>
  </si>
  <si>
    <r>
      <rPr>
        <sz val="11"/>
        <color rgb="FF000000"/>
        <rFont val="Meiryo UI"/>
        <family val="2"/>
      </rPr>
      <t>storage_time</t>
    </r>
  </si>
  <si>
    <r>
      <rPr>
        <sz val="11"/>
        <color rgb="FF000000"/>
        <rFont val="Meiryo UI"/>
        <family val="2"/>
      </rPr>
      <t>storage_unit</t>
    </r>
  </si>
  <si>
    <r>
      <rPr>
        <sz val="11"/>
        <color rgb="FF000000"/>
        <rFont val="Meiryo UI"/>
        <family val="2"/>
      </rPr>
      <t>jan_code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</si>
  <si>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</si>
  <si>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</si>
  <si>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</si>
  <si>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</si>
  <si>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</si>
  <si>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</si>
  <si>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</si>
  <si>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</si>
  <si>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</si>
  <si>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</si>
  <si>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</si>
  <si>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</si>
  <si>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</si>
  <si>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</si>
  <si>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</si>
  <si>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</si>
  <si>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</si>
  <si>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</si>
  <si>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</si>
  <si>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</si>
  <si>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</si>
  <si>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</si>
  <si>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</si>
  <si>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</si>
  <si>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</si>
  <si>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</si>
  <si>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</si>
  <si>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</si>
  <si>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数字の4桁。</t>
  </si>
  <si>
    <r>
      <rPr>
        <sz val="11"/>
        <color rgb="FF000000"/>
        <rFont val="Meiryo UI"/>
        <family val="2"/>
      </rPr>
      <t>Querry parameter: 対象商品のPLUコード</t>
    </r>
  </si>
  <si>
    <t>数字の13桁。</t>
  </si>
  <si>
    <t>2.4 Request Body</t>
  </si>
  <si>
    <t>※サンプル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</si>
  <si>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</si>
  <si>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</si>
  <si>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</si>
  <si>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member_price</t>
  </si>
  <si>
    <t>original_price</t>
  </si>
  <si>
    <t>ItemMaster.LongDescription</t>
  </si>
  <si>
    <t>ItemMaster.Description</t>
  </si>
  <si>
    <t>ItemMaster.ShortDescription</t>
  </si>
  <si>
    <r>
      <rPr>
        <sz val="11"/>
        <color rgb="FF000000"/>
        <rFont val="Meiryo UI"/>
        <family val="2"/>
      </rPr>
      <t>0: マニュアル割引除外なし
1: マニュアル割引除外</t>
    </r>
  </si>
  <si>
    <r>
      <rPr>
        <sz val="11"/>
        <color rgb="FF000000"/>
        <rFont val="Meiryo UI"/>
        <family val="2"/>
      </rPr>
      <t>0:適用なし
1: 適用あり</t>
    </r>
  </si>
  <si>
    <r>
      <rPr>
        <sz val="11"/>
        <color rgb="FF000000"/>
        <rFont val="Meiryo UI"/>
        <family val="2"/>
      </rPr>
      <t>レコード作成日 フォーマット: yyyy/mm/dd</t>
    </r>
  </si>
  <si>
    <r>
      <rPr>
        <sz val="11"/>
        <color rgb="FF000000"/>
        <rFont val="Meiryo UI"/>
        <family val="2"/>
      </rPr>
      <t>レコード更新日 フォーマット: yyyy/mm/dd</t>
    </r>
  </si>
  <si>
    <r>
      <rPr>
        <sz val="11"/>
        <color rgb="FF000000"/>
        <rFont val="Meiryo UI"/>
        <family val="2"/>
      </rPr>
      <t xml:space="preserve"> "record_id": 1,</t>
    </r>
  </si>
  <si>
    <r>
      <rPr>
        <sz val="11"/>
        <color rgb="FF000000"/>
        <rFont val="Meiryo UI"/>
        <family val="2"/>
      </rPr>
      <t xml:space="preserve">    "store_code": "800",</t>
    </r>
  </si>
  <si>
    <r>
      <rPr>
        <sz val="11"/>
        <color rgb="FF000000"/>
        <rFont val="Meiryo UI"/>
        <family val="2"/>
      </rPr>
      <t xml:space="preserve">    "my_company_code": "COMP001",</t>
    </r>
  </si>
  <si>
    <r>
      <rPr>
        <sz val="11"/>
        <color rgb="FF000000"/>
        <rFont val="Meiryo UI"/>
        <family val="2"/>
      </rPr>
      <t xml:space="preserve">    "item_code": "ITEM001",</t>
    </r>
  </si>
  <si>
    <r>
      <rPr>
        <sz val="11"/>
        <color rgb="FF000000"/>
        <rFont val="Meiryo UI"/>
        <family val="2"/>
      </rPr>
      <t xml:space="preserve">    "code_level_one": "CL1-001",</t>
    </r>
  </si>
  <si>
    <r>
      <rPr>
        <sz val="11"/>
        <color rgb="FF000000"/>
        <rFont val="Meiryo UI"/>
        <family val="2"/>
      </rPr>
      <t xml:space="preserve">    "level_one": 1,</t>
    </r>
  </si>
  <si>
    <r>
      <rPr>
        <sz val="11"/>
        <color rgb="FF000000"/>
        <rFont val="Meiryo UI"/>
        <family val="2"/>
      </rPr>
      <t xml:space="preserve">    "description_level_one": "First Level",</t>
    </r>
  </si>
  <si>
    <r>
      <rPr>
        <sz val="11"/>
        <color rgb="FF000000"/>
        <rFont val="Meiryo UI"/>
        <family val="2"/>
      </rPr>
      <t xml:space="preserve">    "code_level_two": "CL2-001",</t>
    </r>
  </si>
  <si>
    <r>
      <rPr>
        <sz val="11"/>
        <color rgb="FF000000"/>
        <rFont val="Meiryo UI"/>
        <family val="2"/>
      </rPr>
      <t xml:space="preserve">    "level_two": 2,</t>
    </r>
  </si>
  <si>
    <r>
      <rPr>
        <sz val="11"/>
        <color rgb="FF000000"/>
        <rFont val="Meiryo UI"/>
        <family val="2"/>
      </rPr>
      <t xml:space="preserve"> "description_level_two": "Second Level",</t>
    </r>
  </si>
  <si>
    <r>
      <rPr>
        <sz val="11"/>
        <color rgb="FF000000"/>
        <rFont val="Meiryo UI"/>
        <family val="2"/>
      </rPr>
      <t>"code_level_three": "CL3-001",</t>
    </r>
  </si>
  <si>
    <r>
      <rPr>
        <sz val="11"/>
        <color rgb="FF000000"/>
        <rFont val="Meiryo UI"/>
        <family val="2"/>
      </rPr>
      <t xml:space="preserve">    "level_three": 3,</t>
    </r>
  </si>
  <si>
    <r>
      <rPr>
        <sz val="11"/>
        <color rgb="FF000000"/>
        <rFont val="Meiryo UI"/>
        <family val="2"/>
      </rPr>
      <t xml:space="preserve">    "description_level_three": "Third Level",</t>
    </r>
  </si>
  <si>
    <r>
      <rPr>
        <sz val="11"/>
        <color rgb="FF000000"/>
        <rFont val="Meiryo UI"/>
        <family val="2"/>
      </rPr>
      <t xml:space="preserve">    "code_level_four": "CL4-001",</t>
    </r>
  </si>
  <si>
    <r>
      <rPr>
        <sz val="11"/>
        <color rgb="FF000000"/>
        <rFont val="Meiryo UI"/>
        <family val="2"/>
      </rPr>
      <t xml:space="preserve">    "level_four": 4,</t>
    </r>
  </si>
  <si>
    <r>
      <rPr>
        <sz val="11"/>
        <color rgb="FF000000"/>
        <rFont val="Meiryo UI"/>
        <family val="2"/>
      </rPr>
      <t xml:space="preserve">    "description_level_four": "Fourth Level",</t>
    </r>
  </si>
  <si>
    <r>
      <rPr>
        <sz val="11"/>
        <color rgb="FF000000"/>
        <rFont val="Meiryo UI"/>
        <family val="2"/>
      </rPr>
      <t xml:space="preserve">    "standard_price": 100.0,</t>
    </r>
  </si>
  <si>
    <r>
      <rPr>
        <sz val="11"/>
        <color rgb="FF000000"/>
        <rFont val="Meiryo UI"/>
        <family val="2"/>
      </rPr>
      <t xml:space="preserve">    "member_price": 90.0,</t>
    </r>
  </si>
  <si>
    <r>
      <rPr>
        <sz val="11"/>
        <color rgb="FF000000"/>
        <rFont val="Meiryo UI"/>
        <family val="2"/>
      </rPr>
      <t xml:space="preserve">    "original_price": 110.0,</t>
    </r>
  </si>
  <si>
    <r>
      <rPr>
        <sz val="11"/>
        <color rgb="FF000000"/>
        <rFont val="Meiryo UI"/>
        <family val="2"/>
      </rPr>
      <t xml:space="preserve">    "product_name": "Product A",</t>
    </r>
  </si>
  <si>
    <r>
      <rPr>
        <sz val="11"/>
        <color rgb="FF000000"/>
        <rFont val="Meiryo UI"/>
        <family val="2"/>
      </rPr>
      <t xml:space="preserve">    "receipt_name": "Product A Receipt",</t>
    </r>
  </si>
  <si>
    <r>
      <rPr>
        <sz val="11"/>
        <color rgb="FF000000"/>
        <rFont val="Meiryo UI"/>
        <family val="2"/>
      </rPr>
      <t xml:space="preserve">    "kana_name": "プロダクトA",</t>
    </r>
  </si>
  <si>
    <r>
      <rPr>
        <sz val="11"/>
        <color rgb="FF000000"/>
        <rFont val="Meiryo UI"/>
        <family val="2"/>
      </rPr>
      <t xml:space="preserve">    "is_item_manual_discount_prohibition": 0,</t>
    </r>
  </si>
  <si>
    <r>
      <rPr>
        <sz val="11"/>
        <color rgb="FF000000"/>
        <rFont val="Meiryo UI"/>
        <family val="2"/>
      </rPr>
      <t xml:space="preserve">    "is_subtotal_discount_prohibition": 1,</t>
    </r>
  </si>
  <si>
    <r>
      <rPr>
        <sz val="11"/>
        <color rgb="FF000000"/>
        <rFont val="Meiryo UI"/>
        <family val="2"/>
      </rPr>
      <t xml:space="preserve">    "create_date": "2024-09-01",</t>
    </r>
  </si>
  <si>
    <r>
      <rPr>
        <sz val="11"/>
        <color rgb="FF000000"/>
        <rFont val="Meiryo UI"/>
        <family val="2"/>
      </rPr>
      <t xml:space="preserve">    "update_date": "2024-09-10",</t>
    </r>
  </si>
  <si>
    <r>
      <rPr>
        <sz val="11"/>
        <color rgb="FF000000"/>
        <rFont val="Meiryo UI"/>
        <family val="2"/>
      </rPr>
      <t xml:space="preserve">    "employee_update": "John Doe",</t>
    </r>
  </si>
  <si>
    <r>
      <rPr>
        <sz val="11"/>
        <color rgb="FF000000"/>
        <rFont val="Meiryo UI"/>
        <family val="2"/>
      </rPr>
      <t xml:space="preserve"> "children": [</t>
    </r>
  </si>
  <si>
    <r>
      <rPr>
        <sz val="11"/>
        <color rgb="FF000000"/>
        <rFont val="Meiryo UI"/>
        <family val="2"/>
      </rPr>
      <t xml:space="preserve">            "record_id": 2,</t>
    </r>
  </si>
  <si>
    <r>
      <rPr>
        <sz val="11"/>
        <color rgb="FF000000"/>
        <rFont val="Meiryo UI"/>
        <family val="2"/>
      </rPr>
      <t xml:space="preserve">            "jan_code": "JAN101"</t>
    </r>
  </si>
  <si>
    <r>
      <rPr>
        <sz val="11"/>
        <color rgb="FF000000"/>
        <rFont val="Meiryo UI"/>
        <family val="2"/>
      </rPr>
      <t xml:space="preserve">            "record_id": 3,</t>
    </r>
  </si>
  <si>
    <r>
      <rPr>
        <sz val="11"/>
        <color rgb="FF000000"/>
        <rFont val="Meiryo UI"/>
        <family val="2"/>
      </rPr>
      <t xml:space="preserve"> "number_of_order": 5,</t>
    </r>
  </si>
  <si>
    <r>
      <rPr>
        <sz val="11"/>
        <color rgb="FF000000"/>
        <rFont val="Meiryo UI"/>
        <family val="2"/>
      </rPr>
      <t xml:space="preserve">    "order_unit": "Piece",</t>
    </r>
  </si>
  <si>
    <r>
      <rPr>
        <sz val="11"/>
        <color rgb="FF000000"/>
        <rFont val="Meiryo UI"/>
        <family val="2"/>
      </rPr>
      <t xml:space="preserve">    "number_of_unit": 10,</t>
    </r>
  </si>
  <si>
    <r>
      <rPr>
        <sz val="11"/>
        <color rgb="FF000000"/>
        <rFont val="Meiryo UI"/>
        <family val="2"/>
      </rPr>
      <t xml:space="preserve">    "unit": 1,</t>
    </r>
  </si>
  <si>
    <r>
      <rPr>
        <sz val="11"/>
        <color rgb="FF000000"/>
        <rFont val="Meiryo UI"/>
        <family val="2"/>
      </rPr>
      <t xml:space="preserve">    "standard_unit": 1,</t>
    </r>
  </si>
  <si>
    <r>
      <rPr>
        <sz val="11"/>
        <color rgb="FF000000"/>
        <rFont val="Meiryo UI"/>
        <family val="2"/>
      </rPr>
      <t xml:space="preserve">    "stogare_time": "2024-09-11",</t>
    </r>
  </si>
  <si>
    <r>
      <rPr>
        <sz val="11"/>
        <color rgb="FF000000"/>
        <rFont val="Meiryo UI"/>
        <family val="2"/>
      </rPr>
      <t xml:space="preserve">    "stogared_unit": 1,</t>
    </r>
  </si>
  <si>
    <r>
      <rPr>
        <sz val="11"/>
        <color rgb="FF000000"/>
        <rFont val="Meiryo UI"/>
        <family val="2"/>
      </rPr>
      <t xml:space="preserve">    "patner_code": "PART001"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</si>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</sst>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9"/>
      <color theme="1"/>
      <name val="Meiryo UI"/>
      <family val="2"/>
    </font>
    <font>
      <sz val="9"/>
      <color rgb="FFFF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288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3" fillId="0" borderId="0" xfId="0" quotePrefix="1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8" fillId="3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23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 indent="1"/>
    </xf>
    <xf numFmtId="0" fontId="3" fillId="5" borderId="24" xfId="0" applyFont="1" applyFill="1" applyBorder="1" applyAlignment="1">
      <alignment horizontal="left" vertical="center" indent="1"/>
    </xf>
    <xf numFmtId="0" fontId="3" fillId="5" borderId="25" xfId="0" applyFont="1" applyFill="1" applyBorder="1" applyAlignment="1">
      <alignment horizontal="left" vertical="center" indent="1"/>
    </xf>
    <xf numFmtId="0" fontId="3" fillId="5" borderId="23" xfId="0" applyFont="1" applyFill="1" applyBorder="1" applyAlignment="1">
      <alignment vertical="center" wrapText="1"/>
    </xf>
    <xf numFmtId="0" fontId="3" fillId="5" borderId="24" xfId="0" applyFont="1" applyFill="1" applyBorder="1" applyAlignment="1">
      <alignment vertical="center"/>
    </xf>
    <xf numFmtId="0" fontId="3" fillId="5" borderId="25" xfId="0" applyFont="1" applyFill="1" applyBorder="1" applyAlignment="1">
      <alignment vertical="center"/>
    </xf>
    <xf numFmtId="0" fontId="3" fillId="0" borderId="23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5" borderId="23" xfId="0" applyFont="1" applyFill="1" applyBorder="1" applyAlignment="1">
      <alignment vertical="center" wrapText="1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left" vertical="center"/>
    </xf>
    <xf numFmtId="0" fontId="5" fillId="6" borderId="25" xfId="0" applyFont="1" applyFill="1" applyBorder="1" applyAlignment="1">
      <alignment horizontal="left" vertical="center"/>
    </xf>
    <xf numFmtId="0" fontId="5" fillId="6" borderId="24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3" fillId="6" borderId="23" xfId="0" applyFont="1" applyFill="1" applyBorder="1" applyAlignment="1">
      <alignment horizontal="left" vertical="center"/>
    </xf>
    <xf numFmtId="0" fontId="3" fillId="6" borderId="25" xfId="0" applyFont="1" applyFill="1" applyBorder="1" applyAlignment="1">
      <alignment horizontal="left" vertical="center"/>
    </xf>
    <xf numFmtId="0" fontId="4" fillId="6" borderId="23" xfId="0" applyFont="1" applyFill="1" applyBorder="1" applyAlignment="1">
      <alignment horizontal="left" vertical="center"/>
    </xf>
    <xf numFmtId="0" fontId="4" fillId="6" borderId="24" xfId="0" applyFont="1" applyFill="1" applyBorder="1" applyAlignment="1">
      <alignment horizontal="left" vertical="center"/>
    </xf>
    <xf numFmtId="0" fontId="4" fillId="6" borderId="25" xfId="0" applyFont="1" applyFill="1" applyBorder="1" applyAlignment="1">
      <alignment horizontal="left" vertical="center"/>
    </xf>
    <xf numFmtId="0" fontId="6" fillId="6" borderId="23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6" fillId="6" borderId="23" xfId="0" applyFont="1" applyFill="1" applyBorder="1" applyAlignment="1">
      <alignment vertical="center"/>
    </xf>
    <xf numFmtId="0" fontId="5" fillId="6" borderId="24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6" fillId="6" borderId="24" xfId="0" applyFont="1" applyFill="1" applyBorder="1" applyAlignment="1">
      <alignment horizontal="left" vertical="center"/>
    </xf>
    <xf numFmtId="0" fontId="6" fillId="6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/>
    </xf>
    <xf numFmtId="0" fontId="13" fillId="5" borderId="23" xfId="0" applyFont="1" applyFill="1" applyBorder="1" applyAlignment="1">
      <alignment horizontal="left" vertical="center" wrapText="1" indent="1"/>
    </xf>
    <xf numFmtId="0" fontId="13" fillId="5" borderId="24" xfId="0" applyFont="1" applyFill="1" applyBorder="1" applyAlignment="1">
      <alignment horizontal="left" vertical="center" indent="1"/>
    </xf>
    <xf numFmtId="0" fontId="13" fillId="5" borderId="25" xfId="0" applyFont="1" applyFill="1" applyBorder="1" applyAlignment="1">
      <alignment horizontal="left" vertical="center" indent="1"/>
    </xf>
    <xf numFmtId="0" fontId="8" fillId="5" borderId="23" xfId="0" quotePrefix="1" applyFont="1" applyFill="1" applyBorder="1" applyAlignment="1">
      <alignment horizontal="left" vertical="center" wrapText="1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15" fillId="4" borderId="2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0" xfId="0" applyFont="1"/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5" fillId="4" borderId="0" xfId="0" applyFont="1" applyFill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16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5" fillId="4" borderId="23" xfId="6" applyFont="1" applyFill="1" applyBorder="1" applyAlignment="1">
      <alignment horizontal="center" vertical="center"/>
    </xf>
    <xf numFmtId="0" fontId="15" fillId="4" borderId="24" xfId="6" applyFont="1" applyFill="1" applyBorder="1" applyAlignment="1">
      <alignment horizontal="center" vertical="center"/>
    </xf>
    <xf numFmtId="0" fontId="15" fillId="4" borderId="25" xfId="6" applyFont="1" applyFill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21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 wrapText="1"/>
    </xf>
    <xf numFmtId="0" fontId="19" fillId="0" borderId="24" xfId="0" quotePrefix="1" applyFont="1" applyBorder="1" applyAlignment="1">
      <alignment horizontal="left" vertical="center"/>
    </xf>
    <xf numFmtId="0" fontId="19" fillId="0" borderId="25" xfId="0" quotePrefix="1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1" xfId="0" quotePrefix="1" applyFont="1" applyBorder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9" fillId="0" borderId="4" xfId="0" quotePrefix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0" fontId="19" fillId="0" borderId="4" xfId="0" quotePrefix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4" xfId="0" applyFont="1" applyBorder="1" applyAlignment="1">
      <alignment horizontal="left" vertical="top"/>
    </xf>
    <xf numFmtId="0" fontId="19" fillId="0" borderId="0" xfId="0" quotePrefix="1" applyFont="1" applyAlignment="1">
      <alignment horizontal="left" vertical="top" wrapText="1"/>
    </xf>
    <xf numFmtId="0" fontId="19" fillId="0" borderId="4" xfId="0" quotePrefix="1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2" xfId="0" quotePrefix="1" applyFont="1" applyBorder="1" applyAlignment="1">
      <alignment horizontal="center" vertical="center"/>
    </xf>
    <xf numFmtId="0" fontId="19" fillId="0" borderId="3" xfId="0" quotePrefix="1" applyFont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0" fontId="19" fillId="0" borderId="2" xfId="0" quotePrefix="1" applyFont="1" applyBorder="1" applyAlignment="1">
      <alignment horizontal="left" vertical="center"/>
    </xf>
    <xf numFmtId="0" fontId="19" fillId="0" borderId="3" xfId="0" quotePrefix="1" applyFont="1" applyBorder="1" applyAlignment="1">
      <alignment horizontal="left" vertical="center"/>
    </xf>
    <xf numFmtId="0" fontId="19" fillId="0" borderId="5" xfId="0" quotePrefix="1" applyFont="1" applyBorder="1" applyAlignment="1">
      <alignment horizontal="left" vertical="center"/>
    </xf>
    <xf numFmtId="0" fontId="19" fillId="0" borderId="2" xfId="0" applyFont="1" applyBorder="1" applyAlignment="1">
      <alignment horizontal="left" vertical="top"/>
    </xf>
    <xf numFmtId="0" fontId="19" fillId="0" borderId="3" xfId="0" applyFont="1" applyBorder="1" applyAlignment="1">
      <alignment horizontal="left" vertical="top"/>
    </xf>
    <xf numFmtId="0" fontId="19" fillId="0" borderId="5" xfId="0" applyFont="1" applyBorder="1" applyAlignment="1">
      <alignment horizontal="left" vertical="top"/>
    </xf>
    <xf numFmtId="0" fontId="19" fillId="0" borderId="3" xfId="0" quotePrefix="1" applyFont="1" applyBorder="1" applyAlignment="1">
      <alignment horizontal="left" vertical="top" wrapText="1"/>
    </xf>
    <xf numFmtId="0" fontId="19" fillId="0" borderId="5" xfId="0" quotePrefix="1" applyFont="1" applyBorder="1" applyAlignment="1">
      <alignment horizontal="left" vertical="top" wrapText="1"/>
    </xf>
    <xf numFmtId="0" fontId="19" fillId="0" borderId="0" xfId="0" quotePrefix="1" applyFont="1" applyAlignment="1">
      <alignment horizontal="left" vertical="center"/>
    </xf>
    <xf numFmtId="0" fontId="19" fillId="6" borderId="23" xfId="0" applyFont="1" applyFill="1" applyBorder="1" applyAlignment="1">
      <alignment horizontal="left" vertical="center"/>
    </xf>
    <xf numFmtId="0" fontId="19" fillId="6" borderId="24" xfId="0" applyFont="1" applyFill="1" applyBorder="1" applyAlignment="1">
      <alignment horizontal="left" vertical="center"/>
    </xf>
    <xf numFmtId="0" fontId="19" fillId="6" borderId="25" xfId="0" applyFont="1" applyFill="1" applyBorder="1" applyAlignment="1">
      <alignment horizontal="left" vertical="center"/>
    </xf>
    <xf numFmtId="0" fontId="19" fillId="0" borderId="24" xfId="0" applyFont="1" applyBorder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19" fillId="0" borderId="2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9" fillId="0" borderId="16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21" xfId="0" applyFont="1" applyBorder="1" applyAlignment="1">
      <alignment vertical="center"/>
    </xf>
    <xf numFmtId="0" fontId="19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01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親子PLU一覧取得 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10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</xdr:row>
      <xdr:rowOff>0</xdr:rowOff>
    </xdr:from>
    <xdr:to>
      <xdr:col>8</xdr:col>
      <xdr:colOff>0</xdr:colOff>
      <xdr:row>45</xdr:row>
      <xdr:rowOff>168088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8496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31</xdr:row>
      <xdr:rowOff>179295</xdr:rowOff>
    </xdr:from>
    <xdr:to>
      <xdr:col>6</xdr:col>
      <xdr:colOff>1</xdr:colOff>
      <xdr:row>36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4" idx="2"/>
          <a:endCxn id="10" idx="0"/>
        </xdr:cNvCxnSpPr>
      </xdr:nvCxnSpPr>
      <xdr:spPr>
        <a:xfrm>
          <a:off x="1600200" y="6200775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</xdr:colOff>
      <xdr:row>44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0" idx="2"/>
          <a:endCxn id="11" idx="0"/>
        </xdr:cNvCxnSpPr>
      </xdr:nvCxnSpPr>
      <xdr:spPr>
        <a:xfrm flipH="1">
          <a:off x="1600200" y="7734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37</xdr:row>
      <xdr:rowOff>0</xdr:rowOff>
    </xdr:from>
    <xdr:to>
      <xdr:col>62</xdr:col>
      <xdr:colOff>0</xdr:colOff>
      <xdr:row>41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7162800"/>
          <a:ext cx="7200900" cy="762000"/>
        </a:xfrm>
        <a:prstGeom prst="borderCallout1">
          <a:avLst>
            <a:gd name="adj1" fmla="val 51887"/>
            <a:gd name="adj2" fmla="val 470"/>
            <a:gd name="adj3" fmla="val 18642"/>
            <a:gd name="adj4" fmla="val -983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シートAP0111の説明に従って、結果リストを作成する。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注意：子PLUリストは、リストの最初のアイテムを除いたステップ1から返されたリストである（最初のアイテムは親PLUであるため）</a:t>
          </a:r>
        </a:p>
      </xdr:txBody>
    </xdr:sp>
    <xdr:clientData/>
  </xdr:twoCellAnchor>
  <xdr:twoCellAnchor>
    <xdr:from>
      <xdr:col>3</xdr:col>
      <xdr:colOff>0</xdr:colOff>
      <xdr:row>27</xdr:row>
      <xdr:rowOff>179295</xdr:rowOff>
    </xdr:from>
    <xdr:to>
      <xdr:col>9</xdr:col>
      <xdr:colOff>0</xdr:colOff>
      <xdr:row>31</xdr:row>
      <xdr:rowOff>179295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54387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親商品情報取得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14</xdr:row>
      <xdr:rowOff>0</xdr:rowOff>
    </xdr:from>
    <xdr:to>
      <xdr:col>6</xdr:col>
      <xdr:colOff>1</xdr:colOff>
      <xdr:row>18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7" idx="2"/>
          <a:endCxn id="13" idx="0"/>
        </xdr:cNvCxnSpPr>
      </xdr:nvCxnSpPr>
      <xdr:spPr>
        <a:xfrm>
          <a:off x="1600200" y="27813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27</xdr:row>
      <xdr:rowOff>0</xdr:rowOff>
    </xdr:from>
    <xdr:to>
      <xdr:col>62</xdr:col>
      <xdr:colOff>0</xdr:colOff>
      <xdr:row>35</xdr:row>
      <xdr:rowOff>0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334500" y="5257800"/>
          <a:ext cx="7200900" cy="1524000"/>
        </a:xfrm>
        <a:prstGeom prst="borderCallout1">
          <a:avLst>
            <a:gd name="adj1" fmla="val 51887"/>
            <a:gd name="adj2" fmla="val 470"/>
            <a:gd name="adj3" fmla="val 34866"/>
            <a:gd name="adj4" fmla="val -976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ItemMasterテーブル内で、以下の条件を満たすレコードを取得する。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ItemMaster.CompanyCode =  User.CompanyCode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ItemMaster.StoreCode =  request.selected_store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ItemMaster.Code = request.PLU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TaxCodeMaster ON ItemMaster.TaxGroupCode = TaxCodeMaster.Code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MDHierarchyMaster md4 ON md4.Code = ItemMaster.ParentCode を実行して、対象商品の全ての階層の情報を最下層から最上層まで取得する。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9</xdr:col>
      <xdr:colOff>0</xdr:colOff>
      <xdr:row>40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6972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返却結果作成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12" name="吹き出し: 線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9334500" y="1638300"/>
          <a:ext cx="7200900" cy="1143000"/>
        </a:xfrm>
        <a:prstGeom prst="borderCallout1">
          <a:avLst>
            <a:gd name="adj1" fmla="val 51887"/>
            <a:gd name="adj2" fmla="val 470"/>
            <a:gd name="adj3" fmla="val 66974"/>
            <a:gd name="adj4" fmla="val -9654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ItemMasterテーブル内で、以下の条件を満たすレコード一覧を取得する。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ItemMaster.CompanyCode =  User.CompanyCode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ItemMaster.StoreCode =  request.selected_store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ItemMaster.MyCompanyCode = request.my_company_code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ORDER BY ItemMaster.RECORD_ID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18</xdr:row>
      <xdr:rowOff>11206</xdr:rowOff>
    </xdr:from>
    <xdr:to>
      <xdr:col>9</xdr:col>
      <xdr:colOff>0</xdr:colOff>
      <xdr:row>23</xdr:row>
      <xdr:rowOff>0</xdr:rowOff>
    </xdr:to>
    <xdr:sp macro="" textlink="" fLocksText="0">
      <xdr:nvSpPr>
        <xdr:cNvPr id="13" name="Flowchart: Decision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00100" y="3552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23</xdr:row>
      <xdr:rowOff>0</xdr:rowOff>
    </xdr:from>
    <xdr:to>
      <xdr:col>6</xdr:col>
      <xdr:colOff>1</xdr:colOff>
      <xdr:row>27</xdr:row>
      <xdr:rowOff>179295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3" idx="2"/>
          <a:endCxn id="4" idx="0"/>
        </xdr:cNvCxnSpPr>
      </xdr:nvCxnSpPr>
      <xdr:spPr>
        <a:xfrm>
          <a:off x="1600200" y="4495800"/>
          <a:ext cx="0" cy="942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0</xdr:rowOff>
    </xdr:from>
    <xdr:to>
      <xdr:col>7</xdr:col>
      <xdr:colOff>0</xdr:colOff>
      <xdr:row>24</xdr:row>
      <xdr:rowOff>0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333500" y="44958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20</xdr:row>
      <xdr:rowOff>0</xdr:rowOff>
    </xdr:from>
    <xdr:to>
      <xdr:col>11</xdr:col>
      <xdr:colOff>0</xdr:colOff>
      <xdr:row>21</xdr:row>
      <xdr:rowOff>0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400300" y="39243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11</xdr:col>
      <xdr:colOff>0</xdr:colOff>
      <xdr:row>20</xdr:row>
      <xdr:rowOff>95250</xdr:rowOff>
    </xdr:from>
    <xdr:to>
      <xdr:col>16</xdr:col>
      <xdr:colOff>1</xdr:colOff>
      <xdr:row>39</xdr:row>
      <xdr:rowOff>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2" idx="3"/>
          <a:endCxn id="26" idx="0"/>
        </xdr:cNvCxnSpPr>
      </xdr:nvCxnSpPr>
      <xdr:spPr>
        <a:xfrm>
          <a:off x="2933700" y="4019550"/>
          <a:ext cx="1333500" cy="3524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39</xdr:row>
      <xdr:rowOff>0</xdr:rowOff>
    </xdr:from>
    <xdr:to>
      <xdr:col>17</xdr:col>
      <xdr:colOff>0</xdr:colOff>
      <xdr:row>40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000500" y="7543800"/>
          <a:ext cx="533400" cy="190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1</xdr:colOff>
      <xdr:row>44</xdr:row>
      <xdr:rowOff>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6" idx="2"/>
          <a:endCxn id="11" idx="0"/>
        </xdr:cNvCxnSpPr>
      </xdr:nvCxnSpPr>
      <xdr:spPr>
        <a:xfrm rot="5400000">
          <a:off x="1600200" y="7734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18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34" name="吹き出し: 線 2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236324" y="3541059"/>
          <a:ext cx="6353735" cy="952500"/>
        </a:xfrm>
        <a:prstGeom prst="borderCallout1">
          <a:avLst>
            <a:gd name="adj1" fmla="val 51887"/>
            <a:gd name="adj2" fmla="val 470"/>
            <a:gd name="adj3" fmla="val 59131"/>
            <a:gd name="adj4" fmla="val -984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存在チェックを実行する。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▪存在している場合、「3. 親商品情報取得」ステップを実行する。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▪存在していない場合、以下のように返す。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response_code = 404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5" customWidth="1"/>
    <col min="61" max="16384" width="2.77734375" style="135"/>
  </cols>
  <sheetData>
    <row r="1" spans="1:63" ht="24.95" customHeight="1" x14ac:dyDescent="0.25">
      <c r="A1" s="129" t="s">
        <v>121</v>
      </c>
      <c r="B1" s="130"/>
      <c r="C1" s="130"/>
      <c r="D1" s="130"/>
      <c r="E1" s="130"/>
      <c r="F1" s="130"/>
      <c r="G1" s="130"/>
      <c r="H1" s="130"/>
      <c r="I1" s="130"/>
      <c r="J1" s="131"/>
      <c r="K1" s="129" t="s">
        <v>122</v>
      </c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1"/>
      <c r="W1" s="132" t="s">
        <v>123</v>
      </c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4"/>
      <c r="AP1" s="129" t="s">
        <v>124</v>
      </c>
      <c r="AQ1" s="130"/>
      <c r="AR1" s="130"/>
      <c r="AS1" s="131"/>
      <c r="AT1" s="129" t="s">
        <v>125</v>
      </c>
      <c r="AU1" s="130"/>
      <c r="AV1" s="130"/>
      <c r="AW1" s="130"/>
      <c r="AX1" s="131"/>
      <c r="AY1" s="129" t="s">
        <v>126</v>
      </c>
      <c r="AZ1" s="130"/>
      <c r="BA1" s="130"/>
      <c r="BB1" s="131"/>
      <c r="BC1" s="129" t="s">
        <v>127</v>
      </c>
      <c r="BD1" s="130"/>
      <c r="BE1" s="130"/>
      <c r="BF1" s="130"/>
      <c r="BG1" s="131"/>
      <c r="BH1" s="129" t="s">
        <v>128</v>
      </c>
      <c r="BI1" s="130"/>
      <c r="BJ1" s="130"/>
      <c r="BK1" s="131"/>
    </row>
    <row r="2" spans="1:63" ht="15" customHeight="1" x14ac:dyDescent="0.25">
      <c r="A2" s="1" t="s">
        <v>129</v>
      </c>
      <c r="B2" s="136"/>
      <c r="C2" s="136"/>
      <c r="D2" s="136"/>
      <c r="E2" s="136"/>
      <c r="F2" s="136"/>
      <c r="G2" s="136"/>
      <c r="H2" s="136"/>
      <c r="I2" s="136"/>
      <c r="J2" s="137"/>
      <c r="K2" s="138" t="s">
        <v>1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138" t="str">
        <f>改訂履歴!$H$11</f>
        <v>DuNT</v>
      </c>
      <c r="AQ2" s="136"/>
      <c r="AR2" s="136"/>
      <c r="AS2" s="137"/>
      <c r="AT2" s="142">
        <f>改訂履歴!$B$11</f>
        <v>45533</v>
      </c>
      <c r="AU2" s="143"/>
      <c r="AV2" s="143"/>
      <c r="AW2" s="143"/>
      <c r="AX2" s="144"/>
      <c r="AY2" s="138" t="str">
        <f>LOOKUP(2,1/(改訂履歴!H11:H30000&lt;&gt;""),改訂履歴!H11:H30000)</f>
        <v>DuNT</v>
      </c>
      <c r="AZ2" s="136"/>
      <c r="BA2" s="136"/>
      <c r="BB2" s="137"/>
      <c r="BC2" s="142">
        <f>LOOKUP(2,1/(改訂履歴!B11:B30000&lt;&gt;""),改訂履歴!B11:B30000)</f>
        <v>45533</v>
      </c>
      <c r="BD2" s="143"/>
      <c r="BE2" s="143"/>
      <c r="BF2" s="143"/>
      <c r="BG2" s="144"/>
      <c r="BH2" s="145">
        <f>LOOKUP(2,1/(改訂履歴!O11:O30000&lt;&gt;""),改訂履歴!O11:O30000)</f>
        <v>0.1</v>
      </c>
      <c r="BI2" s="146"/>
      <c r="BJ2" s="146"/>
      <c r="BK2" s="147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51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3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57"/>
      <c r="BI3" s="158"/>
      <c r="BJ3" s="158"/>
      <c r="BK3" s="159"/>
    </row>
    <row r="4" spans="1:63" ht="24.95" customHeight="1" x14ac:dyDescent="0.25">
      <c r="A4" s="129" t="s">
        <v>130</v>
      </c>
      <c r="B4" s="130"/>
      <c r="C4" s="130"/>
      <c r="D4" s="130"/>
      <c r="E4" s="130"/>
      <c r="F4" s="130"/>
      <c r="G4" s="131"/>
      <c r="H4" s="160" t="s">
        <v>33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2"/>
      <c r="U4" s="129" t="s">
        <v>131</v>
      </c>
      <c r="V4" s="130"/>
      <c r="W4" s="130"/>
      <c r="X4" s="130"/>
      <c r="Y4" s="131"/>
      <c r="Z4" s="56" t="s">
        <v>132</v>
      </c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2"/>
      <c r="AP4" s="160" t="str">
        <f t="array" aca="1" ref="AP4" ca="1">RIGHT(CELL("filename",$A$1),LEN(CELL("filename",$A$1))-FIND("]",CELL("filename",$A$1)))</f>
        <v>表紙</v>
      </c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2"/>
    </row>
    <row r="5" spans="1:63" ht="5.0999999999999996" customHeight="1" x14ac:dyDescent="0.25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4"/>
      <c r="BF5" s="164"/>
      <c r="BG5" s="164"/>
      <c r="BH5" s="164"/>
      <c r="BI5" s="164"/>
      <c r="BJ5" s="164"/>
      <c r="BK5" s="165"/>
    </row>
    <row r="6" spans="1:63" ht="15" customHeight="1" x14ac:dyDescent="0.25">
      <c r="A6" s="166"/>
      <c r="BK6" s="167"/>
    </row>
    <row r="7" spans="1:63" ht="15" customHeight="1" x14ac:dyDescent="0.25">
      <c r="A7" s="166"/>
      <c r="BK7" s="167"/>
    </row>
    <row r="8" spans="1:63" ht="15" customHeight="1" x14ac:dyDescent="0.25">
      <c r="A8" s="166"/>
      <c r="BK8" s="167"/>
    </row>
    <row r="9" spans="1:63" ht="15" customHeight="1" x14ac:dyDescent="0.25">
      <c r="A9" s="166"/>
      <c r="BK9" s="167"/>
    </row>
    <row r="10" spans="1:63" ht="15" customHeight="1" x14ac:dyDescent="0.25">
      <c r="A10" s="166"/>
      <c r="BK10" s="167"/>
    </row>
    <row r="11" spans="1:63" ht="15" customHeight="1" x14ac:dyDescent="0.25">
      <c r="A11" s="166"/>
      <c r="BK11" s="167"/>
    </row>
    <row r="12" spans="1:63" ht="15" customHeight="1" x14ac:dyDescent="0.25">
      <c r="A12" s="166"/>
      <c r="BK12" s="167"/>
    </row>
    <row r="13" spans="1:63" ht="15" customHeight="1" x14ac:dyDescent="0.25">
      <c r="A13" s="166"/>
      <c r="BK13" s="167"/>
    </row>
    <row r="14" spans="1:63" ht="15" customHeight="1" thickBot="1" x14ac:dyDescent="0.3">
      <c r="A14" s="166"/>
      <c r="BK14" s="167"/>
    </row>
    <row r="15" spans="1:63" ht="15" customHeight="1" thickTop="1" x14ac:dyDescent="0.25">
      <c r="A15" s="166"/>
      <c r="K15" s="168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70"/>
      <c r="BK15" s="167"/>
    </row>
    <row r="16" spans="1:63" ht="15" customHeight="1" x14ac:dyDescent="0.25">
      <c r="A16" s="166"/>
      <c r="K16" s="171"/>
      <c r="L16" s="172" t="s">
        <v>133</v>
      </c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  <c r="AN16" s="173"/>
      <c r="AO16" s="173"/>
      <c r="AP16" s="173"/>
      <c r="AQ16" s="173"/>
      <c r="AR16" s="173"/>
      <c r="AS16" s="173"/>
      <c r="AT16" s="173"/>
      <c r="AU16" s="173"/>
      <c r="AV16" s="173"/>
      <c r="AW16" s="173"/>
      <c r="AX16" s="173"/>
      <c r="AY16" s="173"/>
      <c r="AZ16" s="173"/>
      <c r="BA16" s="174"/>
      <c r="BK16" s="167"/>
    </row>
    <row r="17" spans="1:63" ht="15" customHeight="1" x14ac:dyDescent="0.25">
      <c r="A17" s="166"/>
      <c r="K17" s="171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3"/>
      <c r="AZ17" s="173"/>
      <c r="BA17" s="174"/>
      <c r="BK17" s="167"/>
    </row>
    <row r="18" spans="1:63" ht="15" customHeight="1" x14ac:dyDescent="0.25">
      <c r="A18" s="166"/>
      <c r="K18" s="171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3"/>
      <c r="AZ18" s="173"/>
      <c r="BA18" s="174"/>
      <c r="BK18" s="167"/>
    </row>
    <row r="19" spans="1:63" ht="15" customHeight="1" x14ac:dyDescent="0.25">
      <c r="A19" s="166"/>
      <c r="K19" s="171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4"/>
      <c r="BK19" s="167"/>
    </row>
    <row r="20" spans="1:63" ht="15" customHeight="1" x14ac:dyDescent="0.25">
      <c r="A20" s="166"/>
      <c r="K20" s="171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3"/>
      <c r="AZ20" s="173"/>
      <c r="BA20" s="174"/>
      <c r="BK20" s="167"/>
    </row>
    <row r="21" spans="1:63" ht="15" customHeight="1" x14ac:dyDescent="0.25">
      <c r="A21" s="166"/>
      <c r="K21" s="171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4"/>
      <c r="BK21" s="167"/>
    </row>
    <row r="22" spans="1:63" ht="15" customHeight="1" thickBot="1" x14ac:dyDescent="0.3">
      <c r="A22" s="166"/>
      <c r="K22" s="171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  <c r="AU22" s="175"/>
      <c r="AV22" s="175"/>
      <c r="AW22" s="175"/>
      <c r="AX22" s="175"/>
      <c r="AY22" s="175"/>
      <c r="AZ22" s="175"/>
      <c r="BA22" s="174"/>
      <c r="BK22" s="167"/>
    </row>
    <row r="23" spans="1:63" ht="15" customHeight="1" x14ac:dyDescent="0.25">
      <c r="A23" s="166"/>
      <c r="K23" s="171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4"/>
      <c r="BK23" s="167"/>
    </row>
    <row r="24" spans="1:63" ht="15" customHeight="1" x14ac:dyDescent="0.25">
      <c r="A24" s="166"/>
      <c r="K24" s="171"/>
      <c r="L24" s="173" t="str">
        <f>K2&amp;"/"&amp;H4&amp;"/"&amp;Z4</f>
        <v>POSサーバ/AP0101/API設計書</v>
      </c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4"/>
      <c r="BK24" s="167"/>
    </row>
    <row r="25" spans="1:63" ht="15" customHeight="1" x14ac:dyDescent="0.25">
      <c r="A25" s="166"/>
      <c r="K25" s="171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173"/>
      <c r="BA25" s="174"/>
      <c r="BK25" s="167"/>
    </row>
    <row r="26" spans="1:63" ht="15" customHeight="1" x14ac:dyDescent="0.25">
      <c r="A26" s="166"/>
      <c r="K26" s="171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3"/>
      <c r="AZ26" s="173"/>
      <c r="BA26" s="174"/>
      <c r="BK26" s="167"/>
    </row>
    <row r="27" spans="1:63" ht="15" customHeight="1" x14ac:dyDescent="0.25">
      <c r="A27" s="166"/>
      <c r="K27" s="171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3"/>
      <c r="AZ27" s="173"/>
      <c r="BA27" s="174"/>
      <c r="BK27" s="167"/>
    </row>
    <row r="28" spans="1:63" ht="15" customHeight="1" x14ac:dyDescent="0.25">
      <c r="A28" s="166"/>
      <c r="K28" s="171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  <c r="AN28" s="173"/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173"/>
      <c r="AZ28" s="173"/>
      <c r="BA28" s="174"/>
      <c r="BK28" s="167"/>
    </row>
    <row r="29" spans="1:63" ht="15" customHeight="1" x14ac:dyDescent="0.25">
      <c r="A29" s="166"/>
      <c r="K29" s="171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173"/>
      <c r="AO29" s="173"/>
      <c r="AP29" s="173"/>
      <c r="AQ29" s="173"/>
      <c r="AR29" s="173"/>
      <c r="AS29" s="173"/>
      <c r="AT29" s="173"/>
      <c r="AU29" s="173"/>
      <c r="AV29" s="173"/>
      <c r="AW29" s="173"/>
      <c r="AX29" s="173"/>
      <c r="AY29" s="173"/>
      <c r="AZ29" s="173"/>
      <c r="BA29" s="174"/>
      <c r="BK29" s="167"/>
    </row>
    <row r="30" spans="1:63" ht="15" customHeight="1" x14ac:dyDescent="0.25">
      <c r="A30" s="166"/>
      <c r="K30" s="171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173"/>
      <c r="BA30" s="174"/>
      <c r="BK30" s="167"/>
    </row>
    <row r="31" spans="1:63" ht="15" customHeight="1" x14ac:dyDescent="0.25">
      <c r="A31" s="166"/>
      <c r="K31" s="171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173"/>
      <c r="AU31" s="173"/>
      <c r="AV31" s="173"/>
      <c r="AW31" s="173"/>
      <c r="AX31" s="173"/>
      <c r="AY31" s="173"/>
      <c r="AZ31" s="173"/>
      <c r="BA31" s="174"/>
      <c r="BK31" s="167"/>
    </row>
    <row r="32" spans="1:63" ht="15" customHeight="1" x14ac:dyDescent="0.25">
      <c r="A32" s="166"/>
      <c r="K32" s="171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  <c r="AM32" s="173"/>
      <c r="AN32" s="173"/>
      <c r="AO32" s="173"/>
      <c r="AP32" s="173"/>
      <c r="AQ32" s="173"/>
      <c r="AR32" s="173"/>
      <c r="AS32" s="173"/>
      <c r="AT32" s="173"/>
      <c r="AU32" s="173"/>
      <c r="AV32" s="173"/>
      <c r="AW32" s="173"/>
      <c r="AX32" s="173"/>
      <c r="AY32" s="173"/>
      <c r="AZ32" s="173"/>
      <c r="BA32" s="174"/>
      <c r="BK32" s="167"/>
    </row>
    <row r="33" spans="1:63" ht="15" customHeight="1" x14ac:dyDescent="0.25">
      <c r="A33" s="166"/>
      <c r="K33" s="171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  <c r="AO33" s="173"/>
      <c r="AP33" s="173"/>
      <c r="AQ33" s="173"/>
      <c r="AR33" s="173"/>
      <c r="AS33" s="173"/>
      <c r="AT33" s="173"/>
      <c r="AU33" s="173"/>
      <c r="AV33" s="173"/>
      <c r="AW33" s="173"/>
      <c r="AX33" s="173"/>
      <c r="AY33" s="173"/>
      <c r="AZ33" s="173"/>
      <c r="BA33" s="174"/>
      <c r="BK33" s="167"/>
    </row>
    <row r="34" spans="1:63" ht="15" customHeight="1" x14ac:dyDescent="0.25">
      <c r="A34" s="166"/>
      <c r="K34" s="171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  <c r="AM34" s="173"/>
      <c r="AN34" s="173"/>
      <c r="AO34" s="173"/>
      <c r="AP34" s="173"/>
      <c r="AQ34" s="173"/>
      <c r="AR34" s="173"/>
      <c r="AS34" s="173"/>
      <c r="AT34" s="173"/>
      <c r="AU34" s="173"/>
      <c r="AV34" s="173"/>
      <c r="AW34" s="173"/>
      <c r="AX34" s="173"/>
      <c r="AY34" s="173"/>
      <c r="AZ34" s="173"/>
      <c r="BA34" s="174"/>
      <c r="BK34" s="167"/>
    </row>
    <row r="35" spans="1:63" ht="15" customHeight="1" x14ac:dyDescent="0.25">
      <c r="A35" s="166"/>
      <c r="K35" s="171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  <c r="AY35" s="173"/>
      <c r="AZ35" s="173"/>
      <c r="BA35" s="174"/>
      <c r="BK35" s="167"/>
    </row>
    <row r="36" spans="1:63" ht="15" customHeight="1" x14ac:dyDescent="0.25">
      <c r="A36" s="166"/>
      <c r="K36" s="171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3"/>
      <c r="AQ36" s="173"/>
      <c r="AR36" s="173"/>
      <c r="AS36" s="173"/>
      <c r="AT36" s="173"/>
      <c r="AU36" s="173"/>
      <c r="AV36" s="173"/>
      <c r="AW36" s="173"/>
      <c r="AX36" s="173"/>
      <c r="AY36" s="173"/>
      <c r="AZ36" s="173"/>
      <c r="BA36" s="174"/>
      <c r="BK36" s="167"/>
    </row>
    <row r="37" spans="1:63" ht="15" customHeight="1" thickBot="1" x14ac:dyDescent="0.3">
      <c r="A37" s="166"/>
      <c r="K37" s="177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9"/>
      <c r="BK37" s="167"/>
    </row>
    <row r="38" spans="1:63" ht="15" customHeight="1" thickTop="1" x14ac:dyDescent="0.25">
      <c r="A38" s="166"/>
      <c r="BK38" s="167"/>
    </row>
    <row r="39" spans="1:63" ht="15" customHeight="1" x14ac:dyDescent="0.25">
      <c r="A39" s="166"/>
      <c r="BK39" s="167"/>
    </row>
    <row r="40" spans="1:63" ht="15" customHeight="1" x14ac:dyDescent="0.25">
      <c r="A40" s="166"/>
      <c r="BK40" s="167"/>
    </row>
    <row r="41" spans="1:63" ht="15" customHeight="1" x14ac:dyDescent="0.25">
      <c r="A41" s="166"/>
      <c r="BK41" s="167"/>
    </row>
    <row r="42" spans="1:63" ht="15" customHeight="1" x14ac:dyDescent="0.25">
      <c r="A42" s="166"/>
      <c r="BK42" s="167"/>
    </row>
    <row r="43" spans="1:63" ht="15" customHeight="1" x14ac:dyDescent="0.25">
      <c r="A43" s="166"/>
      <c r="BK43" s="167"/>
    </row>
    <row r="44" spans="1:63" ht="15" customHeight="1" x14ac:dyDescent="0.25">
      <c r="A44" s="166"/>
      <c r="Q44" s="180" t="s">
        <v>134</v>
      </c>
      <c r="R44" s="181"/>
      <c r="S44" s="181"/>
      <c r="T44" s="181"/>
      <c r="U44" s="181"/>
      <c r="V44" s="181"/>
      <c r="W44" s="181"/>
      <c r="X44" s="181"/>
      <c r="Y44" s="181"/>
      <c r="Z44" s="182"/>
      <c r="AA44" s="180" t="s">
        <v>135</v>
      </c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2"/>
      <c r="AQ44" s="180" t="s">
        <v>128</v>
      </c>
      <c r="AR44" s="181"/>
      <c r="AS44" s="181"/>
      <c r="AT44" s="181"/>
      <c r="AU44" s="182"/>
      <c r="BK44" s="167"/>
    </row>
    <row r="45" spans="1:63" ht="15" customHeight="1" x14ac:dyDescent="0.25">
      <c r="A45" s="166"/>
      <c r="Q45" s="183"/>
      <c r="R45" s="184"/>
      <c r="S45" s="184"/>
      <c r="T45" s="184"/>
      <c r="U45" s="184"/>
      <c r="V45" s="184"/>
      <c r="W45" s="184"/>
      <c r="X45" s="184"/>
      <c r="Y45" s="184"/>
      <c r="Z45" s="185"/>
      <c r="AA45" s="183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5"/>
      <c r="AQ45" s="183"/>
      <c r="AR45" s="184"/>
      <c r="AS45" s="184"/>
      <c r="AT45" s="184"/>
      <c r="AU45" s="185"/>
      <c r="BK45" s="167"/>
    </row>
    <row r="46" spans="1:63" ht="15" customHeight="1" x14ac:dyDescent="0.25">
      <c r="A46" s="166"/>
      <c r="Q46" s="138"/>
      <c r="R46" s="136"/>
      <c r="S46" s="136"/>
      <c r="T46" s="136"/>
      <c r="U46" s="136"/>
      <c r="V46" s="136"/>
      <c r="W46" s="136"/>
      <c r="X46" s="136"/>
      <c r="Y46" s="136"/>
      <c r="Z46" s="137"/>
      <c r="AA46" s="138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7"/>
      <c r="AQ46" s="138"/>
      <c r="AR46" s="136"/>
      <c r="AS46" s="136"/>
      <c r="AT46" s="136"/>
      <c r="AU46" s="137"/>
      <c r="BK46" s="167"/>
    </row>
    <row r="47" spans="1:63" ht="15" customHeight="1" x14ac:dyDescent="0.25">
      <c r="A47" s="166"/>
      <c r="Q47" s="186"/>
      <c r="R47" s="187"/>
      <c r="S47" s="187"/>
      <c r="T47" s="187"/>
      <c r="U47" s="187"/>
      <c r="V47" s="187"/>
      <c r="W47" s="187"/>
      <c r="X47" s="187"/>
      <c r="Y47" s="187"/>
      <c r="Z47" s="188"/>
      <c r="AA47" s="186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8"/>
      <c r="AQ47" s="186"/>
      <c r="AR47" s="187"/>
      <c r="AS47" s="187"/>
      <c r="AT47" s="187"/>
      <c r="AU47" s="188"/>
      <c r="BK47" s="167"/>
    </row>
    <row r="48" spans="1:63" ht="15" customHeight="1" x14ac:dyDescent="0.25">
      <c r="A48" s="166"/>
      <c r="Q48" s="186"/>
      <c r="R48" s="187"/>
      <c r="S48" s="187"/>
      <c r="T48" s="187"/>
      <c r="U48" s="187"/>
      <c r="V48" s="187"/>
      <c r="W48" s="187"/>
      <c r="X48" s="187"/>
      <c r="Y48" s="187"/>
      <c r="Z48" s="188"/>
      <c r="AA48" s="186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8"/>
      <c r="AQ48" s="186"/>
      <c r="AR48" s="187"/>
      <c r="AS48" s="187"/>
      <c r="AT48" s="187"/>
      <c r="AU48" s="188"/>
      <c r="BK48" s="167"/>
    </row>
    <row r="49" spans="1:63" ht="15" customHeight="1" x14ac:dyDescent="0.25">
      <c r="A49" s="166"/>
      <c r="Q49" s="148"/>
      <c r="R49" s="149"/>
      <c r="S49" s="149"/>
      <c r="T49" s="149"/>
      <c r="U49" s="149"/>
      <c r="V49" s="149"/>
      <c r="W49" s="149"/>
      <c r="X49" s="149"/>
      <c r="Y49" s="149"/>
      <c r="Z49" s="150"/>
      <c r="AA49" s="148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50"/>
      <c r="AQ49" s="148"/>
      <c r="AR49" s="149"/>
      <c r="AS49" s="149"/>
      <c r="AT49" s="149"/>
      <c r="AU49" s="150"/>
      <c r="BK49" s="167"/>
    </row>
    <row r="50" spans="1:63" ht="15" customHeight="1" x14ac:dyDescent="0.25">
      <c r="A50" s="166"/>
      <c r="BK50" s="167"/>
    </row>
    <row r="51" spans="1:63" ht="15" customHeight="1" x14ac:dyDescent="0.25">
      <c r="A51" s="166"/>
      <c r="BK51" s="167"/>
    </row>
    <row r="52" spans="1:63" ht="15" customHeight="1" x14ac:dyDescent="0.25">
      <c r="A52" s="166"/>
      <c r="BK52" s="167"/>
    </row>
    <row r="53" spans="1:63" ht="15" customHeight="1" x14ac:dyDescent="0.25">
      <c r="A53" s="166"/>
      <c r="BK53" s="167"/>
    </row>
    <row r="54" spans="1:63" ht="15" customHeight="1" x14ac:dyDescent="0.25">
      <c r="A54" s="166"/>
      <c r="BK54" s="167"/>
    </row>
    <row r="55" spans="1:63" ht="15" customHeight="1" x14ac:dyDescent="0.25">
      <c r="A55" s="163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35" customWidth="1"/>
    <col min="61" max="16384" width="2.77734375" style="135"/>
  </cols>
  <sheetData>
    <row r="1" spans="1:63" ht="24.95" customHeight="1" x14ac:dyDescent="0.25">
      <c r="A1" s="129" t="s">
        <v>121</v>
      </c>
      <c r="B1" s="130"/>
      <c r="C1" s="130"/>
      <c r="D1" s="130"/>
      <c r="E1" s="130"/>
      <c r="F1" s="130"/>
      <c r="G1" s="130"/>
      <c r="H1" s="130"/>
      <c r="I1" s="130"/>
      <c r="J1" s="131"/>
      <c r="K1" s="129" t="s">
        <v>122</v>
      </c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1"/>
      <c r="W1" s="189" t="str">
        <f>IF(表紙!W1="","",表紙!W1)</f>
        <v>詳細設計書</v>
      </c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4"/>
      <c r="AP1" s="129" t="s">
        <v>124</v>
      </c>
      <c r="AQ1" s="130"/>
      <c r="AR1" s="130"/>
      <c r="AS1" s="131"/>
      <c r="AT1" s="129" t="s">
        <v>125</v>
      </c>
      <c r="AU1" s="130"/>
      <c r="AV1" s="130"/>
      <c r="AW1" s="130"/>
      <c r="AX1" s="131"/>
      <c r="AY1" s="129" t="s">
        <v>126</v>
      </c>
      <c r="AZ1" s="130"/>
      <c r="BA1" s="130"/>
      <c r="BB1" s="131"/>
      <c r="BC1" s="129" t="s">
        <v>127</v>
      </c>
      <c r="BD1" s="130"/>
      <c r="BE1" s="130"/>
      <c r="BF1" s="130"/>
      <c r="BG1" s="131"/>
      <c r="BH1" s="129" t="s">
        <v>128</v>
      </c>
      <c r="BI1" s="130"/>
      <c r="BJ1" s="130"/>
      <c r="BK1" s="131"/>
    </row>
    <row r="2" spans="1:63" ht="15" customHeight="1" x14ac:dyDescent="0.25">
      <c r="A2" s="138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8" t="str">
        <f>IF(表紙!K2="","",表紙!K2)</f>
        <v>POSサーバ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138" t="str">
        <f>IF(表紙!AP2="","",表紙!AP2)</f>
        <v>DuNT</v>
      </c>
      <c r="AQ2" s="136"/>
      <c r="AR2" s="136"/>
      <c r="AS2" s="137"/>
      <c r="AT2" s="142">
        <f>IF(表紙!AT2="","",表紙!AT2)</f>
        <v>45533</v>
      </c>
      <c r="AU2" s="143"/>
      <c r="AV2" s="143"/>
      <c r="AW2" s="143"/>
      <c r="AX2" s="144"/>
      <c r="AY2" s="138" t="str">
        <f>IF(表紙!AY2="","",表紙!AY2)</f>
        <v>DuNT</v>
      </c>
      <c r="AZ2" s="136"/>
      <c r="BA2" s="136"/>
      <c r="BB2" s="137"/>
      <c r="BC2" s="142">
        <f>IF(表紙!BC2="","",表紙!BC2)</f>
        <v>45533</v>
      </c>
      <c r="BD2" s="143"/>
      <c r="BE2" s="143"/>
      <c r="BF2" s="143"/>
      <c r="BG2" s="144"/>
      <c r="BH2" s="138">
        <f>IF(表紙!BH2="","",表紙!BH2)</f>
        <v>0.1</v>
      </c>
      <c r="BI2" s="136"/>
      <c r="BJ2" s="136"/>
      <c r="BK2" s="137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51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3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48"/>
      <c r="BI3" s="149"/>
      <c r="BJ3" s="149"/>
      <c r="BK3" s="150"/>
    </row>
    <row r="4" spans="1:63" ht="24.95" customHeight="1" x14ac:dyDescent="0.25">
      <c r="A4" s="129" t="s">
        <v>136</v>
      </c>
      <c r="B4" s="130"/>
      <c r="C4" s="130"/>
      <c r="D4" s="130"/>
      <c r="E4" s="130"/>
      <c r="F4" s="130"/>
      <c r="G4" s="131"/>
      <c r="H4" s="160" t="str">
        <f>IF(表紙!H4="","",表紙!H4)</f>
        <v>AP0101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2"/>
      <c r="U4" s="129" t="s">
        <v>131</v>
      </c>
      <c r="V4" s="130"/>
      <c r="W4" s="130"/>
      <c r="X4" s="130"/>
      <c r="Y4" s="131"/>
      <c r="Z4" s="160" t="str">
        <f>IF(表紙!Z4="","",表紙!Z4)</f>
        <v>API設計書</v>
      </c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2"/>
      <c r="AP4" s="160" t="str">
        <f t="array" aca="1" ref="AP4" ca="1">RIGHT(CELL("filename",$A$1),LEN(CELL("filename",$A$1))-FIND("]",CELL("filename",$A$1)))</f>
        <v>改訂履歴</v>
      </c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2"/>
    </row>
    <row r="5" spans="1:63" ht="5.0999999999999996" customHeight="1" x14ac:dyDescent="0.25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4"/>
      <c r="BF5" s="164"/>
      <c r="BG5" s="164"/>
      <c r="BH5" s="164"/>
      <c r="BI5" s="164"/>
      <c r="BJ5" s="164"/>
      <c r="BK5" s="165"/>
    </row>
    <row r="6" spans="1:63" ht="15" customHeight="1" x14ac:dyDescent="0.25">
      <c r="A6" s="166"/>
      <c r="BK6" s="167"/>
    </row>
    <row r="7" spans="1:63" ht="15" customHeight="1" x14ac:dyDescent="0.25">
      <c r="A7" s="166"/>
      <c r="BK7" s="167"/>
    </row>
    <row r="8" spans="1:63" ht="15" customHeight="1" x14ac:dyDescent="0.25">
      <c r="A8" s="166"/>
      <c r="B8" s="135" t="s">
        <v>0</v>
      </c>
      <c r="BK8" s="167"/>
    </row>
    <row r="9" spans="1:63" ht="15" customHeight="1" x14ac:dyDescent="0.25">
      <c r="A9" s="166"/>
      <c r="BK9" s="167"/>
    </row>
    <row r="10" spans="1:63" ht="15" customHeight="1" x14ac:dyDescent="0.25">
      <c r="A10" s="166"/>
      <c r="B10" s="190" t="s">
        <v>127</v>
      </c>
      <c r="C10" s="190"/>
      <c r="D10" s="190"/>
      <c r="E10" s="190"/>
      <c r="F10" s="190"/>
      <c r="G10" s="190"/>
      <c r="H10" s="190" t="s">
        <v>126</v>
      </c>
      <c r="I10" s="190"/>
      <c r="J10" s="190"/>
      <c r="K10" s="190"/>
      <c r="L10" s="190"/>
      <c r="M10" s="190"/>
      <c r="N10" s="190"/>
      <c r="O10" s="190" t="s">
        <v>128</v>
      </c>
      <c r="P10" s="190"/>
      <c r="Q10" s="190"/>
      <c r="R10" s="190"/>
      <c r="S10" s="190" t="s">
        <v>137</v>
      </c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 t="s">
        <v>134</v>
      </c>
      <c r="AY10" s="190"/>
      <c r="AZ10" s="190"/>
      <c r="BA10" s="190"/>
      <c r="BB10" s="190"/>
      <c r="BC10" s="190"/>
      <c r="BD10" s="190" t="s">
        <v>135</v>
      </c>
      <c r="BE10" s="190"/>
      <c r="BF10" s="190"/>
      <c r="BG10" s="190"/>
      <c r="BH10" s="190"/>
      <c r="BI10" s="190"/>
      <c r="BJ10" s="190"/>
      <c r="BK10" s="167"/>
    </row>
    <row r="11" spans="1:63" ht="15" customHeight="1" x14ac:dyDescent="0.25">
      <c r="A11" s="166"/>
      <c r="B11" s="142">
        <v>45533</v>
      </c>
      <c r="C11" s="136"/>
      <c r="D11" s="136"/>
      <c r="E11" s="136"/>
      <c r="F11" s="136"/>
      <c r="G11" s="137"/>
      <c r="H11" s="1" t="s">
        <v>138</v>
      </c>
      <c r="I11" s="136"/>
      <c r="J11" s="136"/>
      <c r="K11" s="136"/>
      <c r="L11" s="136"/>
      <c r="M11" s="136"/>
      <c r="N11" s="137"/>
      <c r="O11" s="138">
        <v>0.1</v>
      </c>
      <c r="P11" s="136"/>
      <c r="Q11" s="136"/>
      <c r="R11" s="136"/>
      <c r="S11" s="191" t="s">
        <v>2</v>
      </c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3"/>
      <c r="AX11" s="194"/>
      <c r="AY11" s="194"/>
      <c r="AZ11" s="194"/>
      <c r="BA11" s="194"/>
      <c r="BB11" s="194"/>
      <c r="BC11" s="195"/>
      <c r="BD11" s="196"/>
      <c r="BE11" s="194"/>
      <c r="BF11" s="194"/>
      <c r="BG11" s="194"/>
      <c r="BH11" s="194"/>
      <c r="BI11" s="194"/>
      <c r="BJ11" s="195"/>
      <c r="BK11" s="167"/>
    </row>
    <row r="12" spans="1:63" ht="15" customHeight="1" x14ac:dyDescent="0.25">
      <c r="A12" s="166"/>
      <c r="B12" s="148"/>
      <c r="C12" s="149"/>
      <c r="D12" s="149"/>
      <c r="E12" s="149"/>
      <c r="F12" s="149"/>
      <c r="G12" s="150"/>
      <c r="H12" s="148"/>
      <c r="I12" s="149"/>
      <c r="J12" s="149"/>
      <c r="K12" s="149"/>
      <c r="L12" s="149"/>
      <c r="M12" s="149"/>
      <c r="N12" s="150"/>
      <c r="O12" s="148"/>
      <c r="P12" s="149"/>
      <c r="Q12" s="149"/>
      <c r="R12" s="149"/>
      <c r="S12" s="197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9"/>
      <c r="AX12" s="200"/>
      <c r="AY12" s="200"/>
      <c r="AZ12" s="200"/>
      <c r="BA12" s="200"/>
      <c r="BB12" s="200"/>
      <c r="BC12" s="201"/>
      <c r="BD12" s="202"/>
      <c r="BE12" s="200"/>
      <c r="BF12" s="200"/>
      <c r="BG12" s="200"/>
      <c r="BH12" s="200"/>
      <c r="BI12" s="200"/>
      <c r="BJ12" s="201"/>
      <c r="BK12" s="167"/>
    </row>
    <row r="13" spans="1:63" ht="15" customHeight="1" x14ac:dyDescent="0.25">
      <c r="A13" s="166"/>
      <c r="B13" s="142"/>
      <c r="C13" s="136"/>
      <c r="D13" s="136"/>
      <c r="E13" s="136"/>
      <c r="F13" s="136"/>
      <c r="G13" s="137"/>
      <c r="H13" s="138"/>
      <c r="I13" s="136"/>
      <c r="J13" s="136"/>
      <c r="K13" s="136"/>
      <c r="L13" s="136"/>
      <c r="M13" s="136"/>
      <c r="N13" s="137"/>
      <c r="O13" s="138"/>
      <c r="P13" s="136"/>
      <c r="Q13" s="136"/>
      <c r="R13" s="136"/>
      <c r="S13" s="191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3"/>
      <c r="AX13" s="194"/>
      <c r="AY13" s="194"/>
      <c r="AZ13" s="194"/>
      <c r="BA13" s="194"/>
      <c r="BB13" s="194"/>
      <c r="BC13" s="195"/>
      <c r="BD13" s="196"/>
      <c r="BE13" s="194"/>
      <c r="BF13" s="194"/>
      <c r="BG13" s="194"/>
      <c r="BH13" s="194"/>
      <c r="BI13" s="194"/>
      <c r="BJ13" s="195"/>
      <c r="BK13" s="167"/>
    </row>
    <row r="14" spans="1:63" ht="15" customHeight="1" x14ac:dyDescent="0.25">
      <c r="A14" s="166"/>
      <c r="B14" s="148"/>
      <c r="C14" s="149"/>
      <c r="D14" s="149"/>
      <c r="E14" s="149"/>
      <c r="F14" s="149"/>
      <c r="G14" s="150"/>
      <c r="H14" s="148"/>
      <c r="I14" s="149"/>
      <c r="J14" s="149"/>
      <c r="K14" s="149"/>
      <c r="L14" s="149"/>
      <c r="M14" s="149"/>
      <c r="N14" s="150"/>
      <c r="O14" s="148"/>
      <c r="P14" s="149"/>
      <c r="Q14" s="149"/>
      <c r="R14" s="149"/>
      <c r="S14" s="197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  <c r="AS14" s="198"/>
      <c r="AT14" s="198"/>
      <c r="AU14" s="198"/>
      <c r="AV14" s="198"/>
      <c r="AW14" s="199"/>
      <c r="AX14" s="200"/>
      <c r="AY14" s="200"/>
      <c r="AZ14" s="200"/>
      <c r="BA14" s="200"/>
      <c r="BB14" s="200"/>
      <c r="BC14" s="201"/>
      <c r="BD14" s="202"/>
      <c r="BE14" s="200"/>
      <c r="BF14" s="200"/>
      <c r="BG14" s="200"/>
      <c r="BH14" s="200"/>
      <c r="BI14" s="200"/>
      <c r="BJ14" s="201"/>
      <c r="BK14" s="167"/>
    </row>
    <row r="15" spans="1:63" ht="15" customHeight="1" x14ac:dyDescent="0.25">
      <c r="A15" s="166"/>
      <c r="B15" s="138"/>
      <c r="C15" s="136"/>
      <c r="D15" s="136"/>
      <c r="E15" s="136"/>
      <c r="F15" s="136"/>
      <c r="G15" s="137"/>
      <c r="H15" s="138"/>
      <c r="I15" s="136"/>
      <c r="J15" s="136"/>
      <c r="K15" s="136"/>
      <c r="L15" s="136"/>
      <c r="M15" s="136"/>
      <c r="N15" s="137"/>
      <c r="O15" s="138"/>
      <c r="P15" s="136"/>
      <c r="Q15" s="136"/>
      <c r="R15" s="136"/>
      <c r="S15" s="191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3"/>
      <c r="AX15" s="194"/>
      <c r="AY15" s="194"/>
      <c r="AZ15" s="194"/>
      <c r="BA15" s="194"/>
      <c r="BB15" s="194"/>
      <c r="BC15" s="195"/>
      <c r="BD15" s="196"/>
      <c r="BE15" s="194"/>
      <c r="BF15" s="194"/>
      <c r="BG15" s="194"/>
      <c r="BH15" s="194"/>
      <c r="BI15" s="194"/>
      <c r="BJ15" s="195"/>
      <c r="BK15" s="167"/>
    </row>
    <row r="16" spans="1:63" ht="15" customHeight="1" x14ac:dyDescent="0.25">
      <c r="A16" s="166"/>
      <c r="B16" s="148"/>
      <c r="C16" s="149"/>
      <c r="D16" s="149"/>
      <c r="E16" s="149"/>
      <c r="F16" s="149"/>
      <c r="G16" s="150"/>
      <c r="H16" s="148"/>
      <c r="I16" s="149"/>
      <c r="J16" s="149"/>
      <c r="K16" s="149"/>
      <c r="L16" s="149"/>
      <c r="M16" s="149"/>
      <c r="N16" s="150"/>
      <c r="O16" s="148"/>
      <c r="P16" s="149"/>
      <c r="Q16" s="149"/>
      <c r="R16" s="149"/>
      <c r="S16" s="197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  <c r="AU16" s="198"/>
      <c r="AV16" s="198"/>
      <c r="AW16" s="199"/>
      <c r="AX16" s="200"/>
      <c r="AY16" s="200"/>
      <c r="AZ16" s="200"/>
      <c r="BA16" s="200"/>
      <c r="BB16" s="200"/>
      <c r="BC16" s="201"/>
      <c r="BD16" s="202"/>
      <c r="BE16" s="200"/>
      <c r="BF16" s="200"/>
      <c r="BG16" s="200"/>
      <c r="BH16" s="200"/>
      <c r="BI16" s="200"/>
      <c r="BJ16" s="201"/>
      <c r="BK16" s="167"/>
    </row>
    <row r="17" spans="1:63" ht="15" customHeight="1" x14ac:dyDescent="0.25">
      <c r="A17" s="166"/>
      <c r="B17" s="138"/>
      <c r="C17" s="136"/>
      <c r="D17" s="136"/>
      <c r="E17" s="136"/>
      <c r="F17" s="136"/>
      <c r="G17" s="137"/>
      <c r="H17" s="138"/>
      <c r="I17" s="136"/>
      <c r="J17" s="136"/>
      <c r="K17" s="136"/>
      <c r="L17" s="136"/>
      <c r="M17" s="136"/>
      <c r="N17" s="137"/>
      <c r="O17" s="138"/>
      <c r="P17" s="136"/>
      <c r="Q17" s="136"/>
      <c r="R17" s="136"/>
      <c r="S17" s="191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3"/>
      <c r="AX17" s="194"/>
      <c r="AY17" s="194"/>
      <c r="AZ17" s="194"/>
      <c r="BA17" s="194"/>
      <c r="BB17" s="194"/>
      <c r="BC17" s="195"/>
      <c r="BD17" s="196"/>
      <c r="BE17" s="194"/>
      <c r="BF17" s="194"/>
      <c r="BG17" s="194"/>
      <c r="BH17" s="194"/>
      <c r="BI17" s="194"/>
      <c r="BJ17" s="195"/>
      <c r="BK17" s="167"/>
    </row>
    <row r="18" spans="1:63" ht="15" customHeight="1" x14ac:dyDescent="0.25">
      <c r="A18" s="166"/>
      <c r="B18" s="148"/>
      <c r="C18" s="149"/>
      <c r="D18" s="149"/>
      <c r="E18" s="149"/>
      <c r="F18" s="149"/>
      <c r="G18" s="150"/>
      <c r="H18" s="148"/>
      <c r="I18" s="149"/>
      <c r="J18" s="149"/>
      <c r="K18" s="149"/>
      <c r="L18" s="149"/>
      <c r="M18" s="149"/>
      <c r="N18" s="150"/>
      <c r="O18" s="148"/>
      <c r="P18" s="149"/>
      <c r="Q18" s="149"/>
      <c r="R18" s="149"/>
      <c r="S18" s="197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9"/>
      <c r="AX18" s="200"/>
      <c r="AY18" s="200"/>
      <c r="AZ18" s="200"/>
      <c r="BA18" s="200"/>
      <c r="BB18" s="200"/>
      <c r="BC18" s="201"/>
      <c r="BD18" s="202"/>
      <c r="BE18" s="200"/>
      <c r="BF18" s="200"/>
      <c r="BG18" s="200"/>
      <c r="BH18" s="200"/>
      <c r="BI18" s="200"/>
      <c r="BJ18" s="201"/>
      <c r="BK18" s="167"/>
    </row>
    <row r="19" spans="1:63" ht="15" customHeight="1" x14ac:dyDescent="0.25">
      <c r="A19" s="166"/>
      <c r="B19" s="138"/>
      <c r="C19" s="136"/>
      <c r="D19" s="136"/>
      <c r="E19" s="136"/>
      <c r="F19" s="136"/>
      <c r="G19" s="137"/>
      <c r="H19" s="138"/>
      <c r="I19" s="136"/>
      <c r="J19" s="136"/>
      <c r="K19" s="136"/>
      <c r="L19" s="136"/>
      <c r="M19" s="136"/>
      <c r="N19" s="137"/>
      <c r="O19" s="138"/>
      <c r="P19" s="136"/>
      <c r="Q19" s="136"/>
      <c r="R19" s="136"/>
      <c r="S19" s="191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3"/>
      <c r="AX19" s="194"/>
      <c r="AY19" s="194"/>
      <c r="AZ19" s="194"/>
      <c r="BA19" s="194"/>
      <c r="BB19" s="194"/>
      <c r="BC19" s="195"/>
      <c r="BD19" s="196"/>
      <c r="BE19" s="194"/>
      <c r="BF19" s="194"/>
      <c r="BG19" s="194"/>
      <c r="BH19" s="194"/>
      <c r="BI19" s="194"/>
      <c r="BJ19" s="195"/>
      <c r="BK19" s="167"/>
    </row>
    <row r="20" spans="1:63" ht="15" customHeight="1" x14ac:dyDescent="0.25">
      <c r="A20" s="166"/>
      <c r="B20" s="148"/>
      <c r="C20" s="149"/>
      <c r="D20" s="149"/>
      <c r="E20" s="149"/>
      <c r="F20" s="149"/>
      <c r="G20" s="150"/>
      <c r="H20" s="148"/>
      <c r="I20" s="149"/>
      <c r="J20" s="149"/>
      <c r="K20" s="149"/>
      <c r="L20" s="149"/>
      <c r="M20" s="149"/>
      <c r="N20" s="150"/>
      <c r="O20" s="148"/>
      <c r="P20" s="149"/>
      <c r="Q20" s="149"/>
      <c r="R20" s="149"/>
      <c r="S20" s="197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9"/>
      <c r="AX20" s="200"/>
      <c r="AY20" s="200"/>
      <c r="AZ20" s="200"/>
      <c r="BA20" s="200"/>
      <c r="BB20" s="200"/>
      <c r="BC20" s="201"/>
      <c r="BD20" s="202"/>
      <c r="BE20" s="200"/>
      <c r="BF20" s="200"/>
      <c r="BG20" s="200"/>
      <c r="BH20" s="200"/>
      <c r="BI20" s="200"/>
      <c r="BJ20" s="201"/>
      <c r="BK20" s="167"/>
    </row>
    <row r="21" spans="1:63" ht="15" customHeight="1" x14ac:dyDescent="0.25">
      <c r="A21" s="166"/>
      <c r="B21" s="138"/>
      <c r="C21" s="136"/>
      <c r="D21" s="136"/>
      <c r="E21" s="136"/>
      <c r="F21" s="136"/>
      <c r="G21" s="137"/>
      <c r="H21" s="138"/>
      <c r="I21" s="136"/>
      <c r="J21" s="136"/>
      <c r="K21" s="136"/>
      <c r="L21" s="136"/>
      <c r="M21" s="136"/>
      <c r="N21" s="137"/>
      <c r="O21" s="138"/>
      <c r="P21" s="136"/>
      <c r="Q21" s="136"/>
      <c r="R21" s="136"/>
      <c r="S21" s="191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3"/>
      <c r="AX21" s="194"/>
      <c r="AY21" s="194"/>
      <c r="AZ21" s="194"/>
      <c r="BA21" s="194"/>
      <c r="BB21" s="194"/>
      <c r="BC21" s="195"/>
      <c r="BD21" s="196"/>
      <c r="BE21" s="194"/>
      <c r="BF21" s="194"/>
      <c r="BG21" s="194"/>
      <c r="BH21" s="194"/>
      <c r="BI21" s="194"/>
      <c r="BJ21" s="195"/>
      <c r="BK21" s="167"/>
    </row>
    <row r="22" spans="1:63" ht="15" customHeight="1" x14ac:dyDescent="0.25">
      <c r="A22" s="166"/>
      <c r="B22" s="148"/>
      <c r="C22" s="149"/>
      <c r="D22" s="149"/>
      <c r="E22" s="149"/>
      <c r="F22" s="149"/>
      <c r="G22" s="150"/>
      <c r="H22" s="148"/>
      <c r="I22" s="149"/>
      <c r="J22" s="149"/>
      <c r="K22" s="149"/>
      <c r="L22" s="149"/>
      <c r="M22" s="149"/>
      <c r="N22" s="150"/>
      <c r="O22" s="148"/>
      <c r="P22" s="149"/>
      <c r="Q22" s="149"/>
      <c r="R22" s="149"/>
      <c r="S22" s="197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9"/>
      <c r="AX22" s="200"/>
      <c r="AY22" s="200"/>
      <c r="AZ22" s="200"/>
      <c r="BA22" s="200"/>
      <c r="BB22" s="200"/>
      <c r="BC22" s="201"/>
      <c r="BD22" s="202"/>
      <c r="BE22" s="200"/>
      <c r="BF22" s="200"/>
      <c r="BG22" s="200"/>
      <c r="BH22" s="200"/>
      <c r="BI22" s="200"/>
      <c r="BJ22" s="201"/>
      <c r="BK22" s="167"/>
    </row>
    <row r="23" spans="1:63" ht="15" customHeight="1" x14ac:dyDescent="0.25">
      <c r="A23" s="166"/>
      <c r="B23" s="138"/>
      <c r="C23" s="136"/>
      <c r="D23" s="136"/>
      <c r="E23" s="136"/>
      <c r="F23" s="136"/>
      <c r="G23" s="137"/>
      <c r="H23" s="138"/>
      <c r="I23" s="136"/>
      <c r="J23" s="136"/>
      <c r="K23" s="136"/>
      <c r="L23" s="136"/>
      <c r="M23" s="136"/>
      <c r="N23" s="137"/>
      <c r="O23" s="138"/>
      <c r="P23" s="136"/>
      <c r="Q23" s="136"/>
      <c r="R23" s="136"/>
      <c r="S23" s="191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3"/>
      <c r="AX23" s="194"/>
      <c r="AY23" s="194"/>
      <c r="AZ23" s="194"/>
      <c r="BA23" s="194"/>
      <c r="BB23" s="194"/>
      <c r="BC23" s="195"/>
      <c r="BD23" s="196"/>
      <c r="BE23" s="194"/>
      <c r="BF23" s="194"/>
      <c r="BG23" s="194"/>
      <c r="BH23" s="194"/>
      <c r="BI23" s="194"/>
      <c r="BJ23" s="195"/>
      <c r="BK23" s="167"/>
    </row>
    <row r="24" spans="1:63" ht="15" customHeight="1" x14ac:dyDescent="0.25">
      <c r="A24" s="166"/>
      <c r="B24" s="148"/>
      <c r="C24" s="149"/>
      <c r="D24" s="149"/>
      <c r="E24" s="149"/>
      <c r="F24" s="149"/>
      <c r="G24" s="150"/>
      <c r="H24" s="148"/>
      <c r="I24" s="149"/>
      <c r="J24" s="149"/>
      <c r="K24" s="149"/>
      <c r="L24" s="149"/>
      <c r="M24" s="149"/>
      <c r="N24" s="150"/>
      <c r="O24" s="148"/>
      <c r="P24" s="149"/>
      <c r="Q24" s="149"/>
      <c r="R24" s="149"/>
      <c r="S24" s="197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9"/>
      <c r="AX24" s="200"/>
      <c r="AY24" s="200"/>
      <c r="AZ24" s="200"/>
      <c r="BA24" s="200"/>
      <c r="BB24" s="200"/>
      <c r="BC24" s="201"/>
      <c r="BD24" s="202"/>
      <c r="BE24" s="200"/>
      <c r="BF24" s="200"/>
      <c r="BG24" s="200"/>
      <c r="BH24" s="200"/>
      <c r="BI24" s="200"/>
      <c r="BJ24" s="201"/>
      <c r="BK24" s="167"/>
    </row>
    <row r="25" spans="1:63" ht="15" customHeight="1" x14ac:dyDescent="0.25">
      <c r="A25" s="166"/>
      <c r="B25" s="138"/>
      <c r="C25" s="136"/>
      <c r="D25" s="136"/>
      <c r="E25" s="136"/>
      <c r="F25" s="136"/>
      <c r="G25" s="137"/>
      <c r="H25" s="138"/>
      <c r="I25" s="136"/>
      <c r="J25" s="136"/>
      <c r="K25" s="136"/>
      <c r="L25" s="136"/>
      <c r="M25" s="136"/>
      <c r="N25" s="137"/>
      <c r="O25" s="138"/>
      <c r="P25" s="136"/>
      <c r="Q25" s="136"/>
      <c r="R25" s="136"/>
      <c r="S25" s="191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3"/>
      <c r="AX25" s="194"/>
      <c r="AY25" s="194"/>
      <c r="AZ25" s="194"/>
      <c r="BA25" s="194"/>
      <c r="BB25" s="194"/>
      <c r="BC25" s="195"/>
      <c r="BD25" s="196"/>
      <c r="BE25" s="194"/>
      <c r="BF25" s="194"/>
      <c r="BG25" s="194"/>
      <c r="BH25" s="194"/>
      <c r="BI25" s="194"/>
      <c r="BJ25" s="195"/>
      <c r="BK25" s="167"/>
    </row>
    <row r="26" spans="1:63" ht="15" customHeight="1" x14ac:dyDescent="0.25">
      <c r="A26" s="166"/>
      <c r="B26" s="148"/>
      <c r="C26" s="149"/>
      <c r="D26" s="149"/>
      <c r="E26" s="149"/>
      <c r="F26" s="149"/>
      <c r="G26" s="150"/>
      <c r="H26" s="148"/>
      <c r="I26" s="149"/>
      <c r="J26" s="149"/>
      <c r="K26" s="149"/>
      <c r="L26" s="149"/>
      <c r="M26" s="149"/>
      <c r="N26" s="150"/>
      <c r="O26" s="148"/>
      <c r="P26" s="149"/>
      <c r="Q26" s="149"/>
      <c r="R26" s="149"/>
      <c r="S26" s="197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9"/>
      <c r="AX26" s="200"/>
      <c r="AY26" s="200"/>
      <c r="AZ26" s="200"/>
      <c r="BA26" s="200"/>
      <c r="BB26" s="200"/>
      <c r="BC26" s="201"/>
      <c r="BD26" s="202"/>
      <c r="BE26" s="200"/>
      <c r="BF26" s="200"/>
      <c r="BG26" s="200"/>
      <c r="BH26" s="200"/>
      <c r="BI26" s="200"/>
      <c r="BJ26" s="201"/>
      <c r="BK26" s="167"/>
    </row>
    <row r="27" spans="1:63" ht="15" customHeight="1" x14ac:dyDescent="0.25">
      <c r="A27" s="166"/>
      <c r="B27" s="138"/>
      <c r="C27" s="136"/>
      <c r="D27" s="136"/>
      <c r="E27" s="136"/>
      <c r="F27" s="136"/>
      <c r="G27" s="137"/>
      <c r="H27" s="138"/>
      <c r="I27" s="136"/>
      <c r="J27" s="136"/>
      <c r="K27" s="136"/>
      <c r="L27" s="136"/>
      <c r="M27" s="136"/>
      <c r="N27" s="137"/>
      <c r="O27" s="138"/>
      <c r="P27" s="136"/>
      <c r="Q27" s="136"/>
      <c r="R27" s="136"/>
      <c r="S27" s="191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3"/>
      <c r="AX27" s="194"/>
      <c r="AY27" s="194"/>
      <c r="AZ27" s="194"/>
      <c r="BA27" s="194"/>
      <c r="BB27" s="194"/>
      <c r="BC27" s="195"/>
      <c r="BD27" s="196"/>
      <c r="BE27" s="194"/>
      <c r="BF27" s="194"/>
      <c r="BG27" s="194"/>
      <c r="BH27" s="194"/>
      <c r="BI27" s="194"/>
      <c r="BJ27" s="195"/>
      <c r="BK27" s="167"/>
    </row>
    <row r="28" spans="1:63" ht="15" customHeight="1" x14ac:dyDescent="0.25">
      <c r="A28" s="166"/>
      <c r="B28" s="148"/>
      <c r="C28" s="149"/>
      <c r="D28" s="149"/>
      <c r="E28" s="149"/>
      <c r="F28" s="149"/>
      <c r="G28" s="150"/>
      <c r="H28" s="148"/>
      <c r="I28" s="149"/>
      <c r="J28" s="149"/>
      <c r="K28" s="149"/>
      <c r="L28" s="149"/>
      <c r="M28" s="149"/>
      <c r="N28" s="150"/>
      <c r="O28" s="148"/>
      <c r="P28" s="149"/>
      <c r="Q28" s="149"/>
      <c r="R28" s="149"/>
      <c r="S28" s="197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8"/>
      <c r="AT28" s="198"/>
      <c r="AU28" s="198"/>
      <c r="AV28" s="198"/>
      <c r="AW28" s="199"/>
      <c r="AX28" s="200"/>
      <c r="AY28" s="200"/>
      <c r="AZ28" s="200"/>
      <c r="BA28" s="200"/>
      <c r="BB28" s="200"/>
      <c r="BC28" s="201"/>
      <c r="BD28" s="202"/>
      <c r="BE28" s="200"/>
      <c r="BF28" s="200"/>
      <c r="BG28" s="200"/>
      <c r="BH28" s="200"/>
      <c r="BI28" s="200"/>
      <c r="BJ28" s="201"/>
      <c r="BK28" s="167"/>
    </row>
    <row r="29" spans="1:63" ht="15" customHeight="1" x14ac:dyDescent="0.25">
      <c r="A29" s="166"/>
      <c r="B29" s="138"/>
      <c r="C29" s="136"/>
      <c r="D29" s="136"/>
      <c r="E29" s="136"/>
      <c r="F29" s="136"/>
      <c r="G29" s="137"/>
      <c r="H29" s="138"/>
      <c r="I29" s="136"/>
      <c r="J29" s="136"/>
      <c r="K29" s="136"/>
      <c r="L29" s="136"/>
      <c r="M29" s="136"/>
      <c r="N29" s="137"/>
      <c r="O29" s="138"/>
      <c r="P29" s="136"/>
      <c r="Q29" s="136"/>
      <c r="R29" s="136"/>
      <c r="S29" s="191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3"/>
      <c r="AX29" s="194"/>
      <c r="AY29" s="194"/>
      <c r="AZ29" s="194"/>
      <c r="BA29" s="194"/>
      <c r="BB29" s="194"/>
      <c r="BC29" s="195"/>
      <c r="BD29" s="196"/>
      <c r="BE29" s="194"/>
      <c r="BF29" s="194"/>
      <c r="BG29" s="194"/>
      <c r="BH29" s="194"/>
      <c r="BI29" s="194"/>
      <c r="BJ29" s="195"/>
      <c r="BK29" s="167"/>
    </row>
    <row r="30" spans="1:63" ht="15" customHeight="1" x14ac:dyDescent="0.25">
      <c r="A30" s="166"/>
      <c r="B30" s="148"/>
      <c r="C30" s="149"/>
      <c r="D30" s="149"/>
      <c r="E30" s="149"/>
      <c r="F30" s="149"/>
      <c r="G30" s="150"/>
      <c r="H30" s="148"/>
      <c r="I30" s="149"/>
      <c r="J30" s="149"/>
      <c r="K30" s="149"/>
      <c r="L30" s="149"/>
      <c r="M30" s="149"/>
      <c r="N30" s="150"/>
      <c r="O30" s="148"/>
      <c r="P30" s="149"/>
      <c r="Q30" s="149"/>
      <c r="R30" s="149"/>
      <c r="S30" s="197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  <c r="AP30" s="198"/>
      <c r="AQ30" s="198"/>
      <c r="AR30" s="198"/>
      <c r="AS30" s="198"/>
      <c r="AT30" s="198"/>
      <c r="AU30" s="198"/>
      <c r="AV30" s="198"/>
      <c r="AW30" s="199"/>
      <c r="AX30" s="200"/>
      <c r="AY30" s="200"/>
      <c r="AZ30" s="200"/>
      <c r="BA30" s="200"/>
      <c r="BB30" s="200"/>
      <c r="BC30" s="201"/>
      <c r="BD30" s="202"/>
      <c r="BE30" s="200"/>
      <c r="BF30" s="200"/>
      <c r="BG30" s="200"/>
      <c r="BH30" s="200"/>
      <c r="BI30" s="200"/>
      <c r="BJ30" s="201"/>
      <c r="BK30" s="167"/>
    </row>
    <row r="31" spans="1:63" ht="15" customHeight="1" x14ac:dyDescent="0.25">
      <c r="A31" s="166"/>
      <c r="B31" s="138"/>
      <c r="C31" s="136"/>
      <c r="D31" s="136"/>
      <c r="E31" s="136"/>
      <c r="F31" s="136"/>
      <c r="G31" s="137"/>
      <c r="H31" s="138"/>
      <c r="I31" s="136"/>
      <c r="J31" s="136"/>
      <c r="K31" s="136"/>
      <c r="L31" s="136"/>
      <c r="M31" s="136"/>
      <c r="N31" s="137"/>
      <c r="O31" s="138"/>
      <c r="P31" s="136"/>
      <c r="Q31" s="136"/>
      <c r="R31" s="136"/>
      <c r="S31" s="191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3"/>
      <c r="AX31" s="194"/>
      <c r="AY31" s="194"/>
      <c r="AZ31" s="194"/>
      <c r="BA31" s="194"/>
      <c r="BB31" s="194"/>
      <c r="BC31" s="195"/>
      <c r="BD31" s="196"/>
      <c r="BE31" s="194"/>
      <c r="BF31" s="194"/>
      <c r="BG31" s="194"/>
      <c r="BH31" s="194"/>
      <c r="BI31" s="194"/>
      <c r="BJ31" s="195"/>
      <c r="BK31" s="167"/>
    </row>
    <row r="32" spans="1:63" ht="15" customHeight="1" x14ac:dyDescent="0.25">
      <c r="A32" s="166"/>
      <c r="B32" s="148"/>
      <c r="C32" s="149"/>
      <c r="D32" s="149"/>
      <c r="E32" s="149"/>
      <c r="F32" s="149"/>
      <c r="G32" s="150"/>
      <c r="H32" s="148"/>
      <c r="I32" s="149"/>
      <c r="J32" s="149"/>
      <c r="K32" s="149"/>
      <c r="L32" s="149"/>
      <c r="M32" s="149"/>
      <c r="N32" s="150"/>
      <c r="O32" s="148"/>
      <c r="P32" s="149"/>
      <c r="Q32" s="149"/>
      <c r="R32" s="149"/>
      <c r="S32" s="197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  <c r="AS32" s="198"/>
      <c r="AT32" s="198"/>
      <c r="AU32" s="198"/>
      <c r="AV32" s="198"/>
      <c r="AW32" s="199"/>
      <c r="AX32" s="200"/>
      <c r="AY32" s="200"/>
      <c r="AZ32" s="200"/>
      <c r="BA32" s="200"/>
      <c r="BB32" s="200"/>
      <c r="BC32" s="201"/>
      <c r="BD32" s="202"/>
      <c r="BE32" s="200"/>
      <c r="BF32" s="200"/>
      <c r="BG32" s="200"/>
      <c r="BH32" s="200"/>
      <c r="BI32" s="200"/>
      <c r="BJ32" s="201"/>
      <c r="BK32" s="167"/>
    </row>
    <row r="33" spans="1:63" ht="15" customHeight="1" x14ac:dyDescent="0.25">
      <c r="A33" s="166"/>
      <c r="B33" s="138"/>
      <c r="C33" s="136"/>
      <c r="D33" s="136"/>
      <c r="E33" s="136"/>
      <c r="F33" s="136"/>
      <c r="G33" s="137"/>
      <c r="H33" s="138"/>
      <c r="I33" s="136"/>
      <c r="J33" s="136"/>
      <c r="K33" s="136"/>
      <c r="L33" s="136"/>
      <c r="M33" s="136"/>
      <c r="N33" s="137"/>
      <c r="O33" s="138"/>
      <c r="P33" s="136"/>
      <c r="Q33" s="136"/>
      <c r="R33" s="136"/>
      <c r="S33" s="191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3"/>
      <c r="AX33" s="194"/>
      <c r="AY33" s="194"/>
      <c r="AZ33" s="194"/>
      <c r="BA33" s="194"/>
      <c r="BB33" s="194"/>
      <c r="BC33" s="195"/>
      <c r="BD33" s="196"/>
      <c r="BE33" s="194"/>
      <c r="BF33" s="194"/>
      <c r="BG33" s="194"/>
      <c r="BH33" s="194"/>
      <c r="BI33" s="194"/>
      <c r="BJ33" s="195"/>
      <c r="BK33" s="167"/>
    </row>
    <row r="34" spans="1:63" ht="15" customHeight="1" x14ac:dyDescent="0.25">
      <c r="A34" s="166"/>
      <c r="B34" s="148"/>
      <c r="C34" s="149"/>
      <c r="D34" s="149"/>
      <c r="E34" s="149"/>
      <c r="F34" s="149"/>
      <c r="G34" s="150"/>
      <c r="H34" s="148"/>
      <c r="I34" s="149"/>
      <c r="J34" s="149"/>
      <c r="K34" s="149"/>
      <c r="L34" s="149"/>
      <c r="M34" s="149"/>
      <c r="N34" s="150"/>
      <c r="O34" s="148"/>
      <c r="P34" s="149"/>
      <c r="Q34" s="149"/>
      <c r="R34" s="149"/>
      <c r="S34" s="197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  <c r="AW34" s="199"/>
      <c r="AX34" s="200"/>
      <c r="AY34" s="200"/>
      <c r="AZ34" s="200"/>
      <c r="BA34" s="200"/>
      <c r="BB34" s="200"/>
      <c r="BC34" s="201"/>
      <c r="BD34" s="202"/>
      <c r="BE34" s="200"/>
      <c r="BF34" s="200"/>
      <c r="BG34" s="200"/>
      <c r="BH34" s="200"/>
      <c r="BI34" s="200"/>
      <c r="BJ34" s="201"/>
      <c r="BK34" s="167"/>
    </row>
    <row r="35" spans="1:63" ht="15" customHeight="1" x14ac:dyDescent="0.25">
      <c r="A35" s="166"/>
      <c r="B35" s="138"/>
      <c r="C35" s="136"/>
      <c r="D35" s="136"/>
      <c r="E35" s="136"/>
      <c r="F35" s="136"/>
      <c r="G35" s="137"/>
      <c r="H35" s="138"/>
      <c r="I35" s="136"/>
      <c r="J35" s="136"/>
      <c r="K35" s="136"/>
      <c r="L35" s="136"/>
      <c r="M35" s="136"/>
      <c r="N35" s="137"/>
      <c r="O35" s="138"/>
      <c r="P35" s="136"/>
      <c r="Q35" s="136"/>
      <c r="R35" s="136"/>
      <c r="S35" s="191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3"/>
      <c r="AX35" s="194"/>
      <c r="AY35" s="194"/>
      <c r="AZ35" s="194"/>
      <c r="BA35" s="194"/>
      <c r="BB35" s="194"/>
      <c r="BC35" s="195"/>
      <c r="BD35" s="196"/>
      <c r="BE35" s="194"/>
      <c r="BF35" s="194"/>
      <c r="BG35" s="194"/>
      <c r="BH35" s="194"/>
      <c r="BI35" s="194"/>
      <c r="BJ35" s="195"/>
      <c r="BK35" s="167"/>
    </row>
    <row r="36" spans="1:63" ht="15" customHeight="1" x14ac:dyDescent="0.25">
      <c r="A36" s="166"/>
      <c r="B36" s="148"/>
      <c r="C36" s="149"/>
      <c r="D36" s="149"/>
      <c r="E36" s="149"/>
      <c r="F36" s="149"/>
      <c r="G36" s="150"/>
      <c r="H36" s="148"/>
      <c r="I36" s="149"/>
      <c r="J36" s="149"/>
      <c r="K36" s="149"/>
      <c r="L36" s="149"/>
      <c r="M36" s="149"/>
      <c r="N36" s="150"/>
      <c r="O36" s="148"/>
      <c r="P36" s="149"/>
      <c r="Q36" s="149"/>
      <c r="R36" s="149"/>
      <c r="S36" s="197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/>
      <c r="AT36" s="198"/>
      <c r="AU36" s="198"/>
      <c r="AV36" s="198"/>
      <c r="AW36" s="199"/>
      <c r="AX36" s="200"/>
      <c r="AY36" s="200"/>
      <c r="AZ36" s="200"/>
      <c r="BA36" s="200"/>
      <c r="BB36" s="200"/>
      <c r="BC36" s="201"/>
      <c r="BD36" s="202"/>
      <c r="BE36" s="200"/>
      <c r="BF36" s="200"/>
      <c r="BG36" s="200"/>
      <c r="BH36" s="200"/>
      <c r="BI36" s="200"/>
      <c r="BJ36" s="201"/>
      <c r="BK36" s="167"/>
    </row>
    <row r="37" spans="1:63" ht="15" customHeight="1" x14ac:dyDescent="0.25">
      <c r="A37" s="166"/>
      <c r="B37" s="138"/>
      <c r="C37" s="136"/>
      <c r="D37" s="136"/>
      <c r="E37" s="136"/>
      <c r="F37" s="136"/>
      <c r="G37" s="137"/>
      <c r="H37" s="138"/>
      <c r="I37" s="136"/>
      <c r="J37" s="136"/>
      <c r="K37" s="136"/>
      <c r="L37" s="136"/>
      <c r="M37" s="136"/>
      <c r="N37" s="137"/>
      <c r="O37" s="138"/>
      <c r="P37" s="136"/>
      <c r="Q37" s="136"/>
      <c r="R37" s="136"/>
      <c r="S37" s="191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3"/>
      <c r="AX37" s="194"/>
      <c r="AY37" s="194"/>
      <c r="AZ37" s="194"/>
      <c r="BA37" s="194"/>
      <c r="BB37" s="194"/>
      <c r="BC37" s="195"/>
      <c r="BD37" s="196"/>
      <c r="BE37" s="194"/>
      <c r="BF37" s="194"/>
      <c r="BG37" s="194"/>
      <c r="BH37" s="194"/>
      <c r="BI37" s="194"/>
      <c r="BJ37" s="195"/>
      <c r="BK37" s="167"/>
    </row>
    <row r="38" spans="1:63" ht="15" customHeight="1" x14ac:dyDescent="0.25">
      <c r="A38" s="166"/>
      <c r="B38" s="148"/>
      <c r="C38" s="149"/>
      <c r="D38" s="149"/>
      <c r="E38" s="149"/>
      <c r="F38" s="149"/>
      <c r="G38" s="150"/>
      <c r="H38" s="148"/>
      <c r="I38" s="149"/>
      <c r="J38" s="149"/>
      <c r="K38" s="149"/>
      <c r="L38" s="149"/>
      <c r="M38" s="149"/>
      <c r="N38" s="150"/>
      <c r="O38" s="148"/>
      <c r="P38" s="149"/>
      <c r="Q38" s="149"/>
      <c r="R38" s="149"/>
      <c r="S38" s="197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  <c r="AS38" s="198"/>
      <c r="AT38" s="198"/>
      <c r="AU38" s="198"/>
      <c r="AV38" s="198"/>
      <c r="AW38" s="199"/>
      <c r="AX38" s="200"/>
      <c r="AY38" s="200"/>
      <c r="AZ38" s="200"/>
      <c r="BA38" s="200"/>
      <c r="BB38" s="200"/>
      <c r="BC38" s="201"/>
      <c r="BD38" s="202"/>
      <c r="BE38" s="200"/>
      <c r="BF38" s="200"/>
      <c r="BG38" s="200"/>
      <c r="BH38" s="200"/>
      <c r="BI38" s="200"/>
      <c r="BJ38" s="201"/>
      <c r="BK38" s="167"/>
    </row>
    <row r="39" spans="1:63" ht="15" customHeight="1" x14ac:dyDescent="0.25">
      <c r="A39" s="166"/>
      <c r="B39" s="138"/>
      <c r="C39" s="136"/>
      <c r="D39" s="136"/>
      <c r="E39" s="136"/>
      <c r="F39" s="136"/>
      <c r="G39" s="137"/>
      <c r="H39" s="138"/>
      <c r="I39" s="136"/>
      <c r="J39" s="136"/>
      <c r="K39" s="136"/>
      <c r="L39" s="136"/>
      <c r="M39" s="136"/>
      <c r="N39" s="137"/>
      <c r="O39" s="138"/>
      <c r="P39" s="136"/>
      <c r="Q39" s="136"/>
      <c r="R39" s="136"/>
      <c r="S39" s="191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3"/>
      <c r="AX39" s="194"/>
      <c r="AY39" s="194"/>
      <c r="AZ39" s="194"/>
      <c r="BA39" s="194"/>
      <c r="BB39" s="194"/>
      <c r="BC39" s="195"/>
      <c r="BD39" s="196"/>
      <c r="BE39" s="194"/>
      <c r="BF39" s="194"/>
      <c r="BG39" s="194"/>
      <c r="BH39" s="194"/>
      <c r="BI39" s="194"/>
      <c r="BJ39" s="195"/>
      <c r="BK39" s="167"/>
    </row>
    <row r="40" spans="1:63" ht="15" customHeight="1" x14ac:dyDescent="0.25">
      <c r="A40" s="166"/>
      <c r="B40" s="148"/>
      <c r="C40" s="149"/>
      <c r="D40" s="149"/>
      <c r="E40" s="149"/>
      <c r="F40" s="149"/>
      <c r="G40" s="150"/>
      <c r="H40" s="148"/>
      <c r="I40" s="149"/>
      <c r="J40" s="149"/>
      <c r="K40" s="149"/>
      <c r="L40" s="149"/>
      <c r="M40" s="149"/>
      <c r="N40" s="150"/>
      <c r="O40" s="148"/>
      <c r="P40" s="149"/>
      <c r="Q40" s="149"/>
      <c r="R40" s="149"/>
      <c r="S40" s="197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  <c r="AS40" s="198"/>
      <c r="AT40" s="198"/>
      <c r="AU40" s="198"/>
      <c r="AV40" s="198"/>
      <c r="AW40" s="199"/>
      <c r="AX40" s="200"/>
      <c r="AY40" s="200"/>
      <c r="AZ40" s="200"/>
      <c r="BA40" s="200"/>
      <c r="BB40" s="200"/>
      <c r="BC40" s="201"/>
      <c r="BD40" s="202"/>
      <c r="BE40" s="200"/>
      <c r="BF40" s="200"/>
      <c r="BG40" s="200"/>
      <c r="BH40" s="200"/>
      <c r="BI40" s="200"/>
      <c r="BJ40" s="201"/>
      <c r="BK40" s="167"/>
    </row>
    <row r="41" spans="1:63" ht="15" customHeight="1" x14ac:dyDescent="0.25">
      <c r="A41" s="166"/>
      <c r="B41" s="138"/>
      <c r="C41" s="136"/>
      <c r="D41" s="136"/>
      <c r="E41" s="136"/>
      <c r="F41" s="136"/>
      <c r="G41" s="137"/>
      <c r="H41" s="138"/>
      <c r="I41" s="136"/>
      <c r="J41" s="136"/>
      <c r="K41" s="136"/>
      <c r="L41" s="136"/>
      <c r="M41" s="136"/>
      <c r="N41" s="137"/>
      <c r="O41" s="138"/>
      <c r="P41" s="136"/>
      <c r="Q41" s="136"/>
      <c r="R41" s="136"/>
      <c r="S41" s="191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3"/>
      <c r="AX41" s="194"/>
      <c r="AY41" s="194"/>
      <c r="AZ41" s="194"/>
      <c r="BA41" s="194"/>
      <c r="BB41" s="194"/>
      <c r="BC41" s="195"/>
      <c r="BD41" s="196"/>
      <c r="BE41" s="194"/>
      <c r="BF41" s="194"/>
      <c r="BG41" s="194"/>
      <c r="BH41" s="194"/>
      <c r="BI41" s="194"/>
      <c r="BJ41" s="195"/>
      <c r="BK41" s="167"/>
    </row>
    <row r="42" spans="1:63" ht="15" customHeight="1" x14ac:dyDescent="0.25">
      <c r="A42" s="166"/>
      <c r="B42" s="148"/>
      <c r="C42" s="149"/>
      <c r="D42" s="149"/>
      <c r="E42" s="149"/>
      <c r="F42" s="149"/>
      <c r="G42" s="150"/>
      <c r="H42" s="148"/>
      <c r="I42" s="149"/>
      <c r="J42" s="149"/>
      <c r="K42" s="149"/>
      <c r="L42" s="149"/>
      <c r="M42" s="149"/>
      <c r="N42" s="150"/>
      <c r="O42" s="148"/>
      <c r="P42" s="149"/>
      <c r="Q42" s="149"/>
      <c r="R42" s="149"/>
      <c r="S42" s="197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98"/>
      <c r="AN42" s="198"/>
      <c r="AO42" s="198"/>
      <c r="AP42" s="198"/>
      <c r="AQ42" s="198"/>
      <c r="AR42" s="198"/>
      <c r="AS42" s="198"/>
      <c r="AT42" s="198"/>
      <c r="AU42" s="198"/>
      <c r="AV42" s="198"/>
      <c r="AW42" s="199"/>
      <c r="AX42" s="200"/>
      <c r="AY42" s="200"/>
      <c r="AZ42" s="200"/>
      <c r="BA42" s="200"/>
      <c r="BB42" s="200"/>
      <c r="BC42" s="201"/>
      <c r="BD42" s="202"/>
      <c r="BE42" s="200"/>
      <c r="BF42" s="200"/>
      <c r="BG42" s="200"/>
      <c r="BH42" s="200"/>
      <c r="BI42" s="200"/>
      <c r="BJ42" s="201"/>
      <c r="BK42" s="167"/>
    </row>
    <row r="43" spans="1:63" ht="15" customHeight="1" x14ac:dyDescent="0.25">
      <c r="A43" s="166"/>
      <c r="B43" s="138"/>
      <c r="C43" s="136"/>
      <c r="D43" s="136"/>
      <c r="E43" s="136"/>
      <c r="F43" s="136"/>
      <c r="G43" s="137"/>
      <c r="H43" s="138"/>
      <c r="I43" s="136"/>
      <c r="J43" s="136"/>
      <c r="K43" s="136"/>
      <c r="L43" s="136"/>
      <c r="M43" s="136"/>
      <c r="N43" s="137"/>
      <c r="O43" s="138"/>
      <c r="P43" s="136"/>
      <c r="Q43" s="136"/>
      <c r="R43" s="136"/>
      <c r="S43" s="191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3"/>
      <c r="AX43" s="194"/>
      <c r="AY43" s="194"/>
      <c r="AZ43" s="194"/>
      <c r="BA43" s="194"/>
      <c r="BB43" s="194"/>
      <c r="BC43" s="195"/>
      <c r="BD43" s="196"/>
      <c r="BE43" s="194"/>
      <c r="BF43" s="194"/>
      <c r="BG43" s="194"/>
      <c r="BH43" s="194"/>
      <c r="BI43" s="194"/>
      <c r="BJ43" s="195"/>
      <c r="BK43" s="167"/>
    </row>
    <row r="44" spans="1:63" ht="15" customHeight="1" x14ac:dyDescent="0.25">
      <c r="A44" s="166"/>
      <c r="B44" s="148"/>
      <c r="C44" s="149"/>
      <c r="D44" s="149"/>
      <c r="E44" s="149"/>
      <c r="F44" s="149"/>
      <c r="G44" s="150"/>
      <c r="H44" s="148"/>
      <c r="I44" s="149"/>
      <c r="J44" s="149"/>
      <c r="K44" s="149"/>
      <c r="L44" s="149"/>
      <c r="M44" s="149"/>
      <c r="N44" s="150"/>
      <c r="O44" s="148"/>
      <c r="P44" s="149"/>
      <c r="Q44" s="149"/>
      <c r="R44" s="149"/>
      <c r="S44" s="197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  <c r="AP44" s="198"/>
      <c r="AQ44" s="198"/>
      <c r="AR44" s="198"/>
      <c r="AS44" s="198"/>
      <c r="AT44" s="198"/>
      <c r="AU44" s="198"/>
      <c r="AV44" s="198"/>
      <c r="AW44" s="199"/>
      <c r="AX44" s="200"/>
      <c r="AY44" s="200"/>
      <c r="AZ44" s="200"/>
      <c r="BA44" s="200"/>
      <c r="BB44" s="200"/>
      <c r="BC44" s="201"/>
      <c r="BD44" s="202"/>
      <c r="BE44" s="200"/>
      <c r="BF44" s="200"/>
      <c r="BG44" s="200"/>
      <c r="BH44" s="200"/>
      <c r="BI44" s="200"/>
      <c r="BJ44" s="201"/>
      <c r="BK44" s="167"/>
    </row>
    <row r="45" spans="1:63" ht="15" customHeight="1" x14ac:dyDescent="0.25">
      <c r="A45" s="166"/>
      <c r="B45" s="138"/>
      <c r="C45" s="136"/>
      <c r="D45" s="136"/>
      <c r="E45" s="136"/>
      <c r="F45" s="136"/>
      <c r="G45" s="137"/>
      <c r="H45" s="138"/>
      <c r="I45" s="136"/>
      <c r="J45" s="136"/>
      <c r="K45" s="136"/>
      <c r="L45" s="136"/>
      <c r="M45" s="136"/>
      <c r="N45" s="137"/>
      <c r="O45" s="138"/>
      <c r="P45" s="136"/>
      <c r="Q45" s="136"/>
      <c r="R45" s="136"/>
      <c r="S45" s="191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3"/>
      <c r="AX45" s="194"/>
      <c r="AY45" s="194"/>
      <c r="AZ45" s="194"/>
      <c r="BA45" s="194"/>
      <c r="BB45" s="194"/>
      <c r="BC45" s="195"/>
      <c r="BD45" s="196"/>
      <c r="BE45" s="194"/>
      <c r="BF45" s="194"/>
      <c r="BG45" s="194"/>
      <c r="BH45" s="194"/>
      <c r="BI45" s="194"/>
      <c r="BJ45" s="195"/>
      <c r="BK45" s="167"/>
    </row>
    <row r="46" spans="1:63" ht="15" customHeight="1" x14ac:dyDescent="0.25">
      <c r="A46" s="166"/>
      <c r="B46" s="148"/>
      <c r="C46" s="149"/>
      <c r="D46" s="149"/>
      <c r="E46" s="149"/>
      <c r="F46" s="149"/>
      <c r="G46" s="150"/>
      <c r="H46" s="148"/>
      <c r="I46" s="149"/>
      <c r="J46" s="149"/>
      <c r="K46" s="149"/>
      <c r="L46" s="149"/>
      <c r="M46" s="149"/>
      <c r="N46" s="150"/>
      <c r="O46" s="148"/>
      <c r="P46" s="149"/>
      <c r="Q46" s="149"/>
      <c r="R46" s="149"/>
      <c r="S46" s="197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198"/>
      <c r="AN46" s="198"/>
      <c r="AO46" s="198"/>
      <c r="AP46" s="198"/>
      <c r="AQ46" s="198"/>
      <c r="AR46" s="198"/>
      <c r="AS46" s="198"/>
      <c r="AT46" s="198"/>
      <c r="AU46" s="198"/>
      <c r="AV46" s="198"/>
      <c r="AW46" s="199"/>
      <c r="AX46" s="200"/>
      <c r="AY46" s="200"/>
      <c r="AZ46" s="200"/>
      <c r="BA46" s="200"/>
      <c r="BB46" s="200"/>
      <c r="BC46" s="201"/>
      <c r="BD46" s="202"/>
      <c r="BE46" s="200"/>
      <c r="BF46" s="200"/>
      <c r="BG46" s="200"/>
      <c r="BH46" s="200"/>
      <c r="BI46" s="200"/>
      <c r="BJ46" s="201"/>
      <c r="BK46" s="167"/>
    </row>
    <row r="47" spans="1:63" ht="15" customHeight="1" x14ac:dyDescent="0.25">
      <c r="A47" s="166"/>
      <c r="B47" s="138"/>
      <c r="C47" s="136"/>
      <c r="D47" s="136"/>
      <c r="E47" s="136"/>
      <c r="F47" s="136"/>
      <c r="G47" s="137"/>
      <c r="H47" s="138"/>
      <c r="I47" s="136"/>
      <c r="J47" s="136"/>
      <c r="K47" s="136"/>
      <c r="L47" s="136"/>
      <c r="M47" s="136"/>
      <c r="N47" s="137"/>
      <c r="O47" s="138"/>
      <c r="P47" s="136"/>
      <c r="Q47" s="136"/>
      <c r="R47" s="136"/>
      <c r="S47" s="191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3"/>
      <c r="AX47" s="194"/>
      <c r="AY47" s="194"/>
      <c r="AZ47" s="194"/>
      <c r="BA47" s="194"/>
      <c r="BB47" s="194"/>
      <c r="BC47" s="195"/>
      <c r="BD47" s="196"/>
      <c r="BE47" s="194"/>
      <c r="BF47" s="194"/>
      <c r="BG47" s="194"/>
      <c r="BH47" s="194"/>
      <c r="BI47" s="194"/>
      <c r="BJ47" s="195"/>
      <c r="BK47" s="167"/>
    </row>
    <row r="48" spans="1:63" ht="15" customHeight="1" x14ac:dyDescent="0.25">
      <c r="A48" s="166"/>
      <c r="B48" s="148"/>
      <c r="C48" s="149"/>
      <c r="D48" s="149"/>
      <c r="E48" s="149"/>
      <c r="F48" s="149"/>
      <c r="G48" s="150"/>
      <c r="H48" s="148"/>
      <c r="I48" s="149"/>
      <c r="J48" s="149"/>
      <c r="K48" s="149"/>
      <c r="L48" s="149"/>
      <c r="M48" s="149"/>
      <c r="N48" s="150"/>
      <c r="O48" s="148"/>
      <c r="P48" s="149"/>
      <c r="Q48" s="149"/>
      <c r="R48" s="149"/>
      <c r="S48" s="197"/>
      <c r="T48" s="198"/>
      <c r="U48" s="198"/>
      <c r="V48" s="198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  <c r="AS48" s="198"/>
      <c r="AT48" s="198"/>
      <c r="AU48" s="198"/>
      <c r="AV48" s="198"/>
      <c r="AW48" s="199"/>
      <c r="AX48" s="200"/>
      <c r="AY48" s="200"/>
      <c r="AZ48" s="200"/>
      <c r="BA48" s="200"/>
      <c r="BB48" s="200"/>
      <c r="BC48" s="201"/>
      <c r="BD48" s="202"/>
      <c r="BE48" s="200"/>
      <c r="BF48" s="200"/>
      <c r="BG48" s="200"/>
      <c r="BH48" s="200"/>
      <c r="BI48" s="200"/>
      <c r="BJ48" s="201"/>
      <c r="BK48" s="167"/>
    </row>
    <row r="49" spans="1:63" ht="15" customHeight="1" x14ac:dyDescent="0.25">
      <c r="A49" s="166"/>
      <c r="B49" s="138"/>
      <c r="C49" s="136"/>
      <c r="D49" s="136"/>
      <c r="E49" s="136"/>
      <c r="F49" s="136"/>
      <c r="G49" s="137"/>
      <c r="H49" s="138"/>
      <c r="I49" s="136"/>
      <c r="J49" s="136"/>
      <c r="K49" s="136"/>
      <c r="L49" s="136"/>
      <c r="M49" s="136"/>
      <c r="N49" s="137"/>
      <c r="O49" s="138"/>
      <c r="P49" s="136"/>
      <c r="Q49" s="136"/>
      <c r="R49" s="136"/>
      <c r="S49" s="191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3"/>
      <c r="AX49" s="194"/>
      <c r="AY49" s="194"/>
      <c r="AZ49" s="194"/>
      <c r="BA49" s="194"/>
      <c r="BB49" s="194"/>
      <c r="BC49" s="195"/>
      <c r="BD49" s="196"/>
      <c r="BE49" s="194"/>
      <c r="BF49" s="194"/>
      <c r="BG49" s="194"/>
      <c r="BH49" s="194"/>
      <c r="BI49" s="194"/>
      <c r="BJ49" s="195"/>
      <c r="BK49" s="167"/>
    </row>
    <row r="50" spans="1:63" ht="15" customHeight="1" x14ac:dyDescent="0.25">
      <c r="A50" s="166"/>
      <c r="B50" s="148"/>
      <c r="C50" s="149"/>
      <c r="D50" s="149"/>
      <c r="E50" s="149"/>
      <c r="F50" s="149"/>
      <c r="G50" s="150"/>
      <c r="H50" s="148"/>
      <c r="I50" s="149"/>
      <c r="J50" s="149"/>
      <c r="K50" s="149"/>
      <c r="L50" s="149"/>
      <c r="M50" s="149"/>
      <c r="N50" s="150"/>
      <c r="O50" s="148"/>
      <c r="P50" s="149"/>
      <c r="Q50" s="149"/>
      <c r="R50" s="149"/>
      <c r="S50" s="197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  <c r="AO50" s="198"/>
      <c r="AP50" s="198"/>
      <c r="AQ50" s="198"/>
      <c r="AR50" s="198"/>
      <c r="AS50" s="198"/>
      <c r="AT50" s="198"/>
      <c r="AU50" s="198"/>
      <c r="AV50" s="198"/>
      <c r="AW50" s="199"/>
      <c r="AX50" s="200"/>
      <c r="AY50" s="200"/>
      <c r="AZ50" s="200"/>
      <c r="BA50" s="200"/>
      <c r="BB50" s="200"/>
      <c r="BC50" s="201"/>
      <c r="BD50" s="202"/>
      <c r="BE50" s="200"/>
      <c r="BF50" s="200"/>
      <c r="BG50" s="200"/>
      <c r="BH50" s="200"/>
      <c r="BI50" s="200"/>
      <c r="BJ50" s="201"/>
      <c r="BK50" s="167"/>
    </row>
    <row r="51" spans="1:63" ht="15" customHeight="1" x14ac:dyDescent="0.25">
      <c r="A51" s="166"/>
      <c r="B51" s="138"/>
      <c r="C51" s="136"/>
      <c r="D51" s="136"/>
      <c r="E51" s="136"/>
      <c r="F51" s="136"/>
      <c r="G51" s="137"/>
      <c r="H51" s="138"/>
      <c r="I51" s="136"/>
      <c r="J51" s="136"/>
      <c r="K51" s="136"/>
      <c r="L51" s="136"/>
      <c r="M51" s="136"/>
      <c r="N51" s="137"/>
      <c r="O51" s="138"/>
      <c r="P51" s="136"/>
      <c r="Q51" s="136"/>
      <c r="R51" s="136"/>
      <c r="S51" s="191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3"/>
      <c r="AX51" s="194"/>
      <c r="AY51" s="194"/>
      <c r="AZ51" s="194"/>
      <c r="BA51" s="194"/>
      <c r="BB51" s="194"/>
      <c r="BC51" s="195"/>
      <c r="BD51" s="196"/>
      <c r="BE51" s="194"/>
      <c r="BF51" s="194"/>
      <c r="BG51" s="194"/>
      <c r="BH51" s="194"/>
      <c r="BI51" s="194"/>
      <c r="BJ51" s="195"/>
      <c r="BK51" s="167"/>
    </row>
    <row r="52" spans="1:63" ht="15" customHeight="1" x14ac:dyDescent="0.25">
      <c r="A52" s="166"/>
      <c r="B52" s="148"/>
      <c r="C52" s="149"/>
      <c r="D52" s="149"/>
      <c r="E52" s="149"/>
      <c r="F52" s="149"/>
      <c r="G52" s="150"/>
      <c r="H52" s="148"/>
      <c r="I52" s="149"/>
      <c r="J52" s="149"/>
      <c r="K52" s="149"/>
      <c r="L52" s="149"/>
      <c r="M52" s="149"/>
      <c r="N52" s="150"/>
      <c r="O52" s="148"/>
      <c r="P52" s="149"/>
      <c r="Q52" s="149"/>
      <c r="R52" s="149"/>
      <c r="S52" s="197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  <c r="AS52" s="198"/>
      <c r="AT52" s="198"/>
      <c r="AU52" s="198"/>
      <c r="AV52" s="198"/>
      <c r="AW52" s="199"/>
      <c r="AX52" s="200"/>
      <c r="AY52" s="200"/>
      <c r="AZ52" s="200"/>
      <c r="BA52" s="200"/>
      <c r="BB52" s="200"/>
      <c r="BC52" s="201"/>
      <c r="BD52" s="202"/>
      <c r="BE52" s="200"/>
      <c r="BF52" s="200"/>
      <c r="BG52" s="200"/>
      <c r="BH52" s="200"/>
      <c r="BI52" s="200"/>
      <c r="BJ52" s="201"/>
      <c r="BK52" s="167"/>
    </row>
    <row r="53" spans="1:63" ht="15" customHeight="1" x14ac:dyDescent="0.25">
      <c r="A53" s="166"/>
      <c r="B53" s="138"/>
      <c r="C53" s="136"/>
      <c r="D53" s="136"/>
      <c r="E53" s="136"/>
      <c r="F53" s="136"/>
      <c r="G53" s="137"/>
      <c r="H53" s="138"/>
      <c r="I53" s="136"/>
      <c r="J53" s="136"/>
      <c r="K53" s="136"/>
      <c r="L53" s="136"/>
      <c r="M53" s="136"/>
      <c r="N53" s="137"/>
      <c r="O53" s="138"/>
      <c r="P53" s="136"/>
      <c r="Q53" s="136"/>
      <c r="R53" s="136"/>
      <c r="S53" s="191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3"/>
      <c r="AX53" s="194"/>
      <c r="AY53" s="194"/>
      <c r="AZ53" s="194"/>
      <c r="BA53" s="194"/>
      <c r="BB53" s="194"/>
      <c r="BC53" s="195"/>
      <c r="BD53" s="196"/>
      <c r="BE53" s="194"/>
      <c r="BF53" s="194"/>
      <c r="BG53" s="194"/>
      <c r="BH53" s="194"/>
      <c r="BI53" s="194"/>
      <c r="BJ53" s="195"/>
      <c r="BK53" s="167"/>
    </row>
    <row r="54" spans="1:63" ht="15" customHeight="1" x14ac:dyDescent="0.25">
      <c r="A54" s="166"/>
      <c r="B54" s="148"/>
      <c r="C54" s="149"/>
      <c r="D54" s="149"/>
      <c r="E54" s="149"/>
      <c r="F54" s="149"/>
      <c r="G54" s="150"/>
      <c r="H54" s="148"/>
      <c r="I54" s="149"/>
      <c r="J54" s="149"/>
      <c r="K54" s="149"/>
      <c r="L54" s="149"/>
      <c r="M54" s="149"/>
      <c r="N54" s="150"/>
      <c r="O54" s="148"/>
      <c r="P54" s="149"/>
      <c r="Q54" s="149"/>
      <c r="R54" s="149"/>
      <c r="S54" s="197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  <c r="AS54" s="198"/>
      <c r="AT54" s="198"/>
      <c r="AU54" s="198"/>
      <c r="AV54" s="198"/>
      <c r="AW54" s="199"/>
      <c r="AX54" s="200"/>
      <c r="AY54" s="200"/>
      <c r="AZ54" s="200"/>
      <c r="BA54" s="200"/>
      <c r="BB54" s="200"/>
      <c r="BC54" s="201"/>
      <c r="BD54" s="202"/>
      <c r="BE54" s="200"/>
      <c r="BF54" s="200"/>
      <c r="BG54" s="200"/>
      <c r="BH54" s="200"/>
      <c r="BI54" s="200"/>
      <c r="BJ54" s="201"/>
      <c r="BK54" s="167"/>
    </row>
    <row r="55" spans="1:63" ht="15" customHeight="1" x14ac:dyDescent="0.25">
      <c r="A55" s="163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3" t="s">
        <v>121</v>
      </c>
      <c r="B1" s="204"/>
      <c r="C1" s="204"/>
      <c r="D1" s="204"/>
      <c r="E1" s="204"/>
      <c r="F1" s="204"/>
      <c r="G1" s="204"/>
      <c r="H1" s="204"/>
      <c r="I1" s="204"/>
      <c r="J1" s="205"/>
      <c r="K1" s="203" t="s">
        <v>122</v>
      </c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5"/>
      <c r="W1" s="206" t="str">
        <f>IF(表紙!W1="","",表紙!W1)</f>
        <v>詳細設計書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129" t="s">
        <v>124</v>
      </c>
      <c r="AQ1" s="130"/>
      <c r="AR1" s="130"/>
      <c r="AS1" s="131"/>
      <c r="AT1" s="129" t="s">
        <v>125</v>
      </c>
      <c r="AU1" s="130"/>
      <c r="AV1" s="130"/>
      <c r="AW1" s="130"/>
      <c r="AX1" s="131"/>
      <c r="AY1" s="129" t="s">
        <v>126</v>
      </c>
      <c r="AZ1" s="130"/>
      <c r="BA1" s="130"/>
      <c r="BB1" s="131"/>
      <c r="BC1" s="129" t="s">
        <v>127</v>
      </c>
      <c r="BD1" s="130"/>
      <c r="BE1" s="130"/>
      <c r="BF1" s="130"/>
      <c r="BG1" s="131"/>
      <c r="BH1" s="129" t="s">
        <v>128</v>
      </c>
      <c r="BI1" s="130"/>
      <c r="BJ1" s="130"/>
      <c r="BK1" s="131"/>
    </row>
    <row r="2" spans="1:63" ht="15" customHeight="1" x14ac:dyDescent="0.25">
      <c r="A2" s="61" t="str">
        <f>IF(表紙!A2="","",表紙!A2)</f>
        <v>POSサーバー</v>
      </c>
      <c r="B2" s="62"/>
      <c r="C2" s="62"/>
      <c r="D2" s="62"/>
      <c r="E2" s="62"/>
      <c r="F2" s="62"/>
      <c r="G2" s="62"/>
      <c r="H2" s="62"/>
      <c r="I2" s="62"/>
      <c r="J2" s="63"/>
      <c r="K2" s="61" t="str">
        <f>IF(表紙!K2="","",表紙!K2)</f>
        <v>POSサーバ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3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138" t="str">
        <f>IF(表紙!AP2="","",表紙!AP2)</f>
        <v>DuNT</v>
      </c>
      <c r="AQ2" s="136"/>
      <c r="AR2" s="136"/>
      <c r="AS2" s="137"/>
      <c r="AT2" s="142">
        <f>IF(表紙!AT2="","",表紙!AT2)</f>
        <v>45533</v>
      </c>
      <c r="AU2" s="143"/>
      <c r="AV2" s="143"/>
      <c r="AW2" s="143"/>
      <c r="AX2" s="144"/>
      <c r="AY2" s="138" t="str">
        <f>IF(表紙!AY2="","",表紙!AY2)</f>
        <v>DuNT</v>
      </c>
      <c r="AZ2" s="136"/>
      <c r="BA2" s="136"/>
      <c r="BB2" s="137"/>
      <c r="BC2" s="142">
        <f>IF(表紙!BC2="","",表紙!BC2)</f>
        <v>45533</v>
      </c>
      <c r="BD2" s="143"/>
      <c r="BE2" s="143"/>
      <c r="BF2" s="143"/>
      <c r="BG2" s="144"/>
      <c r="BH2" s="138">
        <f>IF(表紙!BH2="","",表紙!BH2)</f>
        <v>0.1</v>
      </c>
      <c r="BI2" s="136"/>
      <c r="BJ2" s="136"/>
      <c r="BK2" s="137"/>
    </row>
    <row r="3" spans="1:63" ht="15" customHeight="1" x14ac:dyDescent="0.25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48"/>
      <c r="BI3" s="149"/>
      <c r="BJ3" s="149"/>
      <c r="BK3" s="150"/>
    </row>
    <row r="4" spans="1:63" ht="24.95" customHeight="1" x14ac:dyDescent="0.25">
      <c r="A4" s="203" t="s">
        <v>130</v>
      </c>
      <c r="B4" s="204"/>
      <c r="C4" s="204"/>
      <c r="D4" s="204"/>
      <c r="E4" s="204"/>
      <c r="F4" s="204"/>
      <c r="G4" s="205"/>
      <c r="H4" s="57" t="str">
        <f>IF(表紙!H4="","",表紙!H4)</f>
        <v>AP0101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9"/>
      <c r="U4" s="203" t="s">
        <v>131</v>
      </c>
      <c r="V4" s="204"/>
      <c r="W4" s="204"/>
      <c r="X4" s="204"/>
      <c r="Y4" s="205"/>
      <c r="Z4" s="57" t="str">
        <f>IF(表紙!Z4="","",表紙!Z4)</f>
        <v>API設計書</v>
      </c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9"/>
      <c r="AP4" s="60" t="str">
        <f ca="1">MID(CELL("filename",A1),FIND("]",CELL("filename",A1))+1,255)</f>
        <v>処理フロー凡例</v>
      </c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9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35" customFormat="1" ht="15" customHeight="1" x14ac:dyDescent="0.25">
      <c r="A7" s="215"/>
      <c r="B7" s="216" t="s">
        <v>139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8"/>
      <c r="AF7" s="219"/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  <c r="BI7" s="218"/>
      <c r="BJ7" s="217"/>
      <c r="BK7" s="220"/>
    </row>
    <row r="8" spans="1:63" s="221" customFormat="1" ht="15" customHeight="1" x14ac:dyDescent="0.25">
      <c r="BK8" s="220"/>
    </row>
    <row r="9" spans="1:63" s="221" customFormat="1" ht="15" customHeight="1" x14ac:dyDescent="0.25">
      <c r="BK9" s="220"/>
    </row>
    <row r="10" spans="1:63" s="221" customFormat="1" ht="15" customHeight="1" x14ac:dyDescent="0.25">
      <c r="BK10" s="220"/>
    </row>
    <row r="11" spans="1:63" s="221" customFormat="1" ht="15" customHeight="1" x14ac:dyDescent="0.25">
      <c r="BK11" s="220"/>
    </row>
    <row r="12" spans="1:63" s="221" customFormat="1" ht="15" customHeight="1" x14ac:dyDescent="0.25">
      <c r="BK12" s="220"/>
    </row>
    <row r="13" spans="1:63" s="221" customFormat="1" ht="15" customHeight="1" x14ac:dyDescent="0.25">
      <c r="BK13" s="220"/>
    </row>
    <row r="14" spans="1:63" s="221" customFormat="1" ht="15" customHeight="1" x14ac:dyDescent="0.25">
      <c r="BK14" s="220"/>
    </row>
    <row r="15" spans="1:63" s="221" customFormat="1" ht="15" customHeight="1" x14ac:dyDescent="0.25">
      <c r="BK15" s="220"/>
    </row>
    <row r="16" spans="1:63" s="221" customFormat="1" ht="15" customHeight="1" x14ac:dyDescent="0.25">
      <c r="BK16" s="220"/>
    </row>
    <row r="17" spans="63:63" s="221" customFormat="1" ht="15" customHeight="1" x14ac:dyDescent="0.25">
      <c r="BK17" s="220"/>
    </row>
    <row r="18" spans="63:63" s="221" customFormat="1" ht="15" customHeight="1" x14ac:dyDescent="0.25">
      <c r="BK18" s="220"/>
    </row>
    <row r="19" spans="63:63" s="221" customFormat="1" ht="15" customHeight="1" x14ac:dyDescent="0.25">
      <c r="BK19" s="220"/>
    </row>
    <row r="20" spans="63:63" s="221" customFormat="1" ht="15" customHeight="1" x14ac:dyDescent="0.25">
      <c r="BK20" s="220"/>
    </row>
    <row r="21" spans="63:63" s="221" customFormat="1" ht="15" customHeight="1" x14ac:dyDescent="0.25">
      <c r="BK21" s="220"/>
    </row>
    <row r="22" spans="63:63" s="221" customFormat="1" ht="15" customHeight="1" x14ac:dyDescent="0.25">
      <c r="BK22" s="220"/>
    </row>
    <row r="23" spans="63:63" s="221" customFormat="1" ht="15" customHeight="1" x14ac:dyDescent="0.25">
      <c r="BK23" s="220"/>
    </row>
    <row r="24" spans="63:63" s="221" customFormat="1" ht="15" customHeight="1" x14ac:dyDescent="0.25">
      <c r="BK24" s="220"/>
    </row>
    <row r="25" spans="63:63" s="221" customFormat="1" ht="15" customHeight="1" x14ac:dyDescent="0.25">
      <c r="BK25" s="220"/>
    </row>
    <row r="26" spans="63:63" s="221" customFormat="1" ht="15" customHeight="1" x14ac:dyDescent="0.25">
      <c r="BK26" s="220"/>
    </row>
    <row r="27" spans="63:63" s="221" customFormat="1" ht="15" customHeight="1" x14ac:dyDescent="0.25">
      <c r="BK27" s="220"/>
    </row>
    <row r="28" spans="63:63" s="221" customFormat="1" ht="15" customHeight="1" x14ac:dyDescent="0.25">
      <c r="BK28" s="220"/>
    </row>
    <row r="29" spans="63:63" s="221" customFormat="1" ht="15" customHeight="1" x14ac:dyDescent="0.25">
      <c r="BK29" s="220"/>
    </row>
    <row r="30" spans="63:63" s="221" customFormat="1" ht="15" customHeight="1" x14ac:dyDescent="0.25">
      <c r="BK30" s="220"/>
    </row>
    <row r="31" spans="63:63" s="221" customFormat="1" ht="15" customHeight="1" x14ac:dyDescent="0.25">
      <c r="BK31" s="220"/>
    </row>
    <row r="32" spans="63:63" s="221" customFormat="1" ht="15" customHeight="1" x14ac:dyDescent="0.25">
      <c r="BK32" s="220"/>
    </row>
    <row r="33" spans="63:63" s="221" customFormat="1" ht="15" customHeight="1" x14ac:dyDescent="0.25">
      <c r="BK33" s="220"/>
    </row>
    <row r="34" spans="63:63" s="221" customFormat="1" ht="15" customHeight="1" x14ac:dyDescent="0.25">
      <c r="BK34" s="220"/>
    </row>
    <row r="35" spans="63:63" s="221" customFormat="1" ht="15" customHeight="1" x14ac:dyDescent="0.25">
      <c r="BK35" s="220"/>
    </row>
    <row r="36" spans="63:63" s="221" customFormat="1" ht="15" customHeight="1" x14ac:dyDescent="0.25">
      <c r="BK36" s="220"/>
    </row>
    <row r="37" spans="63:63" s="221" customFormat="1" ht="15" customHeight="1" x14ac:dyDescent="0.25">
      <c r="BK37" s="220"/>
    </row>
    <row r="38" spans="63:63" s="221" customFormat="1" ht="15" customHeight="1" x14ac:dyDescent="0.25">
      <c r="BK38" s="220"/>
    </row>
    <row r="39" spans="63:63" s="221" customFormat="1" ht="15" customHeight="1" x14ac:dyDescent="0.25">
      <c r="BK39" s="220"/>
    </row>
    <row r="40" spans="63:63" s="221" customFormat="1" ht="15" customHeight="1" x14ac:dyDescent="0.25">
      <c r="BK40" s="220"/>
    </row>
    <row r="41" spans="63:63" s="221" customFormat="1" ht="15" customHeight="1" x14ac:dyDescent="0.25">
      <c r="BK41" s="220"/>
    </row>
    <row r="42" spans="63:63" s="221" customFormat="1" ht="15" customHeight="1" x14ac:dyDescent="0.25">
      <c r="BK42" s="220"/>
    </row>
    <row r="43" spans="63:63" s="221" customFormat="1" ht="15" customHeight="1" x14ac:dyDescent="0.25">
      <c r="BK43" s="220"/>
    </row>
    <row r="44" spans="63:63" s="221" customFormat="1" ht="15" customHeight="1" x14ac:dyDescent="0.25">
      <c r="BK44" s="220"/>
    </row>
    <row r="45" spans="63:63" s="221" customFormat="1" ht="15" customHeight="1" x14ac:dyDescent="0.25">
      <c r="BK45" s="220"/>
    </row>
    <row r="46" spans="63:63" s="221" customFormat="1" ht="15" customHeight="1" x14ac:dyDescent="0.25">
      <c r="BK46" s="220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145"/>
  <sheetViews>
    <sheetView view="pageBreakPreview" zoomScale="85" zoomScaleNormal="85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3" t="s">
        <v>121</v>
      </c>
      <c r="B1" s="204"/>
      <c r="C1" s="204"/>
      <c r="D1" s="204"/>
      <c r="E1" s="204"/>
      <c r="F1" s="204"/>
      <c r="G1" s="204"/>
      <c r="H1" s="204"/>
      <c r="I1" s="204"/>
      <c r="J1" s="205"/>
      <c r="K1" s="203" t="s">
        <v>122</v>
      </c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5"/>
      <c r="W1" s="206" t="str">
        <f>IF(表紙!W1="","",表紙!W1)</f>
        <v>詳細設計書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129" t="s">
        <v>124</v>
      </c>
      <c r="AQ1" s="130"/>
      <c r="AR1" s="130"/>
      <c r="AS1" s="131"/>
      <c r="AT1" s="129" t="s">
        <v>125</v>
      </c>
      <c r="AU1" s="130"/>
      <c r="AV1" s="130"/>
      <c r="AW1" s="130"/>
      <c r="AX1" s="131"/>
      <c r="AY1" s="129" t="s">
        <v>126</v>
      </c>
      <c r="AZ1" s="130"/>
      <c r="BA1" s="130"/>
      <c r="BB1" s="131"/>
      <c r="BC1" s="129" t="s">
        <v>127</v>
      </c>
      <c r="BD1" s="130"/>
      <c r="BE1" s="130"/>
      <c r="BF1" s="130"/>
      <c r="BG1" s="131"/>
      <c r="BH1" s="129" t="s">
        <v>128</v>
      </c>
      <c r="BI1" s="130"/>
      <c r="BJ1" s="130"/>
      <c r="BK1" s="131"/>
    </row>
    <row r="2" spans="1:63" ht="15" customHeight="1" x14ac:dyDescent="0.25">
      <c r="A2" s="61" t="str">
        <f>IF(表紙!A2="","",表紙!A2)</f>
        <v>POSサーバー</v>
      </c>
      <c r="B2" s="62"/>
      <c r="C2" s="62"/>
      <c r="D2" s="62"/>
      <c r="E2" s="62"/>
      <c r="F2" s="62"/>
      <c r="G2" s="62"/>
      <c r="H2" s="62"/>
      <c r="I2" s="62"/>
      <c r="J2" s="63"/>
      <c r="K2" s="61" t="str">
        <f>IF(表紙!K2="","",表紙!K2)</f>
        <v>POSサーバ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3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138" t="str">
        <f>IF(表紙!AP2="","",表紙!AP2)</f>
        <v>DuNT</v>
      </c>
      <c r="AQ2" s="136"/>
      <c r="AR2" s="136"/>
      <c r="AS2" s="137"/>
      <c r="AT2" s="142">
        <f>IF(表紙!AT2="","",表紙!AT2)</f>
        <v>45533</v>
      </c>
      <c r="AU2" s="143"/>
      <c r="AV2" s="143"/>
      <c r="AW2" s="143"/>
      <c r="AX2" s="144"/>
      <c r="AY2" s="138" t="str">
        <f>IF(表紙!AY2="","",表紙!AY2)</f>
        <v>DuNT</v>
      </c>
      <c r="AZ2" s="136"/>
      <c r="BA2" s="136"/>
      <c r="BB2" s="137"/>
      <c r="BC2" s="142">
        <f>IF(表紙!BC2="","",表紙!BC2)</f>
        <v>45533</v>
      </c>
      <c r="BD2" s="143"/>
      <c r="BE2" s="143"/>
      <c r="BF2" s="143"/>
      <c r="BG2" s="144"/>
      <c r="BH2" s="138">
        <f>IF(表紙!BH2="","",表紙!BH2)</f>
        <v>0.1</v>
      </c>
      <c r="BI2" s="136"/>
      <c r="BJ2" s="136"/>
      <c r="BK2" s="137"/>
    </row>
    <row r="3" spans="1:63" ht="15" customHeight="1" x14ac:dyDescent="0.25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48"/>
      <c r="BI3" s="149"/>
      <c r="BJ3" s="149"/>
      <c r="BK3" s="150"/>
    </row>
    <row r="4" spans="1:63" ht="24.95" customHeight="1" x14ac:dyDescent="0.25">
      <c r="A4" s="203" t="s">
        <v>130</v>
      </c>
      <c r="B4" s="204"/>
      <c r="C4" s="204"/>
      <c r="D4" s="204"/>
      <c r="E4" s="204"/>
      <c r="F4" s="204"/>
      <c r="G4" s="205"/>
      <c r="H4" s="57" t="str">
        <f>IF(表紙!H4="","",表紙!H4)</f>
        <v>AP0101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9"/>
      <c r="U4" s="203" t="s">
        <v>131</v>
      </c>
      <c r="V4" s="204"/>
      <c r="W4" s="204"/>
      <c r="X4" s="204"/>
      <c r="Y4" s="205"/>
      <c r="Z4" s="57" t="str">
        <f>IF(表紙!Z4="","",表紙!Z4)</f>
        <v>API設計書</v>
      </c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9"/>
      <c r="AP4" s="60" t="str">
        <f ca="1">MID(CELL("filename",A1),FIND("]",CELL("filename",A1))+1,255)</f>
        <v>AP0111</v>
      </c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9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140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222"/>
      <c r="AQ7" s="222"/>
      <c r="AR7" s="222"/>
      <c r="AS7" s="222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23"/>
      <c r="AQ8" s="223"/>
      <c r="AR8" s="223"/>
      <c r="AS8" s="223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35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23"/>
      <c r="AQ9" s="223"/>
      <c r="AR9" s="223"/>
      <c r="AS9" s="223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23"/>
      <c r="AQ10" s="223"/>
      <c r="AR10" s="223"/>
      <c r="AS10" s="223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141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142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92" t="s">
        <v>11</v>
      </c>
      <c r="D15" s="93"/>
      <c r="E15" s="92" t="s">
        <v>12</v>
      </c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3"/>
      <c r="AG15" s="92" t="s">
        <v>13</v>
      </c>
      <c r="AH15" s="94"/>
      <c r="AI15" s="94"/>
      <c r="AJ15" s="94"/>
      <c r="AK15" s="94"/>
      <c r="AL15" s="94"/>
      <c r="AM15" s="94"/>
      <c r="AN15" s="94"/>
      <c r="AO15" s="94"/>
      <c r="AP15" s="93"/>
      <c r="AQ15" s="92" t="s">
        <v>14</v>
      </c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3"/>
      <c r="BK15" s="18"/>
    </row>
    <row r="16" spans="1:63" s="19" customFormat="1" ht="15" customHeight="1" x14ac:dyDescent="0.25">
      <c r="A16" s="14"/>
      <c r="B16" s="21"/>
      <c r="C16" s="67">
        <v>1</v>
      </c>
      <c r="D16" s="68"/>
      <c r="E16" s="95" t="s">
        <v>117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7"/>
      <c r="AG16" s="67" t="s">
        <v>23</v>
      </c>
      <c r="AH16" s="69"/>
      <c r="AI16" s="69"/>
      <c r="AJ16" s="69"/>
      <c r="AK16" s="69"/>
      <c r="AL16" s="69"/>
      <c r="AM16" s="69"/>
      <c r="AN16" s="69"/>
      <c r="AO16" s="69"/>
      <c r="AP16" s="68"/>
      <c r="AQ16" s="89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1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143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103" t="s">
        <v>144</v>
      </c>
      <c r="D20" s="111"/>
      <c r="E20" s="103" t="s">
        <v>145</v>
      </c>
      <c r="F20" s="110"/>
      <c r="G20" s="110"/>
      <c r="H20" s="110"/>
      <c r="I20" s="110"/>
      <c r="J20" s="110"/>
      <c r="K20" s="111"/>
      <c r="L20" s="92" t="s">
        <v>15</v>
      </c>
      <c r="M20" s="94"/>
      <c r="N20" s="93"/>
      <c r="O20" s="92" t="s">
        <v>16</v>
      </c>
      <c r="P20" s="94"/>
      <c r="Q20" s="94"/>
      <c r="R20" s="93"/>
      <c r="S20" s="92" t="s">
        <v>17</v>
      </c>
      <c r="T20" s="94"/>
      <c r="U20" s="94"/>
      <c r="V20" s="94"/>
      <c r="W20" s="94"/>
      <c r="X20" s="94"/>
      <c r="Y20" s="93"/>
      <c r="Z20" s="103" t="s">
        <v>146</v>
      </c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92" t="s">
        <v>14</v>
      </c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3"/>
      <c r="BK20" s="18"/>
    </row>
    <row r="21" spans="1:63" s="19" customFormat="1" ht="15" customHeight="1" x14ac:dyDescent="0.25">
      <c r="A21" s="14"/>
      <c r="B21" s="21"/>
      <c r="C21" s="67">
        <v>1</v>
      </c>
      <c r="D21" s="68"/>
      <c r="E21" s="224" t="s">
        <v>3</v>
      </c>
      <c r="F21" s="225"/>
      <c r="G21" s="225"/>
      <c r="H21" s="225"/>
      <c r="I21" s="225"/>
      <c r="J21" s="225"/>
      <c r="K21" s="226"/>
      <c r="L21" s="112" t="s">
        <v>4</v>
      </c>
      <c r="M21" s="105"/>
      <c r="N21" s="106"/>
      <c r="O21" s="67" t="s">
        <v>5</v>
      </c>
      <c r="P21" s="69"/>
      <c r="Q21" s="69"/>
      <c r="R21" s="68"/>
      <c r="S21" s="67" t="s">
        <v>28</v>
      </c>
      <c r="T21" s="69"/>
      <c r="U21" s="69"/>
      <c r="V21" s="69"/>
      <c r="W21" s="69"/>
      <c r="X21" s="69"/>
      <c r="Y21" s="68"/>
      <c r="Z21" s="224" t="s">
        <v>6</v>
      </c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6"/>
      <c r="AQ21" s="227" t="s">
        <v>147</v>
      </c>
      <c r="AR21" s="228"/>
      <c r="AS21" s="228"/>
      <c r="AT21" s="228"/>
      <c r="AU21" s="228"/>
      <c r="AV21" s="228"/>
      <c r="AW21" s="228"/>
      <c r="AX21" s="228"/>
      <c r="AY21" s="228"/>
      <c r="AZ21" s="228"/>
      <c r="BA21" s="228"/>
      <c r="BB21" s="228"/>
      <c r="BC21" s="228"/>
      <c r="BD21" s="228"/>
      <c r="BE21" s="228"/>
      <c r="BF21" s="228"/>
      <c r="BG21" s="228"/>
      <c r="BH21" s="228"/>
      <c r="BI21" s="228"/>
      <c r="BJ21" s="229"/>
      <c r="BK21" s="18"/>
    </row>
    <row r="22" spans="1:63" s="19" customFormat="1" ht="15" customHeight="1" x14ac:dyDescent="0.25">
      <c r="A22" s="14"/>
      <c r="B22" s="21"/>
      <c r="C22" s="67">
        <v>2</v>
      </c>
      <c r="D22" s="68"/>
      <c r="E22" s="224" t="s">
        <v>7</v>
      </c>
      <c r="F22" s="225"/>
      <c r="G22" s="225"/>
      <c r="H22" s="225"/>
      <c r="I22" s="225"/>
      <c r="J22" s="225"/>
      <c r="K22" s="226"/>
      <c r="L22" s="112" t="s">
        <v>28</v>
      </c>
      <c r="M22" s="105"/>
      <c r="N22" s="106"/>
      <c r="O22" s="67" t="s">
        <v>5</v>
      </c>
      <c r="P22" s="69"/>
      <c r="Q22" s="69"/>
      <c r="R22" s="68"/>
      <c r="S22" s="67" t="s">
        <v>28</v>
      </c>
      <c r="T22" s="69"/>
      <c r="U22" s="69"/>
      <c r="V22" s="69"/>
      <c r="W22" s="69"/>
      <c r="X22" s="69"/>
      <c r="Y22" s="68"/>
      <c r="Z22" s="224" t="s">
        <v>7</v>
      </c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6"/>
      <c r="AQ22" s="230"/>
      <c r="AR22" s="228"/>
      <c r="AS22" s="228"/>
      <c r="AT22" s="228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8"/>
      <c r="BF22" s="228"/>
      <c r="BG22" s="228"/>
      <c r="BH22" s="228"/>
      <c r="BI22" s="228"/>
      <c r="BJ22" s="229"/>
      <c r="BK22" s="18"/>
    </row>
    <row r="23" spans="1:63" s="19" customFormat="1" ht="15" customHeight="1" x14ac:dyDescent="0.25">
      <c r="A23" s="14"/>
      <c r="B23" s="21"/>
      <c r="C23" s="113">
        <v>3</v>
      </c>
      <c r="D23" s="114"/>
      <c r="E23" s="231" t="s">
        <v>8</v>
      </c>
      <c r="F23" s="232"/>
      <c r="G23" s="232"/>
      <c r="H23" s="232"/>
      <c r="I23" s="232"/>
      <c r="J23" s="232"/>
      <c r="K23" s="233"/>
      <c r="L23" s="234" t="s">
        <v>4</v>
      </c>
      <c r="M23" s="235"/>
      <c r="N23" s="236"/>
      <c r="O23" s="237" t="s">
        <v>5</v>
      </c>
      <c r="P23" s="238"/>
      <c r="Q23" s="238"/>
      <c r="R23" s="239"/>
      <c r="S23" s="237" t="s">
        <v>19</v>
      </c>
      <c r="T23" s="238"/>
      <c r="U23" s="238"/>
      <c r="V23" s="238"/>
      <c r="W23" s="238"/>
      <c r="X23" s="238"/>
      <c r="Y23" s="239"/>
      <c r="Z23" s="240" t="s">
        <v>19</v>
      </c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2"/>
      <c r="AQ23" s="243"/>
      <c r="AR23" s="243"/>
      <c r="AS23" s="243"/>
      <c r="AT23" s="243"/>
      <c r="AU23" s="243"/>
      <c r="AV23" s="243"/>
      <c r="AW23" s="243"/>
      <c r="AX23" s="243"/>
      <c r="AY23" s="243"/>
      <c r="AZ23" s="243"/>
      <c r="BA23" s="243"/>
      <c r="BB23" s="243"/>
      <c r="BC23" s="243"/>
      <c r="BD23" s="243"/>
      <c r="BE23" s="243"/>
      <c r="BF23" s="243"/>
      <c r="BG23" s="243"/>
      <c r="BH23" s="243"/>
      <c r="BI23" s="243"/>
      <c r="BJ23" s="244"/>
      <c r="BK23" s="18"/>
    </row>
    <row r="24" spans="1:63" s="19" customFormat="1" ht="15" customHeight="1" x14ac:dyDescent="0.25">
      <c r="A24" s="14"/>
      <c r="B24" s="21"/>
      <c r="C24" s="115"/>
      <c r="D24" s="116"/>
      <c r="E24" s="245"/>
      <c r="F24" s="246"/>
      <c r="G24" s="246"/>
      <c r="H24" s="246"/>
      <c r="I24" s="246"/>
      <c r="J24" s="246"/>
      <c r="K24" s="247"/>
      <c r="L24" s="248"/>
      <c r="M24" s="249"/>
      <c r="N24" s="250"/>
      <c r="O24" s="251"/>
      <c r="P24" s="252"/>
      <c r="Q24" s="252"/>
      <c r="R24" s="253"/>
      <c r="S24" s="251"/>
      <c r="T24" s="252"/>
      <c r="U24" s="252"/>
      <c r="V24" s="252"/>
      <c r="W24" s="252"/>
      <c r="X24" s="252"/>
      <c r="Y24" s="253"/>
      <c r="Z24" s="254"/>
      <c r="AA24" s="255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6"/>
      <c r="AQ24" s="257"/>
      <c r="AR24" s="257"/>
      <c r="AS24" s="257"/>
      <c r="AT24" s="257"/>
      <c r="AU24" s="257"/>
      <c r="AV24" s="257"/>
      <c r="AW24" s="257"/>
      <c r="AX24" s="257"/>
      <c r="AY24" s="257"/>
      <c r="AZ24" s="257"/>
      <c r="BA24" s="257"/>
      <c r="BB24" s="257"/>
      <c r="BC24" s="257"/>
      <c r="BD24" s="257"/>
      <c r="BE24" s="257"/>
      <c r="BF24" s="257"/>
      <c r="BG24" s="257"/>
      <c r="BH24" s="257"/>
      <c r="BI24" s="257"/>
      <c r="BJ24" s="258"/>
      <c r="BK24" s="18"/>
    </row>
    <row r="25" spans="1:63" s="19" customFormat="1" ht="15" customHeight="1" x14ac:dyDescent="0.25">
      <c r="A25" s="14"/>
      <c r="B25" s="21"/>
      <c r="C25" s="117"/>
      <c r="D25" s="118"/>
      <c r="E25" s="259"/>
      <c r="F25" s="260"/>
      <c r="G25" s="260"/>
      <c r="H25" s="260"/>
      <c r="I25" s="260"/>
      <c r="J25" s="260"/>
      <c r="K25" s="261"/>
      <c r="L25" s="262"/>
      <c r="M25" s="263"/>
      <c r="N25" s="264"/>
      <c r="O25" s="265"/>
      <c r="P25" s="266"/>
      <c r="Q25" s="266"/>
      <c r="R25" s="267"/>
      <c r="S25" s="265"/>
      <c r="T25" s="266"/>
      <c r="U25" s="266"/>
      <c r="V25" s="266"/>
      <c r="W25" s="266"/>
      <c r="X25" s="266"/>
      <c r="Y25" s="267"/>
      <c r="Z25" s="268"/>
      <c r="AA25" s="269"/>
      <c r="AB25" s="269"/>
      <c r="AC25" s="269"/>
      <c r="AD25" s="269"/>
      <c r="AE25" s="269"/>
      <c r="AF25" s="269"/>
      <c r="AG25" s="269"/>
      <c r="AH25" s="269"/>
      <c r="AI25" s="269"/>
      <c r="AJ25" s="269"/>
      <c r="AK25" s="269"/>
      <c r="AL25" s="269"/>
      <c r="AM25" s="269"/>
      <c r="AN25" s="269"/>
      <c r="AO25" s="269"/>
      <c r="AP25" s="270"/>
      <c r="AQ25" s="271"/>
      <c r="AR25" s="271"/>
      <c r="AS25" s="271"/>
      <c r="AT25" s="271"/>
      <c r="AU25" s="271"/>
      <c r="AV25" s="271"/>
      <c r="AW25" s="271"/>
      <c r="AX25" s="271"/>
      <c r="AY25" s="271"/>
      <c r="AZ25" s="271"/>
      <c r="BA25" s="271"/>
      <c r="BB25" s="271"/>
      <c r="BC25" s="271"/>
      <c r="BD25" s="271"/>
      <c r="BE25" s="271"/>
      <c r="BF25" s="271"/>
      <c r="BG25" s="271"/>
      <c r="BH25" s="271"/>
      <c r="BI25" s="271"/>
      <c r="BJ25" s="272"/>
      <c r="BK25" s="18"/>
    </row>
    <row r="26" spans="1:63" s="19" customFormat="1" ht="15" customHeight="1" x14ac:dyDescent="0.25">
      <c r="A26" s="14"/>
      <c r="B26" s="21"/>
      <c r="C26" s="67">
        <v>5</v>
      </c>
      <c r="D26" s="68"/>
      <c r="E26" s="224" t="s">
        <v>9</v>
      </c>
      <c r="F26" s="225"/>
      <c r="G26" s="225"/>
      <c r="H26" s="225"/>
      <c r="I26" s="225"/>
      <c r="J26" s="225"/>
      <c r="K26" s="226"/>
      <c r="L26" s="112" t="s">
        <v>28</v>
      </c>
      <c r="M26" s="105"/>
      <c r="N26" s="106"/>
      <c r="O26" s="67" t="s">
        <v>5</v>
      </c>
      <c r="P26" s="69"/>
      <c r="Q26" s="69"/>
      <c r="R26" s="68"/>
      <c r="S26" s="67" t="s">
        <v>28</v>
      </c>
      <c r="T26" s="69"/>
      <c r="U26" s="69"/>
      <c r="V26" s="69"/>
      <c r="W26" s="69"/>
      <c r="X26" s="69"/>
      <c r="Y26" s="68"/>
      <c r="Z26" s="224" t="s">
        <v>9</v>
      </c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6"/>
      <c r="AQ26" s="230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228"/>
      <c r="BH26" s="228"/>
      <c r="BI26" s="228"/>
      <c r="BJ26" s="229"/>
      <c r="BK26" s="18"/>
    </row>
    <row r="27" spans="1:63" s="19" customFormat="1" ht="15" customHeight="1" x14ac:dyDescent="0.25">
      <c r="A27" s="14"/>
      <c r="B27" s="21"/>
      <c r="C27" s="67">
        <v>6</v>
      </c>
      <c r="D27" s="68"/>
      <c r="E27" s="224" t="s">
        <v>10</v>
      </c>
      <c r="F27" s="225"/>
      <c r="G27" s="225"/>
      <c r="H27" s="225"/>
      <c r="I27" s="225"/>
      <c r="J27" s="225"/>
      <c r="K27" s="226"/>
      <c r="L27" s="112" t="s">
        <v>28</v>
      </c>
      <c r="M27" s="105"/>
      <c r="N27" s="106"/>
      <c r="O27" s="67" t="s">
        <v>5</v>
      </c>
      <c r="P27" s="69"/>
      <c r="Q27" s="69"/>
      <c r="R27" s="68"/>
      <c r="S27" s="67" t="s">
        <v>28</v>
      </c>
      <c r="T27" s="69"/>
      <c r="U27" s="69"/>
      <c r="V27" s="69"/>
      <c r="W27" s="69"/>
      <c r="X27" s="69"/>
      <c r="Y27" s="68"/>
      <c r="Z27" s="224" t="s">
        <v>10</v>
      </c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6"/>
      <c r="AQ27" s="230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9"/>
      <c r="BK27" s="18"/>
    </row>
    <row r="28" spans="1:63" s="19" customFormat="1" ht="15" customHeight="1" x14ac:dyDescent="0.25">
      <c r="A28" s="14"/>
      <c r="B28" s="21"/>
      <c r="C28" s="21"/>
      <c r="D28" s="21"/>
      <c r="E28" s="223"/>
      <c r="F28" s="223"/>
      <c r="G28" s="223"/>
      <c r="H28" s="223"/>
      <c r="I28" s="21"/>
      <c r="J28" s="21"/>
      <c r="K28" s="21"/>
      <c r="L28" s="273"/>
      <c r="M28" s="223"/>
      <c r="N28" s="223"/>
      <c r="O28" s="223"/>
      <c r="P28" s="223"/>
      <c r="Q28" s="21"/>
      <c r="R28" s="21"/>
      <c r="S28" s="21"/>
      <c r="T28" s="21"/>
      <c r="U28" s="21"/>
      <c r="V28" s="21"/>
      <c r="W28" s="21"/>
      <c r="X28" s="21"/>
      <c r="Y28" s="21"/>
      <c r="Z28" s="28"/>
      <c r="AA28" s="21"/>
      <c r="AB28" s="21"/>
      <c r="AC28" s="21"/>
      <c r="AD28" s="21"/>
      <c r="AE28" s="21"/>
      <c r="AF28" s="21"/>
      <c r="AG28" s="223"/>
      <c r="AH28" s="223"/>
      <c r="AI28" s="223"/>
      <c r="AJ28" s="223"/>
      <c r="AK28" s="223"/>
      <c r="AL28" s="223"/>
      <c r="AM28" s="223"/>
      <c r="AN28" s="223"/>
      <c r="AO28" s="223"/>
      <c r="AP28" s="21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2"/>
      <c r="BI28" s="22"/>
      <c r="BJ28" s="22"/>
      <c r="BK28" s="18"/>
    </row>
    <row r="29" spans="1:63" s="19" customFormat="1" ht="15" customHeight="1" x14ac:dyDescent="0.25">
      <c r="A29" s="14"/>
      <c r="B29" s="21"/>
      <c r="C29" s="21"/>
      <c r="D29" s="21"/>
      <c r="E29" s="223"/>
      <c r="F29" s="223"/>
      <c r="G29" s="223"/>
      <c r="H29" s="223"/>
      <c r="I29" s="21"/>
      <c r="J29" s="21"/>
      <c r="K29" s="21"/>
      <c r="L29" s="30"/>
      <c r="M29" s="223"/>
      <c r="N29" s="223"/>
      <c r="O29" s="223"/>
      <c r="P29" s="223"/>
      <c r="Q29" s="21"/>
      <c r="R29" s="21"/>
      <c r="S29" s="21"/>
      <c r="T29" s="21"/>
      <c r="U29" s="21"/>
      <c r="V29" s="21"/>
      <c r="W29" s="21"/>
      <c r="X29" s="21"/>
      <c r="Y29" s="21"/>
      <c r="Z29" s="28"/>
      <c r="AA29" s="21"/>
      <c r="AB29" s="21"/>
      <c r="AC29" s="21"/>
      <c r="AD29" s="21"/>
      <c r="AE29" s="21"/>
      <c r="AF29" s="21"/>
      <c r="AG29" s="223"/>
      <c r="AH29" s="223"/>
      <c r="AI29" s="223"/>
      <c r="AJ29" s="223"/>
      <c r="AK29" s="223"/>
      <c r="AL29" s="223"/>
      <c r="AM29" s="223"/>
      <c r="AN29" s="223"/>
      <c r="AO29" s="223"/>
      <c r="AP29" s="21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24" t="s">
        <v>148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2"/>
      <c r="BI30" s="22"/>
      <c r="BJ30" s="22"/>
      <c r="BK30" s="18"/>
    </row>
    <row r="31" spans="1:63" s="19" customFormat="1" ht="15" customHeight="1" x14ac:dyDescent="0.25">
      <c r="A31" s="14"/>
      <c r="B31" s="21"/>
      <c r="C31" s="98" t="s">
        <v>11</v>
      </c>
      <c r="D31" s="99"/>
      <c r="E31" s="274" t="s">
        <v>18</v>
      </c>
      <c r="F31" s="275"/>
      <c r="G31" s="275"/>
      <c r="H31" s="275"/>
      <c r="I31" s="275"/>
      <c r="J31" s="275"/>
      <c r="K31" s="276"/>
      <c r="L31" s="92" t="s">
        <v>15</v>
      </c>
      <c r="M31" s="94"/>
      <c r="N31" s="93"/>
      <c r="O31" s="92" t="s">
        <v>16</v>
      </c>
      <c r="P31" s="94"/>
      <c r="Q31" s="94"/>
      <c r="R31" s="93"/>
      <c r="S31" s="92" t="s">
        <v>17</v>
      </c>
      <c r="T31" s="94"/>
      <c r="U31" s="94"/>
      <c r="V31" s="94"/>
      <c r="W31" s="94"/>
      <c r="X31" s="94"/>
      <c r="Y31" s="93"/>
      <c r="Z31" s="103" t="s">
        <v>146</v>
      </c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00" t="s">
        <v>14</v>
      </c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2"/>
      <c r="BK31" s="18"/>
    </row>
    <row r="32" spans="1:63" s="19" customFormat="1" ht="15" customHeight="1" x14ac:dyDescent="0.25">
      <c r="A32" s="14"/>
      <c r="B32" s="21"/>
      <c r="C32" s="67">
        <v>1</v>
      </c>
      <c r="D32" s="68"/>
      <c r="E32" s="224" t="s">
        <v>111</v>
      </c>
      <c r="F32" s="225"/>
      <c r="G32" s="225"/>
      <c r="H32" s="225"/>
      <c r="I32" s="225"/>
      <c r="J32" s="225"/>
      <c r="K32" s="226"/>
      <c r="L32" s="104" t="s">
        <v>4</v>
      </c>
      <c r="M32" s="105"/>
      <c r="N32" s="106"/>
      <c r="O32" s="67" t="s">
        <v>21</v>
      </c>
      <c r="P32" s="69"/>
      <c r="Q32" s="69"/>
      <c r="R32" s="68"/>
      <c r="S32" s="95" t="s">
        <v>28</v>
      </c>
      <c r="T32" s="69"/>
      <c r="U32" s="69"/>
      <c r="V32" s="69"/>
      <c r="W32" s="69"/>
      <c r="X32" s="69"/>
      <c r="Y32" s="68"/>
      <c r="Z32" s="230" t="s">
        <v>36</v>
      </c>
      <c r="AA32" s="225"/>
      <c r="AB32" s="225"/>
      <c r="AC32" s="225"/>
      <c r="AD32" s="225"/>
      <c r="AE32" s="225"/>
      <c r="AF32" s="225"/>
      <c r="AG32" s="225"/>
      <c r="AH32" s="225"/>
      <c r="AI32" s="225"/>
      <c r="AJ32" s="225"/>
      <c r="AK32" s="225"/>
      <c r="AL32" s="225"/>
      <c r="AM32" s="225"/>
      <c r="AN32" s="225"/>
      <c r="AO32" s="225"/>
      <c r="AP32" s="226"/>
      <c r="AQ32" s="89" t="s">
        <v>149</v>
      </c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1"/>
      <c r="BK32" s="18"/>
    </row>
    <row r="33" spans="1:63" s="19" customFormat="1" ht="15" customHeight="1" x14ac:dyDescent="0.25">
      <c r="A33" s="14"/>
      <c r="B33" s="21"/>
      <c r="C33" s="67">
        <v>2</v>
      </c>
      <c r="D33" s="68"/>
      <c r="E33" s="224" t="s">
        <v>34</v>
      </c>
      <c r="F33" s="225"/>
      <c r="G33" s="225"/>
      <c r="H33" s="225"/>
      <c r="I33" s="225"/>
      <c r="J33" s="225"/>
      <c r="K33" s="226"/>
      <c r="L33" s="104" t="s">
        <v>4</v>
      </c>
      <c r="M33" s="105"/>
      <c r="N33" s="106"/>
      <c r="O33" s="67" t="s">
        <v>21</v>
      </c>
      <c r="P33" s="69"/>
      <c r="Q33" s="69"/>
      <c r="R33" s="68"/>
      <c r="S33" s="95" t="s">
        <v>28</v>
      </c>
      <c r="T33" s="69"/>
      <c r="U33" s="69"/>
      <c r="V33" s="69"/>
      <c r="W33" s="69"/>
      <c r="X33" s="69"/>
      <c r="Y33" s="68"/>
      <c r="Z33" s="230" t="s">
        <v>150</v>
      </c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6"/>
      <c r="AQ33" s="89" t="s">
        <v>151</v>
      </c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1"/>
      <c r="BK33" s="18"/>
    </row>
    <row r="34" spans="1:63" s="19" customFormat="1" ht="30.75" customHeight="1" x14ac:dyDescent="0.25">
      <c r="A34" s="14"/>
      <c r="B34" s="21"/>
      <c r="C34" s="67">
        <v>3</v>
      </c>
      <c r="D34" s="68"/>
      <c r="E34" s="224" t="s">
        <v>38</v>
      </c>
      <c r="F34" s="225"/>
      <c r="G34" s="225"/>
      <c r="H34" s="225"/>
      <c r="I34" s="225"/>
      <c r="J34" s="225"/>
      <c r="K34" s="226"/>
      <c r="L34" s="104" t="s">
        <v>4</v>
      </c>
      <c r="M34" s="105"/>
      <c r="N34" s="106"/>
      <c r="O34" s="67" t="s">
        <v>21</v>
      </c>
      <c r="P34" s="69"/>
      <c r="Q34" s="69"/>
      <c r="R34" s="68"/>
      <c r="S34" s="95" t="s">
        <v>28</v>
      </c>
      <c r="T34" s="69"/>
      <c r="U34" s="69"/>
      <c r="V34" s="69"/>
      <c r="W34" s="69"/>
      <c r="X34" s="69"/>
      <c r="Y34" s="68"/>
      <c r="Z34" s="227" t="s">
        <v>112</v>
      </c>
      <c r="AA34" s="277"/>
      <c r="AB34" s="277"/>
      <c r="AC34" s="277"/>
      <c r="AD34" s="277"/>
      <c r="AE34" s="277"/>
      <c r="AF34" s="277"/>
      <c r="AG34" s="277"/>
      <c r="AH34" s="277"/>
      <c r="AI34" s="277"/>
      <c r="AJ34" s="277"/>
      <c r="AK34" s="277"/>
      <c r="AL34" s="277"/>
      <c r="AM34" s="277"/>
      <c r="AN34" s="277"/>
      <c r="AO34" s="277"/>
      <c r="AP34" s="278"/>
      <c r="AQ34" s="89" t="s">
        <v>151</v>
      </c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1"/>
      <c r="BK34" s="18"/>
    </row>
    <row r="35" spans="1:63" s="19" customFormat="1" ht="15" customHeight="1" x14ac:dyDescent="0.25">
      <c r="A35" s="14"/>
      <c r="B35" s="21"/>
      <c r="C35" s="21"/>
      <c r="D35" s="21"/>
      <c r="E35" s="223"/>
      <c r="F35" s="223"/>
      <c r="G35" s="223"/>
      <c r="H35" s="223"/>
      <c r="I35" s="223"/>
      <c r="J35" s="223"/>
      <c r="K35" s="223"/>
      <c r="L35" s="44"/>
      <c r="M35" s="45"/>
      <c r="N35" s="45"/>
      <c r="O35" s="21"/>
      <c r="P35" s="21"/>
      <c r="Q35" s="21"/>
      <c r="R35" s="21"/>
      <c r="S35" s="28"/>
      <c r="T35" s="21"/>
      <c r="U35" s="21"/>
      <c r="V35" s="21"/>
      <c r="W35" s="21"/>
      <c r="X35" s="21"/>
      <c r="Y35" s="21"/>
      <c r="Z35" s="27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/>
      <c r="AN35" s="223"/>
      <c r="AO35" s="223"/>
      <c r="AP35" s="22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18"/>
    </row>
    <row r="36" spans="1:63" s="19" customFormat="1" ht="15" customHeight="1" x14ac:dyDescent="0.25">
      <c r="A36" s="14"/>
      <c r="B36" s="21"/>
      <c r="C36" s="24" t="s">
        <v>152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2"/>
      <c r="BI36" s="22"/>
      <c r="BJ36" s="22"/>
      <c r="BK36" s="18"/>
    </row>
    <row r="37" spans="1:63" s="19" customFormat="1" ht="15" customHeight="1" x14ac:dyDescent="0.25">
      <c r="A37" s="14"/>
      <c r="B37" s="21"/>
      <c r="C37" s="20"/>
      <c r="D37" s="21" t="s">
        <v>20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2"/>
      <c r="BI37" s="22"/>
      <c r="BJ37" s="22"/>
      <c r="BK37" s="18"/>
    </row>
    <row r="38" spans="1:63" s="19" customFormat="1" ht="15" customHeight="1" x14ac:dyDescent="0.25">
      <c r="A38" s="14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2"/>
      <c r="BI38" s="22"/>
      <c r="BJ38" s="22"/>
      <c r="BK38" s="18"/>
    </row>
    <row r="39" spans="1:63" s="19" customFormat="1" ht="15" customHeight="1" x14ac:dyDescent="0.25">
      <c r="A39" s="14"/>
      <c r="B39" s="21"/>
      <c r="C39" s="24" t="s">
        <v>153</v>
      </c>
      <c r="D39" s="21"/>
      <c r="E39" s="223"/>
      <c r="F39" s="21"/>
      <c r="G39" s="223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18"/>
    </row>
    <row r="40" spans="1:63" s="19" customFormat="1" ht="15" customHeight="1" x14ac:dyDescent="0.25">
      <c r="A40" s="14"/>
      <c r="B40" s="21"/>
      <c r="C40" s="24"/>
      <c r="D40" s="21" t="s">
        <v>20</v>
      </c>
      <c r="E40" s="223"/>
      <c r="F40" s="21"/>
      <c r="G40" s="223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18"/>
    </row>
    <row r="41" spans="1:63" s="19" customFormat="1" ht="15" customHeight="1" x14ac:dyDescent="0.25">
      <c r="A41" s="14"/>
      <c r="B41" s="20"/>
      <c r="C41" s="24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2"/>
      <c r="BI41" s="22"/>
      <c r="BJ41" s="22"/>
      <c r="BK41" s="18"/>
    </row>
    <row r="42" spans="1:63" s="19" customFormat="1" ht="15" customHeight="1" x14ac:dyDescent="0.25">
      <c r="A42" s="14"/>
      <c r="B42" s="15" t="s">
        <v>154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7"/>
      <c r="BI42" s="17"/>
      <c r="BJ42" s="17"/>
      <c r="BK42" s="18"/>
    </row>
    <row r="43" spans="1:63" s="19" customFormat="1" ht="15" customHeight="1" x14ac:dyDescent="0.25">
      <c r="A43" s="14"/>
      <c r="B43" s="20"/>
      <c r="C43" s="24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2"/>
      <c r="BI43" s="22"/>
      <c r="BJ43" s="22"/>
      <c r="BK43" s="18"/>
    </row>
    <row r="44" spans="1:63" s="19" customFormat="1" ht="15" customHeight="1" x14ac:dyDescent="0.25">
      <c r="A44" s="14"/>
      <c r="B44" s="20"/>
      <c r="C44" s="24" t="s">
        <v>155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2"/>
      <c r="BI44" s="22"/>
      <c r="BJ44" s="22"/>
      <c r="BK44" s="18"/>
    </row>
    <row r="45" spans="1:63" s="19" customFormat="1" ht="15" customHeight="1" x14ac:dyDescent="0.25">
      <c r="A45" s="14"/>
      <c r="B45" s="20"/>
      <c r="C45" s="24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2"/>
      <c r="BI45" s="22"/>
      <c r="BJ45" s="22"/>
      <c r="BK45" s="18"/>
    </row>
    <row r="46" spans="1:63" s="19" customFormat="1" ht="15" customHeight="1" x14ac:dyDescent="0.25">
      <c r="A46" s="14"/>
      <c r="B46" s="21"/>
      <c r="C46" s="92" t="s">
        <v>11</v>
      </c>
      <c r="D46" s="93"/>
      <c r="E46" s="103" t="s">
        <v>156</v>
      </c>
      <c r="F46" s="94"/>
      <c r="G46" s="94"/>
      <c r="H46" s="94"/>
      <c r="I46" s="94"/>
      <c r="J46" s="94"/>
      <c r="K46" s="93"/>
      <c r="L46" s="92" t="s">
        <v>16</v>
      </c>
      <c r="M46" s="94"/>
      <c r="N46" s="94"/>
      <c r="O46" s="94"/>
      <c r="P46" s="94"/>
      <c r="Q46" s="94"/>
      <c r="R46" s="93"/>
      <c r="S46" s="107" t="s">
        <v>146</v>
      </c>
      <c r="T46" s="108"/>
      <c r="U46" s="108"/>
      <c r="V46" s="108"/>
      <c r="W46" s="108"/>
      <c r="X46" s="108"/>
      <c r="Y46" s="108"/>
      <c r="Z46" s="108"/>
      <c r="AA46" s="108"/>
      <c r="AB46" s="109"/>
      <c r="AC46" s="92" t="s">
        <v>14</v>
      </c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2"/>
      <c r="BI46" s="22"/>
      <c r="BJ46" s="22"/>
      <c r="BK46" s="18"/>
    </row>
    <row r="47" spans="1:63" s="19" customFormat="1" x14ac:dyDescent="0.25">
      <c r="A47" s="14"/>
      <c r="B47" s="21"/>
      <c r="C47" s="67">
        <v>1</v>
      </c>
      <c r="D47" s="68"/>
      <c r="E47" s="67" t="s">
        <v>24</v>
      </c>
      <c r="F47" s="69"/>
      <c r="G47" s="69"/>
      <c r="H47" s="69"/>
      <c r="I47" s="69"/>
      <c r="J47" s="69"/>
      <c r="K47" s="68"/>
      <c r="L47" s="67" t="s">
        <v>25</v>
      </c>
      <c r="M47" s="69"/>
      <c r="N47" s="69"/>
      <c r="O47" s="69"/>
      <c r="P47" s="69"/>
      <c r="Q47" s="69"/>
      <c r="R47" s="68"/>
      <c r="S47" s="80" t="s">
        <v>113</v>
      </c>
      <c r="T47" s="81"/>
      <c r="U47" s="81"/>
      <c r="V47" s="81"/>
      <c r="W47" s="81"/>
      <c r="X47" s="81"/>
      <c r="Y47" s="81"/>
      <c r="Z47" s="81"/>
      <c r="AA47" s="81"/>
      <c r="AB47" s="82"/>
      <c r="AC47" s="67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8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2"/>
      <c r="BI47" s="22"/>
      <c r="BJ47" s="22"/>
      <c r="BK47" s="18"/>
    </row>
    <row r="48" spans="1:63" s="19" customFormat="1" x14ac:dyDescent="0.25">
      <c r="A48" s="14"/>
      <c r="B48" s="21"/>
      <c r="C48" s="67">
        <v>2</v>
      </c>
      <c r="D48" s="68"/>
      <c r="E48" s="67" t="s">
        <v>22</v>
      </c>
      <c r="F48" s="69"/>
      <c r="G48" s="69"/>
      <c r="H48" s="69"/>
      <c r="I48" s="69"/>
      <c r="J48" s="69"/>
      <c r="K48" s="68"/>
      <c r="L48" s="67" t="s">
        <v>5</v>
      </c>
      <c r="M48" s="69"/>
      <c r="N48" s="69"/>
      <c r="O48" s="69"/>
      <c r="P48" s="69"/>
      <c r="Q48" s="69"/>
      <c r="R48" s="68"/>
      <c r="S48" s="80" t="s">
        <v>37</v>
      </c>
      <c r="T48" s="81"/>
      <c r="U48" s="81"/>
      <c r="V48" s="81"/>
      <c r="W48" s="81"/>
      <c r="X48" s="81"/>
      <c r="Y48" s="81"/>
      <c r="Z48" s="81"/>
      <c r="AA48" s="81"/>
      <c r="AB48" s="82"/>
      <c r="AC48" s="67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8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"/>
      <c r="BI48" s="22"/>
      <c r="BJ48" s="22"/>
      <c r="BK48" s="18"/>
    </row>
    <row r="49" spans="1:63" s="19" customFormat="1" x14ac:dyDescent="0.25">
      <c r="A49" s="14"/>
      <c r="B49" s="21"/>
      <c r="C49" s="67">
        <v>3</v>
      </c>
      <c r="D49" s="68"/>
      <c r="E49" s="67" t="s">
        <v>38</v>
      </c>
      <c r="F49" s="69"/>
      <c r="G49" s="69"/>
      <c r="H49" s="69"/>
      <c r="I49" s="69"/>
      <c r="J49" s="69"/>
      <c r="K49" s="68"/>
      <c r="L49" s="67" t="s">
        <v>5</v>
      </c>
      <c r="M49" s="69"/>
      <c r="N49" s="69"/>
      <c r="O49" s="69"/>
      <c r="P49" s="69"/>
      <c r="Q49" s="69"/>
      <c r="R49" s="68"/>
      <c r="S49" s="80" t="s">
        <v>40</v>
      </c>
      <c r="T49" s="81"/>
      <c r="U49" s="81"/>
      <c r="V49" s="81"/>
      <c r="W49" s="81"/>
      <c r="X49" s="81"/>
      <c r="Y49" s="81"/>
      <c r="Z49" s="81"/>
      <c r="AA49" s="81"/>
      <c r="AB49" s="82"/>
      <c r="AC49" s="11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8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2"/>
      <c r="BI49" s="22"/>
      <c r="BJ49" s="22"/>
      <c r="BK49" s="18"/>
    </row>
    <row r="50" spans="1:63" s="19" customFormat="1" ht="33" customHeight="1" x14ac:dyDescent="0.25">
      <c r="A50" s="14"/>
      <c r="B50" s="21"/>
      <c r="C50" s="67">
        <v>4</v>
      </c>
      <c r="D50" s="68"/>
      <c r="E50" s="67" t="s">
        <v>41</v>
      </c>
      <c r="F50" s="69"/>
      <c r="G50" s="69"/>
      <c r="H50" s="69"/>
      <c r="I50" s="69"/>
      <c r="J50" s="69"/>
      <c r="K50" s="68"/>
      <c r="L50" s="67" t="s">
        <v>5</v>
      </c>
      <c r="M50" s="69"/>
      <c r="N50" s="69"/>
      <c r="O50" s="69"/>
      <c r="P50" s="69"/>
      <c r="Q50" s="69"/>
      <c r="R50" s="68"/>
      <c r="S50" s="80" t="s">
        <v>39</v>
      </c>
      <c r="T50" s="81"/>
      <c r="U50" s="81"/>
      <c r="V50" s="81"/>
      <c r="W50" s="81"/>
      <c r="X50" s="81"/>
      <c r="Y50" s="81"/>
      <c r="Z50" s="81"/>
      <c r="AA50" s="81"/>
      <c r="AB50" s="82"/>
      <c r="AC50" s="11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8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2"/>
      <c r="BI50" s="22"/>
      <c r="BJ50" s="22"/>
      <c r="BK50" s="18"/>
    </row>
    <row r="51" spans="1:63" s="19" customFormat="1" x14ac:dyDescent="0.25">
      <c r="A51" s="14"/>
      <c r="B51" s="21"/>
      <c r="C51" s="67">
        <v>5</v>
      </c>
      <c r="D51" s="68"/>
      <c r="E51" s="67" t="s">
        <v>42</v>
      </c>
      <c r="F51" s="69"/>
      <c r="G51" s="69"/>
      <c r="H51" s="69"/>
      <c r="I51" s="69"/>
      <c r="J51" s="69"/>
      <c r="K51" s="68"/>
      <c r="L51" s="67" t="s">
        <v>5</v>
      </c>
      <c r="M51" s="69"/>
      <c r="N51" s="69"/>
      <c r="O51" s="69"/>
      <c r="P51" s="69"/>
      <c r="Q51" s="69"/>
      <c r="R51" s="68"/>
      <c r="S51" s="80" t="s">
        <v>43</v>
      </c>
      <c r="T51" s="81"/>
      <c r="U51" s="81"/>
      <c r="V51" s="81"/>
      <c r="W51" s="81"/>
      <c r="X51" s="81"/>
      <c r="Y51" s="81"/>
      <c r="Z51" s="81"/>
      <c r="AA51" s="81"/>
      <c r="AB51" s="82"/>
      <c r="AC51" s="119" t="s">
        <v>78</v>
      </c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8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x14ac:dyDescent="0.25">
      <c r="A52" s="14"/>
      <c r="B52" s="21"/>
      <c r="C52" s="67">
        <v>6</v>
      </c>
      <c r="D52" s="68"/>
      <c r="E52" s="67" t="s">
        <v>77</v>
      </c>
      <c r="F52" s="69"/>
      <c r="G52" s="69"/>
      <c r="H52" s="69"/>
      <c r="I52" s="69"/>
      <c r="J52" s="69"/>
      <c r="K52" s="68"/>
      <c r="L52" s="67" t="s">
        <v>5</v>
      </c>
      <c r="M52" s="69"/>
      <c r="N52" s="69"/>
      <c r="O52" s="69"/>
      <c r="P52" s="69"/>
      <c r="Q52" s="69"/>
      <c r="R52" s="68"/>
      <c r="S52" s="80" t="s">
        <v>79</v>
      </c>
      <c r="T52" s="127"/>
      <c r="U52" s="127"/>
      <c r="V52" s="127"/>
      <c r="W52" s="127"/>
      <c r="X52" s="127"/>
      <c r="Y52" s="127"/>
      <c r="Z52" s="127"/>
      <c r="AA52" s="127"/>
      <c r="AB52" s="128"/>
      <c r="AC52" s="67" t="s">
        <v>82</v>
      </c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8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x14ac:dyDescent="0.25">
      <c r="A53" s="14"/>
      <c r="B53" s="21"/>
      <c r="C53" s="67">
        <v>7</v>
      </c>
      <c r="D53" s="68"/>
      <c r="E53" s="67" t="s">
        <v>80</v>
      </c>
      <c r="F53" s="69"/>
      <c r="G53" s="69"/>
      <c r="H53" s="69"/>
      <c r="I53" s="69"/>
      <c r="J53" s="69"/>
      <c r="K53" s="68"/>
      <c r="L53" s="67" t="s">
        <v>29</v>
      </c>
      <c r="M53" s="69"/>
      <c r="N53" s="69"/>
      <c r="O53" s="69"/>
      <c r="P53" s="69"/>
      <c r="Q53" s="69"/>
      <c r="R53" s="68"/>
      <c r="S53" s="80" t="s">
        <v>81</v>
      </c>
      <c r="T53" s="81"/>
      <c r="U53" s="81"/>
      <c r="V53" s="81"/>
      <c r="W53" s="81"/>
      <c r="X53" s="81"/>
      <c r="Y53" s="81"/>
      <c r="Z53" s="81"/>
      <c r="AA53" s="81"/>
      <c r="AB53" s="82"/>
      <c r="AC53" s="67" t="s">
        <v>83</v>
      </c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8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19" customFormat="1" ht="15" customHeight="1" x14ac:dyDescent="0.25">
      <c r="A54" s="14"/>
      <c r="B54" s="21"/>
      <c r="C54" s="67">
        <v>8</v>
      </c>
      <c r="D54" s="68"/>
      <c r="E54" s="224" t="s">
        <v>84</v>
      </c>
      <c r="F54" s="225"/>
      <c r="G54" s="225"/>
      <c r="H54" s="225"/>
      <c r="I54" s="225"/>
      <c r="J54" s="225"/>
      <c r="K54" s="226"/>
      <c r="L54" s="224" t="s">
        <v>21</v>
      </c>
      <c r="M54" s="225"/>
      <c r="N54" s="225"/>
      <c r="O54" s="225"/>
      <c r="P54" s="225"/>
      <c r="Q54" s="225"/>
      <c r="R54" s="226"/>
      <c r="S54" s="279" t="s">
        <v>44</v>
      </c>
      <c r="T54" s="280"/>
      <c r="U54" s="280"/>
      <c r="V54" s="280"/>
      <c r="W54" s="280"/>
      <c r="X54" s="280"/>
      <c r="Y54" s="280"/>
      <c r="Z54" s="280"/>
      <c r="AA54" s="280"/>
      <c r="AB54" s="281"/>
      <c r="AC54" s="224" t="s">
        <v>85</v>
      </c>
      <c r="AD54" s="225"/>
      <c r="AE54" s="225"/>
      <c r="AF54" s="225"/>
      <c r="AG54" s="225"/>
      <c r="AH54" s="225"/>
      <c r="AI54" s="225"/>
      <c r="AJ54" s="225"/>
      <c r="AK54" s="225"/>
      <c r="AL54" s="225"/>
      <c r="AM54" s="225"/>
      <c r="AN54" s="225"/>
      <c r="AO54" s="225"/>
      <c r="AP54" s="225"/>
      <c r="AQ54" s="225"/>
      <c r="AR54" s="225"/>
      <c r="AS54" s="225"/>
      <c r="AT54" s="225"/>
      <c r="AU54" s="226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18"/>
    </row>
    <row r="55" spans="1:63" s="19" customFormat="1" ht="15" customHeight="1" x14ac:dyDescent="0.25">
      <c r="A55" s="14"/>
      <c r="B55" s="21"/>
      <c r="C55" s="67">
        <v>9</v>
      </c>
      <c r="D55" s="68"/>
      <c r="E55" s="224" t="s">
        <v>86</v>
      </c>
      <c r="F55" s="225"/>
      <c r="G55" s="225"/>
      <c r="H55" s="225"/>
      <c r="I55" s="225"/>
      <c r="J55" s="225"/>
      <c r="K55" s="226"/>
      <c r="L55" s="224" t="s">
        <v>29</v>
      </c>
      <c r="M55" s="225"/>
      <c r="N55" s="225"/>
      <c r="O55" s="225"/>
      <c r="P55" s="225"/>
      <c r="Q55" s="225"/>
      <c r="R55" s="226"/>
      <c r="S55" s="279" t="s">
        <v>45</v>
      </c>
      <c r="T55" s="280"/>
      <c r="U55" s="280"/>
      <c r="V55" s="280"/>
      <c r="W55" s="280"/>
      <c r="X55" s="280"/>
      <c r="Y55" s="280"/>
      <c r="Z55" s="280"/>
      <c r="AA55" s="280"/>
      <c r="AB55" s="281"/>
      <c r="AC55" s="224" t="s">
        <v>87</v>
      </c>
      <c r="AD55" s="225"/>
      <c r="AE55" s="225"/>
      <c r="AF55" s="225"/>
      <c r="AG55" s="225"/>
      <c r="AH55" s="225"/>
      <c r="AI55" s="225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5"/>
      <c r="AU55" s="226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2"/>
      <c r="BI55" s="22"/>
      <c r="BJ55" s="22"/>
      <c r="BK55" s="18"/>
    </row>
    <row r="56" spans="1:63" s="19" customFormat="1" ht="15" customHeight="1" x14ac:dyDescent="0.25">
      <c r="A56" s="14"/>
      <c r="B56" s="21"/>
      <c r="C56" s="67">
        <v>10</v>
      </c>
      <c r="D56" s="68"/>
      <c r="E56" s="224" t="s">
        <v>88</v>
      </c>
      <c r="F56" s="225"/>
      <c r="G56" s="225"/>
      <c r="H56" s="225"/>
      <c r="I56" s="225"/>
      <c r="J56" s="225"/>
      <c r="K56" s="226"/>
      <c r="L56" s="224" t="s">
        <v>21</v>
      </c>
      <c r="M56" s="225"/>
      <c r="N56" s="225"/>
      <c r="O56" s="225"/>
      <c r="P56" s="225"/>
      <c r="Q56" s="225"/>
      <c r="R56" s="226"/>
      <c r="S56" s="279" t="s">
        <v>46</v>
      </c>
      <c r="T56" s="280"/>
      <c r="U56" s="280"/>
      <c r="V56" s="280"/>
      <c r="W56" s="280"/>
      <c r="X56" s="280"/>
      <c r="Y56" s="280"/>
      <c r="Z56" s="280"/>
      <c r="AA56" s="280"/>
      <c r="AB56" s="281"/>
      <c r="AC56" s="224" t="s">
        <v>89</v>
      </c>
      <c r="AD56" s="225"/>
      <c r="AE56" s="225"/>
      <c r="AF56" s="225"/>
      <c r="AG56" s="225"/>
      <c r="AH56" s="225"/>
      <c r="AI56" s="225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5"/>
      <c r="AU56" s="226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2"/>
      <c r="BI56" s="22"/>
      <c r="BJ56" s="22"/>
      <c r="BK56" s="18"/>
    </row>
    <row r="57" spans="1:63" s="19" customFormat="1" ht="15" customHeight="1" x14ac:dyDescent="0.25">
      <c r="A57" s="14"/>
      <c r="B57" s="21"/>
      <c r="C57" s="67">
        <v>11</v>
      </c>
      <c r="D57" s="68"/>
      <c r="E57" s="224" t="s">
        <v>90</v>
      </c>
      <c r="F57" s="225"/>
      <c r="G57" s="225"/>
      <c r="H57" s="225"/>
      <c r="I57" s="225"/>
      <c r="J57" s="225"/>
      <c r="K57" s="226"/>
      <c r="L57" s="224" t="s">
        <v>21</v>
      </c>
      <c r="M57" s="225"/>
      <c r="N57" s="225"/>
      <c r="O57" s="225"/>
      <c r="P57" s="225"/>
      <c r="Q57" s="225"/>
      <c r="R57" s="226"/>
      <c r="S57" s="279" t="s">
        <v>44</v>
      </c>
      <c r="T57" s="280"/>
      <c r="U57" s="280"/>
      <c r="V57" s="280"/>
      <c r="W57" s="280"/>
      <c r="X57" s="280"/>
      <c r="Y57" s="280"/>
      <c r="Z57" s="280"/>
      <c r="AA57" s="280"/>
      <c r="AB57" s="281"/>
      <c r="AC57" s="224" t="s">
        <v>91</v>
      </c>
      <c r="AD57" s="225"/>
      <c r="AE57" s="225"/>
      <c r="AF57" s="225"/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5"/>
      <c r="AU57" s="226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2"/>
      <c r="BI57" s="22"/>
      <c r="BJ57" s="22"/>
      <c r="BK57" s="18"/>
    </row>
    <row r="58" spans="1:63" s="19" customFormat="1" ht="15" customHeight="1" x14ac:dyDescent="0.25">
      <c r="A58" s="14"/>
      <c r="B58" s="21"/>
      <c r="C58" s="67">
        <v>12</v>
      </c>
      <c r="D58" s="68"/>
      <c r="E58" s="224" t="s">
        <v>92</v>
      </c>
      <c r="F58" s="225"/>
      <c r="G58" s="225"/>
      <c r="H58" s="225"/>
      <c r="I58" s="225"/>
      <c r="J58" s="225"/>
      <c r="K58" s="226"/>
      <c r="L58" s="224" t="s">
        <v>29</v>
      </c>
      <c r="M58" s="225"/>
      <c r="N58" s="225"/>
      <c r="O58" s="225"/>
      <c r="P58" s="225"/>
      <c r="Q58" s="225"/>
      <c r="R58" s="226"/>
      <c r="S58" s="279" t="s">
        <v>45</v>
      </c>
      <c r="T58" s="280"/>
      <c r="U58" s="280"/>
      <c r="V58" s="280"/>
      <c r="W58" s="280"/>
      <c r="X58" s="280"/>
      <c r="Y58" s="280"/>
      <c r="Z58" s="280"/>
      <c r="AA58" s="280"/>
      <c r="AB58" s="281"/>
      <c r="AC58" s="224" t="s">
        <v>93</v>
      </c>
      <c r="AD58" s="225"/>
      <c r="AE58" s="225"/>
      <c r="AF58" s="225"/>
      <c r="AG58" s="225"/>
      <c r="AH58" s="225"/>
      <c r="AI58" s="225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5"/>
      <c r="AU58" s="226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2"/>
      <c r="BI58" s="22"/>
      <c r="BJ58" s="22"/>
      <c r="BK58" s="18"/>
    </row>
    <row r="59" spans="1:63" s="19" customFormat="1" ht="15" customHeight="1" x14ac:dyDescent="0.25">
      <c r="A59" s="14"/>
      <c r="B59" s="21"/>
      <c r="C59" s="67">
        <v>13</v>
      </c>
      <c r="D59" s="68"/>
      <c r="E59" s="224" t="s">
        <v>94</v>
      </c>
      <c r="F59" s="225"/>
      <c r="G59" s="225"/>
      <c r="H59" s="225"/>
      <c r="I59" s="225"/>
      <c r="J59" s="225"/>
      <c r="K59" s="226"/>
      <c r="L59" s="224" t="s">
        <v>21</v>
      </c>
      <c r="M59" s="225"/>
      <c r="N59" s="225"/>
      <c r="O59" s="225"/>
      <c r="P59" s="225"/>
      <c r="Q59" s="225"/>
      <c r="R59" s="226"/>
      <c r="S59" s="279" t="s">
        <v>46</v>
      </c>
      <c r="T59" s="280"/>
      <c r="U59" s="280"/>
      <c r="V59" s="280"/>
      <c r="W59" s="280"/>
      <c r="X59" s="280"/>
      <c r="Y59" s="280"/>
      <c r="Z59" s="280"/>
      <c r="AA59" s="280"/>
      <c r="AB59" s="281"/>
      <c r="AC59" s="224" t="s">
        <v>95</v>
      </c>
      <c r="AD59" s="225"/>
      <c r="AE59" s="225"/>
      <c r="AF59" s="225"/>
      <c r="AG59" s="225"/>
      <c r="AH59" s="225"/>
      <c r="AI59" s="225"/>
      <c r="AJ59" s="225"/>
      <c r="AK59" s="225"/>
      <c r="AL59" s="225"/>
      <c r="AM59" s="225"/>
      <c r="AN59" s="225"/>
      <c r="AO59" s="225"/>
      <c r="AP59" s="225"/>
      <c r="AQ59" s="225"/>
      <c r="AR59" s="225"/>
      <c r="AS59" s="225"/>
      <c r="AT59" s="225"/>
      <c r="AU59" s="226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2"/>
      <c r="BI59" s="22"/>
      <c r="BJ59" s="22"/>
      <c r="BK59" s="18"/>
    </row>
    <row r="60" spans="1:63" s="19" customFormat="1" ht="15" customHeight="1" x14ac:dyDescent="0.25">
      <c r="A60" s="14"/>
      <c r="B60" s="21"/>
      <c r="C60" s="67">
        <v>14</v>
      </c>
      <c r="D60" s="68"/>
      <c r="E60" s="224" t="s">
        <v>96</v>
      </c>
      <c r="F60" s="225"/>
      <c r="G60" s="225"/>
      <c r="H60" s="225"/>
      <c r="I60" s="225"/>
      <c r="J60" s="225"/>
      <c r="K60" s="226"/>
      <c r="L60" s="224" t="s">
        <v>21</v>
      </c>
      <c r="M60" s="225"/>
      <c r="N60" s="225"/>
      <c r="O60" s="225"/>
      <c r="P60" s="225"/>
      <c r="Q60" s="225"/>
      <c r="R60" s="226"/>
      <c r="S60" s="279" t="s">
        <v>44</v>
      </c>
      <c r="T60" s="280"/>
      <c r="U60" s="280"/>
      <c r="V60" s="280"/>
      <c r="W60" s="280"/>
      <c r="X60" s="280"/>
      <c r="Y60" s="280"/>
      <c r="Z60" s="280"/>
      <c r="AA60" s="280"/>
      <c r="AB60" s="281"/>
      <c r="AC60" s="224" t="s">
        <v>97</v>
      </c>
      <c r="AD60" s="225"/>
      <c r="AE60" s="225"/>
      <c r="AF60" s="225"/>
      <c r="AG60" s="225"/>
      <c r="AH60" s="225"/>
      <c r="AI60" s="225"/>
      <c r="AJ60" s="225"/>
      <c r="AK60" s="225"/>
      <c r="AL60" s="225"/>
      <c r="AM60" s="225"/>
      <c r="AN60" s="225"/>
      <c r="AO60" s="225"/>
      <c r="AP60" s="225"/>
      <c r="AQ60" s="225"/>
      <c r="AR60" s="225"/>
      <c r="AS60" s="225"/>
      <c r="AT60" s="225"/>
      <c r="AU60" s="226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x14ac:dyDescent="0.25">
      <c r="A61" s="14"/>
      <c r="B61" s="21"/>
      <c r="C61" s="67">
        <v>15</v>
      </c>
      <c r="D61" s="68"/>
      <c r="E61" s="224" t="s">
        <v>98</v>
      </c>
      <c r="F61" s="225"/>
      <c r="G61" s="225"/>
      <c r="H61" s="225"/>
      <c r="I61" s="225"/>
      <c r="J61" s="225"/>
      <c r="K61" s="226"/>
      <c r="L61" s="224" t="s">
        <v>29</v>
      </c>
      <c r="M61" s="225"/>
      <c r="N61" s="225"/>
      <c r="O61" s="225"/>
      <c r="P61" s="225"/>
      <c r="Q61" s="225"/>
      <c r="R61" s="226"/>
      <c r="S61" s="279" t="s">
        <v>45</v>
      </c>
      <c r="T61" s="280"/>
      <c r="U61" s="280"/>
      <c r="V61" s="280"/>
      <c r="W61" s="280"/>
      <c r="X61" s="280"/>
      <c r="Y61" s="280"/>
      <c r="Z61" s="280"/>
      <c r="AA61" s="280"/>
      <c r="AB61" s="281"/>
      <c r="AC61" s="224" t="s">
        <v>99</v>
      </c>
      <c r="AD61" s="225"/>
      <c r="AE61" s="225"/>
      <c r="AF61" s="225"/>
      <c r="AG61" s="225"/>
      <c r="AH61" s="225"/>
      <c r="AI61" s="225"/>
      <c r="AJ61" s="225"/>
      <c r="AK61" s="225"/>
      <c r="AL61" s="225"/>
      <c r="AM61" s="225"/>
      <c r="AN61" s="225"/>
      <c r="AO61" s="225"/>
      <c r="AP61" s="225"/>
      <c r="AQ61" s="225"/>
      <c r="AR61" s="225"/>
      <c r="AS61" s="225"/>
      <c r="AT61" s="225"/>
      <c r="AU61" s="226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2"/>
      <c r="BI61" s="22"/>
      <c r="BJ61" s="22"/>
      <c r="BK61" s="18"/>
    </row>
    <row r="62" spans="1:63" s="19" customFormat="1" ht="15" customHeight="1" x14ac:dyDescent="0.25">
      <c r="A62" s="14"/>
      <c r="B62" s="21"/>
      <c r="C62" s="67">
        <v>16</v>
      </c>
      <c r="D62" s="68"/>
      <c r="E62" s="224" t="s">
        <v>100</v>
      </c>
      <c r="F62" s="225"/>
      <c r="G62" s="225"/>
      <c r="H62" s="225"/>
      <c r="I62" s="225"/>
      <c r="J62" s="225"/>
      <c r="K62" s="226"/>
      <c r="L62" s="224" t="s">
        <v>21</v>
      </c>
      <c r="M62" s="225"/>
      <c r="N62" s="225"/>
      <c r="O62" s="225"/>
      <c r="P62" s="225"/>
      <c r="Q62" s="225"/>
      <c r="R62" s="226"/>
      <c r="S62" s="279" t="s">
        <v>46</v>
      </c>
      <c r="T62" s="280"/>
      <c r="U62" s="280"/>
      <c r="V62" s="280"/>
      <c r="W62" s="280"/>
      <c r="X62" s="280"/>
      <c r="Y62" s="280"/>
      <c r="Z62" s="280"/>
      <c r="AA62" s="280"/>
      <c r="AB62" s="281"/>
      <c r="AC62" s="224" t="s">
        <v>101</v>
      </c>
      <c r="AD62" s="225"/>
      <c r="AE62" s="225"/>
      <c r="AF62" s="225"/>
      <c r="AG62" s="225"/>
      <c r="AH62" s="225"/>
      <c r="AI62" s="225"/>
      <c r="AJ62" s="225"/>
      <c r="AK62" s="225"/>
      <c r="AL62" s="225"/>
      <c r="AM62" s="225"/>
      <c r="AN62" s="225"/>
      <c r="AO62" s="225"/>
      <c r="AP62" s="225"/>
      <c r="AQ62" s="225"/>
      <c r="AR62" s="225"/>
      <c r="AS62" s="225"/>
      <c r="AT62" s="225"/>
      <c r="AU62" s="226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1"/>
      <c r="C63" s="67">
        <v>17</v>
      </c>
      <c r="D63" s="68"/>
      <c r="E63" s="224" t="s">
        <v>102</v>
      </c>
      <c r="F63" s="225"/>
      <c r="G63" s="225"/>
      <c r="H63" s="225"/>
      <c r="I63" s="225"/>
      <c r="J63" s="225"/>
      <c r="K63" s="226"/>
      <c r="L63" s="224" t="s">
        <v>21</v>
      </c>
      <c r="M63" s="225"/>
      <c r="N63" s="225"/>
      <c r="O63" s="225"/>
      <c r="P63" s="225"/>
      <c r="Q63" s="225"/>
      <c r="R63" s="226"/>
      <c r="S63" s="279" t="s">
        <v>44</v>
      </c>
      <c r="T63" s="280"/>
      <c r="U63" s="280"/>
      <c r="V63" s="280"/>
      <c r="W63" s="280"/>
      <c r="X63" s="280"/>
      <c r="Y63" s="280"/>
      <c r="Z63" s="280"/>
      <c r="AA63" s="280"/>
      <c r="AB63" s="281"/>
      <c r="AC63" s="224" t="s">
        <v>103</v>
      </c>
      <c r="AD63" s="225"/>
      <c r="AE63" s="225"/>
      <c r="AF63" s="225"/>
      <c r="AG63" s="225"/>
      <c r="AH63" s="225"/>
      <c r="AI63" s="225"/>
      <c r="AJ63" s="225"/>
      <c r="AK63" s="225"/>
      <c r="AL63" s="225"/>
      <c r="AM63" s="225"/>
      <c r="AN63" s="225"/>
      <c r="AO63" s="225"/>
      <c r="AP63" s="225"/>
      <c r="AQ63" s="225"/>
      <c r="AR63" s="225"/>
      <c r="AS63" s="225"/>
      <c r="AT63" s="225"/>
      <c r="AU63" s="226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1"/>
      <c r="C64" s="67">
        <v>18</v>
      </c>
      <c r="D64" s="68"/>
      <c r="E64" s="224" t="s">
        <v>104</v>
      </c>
      <c r="F64" s="225"/>
      <c r="G64" s="225"/>
      <c r="H64" s="225"/>
      <c r="I64" s="225"/>
      <c r="J64" s="225"/>
      <c r="K64" s="226"/>
      <c r="L64" s="224" t="s">
        <v>29</v>
      </c>
      <c r="M64" s="225"/>
      <c r="N64" s="225"/>
      <c r="O64" s="225"/>
      <c r="P64" s="225"/>
      <c r="Q64" s="225"/>
      <c r="R64" s="226"/>
      <c r="S64" s="279" t="s">
        <v>45</v>
      </c>
      <c r="T64" s="280"/>
      <c r="U64" s="280"/>
      <c r="V64" s="280"/>
      <c r="W64" s="280"/>
      <c r="X64" s="280"/>
      <c r="Y64" s="280"/>
      <c r="Z64" s="280"/>
      <c r="AA64" s="280"/>
      <c r="AB64" s="281"/>
      <c r="AC64" s="224" t="s">
        <v>105</v>
      </c>
      <c r="AD64" s="225"/>
      <c r="AE64" s="225"/>
      <c r="AF64" s="225"/>
      <c r="AG64" s="225"/>
      <c r="AH64" s="225"/>
      <c r="AI64" s="225"/>
      <c r="AJ64" s="225"/>
      <c r="AK64" s="225"/>
      <c r="AL64" s="225"/>
      <c r="AM64" s="225"/>
      <c r="AN64" s="225"/>
      <c r="AO64" s="225"/>
      <c r="AP64" s="225"/>
      <c r="AQ64" s="225"/>
      <c r="AR64" s="225"/>
      <c r="AS64" s="225"/>
      <c r="AT64" s="225"/>
      <c r="AU64" s="226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67">
        <v>19</v>
      </c>
      <c r="D65" s="68"/>
      <c r="E65" s="224" t="s">
        <v>106</v>
      </c>
      <c r="F65" s="225"/>
      <c r="G65" s="225"/>
      <c r="H65" s="225"/>
      <c r="I65" s="225"/>
      <c r="J65" s="225"/>
      <c r="K65" s="226"/>
      <c r="L65" s="224" t="s">
        <v>21</v>
      </c>
      <c r="M65" s="225"/>
      <c r="N65" s="225"/>
      <c r="O65" s="225"/>
      <c r="P65" s="225"/>
      <c r="Q65" s="225"/>
      <c r="R65" s="226"/>
      <c r="S65" s="279" t="s">
        <v>46</v>
      </c>
      <c r="T65" s="280"/>
      <c r="U65" s="280"/>
      <c r="V65" s="280"/>
      <c r="W65" s="280"/>
      <c r="X65" s="280"/>
      <c r="Y65" s="280"/>
      <c r="Z65" s="280"/>
      <c r="AA65" s="280"/>
      <c r="AB65" s="281"/>
      <c r="AC65" s="224" t="s">
        <v>107</v>
      </c>
      <c r="AD65" s="225"/>
      <c r="AE65" s="225"/>
      <c r="AF65" s="225"/>
      <c r="AG65" s="225"/>
      <c r="AH65" s="225"/>
      <c r="AI65" s="225"/>
      <c r="AJ65" s="225"/>
      <c r="AK65" s="225"/>
      <c r="AL65" s="225"/>
      <c r="AM65" s="225"/>
      <c r="AN65" s="225"/>
      <c r="AO65" s="225"/>
      <c r="AP65" s="225"/>
      <c r="AQ65" s="225"/>
      <c r="AR65" s="225"/>
      <c r="AS65" s="225"/>
      <c r="AT65" s="225"/>
      <c r="AU65" s="226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.75" customHeight="1" x14ac:dyDescent="0.25">
      <c r="A66" s="14"/>
      <c r="B66" s="21"/>
      <c r="C66" s="67">
        <v>20</v>
      </c>
      <c r="D66" s="68"/>
      <c r="E66" s="67" t="s">
        <v>47</v>
      </c>
      <c r="F66" s="69"/>
      <c r="G66" s="69"/>
      <c r="H66" s="69"/>
      <c r="I66" s="69"/>
      <c r="J66" s="69"/>
      <c r="K66" s="68"/>
      <c r="L66" s="67" t="s">
        <v>49</v>
      </c>
      <c r="M66" s="69"/>
      <c r="N66" s="69"/>
      <c r="O66" s="69"/>
      <c r="P66" s="69"/>
      <c r="Q66" s="69"/>
      <c r="R66" s="68"/>
      <c r="S66" s="80" t="s">
        <v>48</v>
      </c>
      <c r="T66" s="81"/>
      <c r="U66" s="81"/>
      <c r="V66" s="81"/>
      <c r="W66" s="81"/>
      <c r="X66" s="81"/>
      <c r="Y66" s="81"/>
      <c r="Z66" s="81"/>
      <c r="AA66" s="81"/>
      <c r="AB66" s="82"/>
      <c r="AC66" s="76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8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54" customFormat="1" x14ac:dyDescent="0.25">
      <c r="A67" s="50"/>
      <c r="B67" s="51"/>
      <c r="C67" s="67">
        <v>21</v>
      </c>
      <c r="D67" s="68"/>
      <c r="E67" s="126" t="s">
        <v>157</v>
      </c>
      <c r="F67" s="124"/>
      <c r="G67" s="124"/>
      <c r="H67" s="124"/>
      <c r="I67" s="124"/>
      <c r="J67" s="124"/>
      <c r="K67" s="125"/>
      <c r="L67" s="126"/>
      <c r="M67" s="124"/>
      <c r="N67" s="124"/>
      <c r="O67" s="124"/>
      <c r="P67" s="124"/>
      <c r="Q67" s="124"/>
      <c r="R67" s="125"/>
      <c r="S67" s="120"/>
      <c r="T67" s="121"/>
      <c r="U67" s="121"/>
      <c r="V67" s="121"/>
      <c r="W67" s="121"/>
      <c r="X67" s="121"/>
      <c r="Y67" s="121"/>
      <c r="Z67" s="121"/>
      <c r="AA67" s="121"/>
      <c r="AB67" s="122"/>
      <c r="AC67" s="123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5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2"/>
      <c r="BI67" s="52"/>
      <c r="BJ67" s="52"/>
      <c r="BK67" s="53"/>
    </row>
    <row r="68" spans="1:63" s="54" customFormat="1" x14ac:dyDescent="0.25">
      <c r="A68" s="50"/>
      <c r="B68" s="51"/>
      <c r="C68" s="67">
        <v>22</v>
      </c>
      <c r="D68" s="68"/>
      <c r="E68" s="126" t="s">
        <v>158</v>
      </c>
      <c r="F68" s="124"/>
      <c r="G68" s="124"/>
      <c r="H68" s="124"/>
      <c r="I68" s="124"/>
      <c r="J68" s="124"/>
      <c r="K68" s="125"/>
      <c r="L68" s="126"/>
      <c r="M68" s="124"/>
      <c r="N68" s="124"/>
      <c r="O68" s="124"/>
      <c r="P68" s="124"/>
      <c r="Q68" s="124"/>
      <c r="R68" s="125"/>
      <c r="S68" s="120"/>
      <c r="T68" s="121"/>
      <c r="U68" s="121"/>
      <c r="V68" s="121"/>
      <c r="W68" s="121"/>
      <c r="X68" s="121"/>
      <c r="Y68" s="121"/>
      <c r="Z68" s="121"/>
      <c r="AA68" s="121"/>
      <c r="AB68" s="122"/>
      <c r="AC68" s="123"/>
      <c r="AD68" s="124"/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5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2"/>
      <c r="BI68" s="52"/>
      <c r="BJ68" s="52"/>
      <c r="BK68" s="53"/>
    </row>
    <row r="69" spans="1:63" s="19" customFormat="1" x14ac:dyDescent="0.25">
      <c r="A69" s="14"/>
      <c r="B69" s="21"/>
      <c r="C69" s="67">
        <v>23</v>
      </c>
      <c r="D69" s="68"/>
      <c r="E69" s="67" t="s">
        <v>52</v>
      </c>
      <c r="F69" s="69"/>
      <c r="G69" s="69"/>
      <c r="H69" s="69"/>
      <c r="I69" s="69"/>
      <c r="J69" s="69"/>
      <c r="K69" s="68"/>
      <c r="L69" s="67" t="s">
        <v>5</v>
      </c>
      <c r="M69" s="69"/>
      <c r="N69" s="69"/>
      <c r="O69" s="69"/>
      <c r="P69" s="69"/>
      <c r="Q69" s="69"/>
      <c r="R69" s="68"/>
      <c r="S69" s="86" t="s">
        <v>159</v>
      </c>
      <c r="T69" s="87"/>
      <c r="U69" s="87"/>
      <c r="V69" s="87"/>
      <c r="W69" s="87"/>
      <c r="X69" s="87"/>
      <c r="Y69" s="87"/>
      <c r="Z69" s="87"/>
      <c r="AA69" s="87"/>
      <c r="AB69" s="88"/>
      <c r="AC69" s="76" t="s">
        <v>50</v>
      </c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8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x14ac:dyDescent="0.25">
      <c r="A70" s="14"/>
      <c r="B70" s="21"/>
      <c r="C70" s="67">
        <v>24</v>
      </c>
      <c r="D70" s="68"/>
      <c r="E70" s="67" t="s">
        <v>51</v>
      </c>
      <c r="F70" s="69"/>
      <c r="G70" s="69"/>
      <c r="H70" s="69"/>
      <c r="I70" s="69"/>
      <c r="J70" s="69"/>
      <c r="K70" s="68"/>
      <c r="L70" s="67" t="s">
        <v>5</v>
      </c>
      <c r="M70" s="69"/>
      <c r="N70" s="69"/>
      <c r="O70" s="69"/>
      <c r="P70" s="69"/>
      <c r="Q70" s="69"/>
      <c r="R70" s="68"/>
      <c r="S70" s="86" t="s">
        <v>160</v>
      </c>
      <c r="T70" s="87"/>
      <c r="U70" s="87"/>
      <c r="V70" s="87"/>
      <c r="W70" s="87"/>
      <c r="X70" s="87"/>
      <c r="Y70" s="87"/>
      <c r="Z70" s="87"/>
      <c r="AA70" s="87"/>
      <c r="AB70" s="88"/>
      <c r="AC70" s="76" t="s">
        <v>54</v>
      </c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8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2"/>
      <c r="BI70" s="22"/>
      <c r="BJ70" s="22"/>
      <c r="BK70" s="18"/>
    </row>
    <row r="71" spans="1:63" s="19" customFormat="1" x14ac:dyDescent="0.25">
      <c r="A71" s="14"/>
      <c r="B71" s="21"/>
      <c r="C71" s="67">
        <v>25</v>
      </c>
      <c r="D71" s="68"/>
      <c r="E71" s="67" t="s">
        <v>53</v>
      </c>
      <c r="F71" s="69"/>
      <c r="G71" s="69"/>
      <c r="H71" s="69"/>
      <c r="I71" s="69"/>
      <c r="J71" s="69"/>
      <c r="K71" s="68"/>
      <c r="L71" s="67" t="s">
        <v>5</v>
      </c>
      <c r="M71" s="69"/>
      <c r="N71" s="69"/>
      <c r="O71" s="69"/>
      <c r="P71" s="69"/>
      <c r="Q71" s="69"/>
      <c r="R71" s="68"/>
      <c r="S71" s="86" t="s">
        <v>161</v>
      </c>
      <c r="T71" s="87"/>
      <c r="U71" s="87"/>
      <c r="V71" s="87"/>
      <c r="W71" s="87"/>
      <c r="X71" s="87"/>
      <c r="Y71" s="87"/>
      <c r="Z71" s="87"/>
      <c r="AA71" s="87"/>
      <c r="AB71" s="88"/>
      <c r="AC71" s="76" t="s">
        <v>55</v>
      </c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8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19" customFormat="1" ht="31.5" customHeight="1" x14ac:dyDescent="0.25">
      <c r="A72" s="14"/>
      <c r="B72" s="21"/>
      <c r="C72" s="67">
        <v>26</v>
      </c>
      <c r="D72" s="68"/>
      <c r="E72" s="67" t="s">
        <v>56</v>
      </c>
      <c r="F72" s="69"/>
      <c r="G72" s="69"/>
      <c r="H72" s="69"/>
      <c r="I72" s="69"/>
      <c r="J72" s="69"/>
      <c r="K72" s="68"/>
      <c r="L72" s="67" t="s">
        <v>26</v>
      </c>
      <c r="M72" s="69"/>
      <c r="N72" s="69"/>
      <c r="O72" s="69"/>
      <c r="P72" s="69"/>
      <c r="Q72" s="69"/>
      <c r="R72" s="68"/>
      <c r="S72" s="80" t="s">
        <v>57</v>
      </c>
      <c r="T72" s="81"/>
      <c r="U72" s="81"/>
      <c r="V72" s="81"/>
      <c r="W72" s="81"/>
      <c r="X72" s="81"/>
      <c r="Y72" s="81"/>
      <c r="Z72" s="81"/>
      <c r="AA72" s="81"/>
      <c r="AB72" s="82"/>
      <c r="AC72" s="76" t="s">
        <v>162</v>
      </c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8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2"/>
      <c r="BI72" s="22"/>
      <c r="BJ72" s="22"/>
      <c r="BK72" s="18"/>
    </row>
    <row r="73" spans="1:63" s="19" customFormat="1" ht="30.75" customHeight="1" x14ac:dyDescent="0.25">
      <c r="A73" s="14"/>
      <c r="B73" s="21"/>
      <c r="C73" s="67">
        <v>27</v>
      </c>
      <c r="D73" s="68"/>
      <c r="E73" s="67" t="s">
        <v>59</v>
      </c>
      <c r="F73" s="69"/>
      <c r="G73" s="69"/>
      <c r="H73" s="69"/>
      <c r="I73" s="69"/>
      <c r="J73" s="69"/>
      <c r="K73" s="68"/>
      <c r="L73" s="67" t="s">
        <v>26</v>
      </c>
      <c r="M73" s="69"/>
      <c r="N73" s="69"/>
      <c r="O73" s="69"/>
      <c r="P73" s="69"/>
      <c r="Q73" s="69"/>
      <c r="R73" s="68"/>
      <c r="S73" s="80" t="s">
        <v>58</v>
      </c>
      <c r="T73" s="81"/>
      <c r="U73" s="81"/>
      <c r="V73" s="81"/>
      <c r="W73" s="81"/>
      <c r="X73" s="81"/>
      <c r="Y73" s="81"/>
      <c r="Z73" s="81"/>
      <c r="AA73" s="81"/>
      <c r="AB73" s="82"/>
      <c r="AC73" s="76" t="s">
        <v>163</v>
      </c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8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2"/>
      <c r="BI73" s="22"/>
      <c r="BJ73" s="22"/>
      <c r="BK73" s="18"/>
    </row>
    <row r="74" spans="1:63" s="19" customFormat="1" x14ac:dyDescent="0.25">
      <c r="A74" s="14"/>
      <c r="B74" s="21"/>
      <c r="C74" s="67">
        <v>28</v>
      </c>
      <c r="D74" s="68"/>
      <c r="E74" s="67" t="s">
        <v>60</v>
      </c>
      <c r="F74" s="69"/>
      <c r="G74" s="69"/>
      <c r="H74" s="69"/>
      <c r="I74" s="69"/>
      <c r="J74" s="69"/>
      <c r="K74" s="68"/>
      <c r="L74" s="67" t="s">
        <v>62</v>
      </c>
      <c r="M74" s="69"/>
      <c r="N74" s="69"/>
      <c r="O74" s="69"/>
      <c r="P74" s="69"/>
      <c r="Q74" s="69"/>
      <c r="R74" s="68"/>
      <c r="S74" s="73" t="s">
        <v>63</v>
      </c>
      <c r="T74" s="74"/>
      <c r="U74" s="74"/>
      <c r="V74" s="74"/>
      <c r="W74" s="74"/>
      <c r="X74" s="74"/>
      <c r="Y74" s="74"/>
      <c r="Z74" s="74"/>
      <c r="AA74" s="74"/>
      <c r="AB74" s="75"/>
      <c r="AC74" s="76" t="s">
        <v>164</v>
      </c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8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2"/>
      <c r="BI74" s="22"/>
      <c r="BJ74" s="22"/>
      <c r="BK74" s="18"/>
    </row>
    <row r="75" spans="1:63" s="19" customFormat="1" x14ac:dyDescent="0.25">
      <c r="A75" s="14"/>
      <c r="B75" s="21"/>
      <c r="C75" s="67">
        <v>29</v>
      </c>
      <c r="D75" s="68"/>
      <c r="E75" s="67" t="s">
        <v>61</v>
      </c>
      <c r="F75" s="69"/>
      <c r="G75" s="69"/>
      <c r="H75" s="69"/>
      <c r="I75" s="69"/>
      <c r="J75" s="69"/>
      <c r="K75" s="68"/>
      <c r="L75" s="67" t="s">
        <v>62</v>
      </c>
      <c r="M75" s="69"/>
      <c r="N75" s="69"/>
      <c r="O75" s="69"/>
      <c r="P75" s="69"/>
      <c r="Q75" s="69"/>
      <c r="R75" s="68"/>
      <c r="S75" s="73" t="s">
        <v>63</v>
      </c>
      <c r="T75" s="74"/>
      <c r="U75" s="74"/>
      <c r="V75" s="74"/>
      <c r="W75" s="74"/>
      <c r="X75" s="74"/>
      <c r="Y75" s="74"/>
      <c r="Z75" s="74"/>
      <c r="AA75" s="74"/>
      <c r="AB75" s="75"/>
      <c r="AC75" s="76" t="s">
        <v>165</v>
      </c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8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2"/>
      <c r="BI75" s="22"/>
      <c r="BJ75" s="22"/>
      <c r="BK75" s="18"/>
    </row>
    <row r="76" spans="1:63" s="19" customFormat="1" x14ac:dyDescent="0.25">
      <c r="A76" s="14"/>
      <c r="B76" s="21"/>
      <c r="C76" s="67">
        <v>30</v>
      </c>
      <c r="D76" s="68"/>
      <c r="E76" s="67" t="s">
        <v>64</v>
      </c>
      <c r="F76" s="69"/>
      <c r="G76" s="69"/>
      <c r="H76" s="69"/>
      <c r="I76" s="69"/>
      <c r="J76" s="69"/>
      <c r="K76" s="68"/>
      <c r="L76" s="67" t="s">
        <v>5</v>
      </c>
      <c r="M76" s="69"/>
      <c r="N76" s="69"/>
      <c r="O76" s="69"/>
      <c r="P76" s="69"/>
      <c r="Q76" s="69"/>
      <c r="R76" s="68"/>
      <c r="S76" s="73" t="s">
        <v>65</v>
      </c>
      <c r="T76" s="74"/>
      <c r="U76" s="74"/>
      <c r="V76" s="74"/>
      <c r="W76" s="74"/>
      <c r="X76" s="74"/>
      <c r="Y76" s="74"/>
      <c r="Z76" s="74"/>
      <c r="AA76" s="74"/>
      <c r="AB76" s="75"/>
      <c r="AC76" s="76" t="s">
        <v>66</v>
      </c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8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2"/>
      <c r="BI76" s="22"/>
      <c r="BJ76" s="22"/>
      <c r="BK76" s="18"/>
    </row>
    <row r="77" spans="1:63" s="19" customFormat="1" x14ac:dyDescent="0.25">
      <c r="A77" s="14"/>
      <c r="B77" s="21"/>
      <c r="C77" s="67">
        <v>31</v>
      </c>
      <c r="D77" s="68"/>
      <c r="E77" s="67" t="s">
        <v>70</v>
      </c>
      <c r="F77" s="69"/>
      <c r="G77" s="69"/>
      <c r="H77" s="69"/>
      <c r="I77" s="69"/>
      <c r="J77" s="69"/>
      <c r="K77" s="68"/>
      <c r="L77" s="67" t="s">
        <v>67</v>
      </c>
      <c r="M77" s="69"/>
      <c r="N77" s="69"/>
      <c r="O77" s="69"/>
      <c r="P77" s="69"/>
      <c r="Q77" s="69"/>
      <c r="R77" s="68"/>
      <c r="S77" s="80"/>
      <c r="T77" s="81"/>
      <c r="U77" s="81"/>
      <c r="V77" s="81"/>
      <c r="W77" s="81"/>
      <c r="X77" s="81"/>
      <c r="Y77" s="81"/>
      <c r="Z77" s="81"/>
      <c r="AA77" s="81"/>
      <c r="AB77" s="82"/>
      <c r="AC77" s="76" t="s">
        <v>68</v>
      </c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8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2"/>
      <c r="BI77" s="22"/>
      <c r="BJ77" s="22"/>
      <c r="BK77" s="18"/>
    </row>
    <row r="78" spans="1:63" s="19" customFormat="1" x14ac:dyDescent="0.25">
      <c r="A78" s="14"/>
      <c r="B78" s="21"/>
      <c r="C78" s="67">
        <v>32</v>
      </c>
      <c r="D78" s="68"/>
      <c r="E78" s="77" t="s">
        <v>24</v>
      </c>
      <c r="F78" s="78"/>
      <c r="G78" s="78"/>
      <c r="H78" s="78"/>
      <c r="I78" s="78"/>
      <c r="J78" s="78"/>
      <c r="K78" s="79"/>
      <c r="L78" s="77" t="s">
        <v>25</v>
      </c>
      <c r="M78" s="78"/>
      <c r="N78" s="78"/>
      <c r="O78" s="78"/>
      <c r="P78" s="78"/>
      <c r="Q78" s="78"/>
      <c r="R78" s="79"/>
      <c r="S78" s="80" t="s">
        <v>113</v>
      </c>
      <c r="T78" s="81"/>
      <c r="U78" s="81"/>
      <c r="V78" s="81"/>
      <c r="W78" s="81"/>
      <c r="X78" s="81"/>
      <c r="Y78" s="81"/>
      <c r="Z78" s="81"/>
      <c r="AA78" s="81"/>
      <c r="AB78" s="82"/>
      <c r="AC78" s="76" t="s">
        <v>75</v>
      </c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8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2"/>
      <c r="BI78" s="22"/>
      <c r="BJ78" s="22"/>
      <c r="BK78" s="18"/>
    </row>
    <row r="79" spans="1:63" s="19" customFormat="1" x14ac:dyDescent="0.25">
      <c r="A79" s="14"/>
      <c r="B79" s="21"/>
      <c r="C79" s="67">
        <v>33</v>
      </c>
      <c r="D79" s="68"/>
      <c r="E79" s="77" t="s">
        <v>120</v>
      </c>
      <c r="F79" s="78"/>
      <c r="G79" s="78"/>
      <c r="H79" s="78"/>
      <c r="I79" s="78"/>
      <c r="J79" s="78"/>
      <c r="K79" s="79"/>
      <c r="L79" s="77" t="s">
        <v>5</v>
      </c>
      <c r="M79" s="78"/>
      <c r="N79" s="78"/>
      <c r="O79" s="78"/>
      <c r="P79" s="78"/>
      <c r="Q79" s="78"/>
      <c r="R79" s="79"/>
      <c r="S79" s="80" t="s">
        <v>39</v>
      </c>
      <c r="T79" s="81"/>
      <c r="U79" s="81"/>
      <c r="V79" s="81"/>
      <c r="W79" s="81"/>
      <c r="X79" s="81"/>
      <c r="Y79" s="81"/>
      <c r="Z79" s="81"/>
      <c r="AA79" s="81"/>
      <c r="AB79" s="82"/>
      <c r="AC79" s="76" t="s">
        <v>69</v>
      </c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8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2"/>
      <c r="BI79" s="22"/>
      <c r="BJ79" s="22"/>
      <c r="BK79" s="18"/>
    </row>
    <row r="80" spans="1:63" s="22" customFormat="1" x14ac:dyDescent="0.25">
      <c r="A80" s="14"/>
      <c r="B80" s="21"/>
      <c r="C80" s="67">
        <v>34</v>
      </c>
      <c r="D80" s="68"/>
      <c r="E80" s="67" t="s">
        <v>108</v>
      </c>
      <c r="F80" s="69"/>
      <c r="G80" s="69"/>
      <c r="H80" s="69"/>
      <c r="I80" s="69"/>
      <c r="J80" s="69"/>
      <c r="K80" s="68"/>
      <c r="L80" s="77" t="s">
        <v>29</v>
      </c>
      <c r="M80" s="78"/>
      <c r="N80" s="78"/>
      <c r="O80" s="78"/>
      <c r="P80" s="78"/>
      <c r="Q80" s="78"/>
      <c r="R80" s="79"/>
      <c r="S80" s="83"/>
      <c r="T80" s="84"/>
      <c r="U80" s="84"/>
      <c r="V80" s="84"/>
      <c r="W80" s="84"/>
      <c r="X80" s="84"/>
      <c r="Y80" s="84"/>
      <c r="Z80" s="84"/>
      <c r="AA80" s="84"/>
      <c r="AB80" s="85"/>
      <c r="AC80" s="76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8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K80" s="18"/>
    </row>
    <row r="81" spans="1:63" s="19" customFormat="1" x14ac:dyDescent="0.25">
      <c r="A81" s="14"/>
      <c r="B81" s="21"/>
      <c r="C81" s="67">
        <v>35</v>
      </c>
      <c r="D81" s="68"/>
      <c r="E81" s="67" t="s">
        <v>71</v>
      </c>
      <c r="F81" s="69"/>
      <c r="G81" s="69"/>
      <c r="H81" s="69"/>
      <c r="I81" s="69"/>
      <c r="J81" s="69"/>
      <c r="K81" s="68"/>
      <c r="L81" s="77" t="s">
        <v>5</v>
      </c>
      <c r="M81" s="78"/>
      <c r="N81" s="78"/>
      <c r="O81" s="78"/>
      <c r="P81" s="78"/>
      <c r="Q81" s="78"/>
      <c r="R81" s="79"/>
      <c r="S81" s="80" t="s">
        <v>72</v>
      </c>
      <c r="T81" s="81"/>
      <c r="U81" s="81"/>
      <c r="V81" s="81"/>
      <c r="W81" s="81"/>
      <c r="X81" s="81"/>
      <c r="Y81" s="81"/>
      <c r="Z81" s="81"/>
      <c r="AA81" s="81"/>
      <c r="AB81" s="82"/>
      <c r="AC81" s="76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8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2"/>
      <c r="BI81" s="22"/>
      <c r="BJ81" s="22"/>
      <c r="BK81" s="18"/>
    </row>
    <row r="82" spans="1:63" s="19" customFormat="1" ht="31.5" customHeight="1" x14ac:dyDescent="0.25">
      <c r="A82" s="14"/>
      <c r="B82" s="21"/>
      <c r="C82" s="67">
        <v>36</v>
      </c>
      <c r="D82" s="68"/>
      <c r="E82" s="67" t="s">
        <v>73</v>
      </c>
      <c r="F82" s="69"/>
      <c r="G82" s="69"/>
      <c r="H82" s="69"/>
      <c r="I82" s="69"/>
      <c r="J82" s="69"/>
      <c r="K82" s="68"/>
      <c r="L82" s="77" t="s">
        <v>29</v>
      </c>
      <c r="M82" s="78"/>
      <c r="N82" s="78"/>
      <c r="O82" s="78"/>
      <c r="P82" s="78"/>
      <c r="Q82" s="78"/>
      <c r="R82" s="79"/>
      <c r="S82" s="80" t="s">
        <v>74</v>
      </c>
      <c r="T82" s="81"/>
      <c r="U82" s="81"/>
      <c r="V82" s="81"/>
      <c r="W82" s="81"/>
      <c r="X82" s="81"/>
      <c r="Y82" s="81"/>
      <c r="Z82" s="81"/>
      <c r="AA82" s="81"/>
      <c r="AB82" s="82"/>
      <c r="AC82" s="76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8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2"/>
      <c r="BI82" s="22"/>
      <c r="BJ82" s="22"/>
      <c r="BK82" s="18"/>
    </row>
    <row r="83" spans="1:63" s="19" customFormat="1" x14ac:dyDescent="0.25">
      <c r="A83" s="14"/>
      <c r="B83" s="21"/>
      <c r="C83" s="67">
        <v>37</v>
      </c>
      <c r="D83" s="68"/>
      <c r="E83" s="67" t="s">
        <v>76</v>
      </c>
      <c r="F83" s="69"/>
      <c r="G83" s="69"/>
      <c r="H83" s="69"/>
      <c r="I83" s="69"/>
      <c r="J83" s="69"/>
      <c r="K83" s="68"/>
      <c r="L83" s="70" t="s">
        <v>29</v>
      </c>
      <c r="M83" s="71"/>
      <c r="N83" s="71"/>
      <c r="O83" s="71"/>
      <c r="P83" s="71"/>
      <c r="Q83" s="71"/>
      <c r="R83" s="72"/>
      <c r="S83" s="73"/>
      <c r="T83" s="74"/>
      <c r="U83" s="74"/>
      <c r="V83" s="74"/>
      <c r="W83" s="74"/>
      <c r="X83" s="74"/>
      <c r="Y83" s="74"/>
      <c r="Z83" s="74"/>
      <c r="AA83" s="74"/>
      <c r="AB83" s="75"/>
      <c r="AC83" s="76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8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2"/>
      <c r="BI83" s="22"/>
      <c r="BJ83" s="22"/>
      <c r="BK83" s="18"/>
    </row>
    <row r="84" spans="1:63" s="19" customFormat="1" x14ac:dyDescent="0.25">
      <c r="A84" s="14"/>
      <c r="B84" s="21"/>
      <c r="C84" s="67">
        <v>38</v>
      </c>
      <c r="D84" s="68"/>
      <c r="E84" s="67" t="s">
        <v>109</v>
      </c>
      <c r="F84" s="69"/>
      <c r="G84" s="69"/>
      <c r="H84" s="69"/>
      <c r="I84" s="69"/>
      <c r="J84" s="69"/>
      <c r="K84" s="68"/>
      <c r="L84" s="70" t="s">
        <v>29</v>
      </c>
      <c r="M84" s="71"/>
      <c r="N84" s="71"/>
      <c r="O84" s="71"/>
      <c r="P84" s="71"/>
      <c r="Q84" s="71"/>
      <c r="R84" s="72"/>
      <c r="S84" s="73"/>
      <c r="T84" s="74"/>
      <c r="U84" s="74"/>
      <c r="V84" s="74"/>
      <c r="W84" s="74"/>
      <c r="X84" s="74"/>
      <c r="Y84" s="74"/>
      <c r="Z84" s="74"/>
      <c r="AA84" s="74"/>
      <c r="AB84" s="75"/>
      <c r="AC84" s="76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8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2"/>
      <c r="BI84" s="22"/>
      <c r="BJ84" s="22"/>
      <c r="BK84" s="18"/>
    </row>
    <row r="85" spans="1:63" s="19" customFormat="1" x14ac:dyDescent="0.25">
      <c r="A85" s="14"/>
      <c r="B85" s="21"/>
      <c r="C85" s="67">
        <v>39</v>
      </c>
      <c r="D85" s="68"/>
      <c r="E85" s="95" t="s">
        <v>118</v>
      </c>
      <c r="F85" s="69"/>
      <c r="G85" s="69"/>
      <c r="H85" s="69"/>
      <c r="I85" s="69"/>
      <c r="J85" s="69"/>
      <c r="K85" s="68"/>
      <c r="L85" s="70" t="s">
        <v>5</v>
      </c>
      <c r="M85" s="71"/>
      <c r="N85" s="71"/>
      <c r="O85" s="71"/>
      <c r="P85" s="71"/>
      <c r="Q85" s="71"/>
      <c r="R85" s="72"/>
      <c r="S85" s="73"/>
      <c r="T85" s="74"/>
      <c r="U85" s="74"/>
      <c r="V85" s="74"/>
      <c r="W85" s="74"/>
      <c r="X85" s="74"/>
      <c r="Y85" s="74"/>
      <c r="Z85" s="74"/>
      <c r="AA85" s="74"/>
      <c r="AB85" s="75"/>
      <c r="AC85" s="76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8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2"/>
      <c r="BI85" s="22"/>
      <c r="BJ85" s="22"/>
      <c r="BK85" s="18"/>
    </row>
    <row r="86" spans="1:63" s="19" customFormat="1" x14ac:dyDescent="0.25">
      <c r="A86" s="14"/>
      <c r="B86" s="21"/>
      <c r="C86" s="67">
        <v>40</v>
      </c>
      <c r="D86" s="68"/>
      <c r="E86" s="95" t="s">
        <v>119</v>
      </c>
      <c r="F86" s="69"/>
      <c r="G86" s="69"/>
      <c r="H86" s="69"/>
      <c r="I86" s="69"/>
      <c r="J86" s="69"/>
      <c r="K86" s="68"/>
      <c r="L86" s="70" t="s">
        <v>29</v>
      </c>
      <c r="M86" s="71"/>
      <c r="N86" s="71"/>
      <c r="O86" s="71"/>
      <c r="P86" s="71"/>
      <c r="Q86" s="71"/>
      <c r="R86" s="72"/>
      <c r="S86" s="73"/>
      <c r="T86" s="74"/>
      <c r="U86" s="74"/>
      <c r="V86" s="74"/>
      <c r="W86" s="74"/>
      <c r="X86" s="74"/>
      <c r="Y86" s="74"/>
      <c r="Z86" s="74"/>
      <c r="AA86" s="74"/>
      <c r="AB86" s="75"/>
      <c r="AC86" s="76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8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2"/>
      <c r="BI86" s="22"/>
      <c r="BJ86" s="22"/>
      <c r="BK86" s="18"/>
    </row>
    <row r="87" spans="1:63" s="19" customFormat="1" x14ac:dyDescent="0.25">
      <c r="A87" s="14"/>
      <c r="B87" s="21"/>
      <c r="C87" s="67">
        <v>41</v>
      </c>
      <c r="D87" s="68"/>
      <c r="E87" s="67" t="s">
        <v>110</v>
      </c>
      <c r="F87" s="69"/>
      <c r="G87" s="69"/>
      <c r="H87" s="69"/>
      <c r="I87" s="69"/>
      <c r="J87" s="69"/>
      <c r="K87" s="68"/>
      <c r="L87" s="70" t="s">
        <v>5</v>
      </c>
      <c r="M87" s="71"/>
      <c r="N87" s="71"/>
      <c r="O87" s="71"/>
      <c r="P87" s="71"/>
      <c r="Q87" s="71"/>
      <c r="R87" s="72"/>
      <c r="S87" s="73"/>
      <c r="T87" s="74"/>
      <c r="U87" s="74"/>
      <c r="V87" s="74"/>
      <c r="W87" s="74"/>
      <c r="X87" s="74"/>
      <c r="Y87" s="74"/>
      <c r="Z87" s="74"/>
      <c r="AA87" s="74"/>
      <c r="AB87" s="75"/>
      <c r="AC87" s="76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8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2"/>
      <c r="BI87" s="22"/>
      <c r="BJ87" s="22"/>
      <c r="BK87" s="18"/>
    </row>
    <row r="88" spans="1:63" s="19" customFormat="1" x14ac:dyDescent="0.25">
      <c r="A88" s="14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46"/>
      <c r="M88" s="46"/>
      <c r="N88" s="46"/>
      <c r="O88" s="46"/>
      <c r="P88" s="46"/>
      <c r="Q88" s="46"/>
      <c r="R88" s="46"/>
      <c r="S88" s="55"/>
      <c r="T88" s="22"/>
      <c r="U88" s="22"/>
      <c r="V88" s="22"/>
      <c r="W88" s="22"/>
      <c r="X88" s="22"/>
      <c r="Y88" s="22"/>
      <c r="Z88" s="22"/>
      <c r="AA88" s="22"/>
      <c r="AB88" s="22"/>
      <c r="AC88" s="49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2"/>
      <c r="BI88" s="22"/>
      <c r="BJ88" s="22"/>
      <c r="BK88" s="18"/>
    </row>
    <row r="89" spans="1:63" s="19" customFormat="1" x14ac:dyDescent="0.25">
      <c r="A89" s="14"/>
      <c r="B89" s="21"/>
      <c r="C89" s="21"/>
      <c r="D89" s="21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55"/>
      <c r="T89" s="22"/>
      <c r="U89" s="22"/>
      <c r="V89" s="22"/>
      <c r="W89" s="22"/>
      <c r="X89" s="22"/>
      <c r="Y89" s="22"/>
      <c r="Z89" s="22"/>
      <c r="AA89" s="22"/>
      <c r="AB89" s="22"/>
      <c r="AC89" s="49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2"/>
      <c r="BI89" s="22"/>
      <c r="BJ89" s="22"/>
      <c r="BK89" s="18"/>
    </row>
    <row r="90" spans="1:63" s="19" customFormat="1" x14ac:dyDescent="0.25">
      <c r="A90" s="14"/>
      <c r="B90" s="21"/>
      <c r="C90" s="21"/>
      <c r="D90" s="21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7"/>
      <c r="T90" s="48"/>
      <c r="U90" s="48"/>
      <c r="V90" s="48"/>
      <c r="W90" s="48"/>
      <c r="X90" s="48"/>
      <c r="Y90" s="48"/>
      <c r="Z90" s="48"/>
      <c r="AA90" s="48"/>
      <c r="AB90" s="48"/>
      <c r="AC90" s="49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2"/>
      <c r="BI90" s="22"/>
      <c r="BJ90" s="22"/>
      <c r="BK90" s="18"/>
    </row>
    <row r="91" spans="1:63" s="19" customFormat="1" ht="15" customHeight="1" x14ac:dyDescent="0.25">
      <c r="A91" s="14"/>
      <c r="B91" s="21"/>
      <c r="C91" s="24" t="s">
        <v>153</v>
      </c>
      <c r="D91" s="21"/>
      <c r="E91" s="223"/>
      <c r="F91" s="21"/>
      <c r="G91" s="223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2"/>
      <c r="BI91" s="22"/>
      <c r="BJ91" s="22"/>
      <c r="BK91" s="18"/>
    </row>
    <row r="92" spans="1:63" s="19" customFormat="1" ht="15" customHeight="1" x14ac:dyDescent="0.25">
      <c r="A92" s="14"/>
      <c r="B92" s="21"/>
      <c r="C92" s="24"/>
      <c r="D92" s="223"/>
      <c r="E92" s="223"/>
      <c r="F92" s="21"/>
      <c r="G92" s="223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2"/>
      <c r="BI92" s="22"/>
      <c r="BJ92" s="22"/>
      <c r="BK92" s="18"/>
    </row>
    <row r="93" spans="1:63" s="19" customFormat="1" ht="15" customHeight="1" x14ac:dyDescent="0.25">
      <c r="A93" s="14"/>
      <c r="B93" s="21"/>
      <c r="C93" s="282" t="s">
        <v>31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25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2"/>
      <c r="BI93" s="22"/>
      <c r="BJ93" s="22"/>
      <c r="BK93" s="18"/>
    </row>
    <row r="94" spans="1:63" s="19" customFormat="1" ht="15" customHeight="1" x14ac:dyDescent="0.25">
      <c r="A94" s="14"/>
      <c r="B94" s="21"/>
      <c r="C94" s="283" t="s">
        <v>166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6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2"/>
      <c r="BI94" s="22"/>
      <c r="BJ94" s="22"/>
      <c r="BK94" s="18"/>
    </row>
    <row r="95" spans="1:63" s="19" customFormat="1" ht="15" customHeight="1" x14ac:dyDescent="0.25">
      <c r="A95" s="14"/>
      <c r="B95" s="21"/>
      <c r="C95" s="284" t="s">
        <v>167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6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2"/>
      <c r="BI95" s="22"/>
      <c r="BJ95" s="22"/>
      <c r="BK95" s="18"/>
    </row>
    <row r="96" spans="1:63" s="19" customFormat="1" ht="15" customHeight="1" x14ac:dyDescent="0.25">
      <c r="A96" s="14"/>
      <c r="B96" s="21"/>
      <c r="C96" s="284" t="s">
        <v>168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6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2"/>
      <c r="BI96" s="22"/>
      <c r="BJ96" s="22"/>
      <c r="BK96" s="18"/>
    </row>
    <row r="97" spans="1:63" s="19" customFormat="1" ht="15" customHeight="1" x14ac:dyDescent="0.25">
      <c r="A97" s="14"/>
      <c r="B97" s="21"/>
      <c r="C97" s="284" t="s">
        <v>169</v>
      </c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6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2"/>
      <c r="BI97" s="22"/>
      <c r="BJ97" s="22"/>
      <c r="BK97" s="18"/>
    </row>
    <row r="98" spans="1:63" s="19" customFormat="1" ht="15" customHeight="1" x14ac:dyDescent="0.25">
      <c r="A98" s="14"/>
      <c r="B98" s="21"/>
      <c r="C98" s="284" t="s">
        <v>170</v>
      </c>
      <c r="D98" s="22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6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2"/>
      <c r="BI98" s="22"/>
      <c r="BJ98" s="22"/>
      <c r="BK98" s="18"/>
    </row>
    <row r="99" spans="1:63" s="19" customFormat="1" ht="15" customHeight="1" x14ac:dyDescent="0.25">
      <c r="A99" s="14"/>
      <c r="B99" s="21"/>
      <c r="C99" s="284" t="s">
        <v>171</v>
      </c>
      <c r="D99" s="22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6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2"/>
      <c r="BI99" s="22"/>
      <c r="BJ99" s="22"/>
      <c r="BK99" s="18"/>
    </row>
    <row r="100" spans="1:63" s="19" customFormat="1" ht="15" customHeight="1" x14ac:dyDescent="0.25">
      <c r="A100" s="14"/>
      <c r="B100" s="21"/>
      <c r="C100" s="284" t="s">
        <v>172</v>
      </c>
      <c r="D100" s="22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6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2"/>
      <c r="BI100" s="22"/>
      <c r="BJ100" s="22"/>
      <c r="BK100" s="18"/>
    </row>
    <row r="101" spans="1:63" s="19" customFormat="1" ht="15" customHeight="1" x14ac:dyDescent="0.25">
      <c r="A101" s="14"/>
      <c r="B101" s="21"/>
      <c r="C101" s="284" t="s">
        <v>173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6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2"/>
      <c r="BI101" s="22"/>
      <c r="BJ101" s="22"/>
      <c r="BK101" s="18"/>
    </row>
    <row r="102" spans="1:63" s="19" customFormat="1" ht="15" customHeight="1" x14ac:dyDescent="0.25">
      <c r="A102" s="14"/>
      <c r="B102" s="21"/>
      <c r="C102" s="284" t="s">
        <v>174</v>
      </c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6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2"/>
      <c r="BI102" s="22"/>
      <c r="BJ102" s="22"/>
      <c r="BK102" s="18"/>
    </row>
    <row r="103" spans="1:63" s="19" customFormat="1" ht="15" customHeight="1" x14ac:dyDescent="0.25">
      <c r="A103" s="14"/>
      <c r="B103" s="21"/>
      <c r="C103" s="283" t="s">
        <v>175</v>
      </c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6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2"/>
      <c r="BI103" s="22"/>
      <c r="BJ103" s="22"/>
      <c r="BK103" s="18"/>
    </row>
    <row r="104" spans="1:63" s="19" customFormat="1" ht="15" customHeight="1" x14ac:dyDescent="0.25">
      <c r="A104" s="14"/>
      <c r="B104" s="21"/>
      <c r="C104" s="283" t="s">
        <v>176</v>
      </c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6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2"/>
      <c r="BI104" s="22"/>
      <c r="BJ104" s="22"/>
      <c r="BK104" s="18"/>
    </row>
    <row r="105" spans="1:63" s="19" customFormat="1" ht="15" customHeight="1" x14ac:dyDescent="0.25">
      <c r="A105" s="14"/>
      <c r="B105" s="21"/>
      <c r="C105" s="284" t="s">
        <v>177</v>
      </c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6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2"/>
      <c r="BI105" s="22"/>
      <c r="BJ105" s="22"/>
      <c r="BK105" s="18"/>
    </row>
    <row r="106" spans="1:63" s="19" customFormat="1" ht="15" customHeight="1" x14ac:dyDescent="0.25">
      <c r="A106" s="14"/>
      <c r="B106" s="21"/>
      <c r="C106" s="284" t="s">
        <v>178</v>
      </c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6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2"/>
      <c r="BI106" s="22"/>
      <c r="BJ106" s="22"/>
      <c r="BK106" s="18"/>
    </row>
    <row r="107" spans="1:63" s="19" customFormat="1" ht="15" customHeight="1" x14ac:dyDescent="0.25">
      <c r="A107" s="14"/>
      <c r="B107" s="21"/>
      <c r="C107" s="284" t="s">
        <v>179</v>
      </c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6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2"/>
      <c r="BI107" s="22"/>
      <c r="BJ107" s="22"/>
      <c r="BK107" s="18"/>
    </row>
    <row r="108" spans="1:63" s="19" customFormat="1" ht="15" customHeight="1" x14ac:dyDescent="0.25">
      <c r="A108" s="14"/>
      <c r="B108" s="21"/>
      <c r="C108" s="284" t="s">
        <v>180</v>
      </c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6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2"/>
      <c r="BI108" s="22"/>
      <c r="BJ108" s="22"/>
      <c r="BK108" s="18"/>
    </row>
    <row r="109" spans="1:63" s="19" customFormat="1" ht="15" customHeight="1" x14ac:dyDescent="0.25">
      <c r="A109" s="14"/>
      <c r="B109" s="21"/>
      <c r="C109" s="284" t="s">
        <v>181</v>
      </c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6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2"/>
      <c r="BI109" s="22"/>
      <c r="BJ109" s="22"/>
      <c r="BK109" s="18"/>
    </row>
    <row r="110" spans="1:63" s="19" customFormat="1" ht="15" customHeight="1" x14ac:dyDescent="0.25">
      <c r="A110" s="14"/>
      <c r="B110" s="21"/>
      <c r="C110" s="284" t="s">
        <v>182</v>
      </c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6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2"/>
      <c r="BI110" s="22"/>
      <c r="BJ110" s="22"/>
      <c r="BK110" s="18"/>
    </row>
    <row r="111" spans="1:63" s="19" customFormat="1" ht="15" customHeight="1" x14ac:dyDescent="0.25">
      <c r="A111" s="14"/>
      <c r="B111" s="21"/>
      <c r="C111" s="284" t="s">
        <v>183</v>
      </c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6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2"/>
      <c r="BI111" s="22"/>
      <c r="BJ111" s="22"/>
      <c r="BK111" s="18"/>
    </row>
    <row r="112" spans="1:63" s="19" customFormat="1" ht="15" customHeight="1" x14ac:dyDescent="0.25">
      <c r="A112" s="14"/>
      <c r="B112" s="21"/>
      <c r="C112" s="284" t="s">
        <v>184</v>
      </c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6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2"/>
      <c r="BI112" s="22"/>
      <c r="BJ112" s="22"/>
      <c r="BK112" s="18"/>
    </row>
    <row r="113" spans="1:63" s="19" customFormat="1" ht="15" customHeight="1" x14ac:dyDescent="0.25">
      <c r="A113" s="14"/>
      <c r="B113" s="21"/>
      <c r="C113" s="284" t="s">
        <v>185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6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2"/>
      <c r="BI113" s="22"/>
      <c r="BJ113" s="22"/>
      <c r="BK113" s="18"/>
    </row>
    <row r="114" spans="1:63" s="19" customFormat="1" ht="15" customHeight="1" x14ac:dyDescent="0.25">
      <c r="A114" s="14"/>
      <c r="B114" s="21"/>
      <c r="C114" s="284" t="s">
        <v>186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6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2"/>
      <c r="BI114" s="22"/>
      <c r="BJ114" s="22"/>
      <c r="BK114" s="18"/>
    </row>
    <row r="115" spans="1:63" s="19" customFormat="1" ht="15" customHeight="1" x14ac:dyDescent="0.25">
      <c r="A115" s="14"/>
      <c r="B115" s="21"/>
      <c r="C115" s="284" t="s">
        <v>187</v>
      </c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6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2"/>
      <c r="BI115" s="22"/>
      <c r="BJ115" s="22"/>
      <c r="BK115" s="18"/>
    </row>
    <row r="116" spans="1:63" s="19" customFormat="1" ht="15" customHeight="1" x14ac:dyDescent="0.25">
      <c r="A116" s="14"/>
      <c r="B116" s="21"/>
      <c r="C116" s="284" t="s">
        <v>188</v>
      </c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6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2"/>
      <c r="BI116" s="22"/>
      <c r="BJ116" s="22"/>
      <c r="BK116" s="18"/>
    </row>
    <row r="117" spans="1:63" s="19" customFormat="1" ht="15" customHeight="1" x14ac:dyDescent="0.25">
      <c r="A117" s="14"/>
      <c r="B117" s="21"/>
      <c r="C117" s="284" t="s">
        <v>189</v>
      </c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6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2"/>
      <c r="BI117" s="22"/>
      <c r="BJ117" s="22"/>
      <c r="BK117" s="18"/>
    </row>
    <row r="118" spans="1:63" s="19" customFormat="1" ht="15" customHeight="1" x14ac:dyDescent="0.25">
      <c r="A118" s="14"/>
      <c r="B118" s="21"/>
      <c r="C118" s="284" t="s">
        <v>190</v>
      </c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6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2"/>
      <c r="BI118" s="22"/>
      <c r="BJ118" s="22"/>
      <c r="BK118" s="18"/>
    </row>
    <row r="119" spans="1:63" s="19" customFormat="1" ht="15" customHeight="1" x14ac:dyDescent="0.25">
      <c r="A119" s="14"/>
      <c r="B119" s="21"/>
      <c r="C119" s="284" t="s">
        <v>191</v>
      </c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6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2"/>
      <c r="BI119" s="22"/>
      <c r="BJ119" s="22"/>
      <c r="BK119" s="18"/>
    </row>
    <row r="120" spans="1:63" s="19" customFormat="1" ht="15" customHeight="1" x14ac:dyDescent="0.25">
      <c r="A120" s="14"/>
      <c r="B120" s="21"/>
      <c r="C120" s="284" t="s">
        <v>192</v>
      </c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6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2"/>
      <c r="BI120" s="22"/>
      <c r="BJ120" s="22"/>
      <c r="BK120" s="18"/>
    </row>
    <row r="121" spans="1:63" s="19" customFormat="1" ht="15" customHeight="1" x14ac:dyDescent="0.25">
      <c r="A121" s="14"/>
      <c r="B121" s="21"/>
      <c r="C121" s="283" t="s">
        <v>193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6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2"/>
      <c r="BI121" s="22"/>
      <c r="BJ121" s="22"/>
      <c r="BK121" s="18"/>
    </row>
    <row r="122" spans="1:63" s="19" customFormat="1" ht="15" customHeight="1" x14ac:dyDescent="0.25">
      <c r="A122" s="14"/>
      <c r="B122" s="21"/>
      <c r="C122" s="284" t="s">
        <v>114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6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2"/>
      <c r="BI122" s="22"/>
      <c r="BJ122" s="22"/>
      <c r="BK122" s="18"/>
    </row>
    <row r="123" spans="1:63" s="19" customFormat="1" ht="15" customHeight="1" x14ac:dyDescent="0.25">
      <c r="A123" s="14"/>
      <c r="B123" s="21"/>
      <c r="C123" s="284" t="s">
        <v>194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6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2"/>
      <c r="BI123" s="22"/>
      <c r="BJ123" s="22"/>
      <c r="BK123" s="18"/>
    </row>
    <row r="124" spans="1:63" s="19" customFormat="1" ht="15" customHeight="1" x14ac:dyDescent="0.25">
      <c r="A124" s="14"/>
      <c r="B124" s="21"/>
      <c r="C124" s="284" t="s">
        <v>195</v>
      </c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6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2"/>
      <c r="BI124" s="22"/>
      <c r="BJ124" s="22"/>
      <c r="BK124" s="18"/>
    </row>
    <row r="125" spans="1:63" s="19" customFormat="1" ht="15" customHeight="1" x14ac:dyDescent="0.25">
      <c r="A125" s="14"/>
      <c r="B125" s="21"/>
      <c r="C125" s="284" t="s">
        <v>115</v>
      </c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6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2"/>
      <c r="BI125" s="22"/>
      <c r="BJ125" s="22"/>
      <c r="BK125" s="18"/>
    </row>
    <row r="126" spans="1:63" s="19" customFormat="1" ht="15" customHeight="1" x14ac:dyDescent="0.25">
      <c r="A126" s="14"/>
      <c r="B126" s="21"/>
      <c r="C126" s="284" t="s">
        <v>114</v>
      </c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6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2"/>
      <c r="BI126" s="22"/>
      <c r="BJ126" s="22"/>
      <c r="BK126" s="18"/>
    </row>
    <row r="127" spans="1:63" s="19" customFormat="1" ht="15" customHeight="1" x14ac:dyDescent="0.25">
      <c r="A127" s="14"/>
      <c r="B127" s="21"/>
      <c r="C127" s="284" t="s">
        <v>196</v>
      </c>
      <c r="D127" s="223"/>
      <c r="E127" s="22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6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2"/>
      <c r="BI127" s="22"/>
      <c r="BJ127" s="22"/>
      <c r="BK127" s="18"/>
    </row>
    <row r="128" spans="1:63" s="19" customFormat="1" ht="15" customHeight="1" x14ac:dyDescent="0.25">
      <c r="A128" s="14"/>
      <c r="B128" s="21"/>
      <c r="C128" s="284" t="s">
        <v>195</v>
      </c>
      <c r="D128" s="223"/>
      <c r="E128" s="22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6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2"/>
      <c r="BI128" s="22"/>
      <c r="BJ128" s="22"/>
      <c r="BK128" s="18"/>
    </row>
    <row r="129" spans="1:63" s="19" customFormat="1" ht="15" customHeight="1" x14ac:dyDescent="0.25">
      <c r="A129" s="14"/>
      <c r="B129" s="21"/>
      <c r="C129" s="284" t="s">
        <v>116</v>
      </c>
      <c r="D129" s="223"/>
      <c r="E129" s="22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6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2"/>
      <c r="BI129" s="22"/>
      <c r="BJ129" s="22"/>
      <c r="BK129" s="18"/>
    </row>
    <row r="130" spans="1:63" s="19" customFormat="1" ht="15" customHeight="1" x14ac:dyDescent="0.25">
      <c r="A130" s="14"/>
      <c r="B130" s="21"/>
      <c r="C130" s="283" t="s">
        <v>32</v>
      </c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6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2"/>
      <c r="BI130" s="22"/>
      <c r="BJ130" s="22"/>
      <c r="BK130" s="18"/>
    </row>
    <row r="131" spans="1:63" s="19" customFormat="1" ht="15" customHeight="1" x14ac:dyDescent="0.25">
      <c r="A131" s="14"/>
      <c r="B131" s="21"/>
      <c r="C131" s="283" t="s">
        <v>197</v>
      </c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6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2"/>
      <c r="BI131" s="22"/>
      <c r="BJ131" s="22"/>
      <c r="BK131" s="18"/>
    </row>
    <row r="132" spans="1:63" s="19" customFormat="1" ht="15" customHeight="1" x14ac:dyDescent="0.25">
      <c r="A132" s="14"/>
      <c r="B132" s="21"/>
      <c r="C132" s="284" t="s">
        <v>198</v>
      </c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6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2"/>
      <c r="BI132" s="22"/>
      <c r="BJ132" s="22"/>
      <c r="BK132" s="18"/>
    </row>
    <row r="133" spans="1:63" s="19" customFormat="1" ht="15" customHeight="1" x14ac:dyDescent="0.25">
      <c r="A133" s="14"/>
      <c r="B133" s="21"/>
      <c r="C133" s="284" t="s">
        <v>199</v>
      </c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6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2"/>
      <c r="BI133" s="22"/>
      <c r="BJ133" s="22"/>
      <c r="BK133" s="18"/>
    </row>
    <row r="134" spans="1:63" s="19" customFormat="1" ht="15" customHeight="1" x14ac:dyDescent="0.25">
      <c r="A134" s="14"/>
      <c r="B134" s="21"/>
      <c r="C134" s="284" t="s">
        <v>200</v>
      </c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6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2"/>
      <c r="BI134" s="22"/>
      <c r="BJ134" s="22"/>
      <c r="BK134" s="18"/>
    </row>
    <row r="135" spans="1:63" s="19" customFormat="1" ht="15" customHeight="1" x14ac:dyDescent="0.25">
      <c r="A135" s="14"/>
      <c r="B135" s="21"/>
      <c r="C135" s="284" t="s">
        <v>201</v>
      </c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6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2"/>
      <c r="BI135" s="22"/>
      <c r="BJ135" s="22"/>
      <c r="BK135" s="18"/>
    </row>
    <row r="136" spans="1:63" s="19" customFormat="1" ht="15" customHeight="1" x14ac:dyDescent="0.25">
      <c r="A136" s="14"/>
      <c r="B136" s="21"/>
      <c r="C136" s="284" t="s">
        <v>202</v>
      </c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6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2"/>
      <c r="BI136" s="22"/>
      <c r="BJ136" s="22"/>
      <c r="BK136" s="18"/>
    </row>
    <row r="137" spans="1:63" s="19" customFormat="1" ht="15" customHeight="1" x14ac:dyDescent="0.25">
      <c r="A137" s="14"/>
      <c r="B137" s="21"/>
      <c r="C137" s="284" t="s">
        <v>203</v>
      </c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6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2"/>
      <c r="BI137" s="22"/>
      <c r="BJ137" s="22"/>
      <c r="BK137" s="18"/>
    </row>
    <row r="138" spans="1:63" s="19" customFormat="1" ht="15" customHeight="1" x14ac:dyDescent="0.25">
      <c r="A138" s="14"/>
      <c r="B138" s="21"/>
      <c r="C138" s="284" t="s">
        <v>204</v>
      </c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6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2"/>
      <c r="BI138" s="22"/>
      <c r="BJ138" s="22"/>
      <c r="BK138" s="18"/>
    </row>
    <row r="139" spans="1:63" s="19" customFormat="1" ht="15" customHeight="1" x14ac:dyDescent="0.25">
      <c r="A139" s="14"/>
      <c r="B139" s="21"/>
      <c r="C139" s="285" t="s">
        <v>30</v>
      </c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27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2"/>
      <c r="BI139" s="22"/>
      <c r="BJ139" s="22"/>
      <c r="BK139" s="18"/>
    </row>
    <row r="140" spans="1:63" s="19" customFormat="1" ht="15" customHeight="1" x14ac:dyDescent="0.25">
      <c r="A140" s="14"/>
      <c r="B140" s="21"/>
      <c r="C140" s="21"/>
      <c r="D140" s="223"/>
      <c r="E140" s="22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2"/>
      <c r="BI140" s="22"/>
      <c r="BJ140" s="22"/>
      <c r="BK140" s="18"/>
    </row>
    <row r="141" spans="1:63" s="19" customFormat="1" ht="15" customHeight="1" x14ac:dyDescent="0.25">
      <c r="A141" s="14"/>
      <c r="B141" s="21"/>
      <c r="C141" s="20" t="s">
        <v>205</v>
      </c>
      <c r="D141" s="21"/>
      <c r="E141" s="22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2"/>
      <c r="BI141" s="22"/>
      <c r="BJ141" s="22"/>
      <c r="BK141" s="18"/>
    </row>
    <row r="142" spans="1:63" s="19" customFormat="1" ht="15" customHeight="1" x14ac:dyDescent="0.25">
      <c r="A142" s="14"/>
      <c r="B142" s="21"/>
      <c r="C142" s="20"/>
      <c r="D142" s="21"/>
      <c r="E142" s="22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2"/>
      <c r="BI142" s="22"/>
      <c r="BJ142" s="22"/>
      <c r="BK142" s="18"/>
    </row>
    <row r="143" spans="1:63" s="19" customFormat="1" ht="15" customHeight="1" x14ac:dyDescent="0.25">
      <c r="A143" s="14"/>
      <c r="B143" s="21"/>
      <c r="C143" s="20" t="s">
        <v>27</v>
      </c>
      <c r="D143" s="21"/>
      <c r="E143" s="22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2"/>
      <c r="BI143" s="22"/>
      <c r="BJ143" s="22"/>
      <c r="BK143" s="18"/>
    </row>
    <row r="144" spans="1:63" s="19" customFormat="1" ht="15" customHeight="1" x14ac:dyDescent="0.25">
      <c r="A144" s="14"/>
      <c r="B144" s="21"/>
      <c r="C144" s="20"/>
      <c r="D144" s="21"/>
      <c r="E144" s="22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2"/>
      <c r="BI144" s="22"/>
      <c r="BJ144" s="22"/>
      <c r="BK144" s="18"/>
    </row>
    <row r="145" spans="1:63" s="41" customFormat="1" ht="15" customHeight="1" x14ac:dyDescent="0.25">
      <c r="A145" s="36"/>
      <c r="B145" s="37"/>
      <c r="C145" s="37"/>
      <c r="D145" s="37"/>
      <c r="E145" s="38"/>
      <c r="F145" s="38"/>
      <c r="G145" s="38"/>
      <c r="H145" s="38"/>
      <c r="I145" s="38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9"/>
      <c r="BI145" s="39"/>
      <c r="BJ145" s="39"/>
      <c r="BK145" s="40"/>
    </row>
  </sheetData>
  <mergeCells count="308">
    <mergeCell ref="C66:D66"/>
    <mergeCell ref="E66:K66"/>
    <mergeCell ref="C86:D86"/>
    <mergeCell ref="E86:K86"/>
    <mergeCell ref="L86:R86"/>
    <mergeCell ref="S86:AB86"/>
    <mergeCell ref="AC86:AU86"/>
    <mergeCell ref="C63:D63"/>
    <mergeCell ref="E63:K63"/>
    <mergeCell ref="L63:R63"/>
    <mergeCell ref="S63:AB63"/>
    <mergeCell ref="AC63:AU63"/>
    <mergeCell ref="C64:D64"/>
    <mergeCell ref="E64:K64"/>
    <mergeCell ref="L64:R64"/>
    <mergeCell ref="S64:AB64"/>
    <mergeCell ref="AC64:AU64"/>
    <mergeCell ref="L66:R66"/>
    <mergeCell ref="S66:AB66"/>
    <mergeCell ref="AC66:AU66"/>
    <mergeCell ref="E67:K67"/>
    <mergeCell ref="L67:R67"/>
    <mergeCell ref="S67:AB67"/>
    <mergeCell ref="AC67:AU67"/>
    <mergeCell ref="C62:D62"/>
    <mergeCell ref="E62:K62"/>
    <mergeCell ref="C87:D87"/>
    <mergeCell ref="E87:K87"/>
    <mergeCell ref="L87:R87"/>
    <mergeCell ref="S87:AB87"/>
    <mergeCell ref="AC87:AU87"/>
    <mergeCell ref="C65:D65"/>
    <mergeCell ref="E65:K65"/>
    <mergeCell ref="L65:R65"/>
    <mergeCell ref="S65:AB65"/>
    <mergeCell ref="AC65:AU65"/>
    <mergeCell ref="C85:D85"/>
    <mergeCell ref="E85:K85"/>
    <mergeCell ref="L85:R85"/>
    <mergeCell ref="S85:AB85"/>
    <mergeCell ref="AC85:AU85"/>
    <mergeCell ref="C67:D67"/>
    <mergeCell ref="C68:D68"/>
    <mergeCell ref="C69:D69"/>
    <mergeCell ref="E69:K69"/>
    <mergeCell ref="L69:R69"/>
    <mergeCell ref="S69:AB69"/>
    <mergeCell ref="AC69:AU69"/>
    <mergeCell ref="C60:D60"/>
    <mergeCell ref="E60:K60"/>
    <mergeCell ref="L60:R60"/>
    <mergeCell ref="S60:AB60"/>
    <mergeCell ref="AC60:AU60"/>
    <mergeCell ref="C61:D61"/>
    <mergeCell ref="E61:K61"/>
    <mergeCell ref="L61:R61"/>
    <mergeCell ref="S61:AB61"/>
    <mergeCell ref="AC61:AU61"/>
    <mergeCell ref="C58:D58"/>
    <mergeCell ref="E58:K58"/>
    <mergeCell ref="L58:R58"/>
    <mergeCell ref="S58:AB58"/>
    <mergeCell ref="AC58:AU58"/>
    <mergeCell ref="C59:D59"/>
    <mergeCell ref="E59:K59"/>
    <mergeCell ref="L59:R59"/>
    <mergeCell ref="S59:AB59"/>
    <mergeCell ref="AC59:AU59"/>
    <mergeCell ref="C56:D56"/>
    <mergeCell ref="E56:K56"/>
    <mergeCell ref="L56:R56"/>
    <mergeCell ref="S56:AB56"/>
    <mergeCell ref="AC56:AU56"/>
    <mergeCell ref="C57:D57"/>
    <mergeCell ref="E57:K57"/>
    <mergeCell ref="L57:R57"/>
    <mergeCell ref="S57:AB57"/>
    <mergeCell ref="AC57:AU57"/>
    <mergeCell ref="C54:D54"/>
    <mergeCell ref="E54:K54"/>
    <mergeCell ref="L54:R54"/>
    <mergeCell ref="S54:AB54"/>
    <mergeCell ref="AC54:AU54"/>
    <mergeCell ref="C55:D55"/>
    <mergeCell ref="E55:K55"/>
    <mergeCell ref="L55:R55"/>
    <mergeCell ref="S55:AB55"/>
    <mergeCell ref="AC55:AU55"/>
    <mergeCell ref="C52:D52"/>
    <mergeCell ref="C53:D53"/>
    <mergeCell ref="E52:K52"/>
    <mergeCell ref="L52:R52"/>
    <mergeCell ref="S52:AB52"/>
    <mergeCell ref="AC52:AU52"/>
    <mergeCell ref="E53:K53"/>
    <mergeCell ref="L53:R53"/>
    <mergeCell ref="S53:AB53"/>
    <mergeCell ref="AC53:AU53"/>
    <mergeCell ref="S68:AB68"/>
    <mergeCell ref="AC68:AU68"/>
    <mergeCell ref="E50:K50"/>
    <mergeCell ref="L50:R50"/>
    <mergeCell ref="E47:K47"/>
    <mergeCell ref="L47:R47"/>
    <mergeCell ref="S51:AB51"/>
    <mergeCell ref="S50:AB50"/>
    <mergeCell ref="L48:R48"/>
    <mergeCell ref="L49:R49"/>
    <mergeCell ref="E51:K51"/>
    <mergeCell ref="AC51:AU51"/>
    <mergeCell ref="L62:R62"/>
    <mergeCell ref="S62:AB62"/>
    <mergeCell ref="AC62:AU62"/>
    <mergeCell ref="E68:K68"/>
    <mergeCell ref="L68:R68"/>
    <mergeCell ref="S20:Y20"/>
    <mergeCell ref="Z20:AP20"/>
    <mergeCell ref="C27:D27"/>
    <mergeCell ref="C26:D26"/>
    <mergeCell ref="L51:R51"/>
    <mergeCell ref="AC49:AU49"/>
    <mergeCell ref="AC50:AU50"/>
    <mergeCell ref="C50:D50"/>
    <mergeCell ref="C51:D51"/>
    <mergeCell ref="AQ20:BJ20"/>
    <mergeCell ref="O20:R20"/>
    <mergeCell ref="L20:N20"/>
    <mergeCell ref="S22:Y22"/>
    <mergeCell ref="S23:Y25"/>
    <mergeCell ref="S21:Y21"/>
    <mergeCell ref="Z27:AP27"/>
    <mergeCell ref="E48:K48"/>
    <mergeCell ref="E49:K49"/>
    <mergeCell ref="AQ21:BJ21"/>
    <mergeCell ref="Z21:AP21"/>
    <mergeCell ref="AQ22:BJ22"/>
    <mergeCell ref="AQ23:BJ25"/>
    <mergeCell ref="O26:R26"/>
    <mergeCell ref="O27:R27"/>
    <mergeCell ref="L21:N21"/>
    <mergeCell ref="L22:N22"/>
    <mergeCell ref="L23:N25"/>
    <mergeCell ref="L26:N26"/>
    <mergeCell ref="E20:K20"/>
    <mergeCell ref="C20:D20"/>
    <mergeCell ref="C49:D49"/>
    <mergeCell ref="L27:N27"/>
    <mergeCell ref="O21:R21"/>
    <mergeCell ref="L46:R46"/>
    <mergeCell ref="C22:D22"/>
    <mergeCell ref="E31:K31"/>
    <mergeCell ref="E21:K21"/>
    <mergeCell ref="E22:K22"/>
    <mergeCell ref="C23:D25"/>
    <mergeCell ref="E23:K25"/>
    <mergeCell ref="C21:D21"/>
    <mergeCell ref="E26:K26"/>
    <mergeCell ref="E27:K27"/>
    <mergeCell ref="S46:AB46"/>
    <mergeCell ref="S48:AB48"/>
    <mergeCell ref="Z31:AP31"/>
    <mergeCell ref="L32:N32"/>
    <mergeCell ref="S32:Y32"/>
    <mergeCell ref="Z23:AP25"/>
    <mergeCell ref="S49:AB49"/>
    <mergeCell ref="Z22:AP22"/>
    <mergeCell ref="L33:N33"/>
    <mergeCell ref="Z26:AP26"/>
    <mergeCell ref="O22:R22"/>
    <mergeCell ref="O23:R25"/>
    <mergeCell ref="AQ31:BJ31"/>
    <mergeCell ref="C33:D33"/>
    <mergeCell ref="E33:K33"/>
    <mergeCell ref="AC46:AU46"/>
    <mergeCell ref="AC48:AU48"/>
    <mergeCell ref="E46:K46"/>
    <mergeCell ref="C47:D47"/>
    <mergeCell ref="S31:Y31"/>
    <mergeCell ref="Z32:AP32"/>
    <mergeCell ref="O33:R33"/>
    <mergeCell ref="S33:Y33"/>
    <mergeCell ref="Z33:AP33"/>
    <mergeCell ref="AQ32:BJ32"/>
    <mergeCell ref="O32:R32"/>
    <mergeCell ref="C48:D48"/>
    <mergeCell ref="S47:AB47"/>
    <mergeCell ref="AC47:AU47"/>
    <mergeCell ref="C46:D46"/>
    <mergeCell ref="C34:D34"/>
    <mergeCell ref="E34:K34"/>
    <mergeCell ref="L34:N34"/>
    <mergeCell ref="O34:R34"/>
    <mergeCell ref="S34:Y34"/>
    <mergeCell ref="Z34:AP34"/>
    <mergeCell ref="AQ34:BJ3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33:BJ33"/>
    <mergeCell ref="AQ16:BJ16"/>
    <mergeCell ref="AG16:AP16"/>
    <mergeCell ref="A4:G4"/>
    <mergeCell ref="H4:T4"/>
    <mergeCell ref="U4:Y4"/>
    <mergeCell ref="C32:D32"/>
    <mergeCell ref="E32:K32"/>
    <mergeCell ref="C31:D31"/>
    <mergeCell ref="AQ26:BJ26"/>
    <mergeCell ref="AQ27:BJ27"/>
    <mergeCell ref="S26:Y26"/>
    <mergeCell ref="S27:Y27"/>
    <mergeCell ref="L31:N31"/>
    <mergeCell ref="O31:R3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70:D70"/>
    <mergeCell ref="E70:K70"/>
    <mergeCell ref="L70:R70"/>
    <mergeCell ref="S70:AB70"/>
    <mergeCell ref="AC70:AU70"/>
    <mergeCell ref="C71:D71"/>
    <mergeCell ref="E71:K71"/>
    <mergeCell ref="L71:R71"/>
    <mergeCell ref="S71:AB71"/>
    <mergeCell ref="AC71:AU71"/>
    <mergeCell ref="C72:D72"/>
    <mergeCell ref="E72:K72"/>
    <mergeCell ref="L72:R72"/>
    <mergeCell ref="S72:AB72"/>
    <mergeCell ref="AC72:AU72"/>
    <mergeCell ref="C73:D73"/>
    <mergeCell ref="E73:K73"/>
    <mergeCell ref="L73:R73"/>
    <mergeCell ref="S73:AB73"/>
    <mergeCell ref="AC73:AU73"/>
    <mergeCell ref="C74:D74"/>
    <mergeCell ref="E74:K74"/>
    <mergeCell ref="L74:R74"/>
    <mergeCell ref="S74:AB74"/>
    <mergeCell ref="AC74:AU74"/>
    <mergeCell ref="C75:D75"/>
    <mergeCell ref="E75:K75"/>
    <mergeCell ref="L75:R75"/>
    <mergeCell ref="S75:AB75"/>
    <mergeCell ref="AC75:AU75"/>
    <mergeCell ref="C76:D76"/>
    <mergeCell ref="E76:K76"/>
    <mergeCell ref="L76:R76"/>
    <mergeCell ref="S76:AB76"/>
    <mergeCell ref="AC76:AU76"/>
    <mergeCell ref="C77:D77"/>
    <mergeCell ref="E77:K77"/>
    <mergeCell ref="L77:R77"/>
    <mergeCell ref="S77:AB77"/>
    <mergeCell ref="AC77:AU77"/>
    <mergeCell ref="C78:D78"/>
    <mergeCell ref="E78:K78"/>
    <mergeCell ref="L78:R78"/>
    <mergeCell ref="S78:AB78"/>
    <mergeCell ref="AC78:AU78"/>
    <mergeCell ref="C79:D79"/>
    <mergeCell ref="E79:K79"/>
    <mergeCell ref="L79:R79"/>
    <mergeCell ref="S79:AB79"/>
    <mergeCell ref="AC79:AU79"/>
    <mergeCell ref="C80:D80"/>
    <mergeCell ref="E80:K80"/>
    <mergeCell ref="L80:R80"/>
    <mergeCell ref="S80:AB80"/>
    <mergeCell ref="AC80:AU80"/>
    <mergeCell ref="C81:D81"/>
    <mergeCell ref="E81:K81"/>
    <mergeCell ref="L81:R81"/>
    <mergeCell ref="S81:AB81"/>
    <mergeCell ref="AC81:AU81"/>
    <mergeCell ref="C84:D84"/>
    <mergeCell ref="E84:K84"/>
    <mergeCell ref="L84:R84"/>
    <mergeCell ref="S84:AB84"/>
    <mergeCell ref="AC84:AU84"/>
    <mergeCell ref="C82:D82"/>
    <mergeCell ref="E82:K82"/>
    <mergeCell ref="L82:R82"/>
    <mergeCell ref="S82:AB82"/>
    <mergeCell ref="AC82:AU82"/>
    <mergeCell ref="C83:D83"/>
    <mergeCell ref="E83:K83"/>
    <mergeCell ref="L83:R83"/>
    <mergeCell ref="S83:AB83"/>
    <mergeCell ref="AC83:AU83"/>
  </mergeCells>
  <pageMargins left="0.7" right="0.7" top="0.75" bottom="0.75" header="0.3" footer="0.3"/>
  <pageSetup scale="3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7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3" t="s">
        <v>121</v>
      </c>
      <c r="B1" s="204"/>
      <c r="C1" s="204"/>
      <c r="D1" s="204"/>
      <c r="E1" s="204"/>
      <c r="F1" s="204"/>
      <c r="G1" s="204"/>
      <c r="H1" s="204"/>
      <c r="I1" s="204"/>
      <c r="J1" s="205"/>
      <c r="K1" s="203" t="s">
        <v>122</v>
      </c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5"/>
      <c r="W1" s="206" t="str">
        <f>IF(表紙!W1="","",表紙!W1)</f>
        <v>詳細設計書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129" t="s">
        <v>124</v>
      </c>
      <c r="AQ1" s="130"/>
      <c r="AR1" s="130"/>
      <c r="AS1" s="131"/>
      <c r="AT1" s="129" t="s">
        <v>125</v>
      </c>
      <c r="AU1" s="130"/>
      <c r="AV1" s="130"/>
      <c r="AW1" s="130"/>
      <c r="AX1" s="131"/>
      <c r="AY1" s="129" t="s">
        <v>126</v>
      </c>
      <c r="AZ1" s="130"/>
      <c r="BA1" s="130"/>
      <c r="BB1" s="131"/>
      <c r="BC1" s="129" t="s">
        <v>127</v>
      </c>
      <c r="BD1" s="130"/>
      <c r="BE1" s="130"/>
      <c r="BF1" s="130"/>
      <c r="BG1" s="131"/>
      <c r="BH1" s="129" t="s">
        <v>128</v>
      </c>
      <c r="BI1" s="130"/>
      <c r="BJ1" s="130"/>
      <c r="BK1" s="131"/>
    </row>
    <row r="2" spans="1:63" ht="15" customHeight="1" x14ac:dyDescent="0.25">
      <c r="A2" s="61" t="str">
        <f>IF(表紙!A2="","",表紙!A2)</f>
        <v>POSサーバー</v>
      </c>
      <c r="B2" s="62"/>
      <c r="C2" s="62"/>
      <c r="D2" s="62"/>
      <c r="E2" s="62"/>
      <c r="F2" s="62"/>
      <c r="G2" s="62"/>
      <c r="H2" s="62"/>
      <c r="I2" s="62"/>
      <c r="J2" s="63"/>
      <c r="K2" s="61" t="str">
        <f>IF(表紙!K2="","",表紙!K2)</f>
        <v>POSサーバ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3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138" t="str">
        <f>IF(表紙!AP2="","",表紙!AP2)</f>
        <v>DuNT</v>
      </c>
      <c r="AQ2" s="136"/>
      <c r="AR2" s="136"/>
      <c r="AS2" s="137"/>
      <c r="AT2" s="142">
        <f>IF(表紙!AT2="","",表紙!AT2)</f>
        <v>45533</v>
      </c>
      <c r="AU2" s="143"/>
      <c r="AV2" s="143"/>
      <c r="AW2" s="143"/>
      <c r="AX2" s="144"/>
      <c r="AY2" s="138" t="str">
        <f>IF(表紙!AY2="","",表紙!AY2)</f>
        <v>DuNT</v>
      </c>
      <c r="AZ2" s="136"/>
      <c r="BA2" s="136"/>
      <c r="BB2" s="137"/>
      <c r="BC2" s="142">
        <f>IF(表紙!BC2="","",表紙!BC2)</f>
        <v>45533</v>
      </c>
      <c r="BD2" s="143"/>
      <c r="BE2" s="143"/>
      <c r="BF2" s="143"/>
      <c r="BG2" s="144"/>
      <c r="BH2" s="138">
        <f>IF(表紙!BH2="","",表紙!BH2)</f>
        <v>0.1</v>
      </c>
      <c r="BI2" s="136"/>
      <c r="BJ2" s="136"/>
      <c r="BK2" s="137"/>
    </row>
    <row r="3" spans="1:63" ht="15" customHeight="1" x14ac:dyDescent="0.25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48"/>
      <c r="BI3" s="149"/>
      <c r="BJ3" s="149"/>
      <c r="BK3" s="150"/>
    </row>
    <row r="4" spans="1:63" ht="24.95" customHeight="1" x14ac:dyDescent="0.25">
      <c r="A4" s="203" t="s">
        <v>130</v>
      </c>
      <c r="B4" s="204"/>
      <c r="C4" s="204"/>
      <c r="D4" s="204"/>
      <c r="E4" s="204"/>
      <c r="F4" s="204"/>
      <c r="G4" s="205"/>
      <c r="H4" s="57" t="str">
        <f>IF(表紙!H4="","",表紙!H4)</f>
        <v>AP0101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9"/>
      <c r="U4" s="203" t="s">
        <v>131</v>
      </c>
      <c r="V4" s="204"/>
      <c r="W4" s="204"/>
      <c r="X4" s="204"/>
      <c r="Y4" s="205"/>
      <c r="Z4" s="57" t="str">
        <f>IF(表紙!Z4="","",表紙!Z4)</f>
        <v>API設計書</v>
      </c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9"/>
      <c r="AP4" s="60" t="str">
        <f ca="1">MID(CELL("filename",A1),FIND("]",CELL("filename",A1))+1,255)</f>
        <v>処理フロー</v>
      </c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9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21" customFormat="1" ht="15" customHeight="1" x14ac:dyDescent="0.25">
      <c r="B7" s="42"/>
      <c r="C7" s="22"/>
      <c r="D7" s="22"/>
      <c r="E7" s="22"/>
      <c r="F7" s="22"/>
      <c r="G7" s="22"/>
      <c r="AI7" s="286"/>
      <c r="BJ7" s="286"/>
      <c r="BK7" s="220"/>
    </row>
    <row r="8" spans="1:63" s="221" customFormat="1" ht="15" customHeight="1" x14ac:dyDescent="0.25">
      <c r="B8" s="42"/>
      <c r="C8" s="22"/>
      <c r="D8" s="22"/>
      <c r="E8" s="22"/>
      <c r="F8" s="22"/>
      <c r="G8" s="22"/>
      <c r="AI8" s="286"/>
      <c r="BJ8" s="286"/>
      <c r="BK8" s="220"/>
    </row>
    <row r="9" spans="1:63" s="221" customFormat="1" ht="15" customHeight="1" x14ac:dyDescent="0.25">
      <c r="B9" s="42"/>
      <c r="C9" s="22"/>
      <c r="D9" s="22"/>
      <c r="E9" s="22"/>
      <c r="F9" s="22"/>
      <c r="G9" s="22"/>
      <c r="AI9" s="286"/>
      <c r="BJ9" s="286"/>
      <c r="BK9" s="220"/>
    </row>
    <row r="10" spans="1:63" s="221" customFormat="1" ht="15" customHeight="1" x14ac:dyDescent="0.25">
      <c r="B10" s="42"/>
      <c r="C10" s="22"/>
      <c r="D10" s="22"/>
      <c r="E10" s="22"/>
      <c r="F10" s="22"/>
      <c r="G10" s="22"/>
      <c r="AI10" s="286"/>
      <c r="BJ10" s="286"/>
      <c r="BK10" s="220"/>
    </row>
    <row r="11" spans="1:63" s="221" customFormat="1" ht="15" customHeight="1" x14ac:dyDescent="0.25">
      <c r="B11" s="287"/>
      <c r="AI11" s="286"/>
      <c r="BJ11" s="286"/>
      <c r="BK11" s="220"/>
    </row>
    <row r="12" spans="1:63" s="221" customFormat="1" ht="15" customHeight="1" x14ac:dyDescent="0.25">
      <c r="B12" s="287"/>
      <c r="AI12" s="286"/>
      <c r="BJ12" s="286"/>
      <c r="BK12" s="220"/>
    </row>
    <row r="13" spans="1:63" s="221" customFormat="1" ht="15" customHeight="1" x14ac:dyDescent="0.25">
      <c r="B13" s="287"/>
      <c r="AI13" s="286"/>
      <c r="BJ13" s="286"/>
      <c r="BK13" s="220"/>
    </row>
    <row r="14" spans="1:63" s="221" customFormat="1" ht="15" customHeight="1" x14ac:dyDescent="0.25">
      <c r="B14" s="287"/>
      <c r="AI14" s="286"/>
      <c r="BJ14" s="286"/>
      <c r="BK14" s="220"/>
    </row>
    <row r="15" spans="1:63" s="221" customFormat="1" ht="15" customHeight="1" x14ac:dyDescent="0.25">
      <c r="B15" s="42"/>
      <c r="C15" s="22"/>
      <c r="D15" s="22"/>
      <c r="E15" s="22"/>
      <c r="F15" s="22"/>
      <c r="G15" s="22"/>
      <c r="AI15" s="286"/>
      <c r="BJ15" s="286"/>
      <c r="BK15" s="220"/>
    </row>
    <row r="16" spans="1:63" s="221" customFormat="1" ht="15" customHeight="1" x14ac:dyDescent="0.25">
      <c r="B16" s="42"/>
      <c r="C16" s="22"/>
      <c r="D16" s="22"/>
      <c r="E16" s="22"/>
      <c r="F16" s="22"/>
      <c r="G16" s="22"/>
      <c r="AI16" s="286"/>
      <c r="BJ16" s="286"/>
      <c r="BK16" s="220"/>
    </row>
    <row r="17" spans="2:63" s="221" customFormat="1" ht="15" customHeight="1" x14ac:dyDescent="0.25">
      <c r="B17" s="42"/>
      <c r="C17" s="22"/>
      <c r="D17" s="22"/>
      <c r="E17" s="22"/>
      <c r="F17" s="22"/>
      <c r="G17" s="22"/>
      <c r="AI17" s="286"/>
      <c r="BJ17" s="286"/>
      <c r="BK17" s="220"/>
    </row>
    <row r="18" spans="2:63" s="221" customFormat="1" ht="15" customHeight="1" x14ac:dyDescent="0.25">
      <c r="B18" s="42"/>
      <c r="C18" s="22"/>
      <c r="D18" s="22"/>
      <c r="E18" s="22"/>
      <c r="F18" s="22"/>
      <c r="G18" s="22"/>
      <c r="AI18" s="286"/>
      <c r="BJ18" s="286"/>
      <c r="BK18" s="220"/>
    </row>
    <row r="19" spans="2:63" s="221" customFormat="1" ht="15" customHeight="1" x14ac:dyDescent="0.25">
      <c r="B19" s="42"/>
      <c r="C19" s="22"/>
      <c r="D19" s="22"/>
      <c r="E19" s="22"/>
      <c r="F19" s="22"/>
      <c r="G19" s="22"/>
      <c r="AI19" s="286"/>
      <c r="BJ19" s="286"/>
      <c r="BK19" s="220"/>
    </row>
    <row r="20" spans="2:63" s="221" customFormat="1" ht="15" customHeight="1" x14ac:dyDescent="0.25">
      <c r="B20" s="42"/>
      <c r="C20" s="22"/>
      <c r="D20" s="22"/>
      <c r="E20" s="22"/>
      <c r="F20" s="22"/>
      <c r="G20" s="22"/>
      <c r="AI20" s="286"/>
      <c r="BJ20" s="286"/>
      <c r="BK20" s="220"/>
    </row>
    <row r="21" spans="2:63" s="221" customFormat="1" ht="15" customHeight="1" x14ac:dyDescent="0.25">
      <c r="B21" s="42"/>
      <c r="C21" s="22"/>
      <c r="D21" s="22"/>
      <c r="E21" s="22"/>
      <c r="F21" s="22"/>
      <c r="G21" s="22"/>
      <c r="AI21" s="286"/>
      <c r="BJ21" s="286"/>
      <c r="BK21" s="220"/>
    </row>
    <row r="22" spans="2:63" s="221" customFormat="1" ht="15" customHeight="1" x14ac:dyDescent="0.25">
      <c r="B22" s="42"/>
      <c r="C22" s="22"/>
      <c r="D22" s="22"/>
      <c r="E22" s="22"/>
      <c r="F22" s="22"/>
      <c r="G22" s="22"/>
      <c r="AI22" s="286"/>
      <c r="BJ22" s="286"/>
      <c r="BK22" s="220"/>
    </row>
    <row r="23" spans="2:63" s="221" customFormat="1" ht="15" customHeight="1" x14ac:dyDescent="0.25">
      <c r="B23" s="42"/>
      <c r="C23" s="22"/>
      <c r="D23" s="22"/>
      <c r="E23" s="22"/>
      <c r="F23" s="22"/>
      <c r="G23" s="22"/>
      <c r="AI23" s="286"/>
      <c r="BJ23" s="286"/>
      <c r="BK23" s="220"/>
    </row>
    <row r="24" spans="2:63" s="221" customFormat="1" ht="15" customHeight="1" x14ac:dyDescent="0.25">
      <c r="B24" s="42"/>
      <c r="C24" s="22"/>
      <c r="D24" s="22"/>
      <c r="E24" s="22"/>
      <c r="F24" s="22"/>
      <c r="G24" s="22"/>
      <c r="AI24" s="286"/>
      <c r="BJ24" s="286"/>
      <c r="BK24" s="220"/>
    </row>
    <row r="25" spans="2:63" s="221" customFormat="1" ht="15" customHeight="1" x14ac:dyDescent="0.25">
      <c r="B25" s="42"/>
      <c r="C25" s="22"/>
      <c r="D25" s="22"/>
      <c r="E25" s="22"/>
      <c r="F25" s="22"/>
      <c r="G25" s="22"/>
      <c r="AI25" s="286"/>
      <c r="BJ25" s="286"/>
      <c r="BK25" s="220"/>
    </row>
    <row r="26" spans="2:63" s="221" customFormat="1" ht="15" customHeight="1" x14ac:dyDescent="0.25">
      <c r="B26" s="42"/>
      <c r="C26" s="22"/>
      <c r="D26" s="22"/>
      <c r="E26" s="22"/>
      <c r="F26" s="22"/>
      <c r="G26" s="22"/>
      <c r="AI26" s="286"/>
      <c r="BJ26" s="286"/>
      <c r="BK26" s="220"/>
    </row>
    <row r="27" spans="2:63" s="221" customFormat="1" ht="15" customHeight="1" x14ac:dyDescent="0.25">
      <c r="B27" s="287"/>
      <c r="AI27" s="286"/>
      <c r="BJ27" s="286"/>
      <c r="BK27" s="220"/>
    </row>
    <row r="28" spans="2:63" s="221" customFormat="1" ht="15" customHeight="1" x14ac:dyDescent="0.25">
      <c r="B28" s="287"/>
      <c r="AI28" s="286"/>
      <c r="BJ28" s="286"/>
      <c r="BK28" s="220"/>
    </row>
    <row r="29" spans="2:63" s="221" customFormat="1" ht="15" customHeight="1" x14ac:dyDescent="0.25">
      <c r="B29" s="287"/>
      <c r="AI29" s="286"/>
      <c r="BJ29" s="286"/>
      <c r="BK29" s="220"/>
    </row>
    <row r="30" spans="2:63" s="221" customFormat="1" ht="15" customHeight="1" x14ac:dyDescent="0.25">
      <c r="B30" s="287"/>
      <c r="AI30" s="286"/>
      <c r="BJ30" s="286"/>
      <c r="BK30" s="220"/>
    </row>
    <row r="31" spans="2:63" s="221" customFormat="1" ht="15" customHeight="1" x14ac:dyDescent="0.25">
      <c r="B31" s="287"/>
      <c r="AI31" s="286"/>
      <c r="BJ31" s="286"/>
      <c r="BK31" s="220"/>
    </row>
    <row r="32" spans="2:63" s="221" customFormat="1" ht="15" customHeight="1" x14ac:dyDescent="0.25">
      <c r="B32" s="287"/>
      <c r="AI32" s="286"/>
      <c r="BJ32" s="286"/>
      <c r="BK32" s="220"/>
    </row>
    <row r="33" spans="2:63" s="221" customFormat="1" ht="15" customHeight="1" x14ac:dyDescent="0.25">
      <c r="B33" s="287"/>
      <c r="AI33" s="286"/>
      <c r="BJ33" s="286"/>
      <c r="BK33" s="220"/>
    </row>
    <row r="34" spans="2:63" s="221" customFormat="1" ht="15" customHeight="1" x14ac:dyDescent="0.25">
      <c r="B34" s="287"/>
      <c r="AI34" s="286"/>
      <c r="BJ34" s="286"/>
      <c r="BK34" s="220"/>
    </row>
    <row r="35" spans="2:63" s="221" customFormat="1" ht="15" customHeight="1" x14ac:dyDescent="0.25">
      <c r="B35" s="287"/>
      <c r="AI35" s="286"/>
      <c r="BJ35" s="286"/>
      <c r="BK35" s="220"/>
    </row>
    <row r="36" spans="2:63" s="221" customFormat="1" ht="15" customHeight="1" x14ac:dyDescent="0.25">
      <c r="B36" s="287"/>
      <c r="AI36" s="286"/>
      <c r="BJ36" s="286"/>
      <c r="BK36" s="220"/>
    </row>
    <row r="37" spans="2:63" s="221" customFormat="1" ht="15" customHeight="1" x14ac:dyDescent="0.25">
      <c r="B37" s="287"/>
      <c r="AI37" s="286"/>
      <c r="BJ37" s="286"/>
      <c r="BK37" s="220"/>
    </row>
    <row r="38" spans="2:63" s="221" customFormat="1" ht="15" customHeight="1" x14ac:dyDescent="0.25">
      <c r="B38" s="287"/>
      <c r="AI38" s="286"/>
      <c r="BJ38" s="286"/>
      <c r="BK38" s="220"/>
    </row>
    <row r="39" spans="2:63" s="221" customFormat="1" ht="15" customHeight="1" x14ac:dyDescent="0.25">
      <c r="B39" s="287"/>
      <c r="AI39" s="286"/>
      <c r="BJ39" s="286"/>
      <c r="BK39" s="220"/>
    </row>
    <row r="40" spans="2:63" s="221" customFormat="1" ht="15" customHeight="1" x14ac:dyDescent="0.25">
      <c r="B40" s="287"/>
      <c r="AI40" s="286"/>
      <c r="BJ40" s="286"/>
      <c r="BK40" s="220"/>
    </row>
    <row r="41" spans="2:63" s="221" customFormat="1" ht="15" customHeight="1" x14ac:dyDescent="0.25">
      <c r="B41" s="287"/>
      <c r="AI41" s="286"/>
      <c r="BJ41" s="286"/>
      <c r="BK41" s="220"/>
    </row>
    <row r="42" spans="2:63" s="221" customFormat="1" ht="15" customHeight="1" x14ac:dyDescent="0.25">
      <c r="B42" s="287"/>
      <c r="AI42" s="286"/>
      <c r="BJ42" s="286"/>
      <c r="BK42" s="220"/>
    </row>
    <row r="43" spans="2:63" s="221" customFormat="1" ht="15" customHeight="1" x14ac:dyDescent="0.25">
      <c r="B43" s="287"/>
      <c r="AI43" s="286"/>
      <c r="BJ43" s="286"/>
      <c r="BK43" s="220"/>
    </row>
    <row r="44" spans="2:63" s="221" customFormat="1" ht="15" customHeight="1" x14ac:dyDescent="0.25">
      <c r="B44" s="287"/>
      <c r="AI44" s="286"/>
      <c r="BJ44" s="286"/>
      <c r="BK44" s="220"/>
    </row>
    <row r="45" spans="2:63" s="221" customFormat="1" ht="15" customHeight="1" x14ac:dyDescent="0.25">
      <c r="B45" s="287"/>
      <c r="AI45" s="286"/>
      <c r="BJ45" s="286"/>
      <c r="BK45" s="220"/>
    </row>
    <row r="46" spans="2:63" s="221" customFormat="1" ht="15" customHeight="1" x14ac:dyDescent="0.25">
      <c r="B46" s="287"/>
      <c r="AI46" s="286"/>
      <c r="BJ46" s="286"/>
      <c r="BK46" s="220"/>
    </row>
    <row r="47" spans="2:63" s="221" customFormat="1" ht="15" customHeight="1" x14ac:dyDescent="0.25">
      <c r="B47" s="287"/>
      <c r="AI47" s="286"/>
      <c r="BJ47" s="286"/>
      <c r="BK47" s="220"/>
    </row>
    <row r="48" spans="2:63" s="221" customFormat="1" ht="15" customHeight="1" x14ac:dyDescent="0.25">
      <c r="B48" s="287"/>
      <c r="AI48" s="286"/>
      <c r="BJ48" s="286"/>
      <c r="BK48" s="220"/>
    </row>
    <row r="49" spans="2:63" s="221" customFormat="1" ht="15" customHeight="1" x14ac:dyDescent="0.25">
      <c r="B49" s="287"/>
      <c r="AI49" s="286"/>
      <c r="BJ49" s="286"/>
      <c r="BK49" s="220"/>
    </row>
    <row r="50" spans="2:63" s="221" customFormat="1" ht="15" customHeight="1" x14ac:dyDescent="0.25">
      <c r="B50" s="287"/>
      <c r="AI50" s="286"/>
      <c r="BJ50" s="286"/>
      <c r="BK50" s="220"/>
    </row>
    <row r="51" spans="2:63" s="221" customFormat="1" ht="15" customHeight="1" x14ac:dyDescent="0.25">
      <c r="B51" s="287"/>
      <c r="AI51" s="286"/>
      <c r="BJ51" s="286"/>
      <c r="BK51" s="220"/>
    </row>
    <row r="52" spans="2:63" s="221" customFormat="1" ht="15" customHeight="1" x14ac:dyDescent="0.25">
      <c r="B52" s="287"/>
      <c r="AI52" s="286"/>
      <c r="BJ52" s="286"/>
      <c r="BK52" s="220"/>
    </row>
    <row r="53" spans="2:63" s="221" customFormat="1" ht="15" customHeight="1" x14ac:dyDescent="0.25">
      <c r="B53" s="287"/>
      <c r="AI53" s="286"/>
      <c r="BJ53" s="286"/>
      <c r="BK53" s="220"/>
    </row>
    <row r="54" spans="2:63" s="221" customFormat="1" ht="15" customHeight="1" x14ac:dyDescent="0.25">
      <c r="B54" s="287"/>
      <c r="AI54" s="286"/>
      <c r="BJ54" s="286"/>
      <c r="BK54" s="220"/>
    </row>
    <row r="55" spans="2:63" s="221" customFormat="1" ht="15" customHeight="1" x14ac:dyDescent="0.25">
      <c r="B55" s="287"/>
      <c r="AI55" s="286"/>
      <c r="BJ55" s="286"/>
      <c r="BK55" s="220"/>
    </row>
    <row r="56" spans="2:63" s="221" customFormat="1" ht="15" customHeight="1" x14ac:dyDescent="0.25">
      <c r="B56" s="287"/>
      <c r="AI56" s="286"/>
      <c r="BJ56" s="286"/>
      <c r="BK56" s="220"/>
    </row>
    <row r="57" spans="2:63" s="221" customFormat="1" ht="15" customHeight="1" x14ac:dyDescent="0.25">
      <c r="B57" s="287"/>
      <c r="AI57" s="286"/>
      <c r="BJ57" s="286"/>
      <c r="BK57" s="220"/>
    </row>
    <row r="58" spans="2:63" s="221" customFormat="1" ht="15" customHeight="1" x14ac:dyDescent="0.25">
      <c r="B58" s="287"/>
      <c r="AI58" s="286"/>
      <c r="BJ58" s="286"/>
      <c r="BK58" s="220"/>
    </row>
    <row r="59" spans="2:63" s="221" customFormat="1" ht="15" customHeight="1" x14ac:dyDescent="0.25">
      <c r="B59" s="287"/>
      <c r="AI59" s="286"/>
      <c r="BJ59" s="286"/>
      <c r="BK59" s="220"/>
    </row>
    <row r="60" spans="2:63" s="221" customFormat="1" ht="15" customHeight="1" x14ac:dyDescent="0.25">
      <c r="B60" s="287"/>
      <c r="AI60" s="286"/>
      <c r="BJ60" s="286"/>
      <c r="BK60" s="220"/>
    </row>
    <row r="61" spans="2:63" s="221" customFormat="1" ht="15" customHeight="1" x14ac:dyDescent="0.25">
      <c r="B61" s="287"/>
      <c r="AI61" s="286"/>
      <c r="BJ61" s="286"/>
      <c r="BK61" s="220"/>
    </row>
    <row r="62" spans="2:63" s="221" customFormat="1" ht="15" customHeight="1" x14ac:dyDescent="0.25">
      <c r="B62" s="287"/>
      <c r="AI62" s="286"/>
      <c r="BJ62" s="286"/>
      <c r="BK62" s="220"/>
    </row>
    <row r="63" spans="2:63" ht="15" customHeight="1" x14ac:dyDescent="0.25">
      <c r="B63" s="10"/>
      <c r="AI63" s="12"/>
      <c r="BJ63" s="12"/>
      <c r="BK63" s="6"/>
    </row>
    <row r="64" spans="2:63" ht="15" customHeight="1" x14ac:dyDescent="0.25">
      <c r="B64" s="10"/>
      <c r="AI64" s="12"/>
      <c r="BJ64" s="12"/>
      <c r="BK64" s="6"/>
    </row>
    <row r="65" spans="1:63" ht="15" customHeight="1" x14ac:dyDescent="0.25">
      <c r="B65" s="10"/>
      <c r="AI65" s="12"/>
      <c r="BJ65" s="12"/>
      <c r="BK65" s="6"/>
    </row>
    <row r="66" spans="1:63" ht="15" customHeight="1" x14ac:dyDescent="0.25">
      <c r="B66" s="10"/>
      <c r="AI66" s="12"/>
      <c r="BJ66" s="12"/>
      <c r="BK66" s="6"/>
    </row>
    <row r="67" spans="1:63" ht="15" customHeight="1" x14ac:dyDescent="0.25">
      <c r="B67" s="10"/>
      <c r="AI67" s="12"/>
      <c r="BJ67" s="12"/>
      <c r="BK67" s="6"/>
    </row>
    <row r="68" spans="1:63" ht="15" customHeight="1" x14ac:dyDescent="0.25">
      <c r="B68" s="10"/>
      <c r="AI68" s="12"/>
      <c r="BJ68" s="12"/>
      <c r="BK68" s="6"/>
    </row>
    <row r="69" spans="1:63" ht="15" customHeight="1" x14ac:dyDescent="0.25">
      <c r="B69" s="10"/>
      <c r="AI69" s="12"/>
      <c r="BJ69" s="12"/>
      <c r="BK69" s="6"/>
    </row>
    <row r="70" spans="1:63" ht="15" customHeight="1" x14ac:dyDescent="0.25">
      <c r="A70" s="4"/>
      <c r="B70" s="1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13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13"/>
      <c r="BK70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3" t="s">
        <v>121</v>
      </c>
      <c r="B1" s="204"/>
      <c r="C1" s="204"/>
      <c r="D1" s="204"/>
      <c r="E1" s="204"/>
      <c r="F1" s="204"/>
      <c r="G1" s="204"/>
      <c r="H1" s="204"/>
      <c r="I1" s="204"/>
      <c r="J1" s="205"/>
      <c r="K1" s="203" t="s">
        <v>122</v>
      </c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5"/>
      <c r="W1" s="206" t="str">
        <f>IF(表紙!W1="","",表紙!W1)</f>
        <v>詳細設計書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129" t="s">
        <v>124</v>
      </c>
      <c r="AQ1" s="130"/>
      <c r="AR1" s="130"/>
      <c r="AS1" s="131"/>
      <c r="AT1" s="129" t="s">
        <v>125</v>
      </c>
      <c r="AU1" s="130"/>
      <c r="AV1" s="130"/>
      <c r="AW1" s="130"/>
      <c r="AX1" s="131"/>
      <c r="AY1" s="129" t="s">
        <v>126</v>
      </c>
      <c r="AZ1" s="130"/>
      <c r="BA1" s="130"/>
      <c r="BB1" s="131"/>
      <c r="BC1" s="129" t="s">
        <v>127</v>
      </c>
      <c r="BD1" s="130"/>
      <c r="BE1" s="130"/>
      <c r="BF1" s="130"/>
      <c r="BG1" s="131"/>
      <c r="BH1" s="129" t="s">
        <v>128</v>
      </c>
      <c r="BI1" s="130"/>
      <c r="BJ1" s="130"/>
      <c r="BK1" s="131"/>
    </row>
    <row r="2" spans="1:63" ht="15" customHeight="1" x14ac:dyDescent="0.25">
      <c r="A2" s="61" t="str">
        <f>IF(表紙!A2="","",表紙!A2)</f>
        <v>POSサーバー</v>
      </c>
      <c r="B2" s="62"/>
      <c r="C2" s="62"/>
      <c r="D2" s="62"/>
      <c r="E2" s="62"/>
      <c r="F2" s="62"/>
      <c r="G2" s="62"/>
      <c r="H2" s="62"/>
      <c r="I2" s="62"/>
      <c r="J2" s="63"/>
      <c r="K2" s="61" t="str">
        <f>IF(表紙!K2="","",表紙!K2)</f>
        <v>POSサーバ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3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138" t="str">
        <f>IF(表紙!AP2="","",表紙!AP2)</f>
        <v>DuNT</v>
      </c>
      <c r="AQ2" s="136"/>
      <c r="AR2" s="136"/>
      <c r="AS2" s="137"/>
      <c r="AT2" s="142">
        <f>IF(表紙!AT2="","",表紙!AT2)</f>
        <v>45533</v>
      </c>
      <c r="AU2" s="143"/>
      <c r="AV2" s="143"/>
      <c r="AW2" s="143"/>
      <c r="AX2" s="144"/>
      <c r="AY2" s="138" t="str">
        <f>IF(表紙!AY2="","",表紙!AY2)</f>
        <v>DuNT</v>
      </c>
      <c r="AZ2" s="136"/>
      <c r="BA2" s="136"/>
      <c r="BB2" s="137"/>
      <c r="BC2" s="142">
        <f>IF(表紙!BC2="","",表紙!BC2)</f>
        <v>45533</v>
      </c>
      <c r="BD2" s="143"/>
      <c r="BE2" s="143"/>
      <c r="BF2" s="143"/>
      <c r="BG2" s="144"/>
      <c r="BH2" s="138">
        <f>IF(表紙!BH2="","",表紙!BH2)</f>
        <v>0.1</v>
      </c>
      <c r="BI2" s="136"/>
      <c r="BJ2" s="136"/>
      <c r="BK2" s="137"/>
    </row>
    <row r="3" spans="1:63" ht="15" customHeight="1" x14ac:dyDescent="0.25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48"/>
      <c r="BI3" s="149"/>
      <c r="BJ3" s="149"/>
      <c r="BK3" s="150"/>
    </row>
    <row r="4" spans="1:63" ht="24.95" customHeight="1" x14ac:dyDescent="0.25">
      <c r="A4" s="203" t="s">
        <v>130</v>
      </c>
      <c r="B4" s="204"/>
      <c r="C4" s="204"/>
      <c r="D4" s="204"/>
      <c r="E4" s="204"/>
      <c r="F4" s="204"/>
      <c r="G4" s="205"/>
      <c r="H4" s="57" t="str">
        <f>IF(表紙!H4="","",表紙!H4)</f>
        <v>AP0101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9"/>
      <c r="U4" s="203" t="s">
        <v>131</v>
      </c>
      <c r="V4" s="204"/>
      <c r="W4" s="204"/>
      <c r="X4" s="204"/>
      <c r="Y4" s="205"/>
      <c r="Z4" s="57" t="str">
        <f>IF(表紙!Z4="","",表紙!Z4)</f>
        <v>API設計書</v>
      </c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9"/>
      <c r="AP4" s="60" t="str">
        <f ca="1">MID(CELL("filename",A1),FIND("]",CELL("filename",A1))+1,255)</f>
        <v>テンプレート</v>
      </c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9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21" customFormat="1" ht="15" customHeight="1" x14ac:dyDescent="0.25">
      <c r="BK7" s="220"/>
    </row>
    <row r="8" spans="1:63" s="221" customFormat="1" ht="15" customHeight="1" x14ac:dyDescent="0.25">
      <c r="BK8" s="220"/>
    </row>
    <row r="9" spans="1:63" s="221" customFormat="1" ht="15" customHeight="1" x14ac:dyDescent="0.25">
      <c r="BK9" s="220"/>
    </row>
    <row r="10" spans="1:63" s="221" customFormat="1" ht="15" customHeight="1" x14ac:dyDescent="0.25">
      <c r="BK10" s="220"/>
    </row>
    <row r="11" spans="1:63" s="221" customFormat="1" ht="15" customHeight="1" x14ac:dyDescent="0.25">
      <c r="BK11" s="220"/>
    </row>
    <row r="12" spans="1:63" s="221" customFormat="1" ht="15" customHeight="1" x14ac:dyDescent="0.25">
      <c r="BK12" s="220"/>
    </row>
    <row r="13" spans="1:63" s="221" customFormat="1" ht="15" customHeight="1" x14ac:dyDescent="0.25">
      <c r="BK13" s="220"/>
    </row>
    <row r="14" spans="1:63" s="221" customFormat="1" ht="15" customHeight="1" x14ac:dyDescent="0.25">
      <c r="BK14" s="220"/>
    </row>
    <row r="15" spans="1:63" s="221" customFormat="1" ht="15" customHeight="1" x14ac:dyDescent="0.25">
      <c r="BK15" s="220"/>
    </row>
    <row r="16" spans="1:63" s="221" customFormat="1" ht="15" customHeight="1" x14ac:dyDescent="0.25">
      <c r="BK16" s="220"/>
    </row>
    <row r="17" spans="63:63" s="221" customFormat="1" ht="15" customHeight="1" x14ac:dyDescent="0.25">
      <c r="BK17" s="220"/>
    </row>
    <row r="18" spans="63:63" s="221" customFormat="1" ht="15" customHeight="1" x14ac:dyDescent="0.25">
      <c r="BK18" s="220"/>
    </row>
    <row r="19" spans="63:63" s="221" customFormat="1" ht="15" customHeight="1" x14ac:dyDescent="0.25">
      <c r="BK19" s="220"/>
    </row>
    <row r="20" spans="63:63" s="221" customFormat="1" ht="15" customHeight="1" x14ac:dyDescent="0.25">
      <c r="BK20" s="220"/>
    </row>
    <row r="21" spans="63:63" s="221" customFormat="1" ht="15" customHeight="1" x14ac:dyDescent="0.25">
      <c r="BK21" s="220"/>
    </row>
    <row r="22" spans="63:63" s="221" customFormat="1" ht="15" customHeight="1" x14ac:dyDescent="0.25">
      <c r="BK22" s="220"/>
    </row>
    <row r="23" spans="63:63" s="221" customFormat="1" ht="15" customHeight="1" x14ac:dyDescent="0.25">
      <c r="BK23" s="220"/>
    </row>
    <row r="24" spans="63:63" s="221" customFormat="1" ht="15" customHeight="1" x14ac:dyDescent="0.25">
      <c r="BK24" s="220"/>
    </row>
    <row r="25" spans="63:63" s="221" customFormat="1" ht="15" customHeight="1" x14ac:dyDescent="0.25">
      <c r="BK25" s="220"/>
    </row>
    <row r="26" spans="63:63" s="221" customFormat="1" ht="15" customHeight="1" x14ac:dyDescent="0.25">
      <c r="BK26" s="220"/>
    </row>
    <row r="27" spans="63:63" s="221" customFormat="1" ht="15" customHeight="1" x14ac:dyDescent="0.25">
      <c r="BK27" s="220"/>
    </row>
    <row r="28" spans="63:63" s="221" customFormat="1" ht="15" customHeight="1" x14ac:dyDescent="0.25">
      <c r="BK28" s="220"/>
    </row>
    <row r="29" spans="63:63" s="221" customFormat="1" ht="15" customHeight="1" x14ac:dyDescent="0.25">
      <c r="BK29" s="220"/>
    </row>
    <row r="30" spans="63:63" s="221" customFormat="1" ht="15" customHeight="1" x14ac:dyDescent="0.25">
      <c r="BK30" s="220"/>
    </row>
    <row r="31" spans="63:63" s="221" customFormat="1" ht="15" customHeight="1" x14ac:dyDescent="0.25">
      <c r="BK31" s="220"/>
    </row>
    <row r="32" spans="63:63" s="221" customFormat="1" ht="15" customHeight="1" x14ac:dyDescent="0.25">
      <c r="BK32" s="220"/>
    </row>
    <row r="33" spans="63:63" s="221" customFormat="1" ht="15" customHeight="1" x14ac:dyDescent="0.25">
      <c r="BK33" s="220"/>
    </row>
    <row r="34" spans="63:63" s="221" customFormat="1" ht="15" customHeight="1" x14ac:dyDescent="0.25">
      <c r="BK34" s="220"/>
    </row>
    <row r="35" spans="63:63" s="221" customFormat="1" ht="15" customHeight="1" x14ac:dyDescent="0.25">
      <c r="BK35" s="220"/>
    </row>
    <row r="36" spans="63:63" s="221" customFormat="1" ht="15" customHeight="1" x14ac:dyDescent="0.25">
      <c r="BK36" s="220"/>
    </row>
    <row r="37" spans="63:63" s="221" customFormat="1" ht="15" customHeight="1" x14ac:dyDescent="0.25">
      <c r="BK37" s="220"/>
    </row>
    <row r="38" spans="63:63" s="221" customFormat="1" ht="15" customHeight="1" x14ac:dyDescent="0.25">
      <c r="BK38" s="220"/>
    </row>
    <row r="39" spans="63:63" s="221" customFormat="1" ht="15" customHeight="1" x14ac:dyDescent="0.25">
      <c r="BK39" s="220"/>
    </row>
    <row r="40" spans="63:63" s="221" customFormat="1" ht="15" customHeight="1" x14ac:dyDescent="0.25">
      <c r="BK40" s="220"/>
    </row>
    <row r="41" spans="63:63" s="221" customFormat="1" ht="15" customHeight="1" x14ac:dyDescent="0.25">
      <c r="BK41" s="220"/>
    </row>
    <row r="42" spans="63:63" s="221" customFormat="1" ht="15" customHeight="1" x14ac:dyDescent="0.25">
      <c r="BK42" s="220"/>
    </row>
    <row r="43" spans="63:63" s="221" customFormat="1" ht="15" customHeight="1" x14ac:dyDescent="0.25">
      <c r="BK43" s="220"/>
    </row>
    <row r="44" spans="63:63" s="221" customFormat="1" ht="15" customHeight="1" x14ac:dyDescent="0.25">
      <c r="BK44" s="220"/>
    </row>
    <row r="45" spans="63:63" s="221" customFormat="1" ht="15" customHeight="1" x14ac:dyDescent="0.25">
      <c r="BK45" s="220"/>
    </row>
    <row r="46" spans="63:63" s="221" customFormat="1" ht="15" customHeight="1" x14ac:dyDescent="0.25">
      <c r="BK46" s="220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AP0111</vt:lpstr>
      <vt:lpstr>処理フロー</vt:lpstr>
      <vt:lpstr>テンプレート</vt:lpstr>
      <vt:lpstr>'AP0111'!Print_Area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2024-10-22T02:55:43Z</dcterms:modified>
  <cp:category/>
  <cp:contentStatus/>
</cp:coreProperties>
</file>