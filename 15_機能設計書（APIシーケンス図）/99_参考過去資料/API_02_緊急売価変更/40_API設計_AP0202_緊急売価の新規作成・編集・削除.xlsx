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FF6A8B0B-C740-4C16-A5FC-A661BA17551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202" sheetId="8" r:id="rId4"/>
    <sheet name="処理フロー" sheetId="9" r:id="rId5"/>
    <sheet name="テンプレート" sheetId="7" r:id="rId6"/>
  </sheets>
  <definedNames>
    <definedName name="_xlnm.Print_Area" localSheetId="3">'AP0202'!$A$1:$BK$80</definedName>
    <definedName name="_xlnm.Print_Area" localSheetId="5">テンプレート!$A$1:$BK$54</definedName>
    <definedName name="_xlnm.Print_Area" localSheetId="4">処理フロー!$A$1:$BK$95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Y2" i="7"/>
  <c r="AP2" i="3"/>
  <c r="BH2" i="3"/>
</calcChain>
</file>

<file path=xl/sharedStrings.xml><?xml version="1.0" encoding="utf-8"?>
<sst xmlns="http://schemas.openxmlformats.org/spreadsheetml/2006/main" count="208" uniqueCount="104">
  <si>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</si>
  <si>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</si>
  <si>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</si>
  <si>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</si>
  <si>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</si>
  <si>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</si>
  <si>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</si>
  <si>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</si>
  <si>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</si>
  <si>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</si>
  <si>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</si>
  <si>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</si>
  <si>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</si>
  <si>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</si>
  <si>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</si>
  <si>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</si>
  <si>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</si>
  <si>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</si>
  <si>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</si>
  <si>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</si>
  <si>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</si>
  <si>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</si>
  <si>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</si>
  <si>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</si>
  <si>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r>
      <rPr>
        <sz val="11"/>
        <color rgb="FF000000"/>
        <rFont val="Meiryo UI"/>
        <family val="2"/>
      </rPr>
      <t>Array</t>
    </r>
  </si>
  <si>
    <t>{</t>
  </si>
  <si>
    <t>}</t>
  </si>
  <si>
    <r>
      <rPr>
        <sz val="11"/>
        <color rgb="FF000000"/>
        <rFont val="Meiryo UI"/>
        <family val="2"/>
      </rPr>
      <t>status_code</t>
    </r>
  </si>
  <si>
    <r>
      <rPr>
        <sz val="11"/>
        <color rgb="FF000000"/>
        <rFont val="Meiryo UI"/>
        <family val="2"/>
      </rPr>
      <t>返されたステータスコード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</si>
  <si>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</si>
  <si>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Bigint</t>
    </r>
  </si>
  <si>
    <t>]</t>
  </si>
  <si>
    <t xml:space="preserve">    {</t>
  </si>
  <si>
    <t xml:space="preserve">    }   </t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</si>
  <si>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</si>
  <si>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緊急売価情報を新規作成・編集・削除する。</t>
    </r>
  </si>
  <si>
    <r>
      <rPr>
        <sz val="11"/>
        <color rgb="FF000000"/>
        <rFont val="Meiryo UI"/>
        <family val="2"/>
      </rPr>
      <t>AP0202</t>
    </r>
  </si>
  <si>
    <r>
      <rPr>
        <sz val="11"/>
        <color rgb="FF000000"/>
        <rFont val="Meiryo UI"/>
        <family val="2"/>
      </rPr>
      <t>force_prices</t>
    </r>
  </si>
  <si>
    <r>
      <rPr>
        <sz val="11"/>
        <color rgb="FF000000"/>
        <rFont val="Meiryo UI"/>
        <family val="2"/>
      </rPr>
      <t>force_price_master.store_code</t>
    </r>
  </si>
  <si>
    <r>
      <rPr>
        <sz val="11"/>
        <color rgb="FF000000"/>
        <rFont val="Meiryo UI"/>
        <family val="2"/>
      </rPr>
      <t>force_price_master.record_id</t>
    </r>
  </si>
  <si>
    <r>
      <rPr>
        <sz val="11"/>
        <color rgb="FF000000"/>
        <rFont val="Meiryo UI"/>
        <family val="2"/>
      </rPr>
      <t>force_price_master.start_date_time</t>
    </r>
  </si>
  <si>
    <r>
      <rPr>
        <sz val="11"/>
        <color rgb="FF000000"/>
        <rFont val="Meiryo UI"/>
        <family val="2"/>
      </rPr>
      <t>force_price_master.item_code</t>
    </r>
  </si>
  <si>
    <r>
      <rPr>
        <sz val="11"/>
        <color rgb="FF000000"/>
        <rFont val="Meiryo UI"/>
        <family val="2"/>
      </rPr>
      <t>force_price_master.force_price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</si>
  <si>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</si>
  <si>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"force_prices": [</t>
    </r>
  </si>
  <si>
    <r>
      <rPr>
        <sz val="11"/>
        <color rgb="FF000000"/>
        <rFont val="Meiryo UI"/>
        <family val="2"/>
      </rPr>
      <t>api/v1/force-price/maintainance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</si>
  <si>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</si>
  <si>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</si>
  <si>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</si>
  <si>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</si>
  <si>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</si>
  <si>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</si>
  <si>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</si>
  <si>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</si>
  <si>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</si>
  <si>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</si>
  <si>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</si>
  <si>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</si>
  <si>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</si>
  <si>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</si>
  <si>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</si>
  <si>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</si>
  <si>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</si>
  <si>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</si>
  <si>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TuyenNH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</si>
  <si>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</si>
  <si>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</si>
  <si>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</si>
  <si>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</si>
  <si>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</si>
  <si>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</si>
  <si>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</si>
  <si>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</si>
  <si>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</si>
  <si>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</si>
  <si>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</si>
  <si>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</si>
  <si>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</si>
  <si>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t>2.4 Request Body</t>
  </si>
  <si>
    <t>商品の緊急売価一覧</t>
  </si>
  <si>
    <r>
      <rPr>
        <sz val="11"/>
        <color rgb="FF000000"/>
        <rFont val="Meiryo UI"/>
        <family val="2"/>
      </rPr>
      <t xml:space="preserve">    record_id</t>
    </r>
  </si>
  <si>
    <r>
      <rPr>
        <sz val="11"/>
        <color rgb="FF000000"/>
        <rFont val="Meiryo UI"/>
        <family val="2"/>
      </rPr>
      <t>・緊急売価を新規作成する場合、record_idをnullとして渡す。
・・緊急売価を編集する場合、該当するrecord_idを渡す。</t>
    </r>
  </si>
  <si>
    <r>
      <rPr>
        <sz val="11"/>
        <color rgb="FF000000"/>
        <rFont val="Meiryo UI"/>
        <family val="2"/>
      </rPr>
      <t xml:space="preserve">    selected_store</t>
    </r>
  </si>
  <si>
    <t>バリデーションチェック：入力必須（メッセージ = MSG_VAL_001）</t>
  </si>
  <si>
    <r>
      <rPr>
        <sz val="11"/>
        <color rgb="FF000000"/>
        <rFont val="Meiryo UI"/>
        <family val="2"/>
      </rPr>
      <t xml:space="preserve">    booking_date</t>
    </r>
  </si>
  <si>
    <t>・バリデーションチェック：入力必須（メッセージ = MSG_VAL_001）
・過去日のバリデーションチェック（メッセージ = MSG_VAL_037）
・バリデーションチェック：不正な日付の形式（メッセージ = MSG_VAL_003）</t>
  </si>
  <si>
    <r>
      <rPr>
        <sz val="11"/>
        <color rgb="FF000000"/>
        <rFont val="Meiryo UI"/>
        <family val="2"/>
      </rPr>
      <t xml:space="preserve">    item_code</t>
    </r>
  </si>
  <si>
    <r>
      <rPr>
        <sz val="11"/>
        <color rgb="FF000000"/>
        <rFont val="Meiryo UI"/>
        <family val="2"/>
      </rPr>
      <t>・バリデーションチェック：最大13桁（メッセージ = MSG_VAL_004）
・バリデーションチェック：数字であること（メッセージ = MSG_VAL_006）</t>
    </r>
  </si>
  <si>
    <r>
      <rPr>
        <sz val="11"/>
        <color rgb="FF000000"/>
        <rFont val="Meiryo UI"/>
        <family val="2"/>
      </rPr>
      <t xml:space="preserve">    force_price</t>
    </r>
  </si>
  <si>
    <r>
      <rPr>
        <sz val="11"/>
        <color rgb="FF000000"/>
        <rFont val="Meiryo UI"/>
        <family val="2"/>
      </rPr>
      <t>・バリデーションチェック：最大6桁（メッセージ = MSG_VAL_004）
・バリデーションチェック：0より大きいこと（メッセージ = MSG_VAL_038）
・バリデーションチェック：数字であること（メッセージ = MSG_VAL_006）</t>
    </r>
  </si>
  <si>
    <r>
      <rPr>
        <sz val="11"/>
        <color rgb="FF000000"/>
        <rFont val="Meiryo UI"/>
        <family val="2"/>
      </rPr>
      <t xml:space="preserve">    id_delete_flag</t>
    </r>
  </si>
  <si>
    <r>
      <rPr>
        <sz val="11"/>
        <color rgb="FF000000"/>
        <rFont val="Meiryo UI"/>
        <family val="2"/>
      </rPr>
      <t>0: 削除しない
1: 削除する</t>
    </r>
  </si>
  <si>
    <t>※サンプル</t>
  </si>
  <si>
    <r>
      <rPr>
        <sz val="11"/>
        <color rgb="FF000000"/>
        <rFont val="Meiryo UI"/>
        <family val="2"/>
      </rPr>
      <t xml:space="preserve">        "record_id": null,</t>
    </r>
  </si>
  <si>
    <r>
      <rPr>
        <sz val="11"/>
        <color rgb="FF000000"/>
        <rFont val="Meiryo UI"/>
        <family val="2"/>
      </rPr>
      <t xml:space="preserve">        "selected_store": "09176",</t>
    </r>
  </si>
  <si>
    <r>
      <rPr>
        <sz val="11"/>
        <color rgb="FF000000"/>
        <rFont val="Meiryo UI"/>
        <family val="2"/>
      </rPr>
      <t xml:space="preserve">        "booking_date": "2024/08/12 01:01:01",</t>
    </r>
  </si>
  <si>
    <r>
      <rPr>
        <sz val="11"/>
        <color rgb="FF000000"/>
        <rFont val="Meiryo UI"/>
        <family val="2"/>
      </rPr>
      <t xml:space="preserve">        "item_code": "00222402",</t>
    </r>
  </si>
  <si>
    <r>
      <rPr>
        <sz val="11"/>
        <color rgb="FF000000"/>
        <rFont val="Meiryo UI"/>
        <family val="2"/>
      </rPr>
      <t xml:space="preserve">        "force_price": "296",</t>
    </r>
  </si>
  <si>
    <r>
      <rPr>
        <sz val="11"/>
        <color rgb="FF000000"/>
        <rFont val="Meiryo UI"/>
        <family val="2"/>
      </rPr>
      <t xml:space="preserve">        "id_delete_flag": 0</t>
    </r>
  </si>
  <si>
    <t>3. レスポンス</t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</si>
  <si>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</si>
  <si>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</si>
  <si>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"status_code": 200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</si>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</sst>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80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8" fillId="0" borderId="29" xfId="0" applyFont="1" applyBorder="1"/>
    <xf numFmtId="0" fontId="8" fillId="0" borderId="30" xfId="0" applyFont="1" applyBorder="1"/>
    <xf numFmtId="0" fontId="8" fillId="0" borderId="31" xfId="0" applyFont="1" applyBorder="1"/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center" wrapText="1"/>
    </xf>
    <xf numFmtId="0" fontId="17" fillId="0" borderId="18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 wrapText="1"/>
    </xf>
    <xf numFmtId="0" fontId="17" fillId="0" borderId="3" xfId="0" quotePrefix="1" applyFont="1" applyBorder="1" applyAlignment="1">
      <alignment horizontal="left" vertical="center" wrapText="1"/>
    </xf>
    <xf numFmtId="0" fontId="17" fillId="0" borderId="5" xfId="0" quotePrefix="1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 wrapText="1"/>
    </xf>
    <xf numFmtId="0" fontId="17" fillId="0" borderId="25" xfId="0" quotePrefix="1" applyFont="1" applyBorder="1" applyAlignment="1">
      <alignment horizontal="left" vertical="center" wrapText="1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20" fontId="17" fillId="0" borderId="23" xfId="0" quotePrefix="1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0</xdr:rowOff>
    </xdr:from>
    <xdr:to>
      <xdr:col>62</xdr:col>
      <xdr:colOff>0</xdr:colOff>
      <xdr:row>14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400300"/>
          <a:ext cx="7200900" cy="381000"/>
        </a:xfrm>
        <a:prstGeom prst="borderCallout1">
          <a:avLst>
            <a:gd name="adj1" fmla="val 48945"/>
            <a:gd name="adj2" fmla="val 117"/>
            <a:gd name="adj3" fmla="val 48893"/>
            <a:gd name="adj4" fmla="val -852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1. 画面から渡された緊急売価情報のデータ配列の各レコードをループする。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6</xdr:row>
      <xdr:rowOff>11206</xdr:rowOff>
    </xdr:from>
    <xdr:to>
      <xdr:col>12</xdr:col>
      <xdr:colOff>0</xdr:colOff>
      <xdr:row>8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2133600" y="12668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8</xdr:col>
      <xdr:colOff>0</xdr:colOff>
      <xdr:row>91</xdr:row>
      <xdr:rowOff>0</xdr:rowOff>
    </xdr:from>
    <xdr:to>
      <xdr:col>12</xdr:col>
      <xdr:colOff>0</xdr:colOff>
      <xdr:row>92</xdr:row>
      <xdr:rowOff>168088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2133600" y="17449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86</xdr:row>
      <xdr:rowOff>0</xdr:rowOff>
    </xdr:from>
    <xdr:to>
      <xdr:col>10</xdr:col>
      <xdr:colOff>1</xdr:colOff>
      <xdr:row>91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110" idx="2"/>
          <a:endCxn id="4" idx="0"/>
        </xdr:cNvCxnSpPr>
      </xdr:nvCxnSpPr>
      <xdr:spPr>
        <a:xfrm flipH="1">
          <a:off x="2667000" y="164973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0</xdr:colOff>
      <xdr:row>24</xdr:row>
      <xdr:rowOff>0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866900" y="3733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record_id = NULL</a:t>
          </a:r>
          <a:endParaRPr lang="en-US" sz="800" baseline="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24</xdr:row>
      <xdr:rowOff>0</xdr:rowOff>
    </xdr:from>
    <xdr:to>
      <xdr:col>11</xdr:col>
      <xdr:colOff>0</xdr:colOff>
      <xdr:row>25</xdr:row>
      <xdr:rowOff>0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400300" y="4686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10</xdr:col>
      <xdr:colOff>0</xdr:colOff>
      <xdr:row>8</xdr:row>
      <xdr:rowOff>0</xdr:rowOff>
    </xdr:from>
    <xdr:to>
      <xdr:col>10</xdr:col>
      <xdr:colOff>1</xdr:colOff>
      <xdr:row>11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3" idx="4"/>
          <a:endCxn id="85" idx="0"/>
        </xdr:cNvCxnSpPr>
      </xdr:nvCxnSpPr>
      <xdr:spPr>
        <a:xfrm>
          <a:off x="2667000" y="1638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21</xdr:row>
      <xdr:rowOff>95250</xdr:rowOff>
    </xdr:from>
    <xdr:to>
      <xdr:col>22</xdr:col>
      <xdr:colOff>0</xdr:colOff>
      <xdr:row>28</xdr:row>
      <xdr:rowOff>11206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96" idx="3"/>
          <a:endCxn id="97" idx="0"/>
        </xdr:cNvCxnSpPr>
      </xdr:nvCxnSpPr>
      <xdr:spPr>
        <a:xfrm>
          <a:off x="4000500" y="4210050"/>
          <a:ext cx="1866900" cy="1247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16</xdr:row>
      <xdr:rowOff>0</xdr:rowOff>
    </xdr:from>
    <xdr:to>
      <xdr:col>62</xdr:col>
      <xdr:colOff>0</xdr:colOff>
      <xdr:row>22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3162300"/>
          <a:ext cx="7200900" cy="1143000"/>
        </a:xfrm>
        <a:prstGeom prst="borderCallout1">
          <a:avLst>
            <a:gd name="adj1" fmla="val 49926"/>
            <a:gd name="adj2" fmla="val -59"/>
            <a:gd name="adj3" fmla="val 50281"/>
            <a:gd name="adj4" fmla="val -8524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2. 対象レコードが新規作成されているかを確認する。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record_id = NULL (レコード新規作成)の場合：以下のステップを実行する。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[6.緊急売価新規作成]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▪record_idがNULL以外の場合、以下のステップを実行する。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[3.対象レコードが編集又は削除されているかを確認する。]</a:t>
          </a:r>
        </a:p>
      </xdr:txBody>
    </xdr:sp>
    <xdr:clientData/>
  </xdr:twoCellAnchor>
  <xdr:twoCellAnchor>
    <xdr:from>
      <xdr:col>7</xdr:col>
      <xdr:colOff>0</xdr:colOff>
      <xdr:row>52</xdr:row>
      <xdr:rowOff>0</xdr:rowOff>
    </xdr:from>
    <xdr:to>
      <xdr:col>13</xdr:col>
      <xdr:colOff>0</xdr:colOff>
      <xdr:row>56</xdr:row>
      <xdr:rowOff>0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1866900" y="1002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9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6. 緊急売価新規作成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19</xdr:col>
      <xdr:colOff>0</xdr:colOff>
      <xdr:row>37</xdr:row>
      <xdr:rowOff>0</xdr:rowOff>
    </xdr:from>
    <xdr:to>
      <xdr:col>25</xdr:col>
      <xdr:colOff>0</xdr:colOff>
      <xdr:row>41</xdr:row>
      <xdr:rowOff>0</xdr:rowOff>
    </xdr:to>
    <xdr:sp macro="" textlink="" fLocksText="0">
      <xdr:nvSpPr>
        <xdr:cNvPr id="55" name="Rectangl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5067300" y="7162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対象緊急売価レコードを取得する。</a:t>
          </a:r>
        </a:p>
      </xdr:txBody>
    </xdr:sp>
    <xdr:clientData/>
  </xdr:twoCellAnchor>
  <xdr:twoCellAnchor>
    <xdr:from>
      <xdr:col>21</xdr:col>
      <xdr:colOff>0</xdr:colOff>
      <xdr:row>49</xdr:row>
      <xdr:rowOff>0</xdr:rowOff>
    </xdr:from>
    <xdr:to>
      <xdr:col>23</xdr:col>
      <xdr:colOff>0</xdr:colOff>
      <xdr:row>50</xdr:row>
      <xdr:rowOff>0</xdr:rowOff>
    </xdr:to>
    <xdr:sp macro="" textlink="" fLocksText="0">
      <xdr:nvSpPr>
        <xdr:cNvPr id="57" name="Flowchart: Process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/>
      </xdr:nvSpPr>
      <xdr:spPr>
        <a:xfrm>
          <a:off x="5600700" y="9448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16</xdr:col>
      <xdr:colOff>235323</xdr:colOff>
      <xdr:row>46</xdr:row>
      <xdr:rowOff>0</xdr:rowOff>
    </xdr:from>
    <xdr:to>
      <xdr:col>18</xdr:col>
      <xdr:colOff>235322</xdr:colOff>
      <xdr:row>47</xdr:row>
      <xdr:rowOff>0</xdr:rowOff>
    </xdr:to>
    <xdr:sp macro="" textlink="" fLocksText="0">
      <xdr:nvSpPr>
        <xdr:cNvPr id="58" name="Flowchart: Process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4505325" y="8877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10</xdr:col>
      <xdr:colOff>1</xdr:colOff>
      <xdr:row>25</xdr:row>
      <xdr:rowOff>0</xdr:rowOff>
    </xdr:from>
    <xdr:to>
      <xdr:col>10</xdr:col>
      <xdr:colOff>1</xdr:colOff>
      <xdr:row>52</xdr:row>
      <xdr:rowOff>0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CxnSpPr>
          <a:stCxn id="18" idx="2"/>
          <a:endCxn id="43" idx="0"/>
        </xdr:cNvCxnSpPr>
      </xdr:nvCxnSpPr>
      <xdr:spPr>
        <a:xfrm>
          <a:off x="2667000" y="4876800"/>
          <a:ext cx="0" cy="5143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34</xdr:row>
      <xdr:rowOff>0</xdr:rowOff>
    </xdr:from>
    <xdr:to>
      <xdr:col>22</xdr:col>
      <xdr:colOff>0</xdr:colOff>
      <xdr:row>37</xdr:row>
      <xdr:rowOff>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>
          <a:stCxn id="100" idx="2"/>
          <a:endCxn id="55" idx="0"/>
        </xdr:cNvCxnSpPr>
      </xdr:nvCxnSpPr>
      <xdr:spPr>
        <a:xfrm>
          <a:off x="5867400" y="6591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41</xdr:row>
      <xdr:rowOff>0</xdr:rowOff>
    </xdr:from>
    <xdr:to>
      <xdr:col>22</xdr:col>
      <xdr:colOff>0</xdr:colOff>
      <xdr:row>44</xdr:row>
      <xdr:rowOff>0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CxnSpPr>
          <a:stCxn id="55" idx="2"/>
          <a:endCxn id="71" idx="0"/>
        </xdr:cNvCxnSpPr>
      </xdr:nvCxnSpPr>
      <xdr:spPr>
        <a:xfrm>
          <a:off x="5867400" y="7924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44</xdr:row>
      <xdr:rowOff>0</xdr:rowOff>
    </xdr:from>
    <xdr:to>
      <xdr:col>25</xdr:col>
      <xdr:colOff>0</xdr:colOff>
      <xdr:row>49</xdr:row>
      <xdr:rowOff>0</xdr:rowOff>
    </xdr:to>
    <xdr:sp macro="" textlink="" fLocksText="0">
      <xdr:nvSpPr>
        <xdr:cNvPr id="71" name="Flowchart: Decision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SpPr/>
      </xdr:nvSpPr>
      <xdr:spPr>
        <a:xfrm>
          <a:off x="5067300" y="8496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t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2</xdr:colOff>
      <xdr:row>46</xdr:row>
      <xdr:rowOff>95250</xdr:rowOff>
    </xdr:from>
    <xdr:to>
      <xdr:col>17</xdr:col>
      <xdr:colOff>0</xdr:colOff>
      <xdr:row>52</xdr:row>
      <xdr:rowOff>0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58" idx="1"/>
          <a:endCxn id="43" idx="0"/>
        </xdr:cNvCxnSpPr>
      </xdr:nvCxnSpPr>
      <xdr:spPr>
        <a:xfrm rot="10800000" flipV="1">
          <a:off x="2667000" y="8972550"/>
          <a:ext cx="1866900" cy="1047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30</xdr:row>
      <xdr:rowOff>95250</xdr:rowOff>
    </xdr:from>
    <xdr:to>
      <xdr:col>31</xdr:col>
      <xdr:colOff>1</xdr:colOff>
      <xdr:row>52</xdr:row>
      <xdr:rowOff>0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101" idx="3"/>
          <a:endCxn id="6" idx="0"/>
        </xdr:cNvCxnSpPr>
      </xdr:nvCxnSpPr>
      <xdr:spPr>
        <a:xfrm>
          <a:off x="7200900" y="5924550"/>
          <a:ext cx="1066800" cy="4095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11</xdr:row>
      <xdr:rowOff>0</xdr:rowOff>
    </xdr:from>
    <xdr:to>
      <xdr:col>13</xdr:col>
      <xdr:colOff>0</xdr:colOff>
      <xdr:row>15</xdr:row>
      <xdr:rowOff>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1866900" y="220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緊急売価データ配列をループする。</a:t>
          </a:r>
        </a:p>
      </xdr:txBody>
    </xdr:sp>
    <xdr:clientData/>
  </xdr:twoCellAnchor>
  <xdr:twoCellAnchor>
    <xdr:from>
      <xdr:col>13</xdr:col>
      <xdr:colOff>1</xdr:colOff>
      <xdr:row>21</xdr:row>
      <xdr:rowOff>0</xdr:rowOff>
    </xdr:from>
    <xdr:to>
      <xdr:col>15</xdr:col>
      <xdr:colOff>0</xdr:colOff>
      <xdr:row>22</xdr:row>
      <xdr:rowOff>0</xdr:rowOff>
    </xdr:to>
    <xdr:sp macro="" textlink="" fLocksText="0">
      <xdr:nvSpPr>
        <xdr:cNvPr id="96" name="Flowchart: Process 95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SpPr/>
      </xdr:nvSpPr>
      <xdr:spPr>
        <a:xfrm>
          <a:off x="3467100" y="411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19</xdr:col>
      <xdr:colOff>0</xdr:colOff>
      <xdr:row>28</xdr:row>
      <xdr:rowOff>11206</xdr:rowOff>
    </xdr:from>
    <xdr:to>
      <xdr:col>25</xdr:col>
      <xdr:colOff>0</xdr:colOff>
      <xdr:row>33</xdr:row>
      <xdr:rowOff>0</xdr:rowOff>
    </xdr:to>
    <xdr:sp macro="" textlink="" fLocksText="0">
      <xdr:nvSpPr>
        <xdr:cNvPr id="97" name="Flowchart: Decision 96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SpPr/>
      </xdr:nvSpPr>
      <xdr:spPr>
        <a:xfrm>
          <a:off x="5067300" y="5457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3.id_delete_flag </a:t>
          </a:r>
        </a:p>
      </xdr:txBody>
    </xdr:sp>
    <xdr:clientData/>
  </xdr:twoCellAnchor>
  <xdr:twoCellAnchor>
    <xdr:from>
      <xdr:col>21</xdr:col>
      <xdr:colOff>0</xdr:colOff>
      <xdr:row>33</xdr:row>
      <xdr:rowOff>0</xdr:rowOff>
    </xdr:from>
    <xdr:to>
      <xdr:col>23</xdr:col>
      <xdr:colOff>0</xdr:colOff>
      <xdr:row>34</xdr:row>
      <xdr:rowOff>0</xdr:rowOff>
    </xdr:to>
    <xdr:sp macro="" textlink="" fLocksText="0">
      <xdr:nvSpPr>
        <xdr:cNvPr id="100" name="Flowchart: Process 99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5600700" y="640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0</a:t>
          </a:r>
        </a:p>
      </xdr:txBody>
    </xdr:sp>
    <xdr:clientData/>
  </xdr:twoCellAnchor>
  <xdr:twoCellAnchor>
    <xdr:from>
      <xdr:col>25</xdr:col>
      <xdr:colOff>0</xdr:colOff>
      <xdr:row>30</xdr:row>
      <xdr:rowOff>0</xdr:rowOff>
    </xdr:from>
    <xdr:to>
      <xdr:col>27</xdr:col>
      <xdr:colOff>0</xdr:colOff>
      <xdr:row>31</xdr:row>
      <xdr:rowOff>0</xdr:rowOff>
    </xdr:to>
    <xdr:sp macro="" textlink="" fLocksText="0">
      <xdr:nvSpPr>
        <xdr:cNvPr id="101" name="Flowchart: Process 10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SpPr/>
      </xdr:nvSpPr>
      <xdr:spPr>
        <a:xfrm>
          <a:off x="6667500" y="5829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1</a:t>
          </a:r>
        </a:p>
      </xdr:txBody>
    </xdr:sp>
    <xdr:clientData/>
  </xdr:twoCellAnchor>
  <xdr:twoCellAnchor>
    <xdr:from>
      <xdr:col>10</xdr:col>
      <xdr:colOff>1</xdr:colOff>
      <xdr:row>15</xdr:row>
      <xdr:rowOff>0</xdr:rowOff>
    </xdr:from>
    <xdr:to>
      <xdr:col>10</xdr:col>
      <xdr:colOff>1</xdr:colOff>
      <xdr:row>19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85" idx="2"/>
          <a:endCxn id="17" idx="0"/>
        </xdr:cNvCxnSpPr>
      </xdr:nvCxnSpPr>
      <xdr:spPr>
        <a:xfrm>
          <a:off x="2667000" y="2971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80</xdr:row>
      <xdr:rowOff>0</xdr:rowOff>
    </xdr:from>
    <xdr:to>
      <xdr:col>13</xdr:col>
      <xdr:colOff>4803</xdr:colOff>
      <xdr:row>85</xdr:row>
      <xdr:rowOff>0</xdr:rowOff>
    </xdr:to>
    <xdr:sp macro="" textlink="" fLocksText="0">
      <xdr:nvSpPr>
        <xdr:cNvPr id="109" name="Flowchart: Decision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1647265" y="15352059"/>
          <a:ext cx="1416744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vi-VN" sz="800" b="0" i="0" u="none" baseline="0">
              <a:solidFill>
                <a:srgbClr val="FFFFFF"/>
              </a:solidFill>
              <a:latin typeface="Meiryo UI"/>
              <a:ea typeface="Meiryo UI" panose="020B0604030504040204" pitchFamily="34" charset="-128"/>
            </a:rPr>
            <a:t>10. 配列の最後の要素であるかを確認する</a:t>
          </a:r>
        </a:p>
      </xdr:txBody>
    </xdr:sp>
    <xdr:clientData/>
  </xdr:twoCellAnchor>
  <xdr:twoCellAnchor>
    <xdr:from>
      <xdr:col>9</xdr:col>
      <xdr:colOff>0</xdr:colOff>
      <xdr:row>85</xdr:row>
      <xdr:rowOff>0</xdr:rowOff>
    </xdr:from>
    <xdr:to>
      <xdr:col>11</xdr:col>
      <xdr:colOff>0</xdr:colOff>
      <xdr:row>86</xdr:row>
      <xdr:rowOff>0</xdr:rowOff>
    </xdr:to>
    <xdr:sp macro="" textlink="" fLocksText="0">
      <xdr:nvSpPr>
        <xdr:cNvPr id="110" name="Flowchart: Process 109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/>
      </xdr:nvSpPr>
      <xdr:spPr>
        <a:xfrm>
          <a:off x="2400300" y="1630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4</xdr:col>
      <xdr:colOff>235323</xdr:colOff>
      <xdr:row>82</xdr:row>
      <xdr:rowOff>0</xdr:rowOff>
    </xdr:from>
    <xdr:to>
      <xdr:col>6</xdr:col>
      <xdr:colOff>235323</xdr:colOff>
      <xdr:row>83</xdr:row>
      <xdr:rowOff>0</xdr:rowOff>
    </xdr:to>
    <xdr:sp macro="" textlink="" fLocksText="0">
      <xdr:nvSpPr>
        <xdr:cNvPr id="111" name="Flowchart: Process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/>
      </xdr:nvSpPr>
      <xdr:spPr>
        <a:xfrm>
          <a:off x="1304925" y="1573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4</xdr:col>
      <xdr:colOff>235323</xdr:colOff>
      <xdr:row>13</xdr:row>
      <xdr:rowOff>0</xdr:rowOff>
    </xdr:from>
    <xdr:to>
      <xdr:col>7</xdr:col>
      <xdr:colOff>0</xdr:colOff>
      <xdr:row>82</xdr:row>
      <xdr:rowOff>95250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111" idx="1"/>
          <a:endCxn id="85" idx="1"/>
        </xdr:cNvCxnSpPr>
      </xdr:nvCxnSpPr>
      <xdr:spPr>
        <a:xfrm rot="10800000" flipH="1">
          <a:off x="1304925" y="2590800"/>
          <a:ext cx="561975" cy="13239750"/>
        </a:xfrm>
        <a:prstGeom prst="bentConnector3">
          <a:avLst>
            <a:gd name="adj1" fmla="val -4857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56</xdr:row>
      <xdr:rowOff>0</xdr:rowOff>
    </xdr:from>
    <xdr:to>
      <xdr:col>10</xdr:col>
      <xdr:colOff>1</xdr:colOff>
      <xdr:row>70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43" idx="2"/>
          <a:endCxn id="151" idx="0"/>
        </xdr:cNvCxnSpPr>
      </xdr:nvCxnSpPr>
      <xdr:spPr>
        <a:xfrm>
          <a:off x="2667000" y="10782300"/>
          <a:ext cx="0" cy="2667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70</xdr:row>
      <xdr:rowOff>0</xdr:rowOff>
    </xdr:from>
    <xdr:to>
      <xdr:col>13</xdr:col>
      <xdr:colOff>0</xdr:colOff>
      <xdr:row>75</xdr:row>
      <xdr:rowOff>0</xdr:rowOff>
    </xdr:to>
    <xdr:sp macro="" textlink="" fLocksText="0">
      <xdr:nvSpPr>
        <xdr:cNvPr id="151" name="Flowchart: Decision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1866900" y="13449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vi-VN" sz="900" b="0" i="0" u="none" baseline="0">
              <a:solidFill>
                <a:srgbClr val="FFFFFF"/>
              </a:solidFill>
              <a:latin typeface="Meiryo UI"/>
              <a:ea typeface="Meiryo UI" panose="020B0604030504040204" pitchFamily="34" charset="-128"/>
            </a:rPr>
            <a:t>9. 成功</a:t>
          </a:r>
        </a:p>
      </xdr:txBody>
    </xdr:sp>
    <xdr:clientData/>
  </xdr:twoCellAnchor>
  <xdr:twoCellAnchor>
    <xdr:from>
      <xdr:col>9</xdr:col>
      <xdr:colOff>0</xdr:colOff>
      <xdr:row>75</xdr:row>
      <xdr:rowOff>0</xdr:rowOff>
    </xdr:from>
    <xdr:to>
      <xdr:col>11</xdr:col>
      <xdr:colOff>1</xdr:colOff>
      <xdr:row>76</xdr:row>
      <xdr:rowOff>0</xdr:rowOff>
    </xdr:to>
    <xdr:sp macro="" textlink="" fLocksText="0">
      <xdr:nvSpPr>
        <xdr:cNvPr id="152" name="Flowchart: Process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2400300" y="14401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13</xdr:col>
      <xdr:colOff>1</xdr:colOff>
      <xdr:row>72</xdr:row>
      <xdr:rowOff>0</xdr:rowOff>
    </xdr:from>
    <xdr:to>
      <xdr:col>16</xdr:col>
      <xdr:colOff>1</xdr:colOff>
      <xdr:row>73</xdr:row>
      <xdr:rowOff>0</xdr:rowOff>
    </xdr:to>
    <xdr:sp macro="" textlink="" fLocksText="0">
      <xdr:nvSpPr>
        <xdr:cNvPr id="153" name="Flowchart: Process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3467100" y="13830300"/>
          <a:ext cx="8001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10</xdr:col>
      <xdr:colOff>0</xdr:colOff>
      <xdr:row>72</xdr:row>
      <xdr:rowOff>95250</xdr:rowOff>
    </xdr:from>
    <xdr:to>
      <xdr:col>16</xdr:col>
      <xdr:colOff>1</xdr:colOff>
      <xdr:row>91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153" idx="3"/>
          <a:endCxn id="4" idx="0"/>
        </xdr:cNvCxnSpPr>
      </xdr:nvCxnSpPr>
      <xdr:spPr>
        <a:xfrm flipH="1">
          <a:off x="2667000" y="13925550"/>
          <a:ext cx="1600200" cy="3524250"/>
        </a:xfrm>
        <a:prstGeom prst="bentConnector4">
          <a:avLst>
            <a:gd name="adj1" fmla="val -16190"/>
            <a:gd name="adj2" fmla="val 8950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76</xdr:row>
      <xdr:rowOff>0</xdr:rowOff>
    </xdr:from>
    <xdr:to>
      <xdr:col>10</xdr:col>
      <xdr:colOff>2402</xdr:colOff>
      <xdr:row>80</xdr:row>
      <xdr:rowOff>0</xdr:rowOff>
    </xdr:to>
    <xdr:cxnSp macro="">
      <xdr:nvCxnSpPr>
        <xdr:cNvPr id="164" name="Straight Arrow Connector 163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152" idx="2"/>
          <a:endCxn id="109" idx="0"/>
        </xdr:cNvCxnSpPr>
      </xdr:nvCxnSpPr>
      <xdr:spPr>
        <a:xfrm>
          <a:off x="2667000" y="14592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24</xdr:row>
      <xdr:rowOff>0</xdr:rowOff>
    </xdr:from>
    <xdr:to>
      <xdr:col>62</xdr:col>
      <xdr:colOff>0</xdr:colOff>
      <xdr:row>30</xdr:row>
      <xdr:rowOff>0</xdr:rowOff>
    </xdr:to>
    <xdr:sp macro="" textlink="" fLocksText="0">
      <xdr:nvSpPr>
        <xdr:cNvPr id="184" name="吹き出し: 線 2">
          <a:extLst>
            <a:ext uri="{FF2B5EF4-FFF2-40B4-BE49-F238E27FC236}">
              <a16:creationId xmlns:a16="http://schemas.microsoft.com/office/drawing/2014/main" id="{00000000-0008-0000-0400-0000B8000000}"/>
            </a:ext>
          </a:extLst>
        </xdr:cNvPr>
        <xdr:cNvSpPr/>
      </xdr:nvSpPr>
      <xdr:spPr>
        <a:xfrm>
          <a:off x="9334500" y="4686300"/>
          <a:ext cx="7200900" cy="1143000"/>
        </a:xfrm>
        <a:prstGeom prst="borderCallout1">
          <a:avLst>
            <a:gd name="adj1" fmla="val 49926"/>
            <a:gd name="adj2" fmla="val -59"/>
            <a:gd name="adj3" fmla="val 91457"/>
            <a:gd name="adj4" fmla="val -4415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3. 対象レコードが編集又は削除されているかを確認する。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▪id_delete_flag = 0 (レコード編集)の場合、以下のステップを実行する。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[4.対象緊急売価レコードを取得する。]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▪id_delete_flag = 1 (レコード削除)の場合、以下のステップを実行する。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[8.緊急売価削除]</a:t>
          </a:r>
        </a:p>
      </xdr:txBody>
    </xdr:sp>
    <xdr:clientData/>
  </xdr:twoCellAnchor>
  <xdr:twoCellAnchor>
    <xdr:from>
      <xdr:col>35</xdr:col>
      <xdr:colOff>0</xdr:colOff>
      <xdr:row>35</xdr:row>
      <xdr:rowOff>0</xdr:rowOff>
    </xdr:from>
    <xdr:to>
      <xdr:col>62</xdr:col>
      <xdr:colOff>0</xdr:colOff>
      <xdr:row>43</xdr:row>
      <xdr:rowOff>0</xdr:rowOff>
    </xdr:to>
    <xdr:sp macro="" textlink="" fLocksText="0">
      <xdr:nvSpPr>
        <xdr:cNvPr id="185" name="吹き出し: 線 2">
          <a:extLst>
            <a:ext uri="{FF2B5EF4-FFF2-40B4-BE49-F238E27FC236}">
              <a16:creationId xmlns:a16="http://schemas.microsoft.com/office/drawing/2014/main" id="{00000000-0008-0000-0400-0000B9000000}"/>
            </a:ext>
          </a:extLst>
        </xdr:cNvPr>
        <xdr:cNvSpPr/>
      </xdr:nvSpPr>
      <xdr:spPr>
        <a:xfrm>
          <a:off x="9334500" y="6781800"/>
          <a:ext cx="7200900" cy="1524000"/>
        </a:xfrm>
        <a:prstGeom prst="borderCallout1">
          <a:avLst>
            <a:gd name="adj1" fmla="val 49926"/>
            <a:gd name="adj2" fmla="val -59"/>
            <a:gd name="adj3" fmla="val 50281"/>
            <a:gd name="adj4" fmla="val -386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4. 以下の条件を満たすforce_price_masterテーブルの編集対象売価レコードを取得する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force_price_master.company_code = user.company_code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force_price_master.store_code = param {selected_store}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force_price_master.item_code = param {item_code}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force_price_master.start_date_time = param {booking_date}</a:t>
          </a:r>
        </a:p>
      </xdr:txBody>
    </xdr:sp>
    <xdr:clientData/>
  </xdr:twoCellAnchor>
  <xdr:twoCellAnchor>
    <xdr:from>
      <xdr:col>34</xdr:col>
      <xdr:colOff>190500</xdr:colOff>
      <xdr:row>45</xdr:row>
      <xdr:rowOff>22412</xdr:rowOff>
    </xdr:from>
    <xdr:to>
      <xdr:col>61</xdr:col>
      <xdr:colOff>190500</xdr:colOff>
      <xdr:row>50</xdr:row>
      <xdr:rowOff>22412</xdr:rowOff>
    </xdr:to>
    <xdr:sp macro="" textlink="" fLocksText="0">
      <xdr:nvSpPr>
        <xdr:cNvPr id="186" name="吹き出し: 線 2">
          <a:extLst>
            <a:ext uri="{FF2B5EF4-FFF2-40B4-BE49-F238E27FC236}">
              <a16:creationId xmlns:a16="http://schemas.microsoft.com/office/drawing/2014/main" id="{00000000-0008-0000-0400-0000BA000000}"/>
            </a:ext>
          </a:extLst>
        </xdr:cNvPr>
        <xdr:cNvSpPr/>
      </xdr:nvSpPr>
      <xdr:spPr>
        <a:xfrm>
          <a:off x="8191500" y="8706971"/>
          <a:ext cx="6353735" cy="952500"/>
        </a:xfrm>
        <a:prstGeom prst="borderCallout1">
          <a:avLst>
            <a:gd name="adj1" fmla="val 60123"/>
            <a:gd name="adj2" fmla="val -59"/>
            <a:gd name="adj3" fmla="val 60477"/>
            <a:gd name="adj4" fmla="val -4345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5. ステップ4から返された編集対象データを確認する。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▪更新対象レコードが存在している場合、[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7.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緊急売価情報を編集する。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]ステップを実行する。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▪更新対象レコードが存在しない場合、[6. 緊急売価新規作成]ステップを実行する。</a:t>
          </a:r>
        </a:p>
      </xdr:txBody>
    </xdr:sp>
    <xdr:clientData/>
  </xdr:twoCellAnchor>
  <xdr:twoCellAnchor>
    <xdr:from>
      <xdr:col>35</xdr:col>
      <xdr:colOff>0</xdr:colOff>
      <xdr:row>52</xdr:row>
      <xdr:rowOff>0</xdr:rowOff>
    </xdr:from>
    <xdr:to>
      <xdr:col>62</xdr:col>
      <xdr:colOff>0</xdr:colOff>
      <xdr:row>55</xdr:row>
      <xdr:rowOff>0</xdr:rowOff>
    </xdr:to>
    <xdr:sp macro="" textlink="" fLocksText="0">
      <xdr:nvSpPr>
        <xdr:cNvPr id="189" name="吹き出し: 線 2">
          <a:extLst>
            <a:ext uri="{FF2B5EF4-FFF2-40B4-BE49-F238E27FC236}">
              <a16:creationId xmlns:a16="http://schemas.microsoft.com/office/drawing/2014/main" id="{00000000-0008-0000-0400-0000BD000000}"/>
            </a:ext>
          </a:extLst>
        </xdr:cNvPr>
        <xdr:cNvSpPr/>
      </xdr:nvSpPr>
      <xdr:spPr>
        <a:xfrm>
          <a:off x="9334500" y="10020300"/>
          <a:ext cx="7200900" cy="571500"/>
        </a:xfrm>
        <a:prstGeom prst="borderCallout1">
          <a:avLst>
            <a:gd name="adj1" fmla="val 34044"/>
            <a:gd name="adj2" fmla="val 295"/>
            <a:gd name="adj3" fmla="val 32243"/>
            <a:gd name="adj4" fmla="val -8313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6. force_price_masterテーブルに緊急売価情報を新規作成する。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▪挿入情報は[AP0202]シートの[2.4 Request Body]をご参照ください。</a:t>
          </a:r>
        </a:p>
      </xdr:txBody>
    </xdr:sp>
    <xdr:clientData/>
  </xdr:twoCellAnchor>
  <xdr:twoCellAnchor>
    <xdr:from>
      <xdr:col>35</xdr:col>
      <xdr:colOff>0</xdr:colOff>
      <xdr:row>69</xdr:row>
      <xdr:rowOff>0</xdr:rowOff>
    </xdr:from>
    <xdr:to>
      <xdr:col>62</xdr:col>
      <xdr:colOff>0</xdr:colOff>
      <xdr:row>74</xdr:row>
      <xdr:rowOff>0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9334500" y="13258800"/>
          <a:ext cx="7200900" cy="952500"/>
        </a:xfrm>
        <a:prstGeom prst="borderCallout1">
          <a:avLst>
            <a:gd name="adj1" fmla="val 39142"/>
            <a:gd name="adj2" fmla="val 118"/>
            <a:gd name="adj3" fmla="val 40672"/>
            <a:gd name="adj4" fmla="val -871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9. 緊急売価の新規作成・編集・削除の状態を確認する。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▪成功した場合、以下のステップを実行する。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[10.配列の最後の要素であるかを確認する]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81</xdr:row>
      <xdr:rowOff>0</xdr:rowOff>
    </xdr:from>
    <xdr:to>
      <xdr:col>62</xdr:col>
      <xdr:colOff>0</xdr:colOff>
      <xdr:row>85</xdr:row>
      <xdr:rowOff>0</xdr:rowOff>
    </xdr:to>
    <xdr:sp macro="" textlink="" fLocksText="0">
      <xdr:nvSpPr>
        <xdr:cNvPr id="191" name="吹き出し: 線 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/>
      </xdr:nvSpPr>
      <xdr:spPr>
        <a:xfrm>
          <a:off x="9334500" y="15544800"/>
          <a:ext cx="7200900" cy="762000"/>
        </a:xfrm>
        <a:prstGeom prst="borderCallout1">
          <a:avLst>
            <a:gd name="adj1" fmla="val 51201"/>
            <a:gd name="adj2" fmla="val -58"/>
            <a:gd name="adj3" fmla="val 48614"/>
            <a:gd name="adj4" fmla="val -8472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10. 画面から渡された緊急売価データ配列の最後の要素であるかを確認する。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最後の要素でない場合は、次の要素をループする。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最後の要素の場合は、ログを記録してプログラムを終了する。</a:t>
          </a:r>
        </a:p>
      </xdr:txBody>
    </xdr:sp>
    <xdr:clientData/>
  </xdr:twoCellAnchor>
  <xdr:twoCellAnchor>
    <xdr:from>
      <xdr:col>19</xdr:col>
      <xdr:colOff>0</xdr:colOff>
      <xdr:row>52</xdr:row>
      <xdr:rowOff>0</xdr:rowOff>
    </xdr:from>
    <xdr:to>
      <xdr:col>25</xdr:col>
      <xdr:colOff>0</xdr:colOff>
      <xdr:row>56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067300" y="1002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9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7. 緊急売価情報を編集する。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28</xdr:col>
      <xdr:colOff>0</xdr:colOff>
      <xdr:row>52</xdr:row>
      <xdr:rowOff>0</xdr:rowOff>
    </xdr:from>
    <xdr:to>
      <xdr:col>34</xdr:col>
      <xdr:colOff>0</xdr:colOff>
      <xdr:row>56</xdr:row>
      <xdr:rowOff>0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7467600" y="1002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9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8. 緊急売価情報を削除する。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22</xdr:col>
      <xdr:colOff>0</xdr:colOff>
      <xdr:row>50</xdr:row>
      <xdr:rowOff>0</xdr:rowOff>
    </xdr:from>
    <xdr:to>
      <xdr:col>22</xdr:col>
      <xdr:colOff>0</xdr:colOff>
      <xdr:row>52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57" idx="2"/>
          <a:endCxn id="5" idx="0"/>
        </xdr:cNvCxnSpPr>
      </xdr:nvCxnSpPr>
      <xdr:spPr>
        <a:xfrm>
          <a:off x="5867400" y="96393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57</xdr:row>
      <xdr:rowOff>0</xdr:rowOff>
    </xdr:from>
    <xdr:to>
      <xdr:col>62</xdr:col>
      <xdr:colOff>0</xdr:colOff>
      <xdr:row>60</xdr:row>
      <xdr:rowOff>0</xdr:rowOff>
    </xdr:to>
    <xdr:sp macro="" textlink="" fLocksText="0">
      <xdr:nvSpPr>
        <xdr:cNvPr id="20" name="吹き出し: 線 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9334500" y="10972800"/>
          <a:ext cx="7200900" cy="571500"/>
        </a:xfrm>
        <a:prstGeom prst="borderCallout1">
          <a:avLst>
            <a:gd name="adj1" fmla="val 34044"/>
            <a:gd name="adj2" fmla="val 295"/>
            <a:gd name="adj3" fmla="val -48149"/>
            <a:gd name="adj4" fmla="val -3992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7. force_price_masterテーブルで緊急売価情報を編集する。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▪更新情報は[AP0202]シートの[2.4 Request Body]をご参照ください。</a:t>
          </a:r>
        </a:p>
      </xdr:txBody>
    </xdr:sp>
    <xdr:clientData/>
  </xdr:twoCellAnchor>
  <xdr:twoCellAnchor>
    <xdr:from>
      <xdr:col>35</xdr:col>
      <xdr:colOff>0</xdr:colOff>
      <xdr:row>61</xdr:row>
      <xdr:rowOff>0</xdr:rowOff>
    </xdr:from>
    <xdr:to>
      <xdr:col>62</xdr:col>
      <xdr:colOff>0</xdr:colOff>
      <xdr:row>64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11734800"/>
          <a:ext cx="7200900" cy="571500"/>
        </a:xfrm>
        <a:prstGeom prst="borderCallout1">
          <a:avLst>
            <a:gd name="adj1" fmla="val 34044"/>
            <a:gd name="adj2" fmla="val 295"/>
            <a:gd name="adj3" fmla="val -185404"/>
            <a:gd name="adj4" fmla="val -1188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8. 以下の条件に従ってforce_price_masterテーブルから緊急売価情報を削除する。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force_price_master.record_id = param {record_id}</a:t>
          </a:r>
        </a:p>
      </xdr:txBody>
    </xdr:sp>
    <xdr:clientData/>
  </xdr:twoCellAnchor>
  <xdr:twoCellAnchor>
    <xdr:from>
      <xdr:col>10</xdr:col>
      <xdr:colOff>1</xdr:colOff>
      <xdr:row>56</xdr:row>
      <xdr:rowOff>0</xdr:rowOff>
    </xdr:from>
    <xdr:to>
      <xdr:col>22</xdr:col>
      <xdr:colOff>0</xdr:colOff>
      <xdr:row>70</xdr:row>
      <xdr:rowOff>0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5" idx="2"/>
          <a:endCxn id="151" idx="0"/>
        </xdr:cNvCxnSpPr>
      </xdr:nvCxnSpPr>
      <xdr:spPr>
        <a:xfrm rot="5400000">
          <a:off x="2667000" y="10782300"/>
          <a:ext cx="3200400" cy="2667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56</xdr:row>
      <xdr:rowOff>0</xdr:rowOff>
    </xdr:from>
    <xdr:to>
      <xdr:col>31</xdr:col>
      <xdr:colOff>1</xdr:colOff>
      <xdr:row>70</xdr:row>
      <xdr:rowOff>0</xdr:rowOff>
    </xdr:to>
    <xdr:cxnSp macro="">
      <xdr:nvCxnSpPr>
        <xdr:cNvPr id="31" name="Connector: Elbow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stCxn id="6" idx="2"/>
          <a:endCxn id="151" idx="0"/>
        </xdr:cNvCxnSpPr>
      </xdr:nvCxnSpPr>
      <xdr:spPr>
        <a:xfrm rot="5400000">
          <a:off x="2667000" y="10782300"/>
          <a:ext cx="5600700" cy="2667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25" customWidth="1"/>
    <col min="61" max="16384" width="2.77734375" style="125"/>
  </cols>
  <sheetData>
    <row r="1" spans="1:63" ht="24.95" customHeight="1" x14ac:dyDescent="0.25">
      <c r="A1" s="119" t="s">
        <v>47</v>
      </c>
      <c r="B1" s="120"/>
      <c r="C1" s="120"/>
      <c r="D1" s="120"/>
      <c r="E1" s="120"/>
      <c r="F1" s="120"/>
      <c r="G1" s="120"/>
      <c r="H1" s="120"/>
      <c r="I1" s="120"/>
      <c r="J1" s="121"/>
      <c r="K1" s="119" t="s">
        <v>48</v>
      </c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1"/>
      <c r="W1" s="122" t="s">
        <v>49</v>
      </c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4"/>
      <c r="AP1" s="119" t="s">
        <v>50</v>
      </c>
      <c r="AQ1" s="120"/>
      <c r="AR1" s="120"/>
      <c r="AS1" s="121"/>
      <c r="AT1" s="119" t="s">
        <v>51</v>
      </c>
      <c r="AU1" s="120"/>
      <c r="AV1" s="120"/>
      <c r="AW1" s="120"/>
      <c r="AX1" s="121"/>
      <c r="AY1" s="119" t="s">
        <v>52</v>
      </c>
      <c r="AZ1" s="120"/>
      <c r="BA1" s="120"/>
      <c r="BB1" s="121"/>
      <c r="BC1" s="119" t="s">
        <v>53</v>
      </c>
      <c r="BD1" s="120"/>
      <c r="BE1" s="120"/>
      <c r="BF1" s="120"/>
      <c r="BG1" s="121"/>
      <c r="BH1" s="119" t="s">
        <v>54</v>
      </c>
      <c r="BI1" s="120"/>
      <c r="BJ1" s="120"/>
      <c r="BK1" s="121"/>
    </row>
    <row r="2" spans="1:63" ht="15" customHeight="1" x14ac:dyDescent="0.25">
      <c r="A2" s="45" t="s">
        <v>55</v>
      </c>
      <c r="B2" s="126"/>
      <c r="C2" s="126"/>
      <c r="D2" s="126"/>
      <c r="E2" s="126"/>
      <c r="F2" s="126"/>
      <c r="G2" s="126"/>
      <c r="H2" s="126"/>
      <c r="I2" s="126"/>
      <c r="J2" s="127"/>
      <c r="K2" s="128" t="s">
        <v>1</v>
      </c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7"/>
      <c r="W2" s="129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1"/>
      <c r="AP2" s="128" t="str">
        <f>改訂履歴!$H$11</f>
        <v>TuyenNH</v>
      </c>
      <c r="AQ2" s="126"/>
      <c r="AR2" s="126"/>
      <c r="AS2" s="127"/>
      <c r="AT2" s="132">
        <f>改訂履歴!$B$11</f>
        <v>45517</v>
      </c>
      <c r="AU2" s="133"/>
      <c r="AV2" s="133"/>
      <c r="AW2" s="133"/>
      <c r="AX2" s="134"/>
      <c r="AY2" s="128" t="str">
        <f>LOOKUP(2,1/(改訂履歴!H11:H30000&lt;&gt;""),改訂履歴!H11:H30000)</f>
        <v>TuyenNH</v>
      </c>
      <c r="AZ2" s="126"/>
      <c r="BA2" s="126"/>
      <c r="BB2" s="127"/>
      <c r="BC2" s="132">
        <f>LOOKUP(2,1/(改訂履歴!B11:B30000&lt;&gt;""),改訂履歴!B11:B30000)</f>
        <v>45517</v>
      </c>
      <c r="BD2" s="133"/>
      <c r="BE2" s="133"/>
      <c r="BF2" s="133"/>
      <c r="BG2" s="134"/>
      <c r="BH2" s="135">
        <f>LOOKUP(2,1/(改訂履歴!O11:O30000&lt;&gt;""),改訂履歴!O11:O30000)</f>
        <v>0.1</v>
      </c>
      <c r="BI2" s="136"/>
      <c r="BJ2" s="136"/>
      <c r="BK2" s="13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141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3"/>
      <c r="AP3" s="138"/>
      <c r="AQ3" s="139"/>
      <c r="AR3" s="139"/>
      <c r="AS3" s="140"/>
      <c r="AT3" s="144"/>
      <c r="AU3" s="145"/>
      <c r="AV3" s="145"/>
      <c r="AW3" s="145"/>
      <c r="AX3" s="146"/>
      <c r="AY3" s="138"/>
      <c r="AZ3" s="139"/>
      <c r="BA3" s="139"/>
      <c r="BB3" s="140"/>
      <c r="BC3" s="144"/>
      <c r="BD3" s="145"/>
      <c r="BE3" s="145"/>
      <c r="BF3" s="145"/>
      <c r="BG3" s="146"/>
      <c r="BH3" s="147"/>
      <c r="BI3" s="148"/>
      <c r="BJ3" s="148"/>
      <c r="BK3" s="149"/>
    </row>
    <row r="4" spans="1:63" ht="24.95" customHeight="1" x14ac:dyDescent="0.25">
      <c r="A4" s="119" t="s">
        <v>56</v>
      </c>
      <c r="B4" s="120"/>
      <c r="C4" s="120"/>
      <c r="D4" s="120"/>
      <c r="E4" s="120"/>
      <c r="F4" s="120"/>
      <c r="G4" s="121"/>
      <c r="H4" s="150" t="s">
        <v>36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2"/>
      <c r="U4" s="119" t="s">
        <v>57</v>
      </c>
      <c r="V4" s="120"/>
      <c r="W4" s="120"/>
      <c r="X4" s="120"/>
      <c r="Y4" s="121"/>
      <c r="Z4" s="44" t="s">
        <v>58</v>
      </c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50" t="str">
        <f t="array" aca="1" ref="AP4" ca="1">RIGHT(CELL("filename",$A$1),LEN(CELL("filename",$A$1))-FIND("]",CELL("filename",$A$1)))</f>
        <v>表紙</v>
      </c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2"/>
    </row>
    <row r="5" spans="1:63" ht="5.0999999999999996" customHeight="1" x14ac:dyDescent="0.25">
      <c r="A5" s="153"/>
      <c r="B5" s="154"/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4"/>
      <c r="AN5" s="154"/>
      <c r="AO5" s="154"/>
      <c r="AP5" s="154"/>
      <c r="AQ5" s="154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4"/>
      <c r="BD5" s="154"/>
      <c r="BE5" s="154"/>
      <c r="BF5" s="154"/>
      <c r="BG5" s="154"/>
      <c r="BH5" s="154"/>
      <c r="BI5" s="154"/>
      <c r="BJ5" s="154"/>
      <c r="BK5" s="155"/>
    </row>
    <row r="6" spans="1:63" ht="15" customHeight="1" x14ac:dyDescent="0.25">
      <c r="A6" s="156"/>
      <c r="BK6" s="157"/>
    </row>
    <row r="7" spans="1:63" ht="15" customHeight="1" x14ac:dyDescent="0.25">
      <c r="A7" s="156"/>
      <c r="BK7" s="157"/>
    </row>
    <row r="8" spans="1:63" ht="15" customHeight="1" x14ac:dyDescent="0.25">
      <c r="A8" s="156"/>
      <c r="BK8" s="157"/>
    </row>
    <row r="9" spans="1:63" ht="15" customHeight="1" x14ac:dyDescent="0.25">
      <c r="A9" s="156"/>
      <c r="BK9" s="157"/>
    </row>
    <row r="10" spans="1:63" ht="15" customHeight="1" x14ac:dyDescent="0.25">
      <c r="A10" s="156"/>
      <c r="BK10" s="157"/>
    </row>
    <row r="11" spans="1:63" ht="15" customHeight="1" x14ac:dyDescent="0.25">
      <c r="A11" s="156"/>
      <c r="BK11" s="157"/>
    </row>
    <row r="12" spans="1:63" ht="15" customHeight="1" x14ac:dyDescent="0.25">
      <c r="A12" s="156"/>
      <c r="BK12" s="157"/>
    </row>
    <row r="13" spans="1:63" ht="15" customHeight="1" x14ac:dyDescent="0.25">
      <c r="A13" s="156"/>
      <c r="BK13" s="157"/>
    </row>
    <row r="14" spans="1:63" ht="15" customHeight="1" thickBot="1" x14ac:dyDescent="0.3">
      <c r="A14" s="156"/>
      <c r="BK14" s="157"/>
    </row>
    <row r="15" spans="1:63" ht="15" customHeight="1" thickTop="1" x14ac:dyDescent="0.25">
      <c r="A15" s="156"/>
      <c r="K15" s="158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  <c r="AL15" s="159"/>
      <c r="AM15" s="159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59"/>
      <c r="BA15" s="160"/>
      <c r="BK15" s="157"/>
    </row>
    <row r="16" spans="1:63" ht="15" customHeight="1" x14ac:dyDescent="0.25">
      <c r="A16" s="156"/>
      <c r="K16" s="161"/>
      <c r="L16" s="162" t="s">
        <v>59</v>
      </c>
      <c r="M16" s="163"/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  <c r="AK16" s="163"/>
      <c r="AL16" s="163"/>
      <c r="AM16" s="163"/>
      <c r="AN16" s="163"/>
      <c r="AO16" s="163"/>
      <c r="AP16" s="163"/>
      <c r="AQ16" s="163"/>
      <c r="AR16" s="163"/>
      <c r="AS16" s="163"/>
      <c r="AT16" s="163"/>
      <c r="AU16" s="163"/>
      <c r="AV16" s="163"/>
      <c r="AW16" s="163"/>
      <c r="AX16" s="163"/>
      <c r="AY16" s="163"/>
      <c r="AZ16" s="163"/>
      <c r="BA16" s="164"/>
      <c r="BK16" s="157"/>
    </row>
    <row r="17" spans="1:63" ht="15" customHeight="1" x14ac:dyDescent="0.25">
      <c r="A17" s="156"/>
      <c r="K17" s="161"/>
      <c r="L17" s="163"/>
      <c r="M17" s="163"/>
      <c r="N17" s="163"/>
      <c r="O17" s="163"/>
      <c r="P17" s="163"/>
      <c r="Q17" s="16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  <c r="AD17" s="163"/>
      <c r="AE17" s="163"/>
      <c r="AF17" s="163"/>
      <c r="AG17" s="163"/>
      <c r="AH17" s="163"/>
      <c r="AI17" s="163"/>
      <c r="AJ17" s="163"/>
      <c r="AK17" s="163"/>
      <c r="AL17" s="163"/>
      <c r="AM17" s="163"/>
      <c r="AN17" s="163"/>
      <c r="AO17" s="163"/>
      <c r="AP17" s="163"/>
      <c r="AQ17" s="163"/>
      <c r="AR17" s="163"/>
      <c r="AS17" s="163"/>
      <c r="AT17" s="163"/>
      <c r="AU17" s="163"/>
      <c r="AV17" s="163"/>
      <c r="AW17" s="163"/>
      <c r="AX17" s="163"/>
      <c r="AY17" s="163"/>
      <c r="AZ17" s="163"/>
      <c r="BA17" s="164"/>
      <c r="BK17" s="157"/>
    </row>
    <row r="18" spans="1:63" ht="15" customHeight="1" x14ac:dyDescent="0.25">
      <c r="A18" s="156"/>
      <c r="K18" s="161"/>
      <c r="L18" s="163"/>
      <c r="M18" s="163"/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  <c r="AK18" s="163"/>
      <c r="AL18" s="163"/>
      <c r="AM18" s="163"/>
      <c r="AN18" s="163"/>
      <c r="AO18" s="163"/>
      <c r="AP18" s="163"/>
      <c r="AQ18" s="163"/>
      <c r="AR18" s="163"/>
      <c r="AS18" s="163"/>
      <c r="AT18" s="163"/>
      <c r="AU18" s="163"/>
      <c r="AV18" s="163"/>
      <c r="AW18" s="163"/>
      <c r="AX18" s="163"/>
      <c r="AY18" s="163"/>
      <c r="AZ18" s="163"/>
      <c r="BA18" s="164"/>
      <c r="BK18" s="157"/>
    </row>
    <row r="19" spans="1:63" ht="15" customHeight="1" x14ac:dyDescent="0.25">
      <c r="A19" s="156"/>
      <c r="K19" s="161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  <c r="AD19" s="163"/>
      <c r="AE19" s="163"/>
      <c r="AF19" s="163"/>
      <c r="AG19" s="163"/>
      <c r="AH19" s="163"/>
      <c r="AI19" s="163"/>
      <c r="AJ19" s="163"/>
      <c r="AK19" s="163"/>
      <c r="AL19" s="163"/>
      <c r="AM19" s="163"/>
      <c r="AN19" s="163"/>
      <c r="AO19" s="163"/>
      <c r="AP19" s="163"/>
      <c r="AQ19" s="163"/>
      <c r="AR19" s="163"/>
      <c r="AS19" s="163"/>
      <c r="AT19" s="163"/>
      <c r="AU19" s="163"/>
      <c r="AV19" s="163"/>
      <c r="AW19" s="163"/>
      <c r="AX19" s="163"/>
      <c r="AY19" s="163"/>
      <c r="AZ19" s="163"/>
      <c r="BA19" s="164"/>
      <c r="BK19" s="157"/>
    </row>
    <row r="20" spans="1:63" ht="15" customHeight="1" x14ac:dyDescent="0.25">
      <c r="A20" s="156"/>
      <c r="K20" s="161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  <c r="AK20" s="163"/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3"/>
      <c r="AX20" s="163"/>
      <c r="AY20" s="163"/>
      <c r="AZ20" s="163"/>
      <c r="BA20" s="164"/>
      <c r="BK20" s="157"/>
    </row>
    <row r="21" spans="1:63" ht="15" customHeight="1" x14ac:dyDescent="0.25">
      <c r="A21" s="156"/>
      <c r="K21" s="161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3"/>
      <c r="AX21" s="163"/>
      <c r="AY21" s="163"/>
      <c r="AZ21" s="163"/>
      <c r="BA21" s="164"/>
      <c r="BK21" s="157"/>
    </row>
    <row r="22" spans="1:63" ht="15" customHeight="1" thickBot="1" x14ac:dyDescent="0.3">
      <c r="A22" s="156"/>
      <c r="K22" s="161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65"/>
      <c r="AR22" s="165"/>
      <c r="AS22" s="165"/>
      <c r="AT22" s="165"/>
      <c r="AU22" s="165"/>
      <c r="AV22" s="165"/>
      <c r="AW22" s="165"/>
      <c r="AX22" s="165"/>
      <c r="AY22" s="165"/>
      <c r="AZ22" s="165"/>
      <c r="BA22" s="164"/>
      <c r="BK22" s="157"/>
    </row>
    <row r="23" spans="1:63" ht="15" customHeight="1" x14ac:dyDescent="0.25">
      <c r="A23" s="156"/>
      <c r="K23" s="161"/>
      <c r="L23" s="166"/>
      <c r="M23" s="166"/>
      <c r="N23" s="166"/>
      <c r="O23" s="166"/>
      <c r="P23" s="166"/>
      <c r="Q23" s="166"/>
      <c r="R23" s="166"/>
      <c r="S23" s="166"/>
      <c r="T23" s="166"/>
      <c r="U23" s="166"/>
      <c r="V23" s="166"/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  <c r="AH23" s="166"/>
      <c r="AI23" s="166"/>
      <c r="AJ23" s="166"/>
      <c r="AK23" s="166"/>
      <c r="AL23" s="166"/>
      <c r="AM23" s="166"/>
      <c r="AN23" s="166"/>
      <c r="AO23" s="166"/>
      <c r="AP23" s="166"/>
      <c r="AQ23" s="166"/>
      <c r="AR23" s="166"/>
      <c r="AS23" s="166"/>
      <c r="AT23" s="166"/>
      <c r="AU23" s="166"/>
      <c r="AV23" s="166"/>
      <c r="AW23" s="166"/>
      <c r="AX23" s="166"/>
      <c r="AY23" s="166"/>
      <c r="AZ23" s="166"/>
      <c r="BA23" s="164"/>
      <c r="BK23" s="157"/>
    </row>
    <row r="24" spans="1:63" ht="15" customHeight="1" x14ac:dyDescent="0.25">
      <c r="A24" s="156"/>
      <c r="K24" s="161"/>
      <c r="L24" s="163" t="str">
        <f>K2&amp;"/"&amp;H4&amp;"/"&amp;Z4</f>
        <v>POSサーバ/AP0202/API設計書</v>
      </c>
      <c r="M24" s="163"/>
      <c r="N24" s="163"/>
      <c r="O24" s="163"/>
      <c r="P24" s="163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3"/>
      <c r="AS24" s="163"/>
      <c r="AT24" s="163"/>
      <c r="AU24" s="163"/>
      <c r="AV24" s="163"/>
      <c r="AW24" s="163"/>
      <c r="AX24" s="163"/>
      <c r="AY24" s="163"/>
      <c r="AZ24" s="163"/>
      <c r="BA24" s="164"/>
      <c r="BK24" s="157"/>
    </row>
    <row r="25" spans="1:63" ht="15" customHeight="1" x14ac:dyDescent="0.25">
      <c r="A25" s="156"/>
      <c r="K25" s="161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164"/>
      <c r="BK25" s="157"/>
    </row>
    <row r="26" spans="1:63" ht="15" customHeight="1" x14ac:dyDescent="0.25">
      <c r="A26" s="156"/>
      <c r="K26" s="161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163"/>
      <c r="AU26" s="163"/>
      <c r="AV26" s="163"/>
      <c r="AW26" s="163"/>
      <c r="AX26" s="163"/>
      <c r="AY26" s="163"/>
      <c r="AZ26" s="163"/>
      <c r="BA26" s="164"/>
      <c r="BK26" s="157"/>
    </row>
    <row r="27" spans="1:63" ht="15" customHeight="1" x14ac:dyDescent="0.25">
      <c r="A27" s="156"/>
      <c r="K27" s="161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163"/>
      <c r="AY27" s="163"/>
      <c r="AZ27" s="163"/>
      <c r="BA27" s="164"/>
      <c r="BK27" s="157"/>
    </row>
    <row r="28" spans="1:63" ht="15" customHeight="1" x14ac:dyDescent="0.25">
      <c r="A28" s="156"/>
      <c r="K28" s="161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163"/>
      <c r="AY28" s="163"/>
      <c r="AZ28" s="163"/>
      <c r="BA28" s="164"/>
      <c r="BK28" s="157"/>
    </row>
    <row r="29" spans="1:63" ht="15" customHeight="1" x14ac:dyDescent="0.25">
      <c r="A29" s="156"/>
      <c r="K29" s="161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163"/>
      <c r="AY29" s="163"/>
      <c r="AZ29" s="163"/>
      <c r="BA29" s="164"/>
      <c r="BK29" s="157"/>
    </row>
    <row r="30" spans="1:63" ht="15" customHeight="1" x14ac:dyDescent="0.25">
      <c r="A30" s="156"/>
      <c r="K30" s="161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163"/>
      <c r="AY30" s="163"/>
      <c r="AZ30" s="163"/>
      <c r="BA30" s="164"/>
      <c r="BK30" s="157"/>
    </row>
    <row r="31" spans="1:63" ht="15" customHeight="1" x14ac:dyDescent="0.25">
      <c r="A31" s="156"/>
      <c r="K31" s="161"/>
      <c r="L31" s="163"/>
      <c r="M31" s="163"/>
      <c r="N31" s="163"/>
      <c r="O31" s="163"/>
      <c r="P31" s="163"/>
      <c r="Q31" s="163"/>
      <c r="R31" s="163"/>
      <c r="S31" s="163"/>
      <c r="T31" s="163"/>
      <c r="U31" s="163"/>
      <c r="V31" s="163"/>
      <c r="W31" s="163"/>
      <c r="X31" s="163"/>
      <c r="Y31" s="163"/>
      <c r="Z31" s="163"/>
      <c r="AA31" s="163"/>
      <c r="AB31" s="163"/>
      <c r="AC31" s="163"/>
      <c r="AD31" s="163"/>
      <c r="AE31" s="163"/>
      <c r="AF31" s="163"/>
      <c r="AG31" s="163"/>
      <c r="AH31" s="163"/>
      <c r="AI31" s="163"/>
      <c r="AJ31" s="163"/>
      <c r="AK31" s="163"/>
      <c r="AL31" s="163"/>
      <c r="AM31" s="163"/>
      <c r="AN31" s="163"/>
      <c r="AO31" s="163"/>
      <c r="AP31" s="163"/>
      <c r="AQ31" s="163"/>
      <c r="AR31" s="163"/>
      <c r="AS31" s="163"/>
      <c r="AT31" s="163"/>
      <c r="AU31" s="163"/>
      <c r="AV31" s="163"/>
      <c r="AW31" s="163"/>
      <c r="AX31" s="163"/>
      <c r="AY31" s="163"/>
      <c r="AZ31" s="163"/>
      <c r="BA31" s="164"/>
      <c r="BK31" s="157"/>
    </row>
    <row r="32" spans="1:63" ht="15" customHeight="1" x14ac:dyDescent="0.25">
      <c r="A32" s="156"/>
      <c r="K32" s="161"/>
      <c r="L32" s="163"/>
      <c r="M32" s="163"/>
      <c r="N32" s="163"/>
      <c r="O32" s="163"/>
      <c r="P32" s="163"/>
      <c r="Q32" s="163"/>
      <c r="R32" s="163"/>
      <c r="S32" s="163"/>
      <c r="T32" s="163"/>
      <c r="U32" s="163"/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3"/>
      <c r="AS32" s="163"/>
      <c r="AT32" s="163"/>
      <c r="AU32" s="163"/>
      <c r="AV32" s="163"/>
      <c r="AW32" s="163"/>
      <c r="AX32" s="163"/>
      <c r="AY32" s="163"/>
      <c r="AZ32" s="163"/>
      <c r="BA32" s="164"/>
      <c r="BK32" s="157"/>
    </row>
    <row r="33" spans="1:63" ht="15" customHeight="1" x14ac:dyDescent="0.25">
      <c r="A33" s="156"/>
      <c r="K33" s="161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3"/>
      <c r="AR33" s="163"/>
      <c r="AS33" s="163"/>
      <c r="AT33" s="163"/>
      <c r="AU33" s="163"/>
      <c r="AV33" s="163"/>
      <c r="AW33" s="163"/>
      <c r="AX33" s="163"/>
      <c r="AY33" s="163"/>
      <c r="AZ33" s="163"/>
      <c r="BA33" s="164"/>
      <c r="BK33" s="157"/>
    </row>
    <row r="34" spans="1:63" ht="15" customHeight="1" x14ac:dyDescent="0.25">
      <c r="A34" s="156"/>
      <c r="K34" s="161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3"/>
      <c r="AS34" s="163"/>
      <c r="AT34" s="163"/>
      <c r="AU34" s="163"/>
      <c r="AV34" s="163"/>
      <c r="AW34" s="163"/>
      <c r="AX34" s="163"/>
      <c r="AY34" s="163"/>
      <c r="AZ34" s="163"/>
      <c r="BA34" s="164"/>
      <c r="BK34" s="157"/>
    </row>
    <row r="35" spans="1:63" ht="15" customHeight="1" x14ac:dyDescent="0.25">
      <c r="A35" s="156"/>
      <c r="K35" s="161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  <c r="AG35" s="163"/>
      <c r="AH35" s="163"/>
      <c r="AI35" s="163"/>
      <c r="AJ35" s="163"/>
      <c r="AK35" s="163"/>
      <c r="AL35" s="163"/>
      <c r="AM35" s="163"/>
      <c r="AN35" s="163"/>
      <c r="AO35" s="163"/>
      <c r="AP35" s="163"/>
      <c r="AQ35" s="163"/>
      <c r="AR35" s="163"/>
      <c r="AS35" s="163"/>
      <c r="AT35" s="163"/>
      <c r="AU35" s="163"/>
      <c r="AV35" s="163"/>
      <c r="AW35" s="163"/>
      <c r="AX35" s="163"/>
      <c r="AY35" s="163"/>
      <c r="AZ35" s="163"/>
      <c r="BA35" s="164"/>
      <c r="BK35" s="157"/>
    </row>
    <row r="36" spans="1:63" ht="15" customHeight="1" x14ac:dyDescent="0.25">
      <c r="A36" s="156"/>
      <c r="K36" s="161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3"/>
      <c r="AU36" s="163"/>
      <c r="AV36" s="163"/>
      <c r="AW36" s="163"/>
      <c r="AX36" s="163"/>
      <c r="AY36" s="163"/>
      <c r="AZ36" s="163"/>
      <c r="BA36" s="164"/>
      <c r="BK36" s="157"/>
    </row>
    <row r="37" spans="1:63" ht="15" customHeight="1" thickBot="1" x14ac:dyDescent="0.3">
      <c r="A37" s="156"/>
      <c r="K37" s="167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9"/>
      <c r="BK37" s="157"/>
    </row>
    <row r="38" spans="1:63" ht="15" customHeight="1" thickTop="1" x14ac:dyDescent="0.25">
      <c r="A38" s="156"/>
      <c r="BK38" s="157"/>
    </row>
    <row r="39" spans="1:63" ht="15" customHeight="1" x14ac:dyDescent="0.25">
      <c r="A39" s="156"/>
      <c r="BK39" s="157"/>
    </row>
    <row r="40" spans="1:63" ht="15" customHeight="1" x14ac:dyDescent="0.25">
      <c r="A40" s="156"/>
      <c r="BK40" s="157"/>
    </row>
    <row r="41" spans="1:63" ht="15" customHeight="1" x14ac:dyDescent="0.25">
      <c r="A41" s="156"/>
      <c r="BK41" s="157"/>
    </row>
    <row r="42" spans="1:63" ht="15" customHeight="1" x14ac:dyDescent="0.25">
      <c r="A42" s="156"/>
      <c r="BK42" s="157"/>
    </row>
    <row r="43" spans="1:63" ht="15" customHeight="1" x14ac:dyDescent="0.25">
      <c r="A43" s="156"/>
      <c r="BK43" s="157"/>
    </row>
    <row r="44" spans="1:63" ht="15" customHeight="1" x14ac:dyDescent="0.25">
      <c r="A44" s="156"/>
      <c r="Q44" s="170" t="s">
        <v>60</v>
      </c>
      <c r="R44" s="171"/>
      <c r="S44" s="171"/>
      <c r="T44" s="171"/>
      <c r="U44" s="171"/>
      <c r="V44" s="171"/>
      <c r="W44" s="171"/>
      <c r="X44" s="171"/>
      <c r="Y44" s="171"/>
      <c r="Z44" s="172"/>
      <c r="AA44" s="170" t="s">
        <v>61</v>
      </c>
      <c r="AB44" s="171"/>
      <c r="AC44" s="171"/>
      <c r="AD44" s="171"/>
      <c r="AE44" s="171"/>
      <c r="AF44" s="171"/>
      <c r="AG44" s="171"/>
      <c r="AH44" s="171"/>
      <c r="AI44" s="171"/>
      <c r="AJ44" s="171"/>
      <c r="AK44" s="171"/>
      <c r="AL44" s="171"/>
      <c r="AM44" s="171"/>
      <c r="AN44" s="171"/>
      <c r="AO44" s="171"/>
      <c r="AP44" s="172"/>
      <c r="AQ44" s="170" t="s">
        <v>54</v>
      </c>
      <c r="AR44" s="171"/>
      <c r="AS44" s="171"/>
      <c r="AT44" s="171"/>
      <c r="AU44" s="172"/>
      <c r="BK44" s="157"/>
    </row>
    <row r="45" spans="1:63" ht="15" customHeight="1" x14ac:dyDescent="0.25">
      <c r="A45" s="156"/>
      <c r="Q45" s="173"/>
      <c r="R45" s="174"/>
      <c r="S45" s="174"/>
      <c r="T45" s="174"/>
      <c r="U45" s="174"/>
      <c r="V45" s="174"/>
      <c r="W45" s="174"/>
      <c r="X45" s="174"/>
      <c r="Y45" s="174"/>
      <c r="Z45" s="175"/>
      <c r="AA45" s="173"/>
      <c r="AB45" s="174"/>
      <c r="AC45" s="174"/>
      <c r="AD45" s="174"/>
      <c r="AE45" s="174"/>
      <c r="AF45" s="174"/>
      <c r="AG45" s="174"/>
      <c r="AH45" s="174"/>
      <c r="AI45" s="174"/>
      <c r="AJ45" s="174"/>
      <c r="AK45" s="174"/>
      <c r="AL45" s="174"/>
      <c r="AM45" s="174"/>
      <c r="AN45" s="174"/>
      <c r="AO45" s="174"/>
      <c r="AP45" s="175"/>
      <c r="AQ45" s="173"/>
      <c r="AR45" s="174"/>
      <c r="AS45" s="174"/>
      <c r="AT45" s="174"/>
      <c r="AU45" s="175"/>
      <c r="BK45" s="157"/>
    </row>
    <row r="46" spans="1:63" ht="15" customHeight="1" x14ac:dyDescent="0.25">
      <c r="A46" s="156"/>
      <c r="Q46" s="128"/>
      <c r="R46" s="126"/>
      <c r="S46" s="126"/>
      <c r="T46" s="126"/>
      <c r="U46" s="126"/>
      <c r="V46" s="126"/>
      <c r="W46" s="126"/>
      <c r="X46" s="126"/>
      <c r="Y46" s="126"/>
      <c r="Z46" s="127"/>
      <c r="AA46" s="128"/>
      <c r="AB46" s="126"/>
      <c r="AC46" s="126"/>
      <c r="AD46" s="126"/>
      <c r="AE46" s="126"/>
      <c r="AF46" s="126"/>
      <c r="AG46" s="126"/>
      <c r="AH46" s="126"/>
      <c r="AI46" s="126"/>
      <c r="AJ46" s="126"/>
      <c r="AK46" s="126"/>
      <c r="AL46" s="126"/>
      <c r="AM46" s="126"/>
      <c r="AN46" s="126"/>
      <c r="AO46" s="126"/>
      <c r="AP46" s="127"/>
      <c r="AQ46" s="128"/>
      <c r="AR46" s="126"/>
      <c r="AS46" s="126"/>
      <c r="AT46" s="126"/>
      <c r="AU46" s="127"/>
      <c r="BK46" s="157"/>
    </row>
    <row r="47" spans="1:63" ht="15" customHeight="1" x14ac:dyDescent="0.25">
      <c r="A47" s="156"/>
      <c r="Q47" s="176"/>
      <c r="R47" s="177"/>
      <c r="S47" s="177"/>
      <c r="T47" s="177"/>
      <c r="U47" s="177"/>
      <c r="V47" s="177"/>
      <c r="W47" s="177"/>
      <c r="X47" s="177"/>
      <c r="Y47" s="177"/>
      <c r="Z47" s="178"/>
      <c r="AA47" s="176"/>
      <c r="AB47" s="177"/>
      <c r="AC47" s="177"/>
      <c r="AD47" s="177"/>
      <c r="AE47" s="177"/>
      <c r="AF47" s="177"/>
      <c r="AG47" s="177"/>
      <c r="AH47" s="177"/>
      <c r="AI47" s="177"/>
      <c r="AJ47" s="177"/>
      <c r="AK47" s="177"/>
      <c r="AL47" s="177"/>
      <c r="AM47" s="177"/>
      <c r="AN47" s="177"/>
      <c r="AO47" s="177"/>
      <c r="AP47" s="178"/>
      <c r="AQ47" s="176"/>
      <c r="AR47" s="177"/>
      <c r="AS47" s="177"/>
      <c r="AT47" s="177"/>
      <c r="AU47" s="178"/>
      <c r="BK47" s="157"/>
    </row>
    <row r="48" spans="1:63" ht="15" customHeight="1" x14ac:dyDescent="0.25">
      <c r="A48" s="156"/>
      <c r="Q48" s="176"/>
      <c r="R48" s="177"/>
      <c r="S48" s="177"/>
      <c r="T48" s="177"/>
      <c r="U48" s="177"/>
      <c r="V48" s="177"/>
      <c r="W48" s="177"/>
      <c r="X48" s="177"/>
      <c r="Y48" s="177"/>
      <c r="Z48" s="178"/>
      <c r="AA48" s="176"/>
      <c r="AB48" s="177"/>
      <c r="AC48" s="177"/>
      <c r="AD48" s="177"/>
      <c r="AE48" s="177"/>
      <c r="AF48" s="177"/>
      <c r="AG48" s="177"/>
      <c r="AH48" s="177"/>
      <c r="AI48" s="177"/>
      <c r="AJ48" s="177"/>
      <c r="AK48" s="177"/>
      <c r="AL48" s="177"/>
      <c r="AM48" s="177"/>
      <c r="AN48" s="177"/>
      <c r="AO48" s="177"/>
      <c r="AP48" s="178"/>
      <c r="AQ48" s="176"/>
      <c r="AR48" s="177"/>
      <c r="AS48" s="177"/>
      <c r="AT48" s="177"/>
      <c r="AU48" s="178"/>
      <c r="BK48" s="157"/>
    </row>
    <row r="49" spans="1:63" ht="15" customHeight="1" x14ac:dyDescent="0.25">
      <c r="A49" s="156"/>
      <c r="Q49" s="138"/>
      <c r="R49" s="139"/>
      <c r="S49" s="139"/>
      <c r="T49" s="139"/>
      <c r="U49" s="139"/>
      <c r="V49" s="139"/>
      <c r="W49" s="139"/>
      <c r="X49" s="139"/>
      <c r="Y49" s="139"/>
      <c r="Z49" s="140"/>
      <c r="AA49" s="138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139"/>
      <c r="AN49" s="139"/>
      <c r="AO49" s="139"/>
      <c r="AP49" s="140"/>
      <c r="AQ49" s="138"/>
      <c r="AR49" s="139"/>
      <c r="AS49" s="139"/>
      <c r="AT49" s="139"/>
      <c r="AU49" s="140"/>
      <c r="BK49" s="157"/>
    </row>
    <row r="50" spans="1:63" ht="15" customHeight="1" x14ac:dyDescent="0.25">
      <c r="A50" s="156"/>
      <c r="BK50" s="157"/>
    </row>
    <row r="51" spans="1:63" ht="15" customHeight="1" x14ac:dyDescent="0.25">
      <c r="A51" s="156"/>
      <c r="BK51" s="157"/>
    </row>
    <row r="52" spans="1:63" ht="15" customHeight="1" x14ac:dyDescent="0.25">
      <c r="A52" s="156"/>
      <c r="BK52" s="157"/>
    </row>
    <row r="53" spans="1:63" ht="15" customHeight="1" x14ac:dyDescent="0.25">
      <c r="A53" s="156"/>
      <c r="BK53" s="157"/>
    </row>
    <row r="54" spans="1:63" ht="15" customHeight="1" x14ac:dyDescent="0.25">
      <c r="A54" s="156"/>
      <c r="BK54" s="157"/>
    </row>
    <row r="55" spans="1:63" ht="15" customHeight="1" x14ac:dyDescent="0.25">
      <c r="A55" s="153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  <c r="AG55" s="154"/>
      <c r="AH55" s="154"/>
      <c r="AI55" s="154"/>
      <c r="AJ55" s="154"/>
      <c r="AK55" s="154"/>
      <c r="AL55" s="154"/>
      <c r="AM55" s="154"/>
      <c r="AN55" s="154"/>
      <c r="AO55" s="154"/>
      <c r="AP55" s="154"/>
      <c r="AQ55" s="154"/>
      <c r="AR55" s="154"/>
      <c r="AS55" s="154"/>
      <c r="AT55" s="154"/>
      <c r="AU55" s="154"/>
      <c r="AV55" s="154"/>
      <c r="AW55" s="154"/>
      <c r="AX55" s="154"/>
      <c r="AY55" s="154"/>
      <c r="AZ55" s="154"/>
      <c r="BA55" s="154"/>
      <c r="BB55" s="154"/>
      <c r="BC55" s="154"/>
      <c r="BD55" s="154"/>
      <c r="BE55" s="154"/>
      <c r="BF55" s="154"/>
      <c r="BG55" s="154"/>
      <c r="BH55" s="154"/>
      <c r="BI55" s="154"/>
      <c r="BJ55" s="154"/>
      <c r="BK55" s="15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25" customWidth="1"/>
    <col min="61" max="16384" width="2.77734375" style="125"/>
  </cols>
  <sheetData>
    <row r="1" spans="1:63" ht="24.95" customHeight="1" x14ac:dyDescent="0.25">
      <c r="A1" s="119" t="s">
        <v>47</v>
      </c>
      <c r="B1" s="120"/>
      <c r="C1" s="120"/>
      <c r="D1" s="120"/>
      <c r="E1" s="120"/>
      <c r="F1" s="120"/>
      <c r="G1" s="120"/>
      <c r="H1" s="120"/>
      <c r="I1" s="120"/>
      <c r="J1" s="121"/>
      <c r="K1" s="119" t="s">
        <v>48</v>
      </c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1"/>
      <c r="W1" s="179" t="str">
        <f>IF(表紙!W1="","",表紙!W1)</f>
        <v>詳細設計書</v>
      </c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4"/>
      <c r="AP1" s="119" t="s">
        <v>50</v>
      </c>
      <c r="AQ1" s="120"/>
      <c r="AR1" s="120"/>
      <c r="AS1" s="121"/>
      <c r="AT1" s="119" t="s">
        <v>51</v>
      </c>
      <c r="AU1" s="120"/>
      <c r="AV1" s="120"/>
      <c r="AW1" s="120"/>
      <c r="AX1" s="121"/>
      <c r="AY1" s="119" t="s">
        <v>52</v>
      </c>
      <c r="AZ1" s="120"/>
      <c r="BA1" s="120"/>
      <c r="BB1" s="121"/>
      <c r="BC1" s="119" t="s">
        <v>53</v>
      </c>
      <c r="BD1" s="120"/>
      <c r="BE1" s="120"/>
      <c r="BF1" s="120"/>
      <c r="BG1" s="121"/>
      <c r="BH1" s="119" t="s">
        <v>54</v>
      </c>
      <c r="BI1" s="120"/>
      <c r="BJ1" s="120"/>
      <c r="BK1" s="121"/>
    </row>
    <row r="2" spans="1:63" ht="15" customHeight="1" x14ac:dyDescent="0.25">
      <c r="A2" s="128" t="str">
        <f>IF(表紙!A2="","",表紙!A2)</f>
        <v>POSサーバー</v>
      </c>
      <c r="B2" s="126"/>
      <c r="C2" s="126"/>
      <c r="D2" s="126"/>
      <c r="E2" s="126"/>
      <c r="F2" s="126"/>
      <c r="G2" s="126"/>
      <c r="H2" s="126"/>
      <c r="I2" s="126"/>
      <c r="J2" s="127"/>
      <c r="K2" s="128" t="str">
        <f>IF(表紙!K2="","",表紙!K2)</f>
        <v>POSサーバ</v>
      </c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7"/>
      <c r="W2" s="129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1"/>
      <c r="AP2" s="128" t="str">
        <f>IF(表紙!AP2="","",表紙!AP2)</f>
        <v>TuyenNH</v>
      </c>
      <c r="AQ2" s="126"/>
      <c r="AR2" s="126"/>
      <c r="AS2" s="127"/>
      <c r="AT2" s="132">
        <f>IF(表紙!AT2="","",表紙!AT2)</f>
        <v>45517</v>
      </c>
      <c r="AU2" s="133"/>
      <c r="AV2" s="133"/>
      <c r="AW2" s="133"/>
      <c r="AX2" s="134"/>
      <c r="AY2" s="128" t="str">
        <f>IF(表紙!AY2="","",表紙!AY2)</f>
        <v>TuyenNH</v>
      </c>
      <c r="AZ2" s="126"/>
      <c r="BA2" s="126"/>
      <c r="BB2" s="127"/>
      <c r="BC2" s="132">
        <f>IF(表紙!BC2="","",表紙!BC2)</f>
        <v>45517</v>
      </c>
      <c r="BD2" s="133"/>
      <c r="BE2" s="133"/>
      <c r="BF2" s="133"/>
      <c r="BG2" s="134"/>
      <c r="BH2" s="128">
        <f>IF(表紙!BH2="","",表紙!BH2)</f>
        <v>0.1</v>
      </c>
      <c r="BI2" s="126"/>
      <c r="BJ2" s="126"/>
      <c r="BK2" s="12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141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3"/>
      <c r="AP3" s="138"/>
      <c r="AQ3" s="139"/>
      <c r="AR3" s="139"/>
      <c r="AS3" s="140"/>
      <c r="AT3" s="144"/>
      <c r="AU3" s="145"/>
      <c r="AV3" s="145"/>
      <c r="AW3" s="145"/>
      <c r="AX3" s="146"/>
      <c r="AY3" s="138"/>
      <c r="AZ3" s="139"/>
      <c r="BA3" s="139"/>
      <c r="BB3" s="140"/>
      <c r="BC3" s="144"/>
      <c r="BD3" s="145"/>
      <c r="BE3" s="145"/>
      <c r="BF3" s="145"/>
      <c r="BG3" s="146"/>
      <c r="BH3" s="138"/>
      <c r="BI3" s="139"/>
      <c r="BJ3" s="139"/>
      <c r="BK3" s="140"/>
    </row>
    <row r="4" spans="1:63" ht="24.95" customHeight="1" x14ac:dyDescent="0.25">
      <c r="A4" s="119" t="s">
        <v>62</v>
      </c>
      <c r="B4" s="120"/>
      <c r="C4" s="120"/>
      <c r="D4" s="120"/>
      <c r="E4" s="120"/>
      <c r="F4" s="120"/>
      <c r="G4" s="121"/>
      <c r="H4" s="150" t="str">
        <f>IF(表紙!H4="","",表紙!H4)</f>
        <v>AP0202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2"/>
      <c r="U4" s="119" t="s">
        <v>57</v>
      </c>
      <c r="V4" s="120"/>
      <c r="W4" s="120"/>
      <c r="X4" s="120"/>
      <c r="Y4" s="121"/>
      <c r="Z4" s="150" t="str">
        <f>IF(表紙!Z4="","",表紙!Z4)</f>
        <v>API設計書</v>
      </c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50" t="str">
        <f t="array" aca="1" ref="AP4" ca="1">RIGHT(CELL("filename",$A$1),LEN(CELL("filename",$A$1))-FIND("]",CELL("filename",$A$1)))</f>
        <v>改訂履歴</v>
      </c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2"/>
    </row>
    <row r="5" spans="1:63" ht="5.0999999999999996" customHeight="1" x14ac:dyDescent="0.25">
      <c r="A5" s="153"/>
      <c r="B5" s="154"/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4"/>
      <c r="AN5" s="154"/>
      <c r="AO5" s="154"/>
      <c r="AP5" s="154"/>
      <c r="AQ5" s="154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4"/>
      <c r="BD5" s="154"/>
      <c r="BE5" s="154"/>
      <c r="BF5" s="154"/>
      <c r="BG5" s="154"/>
      <c r="BH5" s="154"/>
      <c r="BI5" s="154"/>
      <c r="BJ5" s="154"/>
      <c r="BK5" s="155"/>
    </row>
    <row r="6" spans="1:63" ht="15" customHeight="1" x14ac:dyDescent="0.25">
      <c r="A6" s="156"/>
      <c r="BK6" s="157"/>
    </row>
    <row r="7" spans="1:63" ht="15" customHeight="1" x14ac:dyDescent="0.25">
      <c r="A7" s="156"/>
      <c r="BK7" s="157"/>
    </row>
    <row r="8" spans="1:63" ht="15" customHeight="1" x14ac:dyDescent="0.25">
      <c r="A8" s="156"/>
      <c r="B8" s="125" t="s">
        <v>0</v>
      </c>
      <c r="BK8" s="157"/>
    </row>
    <row r="9" spans="1:63" ht="15" customHeight="1" x14ac:dyDescent="0.25">
      <c r="A9" s="156"/>
      <c r="BK9" s="157"/>
    </row>
    <row r="10" spans="1:63" ht="15" customHeight="1" x14ac:dyDescent="0.25">
      <c r="A10" s="156"/>
      <c r="B10" s="180" t="s">
        <v>53</v>
      </c>
      <c r="C10" s="180"/>
      <c r="D10" s="180"/>
      <c r="E10" s="180"/>
      <c r="F10" s="180"/>
      <c r="G10" s="180"/>
      <c r="H10" s="180" t="s">
        <v>52</v>
      </c>
      <c r="I10" s="180"/>
      <c r="J10" s="180"/>
      <c r="K10" s="180"/>
      <c r="L10" s="180"/>
      <c r="M10" s="180"/>
      <c r="N10" s="180"/>
      <c r="O10" s="180" t="s">
        <v>54</v>
      </c>
      <c r="P10" s="180"/>
      <c r="Q10" s="180"/>
      <c r="R10" s="180"/>
      <c r="S10" s="180" t="s">
        <v>63</v>
      </c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180"/>
      <c r="AU10" s="180"/>
      <c r="AV10" s="180"/>
      <c r="AW10" s="180"/>
      <c r="AX10" s="180" t="s">
        <v>60</v>
      </c>
      <c r="AY10" s="180"/>
      <c r="AZ10" s="180"/>
      <c r="BA10" s="180"/>
      <c r="BB10" s="180"/>
      <c r="BC10" s="180"/>
      <c r="BD10" s="180" t="s">
        <v>61</v>
      </c>
      <c r="BE10" s="180"/>
      <c r="BF10" s="180"/>
      <c r="BG10" s="180"/>
      <c r="BH10" s="180"/>
      <c r="BI10" s="180"/>
      <c r="BJ10" s="180"/>
      <c r="BK10" s="157"/>
    </row>
    <row r="11" spans="1:63" ht="15" customHeight="1" x14ac:dyDescent="0.25">
      <c r="A11" s="156"/>
      <c r="B11" s="132">
        <v>45517</v>
      </c>
      <c r="C11" s="126"/>
      <c r="D11" s="126"/>
      <c r="E11" s="126"/>
      <c r="F11" s="126"/>
      <c r="G11" s="127"/>
      <c r="H11" s="45" t="s">
        <v>64</v>
      </c>
      <c r="I11" s="126"/>
      <c r="J11" s="126"/>
      <c r="K11" s="126"/>
      <c r="L11" s="126"/>
      <c r="M11" s="126"/>
      <c r="N11" s="127"/>
      <c r="O11" s="128">
        <v>0.1</v>
      </c>
      <c r="P11" s="126"/>
      <c r="Q11" s="126"/>
      <c r="R11" s="126"/>
      <c r="S11" s="181" t="s">
        <v>2</v>
      </c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2"/>
      <c r="AJ11" s="182"/>
      <c r="AK11" s="182"/>
      <c r="AL11" s="182"/>
      <c r="AM11" s="182"/>
      <c r="AN11" s="182"/>
      <c r="AO11" s="182"/>
      <c r="AP11" s="182"/>
      <c r="AQ11" s="182"/>
      <c r="AR11" s="182"/>
      <c r="AS11" s="182"/>
      <c r="AT11" s="182"/>
      <c r="AU11" s="182"/>
      <c r="AV11" s="182"/>
      <c r="AW11" s="183"/>
      <c r="AX11" s="184"/>
      <c r="AY11" s="184"/>
      <c r="AZ11" s="184"/>
      <c r="BA11" s="184"/>
      <c r="BB11" s="184"/>
      <c r="BC11" s="185"/>
      <c r="BD11" s="186"/>
      <c r="BE11" s="184"/>
      <c r="BF11" s="184"/>
      <c r="BG11" s="184"/>
      <c r="BH11" s="184"/>
      <c r="BI11" s="184"/>
      <c r="BJ11" s="185"/>
      <c r="BK11" s="157"/>
    </row>
    <row r="12" spans="1:63" ht="15" customHeight="1" x14ac:dyDescent="0.25">
      <c r="A12" s="156"/>
      <c r="B12" s="138"/>
      <c r="C12" s="139"/>
      <c r="D12" s="139"/>
      <c r="E12" s="139"/>
      <c r="F12" s="139"/>
      <c r="G12" s="140"/>
      <c r="H12" s="138"/>
      <c r="I12" s="139"/>
      <c r="J12" s="139"/>
      <c r="K12" s="139"/>
      <c r="L12" s="139"/>
      <c r="M12" s="139"/>
      <c r="N12" s="140"/>
      <c r="O12" s="138"/>
      <c r="P12" s="139"/>
      <c r="Q12" s="139"/>
      <c r="R12" s="139"/>
      <c r="S12" s="187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9"/>
      <c r="AX12" s="190"/>
      <c r="AY12" s="190"/>
      <c r="AZ12" s="190"/>
      <c r="BA12" s="190"/>
      <c r="BB12" s="190"/>
      <c r="BC12" s="191"/>
      <c r="BD12" s="192"/>
      <c r="BE12" s="190"/>
      <c r="BF12" s="190"/>
      <c r="BG12" s="190"/>
      <c r="BH12" s="190"/>
      <c r="BI12" s="190"/>
      <c r="BJ12" s="191"/>
      <c r="BK12" s="157"/>
    </row>
    <row r="13" spans="1:63" ht="15" customHeight="1" x14ac:dyDescent="0.25">
      <c r="A13" s="156"/>
      <c r="B13" s="49"/>
      <c r="C13" s="50"/>
      <c r="D13" s="50"/>
      <c r="E13" s="50"/>
      <c r="F13" s="50"/>
      <c r="G13" s="51"/>
      <c r="H13" s="55"/>
      <c r="I13" s="50"/>
      <c r="J13" s="50"/>
      <c r="K13" s="50"/>
      <c r="L13" s="50"/>
      <c r="M13" s="50"/>
      <c r="N13" s="51"/>
      <c r="O13" s="55"/>
      <c r="P13" s="50"/>
      <c r="Q13" s="50"/>
      <c r="R13" s="50"/>
      <c r="S13" s="56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8"/>
      <c r="AX13" s="184"/>
      <c r="AY13" s="184"/>
      <c r="AZ13" s="184"/>
      <c r="BA13" s="184"/>
      <c r="BB13" s="184"/>
      <c r="BC13" s="185"/>
      <c r="BD13" s="186"/>
      <c r="BE13" s="184"/>
      <c r="BF13" s="184"/>
      <c r="BG13" s="184"/>
      <c r="BH13" s="184"/>
      <c r="BI13" s="184"/>
      <c r="BJ13" s="185"/>
      <c r="BK13" s="157"/>
    </row>
    <row r="14" spans="1:63" ht="15" customHeight="1" x14ac:dyDescent="0.25">
      <c r="A14" s="156"/>
      <c r="B14" s="52"/>
      <c r="C14" s="53"/>
      <c r="D14" s="53"/>
      <c r="E14" s="53"/>
      <c r="F14" s="53"/>
      <c r="G14" s="54"/>
      <c r="H14" s="52"/>
      <c r="I14" s="53"/>
      <c r="J14" s="53"/>
      <c r="K14" s="53"/>
      <c r="L14" s="53"/>
      <c r="M14" s="53"/>
      <c r="N14" s="54"/>
      <c r="O14" s="52"/>
      <c r="P14" s="53"/>
      <c r="Q14" s="53"/>
      <c r="R14" s="53"/>
      <c r="S14" s="46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8"/>
      <c r="AX14" s="190"/>
      <c r="AY14" s="190"/>
      <c r="AZ14" s="190"/>
      <c r="BA14" s="190"/>
      <c r="BB14" s="190"/>
      <c r="BC14" s="191"/>
      <c r="BD14" s="192"/>
      <c r="BE14" s="190"/>
      <c r="BF14" s="190"/>
      <c r="BG14" s="190"/>
      <c r="BH14" s="190"/>
      <c r="BI14" s="190"/>
      <c r="BJ14" s="191"/>
      <c r="BK14" s="157"/>
    </row>
    <row r="15" spans="1:63" ht="15" customHeight="1" x14ac:dyDescent="0.25">
      <c r="A15" s="156"/>
      <c r="B15" s="128"/>
      <c r="C15" s="126"/>
      <c r="D15" s="126"/>
      <c r="E15" s="126"/>
      <c r="F15" s="126"/>
      <c r="G15" s="127"/>
      <c r="H15" s="128"/>
      <c r="I15" s="126"/>
      <c r="J15" s="126"/>
      <c r="K15" s="126"/>
      <c r="L15" s="126"/>
      <c r="M15" s="126"/>
      <c r="N15" s="127"/>
      <c r="O15" s="128"/>
      <c r="P15" s="126"/>
      <c r="Q15" s="126"/>
      <c r="R15" s="126"/>
      <c r="S15" s="181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2"/>
      <c r="AU15" s="182"/>
      <c r="AV15" s="182"/>
      <c r="AW15" s="183"/>
      <c r="AX15" s="184"/>
      <c r="AY15" s="184"/>
      <c r="AZ15" s="184"/>
      <c r="BA15" s="184"/>
      <c r="BB15" s="184"/>
      <c r="BC15" s="185"/>
      <c r="BD15" s="186"/>
      <c r="BE15" s="184"/>
      <c r="BF15" s="184"/>
      <c r="BG15" s="184"/>
      <c r="BH15" s="184"/>
      <c r="BI15" s="184"/>
      <c r="BJ15" s="185"/>
      <c r="BK15" s="157"/>
    </row>
    <row r="16" spans="1:63" ht="15" customHeight="1" x14ac:dyDescent="0.25">
      <c r="A16" s="156"/>
      <c r="B16" s="138"/>
      <c r="C16" s="139"/>
      <c r="D16" s="139"/>
      <c r="E16" s="139"/>
      <c r="F16" s="139"/>
      <c r="G16" s="140"/>
      <c r="H16" s="138"/>
      <c r="I16" s="139"/>
      <c r="J16" s="139"/>
      <c r="K16" s="139"/>
      <c r="L16" s="139"/>
      <c r="M16" s="139"/>
      <c r="N16" s="140"/>
      <c r="O16" s="138"/>
      <c r="P16" s="139"/>
      <c r="Q16" s="139"/>
      <c r="R16" s="139"/>
      <c r="S16" s="187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9"/>
      <c r="AX16" s="190"/>
      <c r="AY16" s="190"/>
      <c r="AZ16" s="190"/>
      <c r="BA16" s="190"/>
      <c r="BB16" s="190"/>
      <c r="BC16" s="191"/>
      <c r="BD16" s="192"/>
      <c r="BE16" s="190"/>
      <c r="BF16" s="190"/>
      <c r="BG16" s="190"/>
      <c r="BH16" s="190"/>
      <c r="BI16" s="190"/>
      <c r="BJ16" s="191"/>
      <c r="BK16" s="157"/>
    </row>
    <row r="17" spans="1:63" ht="15" customHeight="1" x14ac:dyDescent="0.25">
      <c r="A17" s="156"/>
      <c r="B17" s="128"/>
      <c r="C17" s="126"/>
      <c r="D17" s="126"/>
      <c r="E17" s="126"/>
      <c r="F17" s="126"/>
      <c r="G17" s="127"/>
      <c r="H17" s="128"/>
      <c r="I17" s="126"/>
      <c r="J17" s="126"/>
      <c r="K17" s="126"/>
      <c r="L17" s="126"/>
      <c r="M17" s="126"/>
      <c r="N17" s="127"/>
      <c r="O17" s="128"/>
      <c r="P17" s="126"/>
      <c r="Q17" s="126"/>
      <c r="R17" s="126"/>
      <c r="S17" s="181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2"/>
      <c r="AJ17" s="182"/>
      <c r="AK17" s="182"/>
      <c r="AL17" s="182"/>
      <c r="AM17" s="182"/>
      <c r="AN17" s="182"/>
      <c r="AO17" s="182"/>
      <c r="AP17" s="182"/>
      <c r="AQ17" s="182"/>
      <c r="AR17" s="182"/>
      <c r="AS17" s="182"/>
      <c r="AT17" s="182"/>
      <c r="AU17" s="182"/>
      <c r="AV17" s="182"/>
      <c r="AW17" s="183"/>
      <c r="AX17" s="184"/>
      <c r="AY17" s="184"/>
      <c r="AZ17" s="184"/>
      <c r="BA17" s="184"/>
      <c r="BB17" s="184"/>
      <c r="BC17" s="185"/>
      <c r="BD17" s="186"/>
      <c r="BE17" s="184"/>
      <c r="BF17" s="184"/>
      <c r="BG17" s="184"/>
      <c r="BH17" s="184"/>
      <c r="BI17" s="184"/>
      <c r="BJ17" s="185"/>
      <c r="BK17" s="157"/>
    </row>
    <row r="18" spans="1:63" ht="15" customHeight="1" x14ac:dyDescent="0.25">
      <c r="A18" s="156"/>
      <c r="B18" s="138"/>
      <c r="C18" s="139"/>
      <c r="D18" s="139"/>
      <c r="E18" s="139"/>
      <c r="F18" s="139"/>
      <c r="G18" s="140"/>
      <c r="H18" s="138"/>
      <c r="I18" s="139"/>
      <c r="J18" s="139"/>
      <c r="K18" s="139"/>
      <c r="L18" s="139"/>
      <c r="M18" s="139"/>
      <c r="N18" s="140"/>
      <c r="O18" s="138"/>
      <c r="P18" s="139"/>
      <c r="Q18" s="139"/>
      <c r="R18" s="139"/>
      <c r="S18" s="187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9"/>
      <c r="AX18" s="190"/>
      <c r="AY18" s="190"/>
      <c r="AZ18" s="190"/>
      <c r="BA18" s="190"/>
      <c r="BB18" s="190"/>
      <c r="BC18" s="191"/>
      <c r="BD18" s="192"/>
      <c r="BE18" s="190"/>
      <c r="BF18" s="190"/>
      <c r="BG18" s="190"/>
      <c r="BH18" s="190"/>
      <c r="BI18" s="190"/>
      <c r="BJ18" s="191"/>
      <c r="BK18" s="157"/>
    </row>
    <row r="19" spans="1:63" ht="15" customHeight="1" x14ac:dyDescent="0.25">
      <c r="A19" s="156"/>
      <c r="B19" s="128"/>
      <c r="C19" s="126"/>
      <c r="D19" s="126"/>
      <c r="E19" s="126"/>
      <c r="F19" s="126"/>
      <c r="G19" s="127"/>
      <c r="H19" s="128"/>
      <c r="I19" s="126"/>
      <c r="J19" s="126"/>
      <c r="K19" s="126"/>
      <c r="L19" s="126"/>
      <c r="M19" s="126"/>
      <c r="N19" s="127"/>
      <c r="O19" s="128"/>
      <c r="P19" s="126"/>
      <c r="Q19" s="126"/>
      <c r="R19" s="126"/>
      <c r="S19" s="181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  <c r="AG19" s="182"/>
      <c r="AH19" s="182"/>
      <c r="AI19" s="182"/>
      <c r="AJ19" s="182"/>
      <c r="AK19" s="182"/>
      <c r="AL19" s="182"/>
      <c r="AM19" s="182"/>
      <c r="AN19" s="182"/>
      <c r="AO19" s="182"/>
      <c r="AP19" s="182"/>
      <c r="AQ19" s="182"/>
      <c r="AR19" s="182"/>
      <c r="AS19" s="182"/>
      <c r="AT19" s="182"/>
      <c r="AU19" s="182"/>
      <c r="AV19" s="182"/>
      <c r="AW19" s="183"/>
      <c r="AX19" s="184"/>
      <c r="AY19" s="184"/>
      <c r="AZ19" s="184"/>
      <c r="BA19" s="184"/>
      <c r="BB19" s="184"/>
      <c r="BC19" s="185"/>
      <c r="BD19" s="186"/>
      <c r="BE19" s="184"/>
      <c r="BF19" s="184"/>
      <c r="BG19" s="184"/>
      <c r="BH19" s="184"/>
      <c r="BI19" s="184"/>
      <c r="BJ19" s="185"/>
      <c r="BK19" s="157"/>
    </row>
    <row r="20" spans="1:63" ht="15" customHeight="1" x14ac:dyDescent="0.25">
      <c r="A20" s="156"/>
      <c r="B20" s="138"/>
      <c r="C20" s="139"/>
      <c r="D20" s="139"/>
      <c r="E20" s="139"/>
      <c r="F20" s="139"/>
      <c r="G20" s="140"/>
      <c r="H20" s="138"/>
      <c r="I20" s="139"/>
      <c r="J20" s="139"/>
      <c r="K20" s="139"/>
      <c r="L20" s="139"/>
      <c r="M20" s="139"/>
      <c r="N20" s="140"/>
      <c r="O20" s="138"/>
      <c r="P20" s="139"/>
      <c r="Q20" s="139"/>
      <c r="R20" s="139"/>
      <c r="S20" s="187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9"/>
      <c r="AX20" s="190"/>
      <c r="AY20" s="190"/>
      <c r="AZ20" s="190"/>
      <c r="BA20" s="190"/>
      <c r="BB20" s="190"/>
      <c r="BC20" s="191"/>
      <c r="BD20" s="192"/>
      <c r="BE20" s="190"/>
      <c r="BF20" s="190"/>
      <c r="BG20" s="190"/>
      <c r="BH20" s="190"/>
      <c r="BI20" s="190"/>
      <c r="BJ20" s="191"/>
      <c r="BK20" s="157"/>
    </row>
    <row r="21" spans="1:63" ht="15" customHeight="1" x14ac:dyDescent="0.25">
      <c r="A21" s="156"/>
      <c r="B21" s="128"/>
      <c r="C21" s="126"/>
      <c r="D21" s="126"/>
      <c r="E21" s="126"/>
      <c r="F21" s="126"/>
      <c r="G21" s="127"/>
      <c r="H21" s="128"/>
      <c r="I21" s="126"/>
      <c r="J21" s="126"/>
      <c r="K21" s="126"/>
      <c r="L21" s="126"/>
      <c r="M21" s="126"/>
      <c r="N21" s="127"/>
      <c r="O21" s="128"/>
      <c r="P21" s="126"/>
      <c r="Q21" s="126"/>
      <c r="R21" s="126"/>
      <c r="S21" s="181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  <c r="AG21" s="182"/>
      <c r="AH21" s="182"/>
      <c r="AI21" s="182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2"/>
      <c r="AU21" s="182"/>
      <c r="AV21" s="182"/>
      <c r="AW21" s="183"/>
      <c r="AX21" s="184"/>
      <c r="AY21" s="184"/>
      <c r="AZ21" s="184"/>
      <c r="BA21" s="184"/>
      <c r="BB21" s="184"/>
      <c r="BC21" s="185"/>
      <c r="BD21" s="186"/>
      <c r="BE21" s="184"/>
      <c r="BF21" s="184"/>
      <c r="BG21" s="184"/>
      <c r="BH21" s="184"/>
      <c r="BI21" s="184"/>
      <c r="BJ21" s="185"/>
      <c r="BK21" s="157"/>
    </row>
    <row r="22" spans="1:63" ht="15" customHeight="1" x14ac:dyDescent="0.25">
      <c r="A22" s="156"/>
      <c r="B22" s="138"/>
      <c r="C22" s="139"/>
      <c r="D22" s="139"/>
      <c r="E22" s="139"/>
      <c r="F22" s="139"/>
      <c r="G22" s="140"/>
      <c r="H22" s="138"/>
      <c r="I22" s="139"/>
      <c r="J22" s="139"/>
      <c r="K22" s="139"/>
      <c r="L22" s="139"/>
      <c r="M22" s="139"/>
      <c r="N22" s="140"/>
      <c r="O22" s="138"/>
      <c r="P22" s="139"/>
      <c r="Q22" s="139"/>
      <c r="R22" s="139"/>
      <c r="S22" s="187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9"/>
      <c r="AX22" s="190"/>
      <c r="AY22" s="190"/>
      <c r="AZ22" s="190"/>
      <c r="BA22" s="190"/>
      <c r="BB22" s="190"/>
      <c r="BC22" s="191"/>
      <c r="BD22" s="192"/>
      <c r="BE22" s="190"/>
      <c r="BF22" s="190"/>
      <c r="BG22" s="190"/>
      <c r="BH22" s="190"/>
      <c r="BI22" s="190"/>
      <c r="BJ22" s="191"/>
      <c r="BK22" s="157"/>
    </row>
    <row r="23" spans="1:63" ht="15" customHeight="1" x14ac:dyDescent="0.25">
      <c r="A23" s="156"/>
      <c r="B23" s="128"/>
      <c r="C23" s="126"/>
      <c r="D23" s="126"/>
      <c r="E23" s="126"/>
      <c r="F23" s="126"/>
      <c r="G23" s="127"/>
      <c r="H23" s="128"/>
      <c r="I23" s="126"/>
      <c r="J23" s="126"/>
      <c r="K23" s="126"/>
      <c r="L23" s="126"/>
      <c r="M23" s="126"/>
      <c r="N23" s="127"/>
      <c r="O23" s="128"/>
      <c r="P23" s="126"/>
      <c r="Q23" s="126"/>
      <c r="R23" s="126"/>
      <c r="S23" s="181"/>
      <c r="T23" s="182"/>
      <c r="U23" s="182"/>
      <c r="V23" s="182"/>
      <c r="W23" s="182"/>
      <c r="X23" s="182"/>
      <c r="Y23" s="182"/>
      <c r="Z23" s="182"/>
      <c r="AA23" s="182"/>
      <c r="AB23" s="182"/>
      <c r="AC23" s="182"/>
      <c r="AD23" s="182"/>
      <c r="AE23" s="182"/>
      <c r="AF23" s="182"/>
      <c r="AG23" s="182"/>
      <c r="AH23" s="182"/>
      <c r="AI23" s="182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2"/>
      <c r="AU23" s="182"/>
      <c r="AV23" s="182"/>
      <c r="AW23" s="183"/>
      <c r="AX23" s="184"/>
      <c r="AY23" s="184"/>
      <c r="AZ23" s="184"/>
      <c r="BA23" s="184"/>
      <c r="BB23" s="184"/>
      <c r="BC23" s="185"/>
      <c r="BD23" s="186"/>
      <c r="BE23" s="184"/>
      <c r="BF23" s="184"/>
      <c r="BG23" s="184"/>
      <c r="BH23" s="184"/>
      <c r="BI23" s="184"/>
      <c r="BJ23" s="185"/>
      <c r="BK23" s="157"/>
    </row>
    <row r="24" spans="1:63" ht="15" customHeight="1" x14ac:dyDescent="0.25">
      <c r="A24" s="156"/>
      <c r="B24" s="138"/>
      <c r="C24" s="139"/>
      <c r="D24" s="139"/>
      <c r="E24" s="139"/>
      <c r="F24" s="139"/>
      <c r="G24" s="140"/>
      <c r="H24" s="138"/>
      <c r="I24" s="139"/>
      <c r="J24" s="139"/>
      <c r="K24" s="139"/>
      <c r="L24" s="139"/>
      <c r="M24" s="139"/>
      <c r="N24" s="140"/>
      <c r="O24" s="138"/>
      <c r="P24" s="139"/>
      <c r="Q24" s="139"/>
      <c r="R24" s="139"/>
      <c r="S24" s="187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9"/>
      <c r="AX24" s="190"/>
      <c r="AY24" s="190"/>
      <c r="AZ24" s="190"/>
      <c r="BA24" s="190"/>
      <c r="BB24" s="190"/>
      <c r="BC24" s="191"/>
      <c r="BD24" s="192"/>
      <c r="BE24" s="190"/>
      <c r="BF24" s="190"/>
      <c r="BG24" s="190"/>
      <c r="BH24" s="190"/>
      <c r="BI24" s="190"/>
      <c r="BJ24" s="191"/>
      <c r="BK24" s="157"/>
    </row>
    <row r="25" spans="1:63" ht="15" customHeight="1" x14ac:dyDescent="0.25">
      <c r="A25" s="156"/>
      <c r="B25" s="128"/>
      <c r="C25" s="126"/>
      <c r="D25" s="126"/>
      <c r="E25" s="126"/>
      <c r="F25" s="126"/>
      <c r="G25" s="127"/>
      <c r="H25" s="128"/>
      <c r="I25" s="126"/>
      <c r="J25" s="126"/>
      <c r="K25" s="126"/>
      <c r="L25" s="126"/>
      <c r="M25" s="126"/>
      <c r="N25" s="127"/>
      <c r="O25" s="128"/>
      <c r="P25" s="126"/>
      <c r="Q25" s="126"/>
      <c r="R25" s="126"/>
      <c r="S25" s="181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182"/>
      <c r="AR25" s="182"/>
      <c r="AS25" s="182"/>
      <c r="AT25" s="182"/>
      <c r="AU25" s="182"/>
      <c r="AV25" s="182"/>
      <c r="AW25" s="183"/>
      <c r="AX25" s="184"/>
      <c r="AY25" s="184"/>
      <c r="AZ25" s="184"/>
      <c r="BA25" s="184"/>
      <c r="BB25" s="184"/>
      <c r="BC25" s="185"/>
      <c r="BD25" s="186"/>
      <c r="BE25" s="184"/>
      <c r="BF25" s="184"/>
      <c r="BG25" s="184"/>
      <c r="BH25" s="184"/>
      <c r="BI25" s="184"/>
      <c r="BJ25" s="185"/>
      <c r="BK25" s="157"/>
    </row>
    <row r="26" spans="1:63" ht="15" customHeight="1" x14ac:dyDescent="0.25">
      <c r="A26" s="156"/>
      <c r="B26" s="138"/>
      <c r="C26" s="139"/>
      <c r="D26" s="139"/>
      <c r="E26" s="139"/>
      <c r="F26" s="139"/>
      <c r="G26" s="140"/>
      <c r="H26" s="138"/>
      <c r="I26" s="139"/>
      <c r="J26" s="139"/>
      <c r="K26" s="139"/>
      <c r="L26" s="139"/>
      <c r="M26" s="139"/>
      <c r="N26" s="140"/>
      <c r="O26" s="138"/>
      <c r="P26" s="139"/>
      <c r="Q26" s="139"/>
      <c r="R26" s="139"/>
      <c r="S26" s="187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9"/>
      <c r="AX26" s="190"/>
      <c r="AY26" s="190"/>
      <c r="AZ26" s="190"/>
      <c r="BA26" s="190"/>
      <c r="BB26" s="190"/>
      <c r="BC26" s="191"/>
      <c r="BD26" s="192"/>
      <c r="BE26" s="190"/>
      <c r="BF26" s="190"/>
      <c r="BG26" s="190"/>
      <c r="BH26" s="190"/>
      <c r="BI26" s="190"/>
      <c r="BJ26" s="191"/>
      <c r="BK26" s="157"/>
    </row>
    <row r="27" spans="1:63" ht="15" customHeight="1" x14ac:dyDescent="0.25">
      <c r="A27" s="156"/>
      <c r="B27" s="128"/>
      <c r="C27" s="126"/>
      <c r="D27" s="126"/>
      <c r="E27" s="126"/>
      <c r="F27" s="126"/>
      <c r="G27" s="127"/>
      <c r="H27" s="128"/>
      <c r="I27" s="126"/>
      <c r="J27" s="126"/>
      <c r="K27" s="126"/>
      <c r="L27" s="126"/>
      <c r="M27" s="126"/>
      <c r="N27" s="127"/>
      <c r="O27" s="128"/>
      <c r="P27" s="126"/>
      <c r="Q27" s="126"/>
      <c r="R27" s="126"/>
      <c r="S27" s="181"/>
      <c r="T27" s="182"/>
      <c r="U27" s="182"/>
      <c r="V27" s="182"/>
      <c r="W27" s="182"/>
      <c r="X27" s="182"/>
      <c r="Y27" s="182"/>
      <c r="Z27" s="182"/>
      <c r="AA27" s="182"/>
      <c r="AB27" s="182"/>
      <c r="AC27" s="182"/>
      <c r="AD27" s="182"/>
      <c r="AE27" s="182"/>
      <c r="AF27" s="182"/>
      <c r="AG27" s="182"/>
      <c r="AH27" s="182"/>
      <c r="AI27" s="182"/>
      <c r="AJ27" s="182"/>
      <c r="AK27" s="182"/>
      <c r="AL27" s="182"/>
      <c r="AM27" s="182"/>
      <c r="AN27" s="182"/>
      <c r="AO27" s="182"/>
      <c r="AP27" s="182"/>
      <c r="AQ27" s="182"/>
      <c r="AR27" s="182"/>
      <c r="AS27" s="182"/>
      <c r="AT27" s="182"/>
      <c r="AU27" s="182"/>
      <c r="AV27" s="182"/>
      <c r="AW27" s="183"/>
      <c r="AX27" s="184"/>
      <c r="AY27" s="184"/>
      <c r="AZ27" s="184"/>
      <c r="BA27" s="184"/>
      <c r="BB27" s="184"/>
      <c r="BC27" s="185"/>
      <c r="BD27" s="186"/>
      <c r="BE27" s="184"/>
      <c r="BF27" s="184"/>
      <c r="BG27" s="184"/>
      <c r="BH27" s="184"/>
      <c r="BI27" s="184"/>
      <c r="BJ27" s="185"/>
      <c r="BK27" s="157"/>
    </row>
    <row r="28" spans="1:63" ht="15" customHeight="1" x14ac:dyDescent="0.25">
      <c r="A28" s="156"/>
      <c r="B28" s="138"/>
      <c r="C28" s="139"/>
      <c r="D28" s="139"/>
      <c r="E28" s="139"/>
      <c r="F28" s="139"/>
      <c r="G28" s="140"/>
      <c r="H28" s="138"/>
      <c r="I28" s="139"/>
      <c r="J28" s="139"/>
      <c r="K28" s="139"/>
      <c r="L28" s="139"/>
      <c r="M28" s="139"/>
      <c r="N28" s="140"/>
      <c r="O28" s="138"/>
      <c r="P28" s="139"/>
      <c r="Q28" s="139"/>
      <c r="R28" s="139"/>
      <c r="S28" s="187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9"/>
      <c r="AX28" s="190"/>
      <c r="AY28" s="190"/>
      <c r="AZ28" s="190"/>
      <c r="BA28" s="190"/>
      <c r="BB28" s="190"/>
      <c r="BC28" s="191"/>
      <c r="BD28" s="192"/>
      <c r="BE28" s="190"/>
      <c r="BF28" s="190"/>
      <c r="BG28" s="190"/>
      <c r="BH28" s="190"/>
      <c r="BI28" s="190"/>
      <c r="BJ28" s="191"/>
      <c r="BK28" s="157"/>
    </row>
    <row r="29" spans="1:63" ht="15" customHeight="1" x14ac:dyDescent="0.25">
      <c r="A29" s="156"/>
      <c r="B29" s="128"/>
      <c r="C29" s="126"/>
      <c r="D29" s="126"/>
      <c r="E29" s="126"/>
      <c r="F29" s="126"/>
      <c r="G29" s="127"/>
      <c r="H29" s="128"/>
      <c r="I29" s="126"/>
      <c r="J29" s="126"/>
      <c r="K29" s="126"/>
      <c r="L29" s="126"/>
      <c r="M29" s="126"/>
      <c r="N29" s="127"/>
      <c r="O29" s="128"/>
      <c r="P29" s="126"/>
      <c r="Q29" s="126"/>
      <c r="R29" s="126"/>
      <c r="S29" s="181"/>
      <c r="T29" s="182"/>
      <c r="U29" s="182"/>
      <c r="V29" s="182"/>
      <c r="W29" s="182"/>
      <c r="X29" s="182"/>
      <c r="Y29" s="182"/>
      <c r="Z29" s="182"/>
      <c r="AA29" s="182"/>
      <c r="AB29" s="182"/>
      <c r="AC29" s="182"/>
      <c r="AD29" s="182"/>
      <c r="AE29" s="182"/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2"/>
      <c r="AU29" s="182"/>
      <c r="AV29" s="182"/>
      <c r="AW29" s="183"/>
      <c r="AX29" s="184"/>
      <c r="AY29" s="184"/>
      <c r="AZ29" s="184"/>
      <c r="BA29" s="184"/>
      <c r="BB29" s="184"/>
      <c r="BC29" s="185"/>
      <c r="BD29" s="186"/>
      <c r="BE29" s="184"/>
      <c r="BF29" s="184"/>
      <c r="BG29" s="184"/>
      <c r="BH29" s="184"/>
      <c r="BI29" s="184"/>
      <c r="BJ29" s="185"/>
      <c r="BK29" s="157"/>
    </row>
    <row r="30" spans="1:63" ht="15" customHeight="1" x14ac:dyDescent="0.25">
      <c r="A30" s="156"/>
      <c r="B30" s="138"/>
      <c r="C30" s="139"/>
      <c r="D30" s="139"/>
      <c r="E30" s="139"/>
      <c r="F30" s="139"/>
      <c r="G30" s="140"/>
      <c r="H30" s="138"/>
      <c r="I30" s="139"/>
      <c r="J30" s="139"/>
      <c r="K30" s="139"/>
      <c r="L30" s="139"/>
      <c r="M30" s="139"/>
      <c r="N30" s="140"/>
      <c r="O30" s="138"/>
      <c r="P30" s="139"/>
      <c r="Q30" s="139"/>
      <c r="R30" s="139"/>
      <c r="S30" s="187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9"/>
      <c r="AX30" s="190"/>
      <c r="AY30" s="190"/>
      <c r="AZ30" s="190"/>
      <c r="BA30" s="190"/>
      <c r="BB30" s="190"/>
      <c r="BC30" s="191"/>
      <c r="BD30" s="192"/>
      <c r="BE30" s="190"/>
      <c r="BF30" s="190"/>
      <c r="BG30" s="190"/>
      <c r="BH30" s="190"/>
      <c r="BI30" s="190"/>
      <c r="BJ30" s="191"/>
      <c r="BK30" s="157"/>
    </row>
    <row r="31" spans="1:63" ht="15" customHeight="1" x14ac:dyDescent="0.25">
      <c r="A31" s="156"/>
      <c r="B31" s="128"/>
      <c r="C31" s="126"/>
      <c r="D31" s="126"/>
      <c r="E31" s="126"/>
      <c r="F31" s="126"/>
      <c r="G31" s="127"/>
      <c r="H31" s="128"/>
      <c r="I31" s="126"/>
      <c r="J31" s="126"/>
      <c r="K31" s="126"/>
      <c r="L31" s="126"/>
      <c r="M31" s="126"/>
      <c r="N31" s="127"/>
      <c r="O31" s="128"/>
      <c r="P31" s="126"/>
      <c r="Q31" s="126"/>
      <c r="R31" s="126"/>
      <c r="S31" s="181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2"/>
      <c r="AU31" s="182"/>
      <c r="AV31" s="182"/>
      <c r="AW31" s="183"/>
      <c r="AX31" s="184"/>
      <c r="AY31" s="184"/>
      <c r="AZ31" s="184"/>
      <c r="BA31" s="184"/>
      <c r="BB31" s="184"/>
      <c r="BC31" s="185"/>
      <c r="BD31" s="186"/>
      <c r="BE31" s="184"/>
      <c r="BF31" s="184"/>
      <c r="BG31" s="184"/>
      <c r="BH31" s="184"/>
      <c r="BI31" s="184"/>
      <c r="BJ31" s="185"/>
      <c r="BK31" s="157"/>
    </row>
    <row r="32" spans="1:63" ht="15" customHeight="1" x14ac:dyDescent="0.25">
      <c r="A32" s="156"/>
      <c r="B32" s="138"/>
      <c r="C32" s="139"/>
      <c r="D32" s="139"/>
      <c r="E32" s="139"/>
      <c r="F32" s="139"/>
      <c r="G32" s="140"/>
      <c r="H32" s="138"/>
      <c r="I32" s="139"/>
      <c r="J32" s="139"/>
      <c r="K32" s="139"/>
      <c r="L32" s="139"/>
      <c r="M32" s="139"/>
      <c r="N32" s="140"/>
      <c r="O32" s="138"/>
      <c r="P32" s="139"/>
      <c r="Q32" s="139"/>
      <c r="R32" s="139"/>
      <c r="S32" s="187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9"/>
      <c r="AX32" s="190"/>
      <c r="AY32" s="190"/>
      <c r="AZ32" s="190"/>
      <c r="BA32" s="190"/>
      <c r="BB32" s="190"/>
      <c r="BC32" s="191"/>
      <c r="BD32" s="192"/>
      <c r="BE32" s="190"/>
      <c r="BF32" s="190"/>
      <c r="BG32" s="190"/>
      <c r="BH32" s="190"/>
      <c r="BI32" s="190"/>
      <c r="BJ32" s="191"/>
      <c r="BK32" s="157"/>
    </row>
    <row r="33" spans="1:63" ht="15" customHeight="1" x14ac:dyDescent="0.25">
      <c r="A33" s="156"/>
      <c r="B33" s="128"/>
      <c r="C33" s="126"/>
      <c r="D33" s="126"/>
      <c r="E33" s="126"/>
      <c r="F33" s="126"/>
      <c r="G33" s="127"/>
      <c r="H33" s="128"/>
      <c r="I33" s="126"/>
      <c r="J33" s="126"/>
      <c r="K33" s="126"/>
      <c r="L33" s="126"/>
      <c r="M33" s="126"/>
      <c r="N33" s="127"/>
      <c r="O33" s="128"/>
      <c r="P33" s="126"/>
      <c r="Q33" s="126"/>
      <c r="R33" s="126"/>
      <c r="S33" s="181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/>
      <c r="AI33" s="182"/>
      <c r="AJ33" s="182"/>
      <c r="AK33" s="182"/>
      <c r="AL33" s="182"/>
      <c r="AM33" s="182"/>
      <c r="AN33" s="182"/>
      <c r="AO33" s="182"/>
      <c r="AP33" s="182"/>
      <c r="AQ33" s="182"/>
      <c r="AR33" s="182"/>
      <c r="AS33" s="182"/>
      <c r="AT33" s="182"/>
      <c r="AU33" s="182"/>
      <c r="AV33" s="182"/>
      <c r="AW33" s="183"/>
      <c r="AX33" s="184"/>
      <c r="AY33" s="184"/>
      <c r="AZ33" s="184"/>
      <c r="BA33" s="184"/>
      <c r="BB33" s="184"/>
      <c r="BC33" s="185"/>
      <c r="BD33" s="186"/>
      <c r="BE33" s="184"/>
      <c r="BF33" s="184"/>
      <c r="BG33" s="184"/>
      <c r="BH33" s="184"/>
      <c r="BI33" s="184"/>
      <c r="BJ33" s="185"/>
      <c r="BK33" s="157"/>
    </row>
    <row r="34" spans="1:63" ht="15" customHeight="1" x14ac:dyDescent="0.25">
      <c r="A34" s="156"/>
      <c r="B34" s="138"/>
      <c r="C34" s="139"/>
      <c r="D34" s="139"/>
      <c r="E34" s="139"/>
      <c r="F34" s="139"/>
      <c r="G34" s="140"/>
      <c r="H34" s="138"/>
      <c r="I34" s="139"/>
      <c r="J34" s="139"/>
      <c r="K34" s="139"/>
      <c r="L34" s="139"/>
      <c r="M34" s="139"/>
      <c r="N34" s="140"/>
      <c r="O34" s="138"/>
      <c r="P34" s="139"/>
      <c r="Q34" s="139"/>
      <c r="R34" s="139"/>
      <c r="S34" s="187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9"/>
      <c r="AX34" s="190"/>
      <c r="AY34" s="190"/>
      <c r="AZ34" s="190"/>
      <c r="BA34" s="190"/>
      <c r="BB34" s="190"/>
      <c r="BC34" s="191"/>
      <c r="BD34" s="192"/>
      <c r="BE34" s="190"/>
      <c r="BF34" s="190"/>
      <c r="BG34" s="190"/>
      <c r="BH34" s="190"/>
      <c r="BI34" s="190"/>
      <c r="BJ34" s="191"/>
      <c r="BK34" s="157"/>
    </row>
    <row r="35" spans="1:63" ht="15" customHeight="1" x14ac:dyDescent="0.25">
      <c r="A35" s="156"/>
      <c r="B35" s="128"/>
      <c r="C35" s="126"/>
      <c r="D35" s="126"/>
      <c r="E35" s="126"/>
      <c r="F35" s="126"/>
      <c r="G35" s="127"/>
      <c r="H35" s="128"/>
      <c r="I35" s="126"/>
      <c r="J35" s="126"/>
      <c r="K35" s="126"/>
      <c r="L35" s="126"/>
      <c r="M35" s="126"/>
      <c r="N35" s="127"/>
      <c r="O35" s="128"/>
      <c r="P35" s="126"/>
      <c r="Q35" s="126"/>
      <c r="R35" s="126"/>
      <c r="S35" s="181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182"/>
      <c r="AI35" s="182"/>
      <c r="AJ35" s="182"/>
      <c r="AK35" s="182"/>
      <c r="AL35" s="182"/>
      <c r="AM35" s="182"/>
      <c r="AN35" s="182"/>
      <c r="AO35" s="182"/>
      <c r="AP35" s="182"/>
      <c r="AQ35" s="182"/>
      <c r="AR35" s="182"/>
      <c r="AS35" s="182"/>
      <c r="AT35" s="182"/>
      <c r="AU35" s="182"/>
      <c r="AV35" s="182"/>
      <c r="AW35" s="183"/>
      <c r="AX35" s="184"/>
      <c r="AY35" s="184"/>
      <c r="AZ35" s="184"/>
      <c r="BA35" s="184"/>
      <c r="BB35" s="184"/>
      <c r="BC35" s="185"/>
      <c r="BD35" s="186"/>
      <c r="BE35" s="184"/>
      <c r="BF35" s="184"/>
      <c r="BG35" s="184"/>
      <c r="BH35" s="184"/>
      <c r="BI35" s="184"/>
      <c r="BJ35" s="185"/>
      <c r="BK35" s="157"/>
    </row>
    <row r="36" spans="1:63" ht="15" customHeight="1" x14ac:dyDescent="0.25">
      <c r="A36" s="156"/>
      <c r="B36" s="138"/>
      <c r="C36" s="139"/>
      <c r="D36" s="139"/>
      <c r="E36" s="139"/>
      <c r="F36" s="139"/>
      <c r="G36" s="140"/>
      <c r="H36" s="138"/>
      <c r="I36" s="139"/>
      <c r="J36" s="139"/>
      <c r="K36" s="139"/>
      <c r="L36" s="139"/>
      <c r="M36" s="139"/>
      <c r="N36" s="140"/>
      <c r="O36" s="138"/>
      <c r="P36" s="139"/>
      <c r="Q36" s="139"/>
      <c r="R36" s="139"/>
      <c r="S36" s="187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9"/>
      <c r="AX36" s="190"/>
      <c r="AY36" s="190"/>
      <c r="AZ36" s="190"/>
      <c r="BA36" s="190"/>
      <c r="BB36" s="190"/>
      <c r="BC36" s="191"/>
      <c r="BD36" s="192"/>
      <c r="BE36" s="190"/>
      <c r="BF36" s="190"/>
      <c r="BG36" s="190"/>
      <c r="BH36" s="190"/>
      <c r="BI36" s="190"/>
      <c r="BJ36" s="191"/>
      <c r="BK36" s="157"/>
    </row>
    <row r="37" spans="1:63" ht="15" customHeight="1" x14ac:dyDescent="0.25">
      <c r="A37" s="156"/>
      <c r="B37" s="128"/>
      <c r="C37" s="126"/>
      <c r="D37" s="126"/>
      <c r="E37" s="126"/>
      <c r="F37" s="126"/>
      <c r="G37" s="127"/>
      <c r="H37" s="128"/>
      <c r="I37" s="126"/>
      <c r="J37" s="126"/>
      <c r="K37" s="126"/>
      <c r="L37" s="126"/>
      <c r="M37" s="126"/>
      <c r="N37" s="127"/>
      <c r="O37" s="128"/>
      <c r="P37" s="126"/>
      <c r="Q37" s="126"/>
      <c r="R37" s="126"/>
      <c r="S37" s="181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182"/>
      <c r="AH37" s="182"/>
      <c r="AI37" s="182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2"/>
      <c r="AU37" s="182"/>
      <c r="AV37" s="182"/>
      <c r="AW37" s="183"/>
      <c r="AX37" s="184"/>
      <c r="AY37" s="184"/>
      <c r="AZ37" s="184"/>
      <c r="BA37" s="184"/>
      <c r="BB37" s="184"/>
      <c r="BC37" s="185"/>
      <c r="BD37" s="186"/>
      <c r="BE37" s="184"/>
      <c r="BF37" s="184"/>
      <c r="BG37" s="184"/>
      <c r="BH37" s="184"/>
      <c r="BI37" s="184"/>
      <c r="BJ37" s="185"/>
      <c r="BK37" s="157"/>
    </row>
    <row r="38" spans="1:63" ht="15" customHeight="1" x14ac:dyDescent="0.25">
      <c r="A38" s="156"/>
      <c r="B38" s="138"/>
      <c r="C38" s="139"/>
      <c r="D38" s="139"/>
      <c r="E38" s="139"/>
      <c r="F38" s="139"/>
      <c r="G38" s="140"/>
      <c r="H38" s="138"/>
      <c r="I38" s="139"/>
      <c r="J38" s="139"/>
      <c r="K38" s="139"/>
      <c r="L38" s="139"/>
      <c r="M38" s="139"/>
      <c r="N38" s="140"/>
      <c r="O38" s="138"/>
      <c r="P38" s="139"/>
      <c r="Q38" s="139"/>
      <c r="R38" s="139"/>
      <c r="S38" s="187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9"/>
      <c r="AX38" s="190"/>
      <c r="AY38" s="190"/>
      <c r="AZ38" s="190"/>
      <c r="BA38" s="190"/>
      <c r="BB38" s="190"/>
      <c r="BC38" s="191"/>
      <c r="BD38" s="192"/>
      <c r="BE38" s="190"/>
      <c r="BF38" s="190"/>
      <c r="BG38" s="190"/>
      <c r="BH38" s="190"/>
      <c r="BI38" s="190"/>
      <c r="BJ38" s="191"/>
      <c r="BK38" s="157"/>
    </row>
    <row r="39" spans="1:63" ht="15" customHeight="1" x14ac:dyDescent="0.25">
      <c r="A39" s="156"/>
      <c r="B39" s="128"/>
      <c r="C39" s="126"/>
      <c r="D39" s="126"/>
      <c r="E39" s="126"/>
      <c r="F39" s="126"/>
      <c r="G39" s="127"/>
      <c r="H39" s="128"/>
      <c r="I39" s="126"/>
      <c r="J39" s="126"/>
      <c r="K39" s="126"/>
      <c r="L39" s="126"/>
      <c r="M39" s="126"/>
      <c r="N39" s="127"/>
      <c r="O39" s="128"/>
      <c r="P39" s="126"/>
      <c r="Q39" s="126"/>
      <c r="R39" s="126"/>
      <c r="S39" s="181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/>
      <c r="AI39" s="182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2"/>
      <c r="AU39" s="182"/>
      <c r="AV39" s="182"/>
      <c r="AW39" s="183"/>
      <c r="AX39" s="184"/>
      <c r="AY39" s="184"/>
      <c r="AZ39" s="184"/>
      <c r="BA39" s="184"/>
      <c r="BB39" s="184"/>
      <c r="BC39" s="185"/>
      <c r="BD39" s="186"/>
      <c r="BE39" s="184"/>
      <c r="BF39" s="184"/>
      <c r="BG39" s="184"/>
      <c r="BH39" s="184"/>
      <c r="BI39" s="184"/>
      <c r="BJ39" s="185"/>
      <c r="BK39" s="157"/>
    </row>
    <row r="40" spans="1:63" ht="15" customHeight="1" x14ac:dyDescent="0.25">
      <c r="A40" s="156"/>
      <c r="B40" s="138"/>
      <c r="C40" s="139"/>
      <c r="D40" s="139"/>
      <c r="E40" s="139"/>
      <c r="F40" s="139"/>
      <c r="G40" s="140"/>
      <c r="H40" s="138"/>
      <c r="I40" s="139"/>
      <c r="J40" s="139"/>
      <c r="K40" s="139"/>
      <c r="L40" s="139"/>
      <c r="M40" s="139"/>
      <c r="N40" s="140"/>
      <c r="O40" s="138"/>
      <c r="P40" s="139"/>
      <c r="Q40" s="139"/>
      <c r="R40" s="139"/>
      <c r="S40" s="187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9"/>
      <c r="AX40" s="190"/>
      <c r="AY40" s="190"/>
      <c r="AZ40" s="190"/>
      <c r="BA40" s="190"/>
      <c r="BB40" s="190"/>
      <c r="BC40" s="191"/>
      <c r="BD40" s="192"/>
      <c r="BE40" s="190"/>
      <c r="BF40" s="190"/>
      <c r="BG40" s="190"/>
      <c r="BH40" s="190"/>
      <c r="BI40" s="190"/>
      <c r="BJ40" s="191"/>
      <c r="BK40" s="157"/>
    </row>
    <row r="41" spans="1:63" ht="15" customHeight="1" x14ac:dyDescent="0.25">
      <c r="A41" s="156"/>
      <c r="B41" s="128"/>
      <c r="C41" s="126"/>
      <c r="D41" s="126"/>
      <c r="E41" s="126"/>
      <c r="F41" s="126"/>
      <c r="G41" s="127"/>
      <c r="H41" s="128"/>
      <c r="I41" s="126"/>
      <c r="J41" s="126"/>
      <c r="K41" s="126"/>
      <c r="L41" s="126"/>
      <c r="M41" s="126"/>
      <c r="N41" s="127"/>
      <c r="O41" s="128"/>
      <c r="P41" s="126"/>
      <c r="Q41" s="126"/>
      <c r="R41" s="126"/>
      <c r="S41" s="181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/>
      <c r="AI41" s="182"/>
      <c r="AJ41" s="182"/>
      <c r="AK41" s="182"/>
      <c r="AL41" s="182"/>
      <c r="AM41" s="182"/>
      <c r="AN41" s="182"/>
      <c r="AO41" s="182"/>
      <c r="AP41" s="182"/>
      <c r="AQ41" s="182"/>
      <c r="AR41" s="182"/>
      <c r="AS41" s="182"/>
      <c r="AT41" s="182"/>
      <c r="AU41" s="182"/>
      <c r="AV41" s="182"/>
      <c r="AW41" s="183"/>
      <c r="AX41" s="184"/>
      <c r="AY41" s="184"/>
      <c r="AZ41" s="184"/>
      <c r="BA41" s="184"/>
      <c r="BB41" s="184"/>
      <c r="BC41" s="185"/>
      <c r="BD41" s="186"/>
      <c r="BE41" s="184"/>
      <c r="BF41" s="184"/>
      <c r="BG41" s="184"/>
      <c r="BH41" s="184"/>
      <c r="BI41" s="184"/>
      <c r="BJ41" s="185"/>
      <c r="BK41" s="157"/>
    </row>
    <row r="42" spans="1:63" ht="15" customHeight="1" x14ac:dyDescent="0.25">
      <c r="A42" s="156"/>
      <c r="B42" s="138"/>
      <c r="C42" s="139"/>
      <c r="D42" s="139"/>
      <c r="E42" s="139"/>
      <c r="F42" s="139"/>
      <c r="G42" s="140"/>
      <c r="H42" s="138"/>
      <c r="I42" s="139"/>
      <c r="J42" s="139"/>
      <c r="K42" s="139"/>
      <c r="L42" s="139"/>
      <c r="M42" s="139"/>
      <c r="N42" s="140"/>
      <c r="O42" s="138"/>
      <c r="P42" s="139"/>
      <c r="Q42" s="139"/>
      <c r="R42" s="139"/>
      <c r="S42" s="187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9"/>
      <c r="AX42" s="190"/>
      <c r="AY42" s="190"/>
      <c r="AZ42" s="190"/>
      <c r="BA42" s="190"/>
      <c r="BB42" s="190"/>
      <c r="BC42" s="191"/>
      <c r="BD42" s="192"/>
      <c r="BE42" s="190"/>
      <c r="BF42" s="190"/>
      <c r="BG42" s="190"/>
      <c r="BH42" s="190"/>
      <c r="BI42" s="190"/>
      <c r="BJ42" s="191"/>
      <c r="BK42" s="157"/>
    </row>
    <row r="43" spans="1:63" ht="15" customHeight="1" x14ac:dyDescent="0.25">
      <c r="A43" s="156"/>
      <c r="B43" s="128"/>
      <c r="C43" s="126"/>
      <c r="D43" s="126"/>
      <c r="E43" s="126"/>
      <c r="F43" s="126"/>
      <c r="G43" s="127"/>
      <c r="H43" s="128"/>
      <c r="I43" s="126"/>
      <c r="J43" s="126"/>
      <c r="K43" s="126"/>
      <c r="L43" s="126"/>
      <c r="M43" s="126"/>
      <c r="N43" s="127"/>
      <c r="O43" s="128"/>
      <c r="P43" s="126"/>
      <c r="Q43" s="126"/>
      <c r="R43" s="126"/>
      <c r="S43" s="181"/>
      <c r="T43" s="182"/>
      <c r="U43" s="182"/>
      <c r="V43" s="182"/>
      <c r="W43" s="182"/>
      <c r="X43" s="182"/>
      <c r="Y43" s="182"/>
      <c r="Z43" s="182"/>
      <c r="AA43" s="182"/>
      <c r="AB43" s="182"/>
      <c r="AC43" s="182"/>
      <c r="AD43" s="182"/>
      <c r="AE43" s="182"/>
      <c r="AF43" s="182"/>
      <c r="AG43" s="182"/>
      <c r="AH43" s="182"/>
      <c r="AI43" s="182"/>
      <c r="AJ43" s="182"/>
      <c r="AK43" s="182"/>
      <c r="AL43" s="182"/>
      <c r="AM43" s="182"/>
      <c r="AN43" s="182"/>
      <c r="AO43" s="182"/>
      <c r="AP43" s="182"/>
      <c r="AQ43" s="182"/>
      <c r="AR43" s="182"/>
      <c r="AS43" s="182"/>
      <c r="AT43" s="182"/>
      <c r="AU43" s="182"/>
      <c r="AV43" s="182"/>
      <c r="AW43" s="183"/>
      <c r="AX43" s="184"/>
      <c r="AY43" s="184"/>
      <c r="AZ43" s="184"/>
      <c r="BA43" s="184"/>
      <c r="BB43" s="184"/>
      <c r="BC43" s="185"/>
      <c r="BD43" s="186"/>
      <c r="BE43" s="184"/>
      <c r="BF43" s="184"/>
      <c r="BG43" s="184"/>
      <c r="BH43" s="184"/>
      <c r="BI43" s="184"/>
      <c r="BJ43" s="185"/>
      <c r="BK43" s="157"/>
    </row>
    <row r="44" spans="1:63" ht="15" customHeight="1" x14ac:dyDescent="0.25">
      <c r="A44" s="156"/>
      <c r="B44" s="138"/>
      <c r="C44" s="139"/>
      <c r="D44" s="139"/>
      <c r="E44" s="139"/>
      <c r="F44" s="139"/>
      <c r="G44" s="140"/>
      <c r="H44" s="138"/>
      <c r="I44" s="139"/>
      <c r="J44" s="139"/>
      <c r="K44" s="139"/>
      <c r="L44" s="139"/>
      <c r="M44" s="139"/>
      <c r="N44" s="140"/>
      <c r="O44" s="138"/>
      <c r="P44" s="139"/>
      <c r="Q44" s="139"/>
      <c r="R44" s="139"/>
      <c r="S44" s="187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9"/>
      <c r="AX44" s="190"/>
      <c r="AY44" s="190"/>
      <c r="AZ44" s="190"/>
      <c r="BA44" s="190"/>
      <c r="BB44" s="190"/>
      <c r="BC44" s="191"/>
      <c r="BD44" s="192"/>
      <c r="BE44" s="190"/>
      <c r="BF44" s="190"/>
      <c r="BG44" s="190"/>
      <c r="BH44" s="190"/>
      <c r="BI44" s="190"/>
      <c r="BJ44" s="191"/>
      <c r="BK44" s="157"/>
    </row>
    <row r="45" spans="1:63" ht="15" customHeight="1" x14ac:dyDescent="0.25">
      <c r="A45" s="156"/>
      <c r="B45" s="128"/>
      <c r="C45" s="126"/>
      <c r="D45" s="126"/>
      <c r="E45" s="126"/>
      <c r="F45" s="126"/>
      <c r="G45" s="127"/>
      <c r="H45" s="128"/>
      <c r="I45" s="126"/>
      <c r="J45" s="126"/>
      <c r="K45" s="126"/>
      <c r="L45" s="126"/>
      <c r="M45" s="126"/>
      <c r="N45" s="127"/>
      <c r="O45" s="128"/>
      <c r="P45" s="126"/>
      <c r="Q45" s="126"/>
      <c r="R45" s="126"/>
      <c r="S45" s="181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2"/>
      <c r="AU45" s="182"/>
      <c r="AV45" s="182"/>
      <c r="AW45" s="183"/>
      <c r="AX45" s="184"/>
      <c r="AY45" s="184"/>
      <c r="AZ45" s="184"/>
      <c r="BA45" s="184"/>
      <c r="BB45" s="184"/>
      <c r="BC45" s="185"/>
      <c r="BD45" s="186"/>
      <c r="BE45" s="184"/>
      <c r="BF45" s="184"/>
      <c r="BG45" s="184"/>
      <c r="BH45" s="184"/>
      <c r="BI45" s="184"/>
      <c r="BJ45" s="185"/>
      <c r="BK45" s="157"/>
    </row>
    <row r="46" spans="1:63" ht="15" customHeight="1" x14ac:dyDescent="0.25">
      <c r="A46" s="156"/>
      <c r="B46" s="138"/>
      <c r="C46" s="139"/>
      <c r="D46" s="139"/>
      <c r="E46" s="139"/>
      <c r="F46" s="139"/>
      <c r="G46" s="140"/>
      <c r="H46" s="138"/>
      <c r="I46" s="139"/>
      <c r="J46" s="139"/>
      <c r="K46" s="139"/>
      <c r="L46" s="139"/>
      <c r="M46" s="139"/>
      <c r="N46" s="140"/>
      <c r="O46" s="138"/>
      <c r="P46" s="139"/>
      <c r="Q46" s="139"/>
      <c r="R46" s="139"/>
      <c r="S46" s="187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9"/>
      <c r="AX46" s="190"/>
      <c r="AY46" s="190"/>
      <c r="AZ46" s="190"/>
      <c r="BA46" s="190"/>
      <c r="BB46" s="190"/>
      <c r="BC46" s="191"/>
      <c r="BD46" s="192"/>
      <c r="BE46" s="190"/>
      <c r="BF46" s="190"/>
      <c r="BG46" s="190"/>
      <c r="BH46" s="190"/>
      <c r="BI46" s="190"/>
      <c r="BJ46" s="191"/>
      <c r="BK46" s="157"/>
    </row>
    <row r="47" spans="1:63" ht="15" customHeight="1" x14ac:dyDescent="0.25">
      <c r="A47" s="156"/>
      <c r="B47" s="128"/>
      <c r="C47" s="126"/>
      <c r="D47" s="126"/>
      <c r="E47" s="126"/>
      <c r="F47" s="126"/>
      <c r="G47" s="127"/>
      <c r="H47" s="128"/>
      <c r="I47" s="126"/>
      <c r="J47" s="126"/>
      <c r="K47" s="126"/>
      <c r="L47" s="126"/>
      <c r="M47" s="126"/>
      <c r="N47" s="127"/>
      <c r="O47" s="128"/>
      <c r="P47" s="126"/>
      <c r="Q47" s="126"/>
      <c r="R47" s="126"/>
      <c r="S47" s="181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2"/>
      <c r="AU47" s="182"/>
      <c r="AV47" s="182"/>
      <c r="AW47" s="183"/>
      <c r="AX47" s="184"/>
      <c r="AY47" s="184"/>
      <c r="AZ47" s="184"/>
      <c r="BA47" s="184"/>
      <c r="BB47" s="184"/>
      <c r="BC47" s="185"/>
      <c r="BD47" s="186"/>
      <c r="BE47" s="184"/>
      <c r="BF47" s="184"/>
      <c r="BG47" s="184"/>
      <c r="BH47" s="184"/>
      <c r="BI47" s="184"/>
      <c r="BJ47" s="185"/>
      <c r="BK47" s="157"/>
    </row>
    <row r="48" spans="1:63" ht="15" customHeight="1" x14ac:dyDescent="0.25">
      <c r="A48" s="156"/>
      <c r="B48" s="138"/>
      <c r="C48" s="139"/>
      <c r="D48" s="139"/>
      <c r="E48" s="139"/>
      <c r="F48" s="139"/>
      <c r="G48" s="140"/>
      <c r="H48" s="138"/>
      <c r="I48" s="139"/>
      <c r="J48" s="139"/>
      <c r="K48" s="139"/>
      <c r="L48" s="139"/>
      <c r="M48" s="139"/>
      <c r="N48" s="140"/>
      <c r="O48" s="138"/>
      <c r="P48" s="139"/>
      <c r="Q48" s="139"/>
      <c r="R48" s="139"/>
      <c r="S48" s="187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9"/>
      <c r="AX48" s="190"/>
      <c r="AY48" s="190"/>
      <c r="AZ48" s="190"/>
      <c r="BA48" s="190"/>
      <c r="BB48" s="190"/>
      <c r="BC48" s="191"/>
      <c r="BD48" s="192"/>
      <c r="BE48" s="190"/>
      <c r="BF48" s="190"/>
      <c r="BG48" s="190"/>
      <c r="BH48" s="190"/>
      <c r="BI48" s="190"/>
      <c r="BJ48" s="191"/>
      <c r="BK48" s="157"/>
    </row>
    <row r="49" spans="1:63" ht="15" customHeight="1" x14ac:dyDescent="0.25">
      <c r="A49" s="156"/>
      <c r="B49" s="128"/>
      <c r="C49" s="126"/>
      <c r="D49" s="126"/>
      <c r="E49" s="126"/>
      <c r="F49" s="126"/>
      <c r="G49" s="127"/>
      <c r="H49" s="128"/>
      <c r="I49" s="126"/>
      <c r="J49" s="126"/>
      <c r="K49" s="126"/>
      <c r="L49" s="126"/>
      <c r="M49" s="126"/>
      <c r="N49" s="127"/>
      <c r="O49" s="128"/>
      <c r="P49" s="126"/>
      <c r="Q49" s="126"/>
      <c r="R49" s="126"/>
      <c r="S49" s="181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182"/>
      <c r="AV49" s="182"/>
      <c r="AW49" s="183"/>
      <c r="AX49" s="184"/>
      <c r="AY49" s="184"/>
      <c r="AZ49" s="184"/>
      <c r="BA49" s="184"/>
      <c r="BB49" s="184"/>
      <c r="BC49" s="185"/>
      <c r="BD49" s="186"/>
      <c r="BE49" s="184"/>
      <c r="BF49" s="184"/>
      <c r="BG49" s="184"/>
      <c r="BH49" s="184"/>
      <c r="BI49" s="184"/>
      <c r="BJ49" s="185"/>
      <c r="BK49" s="157"/>
    </row>
    <row r="50" spans="1:63" ht="15" customHeight="1" x14ac:dyDescent="0.25">
      <c r="A50" s="156"/>
      <c r="B50" s="138"/>
      <c r="C50" s="139"/>
      <c r="D50" s="139"/>
      <c r="E50" s="139"/>
      <c r="F50" s="139"/>
      <c r="G50" s="140"/>
      <c r="H50" s="138"/>
      <c r="I50" s="139"/>
      <c r="J50" s="139"/>
      <c r="K50" s="139"/>
      <c r="L50" s="139"/>
      <c r="M50" s="139"/>
      <c r="N50" s="140"/>
      <c r="O50" s="138"/>
      <c r="P50" s="139"/>
      <c r="Q50" s="139"/>
      <c r="R50" s="139"/>
      <c r="S50" s="187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9"/>
      <c r="AX50" s="190"/>
      <c r="AY50" s="190"/>
      <c r="AZ50" s="190"/>
      <c r="BA50" s="190"/>
      <c r="BB50" s="190"/>
      <c r="BC50" s="191"/>
      <c r="BD50" s="192"/>
      <c r="BE50" s="190"/>
      <c r="BF50" s="190"/>
      <c r="BG50" s="190"/>
      <c r="BH50" s="190"/>
      <c r="BI50" s="190"/>
      <c r="BJ50" s="191"/>
      <c r="BK50" s="157"/>
    </row>
    <row r="51" spans="1:63" ht="15" customHeight="1" x14ac:dyDescent="0.25">
      <c r="A51" s="156"/>
      <c r="B51" s="128"/>
      <c r="C51" s="126"/>
      <c r="D51" s="126"/>
      <c r="E51" s="126"/>
      <c r="F51" s="126"/>
      <c r="G51" s="127"/>
      <c r="H51" s="128"/>
      <c r="I51" s="126"/>
      <c r="J51" s="126"/>
      <c r="K51" s="126"/>
      <c r="L51" s="126"/>
      <c r="M51" s="126"/>
      <c r="N51" s="127"/>
      <c r="O51" s="128"/>
      <c r="P51" s="126"/>
      <c r="Q51" s="126"/>
      <c r="R51" s="126"/>
      <c r="S51" s="181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182"/>
      <c r="AR51" s="182"/>
      <c r="AS51" s="182"/>
      <c r="AT51" s="182"/>
      <c r="AU51" s="182"/>
      <c r="AV51" s="182"/>
      <c r="AW51" s="183"/>
      <c r="AX51" s="184"/>
      <c r="AY51" s="184"/>
      <c r="AZ51" s="184"/>
      <c r="BA51" s="184"/>
      <c r="BB51" s="184"/>
      <c r="BC51" s="185"/>
      <c r="BD51" s="186"/>
      <c r="BE51" s="184"/>
      <c r="BF51" s="184"/>
      <c r="BG51" s="184"/>
      <c r="BH51" s="184"/>
      <c r="BI51" s="184"/>
      <c r="BJ51" s="185"/>
      <c r="BK51" s="157"/>
    </row>
    <row r="52" spans="1:63" ht="15" customHeight="1" x14ac:dyDescent="0.25">
      <c r="A52" s="156"/>
      <c r="B52" s="138"/>
      <c r="C52" s="139"/>
      <c r="D52" s="139"/>
      <c r="E52" s="139"/>
      <c r="F52" s="139"/>
      <c r="G52" s="140"/>
      <c r="H52" s="138"/>
      <c r="I52" s="139"/>
      <c r="J52" s="139"/>
      <c r="K52" s="139"/>
      <c r="L52" s="139"/>
      <c r="M52" s="139"/>
      <c r="N52" s="140"/>
      <c r="O52" s="138"/>
      <c r="P52" s="139"/>
      <c r="Q52" s="139"/>
      <c r="R52" s="139"/>
      <c r="S52" s="187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9"/>
      <c r="AX52" s="190"/>
      <c r="AY52" s="190"/>
      <c r="AZ52" s="190"/>
      <c r="BA52" s="190"/>
      <c r="BB52" s="190"/>
      <c r="BC52" s="191"/>
      <c r="BD52" s="192"/>
      <c r="BE52" s="190"/>
      <c r="BF52" s="190"/>
      <c r="BG52" s="190"/>
      <c r="BH52" s="190"/>
      <c r="BI52" s="190"/>
      <c r="BJ52" s="191"/>
      <c r="BK52" s="157"/>
    </row>
    <row r="53" spans="1:63" ht="15" customHeight="1" x14ac:dyDescent="0.25">
      <c r="A53" s="156"/>
      <c r="B53" s="128"/>
      <c r="C53" s="126"/>
      <c r="D53" s="126"/>
      <c r="E53" s="126"/>
      <c r="F53" s="126"/>
      <c r="G53" s="127"/>
      <c r="H53" s="128"/>
      <c r="I53" s="126"/>
      <c r="J53" s="126"/>
      <c r="K53" s="126"/>
      <c r="L53" s="126"/>
      <c r="M53" s="126"/>
      <c r="N53" s="127"/>
      <c r="O53" s="128"/>
      <c r="P53" s="126"/>
      <c r="Q53" s="126"/>
      <c r="R53" s="126"/>
      <c r="S53" s="181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2"/>
      <c r="AU53" s="182"/>
      <c r="AV53" s="182"/>
      <c r="AW53" s="183"/>
      <c r="AX53" s="184"/>
      <c r="AY53" s="184"/>
      <c r="AZ53" s="184"/>
      <c r="BA53" s="184"/>
      <c r="BB53" s="184"/>
      <c r="BC53" s="185"/>
      <c r="BD53" s="186"/>
      <c r="BE53" s="184"/>
      <c r="BF53" s="184"/>
      <c r="BG53" s="184"/>
      <c r="BH53" s="184"/>
      <c r="BI53" s="184"/>
      <c r="BJ53" s="185"/>
      <c r="BK53" s="157"/>
    </row>
    <row r="54" spans="1:63" ht="15" customHeight="1" x14ac:dyDescent="0.25">
      <c r="A54" s="156"/>
      <c r="B54" s="138"/>
      <c r="C54" s="139"/>
      <c r="D54" s="139"/>
      <c r="E54" s="139"/>
      <c r="F54" s="139"/>
      <c r="G54" s="140"/>
      <c r="H54" s="138"/>
      <c r="I54" s="139"/>
      <c r="J54" s="139"/>
      <c r="K54" s="139"/>
      <c r="L54" s="139"/>
      <c r="M54" s="139"/>
      <c r="N54" s="140"/>
      <c r="O54" s="138"/>
      <c r="P54" s="139"/>
      <c r="Q54" s="139"/>
      <c r="R54" s="139"/>
      <c r="S54" s="187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9"/>
      <c r="AX54" s="190"/>
      <c r="AY54" s="190"/>
      <c r="AZ54" s="190"/>
      <c r="BA54" s="190"/>
      <c r="BB54" s="190"/>
      <c r="BC54" s="191"/>
      <c r="BD54" s="192"/>
      <c r="BE54" s="190"/>
      <c r="BF54" s="190"/>
      <c r="BG54" s="190"/>
      <c r="BH54" s="190"/>
      <c r="BI54" s="190"/>
      <c r="BJ54" s="191"/>
      <c r="BK54" s="157"/>
    </row>
    <row r="55" spans="1:63" ht="15" customHeight="1" x14ac:dyDescent="0.25">
      <c r="A55" s="153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  <c r="AG55" s="154"/>
      <c r="AH55" s="154"/>
      <c r="AI55" s="154"/>
      <c r="AJ55" s="154"/>
      <c r="AK55" s="154"/>
      <c r="AL55" s="154"/>
      <c r="AM55" s="154"/>
      <c r="AN55" s="154"/>
      <c r="AO55" s="154"/>
      <c r="AP55" s="154"/>
      <c r="AQ55" s="154"/>
      <c r="AR55" s="154"/>
      <c r="AS55" s="154"/>
      <c r="AT55" s="154"/>
      <c r="AU55" s="154"/>
      <c r="AV55" s="154"/>
      <c r="AW55" s="154"/>
      <c r="AX55" s="154"/>
      <c r="AY55" s="154"/>
      <c r="AZ55" s="154"/>
      <c r="BA55" s="154"/>
      <c r="BB55" s="154"/>
      <c r="BC55" s="154"/>
      <c r="BD55" s="154"/>
      <c r="BE55" s="154"/>
      <c r="BF55" s="154"/>
      <c r="BG55" s="154"/>
      <c r="BH55" s="154"/>
      <c r="BI55" s="154"/>
      <c r="BJ55" s="154"/>
      <c r="BK55" s="15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3" t="s">
        <v>47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48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詳細設計書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19" t="s">
        <v>50</v>
      </c>
      <c r="AQ1" s="120"/>
      <c r="AR1" s="120"/>
      <c r="AS1" s="121"/>
      <c r="AT1" s="119" t="s">
        <v>51</v>
      </c>
      <c r="AU1" s="120"/>
      <c r="AV1" s="120"/>
      <c r="AW1" s="120"/>
      <c r="AX1" s="121"/>
      <c r="AY1" s="119" t="s">
        <v>52</v>
      </c>
      <c r="AZ1" s="120"/>
      <c r="BA1" s="120"/>
      <c r="BB1" s="121"/>
      <c r="BC1" s="119" t="s">
        <v>53</v>
      </c>
      <c r="BD1" s="120"/>
      <c r="BE1" s="120"/>
      <c r="BF1" s="120"/>
      <c r="BG1" s="121"/>
      <c r="BH1" s="119" t="s">
        <v>54</v>
      </c>
      <c r="BI1" s="120"/>
      <c r="BJ1" s="120"/>
      <c r="BK1" s="121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199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1"/>
      <c r="AP2" s="128" t="str">
        <f>IF(表紙!AP2="","",表紙!AP2)</f>
        <v>TuyenNH</v>
      </c>
      <c r="AQ2" s="126"/>
      <c r="AR2" s="126"/>
      <c r="AS2" s="127"/>
      <c r="AT2" s="132">
        <f>IF(表紙!AT2="","",表紙!AT2)</f>
        <v>45517</v>
      </c>
      <c r="AU2" s="133"/>
      <c r="AV2" s="133"/>
      <c r="AW2" s="133"/>
      <c r="AX2" s="134"/>
      <c r="AY2" s="128" t="str">
        <f>IF(表紙!AY2="","",表紙!AY2)</f>
        <v>TuyenNH</v>
      </c>
      <c r="AZ2" s="126"/>
      <c r="BA2" s="126"/>
      <c r="BB2" s="127"/>
      <c r="BC2" s="132">
        <f>IF(表紙!BC2="","",表紙!BC2)</f>
        <v>45517</v>
      </c>
      <c r="BD2" s="133"/>
      <c r="BE2" s="133"/>
      <c r="BF2" s="133"/>
      <c r="BG2" s="134"/>
      <c r="BH2" s="128">
        <f>IF(表紙!BH2="","",表紙!BH2)</f>
        <v>0.1</v>
      </c>
      <c r="BI2" s="126"/>
      <c r="BJ2" s="126"/>
      <c r="BK2" s="127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38"/>
      <c r="AQ3" s="139"/>
      <c r="AR3" s="139"/>
      <c r="AS3" s="140"/>
      <c r="AT3" s="144"/>
      <c r="AU3" s="145"/>
      <c r="AV3" s="145"/>
      <c r="AW3" s="145"/>
      <c r="AX3" s="146"/>
      <c r="AY3" s="138"/>
      <c r="AZ3" s="139"/>
      <c r="BA3" s="139"/>
      <c r="BB3" s="140"/>
      <c r="BC3" s="144"/>
      <c r="BD3" s="145"/>
      <c r="BE3" s="145"/>
      <c r="BF3" s="145"/>
      <c r="BG3" s="146"/>
      <c r="BH3" s="138"/>
      <c r="BI3" s="139"/>
      <c r="BJ3" s="139"/>
      <c r="BK3" s="140"/>
    </row>
    <row r="4" spans="1:63" ht="24.95" customHeight="1" x14ac:dyDescent="0.25">
      <c r="A4" s="193" t="s">
        <v>56</v>
      </c>
      <c r="B4" s="194"/>
      <c r="C4" s="194"/>
      <c r="D4" s="194"/>
      <c r="E4" s="194"/>
      <c r="F4" s="194"/>
      <c r="G4" s="195"/>
      <c r="H4" s="65" t="str">
        <f>IF(表紙!H4="","",表紙!H4)</f>
        <v>AP0202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3" t="s">
        <v>57</v>
      </c>
      <c r="V4" s="194"/>
      <c r="W4" s="194"/>
      <c r="X4" s="194"/>
      <c r="Y4" s="195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処理フロー凡例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25" customFormat="1" ht="15" customHeight="1" x14ac:dyDescent="0.25">
      <c r="A7" s="205"/>
      <c r="B7" s="206" t="s">
        <v>65</v>
      </c>
      <c r="C7" s="207"/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8"/>
      <c r="AF7" s="209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8"/>
      <c r="BJ7" s="207"/>
      <c r="BK7" s="210"/>
    </row>
    <row r="8" spans="1:63" s="211" customFormat="1" ht="15" customHeight="1" x14ac:dyDescent="0.25">
      <c r="BK8" s="210"/>
    </row>
    <row r="9" spans="1:63" s="211" customFormat="1" ht="15" customHeight="1" x14ac:dyDescent="0.25">
      <c r="BK9" s="210"/>
    </row>
    <row r="10" spans="1:63" s="211" customFormat="1" ht="15" customHeight="1" x14ac:dyDescent="0.25">
      <c r="BK10" s="210"/>
    </row>
    <row r="11" spans="1:63" s="211" customFormat="1" ht="15" customHeight="1" x14ac:dyDescent="0.25">
      <c r="BK11" s="210"/>
    </row>
    <row r="12" spans="1:63" s="211" customFormat="1" ht="15" customHeight="1" x14ac:dyDescent="0.25">
      <c r="BK12" s="210"/>
    </row>
    <row r="13" spans="1:63" s="211" customFormat="1" ht="15" customHeight="1" x14ac:dyDescent="0.25">
      <c r="BK13" s="210"/>
    </row>
    <row r="14" spans="1:63" s="211" customFormat="1" ht="15" customHeight="1" x14ac:dyDescent="0.25">
      <c r="BK14" s="210"/>
    </row>
    <row r="15" spans="1:63" s="211" customFormat="1" ht="15" customHeight="1" x14ac:dyDescent="0.25">
      <c r="BK15" s="210"/>
    </row>
    <row r="16" spans="1:63" s="211" customFormat="1" ht="15" customHeight="1" x14ac:dyDescent="0.25">
      <c r="BK16" s="210"/>
    </row>
    <row r="17" spans="63:63" s="211" customFormat="1" ht="15" customHeight="1" x14ac:dyDescent="0.25">
      <c r="BK17" s="210"/>
    </row>
    <row r="18" spans="63:63" s="211" customFormat="1" ht="15" customHeight="1" x14ac:dyDescent="0.25">
      <c r="BK18" s="210"/>
    </row>
    <row r="19" spans="63:63" s="211" customFormat="1" ht="15" customHeight="1" x14ac:dyDescent="0.25">
      <c r="BK19" s="210"/>
    </row>
    <row r="20" spans="63:63" s="211" customFormat="1" ht="15" customHeight="1" x14ac:dyDescent="0.25">
      <c r="BK20" s="210"/>
    </row>
    <row r="21" spans="63:63" s="211" customFormat="1" ht="15" customHeight="1" x14ac:dyDescent="0.25">
      <c r="BK21" s="210"/>
    </row>
    <row r="22" spans="63:63" s="211" customFormat="1" ht="15" customHeight="1" x14ac:dyDescent="0.25">
      <c r="BK22" s="210"/>
    </row>
    <row r="23" spans="63:63" s="211" customFormat="1" ht="15" customHeight="1" x14ac:dyDescent="0.25">
      <c r="BK23" s="210"/>
    </row>
    <row r="24" spans="63:63" s="211" customFormat="1" ht="15" customHeight="1" x14ac:dyDescent="0.25">
      <c r="BK24" s="210"/>
    </row>
    <row r="25" spans="63:63" s="211" customFormat="1" ht="15" customHeight="1" x14ac:dyDescent="0.25">
      <c r="BK25" s="210"/>
    </row>
    <row r="26" spans="63:63" s="211" customFormat="1" ht="15" customHeight="1" x14ac:dyDescent="0.25">
      <c r="BK26" s="210"/>
    </row>
    <row r="27" spans="63:63" s="211" customFormat="1" ht="15" customHeight="1" x14ac:dyDescent="0.25">
      <c r="BK27" s="210"/>
    </row>
    <row r="28" spans="63:63" s="211" customFormat="1" ht="15" customHeight="1" x14ac:dyDescent="0.25">
      <c r="BK28" s="210"/>
    </row>
    <row r="29" spans="63:63" s="211" customFormat="1" ht="15" customHeight="1" x14ac:dyDescent="0.25">
      <c r="BK29" s="210"/>
    </row>
    <row r="30" spans="63:63" s="211" customFormat="1" ht="15" customHeight="1" x14ac:dyDescent="0.25">
      <c r="BK30" s="210"/>
    </row>
    <row r="31" spans="63:63" s="211" customFormat="1" ht="15" customHeight="1" x14ac:dyDescent="0.25">
      <c r="BK31" s="210"/>
    </row>
    <row r="32" spans="63:63" s="211" customFormat="1" ht="15" customHeight="1" x14ac:dyDescent="0.25">
      <c r="BK32" s="210"/>
    </row>
    <row r="33" spans="63:63" s="211" customFormat="1" ht="15" customHeight="1" x14ac:dyDescent="0.25">
      <c r="BK33" s="210"/>
    </row>
    <row r="34" spans="63:63" s="211" customFormat="1" ht="15" customHeight="1" x14ac:dyDescent="0.25">
      <c r="BK34" s="210"/>
    </row>
    <row r="35" spans="63:63" s="211" customFormat="1" ht="15" customHeight="1" x14ac:dyDescent="0.25">
      <c r="BK35" s="210"/>
    </row>
    <row r="36" spans="63:63" s="211" customFormat="1" ht="15" customHeight="1" x14ac:dyDescent="0.25">
      <c r="BK36" s="210"/>
    </row>
    <row r="37" spans="63:63" s="211" customFormat="1" ht="15" customHeight="1" x14ac:dyDescent="0.25">
      <c r="BK37" s="210"/>
    </row>
    <row r="38" spans="63:63" s="211" customFormat="1" ht="15" customHeight="1" x14ac:dyDescent="0.25">
      <c r="BK38" s="210"/>
    </row>
    <row r="39" spans="63:63" s="211" customFormat="1" ht="15" customHeight="1" x14ac:dyDescent="0.25">
      <c r="BK39" s="210"/>
    </row>
    <row r="40" spans="63:63" s="211" customFormat="1" ht="15" customHeight="1" x14ac:dyDescent="0.25">
      <c r="BK40" s="210"/>
    </row>
    <row r="41" spans="63:63" s="211" customFormat="1" ht="15" customHeight="1" x14ac:dyDescent="0.25">
      <c r="BK41" s="210"/>
    </row>
    <row r="42" spans="63:63" s="211" customFormat="1" ht="15" customHeight="1" x14ac:dyDescent="0.25">
      <c r="BK42" s="210"/>
    </row>
    <row r="43" spans="63:63" s="211" customFormat="1" ht="15" customHeight="1" x14ac:dyDescent="0.25">
      <c r="BK43" s="210"/>
    </row>
    <row r="44" spans="63:63" s="211" customFormat="1" ht="15" customHeight="1" x14ac:dyDescent="0.25">
      <c r="BK44" s="210"/>
    </row>
    <row r="45" spans="63:63" s="211" customFormat="1" ht="15" customHeight="1" x14ac:dyDescent="0.25">
      <c r="BK45" s="210"/>
    </row>
    <row r="46" spans="63:63" s="211" customFormat="1" ht="15" customHeight="1" x14ac:dyDescent="0.25">
      <c r="BK46" s="210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8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1" customWidth="1"/>
    <col min="43" max="62" width="3.33203125" style="1" customWidth="1"/>
    <col min="63" max="63" width="2.77734375" style="1" customWidth="1"/>
    <col min="64" max="16384" width="10.109375" style="1"/>
  </cols>
  <sheetData>
    <row r="1" spans="1:63" ht="24.95" customHeight="1" x14ac:dyDescent="0.25">
      <c r="A1" s="193" t="s">
        <v>47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48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詳細設計書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19" t="s">
        <v>50</v>
      </c>
      <c r="AQ1" s="120"/>
      <c r="AR1" s="120"/>
      <c r="AS1" s="121"/>
      <c r="AT1" s="119" t="s">
        <v>51</v>
      </c>
      <c r="AU1" s="120"/>
      <c r="AV1" s="120"/>
      <c r="AW1" s="120"/>
      <c r="AX1" s="121"/>
      <c r="AY1" s="119" t="s">
        <v>52</v>
      </c>
      <c r="AZ1" s="120"/>
      <c r="BA1" s="120"/>
      <c r="BB1" s="121"/>
      <c r="BC1" s="119" t="s">
        <v>53</v>
      </c>
      <c r="BD1" s="120"/>
      <c r="BE1" s="120"/>
      <c r="BF1" s="120"/>
      <c r="BG1" s="121"/>
      <c r="BH1" s="119" t="s">
        <v>54</v>
      </c>
      <c r="BI1" s="120"/>
      <c r="BJ1" s="120"/>
      <c r="BK1" s="121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199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1"/>
      <c r="AP2" s="128" t="str">
        <f>IF(表紙!AP2="","",表紙!AP2)</f>
        <v>TuyenNH</v>
      </c>
      <c r="AQ2" s="126"/>
      <c r="AR2" s="126"/>
      <c r="AS2" s="127"/>
      <c r="AT2" s="132">
        <f>IF(表紙!AT2="","",表紙!AT2)</f>
        <v>45517</v>
      </c>
      <c r="AU2" s="133"/>
      <c r="AV2" s="133"/>
      <c r="AW2" s="133"/>
      <c r="AX2" s="134"/>
      <c r="AY2" s="128" t="str">
        <f>IF(表紙!AY2="","",表紙!AY2)</f>
        <v>TuyenNH</v>
      </c>
      <c r="AZ2" s="126"/>
      <c r="BA2" s="126"/>
      <c r="BB2" s="127"/>
      <c r="BC2" s="132">
        <f>IF(表紙!BC2="","",表紙!BC2)</f>
        <v>45517</v>
      </c>
      <c r="BD2" s="133"/>
      <c r="BE2" s="133"/>
      <c r="BF2" s="133"/>
      <c r="BG2" s="134"/>
      <c r="BH2" s="128">
        <f>IF(表紙!BH2="","",表紙!BH2)</f>
        <v>0.1</v>
      </c>
      <c r="BI2" s="126"/>
      <c r="BJ2" s="126"/>
      <c r="BK2" s="127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38"/>
      <c r="AQ3" s="139"/>
      <c r="AR3" s="139"/>
      <c r="AS3" s="140"/>
      <c r="AT3" s="144"/>
      <c r="AU3" s="145"/>
      <c r="AV3" s="145"/>
      <c r="AW3" s="145"/>
      <c r="AX3" s="146"/>
      <c r="AY3" s="138"/>
      <c r="AZ3" s="139"/>
      <c r="BA3" s="139"/>
      <c r="BB3" s="140"/>
      <c r="BC3" s="144"/>
      <c r="BD3" s="145"/>
      <c r="BE3" s="145"/>
      <c r="BF3" s="145"/>
      <c r="BG3" s="146"/>
      <c r="BH3" s="138"/>
      <c r="BI3" s="139"/>
      <c r="BJ3" s="139"/>
      <c r="BK3" s="140"/>
    </row>
    <row r="4" spans="1:63" ht="24.95" customHeight="1" x14ac:dyDescent="0.25">
      <c r="A4" s="193" t="s">
        <v>56</v>
      </c>
      <c r="B4" s="194"/>
      <c r="C4" s="194"/>
      <c r="D4" s="194"/>
      <c r="E4" s="194"/>
      <c r="F4" s="194"/>
      <c r="G4" s="195"/>
      <c r="H4" s="65" t="str">
        <f>IF(表紙!H4="","",表紙!H4)</f>
        <v>AP0202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3" t="s">
        <v>57</v>
      </c>
      <c r="V4" s="194"/>
      <c r="W4" s="194"/>
      <c r="X4" s="194"/>
      <c r="Y4" s="195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AP0202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66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212"/>
      <c r="AQ7" s="212"/>
      <c r="AR7" s="212"/>
      <c r="AS7" s="212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13"/>
      <c r="AQ8" s="213"/>
      <c r="AR8" s="213"/>
      <c r="AS8" s="213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35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13"/>
      <c r="AQ9" s="213"/>
      <c r="AR9" s="213"/>
      <c r="AS9" s="213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67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68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73" t="s">
        <v>14</v>
      </c>
      <c r="D15" s="75"/>
      <c r="E15" s="73" t="s">
        <v>15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5"/>
      <c r="AG15" s="73" t="s">
        <v>16</v>
      </c>
      <c r="AH15" s="74"/>
      <c r="AI15" s="74"/>
      <c r="AJ15" s="74"/>
      <c r="AK15" s="74"/>
      <c r="AL15" s="74"/>
      <c r="AM15" s="74"/>
      <c r="AN15" s="74"/>
      <c r="AO15" s="74"/>
      <c r="AP15" s="75"/>
      <c r="AQ15" s="73" t="s">
        <v>17</v>
      </c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5"/>
      <c r="BK15" s="17"/>
    </row>
    <row r="16" spans="1:63" s="18" customFormat="1" ht="15" customHeight="1" x14ac:dyDescent="0.25">
      <c r="A16" s="13"/>
      <c r="B16" s="20"/>
      <c r="C16" s="79">
        <v>1</v>
      </c>
      <c r="D16" s="81"/>
      <c r="E16" s="214" t="s">
        <v>45</v>
      </c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6"/>
      <c r="AG16" s="79" t="s">
        <v>22</v>
      </c>
      <c r="AH16" s="80"/>
      <c r="AI16" s="80"/>
      <c r="AJ16" s="80"/>
      <c r="AK16" s="80"/>
      <c r="AL16" s="80"/>
      <c r="AM16" s="80"/>
      <c r="AN16" s="80"/>
      <c r="AO16" s="80"/>
      <c r="AP16" s="81"/>
      <c r="AQ16" s="88" t="s">
        <v>6</v>
      </c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9"/>
      <c r="BF16" s="89"/>
      <c r="BG16" s="89"/>
      <c r="BH16" s="89"/>
      <c r="BI16" s="89"/>
      <c r="BJ16" s="90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69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76" t="s">
        <v>70</v>
      </c>
      <c r="D20" s="78"/>
      <c r="E20" s="76" t="s">
        <v>71</v>
      </c>
      <c r="F20" s="77"/>
      <c r="G20" s="77"/>
      <c r="H20" s="77"/>
      <c r="I20" s="77"/>
      <c r="J20" s="77"/>
      <c r="K20" s="78"/>
      <c r="L20" s="73" t="s">
        <v>18</v>
      </c>
      <c r="M20" s="74"/>
      <c r="N20" s="75"/>
      <c r="O20" s="73" t="s">
        <v>19</v>
      </c>
      <c r="P20" s="74"/>
      <c r="Q20" s="74"/>
      <c r="R20" s="75"/>
      <c r="S20" s="73" t="s">
        <v>20</v>
      </c>
      <c r="T20" s="74"/>
      <c r="U20" s="74"/>
      <c r="V20" s="74"/>
      <c r="W20" s="74"/>
      <c r="X20" s="74"/>
      <c r="Y20" s="75"/>
      <c r="Z20" s="76" t="s">
        <v>72</v>
      </c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8"/>
      <c r="AQ20" s="73" t="s">
        <v>17</v>
      </c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5"/>
      <c r="BK20" s="17"/>
    </row>
    <row r="21" spans="1:63" s="18" customFormat="1" ht="15" customHeight="1" x14ac:dyDescent="0.25">
      <c r="A21" s="13"/>
      <c r="B21" s="20"/>
      <c r="C21" s="69">
        <v>1</v>
      </c>
      <c r="D21" s="70"/>
      <c r="E21" s="217" t="s">
        <v>3</v>
      </c>
      <c r="F21" s="218"/>
      <c r="G21" s="218"/>
      <c r="H21" s="218"/>
      <c r="I21" s="218"/>
      <c r="J21" s="218"/>
      <c r="K21" s="219"/>
      <c r="L21" s="91" t="s">
        <v>4</v>
      </c>
      <c r="M21" s="92"/>
      <c r="N21" s="93"/>
      <c r="O21" s="69" t="s">
        <v>5</v>
      </c>
      <c r="P21" s="97"/>
      <c r="Q21" s="97"/>
      <c r="R21" s="70"/>
      <c r="S21" s="69" t="s">
        <v>6</v>
      </c>
      <c r="T21" s="97"/>
      <c r="U21" s="97"/>
      <c r="V21" s="97"/>
      <c r="W21" s="97"/>
      <c r="X21" s="97"/>
      <c r="Y21" s="70"/>
      <c r="Z21" s="217" t="s">
        <v>7</v>
      </c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9"/>
      <c r="AQ21" s="220" t="s">
        <v>73</v>
      </c>
      <c r="AR21" s="221"/>
      <c r="AS21" s="221"/>
      <c r="AT21" s="221"/>
      <c r="AU21" s="221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1"/>
      <c r="BG21" s="221"/>
      <c r="BH21" s="221"/>
      <c r="BI21" s="221"/>
      <c r="BJ21" s="222"/>
      <c r="BK21" s="17"/>
    </row>
    <row r="22" spans="1:63" s="18" customFormat="1" ht="15" customHeight="1" x14ac:dyDescent="0.25">
      <c r="A22" s="13"/>
      <c r="B22" s="20"/>
      <c r="C22" s="71"/>
      <c r="D22" s="72"/>
      <c r="E22" s="223"/>
      <c r="F22" s="224"/>
      <c r="G22" s="224"/>
      <c r="H22" s="224"/>
      <c r="I22" s="224"/>
      <c r="J22" s="224"/>
      <c r="K22" s="225"/>
      <c r="L22" s="94"/>
      <c r="M22" s="95"/>
      <c r="N22" s="96"/>
      <c r="O22" s="71"/>
      <c r="P22" s="98"/>
      <c r="Q22" s="98"/>
      <c r="R22" s="72"/>
      <c r="S22" s="71"/>
      <c r="T22" s="98"/>
      <c r="U22" s="98"/>
      <c r="V22" s="98"/>
      <c r="W22" s="98"/>
      <c r="X22" s="98"/>
      <c r="Y22" s="72"/>
      <c r="Z22" s="223"/>
      <c r="AA22" s="224"/>
      <c r="AB22" s="224"/>
      <c r="AC22" s="224"/>
      <c r="AD22" s="224"/>
      <c r="AE22" s="224"/>
      <c r="AF22" s="224"/>
      <c r="AG22" s="224"/>
      <c r="AH22" s="224"/>
      <c r="AI22" s="224"/>
      <c r="AJ22" s="224"/>
      <c r="AK22" s="224"/>
      <c r="AL22" s="224"/>
      <c r="AM22" s="224"/>
      <c r="AN22" s="224"/>
      <c r="AO22" s="224"/>
      <c r="AP22" s="225"/>
      <c r="AQ22" s="226"/>
      <c r="AR22" s="227"/>
      <c r="AS22" s="227"/>
      <c r="AT22" s="227"/>
      <c r="AU22" s="227"/>
      <c r="AV22" s="227"/>
      <c r="AW22" s="227"/>
      <c r="AX22" s="227"/>
      <c r="AY22" s="22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8"/>
      <c r="BK22" s="17"/>
    </row>
    <row r="23" spans="1:63" s="18" customFormat="1" ht="15" customHeight="1" x14ac:dyDescent="0.25">
      <c r="A23" s="13"/>
      <c r="B23" s="20"/>
      <c r="C23" s="79">
        <v>2</v>
      </c>
      <c r="D23" s="81"/>
      <c r="E23" s="229" t="s">
        <v>8</v>
      </c>
      <c r="F23" s="230"/>
      <c r="G23" s="230"/>
      <c r="H23" s="230"/>
      <c r="I23" s="230"/>
      <c r="J23" s="230"/>
      <c r="K23" s="231"/>
      <c r="L23" s="82" t="s">
        <v>6</v>
      </c>
      <c r="M23" s="83"/>
      <c r="N23" s="84"/>
      <c r="O23" s="79" t="s">
        <v>5</v>
      </c>
      <c r="P23" s="80"/>
      <c r="Q23" s="80"/>
      <c r="R23" s="81"/>
      <c r="S23" s="79" t="s">
        <v>6</v>
      </c>
      <c r="T23" s="80"/>
      <c r="U23" s="80"/>
      <c r="V23" s="80"/>
      <c r="W23" s="80"/>
      <c r="X23" s="80"/>
      <c r="Y23" s="81"/>
      <c r="Z23" s="229" t="s">
        <v>8</v>
      </c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1"/>
      <c r="AQ23" s="232" t="s">
        <v>9</v>
      </c>
      <c r="AR23" s="233"/>
      <c r="AS23" s="233"/>
      <c r="AT23" s="233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4"/>
      <c r="BK23" s="17"/>
    </row>
    <row r="24" spans="1:63" s="18" customFormat="1" ht="15" customHeight="1" x14ac:dyDescent="0.25">
      <c r="A24" s="13"/>
      <c r="B24" s="20"/>
      <c r="C24" s="69">
        <v>3</v>
      </c>
      <c r="D24" s="70"/>
      <c r="E24" s="217" t="s">
        <v>10</v>
      </c>
      <c r="F24" s="218"/>
      <c r="G24" s="218"/>
      <c r="H24" s="218"/>
      <c r="I24" s="218"/>
      <c r="J24" s="218"/>
      <c r="K24" s="219"/>
      <c r="L24" s="235" t="s">
        <v>4</v>
      </c>
      <c r="M24" s="236"/>
      <c r="N24" s="237"/>
      <c r="O24" s="238" t="s">
        <v>5</v>
      </c>
      <c r="P24" s="239"/>
      <c r="Q24" s="239"/>
      <c r="R24" s="240"/>
      <c r="S24" s="238" t="s">
        <v>46</v>
      </c>
      <c r="T24" s="239"/>
      <c r="U24" s="239"/>
      <c r="V24" s="239"/>
      <c r="W24" s="239"/>
      <c r="X24" s="239"/>
      <c r="Y24" s="240"/>
      <c r="Z24" s="241" t="s">
        <v>10</v>
      </c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42"/>
      <c r="AO24" s="242"/>
      <c r="AP24" s="243"/>
      <c r="AQ24" s="244" t="s">
        <v>74</v>
      </c>
      <c r="AR24" s="244"/>
      <c r="AS24" s="244"/>
      <c r="AT24" s="244"/>
      <c r="AU24" s="244"/>
      <c r="AV24" s="244"/>
      <c r="AW24" s="244"/>
      <c r="AX24" s="244"/>
      <c r="AY24" s="244"/>
      <c r="AZ24" s="244"/>
      <c r="BA24" s="244"/>
      <c r="BB24" s="244"/>
      <c r="BC24" s="244"/>
      <c r="BD24" s="244"/>
      <c r="BE24" s="244"/>
      <c r="BF24" s="244"/>
      <c r="BG24" s="244"/>
      <c r="BH24" s="244"/>
      <c r="BI24" s="244"/>
      <c r="BJ24" s="245"/>
      <c r="BK24" s="17"/>
    </row>
    <row r="25" spans="1:63" s="18" customFormat="1" ht="15" customHeight="1" x14ac:dyDescent="0.25">
      <c r="A25" s="13"/>
      <c r="B25" s="20"/>
      <c r="C25" s="117"/>
      <c r="D25" s="118"/>
      <c r="E25" s="246"/>
      <c r="F25" s="247"/>
      <c r="G25" s="247"/>
      <c r="H25" s="247"/>
      <c r="I25" s="247"/>
      <c r="J25" s="247"/>
      <c r="K25" s="248"/>
      <c r="L25" s="249"/>
      <c r="M25" s="250"/>
      <c r="N25" s="251"/>
      <c r="O25" s="252"/>
      <c r="P25" s="253"/>
      <c r="Q25" s="253"/>
      <c r="R25" s="254"/>
      <c r="S25" s="252"/>
      <c r="T25" s="253"/>
      <c r="U25" s="253"/>
      <c r="V25" s="253"/>
      <c r="W25" s="253"/>
      <c r="X25" s="253"/>
      <c r="Y25" s="254"/>
      <c r="Z25" s="255"/>
      <c r="AA25" s="256"/>
      <c r="AB25" s="256"/>
      <c r="AC25" s="256"/>
      <c r="AD25" s="256"/>
      <c r="AE25" s="256"/>
      <c r="AF25" s="256"/>
      <c r="AG25" s="256"/>
      <c r="AH25" s="256"/>
      <c r="AI25" s="256"/>
      <c r="AJ25" s="256"/>
      <c r="AK25" s="256"/>
      <c r="AL25" s="256"/>
      <c r="AM25" s="256"/>
      <c r="AN25" s="256"/>
      <c r="AO25" s="256"/>
      <c r="AP25" s="257"/>
      <c r="AQ25" s="258"/>
      <c r="AR25" s="258"/>
      <c r="AS25" s="258"/>
      <c r="AT25" s="258"/>
      <c r="AU25" s="258"/>
      <c r="AV25" s="258"/>
      <c r="AW25" s="258"/>
      <c r="AX25" s="258"/>
      <c r="AY25" s="258"/>
      <c r="AZ25" s="258"/>
      <c r="BA25" s="258"/>
      <c r="BB25" s="258"/>
      <c r="BC25" s="258"/>
      <c r="BD25" s="258"/>
      <c r="BE25" s="258"/>
      <c r="BF25" s="258"/>
      <c r="BG25" s="258"/>
      <c r="BH25" s="258"/>
      <c r="BI25" s="258"/>
      <c r="BJ25" s="259"/>
      <c r="BK25" s="17"/>
    </row>
    <row r="26" spans="1:63" s="18" customFormat="1" ht="15" customHeight="1" x14ac:dyDescent="0.25">
      <c r="A26" s="13"/>
      <c r="B26" s="20"/>
      <c r="C26" s="117"/>
      <c r="D26" s="118"/>
      <c r="E26" s="246"/>
      <c r="F26" s="247"/>
      <c r="G26" s="247"/>
      <c r="H26" s="247"/>
      <c r="I26" s="247"/>
      <c r="J26" s="247"/>
      <c r="K26" s="248"/>
      <c r="L26" s="249"/>
      <c r="M26" s="250"/>
      <c r="N26" s="251"/>
      <c r="O26" s="252"/>
      <c r="P26" s="253"/>
      <c r="Q26" s="253"/>
      <c r="R26" s="254"/>
      <c r="S26" s="252"/>
      <c r="T26" s="253"/>
      <c r="U26" s="253"/>
      <c r="V26" s="253"/>
      <c r="W26" s="253"/>
      <c r="X26" s="253"/>
      <c r="Y26" s="254"/>
      <c r="Z26" s="255"/>
      <c r="AA26" s="256"/>
      <c r="AB26" s="256"/>
      <c r="AC26" s="256"/>
      <c r="AD26" s="256"/>
      <c r="AE26" s="256"/>
      <c r="AF26" s="256"/>
      <c r="AG26" s="256"/>
      <c r="AH26" s="256"/>
      <c r="AI26" s="256"/>
      <c r="AJ26" s="256"/>
      <c r="AK26" s="256"/>
      <c r="AL26" s="256"/>
      <c r="AM26" s="256"/>
      <c r="AN26" s="256"/>
      <c r="AO26" s="256"/>
      <c r="AP26" s="257"/>
      <c r="AQ26" s="258"/>
      <c r="AR26" s="258"/>
      <c r="AS26" s="258"/>
      <c r="AT26" s="258"/>
      <c r="AU26" s="258"/>
      <c r="AV26" s="258"/>
      <c r="AW26" s="258"/>
      <c r="AX26" s="258"/>
      <c r="AY26" s="258"/>
      <c r="AZ26" s="258"/>
      <c r="BA26" s="258"/>
      <c r="BB26" s="258"/>
      <c r="BC26" s="258"/>
      <c r="BD26" s="258"/>
      <c r="BE26" s="258"/>
      <c r="BF26" s="258"/>
      <c r="BG26" s="258"/>
      <c r="BH26" s="258"/>
      <c r="BI26" s="258"/>
      <c r="BJ26" s="259"/>
      <c r="BK26" s="17"/>
    </row>
    <row r="27" spans="1:63" s="18" customFormat="1" ht="6" customHeight="1" x14ac:dyDescent="0.25">
      <c r="A27" s="13"/>
      <c r="B27" s="20"/>
      <c r="C27" s="117"/>
      <c r="D27" s="118"/>
      <c r="E27" s="246"/>
      <c r="F27" s="247"/>
      <c r="G27" s="247"/>
      <c r="H27" s="247"/>
      <c r="I27" s="247"/>
      <c r="J27" s="247"/>
      <c r="K27" s="248"/>
      <c r="L27" s="249"/>
      <c r="M27" s="250"/>
      <c r="N27" s="251"/>
      <c r="O27" s="252"/>
      <c r="P27" s="253"/>
      <c r="Q27" s="253"/>
      <c r="R27" s="254"/>
      <c r="S27" s="252"/>
      <c r="T27" s="253"/>
      <c r="U27" s="253"/>
      <c r="V27" s="253"/>
      <c r="W27" s="253"/>
      <c r="X27" s="253"/>
      <c r="Y27" s="254"/>
      <c r="Z27" s="255"/>
      <c r="AA27" s="256"/>
      <c r="AB27" s="256"/>
      <c r="AC27" s="256"/>
      <c r="AD27" s="256"/>
      <c r="AE27" s="256"/>
      <c r="AF27" s="256"/>
      <c r="AG27" s="256"/>
      <c r="AH27" s="256"/>
      <c r="AI27" s="256"/>
      <c r="AJ27" s="256"/>
      <c r="AK27" s="256"/>
      <c r="AL27" s="256"/>
      <c r="AM27" s="256"/>
      <c r="AN27" s="256"/>
      <c r="AO27" s="256"/>
      <c r="AP27" s="257"/>
      <c r="AQ27" s="258"/>
      <c r="AR27" s="258"/>
      <c r="AS27" s="258"/>
      <c r="AT27" s="258"/>
      <c r="AU27" s="258"/>
      <c r="AV27" s="258"/>
      <c r="AW27" s="258"/>
      <c r="AX27" s="258"/>
      <c r="AY27" s="258"/>
      <c r="AZ27" s="258"/>
      <c r="BA27" s="258"/>
      <c r="BB27" s="258"/>
      <c r="BC27" s="258"/>
      <c r="BD27" s="258"/>
      <c r="BE27" s="258"/>
      <c r="BF27" s="258"/>
      <c r="BG27" s="258"/>
      <c r="BH27" s="258"/>
      <c r="BI27" s="258"/>
      <c r="BJ27" s="259"/>
      <c r="BK27" s="17"/>
    </row>
    <row r="28" spans="1:63" s="18" customFormat="1" ht="6" customHeight="1" x14ac:dyDescent="0.25">
      <c r="A28" s="13"/>
      <c r="B28" s="20"/>
      <c r="C28" s="117"/>
      <c r="D28" s="118"/>
      <c r="E28" s="246"/>
      <c r="F28" s="247"/>
      <c r="G28" s="247"/>
      <c r="H28" s="247"/>
      <c r="I28" s="247"/>
      <c r="J28" s="247"/>
      <c r="K28" s="248"/>
      <c r="L28" s="249"/>
      <c r="M28" s="250"/>
      <c r="N28" s="251"/>
      <c r="O28" s="252"/>
      <c r="P28" s="253"/>
      <c r="Q28" s="253"/>
      <c r="R28" s="254"/>
      <c r="S28" s="252"/>
      <c r="T28" s="253"/>
      <c r="U28" s="253"/>
      <c r="V28" s="253"/>
      <c r="W28" s="253"/>
      <c r="X28" s="253"/>
      <c r="Y28" s="254"/>
      <c r="Z28" s="255"/>
      <c r="AA28" s="256"/>
      <c r="AB28" s="256"/>
      <c r="AC28" s="256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6"/>
      <c r="AP28" s="257"/>
      <c r="AQ28" s="258"/>
      <c r="AR28" s="258"/>
      <c r="AS28" s="258"/>
      <c r="AT28" s="258"/>
      <c r="AU28" s="258"/>
      <c r="AV28" s="258"/>
      <c r="AW28" s="258"/>
      <c r="AX28" s="258"/>
      <c r="AY28" s="258"/>
      <c r="AZ28" s="258"/>
      <c r="BA28" s="258"/>
      <c r="BB28" s="258"/>
      <c r="BC28" s="258"/>
      <c r="BD28" s="258"/>
      <c r="BE28" s="258"/>
      <c r="BF28" s="258"/>
      <c r="BG28" s="258"/>
      <c r="BH28" s="258"/>
      <c r="BI28" s="258"/>
      <c r="BJ28" s="259"/>
      <c r="BK28" s="17"/>
    </row>
    <row r="29" spans="1:63" s="18" customFormat="1" ht="6" customHeight="1" x14ac:dyDescent="0.25">
      <c r="A29" s="13"/>
      <c r="B29" s="20"/>
      <c r="C29" s="117"/>
      <c r="D29" s="118"/>
      <c r="E29" s="246"/>
      <c r="F29" s="247"/>
      <c r="G29" s="247"/>
      <c r="H29" s="247"/>
      <c r="I29" s="247"/>
      <c r="J29" s="247"/>
      <c r="K29" s="248"/>
      <c r="L29" s="249"/>
      <c r="M29" s="250"/>
      <c r="N29" s="251"/>
      <c r="O29" s="252"/>
      <c r="P29" s="253"/>
      <c r="Q29" s="253"/>
      <c r="R29" s="254"/>
      <c r="S29" s="252"/>
      <c r="T29" s="253"/>
      <c r="U29" s="253"/>
      <c r="V29" s="253"/>
      <c r="W29" s="253"/>
      <c r="X29" s="253"/>
      <c r="Y29" s="254"/>
      <c r="Z29" s="255"/>
      <c r="AA29" s="256"/>
      <c r="AB29" s="256"/>
      <c r="AC29" s="256"/>
      <c r="AD29" s="256"/>
      <c r="AE29" s="256"/>
      <c r="AF29" s="256"/>
      <c r="AG29" s="256"/>
      <c r="AH29" s="256"/>
      <c r="AI29" s="256"/>
      <c r="AJ29" s="256"/>
      <c r="AK29" s="256"/>
      <c r="AL29" s="256"/>
      <c r="AM29" s="256"/>
      <c r="AN29" s="256"/>
      <c r="AO29" s="256"/>
      <c r="AP29" s="257"/>
      <c r="AQ29" s="258"/>
      <c r="AR29" s="258"/>
      <c r="AS29" s="258"/>
      <c r="AT29" s="258"/>
      <c r="AU29" s="258"/>
      <c r="AV29" s="258"/>
      <c r="AW29" s="258"/>
      <c r="AX29" s="258"/>
      <c r="AY29" s="258"/>
      <c r="AZ29" s="258"/>
      <c r="BA29" s="258"/>
      <c r="BB29" s="258"/>
      <c r="BC29" s="258"/>
      <c r="BD29" s="258"/>
      <c r="BE29" s="258"/>
      <c r="BF29" s="258"/>
      <c r="BG29" s="258"/>
      <c r="BH29" s="258"/>
      <c r="BI29" s="258"/>
      <c r="BJ29" s="259"/>
      <c r="BK29" s="17"/>
    </row>
    <row r="30" spans="1:63" s="18" customFormat="1" ht="6" customHeight="1" x14ac:dyDescent="0.25">
      <c r="A30" s="13"/>
      <c r="B30" s="20"/>
      <c r="C30" s="71"/>
      <c r="D30" s="72"/>
      <c r="E30" s="223"/>
      <c r="F30" s="224"/>
      <c r="G30" s="224"/>
      <c r="H30" s="224"/>
      <c r="I30" s="224"/>
      <c r="J30" s="224"/>
      <c r="K30" s="225"/>
      <c r="L30" s="260"/>
      <c r="M30" s="261"/>
      <c r="N30" s="262"/>
      <c r="O30" s="263"/>
      <c r="P30" s="264"/>
      <c r="Q30" s="264"/>
      <c r="R30" s="265"/>
      <c r="S30" s="263"/>
      <c r="T30" s="264"/>
      <c r="U30" s="264"/>
      <c r="V30" s="264"/>
      <c r="W30" s="264"/>
      <c r="X30" s="264"/>
      <c r="Y30" s="265"/>
      <c r="Z30" s="266"/>
      <c r="AA30" s="267"/>
      <c r="AB30" s="267"/>
      <c r="AC30" s="267"/>
      <c r="AD30" s="267"/>
      <c r="AE30" s="267"/>
      <c r="AF30" s="267"/>
      <c r="AG30" s="267"/>
      <c r="AH30" s="267"/>
      <c r="AI30" s="267"/>
      <c r="AJ30" s="267"/>
      <c r="AK30" s="267"/>
      <c r="AL30" s="267"/>
      <c r="AM30" s="267"/>
      <c r="AN30" s="267"/>
      <c r="AO30" s="267"/>
      <c r="AP30" s="268"/>
      <c r="AQ30" s="269"/>
      <c r="AR30" s="269"/>
      <c r="AS30" s="269"/>
      <c r="AT30" s="269"/>
      <c r="AU30" s="269"/>
      <c r="AV30" s="269"/>
      <c r="AW30" s="269"/>
      <c r="AX30" s="269"/>
      <c r="AY30" s="269"/>
      <c r="AZ30" s="269"/>
      <c r="BA30" s="269"/>
      <c r="BB30" s="269"/>
      <c r="BC30" s="269"/>
      <c r="BD30" s="269"/>
      <c r="BE30" s="269"/>
      <c r="BF30" s="269"/>
      <c r="BG30" s="269"/>
      <c r="BH30" s="269"/>
      <c r="BI30" s="269"/>
      <c r="BJ30" s="270"/>
      <c r="BK30" s="17"/>
    </row>
    <row r="31" spans="1:63" s="18" customFormat="1" ht="15" customHeight="1" x14ac:dyDescent="0.25">
      <c r="A31" s="13"/>
      <c r="B31" s="20"/>
      <c r="C31" s="79">
        <v>4</v>
      </c>
      <c r="D31" s="81"/>
      <c r="E31" s="229" t="s">
        <v>11</v>
      </c>
      <c r="F31" s="230"/>
      <c r="G31" s="230"/>
      <c r="H31" s="230"/>
      <c r="I31" s="230"/>
      <c r="J31" s="230"/>
      <c r="K31" s="231"/>
      <c r="L31" s="82" t="s">
        <v>6</v>
      </c>
      <c r="M31" s="83"/>
      <c r="N31" s="84"/>
      <c r="O31" s="79" t="s">
        <v>5</v>
      </c>
      <c r="P31" s="80"/>
      <c r="Q31" s="80"/>
      <c r="R31" s="81"/>
      <c r="S31" s="79" t="s">
        <v>6</v>
      </c>
      <c r="T31" s="80"/>
      <c r="U31" s="80"/>
      <c r="V31" s="80"/>
      <c r="W31" s="80"/>
      <c r="X31" s="80"/>
      <c r="Y31" s="81"/>
      <c r="Z31" s="229" t="s">
        <v>11</v>
      </c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1"/>
      <c r="AQ31" s="232" t="s">
        <v>12</v>
      </c>
      <c r="AR31" s="233"/>
      <c r="AS31" s="233"/>
      <c r="AT31" s="233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4"/>
      <c r="BK31" s="17"/>
    </row>
    <row r="32" spans="1:63" s="18" customFormat="1" ht="15" customHeight="1" x14ac:dyDescent="0.25">
      <c r="A32" s="13"/>
      <c r="B32" s="20"/>
      <c r="C32" s="79">
        <v>5</v>
      </c>
      <c r="D32" s="81"/>
      <c r="E32" s="229" t="s">
        <v>13</v>
      </c>
      <c r="F32" s="230"/>
      <c r="G32" s="230"/>
      <c r="H32" s="230"/>
      <c r="I32" s="230"/>
      <c r="J32" s="230"/>
      <c r="K32" s="231"/>
      <c r="L32" s="82" t="s">
        <v>6</v>
      </c>
      <c r="M32" s="83"/>
      <c r="N32" s="84"/>
      <c r="O32" s="79" t="s">
        <v>5</v>
      </c>
      <c r="P32" s="80"/>
      <c r="Q32" s="80"/>
      <c r="R32" s="81"/>
      <c r="S32" s="79" t="s">
        <v>6</v>
      </c>
      <c r="T32" s="80"/>
      <c r="U32" s="80"/>
      <c r="V32" s="80"/>
      <c r="W32" s="80"/>
      <c r="X32" s="80"/>
      <c r="Y32" s="81"/>
      <c r="Z32" s="229" t="s">
        <v>13</v>
      </c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1"/>
      <c r="AQ32" s="232" t="s">
        <v>75</v>
      </c>
      <c r="AR32" s="233"/>
      <c r="AS32" s="233"/>
      <c r="AT32" s="233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4"/>
      <c r="BK32" s="17"/>
    </row>
    <row r="33" spans="1:63" s="18" customFormat="1" ht="15" customHeight="1" x14ac:dyDescent="0.25">
      <c r="A33" s="13"/>
      <c r="B33" s="20"/>
      <c r="C33" s="20"/>
      <c r="D33" s="20"/>
      <c r="E33" s="213"/>
      <c r="F33" s="213"/>
      <c r="G33" s="213"/>
      <c r="H33" s="213"/>
      <c r="I33" s="20"/>
      <c r="J33" s="20"/>
      <c r="K33" s="20"/>
      <c r="L33" s="29"/>
      <c r="M33" s="213"/>
      <c r="N33" s="213"/>
      <c r="O33" s="213"/>
      <c r="P33" s="213"/>
      <c r="Q33" s="20"/>
      <c r="R33" s="20"/>
      <c r="S33" s="20"/>
      <c r="T33" s="20"/>
      <c r="U33" s="20"/>
      <c r="V33" s="20"/>
      <c r="W33" s="20"/>
      <c r="X33" s="20"/>
      <c r="Y33" s="20"/>
      <c r="Z33" s="27"/>
      <c r="AA33" s="20"/>
      <c r="AB33" s="20"/>
      <c r="AC33" s="20"/>
      <c r="AD33" s="20"/>
      <c r="AE33" s="20"/>
      <c r="AF33" s="20"/>
      <c r="AG33" s="213"/>
      <c r="AH33" s="213"/>
      <c r="AI33" s="213"/>
      <c r="AJ33" s="213"/>
      <c r="AK33" s="213"/>
      <c r="AL33" s="213"/>
      <c r="AM33" s="213"/>
      <c r="AN33" s="213"/>
      <c r="AO33" s="213"/>
      <c r="AP33" s="20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1"/>
      <c r="BI33" s="21"/>
      <c r="BJ33" s="21"/>
      <c r="BK33" s="17"/>
    </row>
    <row r="34" spans="1:63" s="18" customFormat="1" ht="15" customHeight="1" x14ac:dyDescent="0.25">
      <c r="A34" s="13"/>
      <c r="B34" s="20"/>
      <c r="C34" s="23" t="s">
        <v>76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19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1"/>
      <c r="BI35" s="21"/>
      <c r="BJ35" s="21"/>
      <c r="BK35" s="17"/>
    </row>
    <row r="36" spans="1:63" s="18" customFormat="1" ht="15" customHeight="1" x14ac:dyDescent="0.25">
      <c r="A36" s="13"/>
      <c r="B36" s="20"/>
      <c r="C36" s="106" t="s">
        <v>14</v>
      </c>
      <c r="D36" s="107"/>
      <c r="E36" s="76" t="s">
        <v>77</v>
      </c>
      <c r="F36" s="271"/>
      <c r="G36" s="271"/>
      <c r="H36" s="271"/>
      <c r="I36" s="271"/>
      <c r="J36" s="271"/>
      <c r="K36" s="272"/>
      <c r="L36" s="73" t="s">
        <v>18</v>
      </c>
      <c r="M36" s="74"/>
      <c r="N36" s="75"/>
      <c r="O36" s="73" t="s">
        <v>19</v>
      </c>
      <c r="P36" s="74"/>
      <c r="Q36" s="74"/>
      <c r="R36" s="75"/>
      <c r="S36" s="73" t="s">
        <v>20</v>
      </c>
      <c r="T36" s="74"/>
      <c r="U36" s="74"/>
      <c r="V36" s="74"/>
      <c r="W36" s="74"/>
      <c r="X36" s="74"/>
      <c r="Y36" s="75"/>
      <c r="Z36" s="76" t="s">
        <v>72</v>
      </c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8"/>
      <c r="AQ36" s="108" t="s">
        <v>17</v>
      </c>
      <c r="AR36" s="109"/>
      <c r="AS36" s="109"/>
      <c r="AT36" s="109"/>
      <c r="AU36" s="109"/>
      <c r="AV36" s="109"/>
      <c r="AW36" s="109"/>
      <c r="AX36" s="109"/>
      <c r="AY36" s="109"/>
      <c r="AZ36" s="109"/>
      <c r="BA36" s="109"/>
      <c r="BB36" s="109"/>
      <c r="BC36" s="109"/>
      <c r="BD36" s="109"/>
      <c r="BE36" s="109"/>
      <c r="BF36" s="109"/>
      <c r="BG36" s="109"/>
      <c r="BH36" s="109"/>
      <c r="BI36" s="109"/>
      <c r="BJ36" s="110"/>
      <c r="BK36" s="17"/>
    </row>
    <row r="37" spans="1:63" s="18" customFormat="1" ht="15" customHeight="1" x14ac:dyDescent="0.25">
      <c r="A37" s="13"/>
      <c r="B37" s="20"/>
      <c r="C37" s="82" t="s">
        <v>23</v>
      </c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4"/>
      <c r="BK37" s="17"/>
    </row>
    <row r="38" spans="1:63" s="18" customFormat="1" ht="15" customHeight="1" x14ac:dyDescent="0.25">
      <c r="A38" s="13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1"/>
      <c r="BI38" s="21"/>
      <c r="BJ38" s="21"/>
      <c r="BK38" s="17"/>
    </row>
    <row r="39" spans="1:63" s="18" customFormat="1" ht="15" customHeight="1" x14ac:dyDescent="0.25">
      <c r="A39" s="13"/>
      <c r="B39" s="20"/>
      <c r="C39" s="23" t="s">
        <v>78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1"/>
      <c r="BK39" s="17"/>
    </row>
    <row r="40" spans="1:63" s="18" customFormat="1" ht="15" customHeight="1" x14ac:dyDescent="0.25">
      <c r="A40" s="13"/>
      <c r="B40" s="20"/>
      <c r="C40" s="19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1"/>
      <c r="BK40" s="17"/>
    </row>
    <row r="41" spans="1:63" s="18" customFormat="1" ht="15" customHeight="1" x14ac:dyDescent="0.25">
      <c r="A41" s="13"/>
      <c r="B41" s="20"/>
      <c r="C41" s="106" t="s">
        <v>14</v>
      </c>
      <c r="D41" s="107"/>
      <c r="E41" s="273" t="s">
        <v>21</v>
      </c>
      <c r="F41" s="271"/>
      <c r="G41" s="271"/>
      <c r="H41" s="271"/>
      <c r="I41" s="271"/>
      <c r="J41" s="271"/>
      <c r="K41" s="272"/>
      <c r="L41" s="73" t="s">
        <v>18</v>
      </c>
      <c r="M41" s="74"/>
      <c r="N41" s="75"/>
      <c r="O41" s="73" t="s">
        <v>19</v>
      </c>
      <c r="P41" s="74"/>
      <c r="Q41" s="74"/>
      <c r="R41" s="75"/>
      <c r="S41" s="73" t="s">
        <v>20</v>
      </c>
      <c r="T41" s="74"/>
      <c r="U41" s="74"/>
      <c r="V41" s="74"/>
      <c r="W41" s="74"/>
      <c r="X41" s="74"/>
      <c r="Y41" s="75"/>
      <c r="Z41" s="76" t="s">
        <v>72</v>
      </c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8"/>
      <c r="AQ41" s="108" t="s">
        <v>17</v>
      </c>
      <c r="AR41" s="109"/>
      <c r="AS41" s="109"/>
      <c r="AT41" s="109"/>
      <c r="AU41" s="109"/>
      <c r="AV41" s="109"/>
      <c r="AW41" s="109"/>
      <c r="AX41" s="109"/>
      <c r="AY41" s="109"/>
      <c r="AZ41" s="109"/>
      <c r="BA41" s="109"/>
      <c r="BB41" s="109"/>
      <c r="BC41" s="109"/>
      <c r="BD41" s="109"/>
      <c r="BE41" s="109"/>
      <c r="BF41" s="109"/>
      <c r="BG41" s="109"/>
      <c r="BH41" s="109"/>
      <c r="BI41" s="109"/>
      <c r="BJ41" s="110"/>
      <c r="BK41" s="17"/>
    </row>
    <row r="42" spans="1:63" s="18" customFormat="1" ht="15" customHeight="1" x14ac:dyDescent="0.25">
      <c r="A42" s="13"/>
      <c r="B42" s="20"/>
      <c r="C42" s="79">
        <v>1</v>
      </c>
      <c r="D42" s="81"/>
      <c r="E42" s="229" t="s">
        <v>37</v>
      </c>
      <c r="F42" s="230"/>
      <c r="G42" s="230"/>
      <c r="H42" s="230"/>
      <c r="I42" s="230"/>
      <c r="J42" s="230"/>
      <c r="K42" s="231"/>
      <c r="L42" s="82"/>
      <c r="M42" s="83"/>
      <c r="N42" s="84"/>
      <c r="O42" s="79" t="s">
        <v>24</v>
      </c>
      <c r="P42" s="80"/>
      <c r="Q42" s="80"/>
      <c r="R42" s="81"/>
      <c r="S42" s="79" t="s">
        <v>6</v>
      </c>
      <c r="T42" s="80"/>
      <c r="U42" s="80"/>
      <c r="V42" s="80"/>
      <c r="W42" s="80"/>
      <c r="X42" s="80"/>
      <c r="Y42" s="81"/>
      <c r="Z42" s="229" t="s">
        <v>6</v>
      </c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1"/>
      <c r="AQ42" s="105" t="s">
        <v>79</v>
      </c>
      <c r="AR42" s="89"/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  <c r="BD42" s="89"/>
      <c r="BE42" s="89"/>
      <c r="BF42" s="89"/>
      <c r="BG42" s="89"/>
      <c r="BH42" s="89"/>
      <c r="BI42" s="89"/>
      <c r="BJ42" s="90"/>
      <c r="BK42" s="17"/>
    </row>
    <row r="43" spans="1:63" s="18" customFormat="1" ht="15.75" customHeight="1" x14ac:dyDescent="0.25">
      <c r="A43" s="13"/>
      <c r="B43" s="20"/>
      <c r="C43" s="69">
        <v>2</v>
      </c>
      <c r="D43" s="70"/>
      <c r="E43" s="217" t="s">
        <v>80</v>
      </c>
      <c r="F43" s="218"/>
      <c r="G43" s="218"/>
      <c r="H43" s="218"/>
      <c r="I43" s="218"/>
      <c r="J43" s="218"/>
      <c r="K43" s="219"/>
      <c r="L43" s="91" t="s">
        <v>6</v>
      </c>
      <c r="M43" s="92"/>
      <c r="N43" s="93"/>
      <c r="O43" s="69" t="s">
        <v>30</v>
      </c>
      <c r="P43" s="97"/>
      <c r="Q43" s="97"/>
      <c r="R43" s="70"/>
      <c r="S43" s="69" t="s">
        <v>6</v>
      </c>
      <c r="T43" s="97"/>
      <c r="U43" s="97"/>
      <c r="V43" s="97"/>
      <c r="W43" s="97"/>
      <c r="X43" s="97"/>
      <c r="Y43" s="70"/>
      <c r="Z43" s="217" t="s">
        <v>39</v>
      </c>
      <c r="AA43" s="218"/>
      <c r="AB43" s="218"/>
      <c r="AC43" s="218"/>
      <c r="AD43" s="218"/>
      <c r="AE43" s="218"/>
      <c r="AF43" s="218"/>
      <c r="AG43" s="218"/>
      <c r="AH43" s="218"/>
      <c r="AI43" s="218"/>
      <c r="AJ43" s="218"/>
      <c r="AK43" s="218"/>
      <c r="AL43" s="218"/>
      <c r="AM43" s="218"/>
      <c r="AN43" s="218"/>
      <c r="AO43" s="218"/>
      <c r="AP43" s="219"/>
      <c r="AQ43" s="220" t="s">
        <v>81</v>
      </c>
      <c r="AR43" s="221"/>
      <c r="AS43" s="221"/>
      <c r="AT43" s="221"/>
      <c r="AU43" s="221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1"/>
      <c r="BG43" s="221"/>
      <c r="BH43" s="221"/>
      <c r="BI43" s="221"/>
      <c r="BJ43" s="222"/>
      <c r="BK43" s="17"/>
    </row>
    <row r="44" spans="1:63" s="18" customFormat="1" ht="15.75" customHeight="1" x14ac:dyDescent="0.25">
      <c r="A44" s="13"/>
      <c r="B44" s="20"/>
      <c r="C44" s="71"/>
      <c r="D44" s="72"/>
      <c r="E44" s="223"/>
      <c r="F44" s="224"/>
      <c r="G44" s="224"/>
      <c r="H44" s="224"/>
      <c r="I44" s="224"/>
      <c r="J44" s="224"/>
      <c r="K44" s="225"/>
      <c r="L44" s="94"/>
      <c r="M44" s="95"/>
      <c r="N44" s="96"/>
      <c r="O44" s="71"/>
      <c r="P44" s="98"/>
      <c r="Q44" s="98"/>
      <c r="R44" s="72"/>
      <c r="S44" s="71"/>
      <c r="T44" s="98"/>
      <c r="U44" s="98"/>
      <c r="V44" s="98"/>
      <c r="W44" s="98"/>
      <c r="X44" s="98"/>
      <c r="Y44" s="72"/>
      <c r="Z44" s="223"/>
      <c r="AA44" s="224"/>
      <c r="AB44" s="224"/>
      <c r="AC44" s="224"/>
      <c r="AD44" s="224"/>
      <c r="AE44" s="224"/>
      <c r="AF44" s="224"/>
      <c r="AG44" s="224"/>
      <c r="AH44" s="224"/>
      <c r="AI44" s="224"/>
      <c r="AJ44" s="224"/>
      <c r="AK44" s="224"/>
      <c r="AL44" s="224"/>
      <c r="AM44" s="224"/>
      <c r="AN44" s="224"/>
      <c r="AO44" s="224"/>
      <c r="AP44" s="225"/>
      <c r="AQ44" s="226"/>
      <c r="AR44" s="227"/>
      <c r="AS44" s="227"/>
      <c r="AT44" s="227"/>
      <c r="AU44" s="227"/>
      <c r="AV44" s="227"/>
      <c r="AW44" s="227"/>
      <c r="AX44" s="227"/>
      <c r="AY44" s="22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8"/>
      <c r="BK44" s="17"/>
    </row>
    <row r="45" spans="1:63" s="18" customFormat="1" x14ac:dyDescent="0.25">
      <c r="A45" s="13"/>
      <c r="B45" s="20"/>
      <c r="C45" s="79">
        <v>3</v>
      </c>
      <c r="D45" s="81"/>
      <c r="E45" s="229" t="s">
        <v>82</v>
      </c>
      <c r="F45" s="230"/>
      <c r="G45" s="230"/>
      <c r="H45" s="230"/>
      <c r="I45" s="230"/>
      <c r="J45" s="230"/>
      <c r="K45" s="231"/>
      <c r="L45" s="82" t="s">
        <v>4</v>
      </c>
      <c r="M45" s="83"/>
      <c r="N45" s="84"/>
      <c r="O45" s="79" t="s">
        <v>5</v>
      </c>
      <c r="P45" s="80"/>
      <c r="Q45" s="80"/>
      <c r="R45" s="81"/>
      <c r="S45" s="79" t="s">
        <v>6</v>
      </c>
      <c r="T45" s="80"/>
      <c r="U45" s="80"/>
      <c r="V45" s="80"/>
      <c r="W45" s="80"/>
      <c r="X45" s="80"/>
      <c r="Y45" s="81"/>
      <c r="Z45" s="229" t="s">
        <v>38</v>
      </c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1"/>
      <c r="AQ45" s="99" t="s">
        <v>83</v>
      </c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1"/>
      <c r="BK45" s="17"/>
    </row>
    <row r="46" spans="1:63" s="18" customFormat="1" ht="52.5" customHeight="1" x14ac:dyDescent="0.25">
      <c r="A46" s="13"/>
      <c r="B46" s="20"/>
      <c r="C46" s="79">
        <v>4</v>
      </c>
      <c r="D46" s="81"/>
      <c r="E46" s="229" t="s">
        <v>84</v>
      </c>
      <c r="F46" s="230"/>
      <c r="G46" s="230"/>
      <c r="H46" s="230"/>
      <c r="I46" s="230"/>
      <c r="J46" s="230"/>
      <c r="K46" s="231"/>
      <c r="L46" s="82" t="s">
        <v>4</v>
      </c>
      <c r="M46" s="83"/>
      <c r="N46" s="84"/>
      <c r="O46" s="79" t="s">
        <v>5</v>
      </c>
      <c r="P46" s="80"/>
      <c r="Q46" s="80"/>
      <c r="R46" s="81"/>
      <c r="S46" s="79" t="s">
        <v>6</v>
      </c>
      <c r="T46" s="80"/>
      <c r="U46" s="80"/>
      <c r="V46" s="80"/>
      <c r="W46" s="80"/>
      <c r="X46" s="80"/>
      <c r="Y46" s="81"/>
      <c r="Z46" s="229" t="s">
        <v>40</v>
      </c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1"/>
      <c r="AQ46" s="99" t="s">
        <v>85</v>
      </c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1"/>
      <c r="BK46" s="17"/>
    </row>
    <row r="47" spans="1:63" s="18" customFormat="1" ht="33.75" customHeight="1" x14ac:dyDescent="0.25">
      <c r="A47" s="13"/>
      <c r="B47" s="20"/>
      <c r="C47" s="79">
        <v>5</v>
      </c>
      <c r="D47" s="81"/>
      <c r="E47" s="229" t="s">
        <v>86</v>
      </c>
      <c r="F47" s="230"/>
      <c r="G47" s="230"/>
      <c r="H47" s="230"/>
      <c r="I47" s="230"/>
      <c r="J47" s="230"/>
      <c r="K47" s="231"/>
      <c r="L47" s="82" t="s">
        <v>4</v>
      </c>
      <c r="M47" s="83"/>
      <c r="N47" s="84"/>
      <c r="O47" s="79" t="s">
        <v>5</v>
      </c>
      <c r="P47" s="80"/>
      <c r="Q47" s="80"/>
      <c r="R47" s="81"/>
      <c r="S47" s="79" t="s">
        <v>6</v>
      </c>
      <c r="T47" s="80"/>
      <c r="U47" s="80"/>
      <c r="V47" s="80"/>
      <c r="W47" s="80"/>
      <c r="X47" s="80"/>
      <c r="Y47" s="81"/>
      <c r="Z47" s="229" t="s">
        <v>41</v>
      </c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1"/>
      <c r="AQ47" s="232" t="s">
        <v>87</v>
      </c>
      <c r="AR47" s="233"/>
      <c r="AS47" s="233"/>
      <c r="AT47" s="233"/>
      <c r="AU47" s="233"/>
      <c r="AV47" s="233"/>
      <c r="AW47" s="233"/>
      <c r="AX47" s="233"/>
      <c r="AY47" s="233"/>
      <c r="AZ47" s="233"/>
      <c r="BA47" s="233"/>
      <c r="BB47" s="233"/>
      <c r="BC47" s="233"/>
      <c r="BD47" s="233"/>
      <c r="BE47" s="233"/>
      <c r="BF47" s="233"/>
      <c r="BG47" s="233"/>
      <c r="BH47" s="233"/>
      <c r="BI47" s="233"/>
      <c r="BJ47" s="234"/>
      <c r="BK47" s="17"/>
    </row>
    <row r="48" spans="1:63" s="18" customFormat="1" ht="48.75" customHeight="1" x14ac:dyDescent="0.25">
      <c r="A48" s="13"/>
      <c r="B48" s="20"/>
      <c r="C48" s="79">
        <v>6</v>
      </c>
      <c r="D48" s="81"/>
      <c r="E48" s="229" t="s">
        <v>88</v>
      </c>
      <c r="F48" s="230"/>
      <c r="G48" s="230"/>
      <c r="H48" s="230"/>
      <c r="I48" s="230"/>
      <c r="J48" s="230"/>
      <c r="K48" s="231"/>
      <c r="L48" s="82" t="s">
        <v>4</v>
      </c>
      <c r="M48" s="83"/>
      <c r="N48" s="84"/>
      <c r="O48" s="79" t="s">
        <v>5</v>
      </c>
      <c r="P48" s="80"/>
      <c r="Q48" s="80"/>
      <c r="R48" s="81"/>
      <c r="S48" s="79" t="s">
        <v>6</v>
      </c>
      <c r="T48" s="80"/>
      <c r="U48" s="80"/>
      <c r="V48" s="80"/>
      <c r="W48" s="80"/>
      <c r="X48" s="80"/>
      <c r="Y48" s="81"/>
      <c r="Z48" s="229" t="s">
        <v>42</v>
      </c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1"/>
      <c r="AQ48" s="232" t="s">
        <v>89</v>
      </c>
      <c r="AR48" s="233"/>
      <c r="AS48" s="233"/>
      <c r="AT48" s="233"/>
      <c r="AU48" s="233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33"/>
      <c r="BG48" s="233"/>
      <c r="BH48" s="233"/>
      <c r="BI48" s="233"/>
      <c r="BJ48" s="234"/>
      <c r="BK48" s="17"/>
    </row>
    <row r="49" spans="1:63" s="18" customFormat="1" ht="33.75" customHeight="1" x14ac:dyDescent="0.25">
      <c r="A49" s="13"/>
      <c r="B49" s="20"/>
      <c r="C49" s="79">
        <v>7</v>
      </c>
      <c r="D49" s="81"/>
      <c r="E49" s="229" t="s">
        <v>90</v>
      </c>
      <c r="F49" s="230"/>
      <c r="G49" s="230"/>
      <c r="H49" s="230"/>
      <c r="I49" s="230"/>
      <c r="J49" s="230"/>
      <c r="K49" s="231"/>
      <c r="L49" s="82" t="s">
        <v>6</v>
      </c>
      <c r="M49" s="83"/>
      <c r="N49" s="84"/>
      <c r="O49" s="79" t="s">
        <v>43</v>
      </c>
      <c r="P49" s="80"/>
      <c r="Q49" s="80"/>
      <c r="R49" s="81"/>
      <c r="S49" s="79" t="s">
        <v>6</v>
      </c>
      <c r="T49" s="80"/>
      <c r="U49" s="80"/>
      <c r="V49" s="80"/>
      <c r="W49" s="80"/>
      <c r="X49" s="80"/>
      <c r="Y49" s="81"/>
      <c r="Z49" s="229" t="s">
        <v>6</v>
      </c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1"/>
      <c r="AQ49" s="274" t="s">
        <v>91</v>
      </c>
      <c r="AR49" s="233"/>
      <c r="AS49" s="233"/>
      <c r="AT49" s="233"/>
      <c r="AU49" s="233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33"/>
      <c r="BG49" s="233"/>
      <c r="BH49" s="233"/>
      <c r="BI49" s="233"/>
      <c r="BJ49" s="234"/>
      <c r="BK49" s="17"/>
    </row>
    <row r="50" spans="1:63" s="18" customFormat="1" ht="15" customHeight="1" x14ac:dyDescent="0.25">
      <c r="A50" s="13"/>
      <c r="B50" s="20"/>
      <c r="C50" s="20"/>
      <c r="D50" s="20"/>
      <c r="E50" s="213"/>
      <c r="F50" s="213"/>
      <c r="G50" s="213"/>
      <c r="H50" s="213"/>
      <c r="I50" s="213"/>
      <c r="J50" s="213"/>
      <c r="K50" s="213"/>
      <c r="L50" s="42"/>
      <c r="M50" s="42"/>
      <c r="N50" s="42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  <c r="AJ50" s="213"/>
      <c r="AK50" s="213"/>
      <c r="AL50" s="213"/>
      <c r="AM50" s="213"/>
      <c r="AN50" s="213"/>
      <c r="AO50" s="213"/>
      <c r="AP50" s="21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17"/>
    </row>
    <row r="51" spans="1:63" s="18" customFormat="1" ht="15" customHeight="1" x14ac:dyDescent="0.25">
      <c r="A51" s="13"/>
      <c r="B51" s="20"/>
      <c r="C51" s="23" t="s">
        <v>92</v>
      </c>
      <c r="D51" s="20"/>
      <c r="E51" s="213"/>
      <c r="F51" s="20"/>
      <c r="G51" s="213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17"/>
    </row>
    <row r="52" spans="1:63" s="18" customFormat="1" ht="15" customHeight="1" x14ac:dyDescent="0.25">
      <c r="A52" s="13"/>
      <c r="B52" s="20"/>
      <c r="C52" s="23"/>
      <c r="D52" s="213"/>
      <c r="E52" s="213"/>
      <c r="F52" s="20"/>
      <c r="G52" s="213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17"/>
    </row>
    <row r="53" spans="1:63" s="18" customFormat="1" ht="15" customHeight="1" x14ac:dyDescent="0.25">
      <c r="A53" s="13"/>
      <c r="B53" s="20"/>
      <c r="C53" s="275" t="s">
        <v>44</v>
      </c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24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17"/>
    </row>
    <row r="54" spans="1:63" s="18" customFormat="1" ht="15" customHeight="1" x14ac:dyDescent="0.25">
      <c r="A54" s="13"/>
      <c r="B54" s="20"/>
      <c r="C54" s="276" t="s">
        <v>32</v>
      </c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5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17"/>
    </row>
    <row r="55" spans="1:63" s="18" customFormat="1" ht="15" customHeight="1" x14ac:dyDescent="0.25">
      <c r="A55" s="13"/>
      <c r="B55" s="20"/>
      <c r="C55" s="276" t="s">
        <v>93</v>
      </c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5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17"/>
    </row>
    <row r="56" spans="1:63" s="18" customFormat="1" ht="15" customHeight="1" x14ac:dyDescent="0.25">
      <c r="A56" s="13"/>
      <c r="B56" s="20"/>
      <c r="C56" s="276" t="s">
        <v>94</v>
      </c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5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17"/>
    </row>
    <row r="57" spans="1:63" s="18" customFormat="1" ht="15" customHeight="1" x14ac:dyDescent="0.25">
      <c r="A57" s="13"/>
      <c r="B57" s="20"/>
      <c r="C57" s="276" t="s">
        <v>95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5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17"/>
    </row>
    <row r="58" spans="1:63" s="18" customFormat="1" ht="15" customHeight="1" x14ac:dyDescent="0.25">
      <c r="A58" s="13"/>
      <c r="B58" s="20"/>
      <c r="C58" s="276" t="s">
        <v>96</v>
      </c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5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17"/>
    </row>
    <row r="59" spans="1:63" s="18" customFormat="1" ht="15" customHeight="1" x14ac:dyDescent="0.25">
      <c r="A59" s="13"/>
      <c r="B59" s="20"/>
      <c r="C59" s="276" t="s">
        <v>97</v>
      </c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5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17"/>
    </row>
    <row r="60" spans="1:63" s="18" customFormat="1" ht="15" customHeight="1" x14ac:dyDescent="0.25">
      <c r="A60" s="13"/>
      <c r="B60" s="20"/>
      <c r="C60" s="276" t="s">
        <v>98</v>
      </c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5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17"/>
    </row>
    <row r="61" spans="1:63" s="18" customFormat="1" ht="15" customHeight="1" x14ac:dyDescent="0.25">
      <c r="A61" s="13"/>
      <c r="B61" s="20"/>
      <c r="C61" s="276" t="s">
        <v>33</v>
      </c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5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17"/>
    </row>
    <row r="62" spans="1:63" s="18" customFormat="1" ht="15" customHeight="1" x14ac:dyDescent="0.25">
      <c r="A62" s="13"/>
      <c r="B62" s="20"/>
      <c r="C62" s="277" t="s">
        <v>31</v>
      </c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26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17"/>
    </row>
    <row r="63" spans="1:63" s="18" customFormat="1" ht="15" customHeight="1" x14ac:dyDescent="0.25">
      <c r="A63" s="13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1"/>
      <c r="BK63" s="17"/>
    </row>
    <row r="64" spans="1:63" s="18" customFormat="1" ht="15" customHeight="1" x14ac:dyDescent="0.25">
      <c r="A64" s="13"/>
      <c r="B64" s="22" t="s">
        <v>99</v>
      </c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6"/>
      <c r="BI64" s="16"/>
      <c r="BJ64" s="16"/>
      <c r="BK64" s="17"/>
    </row>
    <row r="65" spans="1:63" s="18" customFormat="1" ht="15" customHeight="1" x14ac:dyDescent="0.25">
      <c r="A65" s="13"/>
      <c r="B65" s="19"/>
      <c r="C65" s="23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1"/>
      <c r="BK65" s="17"/>
    </row>
    <row r="66" spans="1:63" s="18" customFormat="1" ht="15" customHeight="1" x14ac:dyDescent="0.25">
      <c r="A66" s="13"/>
      <c r="B66" s="19"/>
      <c r="C66" s="23" t="s">
        <v>100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1"/>
      <c r="BK66" s="17"/>
    </row>
    <row r="67" spans="1:63" s="18" customFormat="1" ht="15" customHeight="1" x14ac:dyDescent="0.25">
      <c r="A67" s="13"/>
      <c r="B67" s="19"/>
      <c r="C67" s="23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1"/>
      <c r="BK67" s="17"/>
    </row>
    <row r="68" spans="1:63" s="18" customFormat="1" ht="15" customHeight="1" x14ac:dyDescent="0.25">
      <c r="A68" s="13"/>
      <c r="B68" s="20"/>
      <c r="C68" s="73" t="s">
        <v>14</v>
      </c>
      <c r="D68" s="75"/>
      <c r="E68" s="102" t="s">
        <v>101</v>
      </c>
      <c r="F68" s="103"/>
      <c r="G68" s="103"/>
      <c r="H68" s="103"/>
      <c r="I68" s="103"/>
      <c r="J68" s="103"/>
      <c r="K68" s="103"/>
      <c r="L68" s="103"/>
      <c r="M68" s="103"/>
      <c r="N68" s="104"/>
      <c r="O68" s="114" t="s">
        <v>19</v>
      </c>
      <c r="P68" s="115"/>
      <c r="Q68" s="115"/>
      <c r="R68" s="116"/>
      <c r="S68" s="111" t="s">
        <v>72</v>
      </c>
      <c r="T68" s="112"/>
      <c r="U68" s="112"/>
      <c r="V68" s="112"/>
      <c r="W68" s="112"/>
      <c r="X68" s="112"/>
      <c r="Y68" s="112"/>
      <c r="Z68" s="112"/>
      <c r="AA68" s="112"/>
      <c r="AB68" s="113"/>
      <c r="AC68" s="73" t="s">
        <v>17</v>
      </c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/>
      <c r="AR68" s="74"/>
      <c r="AS68" s="74"/>
      <c r="AT68" s="74"/>
      <c r="AU68" s="75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1"/>
      <c r="BK68" s="17"/>
    </row>
    <row r="69" spans="1:63" s="18" customFormat="1" ht="15" customHeight="1" x14ac:dyDescent="0.25">
      <c r="A69" s="13"/>
      <c r="B69" s="20"/>
      <c r="C69" s="79">
        <v>1</v>
      </c>
      <c r="D69" s="81"/>
      <c r="E69" s="79" t="s">
        <v>27</v>
      </c>
      <c r="F69" s="80"/>
      <c r="G69" s="80"/>
      <c r="H69" s="80"/>
      <c r="I69" s="80"/>
      <c r="J69" s="80"/>
      <c r="K69" s="80"/>
      <c r="L69" s="80"/>
      <c r="M69" s="80"/>
      <c r="N69" s="81"/>
      <c r="O69" s="79" t="s">
        <v>29</v>
      </c>
      <c r="P69" s="80"/>
      <c r="Q69" s="80"/>
      <c r="R69" s="81"/>
      <c r="S69" s="85" t="s">
        <v>6</v>
      </c>
      <c r="T69" s="86"/>
      <c r="U69" s="86"/>
      <c r="V69" s="86"/>
      <c r="W69" s="86"/>
      <c r="X69" s="86"/>
      <c r="Y69" s="86"/>
      <c r="Z69" s="86"/>
      <c r="AA69" s="86"/>
      <c r="AB69" s="87"/>
      <c r="AC69" s="79" t="s">
        <v>28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1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1"/>
      <c r="BK69" s="17"/>
    </row>
    <row r="70" spans="1:63" s="18" customFormat="1" ht="15" customHeight="1" x14ac:dyDescent="0.25">
      <c r="A70" s="13"/>
      <c r="B70" s="20"/>
      <c r="C70" s="20"/>
      <c r="D70" s="20"/>
      <c r="E70" s="213"/>
      <c r="F70" s="213"/>
      <c r="G70" s="213"/>
      <c r="H70" s="213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13"/>
      <c r="T70" s="213"/>
      <c r="U70" s="213"/>
      <c r="V70" s="213"/>
      <c r="W70" s="213"/>
      <c r="X70" s="213"/>
      <c r="Y70" s="213"/>
      <c r="Z70" s="213"/>
      <c r="AA70" s="213"/>
      <c r="AB70" s="20"/>
      <c r="AC70" s="213"/>
      <c r="AD70" s="213"/>
      <c r="AE70" s="213"/>
      <c r="AF70" s="213"/>
      <c r="AG70" s="213"/>
      <c r="AH70" s="213"/>
      <c r="AI70" s="213"/>
      <c r="AJ70" s="213"/>
      <c r="AK70" s="213"/>
      <c r="AL70" s="213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1"/>
      <c r="BK70" s="17"/>
    </row>
    <row r="71" spans="1:63" s="18" customFormat="1" ht="15" customHeight="1" x14ac:dyDescent="0.25">
      <c r="A71" s="13"/>
      <c r="B71" s="20"/>
      <c r="C71" s="23" t="s">
        <v>92</v>
      </c>
      <c r="D71" s="20"/>
      <c r="E71" s="213"/>
      <c r="F71" s="20"/>
      <c r="G71" s="213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</row>
    <row r="72" spans="1:63" s="18" customFormat="1" ht="15" customHeight="1" x14ac:dyDescent="0.25">
      <c r="A72" s="13"/>
      <c r="B72" s="20"/>
      <c r="C72" s="23"/>
      <c r="D72" s="213"/>
      <c r="E72" s="213"/>
      <c r="F72" s="20"/>
      <c r="G72" s="213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</row>
    <row r="73" spans="1:63" s="18" customFormat="1" ht="15" customHeight="1" x14ac:dyDescent="0.25">
      <c r="A73" s="13"/>
      <c r="B73" s="20"/>
      <c r="C73" s="275" t="s">
        <v>25</v>
      </c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24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</row>
    <row r="74" spans="1:63" s="18" customFormat="1" ht="15" customHeight="1" x14ac:dyDescent="0.25">
      <c r="A74" s="13"/>
      <c r="B74" s="20"/>
      <c r="C74" s="276" t="s">
        <v>102</v>
      </c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5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</row>
    <row r="75" spans="1:63" s="18" customFormat="1" ht="15" customHeight="1" x14ac:dyDescent="0.25">
      <c r="A75" s="13"/>
      <c r="B75" s="20"/>
      <c r="C75" s="277" t="s">
        <v>26</v>
      </c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26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</row>
    <row r="76" spans="1:63" s="18" customFormat="1" ht="15" customHeight="1" x14ac:dyDescent="0.25">
      <c r="A76" s="13"/>
      <c r="B76" s="20"/>
      <c r="C76" s="20"/>
      <c r="D76" s="213"/>
      <c r="E76" s="213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3" s="18" customFormat="1" ht="15" customHeight="1" x14ac:dyDescent="0.25">
      <c r="A77" s="13"/>
      <c r="B77" s="20"/>
      <c r="C77" s="19" t="s">
        <v>103</v>
      </c>
      <c r="D77" s="20"/>
      <c r="E77" s="213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3" s="18" customFormat="1" ht="15" customHeight="1" x14ac:dyDescent="0.25">
      <c r="A78" s="13"/>
      <c r="B78" s="20"/>
      <c r="C78" s="19"/>
      <c r="D78" s="20"/>
      <c r="E78" s="213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1"/>
      <c r="BK78" s="17"/>
    </row>
    <row r="79" spans="1:63" s="18" customFormat="1" ht="15" customHeight="1" x14ac:dyDescent="0.25">
      <c r="A79" s="13"/>
      <c r="B79" s="20"/>
      <c r="C79" s="19"/>
      <c r="D79" s="20" t="s">
        <v>34</v>
      </c>
      <c r="E79" s="213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1"/>
      <c r="BK79" s="17"/>
    </row>
    <row r="80" spans="1:63" s="40" customFormat="1" ht="15" customHeight="1" x14ac:dyDescent="0.25">
      <c r="A80" s="35"/>
      <c r="B80" s="36"/>
      <c r="C80" s="36"/>
      <c r="D80" s="36"/>
      <c r="E80" s="37"/>
      <c r="F80" s="37"/>
      <c r="G80" s="37"/>
      <c r="H80" s="37"/>
      <c r="I80" s="37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8"/>
      <c r="BI80" s="38"/>
      <c r="BJ80" s="38"/>
      <c r="BK80" s="39"/>
    </row>
  </sheetData>
  <mergeCells count="144">
    <mergeCell ref="AQ49:BJ49"/>
    <mergeCell ref="C46:D46"/>
    <mergeCell ref="E46:K46"/>
    <mergeCell ref="L46:N46"/>
    <mergeCell ref="O46:R46"/>
    <mergeCell ref="S46:Y46"/>
    <mergeCell ref="Z46:AP46"/>
    <mergeCell ref="AQ46:BJ46"/>
    <mergeCell ref="C48:D48"/>
    <mergeCell ref="E48:K48"/>
    <mergeCell ref="L48:N48"/>
    <mergeCell ref="O48:R48"/>
    <mergeCell ref="S48:Y48"/>
    <mergeCell ref="Z48:AP48"/>
    <mergeCell ref="AQ48:BJ48"/>
    <mergeCell ref="Z4:AO4"/>
    <mergeCell ref="AP4:BK4"/>
    <mergeCell ref="C15:D15"/>
    <mergeCell ref="C16:D16"/>
    <mergeCell ref="E15:AF15"/>
    <mergeCell ref="C20:D20"/>
    <mergeCell ref="S20:Y20"/>
    <mergeCell ref="Z20:AP20"/>
    <mergeCell ref="AG15:AP15"/>
    <mergeCell ref="AQ15:BJ15"/>
    <mergeCell ref="E16:AF16"/>
    <mergeCell ref="C23:D23"/>
    <mergeCell ref="C47:D47"/>
    <mergeCell ref="AQ20:BJ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24:D30"/>
    <mergeCell ref="AQ41:BJ41"/>
    <mergeCell ref="C41:D41"/>
    <mergeCell ref="A4:G4"/>
    <mergeCell ref="H4:T4"/>
    <mergeCell ref="U4:Y4"/>
    <mergeCell ref="Z24:AP30"/>
    <mergeCell ref="E42:K42"/>
    <mergeCell ref="L42:N42"/>
    <mergeCell ref="O42:R42"/>
    <mergeCell ref="S42:Y42"/>
    <mergeCell ref="Z42:AP42"/>
    <mergeCell ref="L23:N23"/>
    <mergeCell ref="L24:N30"/>
    <mergeCell ref="O21:R22"/>
    <mergeCell ref="L21:N22"/>
    <mergeCell ref="E21:K22"/>
    <mergeCell ref="E24:K30"/>
    <mergeCell ref="C31:D31"/>
    <mergeCell ref="Z31:AP31"/>
    <mergeCell ref="L31:N31"/>
    <mergeCell ref="E31:K31"/>
    <mergeCell ref="E41:K41"/>
    <mergeCell ref="L36:N36"/>
    <mergeCell ref="O36:R36"/>
    <mergeCell ref="Z36:AP36"/>
    <mergeCell ref="S41:Y41"/>
    <mergeCell ref="C37:BJ37"/>
    <mergeCell ref="E69:N69"/>
    <mergeCell ref="S36:Y36"/>
    <mergeCell ref="C42:D42"/>
    <mergeCell ref="S47:Y47"/>
    <mergeCell ref="AQ47:BJ47"/>
    <mergeCell ref="AQ42:BJ42"/>
    <mergeCell ref="C36:D36"/>
    <mergeCell ref="O32:R32"/>
    <mergeCell ref="S32:Y32"/>
    <mergeCell ref="AQ36:BJ36"/>
    <mergeCell ref="C43:D44"/>
    <mergeCell ref="C68:D68"/>
    <mergeCell ref="S68:AB68"/>
    <mergeCell ref="L47:N47"/>
    <mergeCell ref="O47:R47"/>
    <mergeCell ref="Z47:AP47"/>
    <mergeCell ref="O68:R68"/>
    <mergeCell ref="C45:D45"/>
    <mergeCell ref="C49:D49"/>
    <mergeCell ref="E49:K49"/>
    <mergeCell ref="L49:N49"/>
    <mergeCell ref="O49:R49"/>
    <mergeCell ref="S49:Y49"/>
    <mergeCell ref="Z49:AP49"/>
    <mergeCell ref="AQ16:BJ16"/>
    <mergeCell ref="AQ23:BJ23"/>
    <mergeCell ref="AQ24:BJ30"/>
    <mergeCell ref="Z23:AP23"/>
    <mergeCell ref="E20:K20"/>
    <mergeCell ref="E43:K44"/>
    <mergeCell ref="L43:N44"/>
    <mergeCell ref="O43:R44"/>
    <mergeCell ref="S43:Y44"/>
    <mergeCell ref="Z43:AP44"/>
    <mergeCell ref="AQ43:BJ44"/>
    <mergeCell ref="E36:K36"/>
    <mergeCell ref="AQ21:BJ22"/>
    <mergeCell ref="Z21:AP22"/>
    <mergeCell ref="S21:Y22"/>
    <mergeCell ref="Z32:AP32"/>
    <mergeCell ref="AQ32:BJ32"/>
    <mergeCell ref="AQ31:BJ31"/>
    <mergeCell ref="S31:Y31"/>
    <mergeCell ref="AG16:AP16"/>
    <mergeCell ref="O20:R20"/>
    <mergeCell ref="L20:N20"/>
    <mergeCell ref="S23:Y23"/>
    <mergeCell ref="S24:Y30"/>
    <mergeCell ref="E23:K23"/>
    <mergeCell ref="C21:D22"/>
    <mergeCell ref="L41:N41"/>
    <mergeCell ref="O41:R41"/>
    <mergeCell ref="Z41:AP41"/>
    <mergeCell ref="AC68:AU68"/>
    <mergeCell ref="AC69:AU69"/>
    <mergeCell ref="C32:D32"/>
    <mergeCell ref="E32:K32"/>
    <mergeCell ref="L32:N32"/>
    <mergeCell ref="L45:N45"/>
    <mergeCell ref="O45:R45"/>
    <mergeCell ref="Z45:AP45"/>
    <mergeCell ref="E45:K45"/>
    <mergeCell ref="S45:Y45"/>
    <mergeCell ref="O23:R23"/>
    <mergeCell ref="O31:R31"/>
    <mergeCell ref="O24:R30"/>
    <mergeCell ref="C69:D69"/>
    <mergeCell ref="S69:AB69"/>
    <mergeCell ref="AQ45:BJ45"/>
    <mergeCell ref="E47:K47"/>
    <mergeCell ref="O69:R69"/>
    <mergeCell ref="E68:N68"/>
  </mergeCells>
  <pageMargins left="0.7" right="0.7" top="0.75" bottom="0.75" header="0.3" footer="0.3"/>
  <pageSetup scale="4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9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3" t="s">
        <v>47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48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詳細設計書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19" t="s">
        <v>50</v>
      </c>
      <c r="AQ1" s="120"/>
      <c r="AR1" s="120"/>
      <c r="AS1" s="121"/>
      <c r="AT1" s="119" t="s">
        <v>51</v>
      </c>
      <c r="AU1" s="120"/>
      <c r="AV1" s="120"/>
      <c r="AW1" s="120"/>
      <c r="AX1" s="121"/>
      <c r="AY1" s="119" t="s">
        <v>52</v>
      </c>
      <c r="AZ1" s="120"/>
      <c r="BA1" s="120"/>
      <c r="BB1" s="121"/>
      <c r="BC1" s="119" t="s">
        <v>53</v>
      </c>
      <c r="BD1" s="120"/>
      <c r="BE1" s="120"/>
      <c r="BF1" s="120"/>
      <c r="BG1" s="121"/>
      <c r="BH1" s="119" t="s">
        <v>54</v>
      </c>
      <c r="BI1" s="120"/>
      <c r="BJ1" s="120"/>
      <c r="BK1" s="121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199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1"/>
      <c r="AP2" s="128" t="str">
        <f>IF(表紙!AP2="","",表紙!AP2)</f>
        <v>TuyenNH</v>
      </c>
      <c r="AQ2" s="126"/>
      <c r="AR2" s="126"/>
      <c r="AS2" s="127"/>
      <c r="AT2" s="132">
        <f>IF(表紙!AT2="","",表紙!AT2)</f>
        <v>45517</v>
      </c>
      <c r="AU2" s="133"/>
      <c r="AV2" s="133"/>
      <c r="AW2" s="133"/>
      <c r="AX2" s="134"/>
      <c r="AY2" s="128" t="str">
        <f>IF(表紙!AY2="","",表紙!AY2)</f>
        <v>TuyenNH</v>
      </c>
      <c r="AZ2" s="126"/>
      <c r="BA2" s="126"/>
      <c r="BB2" s="127"/>
      <c r="BC2" s="132">
        <f>IF(表紙!BC2="","",表紙!BC2)</f>
        <v>45517</v>
      </c>
      <c r="BD2" s="133"/>
      <c r="BE2" s="133"/>
      <c r="BF2" s="133"/>
      <c r="BG2" s="134"/>
      <c r="BH2" s="128">
        <f>IF(表紙!BH2="","",表紙!BH2)</f>
        <v>0.1</v>
      </c>
      <c r="BI2" s="126"/>
      <c r="BJ2" s="126"/>
      <c r="BK2" s="127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38"/>
      <c r="AQ3" s="139"/>
      <c r="AR3" s="139"/>
      <c r="AS3" s="140"/>
      <c r="AT3" s="144"/>
      <c r="AU3" s="145"/>
      <c r="AV3" s="145"/>
      <c r="AW3" s="145"/>
      <c r="AX3" s="146"/>
      <c r="AY3" s="138"/>
      <c r="AZ3" s="139"/>
      <c r="BA3" s="139"/>
      <c r="BB3" s="140"/>
      <c r="BC3" s="144"/>
      <c r="BD3" s="145"/>
      <c r="BE3" s="145"/>
      <c r="BF3" s="145"/>
      <c r="BG3" s="146"/>
      <c r="BH3" s="138"/>
      <c r="BI3" s="139"/>
      <c r="BJ3" s="139"/>
      <c r="BK3" s="140"/>
    </row>
    <row r="4" spans="1:63" ht="24.95" customHeight="1" x14ac:dyDescent="0.25">
      <c r="A4" s="193" t="s">
        <v>56</v>
      </c>
      <c r="B4" s="194"/>
      <c r="C4" s="194"/>
      <c r="D4" s="194"/>
      <c r="E4" s="194"/>
      <c r="F4" s="194"/>
      <c r="G4" s="195"/>
      <c r="H4" s="65" t="str">
        <f>IF(表紙!H4="","",表紙!H4)</f>
        <v>AP0202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3" t="s">
        <v>57</v>
      </c>
      <c r="V4" s="194"/>
      <c r="W4" s="194"/>
      <c r="X4" s="194"/>
      <c r="Y4" s="195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処理フロー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11" customFormat="1" ht="15" customHeight="1" x14ac:dyDescent="0.25">
      <c r="B7" s="41"/>
      <c r="C7" s="21"/>
      <c r="D7" s="21"/>
      <c r="E7" s="21"/>
      <c r="F7" s="21"/>
      <c r="G7" s="21"/>
      <c r="AI7" s="278"/>
      <c r="BJ7" s="278"/>
      <c r="BK7" s="210"/>
    </row>
    <row r="8" spans="1:63" s="211" customFormat="1" ht="15" customHeight="1" x14ac:dyDescent="0.25">
      <c r="B8" s="41"/>
      <c r="C8" s="21"/>
      <c r="D8" s="21"/>
      <c r="E8" s="21"/>
      <c r="F8" s="21"/>
      <c r="G8" s="21"/>
      <c r="AI8" s="278"/>
      <c r="BJ8" s="278"/>
      <c r="BK8" s="210"/>
    </row>
    <row r="9" spans="1:63" s="211" customFormat="1" ht="15" customHeight="1" x14ac:dyDescent="0.25">
      <c r="B9" s="41"/>
      <c r="C9" s="21"/>
      <c r="D9" s="21"/>
      <c r="E9" s="21"/>
      <c r="F9" s="21"/>
      <c r="G9" s="21"/>
      <c r="AI9" s="278"/>
      <c r="BJ9" s="278"/>
      <c r="BK9" s="210"/>
    </row>
    <row r="10" spans="1:63" s="211" customFormat="1" ht="15" customHeight="1" x14ac:dyDescent="0.25">
      <c r="B10" s="279"/>
      <c r="AI10" s="278"/>
      <c r="BJ10" s="278"/>
      <c r="BK10" s="210"/>
    </row>
    <row r="11" spans="1:63" s="211" customFormat="1" ht="15" customHeight="1" x14ac:dyDescent="0.25">
      <c r="B11" s="279"/>
      <c r="AI11" s="278"/>
      <c r="BJ11" s="278"/>
      <c r="BK11" s="210"/>
    </row>
    <row r="12" spans="1:63" s="211" customFormat="1" ht="15" customHeight="1" x14ac:dyDescent="0.25">
      <c r="B12" s="279"/>
      <c r="AI12" s="278"/>
      <c r="BJ12" s="278"/>
      <c r="BK12" s="210"/>
    </row>
    <row r="13" spans="1:63" s="211" customFormat="1" ht="15" customHeight="1" x14ac:dyDescent="0.25">
      <c r="B13" s="279"/>
      <c r="AI13" s="278"/>
      <c r="BJ13" s="278"/>
      <c r="BK13" s="210"/>
    </row>
    <row r="14" spans="1:63" s="211" customFormat="1" ht="15" customHeight="1" x14ac:dyDescent="0.25">
      <c r="B14" s="279"/>
      <c r="AI14" s="278"/>
      <c r="BJ14" s="278"/>
      <c r="BK14" s="210"/>
    </row>
    <row r="15" spans="1:63" s="211" customFormat="1" ht="15" customHeight="1" x14ac:dyDescent="0.25">
      <c r="B15" s="279"/>
      <c r="AI15" s="278"/>
      <c r="BJ15" s="278"/>
      <c r="BK15" s="210"/>
    </row>
    <row r="16" spans="1:63" s="211" customFormat="1" ht="15" customHeight="1" x14ac:dyDescent="0.25">
      <c r="B16" s="279"/>
      <c r="AI16" s="278"/>
      <c r="BJ16" s="278"/>
      <c r="BK16" s="210"/>
    </row>
    <row r="17" spans="2:63" s="211" customFormat="1" ht="15" customHeight="1" x14ac:dyDescent="0.25">
      <c r="B17" s="279"/>
      <c r="AI17" s="278"/>
      <c r="BJ17" s="278"/>
      <c r="BK17" s="210"/>
    </row>
    <row r="18" spans="2:63" s="211" customFormat="1" ht="15" customHeight="1" x14ac:dyDescent="0.25">
      <c r="B18" s="279"/>
      <c r="AI18" s="278"/>
      <c r="BJ18" s="278"/>
      <c r="BK18" s="210"/>
    </row>
    <row r="19" spans="2:63" s="211" customFormat="1" ht="15" customHeight="1" x14ac:dyDescent="0.25">
      <c r="B19" s="279"/>
      <c r="AI19" s="278"/>
      <c r="BJ19" s="278"/>
      <c r="BK19" s="210"/>
    </row>
    <row r="20" spans="2:63" s="211" customFormat="1" ht="15" customHeight="1" x14ac:dyDescent="0.25">
      <c r="B20" s="279"/>
      <c r="AI20" s="278"/>
      <c r="BJ20" s="278"/>
      <c r="BK20" s="210"/>
    </row>
    <row r="21" spans="2:63" s="211" customFormat="1" ht="15" customHeight="1" x14ac:dyDescent="0.25">
      <c r="B21" s="279"/>
      <c r="AI21" s="278"/>
      <c r="BJ21" s="278"/>
      <c r="BK21" s="210"/>
    </row>
    <row r="22" spans="2:63" s="211" customFormat="1" ht="15" customHeight="1" x14ac:dyDescent="0.25">
      <c r="B22" s="279"/>
      <c r="AI22" s="278"/>
      <c r="BJ22" s="278"/>
      <c r="BK22" s="210"/>
    </row>
    <row r="23" spans="2:63" s="211" customFormat="1" ht="15" customHeight="1" x14ac:dyDescent="0.25">
      <c r="B23" s="279"/>
      <c r="AI23" s="278"/>
      <c r="BJ23" s="278"/>
      <c r="BK23" s="210"/>
    </row>
    <row r="24" spans="2:63" s="211" customFormat="1" ht="15" customHeight="1" x14ac:dyDescent="0.25">
      <c r="B24" s="279"/>
      <c r="AI24" s="278"/>
      <c r="BJ24" s="278"/>
      <c r="BK24" s="210"/>
    </row>
    <row r="25" spans="2:63" s="211" customFormat="1" ht="15" customHeight="1" x14ac:dyDescent="0.25">
      <c r="B25" s="279"/>
      <c r="AI25" s="278"/>
      <c r="BJ25" s="278"/>
      <c r="BK25" s="210"/>
    </row>
    <row r="26" spans="2:63" s="211" customFormat="1" ht="15" customHeight="1" x14ac:dyDescent="0.25">
      <c r="B26" s="279"/>
      <c r="AI26" s="278"/>
      <c r="BJ26" s="278"/>
      <c r="BK26" s="210"/>
    </row>
    <row r="27" spans="2:63" s="211" customFormat="1" ht="15" customHeight="1" x14ac:dyDescent="0.25">
      <c r="B27" s="279"/>
      <c r="AI27" s="278"/>
      <c r="BJ27" s="278"/>
      <c r="BK27" s="210"/>
    </row>
    <row r="28" spans="2:63" s="211" customFormat="1" ht="15" customHeight="1" x14ac:dyDescent="0.25">
      <c r="B28" s="279"/>
      <c r="AI28" s="278"/>
      <c r="BJ28" s="278"/>
      <c r="BK28" s="210"/>
    </row>
    <row r="29" spans="2:63" s="211" customFormat="1" ht="15" customHeight="1" x14ac:dyDescent="0.25">
      <c r="B29" s="279"/>
      <c r="AI29" s="278"/>
      <c r="BJ29" s="278"/>
      <c r="BK29" s="210"/>
    </row>
    <row r="30" spans="2:63" s="211" customFormat="1" ht="15" customHeight="1" x14ac:dyDescent="0.25">
      <c r="B30" s="279"/>
      <c r="AI30" s="278"/>
      <c r="BJ30" s="278"/>
      <c r="BK30" s="210"/>
    </row>
    <row r="31" spans="2:63" s="211" customFormat="1" ht="15" customHeight="1" x14ac:dyDescent="0.25">
      <c r="B31" s="279"/>
      <c r="AI31" s="278"/>
      <c r="BJ31" s="278"/>
      <c r="BK31" s="210"/>
    </row>
    <row r="32" spans="2:63" s="211" customFormat="1" ht="15" customHeight="1" x14ac:dyDescent="0.25">
      <c r="B32" s="279"/>
      <c r="AI32" s="278"/>
      <c r="BJ32" s="278"/>
      <c r="BK32" s="210"/>
    </row>
    <row r="33" spans="2:63" s="211" customFormat="1" ht="15" customHeight="1" x14ac:dyDescent="0.25">
      <c r="B33" s="279"/>
      <c r="AI33" s="278"/>
      <c r="BJ33" s="278"/>
      <c r="BK33" s="210"/>
    </row>
    <row r="34" spans="2:63" s="211" customFormat="1" ht="15" customHeight="1" x14ac:dyDescent="0.25">
      <c r="B34" s="279"/>
      <c r="AI34" s="278"/>
      <c r="BJ34" s="278"/>
      <c r="BK34" s="210"/>
    </row>
    <row r="35" spans="2:63" s="211" customFormat="1" ht="15" customHeight="1" x14ac:dyDescent="0.25">
      <c r="B35" s="279"/>
      <c r="AI35" s="278"/>
      <c r="BJ35" s="278"/>
      <c r="BK35" s="210"/>
    </row>
    <row r="36" spans="2:63" s="211" customFormat="1" ht="15" customHeight="1" x14ac:dyDescent="0.25">
      <c r="B36" s="279"/>
      <c r="AI36" s="278"/>
      <c r="BJ36" s="278"/>
      <c r="BK36" s="210"/>
    </row>
    <row r="37" spans="2:63" s="211" customFormat="1" ht="15" customHeight="1" x14ac:dyDescent="0.25">
      <c r="B37" s="279"/>
      <c r="AI37" s="278"/>
      <c r="BJ37" s="278"/>
      <c r="BK37" s="210"/>
    </row>
    <row r="38" spans="2:63" s="211" customFormat="1" ht="15" customHeight="1" x14ac:dyDescent="0.25">
      <c r="B38" s="279"/>
      <c r="AI38" s="278"/>
      <c r="BJ38" s="278"/>
      <c r="BK38" s="210"/>
    </row>
    <row r="39" spans="2:63" s="211" customFormat="1" ht="15" customHeight="1" x14ac:dyDescent="0.25">
      <c r="B39" s="279"/>
      <c r="AI39" s="278"/>
      <c r="BJ39" s="278"/>
      <c r="BK39" s="210"/>
    </row>
    <row r="40" spans="2:63" s="211" customFormat="1" ht="15" customHeight="1" x14ac:dyDescent="0.25">
      <c r="B40" s="279"/>
      <c r="AI40" s="278"/>
      <c r="BJ40" s="278"/>
      <c r="BK40" s="210"/>
    </row>
    <row r="41" spans="2:63" s="211" customFormat="1" ht="15" customHeight="1" x14ac:dyDescent="0.25">
      <c r="B41" s="279"/>
      <c r="AI41" s="278"/>
      <c r="BJ41" s="278"/>
      <c r="BK41" s="210"/>
    </row>
    <row r="42" spans="2:63" s="211" customFormat="1" ht="15" customHeight="1" x14ac:dyDescent="0.25">
      <c r="B42" s="279"/>
      <c r="AI42" s="278"/>
      <c r="BJ42" s="278"/>
      <c r="BK42" s="210"/>
    </row>
    <row r="43" spans="2:63" s="211" customFormat="1" ht="15" customHeight="1" x14ac:dyDescent="0.25">
      <c r="B43" s="279"/>
      <c r="AI43" s="278"/>
      <c r="BJ43" s="278"/>
      <c r="BK43" s="210"/>
    </row>
    <row r="44" spans="2:63" s="211" customFormat="1" ht="15" customHeight="1" x14ac:dyDescent="0.25">
      <c r="B44" s="279"/>
      <c r="AI44" s="278"/>
      <c r="BJ44" s="278"/>
      <c r="BK44" s="210"/>
    </row>
    <row r="45" spans="2:63" s="211" customFormat="1" ht="15" customHeight="1" x14ac:dyDescent="0.25">
      <c r="B45" s="279"/>
      <c r="AI45" s="278"/>
      <c r="BJ45" s="278"/>
      <c r="BK45" s="210"/>
    </row>
    <row r="46" spans="2:63" s="211" customFormat="1" ht="15" customHeight="1" x14ac:dyDescent="0.25">
      <c r="B46" s="279"/>
      <c r="AI46" s="278"/>
      <c r="BJ46" s="278"/>
      <c r="BK46" s="210"/>
    </row>
    <row r="47" spans="2:63" s="211" customFormat="1" ht="15" customHeight="1" x14ac:dyDescent="0.25">
      <c r="B47" s="279"/>
      <c r="AI47" s="278"/>
      <c r="BJ47" s="278"/>
      <c r="BK47" s="210"/>
    </row>
    <row r="48" spans="2:63" s="211" customFormat="1" ht="15" customHeight="1" x14ac:dyDescent="0.25">
      <c r="B48" s="279"/>
      <c r="AI48" s="278"/>
      <c r="BJ48" s="278"/>
      <c r="BK48" s="210"/>
    </row>
    <row r="49" spans="2:63" s="211" customFormat="1" ht="15" customHeight="1" x14ac:dyDescent="0.25">
      <c r="B49" s="279"/>
      <c r="AI49" s="278"/>
      <c r="BJ49" s="278"/>
      <c r="BK49" s="210"/>
    </row>
    <row r="50" spans="2:63" s="211" customFormat="1" ht="15" customHeight="1" x14ac:dyDescent="0.25">
      <c r="B50" s="279"/>
      <c r="AI50" s="278"/>
      <c r="BJ50" s="278"/>
      <c r="BK50" s="210"/>
    </row>
    <row r="51" spans="2:63" s="211" customFormat="1" ht="15" customHeight="1" x14ac:dyDescent="0.25">
      <c r="B51" s="279"/>
      <c r="AI51" s="278"/>
      <c r="BJ51" s="278"/>
      <c r="BK51" s="210"/>
    </row>
    <row r="52" spans="2:63" s="211" customFormat="1" ht="15" customHeight="1" x14ac:dyDescent="0.25">
      <c r="B52" s="279"/>
      <c r="AI52" s="278"/>
      <c r="BJ52" s="278"/>
      <c r="BK52" s="210"/>
    </row>
    <row r="53" spans="2:63" s="211" customFormat="1" ht="15" customHeight="1" x14ac:dyDescent="0.25">
      <c r="B53" s="279"/>
      <c r="AI53" s="278"/>
      <c r="BJ53" s="278"/>
      <c r="BK53" s="210"/>
    </row>
    <row r="54" spans="2:63" s="211" customFormat="1" ht="15" customHeight="1" x14ac:dyDescent="0.25">
      <c r="B54" s="279"/>
      <c r="AI54" s="278"/>
      <c r="BJ54" s="278"/>
      <c r="BK54" s="210"/>
    </row>
    <row r="55" spans="2:63" ht="15" customHeight="1" x14ac:dyDescent="0.25">
      <c r="B55" s="9"/>
      <c r="AI55" s="11"/>
      <c r="BJ55" s="11"/>
      <c r="BK55" s="5"/>
    </row>
    <row r="56" spans="2:63" ht="15" customHeight="1" x14ac:dyDescent="0.25">
      <c r="B56" s="9"/>
      <c r="AI56" s="11"/>
      <c r="BJ56" s="11"/>
      <c r="BK56" s="5"/>
    </row>
    <row r="57" spans="2:63" ht="15" customHeight="1" x14ac:dyDescent="0.25">
      <c r="B57" s="9"/>
      <c r="AI57" s="11"/>
      <c r="BJ57" s="11"/>
      <c r="BK57" s="5"/>
    </row>
    <row r="58" spans="2:63" ht="15" customHeight="1" x14ac:dyDescent="0.25">
      <c r="B58" s="9"/>
      <c r="AI58" s="11"/>
      <c r="BJ58" s="11"/>
      <c r="BK58" s="5"/>
    </row>
    <row r="59" spans="2:63" ht="15" customHeight="1" x14ac:dyDescent="0.25">
      <c r="B59" s="9"/>
      <c r="AI59" s="11"/>
      <c r="BJ59" s="11"/>
      <c r="BK59" s="5"/>
    </row>
    <row r="60" spans="2:63" ht="15" customHeight="1" x14ac:dyDescent="0.25">
      <c r="B60" s="9"/>
      <c r="AI60" s="11"/>
      <c r="BJ60" s="11"/>
      <c r="BK60" s="5"/>
    </row>
    <row r="61" spans="2:63" ht="15" customHeight="1" x14ac:dyDescent="0.25">
      <c r="B61" s="9"/>
      <c r="AI61" s="11"/>
      <c r="BJ61" s="11"/>
      <c r="BK61" s="5"/>
    </row>
    <row r="62" spans="2:63" ht="15" customHeight="1" x14ac:dyDescent="0.25">
      <c r="B62" s="9"/>
      <c r="AI62" s="11"/>
      <c r="BJ62" s="11"/>
      <c r="BK62" s="5"/>
    </row>
    <row r="63" spans="2:63" ht="15" customHeight="1" x14ac:dyDescent="0.25">
      <c r="B63" s="9"/>
      <c r="AI63" s="11"/>
      <c r="BJ63" s="11"/>
      <c r="BK63" s="5"/>
    </row>
    <row r="64" spans="2:63" ht="15" customHeight="1" x14ac:dyDescent="0.25">
      <c r="B64" s="9"/>
      <c r="AI64" s="11"/>
      <c r="BJ64" s="11"/>
      <c r="BK64" s="5"/>
    </row>
    <row r="65" spans="2:63" ht="15" customHeight="1" x14ac:dyDescent="0.25">
      <c r="B65" s="9"/>
      <c r="AI65" s="11"/>
      <c r="BJ65" s="11"/>
      <c r="BK65" s="5"/>
    </row>
    <row r="66" spans="2:63" ht="15" customHeight="1" x14ac:dyDescent="0.25">
      <c r="B66" s="9"/>
      <c r="AI66" s="11"/>
      <c r="BJ66" s="11"/>
      <c r="BK66" s="5"/>
    </row>
    <row r="67" spans="2:63" ht="15" customHeight="1" x14ac:dyDescent="0.25">
      <c r="B67" s="9"/>
      <c r="AI67" s="11"/>
      <c r="BJ67" s="11"/>
      <c r="BK67" s="5"/>
    </row>
    <row r="68" spans="2:63" ht="15" customHeight="1" x14ac:dyDescent="0.25">
      <c r="B68" s="9"/>
      <c r="AI68" s="11"/>
      <c r="BJ68" s="11"/>
      <c r="BK68" s="5"/>
    </row>
    <row r="69" spans="2:63" ht="15" customHeight="1" x14ac:dyDescent="0.25">
      <c r="B69" s="9"/>
      <c r="AI69" s="11"/>
      <c r="BJ69" s="11"/>
      <c r="BK69" s="5"/>
    </row>
    <row r="70" spans="2:63" ht="15" customHeight="1" x14ac:dyDescent="0.25">
      <c r="B70" s="9"/>
      <c r="AI70" s="11"/>
      <c r="BJ70" s="11"/>
      <c r="BK70" s="5"/>
    </row>
    <row r="71" spans="2:63" ht="15" customHeight="1" x14ac:dyDescent="0.25">
      <c r="B71" s="9"/>
      <c r="AI71" s="11"/>
      <c r="BJ71" s="11"/>
      <c r="BK71" s="5"/>
    </row>
    <row r="72" spans="2:63" ht="15" customHeight="1" x14ac:dyDescent="0.25">
      <c r="B72" s="9"/>
      <c r="AI72" s="11"/>
      <c r="BJ72" s="11"/>
      <c r="BK72" s="5"/>
    </row>
    <row r="73" spans="2:63" ht="15" customHeight="1" x14ac:dyDescent="0.25">
      <c r="B73" s="9"/>
      <c r="AI73" s="11"/>
      <c r="BJ73" s="11"/>
      <c r="BK73" s="5"/>
    </row>
    <row r="74" spans="2:63" ht="15" customHeight="1" x14ac:dyDescent="0.25">
      <c r="B74" s="9"/>
      <c r="AI74" s="11"/>
      <c r="BJ74" s="11"/>
      <c r="BK74" s="5"/>
    </row>
    <row r="75" spans="2:63" ht="15" customHeight="1" x14ac:dyDescent="0.25">
      <c r="B75" s="9"/>
      <c r="AI75" s="11"/>
      <c r="BJ75" s="11"/>
      <c r="BK75" s="5"/>
    </row>
    <row r="76" spans="2:63" ht="15" customHeight="1" x14ac:dyDescent="0.25">
      <c r="B76" s="9"/>
      <c r="AI76" s="11"/>
      <c r="BJ76" s="11"/>
      <c r="BK76" s="5"/>
    </row>
    <row r="77" spans="2:63" ht="15" customHeight="1" x14ac:dyDescent="0.25">
      <c r="B77" s="9"/>
      <c r="AI77" s="11"/>
      <c r="BJ77" s="11"/>
      <c r="BK77" s="5"/>
    </row>
    <row r="78" spans="2:63" ht="15" customHeight="1" x14ac:dyDescent="0.25">
      <c r="B78" s="9"/>
      <c r="AI78" s="11"/>
      <c r="BJ78" s="11"/>
      <c r="BK78" s="5"/>
    </row>
    <row r="79" spans="2:63" ht="15" customHeight="1" x14ac:dyDescent="0.25">
      <c r="B79" s="9"/>
      <c r="AI79" s="11"/>
      <c r="BJ79" s="11"/>
      <c r="BK79" s="5"/>
    </row>
    <row r="80" spans="2:63" ht="15" customHeight="1" x14ac:dyDescent="0.25">
      <c r="B80" s="9"/>
      <c r="AI80" s="11"/>
      <c r="BJ80" s="11"/>
      <c r="BK80" s="5"/>
    </row>
    <row r="81" spans="1:63" ht="15" customHeight="1" x14ac:dyDescent="0.25">
      <c r="B81" s="9"/>
      <c r="AI81" s="11"/>
      <c r="BJ81" s="11"/>
      <c r="BK81" s="5"/>
    </row>
    <row r="82" spans="1:63" ht="15" customHeight="1" x14ac:dyDescent="0.25">
      <c r="B82" s="9"/>
      <c r="AI82" s="11"/>
      <c r="BJ82" s="11"/>
      <c r="BK82" s="5"/>
    </row>
    <row r="83" spans="1:63" ht="15" customHeight="1" x14ac:dyDescent="0.25">
      <c r="B83" s="9"/>
      <c r="AI83" s="11"/>
      <c r="BJ83" s="11"/>
      <c r="BK83" s="5"/>
    </row>
    <row r="84" spans="1:63" ht="15" customHeight="1" x14ac:dyDescent="0.25">
      <c r="B84" s="9"/>
      <c r="AI84" s="11"/>
      <c r="BJ84" s="11"/>
      <c r="BK84" s="5"/>
    </row>
    <row r="85" spans="1:63" ht="15" customHeight="1" x14ac:dyDescent="0.25">
      <c r="B85" s="9"/>
      <c r="AI85" s="11"/>
      <c r="BJ85" s="11"/>
      <c r="BK85" s="5"/>
    </row>
    <row r="86" spans="1:63" ht="15" customHeight="1" x14ac:dyDescent="0.25">
      <c r="B86" s="9"/>
      <c r="AI86" s="11"/>
      <c r="BJ86" s="11"/>
      <c r="BK86" s="5"/>
    </row>
    <row r="87" spans="1:63" ht="15" customHeight="1" x14ac:dyDescent="0.25">
      <c r="B87" s="9"/>
      <c r="AI87" s="11"/>
      <c r="BJ87" s="11"/>
      <c r="BK87" s="5"/>
    </row>
    <row r="88" spans="1:63" ht="15" customHeight="1" x14ac:dyDescent="0.25">
      <c r="B88" s="9"/>
      <c r="AI88" s="11"/>
      <c r="BJ88" s="11"/>
      <c r="BK88" s="5"/>
    </row>
    <row r="89" spans="1:63" ht="15" customHeight="1" x14ac:dyDescent="0.25">
      <c r="B89" s="9"/>
      <c r="AI89" s="11"/>
      <c r="BJ89" s="11"/>
      <c r="BK89" s="5"/>
    </row>
    <row r="90" spans="1:63" ht="15" customHeight="1" x14ac:dyDescent="0.25">
      <c r="B90" s="9"/>
      <c r="AI90" s="11"/>
      <c r="BJ90" s="11"/>
      <c r="BK90" s="5"/>
    </row>
    <row r="91" spans="1:63" ht="15" customHeight="1" x14ac:dyDescent="0.25">
      <c r="B91" s="9"/>
      <c r="AI91" s="11"/>
      <c r="BJ91" s="11"/>
      <c r="BK91" s="5"/>
    </row>
    <row r="92" spans="1:63" ht="15" customHeight="1" x14ac:dyDescent="0.25">
      <c r="B92" s="9"/>
      <c r="AI92" s="11"/>
      <c r="BJ92" s="11"/>
      <c r="BK92" s="5"/>
    </row>
    <row r="93" spans="1:63" ht="15" customHeight="1" x14ac:dyDescent="0.25">
      <c r="B93" s="9"/>
      <c r="AI93" s="11"/>
      <c r="BJ93" s="11"/>
      <c r="BK93" s="5"/>
    </row>
    <row r="94" spans="1:63" ht="15" customHeight="1" x14ac:dyDescent="0.25">
      <c r="B94" s="9"/>
      <c r="AI94" s="11"/>
      <c r="BJ94" s="11"/>
      <c r="BK94" s="5"/>
    </row>
    <row r="95" spans="1:63" ht="15" customHeight="1" x14ac:dyDescent="0.25">
      <c r="A95" s="3"/>
      <c r="B95" s="10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12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12"/>
      <c r="BK95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3" t="s">
        <v>47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48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詳細設計書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19" t="s">
        <v>50</v>
      </c>
      <c r="AQ1" s="120"/>
      <c r="AR1" s="120"/>
      <c r="AS1" s="121"/>
      <c r="AT1" s="119" t="s">
        <v>51</v>
      </c>
      <c r="AU1" s="120"/>
      <c r="AV1" s="120"/>
      <c r="AW1" s="120"/>
      <c r="AX1" s="121"/>
      <c r="AY1" s="119" t="s">
        <v>52</v>
      </c>
      <c r="AZ1" s="120"/>
      <c r="BA1" s="120"/>
      <c r="BB1" s="121"/>
      <c r="BC1" s="119" t="s">
        <v>53</v>
      </c>
      <c r="BD1" s="120"/>
      <c r="BE1" s="120"/>
      <c r="BF1" s="120"/>
      <c r="BG1" s="121"/>
      <c r="BH1" s="119" t="s">
        <v>54</v>
      </c>
      <c r="BI1" s="120"/>
      <c r="BJ1" s="120"/>
      <c r="BK1" s="121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199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1"/>
      <c r="AP2" s="128" t="str">
        <f>IF(表紙!AP2="","",表紙!AP2)</f>
        <v>TuyenNH</v>
      </c>
      <c r="AQ2" s="126"/>
      <c r="AR2" s="126"/>
      <c r="AS2" s="127"/>
      <c r="AT2" s="132">
        <f>IF(表紙!AT2="","",表紙!AT2)</f>
        <v>45517</v>
      </c>
      <c r="AU2" s="133"/>
      <c r="AV2" s="133"/>
      <c r="AW2" s="133"/>
      <c r="AX2" s="134"/>
      <c r="AY2" s="128" t="str">
        <f>IF(表紙!AY2="","",表紙!AY2)</f>
        <v>TuyenNH</v>
      </c>
      <c r="AZ2" s="126"/>
      <c r="BA2" s="126"/>
      <c r="BB2" s="127"/>
      <c r="BC2" s="132">
        <f>IF(表紙!BC2="","",表紙!BC2)</f>
        <v>45517</v>
      </c>
      <c r="BD2" s="133"/>
      <c r="BE2" s="133"/>
      <c r="BF2" s="133"/>
      <c r="BG2" s="134"/>
      <c r="BH2" s="128">
        <f>IF(表紙!BH2="","",表紙!BH2)</f>
        <v>0.1</v>
      </c>
      <c r="BI2" s="126"/>
      <c r="BJ2" s="126"/>
      <c r="BK2" s="127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38"/>
      <c r="AQ3" s="139"/>
      <c r="AR3" s="139"/>
      <c r="AS3" s="140"/>
      <c r="AT3" s="144"/>
      <c r="AU3" s="145"/>
      <c r="AV3" s="145"/>
      <c r="AW3" s="145"/>
      <c r="AX3" s="146"/>
      <c r="AY3" s="138"/>
      <c r="AZ3" s="139"/>
      <c r="BA3" s="139"/>
      <c r="BB3" s="140"/>
      <c r="BC3" s="144"/>
      <c r="BD3" s="145"/>
      <c r="BE3" s="145"/>
      <c r="BF3" s="145"/>
      <c r="BG3" s="146"/>
      <c r="BH3" s="138"/>
      <c r="BI3" s="139"/>
      <c r="BJ3" s="139"/>
      <c r="BK3" s="140"/>
    </row>
    <row r="4" spans="1:63" ht="24.95" customHeight="1" x14ac:dyDescent="0.25">
      <c r="A4" s="193" t="s">
        <v>56</v>
      </c>
      <c r="B4" s="194"/>
      <c r="C4" s="194"/>
      <c r="D4" s="194"/>
      <c r="E4" s="194"/>
      <c r="F4" s="194"/>
      <c r="G4" s="195"/>
      <c r="H4" s="65" t="str">
        <f>IF(表紙!H4="","",表紙!H4)</f>
        <v>AP0202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3" t="s">
        <v>57</v>
      </c>
      <c r="V4" s="194"/>
      <c r="W4" s="194"/>
      <c r="X4" s="194"/>
      <c r="Y4" s="195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テンプレート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11" customFormat="1" ht="15" customHeight="1" x14ac:dyDescent="0.25">
      <c r="BK7" s="210"/>
    </row>
    <row r="8" spans="1:63" s="211" customFormat="1" ht="15" customHeight="1" x14ac:dyDescent="0.25">
      <c r="BK8" s="210"/>
    </row>
    <row r="9" spans="1:63" s="211" customFormat="1" ht="15" customHeight="1" x14ac:dyDescent="0.25">
      <c r="BK9" s="210"/>
    </row>
    <row r="10" spans="1:63" s="211" customFormat="1" ht="15" customHeight="1" x14ac:dyDescent="0.25">
      <c r="BK10" s="210"/>
    </row>
    <row r="11" spans="1:63" s="211" customFormat="1" ht="15" customHeight="1" x14ac:dyDescent="0.25">
      <c r="BK11" s="210"/>
    </row>
    <row r="12" spans="1:63" s="211" customFormat="1" ht="15" customHeight="1" x14ac:dyDescent="0.25">
      <c r="BK12" s="210"/>
    </row>
    <row r="13" spans="1:63" s="211" customFormat="1" ht="15" customHeight="1" x14ac:dyDescent="0.25">
      <c r="BK13" s="210"/>
    </row>
    <row r="14" spans="1:63" s="211" customFormat="1" ht="15" customHeight="1" x14ac:dyDescent="0.25">
      <c r="BK14" s="210"/>
    </row>
    <row r="15" spans="1:63" s="211" customFormat="1" ht="15" customHeight="1" x14ac:dyDescent="0.25">
      <c r="BK15" s="210"/>
    </row>
    <row r="16" spans="1:63" s="211" customFormat="1" ht="15" customHeight="1" x14ac:dyDescent="0.25">
      <c r="BK16" s="210"/>
    </row>
    <row r="17" spans="63:63" s="211" customFormat="1" ht="15" customHeight="1" x14ac:dyDescent="0.25">
      <c r="BK17" s="210"/>
    </row>
    <row r="18" spans="63:63" s="211" customFormat="1" ht="15" customHeight="1" x14ac:dyDescent="0.25">
      <c r="BK18" s="210"/>
    </row>
    <row r="19" spans="63:63" s="211" customFormat="1" ht="15" customHeight="1" x14ac:dyDescent="0.25">
      <c r="BK19" s="210"/>
    </row>
    <row r="20" spans="63:63" s="211" customFormat="1" ht="15" customHeight="1" x14ac:dyDescent="0.25">
      <c r="BK20" s="210"/>
    </row>
    <row r="21" spans="63:63" s="211" customFormat="1" ht="15" customHeight="1" x14ac:dyDescent="0.25">
      <c r="BK21" s="210"/>
    </row>
    <row r="22" spans="63:63" s="211" customFormat="1" ht="15" customHeight="1" x14ac:dyDescent="0.25">
      <c r="BK22" s="210"/>
    </row>
    <row r="23" spans="63:63" s="211" customFormat="1" ht="15" customHeight="1" x14ac:dyDescent="0.25">
      <c r="BK23" s="210"/>
    </row>
    <row r="24" spans="63:63" s="211" customFormat="1" ht="15" customHeight="1" x14ac:dyDescent="0.25">
      <c r="BK24" s="210"/>
    </row>
    <row r="25" spans="63:63" s="211" customFormat="1" ht="15" customHeight="1" x14ac:dyDescent="0.25">
      <c r="BK25" s="210"/>
    </row>
    <row r="26" spans="63:63" s="211" customFormat="1" ht="15" customHeight="1" x14ac:dyDescent="0.25">
      <c r="BK26" s="210"/>
    </row>
    <row r="27" spans="63:63" s="211" customFormat="1" ht="15" customHeight="1" x14ac:dyDescent="0.25">
      <c r="BK27" s="210"/>
    </row>
    <row r="28" spans="63:63" s="211" customFormat="1" ht="15" customHeight="1" x14ac:dyDescent="0.25">
      <c r="BK28" s="210"/>
    </row>
    <row r="29" spans="63:63" s="211" customFormat="1" ht="15" customHeight="1" x14ac:dyDescent="0.25">
      <c r="BK29" s="210"/>
    </row>
    <row r="30" spans="63:63" s="211" customFormat="1" ht="15" customHeight="1" x14ac:dyDescent="0.25">
      <c r="BK30" s="210"/>
    </row>
    <row r="31" spans="63:63" s="211" customFormat="1" ht="15" customHeight="1" x14ac:dyDescent="0.25">
      <c r="BK31" s="210"/>
    </row>
    <row r="32" spans="63:63" s="211" customFormat="1" ht="15" customHeight="1" x14ac:dyDescent="0.25">
      <c r="BK32" s="210"/>
    </row>
    <row r="33" spans="63:63" s="211" customFormat="1" ht="15" customHeight="1" x14ac:dyDescent="0.25">
      <c r="BK33" s="210"/>
    </row>
    <row r="34" spans="63:63" s="211" customFormat="1" ht="15" customHeight="1" x14ac:dyDescent="0.25">
      <c r="BK34" s="210"/>
    </row>
    <row r="35" spans="63:63" s="211" customFormat="1" ht="15" customHeight="1" x14ac:dyDescent="0.25">
      <c r="BK35" s="210"/>
    </row>
    <row r="36" spans="63:63" s="211" customFormat="1" ht="15" customHeight="1" x14ac:dyDescent="0.25">
      <c r="BK36" s="210"/>
    </row>
    <row r="37" spans="63:63" s="211" customFormat="1" ht="15" customHeight="1" x14ac:dyDescent="0.25">
      <c r="BK37" s="210"/>
    </row>
    <row r="38" spans="63:63" s="211" customFormat="1" ht="15" customHeight="1" x14ac:dyDescent="0.25">
      <c r="BK38" s="210"/>
    </row>
    <row r="39" spans="63:63" s="211" customFormat="1" ht="15" customHeight="1" x14ac:dyDescent="0.25">
      <c r="BK39" s="210"/>
    </row>
    <row r="40" spans="63:63" s="211" customFormat="1" ht="15" customHeight="1" x14ac:dyDescent="0.25">
      <c r="BK40" s="210"/>
    </row>
    <row r="41" spans="63:63" s="211" customFormat="1" ht="15" customHeight="1" x14ac:dyDescent="0.25">
      <c r="BK41" s="210"/>
    </row>
    <row r="42" spans="63:63" s="211" customFormat="1" ht="15" customHeight="1" x14ac:dyDescent="0.25">
      <c r="BK42" s="210"/>
    </row>
    <row r="43" spans="63:63" s="211" customFormat="1" ht="15" customHeight="1" x14ac:dyDescent="0.25">
      <c r="BK43" s="210"/>
    </row>
    <row r="44" spans="63:63" s="211" customFormat="1" ht="15" customHeight="1" x14ac:dyDescent="0.25">
      <c r="BK44" s="210"/>
    </row>
    <row r="45" spans="63:63" s="211" customFormat="1" ht="15" customHeight="1" x14ac:dyDescent="0.25">
      <c r="BK45" s="210"/>
    </row>
    <row r="46" spans="63:63" s="211" customFormat="1" ht="15" customHeight="1" x14ac:dyDescent="0.25">
      <c r="BK46" s="210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AP0202</vt:lpstr>
      <vt:lpstr>処理フロー</vt:lpstr>
      <vt:lpstr>テンプレート</vt:lpstr>
      <vt:lpstr>'AP0202'!Print_Area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2024-08-26T03:43:41Z</dcterms:modified>
  <cp:category/>
  <cp:contentStatus/>
</cp:coreProperties>
</file>