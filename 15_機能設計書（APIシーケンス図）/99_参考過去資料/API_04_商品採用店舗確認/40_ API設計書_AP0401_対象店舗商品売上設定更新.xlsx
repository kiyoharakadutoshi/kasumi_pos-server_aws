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Pos system\40_API設計\API_04_商品採用店舗確認\"/>
    </mc:Choice>
  </mc:AlternateContent>
  <xr:revisionPtr revIDLastSave="0" documentId="13_ncr:1_{E4265CA9-8FF6-45ED-A3A2-6F9E6EB2688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0401" sheetId="8" r:id="rId4"/>
    <sheet name="処理フロー" sheetId="9" r:id="rId5"/>
    <sheet name="テンプレート" sheetId="7" r:id="rId6"/>
  </sheets>
  <definedNames>
    <definedName name="_xlnm.Print_Area" localSheetId="3">'AP0401'!$A$1:$BK$63</definedName>
    <definedName name="_xlnm.Print_Area" localSheetId="5">テンプレート!$A$1:$BK$54</definedName>
    <definedName name="_xlnm.Print_Area" localSheetId="4">処理フロー!$A$1:$BK$54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BH2" i="7"/>
  <c r="BC2" i="7"/>
  <c r="AY2" i="7"/>
  <c r="AT2" i="7"/>
  <c r="AP2" i="7"/>
  <c r="K2" i="7"/>
  <c r="A2" i="7"/>
  <c r="W1" i="7"/>
  <c r="AP4" i="9"/>
  <c r="Z4" i="9"/>
  <c r="H4" i="9"/>
  <c r="BH2" i="9"/>
  <c r="BC2" i="9"/>
  <c r="AY2" i="9"/>
  <c r="AT2" i="9"/>
  <c r="AP2" i="9"/>
  <c r="K2" i="9"/>
  <c r="A2" i="9"/>
  <c r="W1" i="9"/>
  <c r="C53" i="8"/>
  <c r="AP4" i="8"/>
  <c r="Z4" i="8"/>
  <c r="H4" i="8"/>
  <c r="BH2" i="8"/>
  <c r="BC2" i="8"/>
  <c r="AY2" i="8"/>
  <c r="AT2" i="8"/>
  <c r="AP2" i="8"/>
  <c r="K2" i="8"/>
  <c r="A2" i="8"/>
  <c r="W1" i="8"/>
  <c r="AP4" i="10"/>
  <c r="Z4" i="10"/>
  <c r="H4" i="10"/>
  <c r="BH2" i="10"/>
  <c r="BC2" i="10"/>
  <c r="AY2" i="10"/>
  <c r="AT2" i="10"/>
  <c r="AP2" i="10"/>
  <c r="K2" i="10"/>
  <c r="A2" i="10"/>
  <c r="W1" i="10"/>
  <c r="AP4" i="3" a="1"/>
  <c r="AP4" i="3" s="1"/>
  <c r="Z4" i="3"/>
  <c r="H4" i="3"/>
  <c r="BH2" i="3"/>
  <c r="BC2" i="3"/>
  <c r="AY2" i="3"/>
  <c r="AT2" i="3"/>
  <c r="AP2" i="3"/>
  <c r="K2" i="3"/>
  <c r="A2" i="3"/>
  <c r="W1" i="3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<sst xmlns="http://schemas.openxmlformats.org/spreadsheetml/2006/main" count="161" uniqueCount="75">
  <si>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</si>
  <si>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</si>
  <si>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新規作成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</si>
  <si>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</si>
  <si>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</si>
  <si>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</si>
  <si>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</si>
  <si>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</si>
  <si>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</si>
  <si>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</si>
  <si>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</si>
  <si>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</si>
  <si>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</si>
  <si>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</si>
  <si>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</si>
  <si>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string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</si>
  <si>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</si>
  <si>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</si>
  <si>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</si>
  <si>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</si>
  <si>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</si>
  <si>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</si>
  <si>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</si>
  <si>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b/>
        <sz val="11"/>
        <color rgb="FF000000"/>
        <rFont val="Meiryo UI"/>
        <family val="2"/>
      </rPr>
      <t>項目名</t>
    </r>
  </si>
  <si>
    <r>
      <rPr>
        <sz val="11"/>
        <color rgb="FF000000"/>
        <rFont val="Meiryo UI"/>
        <family val="2"/>
      </rPr>
      <t>company_code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</si>
  <si>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</si>
  <si>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item_code</t>
    </r>
  </si>
  <si>
    <r>
      <rPr>
        <sz val="11"/>
        <color rgb="FF000000"/>
        <rFont val="Meiryo UI"/>
        <family val="2"/>
      </rPr>
      <t>message</t>
    </r>
  </si>
  <si>
    <r>
      <rPr>
        <b/>
        <sz val="11"/>
        <color rgb="FF000000"/>
        <rFont val="Meiryo UI"/>
        <family val="2"/>
      </rPr>
      <t>エラーコード</t>
    </r>
  </si>
  <si>
    <r>
      <rPr>
        <b/>
        <sz val="11"/>
        <color rgb="FF000000"/>
        <rFont val="Meiryo UI"/>
        <family val="2"/>
      </rPr>
      <t>エラーメッセージ</t>
    </r>
  </si>
  <si>
    <r>
      <rPr>
        <sz val="11"/>
        <color rgb="FF000000"/>
        <rFont val="Meiryo UI"/>
        <family val="2"/>
      </rPr>
      <t>API_AP0401</t>
    </r>
  </si>
  <si>
    <r>
      <rPr>
        <sz val="11"/>
        <color rgb="FF000000"/>
        <rFont val="Meiryo UI"/>
        <family val="2"/>
      </rPr>
      <t>pos/v1/product/belong-to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</si>
  <si>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</si>
  <si>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belong_to</t>
    </r>
  </si>
  <si>
    <r>
      <rPr>
        <sz val="11"/>
        <color rgb="FF000000"/>
        <rFont val="Meiryo UI"/>
        <family val="2"/>
      </rPr>
      <t>status_code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</si>
  <si>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</si>
  <si>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</si>
  <si>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</si>
  <si>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</si>
  <si>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</si>
  <si>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</si>
  <si>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</si>
  <si>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</si>
  <si>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</si>
  <si>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</si>
  <si>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</si>
  <si>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</si>
  <si>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POSサーバーの基本設計書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</si>
  <si>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</si>
  <si>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</si>
  <si>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</si>
  <si>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DuNT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</si>
  <si>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</si>
  <si>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</si>
  <si>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売上をカスミまたはウエルシアに計算された商品設定を更新する。</t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</si>
  <si>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</si>
  <si>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</si>
  <si>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</si>
  <si>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</si>
  <si>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</si>
  <si>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</si>
  <si>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フォーマット: "Bearer {api_key}"</t>
    </r>
  </si>
  <si>
    <t>2.3 Query Parameter/ path parameter</t>
  </si>
  <si>
    <t>2.4 Request Body</t>
  </si>
  <si>
    <r>
      <rPr>
        <sz val="11"/>
        <color rgb="FF000000"/>
        <rFont val="Meiryo UI"/>
        <family val="2"/>
      </rPr>
      <t xml:space="preserve">PLUコード </t>
    </r>
  </si>
  <si>
    <t>バリデーションチェック：値=1又は2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</si>
  <si>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</si>
  <si>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</si>
  <si>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r>
      <rPr>
        <b/>
        <sz val="11"/>
        <color rgb="FF000000"/>
        <rFont val="Meiryo UI"/>
        <family val="2"/>
      </rPr>
      <t>3.2. エラーの場合のレスポンスフォーマット</t>
    </r>
  </si>
  <si>
    <t>JSON Name</t>
  </si>
  <si>
    <t>※サンプル</t>
  </si>
  <si>
    <t>店舗番号</t>
  </si>
  <si>
    <t>企業コード</t>
  </si>
  <si>
    <t>1: カスミ, 2: ウエルシア</t>
  </si>
  <si>
    <t>13文字。13文字に足りない場合、先頭に「0」を自動的に追加する。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</si>
</sst>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1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1"/>
      <color indexed="8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3" fillId="0" borderId="0">
      <alignment vertical="center"/>
    </xf>
    <xf numFmtId="0" fontId="2" fillId="0" borderId="0">
      <alignment vertical="center"/>
    </xf>
  </cellStyleXfs>
  <cellXfs count="244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1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1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18" fillId="0" borderId="0" xfId="0" applyFont="1"/>
    <xf numFmtId="0" fontId="18" fillId="0" borderId="2" xfId="0" applyFont="1" applyBorder="1"/>
    <xf numFmtId="0" fontId="18" fillId="0" borderId="3" xfId="0" applyFont="1" applyBorder="1"/>
    <xf numFmtId="0" fontId="18" fillId="0" borderId="5" xfId="0" applyFont="1" applyBorder="1"/>
    <xf numFmtId="0" fontId="18" fillId="0" borderId="1" xfId="0" applyFont="1" applyBorder="1"/>
    <xf numFmtId="0" fontId="18" fillId="0" borderId="4" xfId="0" applyFont="1" applyBorder="1"/>
    <xf numFmtId="0" fontId="18" fillId="0" borderId="7" xfId="0" applyFont="1" applyBorder="1"/>
    <xf numFmtId="0" fontId="18" fillId="0" borderId="8" xfId="0" applyFont="1" applyBorder="1"/>
    <xf numFmtId="0" fontId="18" fillId="0" borderId="11" xfId="0" applyFont="1" applyBorder="1"/>
    <xf numFmtId="0" fontId="18" fillId="0" borderId="6" xfId="0" applyFont="1" applyBorder="1"/>
    <xf numFmtId="0" fontId="18" fillId="0" borderId="12" xfId="0" applyFont="1" applyBorder="1"/>
    <xf numFmtId="0" fontId="18" fillId="0" borderId="14" xfId="0" applyFont="1" applyBorder="1"/>
    <xf numFmtId="0" fontId="18" fillId="0" borderId="15" xfId="0" applyFont="1" applyBorder="1"/>
    <xf numFmtId="0" fontId="18" fillId="0" borderId="9" xfId="0" applyFont="1" applyBorder="1"/>
    <xf numFmtId="0" fontId="18" fillId="0" borderId="10" xfId="0" applyFont="1" applyBorder="1"/>
    <xf numFmtId="0" fontId="18" fillId="0" borderId="13" xfId="0" applyFont="1" applyBorder="1"/>
    <xf numFmtId="0" fontId="18" fillId="0" borderId="1" xfId="0" applyFont="1" applyBorder="1" applyAlignment="1">
      <alignment vertical="center"/>
    </xf>
    <xf numFmtId="0" fontId="15" fillId="4" borderId="19" xfId="0" applyFont="1" applyFill="1" applyBorder="1" applyAlignment="1">
      <alignment vertical="center"/>
    </xf>
    <xf numFmtId="0" fontId="14" fillId="4" borderId="0" xfId="0" applyFont="1" applyFill="1" applyAlignment="1">
      <alignment vertical="center"/>
    </xf>
    <xf numFmtId="0" fontId="14" fillId="4" borderId="21" xfId="0" applyFont="1" applyFill="1" applyBorder="1" applyAlignment="1">
      <alignment vertical="center"/>
    </xf>
    <xf numFmtId="0" fontId="14" fillId="4" borderId="19" xfId="0" applyFont="1" applyFill="1" applyBorder="1" applyAlignment="1">
      <alignment vertical="center"/>
    </xf>
    <xf numFmtId="0" fontId="18" fillId="0" borderId="4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16" xfId="0" applyFont="1" applyBorder="1" applyAlignment="1">
      <alignment horizontal="left" vertical="center"/>
    </xf>
    <xf numFmtId="0" fontId="18" fillId="0" borderId="17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8" fillId="0" borderId="0" xfId="0" quotePrefix="1" applyFont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18" fillId="0" borderId="3" xfId="0" applyFont="1" applyBorder="1" applyAlignment="1">
      <alignment horizontal="left" vertical="center"/>
    </xf>
    <xf numFmtId="0" fontId="18" fillId="0" borderId="21" xfId="0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0" fontId="14" fillId="4" borderId="23" xfId="0" applyFont="1" applyFill="1" applyBorder="1" applyAlignment="1">
      <alignment horizontal="center" vertical="center"/>
    </xf>
    <xf numFmtId="0" fontId="14" fillId="4" borderId="24" xfId="0" applyFont="1" applyFill="1" applyBorder="1" applyAlignment="1">
      <alignment horizontal="center" vertical="center"/>
    </xf>
    <xf numFmtId="0" fontId="14" fillId="4" borderId="25" xfId="0" applyFont="1" applyFill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2" fontId="18" fillId="0" borderId="16" xfId="0" applyNumberFormat="1" applyFont="1" applyBorder="1" applyAlignment="1">
      <alignment horizontal="center" vertical="center"/>
    </xf>
    <xf numFmtId="2" fontId="18" fillId="0" borderId="17" xfId="0" applyNumberFormat="1" applyFont="1" applyBorder="1" applyAlignment="1">
      <alignment horizontal="center" vertical="center"/>
    </xf>
    <xf numFmtId="2" fontId="18" fillId="0" borderId="18" xfId="0" applyNumberFormat="1" applyFont="1" applyBorder="1" applyAlignment="1">
      <alignment horizontal="center" vertical="center"/>
    </xf>
    <xf numFmtId="2" fontId="18" fillId="0" borderId="2" xfId="0" applyNumberFormat="1" applyFont="1" applyBorder="1" applyAlignment="1">
      <alignment horizontal="center" vertical="center"/>
    </xf>
    <xf numFmtId="2" fontId="18" fillId="0" borderId="3" xfId="0" applyNumberFormat="1" applyFont="1" applyBorder="1" applyAlignment="1">
      <alignment horizontal="center" vertical="center"/>
    </xf>
    <xf numFmtId="2" fontId="18" fillId="0" borderId="5" xfId="0" applyNumberFormat="1" applyFont="1" applyBorder="1" applyAlignment="1">
      <alignment horizontal="center" vertical="center"/>
    </xf>
    <xf numFmtId="14" fontId="18" fillId="0" borderId="16" xfId="0" applyNumberFormat="1" applyFont="1" applyBorder="1" applyAlignment="1">
      <alignment horizontal="center" vertical="center"/>
    </xf>
    <xf numFmtId="14" fontId="18" fillId="0" borderId="17" xfId="0" applyNumberFormat="1" applyFont="1" applyBorder="1" applyAlignment="1">
      <alignment horizontal="center" vertical="center"/>
    </xf>
    <xf numFmtId="14" fontId="18" fillId="0" borderId="18" xfId="0" applyNumberFormat="1" applyFont="1" applyBorder="1" applyAlignment="1">
      <alignment horizontal="center" vertical="center"/>
    </xf>
    <xf numFmtId="14" fontId="18" fillId="0" borderId="2" xfId="0" applyNumberFormat="1" applyFont="1" applyBorder="1" applyAlignment="1">
      <alignment horizontal="center" vertical="center"/>
    </xf>
    <xf numFmtId="14" fontId="18" fillId="0" borderId="3" xfId="0" applyNumberFormat="1" applyFont="1" applyBorder="1" applyAlignment="1">
      <alignment horizontal="center" vertical="center"/>
    </xf>
    <xf numFmtId="14" fontId="18" fillId="0" borderId="5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0" fontId="14" fillId="4" borderId="17" xfId="0" applyFont="1" applyFill="1" applyBorder="1" applyAlignment="1">
      <alignment horizontal="center" vertical="center"/>
    </xf>
    <xf numFmtId="0" fontId="14" fillId="4" borderId="18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8" fillId="0" borderId="26" xfId="0" applyFont="1" applyBorder="1"/>
    <xf numFmtId="0" fontId="18" fillId="0" borderId="27" xfId="0" applyFont="1" applyBorder="1"/>
    <xf numFmtId="0" fontId="18" fillId="0" borderId="28" xfId="0" applyFont="1" applyBorder="1"/>
    <xf numFmtId="0" fontId="18" fillId="0" borderId="17" xfId="0" applyFont="1" applyBorder="1"/>
    <xf numFmtId="0" fontId="18" fillId="0" borderId="18" xfId="0" applyFont="1" applyBorder="1"/>
    <xf numFmtId="0" fontId="18" fillId="0" borderId="3" xfId="0" applyFont="1" applyBorder="1"/>
    <xf numFmtId="0" fontId="18" fillId="0" borderId="5" xfId="0" applyFont="1" applyBorder="1"/>
    <xf numFmtId="0" fontId="18" fillId="0" borderId="16" xfId="0" applyFont="1" applyBorder="1"/>
    <xf numFmtId="0" fontId="18" fillId="0" borderId="2" xfId="0" applyFont="1" applyBorder="1"/>
    <xf numFmtId="0" fontId="18" fillId="0" borderId="29" xfId="0" applyFont="1" applyBorder="1"/>
    <xf numFmtId="0" fontId="18" fillId="0" borderId="30" xfId="0" applyFont="1" applyBorder="1"/>
    <xf numFmtId="0" fontId="18" fillId="0" borderId="31" xfId="0" applyFont="1" applyBorder="1"/>
    <xf numFmtId="0" fontId="14" fillId="4" borderId="0" xfId="0" applyFont="1" applyFill="1"/>
    <xf numFmtId="0" fontId="14" fillId="4" borderId="23" xfId="6" applyFont="1" applyFill="1" applyBorder="1" applyAlignment="1">
      <alignment horizontal="center" vertical="center"/>
    </xf>
    <xf numFmtId="0" fontId="14" fillId="4" borderId="24" xfId="6" applyFont="1" applyFill="1" applyBorder="1" applyAlignment="1">
      <alignment horizontal="center" vertical="center"/>
    </xf>
    <xf numFmtId="0" fontId="14" fillId="4" borderId="25" xfId="6" applyFont="1" applyFill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17" fillId="0" borderId="16" xfId="6" applyFont="1" applyBorder="1" applyAlignment="1">
      <alignment horizontal="center" vertical="center"/>
    </xf>
    <xf numFmtId="0" fontId="17" fillId="0" borderId="17" xfId="6" applyFont="1" applyBorder="1" applyAlignment="1">
      <alignment horizontal="center" vertical="center"/>
    </xf>
    <xf numFmtId="0" fontId="17" fillId="0" borderId="18" xfId="6" applyFont="1" applyBorder="1" applyAlignment="1">
      <alignment horizontal="center" vertical="center"/>
    </xf>
    <xf numFmtId="0" fontId="17" fillId="0" borderId="1" xfId="6" applyFont="1" applyBorder="1" applyAlignment="1">
      <alignment horizontal="center" vertical="center"/>
    </xf>
    <xf numFmtId="0" fontId="17" fillId="0" borderId="0" xfId="6" applyFont="1" applyAlignment="1">
      <alignment horizontal="center" vertical="center"/>
    </xf>
    <xf numFmtId="0" fontId="17" fillId="0" borderId="4" xfId="6" applyFont="1" applyBorder="1" applyAlignment="1">
      <alignment horizontal="center" vertical="center"/>
    </xf>
    <xf numFmtId="0" fontId="17" fillId="0" borderId="2" xfId="6" applyFont="1" applyBorder="1" applyAlignment="1">
      <alignment horizontal="center" vertical="center"/>
    </xf>
    <xf numFmtId="0" fontId="17" fillId="0" borderId="3" xfId="6" applyFont="1" applyBorder="1" applyAlignment="1">
      <alignment horizontal="center" vertical="center"/>
    </xf>
    <xf numFmtId="0" fontId="17" fillId="0" borderId="5" xfId="6" applyFont="1" applyBorder="1" applyAlignment="1">
      <alignment horizontal="center" vertical="center"/>
    </xf>
    <xf numFmtId="0" fontId="18" fillId="0" borderId="23" xfId="0" quotePrefix="1" applyFont="1" applyBorder="1" applyAlignment="1">
      <alignment horizontal="left" vertical="center"/>
    </xf>
    <xf numFmtId="0" fontId="18" fillId="0" borderId="24" xfId="0" quotePrefix="1" applyFont="1" applyBorder="1" applyAlignment="1">
      <alignment horizontal="left" vertical="center"/>
    </xf>
    <xf numFmtId="0" fontId="18" fillId="0" borderId="25" xfId="0" quotePrefix="1" applyFont="1" applyBorder="1" applyAlignment="1">
      <alignment horizontal="left" vertical="center"/>
    </xf>
    <xf numFmtId="0" fontId="18" fillId="0" borderId="23" xfId="0" quotePrefix="1" applyFont="1" applyBorder="1" applyAlignment="1">
      <alignment horizontal="left" vertical="center" wrapText="1"/>
    </xf>
    <xf numFmtId="0" fontId="18" fillId="0" borderId="17" xfId="0" quotePrefix="1" applyFont="1" applyBorder="1" applyAlignment="1">
      <alignment horizontal="left" vertical="top" wrapText="1"/>
    </xf>
    <xf numFmtId="0" fontId="18" fillId="0" borderId="18" xfId="0" quotePrefix="1" applyFont="1" applyBorder="1" applyAlignment="1">
      <alignment horizontal="left" vertical="top" wrapText="1"/>
    </xf>
    <xf numFmtId="0" fontId="18" fillId="0" borderId="0" xfId="0" quotePrefix="1" applyFont="1" applyAlignment="1">
      <alignment horizontal="left" vertical="top" wrapText="1"/>
    </xf>
    <xf numFmtId="0" fontId="18" fillId="0" borderId="4" xfId="0" quotePrefix="1" applyFont="1" applyBorder="1" applyAlignment="1">
      <alignment horizontal="left" vertical="top" wrapText="1"/>
    </xf>
    <xf numFmtId="0" fontId="18" fillId="0" borderId="3" xfId="0" quotePrefix="1" applyFont="1" applyBorder="1" applyAlignment="1">
      <alignment horizontal="left" vertical="top" wrapText="1"/>
    </xf>
    <xf numFmtId="0" fontId="18" fillId="0" borderId="5" xfId="0" quotePrefix="1" applyFont="1" applyBorder="1" applyAlignment="1">
      <alignment horizontal="left" vertical="top" wrapText="1"/>
    </xf>
    <xf numFmtId="0" fontId="5" fillId="5" borderId="23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3" fillId="0" borderId="23" xfId="0" quotePrefix="1" applyFont="1" applyBorder="1" applyAlignment="1">
      <alignment horizontal="left" vertical="center"/>
    </xf>
    <xf numFmtId="0" fontId="3" fillId="0" borderId="24" xfId="0" quotePrefix="1" applyFont="1" applyBorder="1" applyAlignment="1">
      <alignment horizontal="left" vertical="center"/>
    </xf>
    <xf numFmtId="0" fontId="3" fillId="0" borderId="25" xfId="0" quotePrefix="1" applyFont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18" fillId="0" borderId="16" xfId="0" quotePrefix="1" applyFont="1" applyBorder="1" applyAlignment="1">
      <alignment horizontal="left" vertical="center"/>
    </xf>
    <xf numFmtId="0" fontId="18" fillId="0" borderId="17" xfId="0" quotePrefix="1" applyFont="1" applyBorder="1" applyAlignment="1">
      <alignment horizontal="left" vertical="center"/>
    </xf>
    <xf numFmtId="0" fontId="18" fillId="0" borderId="18" xfId="0" quotePrefix="1" applyFont="1" applyBorder="1" applyAlignment="1">
      <alignment horizontal="left" vertical="center"/>
    </xf>
    <xf numFmtId="0" fontId="18" fillId="0" borderId="1" xfId="0" quotePrefix="1" applyFont="1" applyBorder="1" applyAlignment="1">
      <alignment horizontal="left" vertical="center"/>
    </xf>
    <xf numFmtId="0" fontId="18" fillId="0" borderId="0" xfId="0" quotePrefix="1" applyFont="1" applyAlignment="1">
      <alignment horizontal="left" vertical="center"/>
    </xf>
    <xf numFmtId="0" fontId="18" fillId="0" borderId="4" xfId="0" quotePrefix="1" applyFont="1" applyBorder="1" applyAlignment="1">
      <alignment horizontal="left" vertical="center"/>
    </xf>
    <xf numFmtId="0" fontId="18" fillId="0" borderId="2" xfId="0" quotePrefix="1" applyFont="1" applyBorder="1" applyAlignment="1">
      <alignment horizontal="left" vertical="center"/>
    </xf>
    <xf numFmtId="0" fontId="18" fillId="0" borderId="3" xfId="0" quotePrefix="1" applyFont="1" applyBorder="1" applyAlignment="1">
      <alignment horizontal="left" vertical="center"/>
    </xf>
    <xf numFmtId="0" fontId="18" fillId="0" borderId="5" xfId="0" quotePrefix="1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0" fontId="18" fillId="0" borderId="24" xfId="0" applyFont="1" applyBorder="1" applyAlignment="1">
      <alignment horizontal="left" vertical="center"/>
    </xf>
    <xf numFmtId="0" fontId="18" fillId="0" borderId="25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18" fillId="0" borderId="16" xfId="0" applyFont="1" applyBorder="1" applyAlignment="1">
      <alignment horizontal="left" vertical="top"/>
    </xf>
    <xf numFmtId="0" fontId="18" fillId="0" borderId="17" xfId="0" applyFont="1" applyBorder="1" applyAlignment="1">
      <alignment horizontal="left" vertical="top"/>
    </xf>
    <xf numFmtId="0" fontId="18" fillId="0" borderId="18" xfId="0" applyFont="1" applyBorder="1" applyAlignment="1">
      <alignment horizontal="left" vertical="top"/>
    </xf>
    <xf numFmtId="0" fontId="18" fillId="0" borderId="1" xfId="0" applyFont="1" applyBorder="1" applyAlignment="1">
      <alignment horizontal="left" vertical="top"/>
    </xf>
    <xf numFmtId="0" fontId="18" fillId="0" borderId="0" xfId="0" applyFont="1" applyAlignment="1">
      <alignment horizontal="left" vertical="top"/>
    </xf>
    <xf numFmtId="0" fontId="18" fillId="0" borderId="4" xfId="0" applyFont="1" applyBorder="1" applyAlignment="1">
      <alignment horizontal="left" vertical="top"/>
    </xf>
    <xf numFmtId="0" fontId="18" fillId="0" borderId="2" xfId="0" applyFont="1" applyBorder="1" applyAlignment="1">
      <alignment horizontal="left" vertical="top"/>
    </xf>
    <xf numFmtId="0" fontId="18" fillId="0" borderId="3" xfId="0" applyFont="1" applyBorder="1" applyAlignment="1">
      <alignment horizontal="left" vertical="top"/>
    </xf>
    <xf numFmtId="0" fontId="18" fillId="0" borderId="5" xfId="0" applyFont="1" applyBorder="1" applyAlignment="1">
      <alignment horizontal="left" vertical="top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8" fillId="0" borderId="16" xfId="0" quotePrefix="1" applyFont="1" applyBorder="1" applyAlignment="1">
      <alignment horizontal="center" vertical="center"/>
    </xf>
    <xf numFmtId="0" fontId="18" fillId="0" borderId="17" xfId="0" quotePrefix="1" applyFont="1" applyBorder="1" applyAlignment="1">
      <alignment horizontal="center" vertical="center"/>
    </xf>
    <xf numFmtId="0" fontId="18" fillId="0" borderId="18" xfId="0" quotePrefix="1" applyFont="1" applyBorder="1" applyAlignment="1">
      <alignment horizontal="center" vertical="center"/>
    </xf>
    <xf numFmtId="0" fontId="18" fillId="0" borderId="1" xfId="0" quotePrefix="1" applyFont="1" applyBorder="1" applyAlignment="1">
      <alignment horizontal="center" vertical="center"/>
    </xf>
    <xf numFmtId="0" fontId="18" fillId="0" borderId="0" xfId="0" quotePrefix="1" applyFont="1" applyAlignment="1">
      <alignment horizontal="center" vertical="center"/>
    </xf>
    <xf numFmtId="0" fontId="18" fillId="0" borderId="4" xfId="0" quotePrefix="1" applyFont="1" applyBorder="1" applyAlignment="1">
      <alignment horizontal="center" vertical="center"/>
    </xf>
    <xf numFmtId="0" fontId="18" fillId="0" borderId="2" xfId="0" quotePrefix="1" applyFont="1" applyBorder="1" applyAlignment="1">
      <alignment horizontal="center" vertical="center"/>
    </xf>
    <xf numFmtId="0" fontId="18" fillId="0" borderId="3" xfId="0" quotePrefix="1" applyFont="1" applyBorder="1" applyAlignment="1">
      <alignment horizontal="center" vertical="center"/>
    </xf>
    <xf numFmtId="0" fontId="18" fillId="0" borderId="5" xfId="0" quotePrefix="1" applyFont="1" applyBorder="1" applyAlignment="1">
      <alignment horizontal="center" vertical="center"/>
    </xf>
    <xf numFmtId="0" fontId="3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18" fillId="0" borderId="16" xfId="0" applyFont="1" applyBorder="1" applyAlignment="1">
      <alignment horizontal="left" vertical="center"/>
    </xf>
    <xf numFmtId="0" fontId="18" fillId="0" borderId="17" xfId="0" applyFont="1" applyBorder="1" applyAlignment="1">
      <alignment horizontal="left" vertical="center"/>
    </xf>
    <xf numFmtId="0" fontId="18" fillId="0" borderId="18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4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18" fillId="0" borderId="3" xfId="0" applyFont="1" applyBorder="1" applyAlignment="1">
      <alignment horizontal="left" vertical="center"/>
    </xf>
    <xf numFmtId="0" fontId="18" fillId="0" borderId="5" xfId="0" applyFont="1" applyBorder="1" applyAlignment="1">
      <alignment horizontal="left" vertical="center"/>
    </xf>
    <xf numFmtId="0" fontId="3" fillId="5" borderId="23" xfId="0" applyFont="1" applyFill="1" applyBorder="1" applyAlignment="1">
      <alignment horizontal="left" vertical="center"/>
    </xf>
    <xf numFmtId="0" fontId="3" fillId="5" borderId="25" xfId="0" applyFont="1" applyFill="1" applyBorder="1" applyAlignment="1">
      <alignment horizontal="left" vertical="center"/>
    </xf>
    <xf numFmtId="0" fontId="18" fillId="5" borderId="23" xfId="0" applyFont="1" applyFill="1" applyBorder="1" applyAlignment="1">
      <alignment horizontal="left" vertical="center"/>
    </xf>
    <xf numFmtId="0" fontId="18" fillId="5" borderId="24" xfId="0" applyFont="1" applyFill="1" applyBorder="1" applyAlignment="1">
      <alignment horizontal="left" vertical="center"/>
    </xf>
    <xf numFmtId="0" fontId="18" fillId="5" borderId="25" xfId="0" applyFont="1" applyFill="1" applyBorder="1" applyAlignment="1">
      <alignment horizontal="left" vertical="center"/>
    </xf>
    <xf numFmtId="0" fontId="10" fillId="0" borderId="23" xfId="0" applyFont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0" fillId="0" borderId="25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0" fontId="4" fillId="5" borderId="23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left" vertical="center"/>
    </xf>
    <xf numFmtId="0" fontId="4" fillId="5" borderId="25" xfId="0" applyFont="1" applyFill="1" applyBorder="1" applyAlignment="1">
      <alignment horizontal="left"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17</xdr:row>
      <xdr:rowOff>179294</xdr:rowOff>
    </xdr:from>
    <xdr:to>
      <xdr:col>27</xdr:col>
      <xdr:colOff>0</xdr:colOff>
      <xdr:row>22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6670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1</xdr:colOff>
      <xdr:row>18</xdr:row>
      <xdr:rowOff>0</xdr:rowOff>
    </xdr:from>
    <xdr:to>
      <xdr:col>8</xdr:col>
      <xdr:colOff>2</xdr:colOff>
      <xdr:row>22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334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9</xdr:row>
      <xdr:rowOff>11206</xdr:rowOff>
    </xdr:from>
    <xdr:to>
      <xdr:col>6</xdr:col>
      <xdr:colOff>0</xdr:colOff>
      <xdr:row>11</xdr:row>
      <xdr:rowOff>0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5334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6</xdr:col>
      <xdr:colOff>0</xdr:colOff>
      <xdr:row>15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334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10</xdr:col>
      <xdr:colOff>0</xdr:colOff>
      <xdr:row>9</xdr:row>
      <xdr:rowOff>0</xdr:rowOff>
    </xdr:from>
    <xdr:to>
      <xdr:col>27</xdr:col>
      <xdr:colOff>0</xdr:colOff>
      <xdr:row>11</xdr:row>
      <xdr:rowOff>0</xdr:rowOff>
    </xdr:to>
    <xdr:sp macro="" textlink="" fLocksText="0">
      <xdr:nvSpPr>
        <xdr:cNvPr id="5" name="吹き出し: 線 10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0</xdr:colOff>
      <xdr:row>13</xdr:row>
      <xdr:rowOff>0</xdr:rowOff>
    </xdr:from>
    <xdr:to>
      <xdr:col>27</xdr:col>
      <xdr:colOff>0</xdr:colOff>
      <xdr:row>15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6670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26</xdr:row>
      <xdr:rowOff>0</xdr:rowOff>
    </xdr:from>
    <xdr:to>
      <xdr:col>8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334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10</xdr:col>
      <xdr:colOff>0</xdr:colOff>
      <xdr:row>26</xdr:row>
      <xdr:rowOff>0</xdr:rowOff>
    </xdr:from>
    <xdr:to>
      <xdr:col>27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6670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0</xdr:col>
      <xdr:colOff>201706</xdr:colOff>
      <xdr:row>32</xdr:row>
      <xdr:rowOff>78441</xdr:rowOff>
    </xdr:from>
    <xdr:to>
      <xdr:col>8</xdr:col>
      <xdr:colOff>1</xdr:colOff>
      <xdr:row>38</xdr:row>
      <xdr:rowOff>156882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01706" y="6286500"/>
          <a:ext cx="1680883" cy="1221441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0</xdr:colOff>
      <xdr:row>33</xdr:row>
      <xdr:rowOff>0</xdr:rowOff>
    </xdr:from>
    <xdr:to>
      <xdr:col>27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6670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41</xdr:row>
      <xdr:rowOff>0</xdr:rowOff>
    </xdr:from>
    <xdr:to>
      <xdr:col>6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5334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10</xdr:col>
      <xdr:colOff>0</xdr:colOff>
      <xdr:row>41</xdr:row>
      <xdr:rowOff>0</xdr:rowOff>
    </xdr:from>
    <xdr:to>
      <xdr:col>27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6670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35</xdr:row>
      <xdr:rowOff>190499</xdr:rowOff>
    </xdr:from>
    <xdr:to>
      <xdr:col>62</xdr:col>
      <xdr:colOff>0</xdr:colOff>
      <xdr:row>40</xdr:row>
      <xdr:rowOff>123264</xdr:rowOff>
    </xdr:to>
    <xdr:sp macro="" textlink="" fLocksText="0">
      <xdr:nvSpPr>
        <xdr:cNvPr id="68" name="吹き出し: 線 2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SpPr/>
      </xdr:nvSpPr>
      <xdr:spPr>
        <a:xfrm>
          <a:off x="8236324" y="6970058"/>
          <a:ext cx="6353735" cy="885265"/>
        </a:xfrm>
        <a:prstGeom prst="borderCallout1">
          <a:avLst>
            <a:gd name="adj1" fmla="val 51887"/>
            <a:gd name="adj2" fmla="val 470"/>
            <a:gd name="adj3" fmla="val 42274"/>
            <a:gd name="adj4" fmla="val -9882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・更新が成功した場合、response_code = 200を返す。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・更新が失敗した場合、以下のレスポンスを返す。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status_code = 500、 メッセージ = MSG_ERR_SERVER</a:t>
          </a:r>
        </a:p>
      </xdr:txBody>
    </xdr:sp>
    <xdr:clientData/>
  </xdr:twoCellAnchor>
  <xdr:twoCellAnchor>
    <xdr:from>
      <xdr:col>35</xdr:col>
      <xdr:colOff>0</xdr:colOff>
      <xdr:row>28</xdr:row>
      <xdr:rowOff>179294</xdr:rowOff>
    </xdr:from>
    <xdr:to>
      <xdr:col>62</xdr:col>
      <xdr:colOff>0</xdr:colOff>
      <xdr:row>32</xdr:row>
      <xdr:rowOff>156882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8236324" y="5625353"/>
          <a:ext cx="6353735" cy="739588"/>
        </a:xfrm>
        <a:prstGeom prst="borderCallout1">
          <a:avLst>
            <a:gd name="adj1" fmla="val 51887"/>
            <a:gd name="adj2" fmla="val 470"/>
            <a:gd name="adj3" fmla="val 58501"/>
            <a:gd name="adj4" fmla="val -9675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ステップ1のレコードに以下のように更新する。</a:t>
          </a:r>
        </a:p>
        <a:p>
          <a:pPr algn="l"/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ItemMaster.BelongTo = belong_to</a:t>
          </a:r>
        </a:p>
        <a:p>
          <a:pPr algn="l"/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対象商品レコードを取得する。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4</xdr:col>
      <xdr:colOff>0</xdr:colOff>
      <xdr:row>49</xdr:row>
      <xdr:rowOff>22412</xdr:rowOff>
    </xdr:from>
    <xdr:to>
      <xdr:col>8</xdr:col>
      <xdr:colOff>0</xdr:colOff>
      <xdr:row>51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066800" y="946785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3</xdr:col>
      <xdr:colOff>0</xdr:colOff>
      <xdr:row>35</xdr:row>
      <xdr:rowOff>11206</xdr:rowOff>
    </xdr:from>
    <xdr:to>
      <xdr:col>9</xdr:col>
      <xdr:colOff>0</xdr:colOff>
      <xdr:row>40</xdr:row>
      <xdr:rowOff>0</xdr:rowOff>
    </xdr:to>
    <xdr:sp macro="" textlink="" fLocksText="0">
      <xdr:nvSpPr>
        <xdr:cNvPr id="8" name="Flowchart: Decision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800100" y="6791325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成功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40</xdr:row>
      <xdr:rowOff>0</xdr:rowOff>
    </xdr:from>
    <xdr:to>
      <xdr:col>7</xdr:col>
      <xdr:colOff>0</xdr:colOff>
      <xdr:row>41</xdr:row>
      <xdr:rowOff>0</xdr:rowOff>
    </xdr:to>
    <xdr:sp macro="" textlink="" fLocksText="0">
      <xdr:nvSpPr>
        <xdr:cNvPr id="9" name="Flowchart: Process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333500" y="7734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37</xdr:row>
      <xdr:rowOff>0</xdr:rowOff>
    </xdr:from>
    <xdr:to>
      <xdr:col>11</xdr:col>
      <xdr:colOff>0</xdr:colOff>
      <xdr:row>38</xdr:row>
      <xdr:rowOff>0</xdr:rowOff>
    </xdr:to>
    <xdr:sp macro="" textlink="" fLocksText="0">
      <xdr:nvSpPr>
        <xdr:cNvPr id="10" name="Flowchart: Process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2400300" y="7162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8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1</xdr:colOff>
      <xdr:row>10</xdr:row>
      <xdr:rowOff>11206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stCxn id="4" idx="4"/>
          <a:endCxn id="42" idx="0"/>
        </xdr:cNvCxnSpPr>
      </xdr:nvCxnSpPr>
      <xdr:spPr>
        <a:xfrm>
          <a:off x="1600200" y="1628775"/>
          <a:ext cx="0" cy="4000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41</xdr:row>
      <xdr:rowOff>0</xdr:rowOff>
    </xdr:from>
    <xdr:to>
      <xdr:col>6</xdr:col>
      <xdr:colOff>1</xdr:colOff>
      <xdr:row>45</xdr:row>
      <xdr:rowOff>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CxnSpPr>
          <a:stCxn id="9" idx="2"/>
          <a:endCxn id="96" idx="0"/>
        </xdr:cNvCxnSpPr>
      </xdr:nvCxnSpPr>
      <xdr:spPr>
        <a:xfrm flipH="1">
          <a:off x="1600200" y="7924800"/>
          <a:ext cx="0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29</xdr:row>
      <xdr:rowOff>0</xdr:rowOff>
    </xdr:from>
    <xdr:to>
      <xdr:col>9</xdr:col>
      <xdr:colOff>0</xdr:colOff>
      <xdr:row>33</xdr:row>
      <xdr:rowOff>0</xdr:rowOff>
    </xdr:to>
    <xdr:sp macro="" textlink="" fLocksText="0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00100" y="5638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売上計算対象店舗情報更新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1</xdr:colOff>
      <xdr:row>33</xdr:row>
      <xdr:rowOff>0</xdr:rowOff>
    </xdr:from>
    <xdr:to>
      <xdr:col>6</xdr:col>
      <xdr:colOff>1</xdr:colOff>
      <xdr:row>35</xdr:row>
      <xdr:rowOff>11206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CxnSpPr>
          <a:stCxn id="35" idx="2"/>
          <a:endCxn id="8" idx="0"/>
        </xdr:cNvCxnSpPr>
      </xdr:nvCxnSpPr>
      <xdr:spPr>
        <a:xfrm>
          <a:off x="1600200" y="6400800"/>
          <a:ext cx="0" cy="390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</xdr:colOff>
      <xdr:row>10</xdr:row>
      <xdr:rowOff>11206</xdr:rowOff>
    </xdr:from>
    <xdr:to>
      <xdr:col>8</xdr:col>
      <xdr:colOff>1</xdr:colOff>
      <xdr:row>11</xdr:row>
      <xdr:rowOff>0</xdr:rowOff>
    </xdr:to>
    <xdr:sp macro="" textlink="" fLocksText="0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1066800" y="2028825"/>
          <a:ext cx="1066800" cy="180975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6</xdr:col>
      <xdr:colOff>1</xdr:colOff>
      <xdr:row>26</xdr:row>
      <xdr:rowOff>0</xdr:rowOff>
    </xdr:from>
    <xdr:to>
      <xdr:col>6</xdr:col>
      <xdr:colOff>1</xdr:colOff>
      <xdr:row>29</xdr:row>
      <xdr:rowOff>0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CxnSpPr>
          <a:endCxn id="35" idx="0"/>
        </xdr:cNvCxnSpPr>
      </xdr:nvCxnSpPr>
      <xdr:spPr>
        <a:xfrm>
          <a:off x="1600200" y="50673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37</xdr:row>
      <xdr:rowOff>95250</xdr:rowOff>
    </xdr:from>
    <xdr:to>
      <xdr:col>11</xdr:col>
      <xdr:colOff>0</xdr:colOff>
      <xdr:row>45</xdr:row>
      <xdr:rowOff>0</xdr:rowOff>
    </xdr:to>
    <xdr:cxnSp macro="">
      <xdr:nvCxnSpPr>
        <xdr:cNvPr id="70" name="Connector: Elbow 69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CxnSpPr>
          <a:stCxn id="10" idx="3"/>
          <a:endCxn id="96" idx="0"/>
        </xdr:cNvCxnSpPr>
      </xdr:nvCxnSpPr>
      <xdr:spPr>
        <a:xfrm flipH="1">
          <a:off x="1600200" y="7258050"/>
          <a:ext cx="1333500" cy="1428750"/>
        </a:xfrm>
        <a:prstGeom prst="bentConnector4">
          <a:avLst>
            <a:gd name="adj1" fmla="val -19429"/>
            <a:gd name="adj2" fmla="val 72941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45</xdr:row>
      <xdr:rowOff>0</xdr:rowOff>
    </xdr:from>
    <xdr:to>
      <xdr:col>8</xdr:col>
      <xdr:colOff>0</xdr:colOff>
      <xdr:row>46</xdr:row>
      <xdr:rowOff>0</xdr:rowOff>
    </xdr:to>
    <xdr:sp macro="" textlink="" fLocksText="0">
      <xdr:nvSpPr>
        <xdr:cNvPr id="96" name="Rectangle 95">
          <a:extLst>
            <a:ext uri="{FF2B5EF4-FFF2-40B4-BE49-F238E27FC236}">
              <a16:creationId xmlns:a16="http://schemas.microsoft.com/office/drawing/2014/main" id="{00000000-0008-0000-0400-000060000000}"/>
            </a:ext>
          </a:extLst>
        </xdr:cNvPr>
        <xdr:cNvSpPr/>
      </xdr:nvSpPr>
      <xdr:spPr>
        <a:xfrm>
          <a:off x="1066800" y="8686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6</xdr:col>
      <xdr:colOff>0</xdr:colOff>
      <xdr:row>46</xdr:row>
      <xdr:rowOff>0</xdr:rowOff>
    </xdr:from>
    <xdr:to>
      <xdr:col>6</xdr:col>
      <xdr:colOff>0</xdr:colOff>
      <xdr:row>49</xdr:row>
      <xdr:rowOff>22412</xdr:rowOff>
    </xdr:to>
    <xdr:cxnSp macro="">
      <xdr:nvCxnSpPr>
        <xdr:cNvPr id="104" name="Straight Arrow Connector 103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CxnSpPr>
          <a:stCxn id="96" idx="2"/>
          <a:endCxn id="5" idx="0"/>
        </xdr:cNvCxnSpPr>
      </xdr:nvCxnSpPr>
      <xdr:spPr>
        <a:xfrm>
          <a:off x="1600200" y="8877300"/>
          <a:ext cx="0" cy="5905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8</xdr:row>
      <xdr:rowOff>0</xdr:rowOff>
    </xdr:from>
    <xdr:to>
      <xdr:col>62</xdr:col>
      <xdr:colOff>0</xdr:colOff>
      <xdr:row>10</xdr:row>
      <xdr:rowOff>0</xdr:rowOff>
    </xdr:to>
    <xdr:sp macro="" textlink="" fLocksText="0">
      <xdr:nvSpPr>
        <xdr:cNvPr id="124" name="吹き出し: 線 2">
          <a:extLst>
            <a:ext uri="{FF2B5EF4-FFF2-40B4-BE49-F238E27FC236}">
              <a16:creationId xmlns:a16="http://schemas.microsoft.com/office/drawing/2014/main" id="{00000000-0008-0000-0400-00007C000000}"/>
            </a:ext>
          </a:extLst>
        </xdr:cNvPr>
        <xdr:cNvSpPr/>
      </xdr:nvSpPr>
      <xdr:spPr>
        <a:xfrm>
          <a:off x="9334500" y="1638300"/>
          <a:ext cx="7200900" cy="381000"/>
        </a:xfrm>
        <a:prstGeom prst="borderCallout1">
          <a:avLst>
            <a:gd name="adj1" fmla="val 51887"/>
            <a:gd name="adj2" fmla="val 470"/>
            <a:gd name="adj3" fmla="val 118745"/>
            <a:gd name="adj4" fmla="val -100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common_logのファイルに従ってログを記録する。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46</xdr:row>
      <xdr:rowOff>11206</xdr:rowOff>
    </xdr:from>
    <xdr:to>
      <xdr:col>62</xdr:col>
      <xdr:colOff>0</xdr:colOff>
      <xdr:row>48</xdr:row>
      <xdr:rowOff>11206</xdr:rowOff>
    </xdr:to>
    <xdr:sp macro="" textlink="" fLocksText="0">
      <xdr:nvSpPr>
        <xdr:cNvPr id="125" name="吹き出し: 線 2">
          <a:extLst>
            <a:ext uri="{FF2B5EF4-FFF2-40B4-BE49-F238E27FC236}">
              <a16:creationId xmlns:a16="http://schemas.microsoft.com/office/drawing/2014/main" id="{00000000-0008-0000-0400-00007D000000}"/>
            </a:ext>
          </a:extLst>
        </xdr:cNvPr>
        <xdr:cNvSpPr/>
      </xdr:nvSpPr>
      <xdr:spPr>
        <a:xfrm>
          <a:off x="9334500" y="8886825"/>
          <a:ext cx="7200900" cy="381000"/>
        </a:xfrm>
        <a:prstGeom prst="borderCallout1">
          <a:avLst>
            <a:gd name="adj1" fmla="val 51887"/>
            <a:gd name="adj2" fmla="val 470"/>
            <a:gd name="adj3" fmla="val -16549"/>
            <a:gd name="adj4" fmla="val -10099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common_logのファイルに従ってログを記録する。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21</xdr:row>
      <xdr:rowOff>0</xdr:rowOff>
    </xdr:from>
    <xdr:to>
      <xdr:col>62</xdr:col>
      <xdr:colOff>0</xdr:colOff>
      <xdr:row>25</xdr:row>
      <xdr:rowOff>134470</xdr:rowOff>
    </xdr:to>
    <xdr:sp macro="" textlink="" fLocksText="0">
      <xdr:nvSpPr>
        <xdr:cNvPr id="12" name="吹き出し: 線 2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236324" y="4112559"/>
          <a:ext cx="6353735" cy="896470"/>
        </a:xfrm>
        <a:prstGeom prst="borderCallout1">
          <a:avLst>
            <a:gd name="adj1" fmla="val 51887"/>
            <a:gd name="adj2" fmla="val 470"/>
            <a:gd name="adj3" fmla="val 42274"/>
            <a:gd name="adj4" fmla="val -9882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・レコードが存在している場合、ステップ3を実行する。売上計算対象店舗情報を更新する。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・レコードが存在していない場合、以下のレスポンスを返す。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status_code = 404、メッセージ = MSG_ERR_150601 </a:t>
          </a:r>
        </a:p>
      </xdr:txBody>
    </xdr:sp>
    <xdr:clientData/>
  </xdr:twoCellAnchor>
  <xdr:twoCellAnchor>
    <xdr:from>
      <xdr:col>3</xdr:col>
      <xdr:colOff>0</xdr:colOff>
      <xdr:row>20</xdr:row>
      <xdr:rowOff>11206</xdr:rowOff>
    </xdr:from>
    <xdr:to>
      <xdr:col>9</xdr:col>
      <xdr:colOff>0</xdr:colOff>
      <xdr:row>25</xdr:row>
      <xdr:rowOff>0</xdr:rowOff>
    </xdr:to>
    <xdr:sp macro="" textlink="" fLocksText="0">
      <xdr:nvSpPr>
        <xdr:cNvPr id="14" name="Flowchart: Decision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705971" y="3933265"/>
          <a:ext cx="1411941" cy="941294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7</xdr:col>
      <xdr:colOff>0</xdr:colOff>
      <xdr:row>26</xdr:row>
      <xdr:rowOff>0</xdr:rowOff>
    </xdr:to>
    <xdr:sp macro="" textlink="" fLocksText="0">
      <xdr:nvSpPr>
        <xdr:cNvPr id="16" name="Flowchart: Process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1333500" y="4876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22</xdr:row>
      <xdr:rowOff>0</xdr:rowOff>
    </xdr:from>
    <xdr:to>
      <xdr:col>11</xdr:col>
      <xdr:colOff>0</xdr:colOff>
      <xdr:row>23</xdr:row>
      <xdr:rowOff>0</xdr:rowOff>
    </xdr:to>
    <xdr:sp macro="" textlink="" fLocksText="0">
      <xdr:nvSpPr>
        <xdr:cNvPr id="17" name="Flowchart: Process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2400300" y="4305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8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1</xdr:colOff>
      <xdr:row>18</xdr:row>
      <xdr:rowOff>0</xdr:rowOff>
    </xdr:from>
    <xdr:to>
      <xdr:col>6</xdr:col>
      <xdr:colOff>1</xdr:colOff>
      <xdr:row>20</xdr:row>
      <xdr:rowOff>11206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CxnSpPr>
          <a:stCxn id="42" idx="2"/>
          <a:endCxn id="14" idx="0"/>
        </xdr:cNvCxnSpPr>
      </xdr:nvCxnSpPr>
      <xdr:spPr>
        <a:xfrm>
          <a:off x="1600200" y="3543300"/>
          <a:ext cx="0" cy="390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13</xdr:row>
      <xdr:rowOff>11206</xdr:rowOff>
    </xdr:from>
    <xdr:to>
      <xdr:col>62</xdr:col>
      <xdr:colOff>0</xdr:colOff>
      <xdr:row>18</xdr:row>
      <xdr:rowOff>11206</xdr:rowOff>
    </xdr:to>
    <xdr:sp macro="" textlink="" fLocksText="0">
      <xdr:nvSpPr>
        <xdr:cNvPr id="23" name="吹き出し: 線 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9334500" y="2600325"/>
          <a:ext cx="7200900" cy="952500"/>
        </a:xfrm>
        <a:prstGeom prst="borderCallout1">
          <a:avLst>
            <a:gd name="adj1" fmla="val 51887"/>
            <a:gd name="adj2" fmla="val 470"/>
            <a:gd name="adj3" fmla="val 58501"/>
            <a:gd name="adj4" fmla="val -9675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以下の満たすItemMasterテブールのレコードリストを取得する。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・企業コード = ログインしているアカウントが所属する企業コード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・店舗番号 = 操作中の店舗番号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・ItemMaster.CodeテブールのPLUコード = PLU 又は ItemMaster.MyCompanyCode = PLU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</xdr:col>
      <xdr:colOff>0</xdr:colOff>
      <xdr:row>14</xdr:row>
      <xdr:rowOff>0</xdr:rowOff>
    </xdr:from>
    <xdr:to>
      <xdr:col>9</xdr:col>
      <xdr:colOff>0</xdr:colOff>
      <xdr:row>18</xdr:row>
      <xdr:rowOff>0</xdr:rowOff>
    </xdr:to>
    <xdr:sp macro="" textlink="" fLocksText="0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00100" y="2781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対象商品レコード一覧取得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1</xdr:colOff>
      <xdr:row>11</xdr:row>
      <xdr:rowOff>0</xdr:rowOff>
    </xdr:from>
    <xdr:to>
      <xdr:col>6</xdr:col>
      <xdr:colOff>1</xdr:colOff>
      <xdr:row>14</xdr:row>
      <xdr:rowOff>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CxnSpPr>
          <a:stCxn id="42" idx="2"/>
          <a:endCxn id="24" idx="0"/>
        </xdr:cNvCxnSpPr>
      </xdr:nvCxnSpPr>
      <xdr:spPr>
        <a:xfrm>
          <a:off x="1600200" y="22098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22</xdr:row>
      <xdr:rowOff>95250</xdr:rowOff>
    </xdr:from>
    <xdr:to>
      <xdr:col>11</xdr:col>
      <xdr:colOff>0</xdr:colOff>
      <xdr:row>45</xdr:row>
      <xdr:rowOff>0</xdr:rowOff>
    </xdr:to>
    <xdr:cxnSp macro="">
      <xdr:nvCxnSpPr>
        <xdr:cNvPr id="27" name="Connector: Elbow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CxnSpPr>
          <a:stCxn id="17" idx="3"/>
          <a:endCxn id="96" idx="0"/>
        </xdr:cNvCxnSpPr>
      </xdr:nvCxnSpPr>
      <xdr:spPr>
        <a:xfrm flipH="1">
          <a:off x="1600200" y="4400550"/>
          <a:ext cx="1333500" cy="4286250"/>
        </a:xfrm>
        <a:prstGeom prst="bentConnector4">
          <a:avLst>
            <a:gd name="adj1" fmla="val -19429"/>
            <a:gd name="adj2" fmla="val 91111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42" customWidth="1"/>
    <col min="61" max="16384" width="2.77734375" style="42"/>
  </cols>
  <sheetData>
    <row r="1" spans="1:63" ht="24.95" customHeight="1" x14ac:dyDescent="0.25">
      <c r="A1" s="75" t="s">
        <v>35</v>
      </c>
      <c r="B1" s="76"/>
      <c r="C1" s="76"/>
      <c r="D1" s="76"/>
      <c r="E1" s="76"/>
      <c r="F1" s="76"/>
      <c r="G1" s="76"/>
      <c r="H1" s="76"/>
      <c r="I1" s="76"/>
      <c r="J1" s="77"/>
      <c r="K1" s="75" t="s">
        <v>36</v>
      </c>
      <c r="L1" s="76"/>
      <c r="M1" s="76"/>
      <c r="N1" s="76"/>
      <c r="O1" s="76"/>
      <c r="P1" s="76"/>
      <c r="Q1" s="76"/>
      <c r="R1" s="76"/>
      <c r="S1" s="76"/>
      <c r="T1" s="76"/>
      <c r="U1" s="76"/>
      <c r="V1" s="77"/>
      <c r="W1" s="85" t="s">
        <v>37</v>
      </c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7"/>
      <c r="AP1" s="75" t="s">
        <v>38</v>
      </c>
      <c r="AQ1" s="76"/>
      <c r="AR1" s="76"/>
      <c r="AS1" s="77"/>
      <c r="AT1" s="75" t="s">
        <v>39</v>
      </c>
      <c r="AU1" s="76"/>
      <c r="AV1" s="76"/>
      <c r="AW1" s="76"/>
      <c r="AX1" s="77"/>
      <c r="AY1" s="75" t="s">
        <v>40</v>
      </c>
      <c r="AZ1" s="76"/>
      <c r="BA1" s="76"/>
      <c r="BB1" s="77"/>
      <c r="BC1" s="75" t="s">
        <v>41</v>
      </c>
      <c r="BD1" s="76"/>
      <c r="BE1" s="76"/>
      <c r="BF1" s="76"/>
      <c r="BG1" s="77"/>
      <c r="BH1" s="75" t="s">
        <v>42</v>
      </c>
      <c r="BI1" s="76"/>
      <c r="BJ1" s="76"/>
      <c r="BK1" s="77"/>
    </row>
    <row r="2" spans="1:63" ht="15" customHeight="1" x14ac:dyDescent="0.25">
      <c r="A2" s="84" t="s">
        <v>43</v>
      </c>
      <c r="B2" s="79"/>
      <c r="C2" s="79"/>
      <c r="D2" s="79"/>
      <c r="E2" s="79"/>
      <c r="F2" s="79"/>
      <c r="G2" s="79"/>
      <c r="H2" s="79"/>
      <c r="I2" s="79"/>
      <c r="J2" s="80"/>
      <c r="K2" s="78" t="s">
        <v>1</v>
      </c>
      <c r="L2" s="79"/>
      <c r="M2" s="79"/>
      <c r="N2" s="79"/>
      <c r="O2" s="79"/>
      <c r="P2" s="79"/>
      <c r="Q2" s="79"/>
      <c r="R2" s="79"/>
      <c r="S2" s="79"/>
      <c r="T2" s="79"/>
      <c r="U2" s="79"/>
      <c r="V2" s="80"/>
      <c r="W2" s="88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90"/>
      <c r="AP2" s="78" t="str">
        <f>改訂履歴!$H$11</f>
        <v>DuNT</v>
      </c>
      <c r="AQ2" s="79"/>
      <c r="AR2" s="79"/>
      <c r="AS2" s="80"/>
      <c r="AT2" s="106">
        <f>改訂履歴!$B$11</f>
        <v>45455</v>
      </c>
      <c r="AU2" s="107"/>
      <c r="AV2" s="107"/>
      <c r="AW2" s="107"/>
      <c r="AX2" s="108"/>
      <c r="AY2" s="78" t="str">
        <f>LOOKUP(2,1/(改訂履歴!H11:H30000&lt;&gt;""),改訂履歴!H11:H30000)</f>
        <v>DuNT</v>
      </c>
      <c r="AZ2" s="79"/>
      <c r="BA2" s="79"/>
      <c r="BB2" s="80"/>
      <c r="BC2" s="106">
        <f>LOOKUP(2,1/(改訂履歴!B11:B30000&lt;&gt;""),改訂履歴!B11:B30000)</f>
        <v>45455</v>
      </c>
      <c r="BD2" s="107"/>
      <c r="BE2" s="107"/>
      <c r="BF2" s="107"/>
      <c r="BG2" s="108"/>
      <c r="BH2" s="100">
        <f>LOOKUP(2,1/(改訂履歴!O11:O30000&lt;&gt;""),改訂履歴!O11:O30000)</f>
        <v>0.1</v>
      </c>
      <c r="BI2" s="101"/>
      <c r="BJ2" s="101"/>
      <c r="BK2" s="102"/>
    </row>
    <row r="3" spans="1:63" ht="15" customHeight="1" x14ac:dyDescent="0.25">
      <c r="A3" s="81"/>
      <c r="B3" s="82"/>
      <c r="C3" s="82"/>
      <c r="D3" s="82"/>
      <c r="E3" s="82"/>
      <c r="F3" s="82"/>
      <c r="G3" s="82"/>
      <c r="H3" s="82"/>
      <c r="I3" s="82"/>
      <c r="J3" s="83"/>
      <c r="K3" s="81"/>
      <c r="L3" s="82"/>
      <c r="M3" s="82"/>
      <c r="N3" s="82"/>
      <c r="O3" s="82"/>
      <c r="P3" s="82"/>
      <c r="Q3" s="82"/>
      <c r="R3" s="82"/>
      <c r="S3" s="82"/>
      <c r="T3" s="82"/>
      <c r="U3" s="82"/>
      <c r="V3" s="83"/>
      <c r="W3" s="91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3"/>
      <c r="AP3" s="81"/>
      <c r="AQ3" s="82"/>
      <c r="AR3" s="82"/>
      <c r="AS3" s="83"/>
      <c r="AT3" s="109"/>
      <c r="AU3" s="110"/>
      <c r="AV3" s="110"/>
      <c r="AW3" s="110"/>
      <c r="AX3" s="111"/>
      <c r="AY3" s="81"/>
      <c r="AZ3" s="82"/>
      <c r="BA3" s="82"/>
      <c r="BB3" s="83"/>
      <c r="BC3" s="109"/>
      <c r="BD3" s="110"/>
      <c r="BE3" s="110"/>
      <c r="BF3" s="110"/>
      <c r="BG3" s="111"/>
      <c r="BH3" s="103"/>
      <c r="BI3" s="104"/>
      <c r="BJ3" s="104"/>
      <c r="BK3" s="105"/>
    </row>
    <row r="4" spans="1:63" ht="24.95" customHeight="1" x14ac:dyDescent="0.25">
      <c r="A4" s="75" t="s">
        <v>44</v>
      </c>
      <c r="B4" s="76"/>
      <c r="C4" s="76"/>
      <c r="D4" s="76"/>
      <c r="E4" s="76"/>
      <c r="F4" s="76"/>
      <c r="G4" s="77"/>
      <c r="H4" s="96" t="s">
        <v>30</v>
      </c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8"/>
      <c r="U4" s="75" t="s">
        <v>45</v>
      </c>
      <c r="V4" s="76"/>
      <c r="W4" s="76"/>
      <c r="X4" s="76"/>
      <c r="Y4" s="77"/>
      <c r="Z4" s="99" t="s">
        <v>46</v>
      </c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8"/>
      <c r="AP4" s="96" t="str">
        <f t="array" aca="1" ref="AP4" ca="1">RIGHT(CELL("filename",$A$1),LEN(CELL("filename",$A$1))-FIND("]",CELL("filename",$A$1)))</f>
        <v>表紙</v>
      </c>
      <c r="AQ4" s="97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97"/>
      <c r="BF4" s="97"/>
      <c r="BG4" s="97"/>
      <c r="BH4" s="97"/>
      <c r="BI4" s="97"/>
      <c r="BJ4" s="97"/>
      <c r="BK4" s="98"/>
    </row>
    <row r="5" spans="1:63" ht="5.0999999999999996" customHeight="1" x14ac:dyDescent="0.25">
      <c r="A5" s="43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5"/>
    </row>
    <row r="6" spans="1:63" ht="15" customHeight="1" x14ac:dyDescent="0.25">
      <c r="A6" s="46"/>
      <c r="BK6" s="47"/>
    </row>
    <row r="7" spans="1:63" ht="15" customHeight="1" x14ac:dyDescent="0.25">
      <c r="A7" s="46"/>
      <c r="BK7" s="47"/>
    </row>
    <row r="8" spans="1:63" ht="15" customHeight="1" x14ac:dyDescent="0.25">
      <c r="A8" s="46"/>
      <c r="BK8" s="47"/>
    </row>
    <row r="9" spans="1:63" ht="15" customHeight="1" x14ac:dyDescent="0.25">
      <c r="A9" s="46"/>
      <c r="BK9" s="47"/>
    </row>
    <row r="10" spans="1:63" ht="15" customHeight="1" x14ac:dyDescent="0.25">
      <c r="A10" s="46"/>
      <c r="BK10" s="47"/>
    </row>
    <row r="11" spans="1:63" ht="15" customHeight="1" x14ac:dyDescent="0.25">
      <c r="A11" s="46"/>
      <c r="BK11" s="47"/>
    </row>
    <row r="12" spans="1:63" ht="15" customHeight="1" x14ac:dyDescent="0.25">
      <c r="A12" s="46"/>
      <c r="BK12" s="47"/>
    </row>
    <row r="13" spans="1:63" ht="15" customHeight="1" x14ac:dyDescent="0.25">
      <c r="A13" s="46"/>
      <c r="BK13" s="47"/>
    </row>
    <row r="14" spans="1:63" ht="15" customHeight="1" thickBot="1" x14ac:dyDescent="0.3">
      <c r="A14" s="46"/>
      <c r="BK14" s="47"/>
    </row>
    <row r="15" spans="1:63" ht="15" customHeight="1" thickTop="1" x14ac:dyDescent="0.25">
      <c r="A15" s="46"/>
      <c r="K15" s="48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50"/>
      <c r="BK15" s="47"/>
    </row>
    <row r="16" spans="1:63" ht="15" customHeight="1" x14ac:dyDescent="0.25">
      <c r="A16" s="46"/>
      <c r="K16" s="51"/>
      <c r="L16" s="94" t="s">
        <v>47</v>
      </c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5"/>
      <c r="AY16" s="95"/>
      <c r="AZ16" s="95"/>
      <c r="BA16" s="52"/>
      <c r="BK16" s="47"/>
    </row>
    <row r="17" spans="1:63" ht="15" customHeight="1" x14ac:dyDescent="0.25">
      <c r="A17" s="46"/>
      <c r="K17" s="51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5"/>
      <c r="AY17" s="95"/>
      <c r="AZ17" s="95"/>
      <c r="BA17" s="52"/>
      <c r="BK17" s="47"/>
    </row>
    <row r="18" spans="1:63" ht="15" customHeight="1" x14ac:dyDescent="0.25">
      <c r="A18" s="46"/>
      <c r="K18" s="51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5"/>
      <c r="AY18" s="95"/>
      <c r="AZ18" s="95"/>
      <c r="BA18" s="52"/>
      <c r="BK18" s="47"/>
    </row>
    <row r="19" spans="1:63" ht="15" customHeight="1" x14ac:dyDescent="0.25">
      <c r="A19" s="46"/>
      <c r="K19" s="51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5"/>
      <c r="AY19" s="95"/>
      <c r="AZ19" s="95"/>
      <c r="BA19" s="52"/>
      <c r="BK19" s="47"/>
    </row>
    <row r="20" spans="1:63" ht="15" customHeight="1" x14ac:dyDescent="0.25">
      <c r="A20" s="46"/>
      <c r="K20" s="51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5"/>
      <c r="AY20" s="95"/>
      <c r="AZ20" s="95"/>
      <c r="BA20" s="52"/>
      <c r="BK20" s="47"/>
    </row>
    <row r="21" spans="1:63" ht="15" customHeight="1" x14ac:dyDescent="0.25">
      <c r="A21" s="46"/>
      <c r="K21" s="51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5"/>
      <c r="AY21" s="95"/>
      <c r="AZ21" s="95"/>
      <c r="BA21" s="52"/>
      <c r="BK21" s="47"/>
    </row>
    <row r="22" spans="1:63" ht="15" customHeight="1" thickBot="1" x14ac:dyDescent="0.3">
      <c r="A22" s="46"/>
      <c r="K22" s="51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2"/>
      <c r="BK22" s="47"/>
    </row>
    <row r="23" spans="1:63" ht="15" customHeight="1" x14ac:dyDescent="0.25">
      <c r="A23" s="46"/>
      <c r="K23" s="51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2"/>
      <c r="BK23" s="47"/>
    </row>
    <row r="24" spans="1:63" ht="15" customHeight="1" x14ac:dyDescent="0.25">
      <c r="A24" s="46"/>
      <c r="K24" s="51"/>
      <c r="L24" s="95" t="str">
        <f>K2&amp;"/"&amp;H4&amp;"/"&amp;Z4</f>
        <v>POSサーバー/API_AP0401/API設計書</v>
      </c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52"/>
      <c r="BK24" s="47"/>
    </row>
    <row r="25" spans="1:63" ht="15" customHeight="1" x14ac:dyDescent="0.25">
      <c r="A25" s="46"/>
      <c r="K25" s="51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5"/>
      <c r="AY25" s="95"/>
      <c r="AZ25" s="95"/>
      <c r="BA25" s="52"/>
      <c r="BK25" s="47"/>
    </row>
    <row r="26" spans="1:63" ht="15" customHeight="1" x14ac:dyDescent="0.25">
      <c r="A26" s="46"/>
      <c r="K26" s="51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5"/>
      <c r="AY26" s="95"/>
      <c r="AZ26" s="95"/>
      <c r="BA26" s="52"/>
      <c r="BK26" s="47"/>
    </row>
    <row r="27" spans="1:63" ht="15" customHeight="1" x14ac:dyDescent="0.25">
      <c r="A27" s="46"/>
      <c r="K27" s="51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5"/>
      <c r="AY27" s="95"/>
      <c r="AZ27" s="95"/>
      <c r="BA27" s="52"/>
      <c r="BK27" s="47"/>
    </row>
    <row r="28" spans="1:63" ht="15" customHeight="1" x14ac:dyDescent="0.25">
      <c r="A28" s="46"/>
      <c r="K28" s="51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5"/>
      <c r="AY28" s="95"/>
      <c r="AZ28" s="95"/>
      <c r="BA28" s="52"/>
      <c r="BK28" s="47"/>
    </row>
    <row r="29" spans="1:63" ht="15" customHeight="1" x14ac:dyDescent="0.25">
      <c r="A29" s="46"/>
      <c r="K29" s="51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5"/>
      <c r="AY29" s="95"/>
      <c r="AZ29" s="95"/>
      <c r="BA29" s="52"/>
      <c r="BK29" s="47"/>
    </row>
    <row r="30" spans="1:63" ht="15" customHeight="1" x14ac:dyDescent="0.25">
      <c r="A30" s="46"/>
      <c r="K30" s="51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5"/>
      <c r="AY30" s="95"/>
      <c r="AZ30" s="95"/>
      <c r="BA30" s="52"/>
      <c r="BK30" s="47"/>
    </row>
    <row r="31" spans="1:63" ht="15" customHeight="1" x14ac:dyDescent="0.25">
      <c r="A31" s="46"/>
      <c r="K31" s="51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5"/>
      <c r="AY31" s="95"/>
      <c r="AZ31" s="95"/>
      <c r="BA31" s="52"/>
      <c r="BK31" s="47"/>
    </row>
    <row r="32" spans="1:63" ht="15" customHeight="1" x14ac:dyDescent="0.25">
      <c r="A32" s="46"/>
      <c r="K32" s="51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5"/>
      <c r="AY32" s="95"/>
      <c r="AZ32" s="95"/>
      <c r="BA32" s="52"/>
      <c r="BK32" s="47"/>
    </row>
    <row r="33" spans="1:63" ht="15" customHeight="1" x14ac:dyDescent="0.25">
      <c r="A33" s="46"/>
      <c r="K33" s="51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5"/>
      <c r="AY33" s="95"/>
      <c r="AZ33" s="95"/>
      <c r="BA33" s="52"/>
      <c r="BK33" s="47"/>
    </row>
    <row r="34" spans="1:63" ht="15" customHeight="1" x14ac:dyDescent="0.25">
      <c r="A34" s="46"/>
      <c r="K34" s="51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5"/>
      <c r="AY34" s="95"/>
      <c r="AZ34" s="95"/>
      <c r="BA34" s="52"/>
      <c r="BK34" s="47"/>
    </row>
    <row r="35" spans="1:63" ht="15" customHeight="1" x14ac:dyDescent="0.25">
      <c r="A35" s="46"/>
      <c r="K35" s="51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5"/>
      <c r="AY35" s="95"/>
      <c r="AZ35" s="95"/>
      <c r="BA35" s="52"/>
      <c r="BK35" s="47"/>
    </row>
    <row r="36" spans="1:63" ht="15" customHeight="1" x14ac:dyDescent="0.25">
      <c r="A36" s="46"/>
      <c r="K36" s="51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5"/>
      <c r="AY36" s="95"/>
      <c r="AZ36" s="95"/>
      <c r="BA36" s="52"/>
      <c r="BK36" s="47"/>
    </row>
    <row r="37" spans="1:63" ht="15" customHeight="1" thickBot="1" x14ac:dyDescent="0.3">
      <c r="A37" s="46"/>
      <c r="K37" s="55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7"/>
      <c r="BK37" s="47"/>
    </row>
    <row r="38" spans="1:63" ht="15" customHeight="1" thickTop="1" x14ac:dyDescent="0.25">
      <c r="A38" s="46"/>
      <c r="BK38" s="47"/>
    </row>
    <row r="39" spans="1:63" ht="15" customHeight="1" x14ac:dyDescent="0.25">
      <c r="A39" s="46"/>
      <c r="BK39" s="47"/>
    </row>
    <row r="40" spans="1:63" ht="15" customHeight="1" x14ac:dyDescent="0.25">
      <c r="A40" s="46"/>
      <c r="BK40" s="47"/>
    </row>
    <row r="41" spans="1:63" ht="15" customHeight="1" x14ac:dyDescent="0.25">
      <c r="A41" s="46"/>
      <c r="BK41" s="47"/>
    </row>
    <row r="42" spans="1:63" ht="15" customHeight="1" x14ac:dyDescent="0.25">
      <c r="A42" s="46"/>
      <c r="BK42" s="47"/>
    </row>
    <row r="43" spans="1:63" ht="15" customHeight="1" x14ac:dyDescent="0.25">
      <c r="A43" s="46"/>
      <c r="BK43" s="47"/>
    </row>
    <row r="44" spans="1:63" ht="15" customHeight="1" x14ac:dyDescent="0.25">
      <c r="A44" s="46"/>
      <c r="Q44" s="115" t="s">
        <v>48</v>
      </c>
      <c r="R44" s="116"/>
      <c r="S44" s="116"/>
      <c r="T44" s="116"/>
      <c r="U44" s="116"/>
      <c r="V44" s="116"/>
      <c r="W44" s="116"/>
      <c r="X44" s="116"/>
      <c r="Y44" s="116"/>
      <c r="Z44" s="117"/>
      <c r="AA44" s="115" t="s">
        <v>49</v>
      </c>
      <c r="AB44" s="116"/>
      <c r="AC44" s="116"/>
      <c r="AD44" s="116"/>
      <c r="AE44" s="116"/>
      <c r="AF44" s="116"/>
      <c r="AG44" s="116"/>
      <c r="AH44" s="116"/>
      <c r="AI44" s="116"/>
      <c r="AJ44" s="116"/>
      <c r="AK44" s="116"/>
      <c r="AL44" s="116"/>
      <c r="AM44" s="116"/>
      <c r="AN44" s="116"/>
      <c r="AO44" s="116"/>
      <c r="AP44" s="117"/>
      <c r="AQ44" s="115" t="s">
        <v>42</v>
      </c>
      <c r="AR44" s="116"/>
      <c r="AS44" s="116"/>
      <c r="AT44" s="116"/>
      <c r="AU44" s="117"/>
      <c r="BK44" s="47"/>
    </row>
    <row r="45" spans="1:63" ht="15" customHeight="1" x14ac:dyDescent="0.25">
      <c r="A45" s="46"/>
      <c r="Q45" s="118"/>
      <c r="R45" s="119"/>
      <c r="S45" s="119"/>
      <c r="T45" s="119"/>
      <c r="U45" s="119"/>
      <c r="V45" s="119"/>
      <c r="W45" s="119"/>
      <c r="X45" s="119"/>
      <c r="Y45" s="119"/>
      <c r="Z45" s="120"/>
      <c r="AA45" s="118"/>
      <c r="AB45" s="119"/>
      <c r="AC45" s="119"/>
      <c r="AD45" s="119"/>
      <c r="AE45" s="119"/>
      <c r="AF45" s="119"/>
      <c r="AG45" s="119"/>
      <c r="AH45" s="119"/>
      <c r="AI45" s="119"/>
      <c r="AJ45" s="119"/>
      <c r="AK45" s="119"/>
      <c r="AL45" s="119"/>
      <c r="AM45" s="119"/>
      <c r="AN45" s="119"/>
      <c r="AO45" s="119"/>
      <c r="AP45" s="120"/>
      <c r="AQ45" s="118"/>
      <c r="AR45" s="119"/>
      <c r="AS45" s="119"/>
      <c r="AT45" s="119"/>
      <c r="AU45" s="120"/>
      <c r="BK45" s="47"/>
    </row>
    <row r="46" spans="1:63" ht="15" customHeight="1" x14ac:dyDescent="0.25">
      <c r="A46" s="46"/>
      <c r="Q46" s="78"/>
      <c r="R46" s="79"/>
      <c r="S46" s="79"/>
      <c r="T46" s="79"/>
      <c r="U46" s="79"/>
      <c r="V46" s="79"/>
      <c r="W46" s="79"/>
      <c r="X46" s="79"/>
      <c r="Y46" s="79"/>
      <c r="Z46" s="80"/>
      <c r="AA46" s="78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79"/>
      <c r="AO46" s="79"/>
      <c r="AP46" s="80"/>
      <c r="AQ46" s="78"/>
      <c r="AR46" s="79"/>
      <c r="AS46" s="79"/>
      <c r="AT46" s="79"/>
      <c r="AU46" s="80"/>
      <c r="BK46" s="47"/>
    </row>
    <row r="47" spans="1:63" ht="15" customHeight="1" x14ac:dyDescent="0.25">
      <c r="A47" s="46"/>
      <c r="Q47" s="112"/>
      <c r="R47" s="113"/>
      <c r="S47" s="113"/>
      <c r="T47" s="113"/>
      <c r="U47" s="113"/>
      <c r="V47" s="113"/>
      <c r="W47" s="113"/>
      <c r="X47" s="113"/>
      <c r="Y47" s="113"/>
      <c r="Z47" s="114"/>
      <c r="AA47" s="112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4"/>
      <c r="AQ47" s="112"/>
      <c r="AR47" s="113"/>
      <c r="AS47" s="113"/>
      <c r="AT47" s="113"/>
      <c r="AU47" s="114"/>
      <c r="BK47" s="47"/>
    </row>
    <row r="48" spans="1:63" ht="15" customHeight="1" x14ac:dyDescent="0.25">
      <c r="A48" s="46"/>
      <c r="Q48" s="112"/>
      <c r="R48" s="113"/>
      <c r="S48" s="113"/>
      <c r="T48" s="113"/>
      <c r="U48" s="113"/>
      <c r="V48" s="113"/>
      <c r="W48" s="113"/>
      <c r="X48" s="113"/>
      <c r="Y48" s="113"/>
      <c r="Z48" s="114"/>
      <c r="AA48" s="112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4"/>
      <c r="AQ48" s="112"/>
      <c r="AR48" s="113"/>
      <c r="AS48" s="113"/>
      <c r="AT48" s="113"/>
      <c r="AU48" s="114"/>
      <c r="BK48" s="47"/>
    </row>
    <row r="49" spans="1:63" ht="15" customHeight="1" x14ac:dyDescent="0.25">
      <c r="A49" s="46"/>
      <c r="Q49" s="81"/>
      <c r="R49" s="82"/>
      <c r="S49" s="82"/>
      <c r="T49" s="82"/>
      <c r="U49" s="82"/>
      <c r="V49" s="82"/>
      <c r="W49" s="82"/>
      <c r="X49" s="82"/>
      <c r="Y49" s="82"/>
      <c r="Z49" s="83"/>
      <c r="AA49" s="81"/>
      <c r="AB49" s="82"/>
      <c r="AC49" s="82"/>
      <c r="AD49" s="82"/>
      <c r="AE49" s="82"/>
      <c r="AF49" s="82"/>
      <c r="AG49" s="82"/>
      <c r="AH49" s="82"/>
      <c r="AI49" s="82"/>
      <c r="AJ49" s="82"/>
      <c r="AK49" s="82"/>
      <c r="AL49" s="82"/>
      <c r="AM49" s="82"/>
      <c r="AN49" s="82"/>
      <c r="AO49" s="82"/>
      <c r="AP49" s="83"/>
      <c r="AQ49" s="81"/>
      <c r="AR49" s="82"/>
      <c r="AS49" s="82"/>
      <c r="AT49" s="82"/>
      <c r="AU49" s="83"/>
      <c r="BK49" s="47"/>
    </row>
    <row r="50" spans="1:63" ht="15" customHeight="1" x14ac:dyDescent="0.25">
      <c r="A50" s="46"/>
      <c r="BK50" s="47"/>
    </row>
    <row r="51" spans="1:63" ht="15" customHeight="1" x14ac:dyDescent="0.25">
      <c r="A51" s="46"/>
      <c r="BK51" s="47"/>
    </row>
    <row r="52" spans="1:63" ht="15" customHeight="1" x14ac:dyDescent="0.25">
      <c r="A52" s="46"/>
      <c r="BK52" s="47"/>
    </row>
    <row r="53" spans="1:63" ht="15" customHeight="1" x14ac:dyDescent="0.25">
      <c r="A53" s="46"/>
      <c r="BK53" s="47"/>
    </row>
    <row r="54" spans="1:63" ht="15" customHeight="1" x14ac:dyDescent="0.25">
      <c r="A54" s="46"/>
      <c r="BK54" s="47"/>
    </row>
    <row r="55" spans="1:63" ht="15" customHeight="1" x14ac:dyDescent="0.25">
      <c r="A55" s="43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5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42" customWidth="1"/>
    <col min="61" max="16384" width="2.77734375" style="42"/>
  </cols>
  <sheetData>
    <row r="1" spans="1:63" ht="24.95" customHeight="1" x14ac:dyDescent="0.25">
      <c r="A1" s="75" t="s">
        <v>35</v>
      </c>
      <c r="B1" s="76"/>
      <c r="C1" s="76"/>
      <c r="D1" s="76"/>
      <c r="E1" s="76"/>
      <c r="F1" s="76"/>
      <c r="G1" s="76"/>
      <c r="H1" s="76"/>
      <c r="I1" s="76"/>
      <c r="J1" s="77"/>
      <c r="K1" s="75" t="s">
        <v>36</v>
      </c>
      <c r="L1" s="76"/>
      <c r="M1" s="76"/>
      <c r="N1" s="76"/>
      <c r="O1" s="76"/>
      <c r="P1" s="76"/>
      <c r="Q1" s="76"/>
      <c r="R1" s="76"/>
      <c r="S1" s="76"/>
      <c r="T1" s="76"/>
      <c r="U1" s="76"/>
      <c r="V1" s="77"/>
      <c r="W1" s="121" t="str">
        <f>IF(表紙!W1="","",表紙!W1)</f>
        <v>詳細設計書</v>
      </c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7"/>
      <c r="AP1" s="75" t="s">
        <v>38</v>
      </c>
      <c r="AQ1" s="76"/>
      <c r="AR1" s="76"/>
      <c r="AS1" s="77"/>
      <c r="AT1" s="75" t="s">
        <v>39</v>
      </c>
      <c r="AU1" s="76"/>
      <c r="AV1" s="76"/>
      <c r="AW1" s="76"/>
      <c r="AX1" s="77"/>
      <c r="AY1" s="75" t="s">
        <v>40</v>
      </c>
      <c r="AZ1" s="76"/>
      <c r="BA1" s="76"/>
      <c r="BB1" s="77"/>
      <c r="BC1" s="75" t="s">
        <v>41</v>
      </c>
      <c r="BD1" s="76"/>
      <c r="BE1" s="76"/>
      <c r="BF1" s="76"/>
      <c r="BG1" s="77"/>
      <c r="BH1" s="75" t="s">
        <v>42</v>
      </c>
      <c r="BI1" s="76"/>
      <c r="BJ1" s="76"/>
      <c r="BK1" s="77"/>
    </row>
    <row r="2" spans="1:63" ht="15" customHeight="1" x14ac:dyDescent="0.25">
      <c r="A2" s="78" t="str">
        <f>IF(表紙!A2="","",表紙!A2)</f>
        <v>POSサーバー</v>
      </c>
      <c r="B2" s="79"/>
      <c r="C2" s="79"/>
      <c r="D2" s="79"/>
      <c r="E2" s="79"/>
      <c r="F2" s="79"/>
      <c r="G2" s="79"/>
      <c r="H2" s="79"/>
      <c r="I2" s="79"/>
      <c r="J2" s="80"/>
      <c r="K2" s="78" t="str">
        <f>IF(表紙!K2="","",表紙!K2)</f>
        <v>POSサーバー</v>
      </c>
      <c r="L2" s="79"/>
      <c r="M2" s="79"/>
      <c r="N2" s="79"/>
      <c r="O2" s="79"/>
      <c r="P2" s="79"/>
      <c r="Q2" s="79"/>
      <c r="R2" s="79"/>
      <c r="S2" s="79"/>
      <c r="T2" s="79"/>
      <c r="U2" s="79"/>
      <c r="V2" s="80"/>
      <c r="W2" s="88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90"/>
      <c r="AP2" s="78" t="str">
        <f>IF(表紙!AP2="","",表紙!AP2)</f>
        <v>DuNT</v>
      </c>
      <c r="AQ2" s="79"/>
      <c r="AR2" s="79"/>
      <c r="AS2" s="80"/>
      <c r="AT2" s="106">
        <f>IF(表紙!AT2="","",表紙!AT2)</f>
        <v>45455</v>
      </c>
      <c r="AU2" s="107"/>
      <c r="AV2" s="107"/>
      <c r="AW2" s="107"/>
      <c r="AX2" s="108"/>
      <c r="AY2" s="78" t="str">
        <f>IF(表紙!AY2="","",表紙!AY2)</f>
        <v>DuNT</v>
      </c>
      <c r="AZ2" s="79"/>
      <c r="BA2" s="79"/>
      <c r="BB2" s="80"/>
      <c r="BC2" s="106">
        <f>IF(表紙!BC2="","",表紙!BC2)</f>
        <v>45455</v>
      </c>
      <c r="BD2" s="107"/>
      <c r="BE2" s="107"/>
      <c r="BF2" s="107"/>
      <c r="BG2" s="108"/>
      <c r="BH2" s="78">
        <f>IF(表紙!BH2="","",表紙!BH2)</f>
        <v>0.1</v>
      </c>
      <c r="BI2" s="79"/>
      <c r="BJ2" s="79"/>
      <c r="BK2" s="80"/>
    </row>
    <row r="3" spans="1:63" ht="15" customHeight="1" x14ac:dyDescent="0.25">
      <c r="A3" s="81"/>
      <c r="B3" s="82"/>
      <c r="C3" s="82"/>
      <c r="D3" s="82"/>
      <c r="E3" s="82"/>
      <c r="F3" s="82"/>
      <c r="G3" s="82"/>
      <c r="H3" s="82"/>
      <c r="I3" s="82"/>
      <c r="J3" s="83"/>
      <c r="K3" s="81"/>
      <c r="L3" s="82"/>
      <c r="M3" s="82"/>
      <c r="N3" s="82"/>
      <c r="O3" s="82"/>
      <c r="P3" s="82"/>
      <c r="Q3" s="82"/>
      <c r="R3" s="82"/>
      <c r="S3" s="82"/>
      <c r="T3" s="82"/>
      <c r="U3" s="82"/>
      <c r="V3" s="83"/>
      <c r="W3" s="91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3"/>
      <c r="AP3" s="81"/>
      <c r="AQ3" s="82"/>
      <c r="AR3" s="82"/>
      <c r="AS3" s="83"/>
      <c r="AT3" s="109"/>
      <c r="AU3" s="110"/>
      <c r="AV3" s="110"/>
      <c r="AW3" s="110"/>
      <c r="AX3" s="111"/>
      <c r="AY3" s="81"/>
      <c r="AZ3" s="82"/>
      <c r="BA3" s="82"/>
      <c r="BB3" s="83"/>
      <c r="BC3" s="109"/>
      <c r="BD3" s="110"/>
      <c r="BE3" s="110"/>
      <c r="BF3" s="110"/>
      <c r="BG3" s="111"/>
      <c r="BH3" s="81"/>
      <c r="BI3" s="82"/>
      <c r="BJ3" s="82"/>
      <c r="BK3" s="83"/>
    </row>
    <row r="4" spans="1:63" ht="24.95" customHeight="1" x14ac:dyDescent="0.25">
      <c r="A4" s="75" t="s">
        <v>44</v>
      </c>
      <c r="B4" s="76"/>
      <c r="C4" s="76"/>
      <c r="D4" s="76"/>
      <c r="E4" s="76"/>
      <c r="F4" s="76"/>
      <c r="G4" s="77"/>
      <c r="H4" s="96" t="str">
        <f>IF(表紙!H4="","",表紙!H4)</f>
        <v>API_AP0401</v>
      </c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8"/>
      <c r="U4" s="75" t="s">
        <v>45</v>
      </c>
      <c r="V4" s="76"/>
      <c r="W4" s="76"/>
      <c r="X4" s="76"/>
      <c r="Y4" s="77"/>
      <c r="Z4" s="96" t="str">
        <f>IF(表紙!Z4="","",表紙!Z4)</f>
        <v>API設計書</v>
      </c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8"/>
      <c r="AP4" s="96" t="str">
        <f t="array" aca="1" ref="AP4" ca="1">RIGHT(CELL("filename",$A$1),LEN(CELL("filename",$A$1))-FIND("]",CELL("filename",$A$1)))</f>
        <v>改訂履歴</v>
      </c>
      <c r="AQ4" s="97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97"/>
      <c r="BF4" s="97"/>
      <c r="BG4" s="97"/>
      <c r="BH4" s="97"/>
      <c r="BI4" s="97"/>
      <c r="BJ4" s="97"/>
      <c r="BK4" s="98"/>
    </row>
    <row r="5" spans="1:63" ht="5.0999999999999996" customHeight="1" x14ac:dyDescent="0.25">
      <c r="A5" s="43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5"/>
    </row>
    <row r="6" spans="1:63" ht="15" customHeight="1" x14ac:dyDescent="0.25">
      <c r="A6" s="46"/>
      <c r="BK6" s="47"/>
    </row>
    <row r="7" spans="1:63" ht="15" customHeight="1" x14ac:dyDescent="0.25">
      <c r="A7" s="46"/>
      <c r="BK7" s="47"/>
    </row>
    <row r="8" spans="1:63" ht="15" customHeight="1" x14ac:dyDescent="0.25">
      <c r="A8" s="46"/>
      <c r="B8" s="42" t="s">
        <v>0</v>
      </c>
      <c r="BK8" s="47"/>
    </row>
    <row r="9" spans="1:63" ht="15" customHeight="1" x14ac:dyDescent="0.25">
      <c r="A9" s="46"/>
      <c r="BK9" s="47"/>
    </row>
    <row r="10" spans="1:63" ht="15" customHeight="1" x14ac:dyDescent="0.25">
      <c r="A10" s="46"/>
      <c r="B10" s="134" t="s">
        <v>41</v>
      </c>
      <c r="C10" s="134"/>
      <c r="D10" s="134"/>
      <c r="E10" s="134"/>
      <c r="F10" s="134"/>
      <c r="G10" s="134"/>
      <c r="H10" s="134" t="s">
        <v>40</v>
      </c>
      <c r="I10" s="134"/>
      <c r="J10" s="134"/>
      <c r="K10" s="134"/>
      <c r="L10" s="134"/>
      <c r="M10" s="134"/>
      <c r="N10" s="134"/>
      <c r="O10" s="134" t="s">
        <v>42</v>
      </c>
      <c r="P10" s="134"/>
      <c r="Q10" s="134"/>
      <c r="R10" s="134"/>
      <c r="S10" s="134" t="s">
        <v>50</v>
      </c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  <c r="AL10" s="134"/>
      <c r="AM10" s="134"/>
      <c r="AN10" s="134"/>
      <c r="AO10" s="134"/>
      <c r="AP10" s="134"/>
      <c r="AQ10" s="134"/>
      <c r="AR10" s="134"/>
      <c r="AS10" s="134"/>
      <c r="AT10" s="134"/>
      <c r="AU10" s="134"/>
      <c r="AV10" s="134"/>
      <c r="AW10" s="134"/>
      <c r="AX10" s="134" t="s">
        <v>48</v>
      </c>
      <c r="AY10" s="134"/>
      <c r="AZ10" s="134"/>
      <c r="BA10" s="134"/>
      <c r="BB10" s="134"/>
      <c r="BC10" s="134"/>
      <c r="BD10" s="134" t="s">
        <v>49</v>
      </c>
      <c r="BE10" s="134"/>
      <c r="BF10" s="134"/>
      <c r="BG10" s="134"/>
      <c r="BH10" s="134"/>
      <c r="BI10" s="134"/>
      <c r="BJ10" s="134"/>
      <c r="BK10" s="47"/>
    </row>
    <row r="11" spans="1:63" ht="15" customHeight="1" x14ac:dyDescent="0.25">
      <c r="A11" s="46"/>
      <c r="B11" s="106">
        <v>45455</v>
      </c>
      <c r="C11" s="79"/>
      <c r="D11" s="79"/>
      <c r="E11" s="79"/>
      <c r="F11" s="79"/>
      <c r="G11" s="80"/>
      <c r="H11" s="84" t="s">
        <v>51</v>
      </c>
      <c r="I11" s="79"/>
      <c r="J11" s="79"/>
      <c r="K11" s="79"/>
      <c r="L11" s="79"/>
      <c r="M11" s="79"/>
      <c r="N11" s="80"/>
      <c r="O11" s="78">
        <v>0.1</v>
      </c>
      <c r="P11" s="79"/>
      <c r="Q11" s="79"/>
      <c r="R11" s="79"/>
      <c r="S11" s="122" t="s">
        <v>2</v>
      </c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23"/>
      <c r="AK11" s="123"/>
      <c r="AL11" s="123"/>
      <c r="AM11" s="123"/>
      <c r="AN11" s="123"/>
      <c r="AO11" s="123"/>
      <c r="AP11" s="123"/>
      <c r="AQ11" s="123"/>
      <c r="AR11" s="123"/>
      <c r="AS11" s="123"/>
      <c r="AT11" s="123"/>
      <c r="AU11" s="123"/>
      <c r="AV11" s="123"/>
      <c r="AW11" s="124"/>
      <c r="AX11" s="125"/>
      <c r="AY11" s="125"/>
      <c r="AZ11" s="125"/>
      <c r="BA11" s="125"/>
      <c r="BB11" s="125"/>
      <c r="BC11" s="126"/>
      <c r="BD11" s="129"/>
      <c r="BE11" s="125"/>
      <c r="BF11" s="125"/>
      <c r="BG11" s="125"/>
      <c r="BH11" s="125"/>
      <c r="BI11" s="125"/>
      <c r="BJ11" s="126"/>
      <c r="BK11" s="47"/>
    </row>
    <row r="12" spans="1:63" ht="15" customHeight="1" x14ac:dyDescent="0.25">
      <c r="A12" s="46"/>
      <c r="B12" s="81"/>
      <c r="C12" s="82"/>
      <c r="D12" s="82"/>
      <c r="E12" s="82"/>
      <c r="F12" s="82"/>
      <c r="G12" s="83"/>
      <c r="H12" s="81"/>
      <c r="I12" s="82"/>
      <c r="J12" s="82"/>
      <c r="K12" s="82"/>
      <c r="L12" s="82"/>
      <c r="M12" s="82"/>
      <c r="N12" s="83"/>
      <c r="O12" s="81"/>
      <c r="P12" s="82"/>
      <c r="Q12" s="82"/>
      <c r="R12" s="82"/>
      <c r="S12" s="131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  <c r="AG12" s="132"/>
      <c r="AH12" s="132"/>
      <c r="AI12" s="132"/>
      <c r="AJ12" s="132"/>
      <c r="AK12" s="132"/>
      <c r="AL12" s="132"/>
      <c r="AM12" s="132"/>
      <c r="AN12" s="132"/>
      <c r="AO12" s="132"/>
      <c r="AP12" s="132"/>
      <c r="AQ12" s="132"/>
      <c r="AR12" s="132"/>
      <c r="AS12" s="132"/>
      <c r="AT12" s="132"/>
      <c r="AU12" s="132"/>
      <c r="AV12" s="132"/>
      <c r="AW12" s="133"/>
      <c r="AX12" s="127"/>
      <c r="AY12" s="127"/>
      <c r="AZ12" s="127"/>
      <c r="BA12" s="127"/>
      <c r="BB12" s="127"/>
      <c r="BC12" s="128"/>
      <c r="BD12" s="130"/>
      <c r="BE12" s="127"/>
      <c r="BF12" s="127"/>
      <c r="BG12" s="127"/>
      <c r="BH12" s="127"/>
      <c r="BI12" s="127"/>
      <c r="BJ12" s="128"/>
      <c r="BK12" s="47"/>
    </row>
    <row r="13" spans="1:63" ht="15" customHeight="1" x14ac:dyDescent="0.25">
      <c r="A13" s="46"/>
      <c r="B13" s="106"/>
      <c r="C13" s="79"/>
      <c r="D13" s="79"/>
      <c r="E13" s="79"/>
      <c r="F13" s="79"/>
      <c r="G13" s="80"/>
      <c r="H13" s="78"/>
      <c r="I13" s="79"/>
      <c r="J13" s="79"/>
      <c r="K13" s="79"/>
      <c r="L13" s="79"/>
      <c r="M13" s="79"/>
      <c r="N13" s="80"/>
      <c r="O13" s="78"/>
      <c r="P13" s="79"/>
      <c r="Q13" s="79"/>
      <c r="R13" s="79"/>
      <c r="S13" s="122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123"/>
      <c r="AK13" s="123"/>
      <c r="AL13" s="123"/>
      <c r="AM13" s="123"/>
      <c r="AN13" s="123"/>
      <c r="AO13" s="123"/>
      <c r="AP13" s="123"/>
      <c r="AQ13" s="123"/>
      <c r="AR13" s="123"/>
      <c r="AS13" s="123"/>
      <c r="AT13" s="123"/>
      <c r="AU13" s="123"/>
      <c r="AV13" s="123"/>
      <c r="AW13" s="124"/>
      <c r="AX13" s="125"/>
      <c r="AY13" s="125"/>
      <c r="AZ13" s="125"/>
      <c r="BA13" s="125"/>
      <c r="BB13" s="125"/>
      <c r="BC13" s="126"/>
      <c r="BD13" s="129"/>
      <c r="BE13" s="125"/>
      <c r="BF13" s="125"/>
      <c r="BG13" s="125"/>
      <c r="BH13" s="125"/>
      <c r="BI13" s="125"/>
      <c r="BJ13" s="126"/>
      <c r="BK13" s="47"/>
    </row>
    <row r="14" spans="1:63" ht="15" customHeight="1" x14ac:dyDescent="0.25">
      <c r="A14" s="46"/>
      <c r="B14" s="81"/>
      <c r="C14" s="82"/>
      <c r="D14" s="82"/>
      <c r="E14" s="82"/>
      <c r="F14" s="82"/>
      <c r="G14" s="83"/>
      <c r="H14" s="81"/>
      <c r="I14" s="82"/>
      <c r="J14" s="82"/>
      <c r="K14" s="82"/>
      <c r="L14" s="82"/>
      <c r="M14" s="82"/>
      <c r="N14" s="83"/>
      <c r="O14" s="81"/>
      <c r="P14" s="82"/>
      <c r="Q14" s="82"/>
      <c r="R14" s="82"/>
      <c r="S14" s="131"/>
      <c r="T14" s="132"/>
      <c r="U14" s="132"/>
      <c r="V14" s="132"/>
      <c r="W14" s="132"/>
      <c r="X14" s="132"/>
      <c r="Y14" s="132"/>
      <c r="Z14" s="132"/>
      <c r="AA14" s="132"/>
      <c r="AB14" s="132"/>
      <c r="AC14" s="132"/>
      <c r="AD14" s="132"/>
      <c r="AE14" s="132"/>
      <c r="AF14" s="132"/>
      <c r="AG14" s="132"/>
      <c r="AH14" s="132"/>
      <c r="AI14" s="132"/>
      <c r="AJ14" s="132"/>
      <c r="AK14" s="132"/>
      <c r="AL14" s="132"/>
      <c r="AM14" s="132"/>
      <c r="AN14" s="132"/>
      <c r="AO14" s="132"/>
      <c r="AP14" s="132"/>
      <c r="AQ14" s="132"/>
      <c r="AR14" s="132"/>
      <c r="AS14" s="132"/>
      <c r="AT14" s="132"/>
      <c r="AU14" s="132"/>
      <c r="AV14" s="132"/>
      <c r="AW14" s="133"/>
      <c r="AX14" s="127"/>
      <c r="AY14" s="127"/>
      <c r="AZ14" s="127"/>
      <c r="BA14" s="127"/>
      <c r="BB14" s="127"/>
      <c r="BC14" s="128"/>
      <c r="BD14" s="130"/>
      <c r="BE14" s="127"/>
      <c r="BF14" s="127"/>
      <c r="BG14" s="127"/>
      <c r="BH14" s="127"/>
      <c r="BI14" s="127"/>
      <c r="BJ14" s="128"/>
      <c r="BK14" s="47"/>
    </row>
    <row r="15" spans="1:63" ht="15" customHeight="1" x14ac:dyDescent="0.25">
      <c r="A15" s="46"/>
      <c r="B15" s="78"/>
      <c r="C15" s="79"/>
      <c r="D15" s="79"/>
      <c r="E15" s="79"/>
      <c r="F15" s="79"/>
      <c r="G15" s="80"/>
      <c r="H15" s="78"/>
      <c r="I15" s="79"/>
      <c r="J15" s="79"/>
      <c r="K15" s="79"/>
      <c r="L15" s="79"/>
      <c r="M15" s="79"/>
      <c r="N15" s="80"/>
      <c r="O15" s="78"/>
      <c r="P15" s="79"/>
      <c r="Q15" s="79"/>
      <c r="R15" s="79"/>
      <c r="S15" s="122"/>
      <c r="T15" s="123"/>
      <c r="U15" s="123"/>
      <c r="V15" s="123"/>
      <c r="W15" s="123"/>
      <c r="X15" s="123"/>
      <c r="Y15" s="123"/>
      <c r="Z15" s="123"/>
      <c r="AA15" s="123"/>
      <c r="AB15" s="123"/>
      <c r="AC15" s="123"/>
      <c r="AD15" s="123"/>
      <c r="AE15" s="123"/>
      <c r="AF15" s="123"/>
      <c r="AG15" s="123"/>
      <c r="AH15" s="123"/>
      <c r="AI15" s="123"/>
      <c r="AJ15" s="123"/>
      <c r="AK15" s="123"/>
      <c r="AL15" s="123"/>
      <c r="AM15" s="123"/>
      <c r="AN15" s="123"/>
      <c r="AO15" s="123"/>
      <c r="AP15" s="123"/>
      <c r="AQ15" s="123"/>
      <c r="AR15" s="123"/>
      <c r="AS15" s="123"/>
      <c r="AT15" s="123"/>
      <c r="AU15" s="123"/>
      <c r="AV15" s="123"/>
      <c r="AW15" s="124"/>
      <c r="AX15" s="125"/>
      <c r="AY15" s="125"/>
      <c r="AZ15" s="125"/>
      <c r="BA15" s="125"/>
      <c r="BB15" s="125"/>
      <c r="BC15" s="126"/>
      <c r="BD15" s="129"/>
      <c r="BE15" s="125"/>
      <c r="BF15" s="125"/>
      <c r="BG15" s="125"/>
      <c r="BH15" s="125"/>
      <c r="BI15" s="125"/>
      <c r="BJ15" s="126"/>
      <c r="BK15" s="47"/>
    </row>
    <row r="16" spans="1:63" ht="15" customHeight="1" x14ac:dyDescent="0.25">
      <c r="A16" s="46"/>
      <c r="B16" s="81"/>
      <c r="C16" s="82"/>
      <c r="D16" s="82"/>
      <c r="E16" s="82"/>
      <c r="F16" s="82"/>
      <c r="G16" s="83"/>
      <c r="H16" s="81"/>
      <c r="I16" s="82"/>
      <c r="J16" s="82"/>
      <c r="K16" s="82"/>
      <c r="L16" s="82"/>
      <c r="M16" s="82"/>
      <c r="N16" s="83"/>
      <c r="O16" s="81"/>
      <c r="P16" s="82"/>
      <c r="Q16" s="82"/>
      <c r="R16" s="82"/>
      <c r="S16" s="131"/>
      <c r="T16" s="132"/>
      <c r="U16" s="132"/>
      <c r="V16" s="132"/>
      <c r="W16" s="132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32"/>
      <c r="AI16" s="132"/>
      <c r="AJ16" s="132"/>
      <c r="AK16" s="132"/>
      <c r="AL16" s="132"/>
      <c r="AM16" s="132"/>
      <c r="AN16" s="132"/>
      <c r="AO16" s="132"/>
      <c r="AP16" s="132"/>
      <c r="AQ16" s="132"/>
      <c r="AR16" s="132"/>
      <c r="AS16" s="132"/>
      <c r="AT16" s="132"/>
      <c r="AU16" s="132"/>
      <c r="AV16" s="132"/>
      <c r="AW16" s="133"/>
      <c r="AX16" s="127"/>
      <c r="AY16" s="127"/>
      <c r="AZ16" s="127"/>
      <c r="BA16" s="127"/>
      <c r="BB16" s="127"/>
      <c r="BC16" s="128"/>
      <c r="BD16" s="130"/>
      <c r="BE16" s="127"/>
      <c r="BF16" s="127"/>
      <c r="BG16" s="127"/>
      <c r="BH16" s="127"/>
      <c r="BI16" s="127"/>
      <c r="BJ16" s="128"/>
      <c r="BK16" s="47"/>
    </row>
    <row r="17" spans="1:63" ht="15" customHeight="1" x14ac:dyDescent="0.25">
      <c r="A17" s="46"/>
      <c r="B17" s="78"/>
      <c r="C17" s="79"/>
      <c r="D17" s="79"/>
      <c r="E17" s="79"/>
      <c r="F17" s="79"/>
      <c r="G17" s="80"/>
      <c r="H17" s="78"/>
      <c r="I17" s="79"/>
      <c r="J17" s="79"/>
      <c r="K17" s="79"/>
      <c r="L17" s="79"/>
      <c r="M17" s="79"/>
      <c r="N17" s="80"/>
      <c r="O17" s="78"/>
      <c r="P17" s="79"/>
      <c r="Q17" s="79"/>
      <c r="R17" s="79"/>
      <c r="S17" s="122"/>
      <c r="T17" s="123"/>
      <c r="U17" s="123"/>
      <c r="V17" s="123"/>
      <c r="W17" s="123"/>
      <c r="X17" s="123"/>
      <c r="Y17" s="123"/>
      <c r="Z17" s="123"/>
      <c r="AA17" s="123"/>
      <c r="AB17" s="123"/>
      <c r="AC17" s="123"/>
      <c r="AD17" s="123"/>
      <c r="AE17" s="123"/>
      <c r="AF17" s="123"/>
      <c r="AG17" s="123"/>
      <c r="AH17" s="123"/>
      <c r="AI17" s="123"/>
      <c r="AJ17" s="123"/>
      <c r="AK17" s="123"/>
      <c r="AL17" s="123"/>
      <c r="AM17" s="123"/>
      <c r="AN17" s="123"/>
      <c r="AO17" s="123"/>
      <c r="AP17" s="123"/>
      <c r="AQ17" s="123"/>
      <c r="AR17" s="123"/>
      <c r="AS17" s="123"/>
      <c r="AT17" s="123"/>
      <c r="AU17" s="123"/>
      <c r="AV17" s="123"/>
      <c r="AW17" s="124"/>
      <c r="AX17" s="125"/>
      <c r="AY17" s="125"/>
      <c r="AZ17" s="125"/>
      <c r="BA17" s="125"/>
      <c r="BB17" s="125"/>
      <c r="BC17" s="126"/>
      <c r="BD17" s="129"/>
      <c r="BE17" s="125"/>
      <c r="BF17" s="125"/>
      <c r="BG17" s="125"/>
      <c r="BH17" s="125"/>
      <c r="BI17" s="125"/>
      <c r="BJ17" s="126"/>
      <c r="BK17" s="47"/>
    </row>
    <row r="18" spans="1:63" ht="15" customHeight="1" x14ac:dyDescent="0.25">
      <c r="A18" s="46"/>
      <c r="B18" s="81"/>
      <c r="C18" s="82"/>
      <c r="D18" s="82"/>
      <c r="E18" s="82"/>
      <c r="F18" s="82"/>
      <c r="G18" s="83"/>
      <c r="H18" s="81"/>
      <c r="I18" s="82"/>
      <c r="J18" s="82"/>
      <c r="K18" s="82"/>
      <c r="L18" s="82"/>
      <c r="M18" s="82"/>
      <c r="N18" s="83"/>
      <c r="O18" s="81"/>
      <c r="P18" s="82"/>
      <c r="Q18" s="82"/>
      <c r="R18" s="82"/>
      <c r="S18" s="131"/>
      <c r="T18" s="132"/>
      <c r="U18" s="132"/>
      <c r="V18" s="132"/>
      <c r="W18" s="132"/>
      <c r="X18" s="132"/>
      <c r="Y18" s="132"/>
      <c r="Z18" s="132"/>
      <c r="AA18" s="132"/>
      <c r="AB18" s="132"/>
      <c r="AC18" s="132"/>
      <c r="AD18" s="132"/>
      <c r="AE18" s="132"/>
      <c r="AF18" s="132"/>
      <c r="AG18" s="132"/>
      <c r="AH18" s="132"/>
      <c r="AI18" s="132"/>
      <c r="AJ18" s="132"/>
      <c r="AK18" s="132"/>
      <c r="AL18" s="132"/>
      <c r="AM18" s="132"/>
      <c r="AN18" s="132"/>
      <c r="AO18" s="132"/>
      <c r="AP18" s="132"/>
      <c r="AQ18" s="132"/>
      <c r="AR18" s="132"/>
      <c r="AS18" s="132"/>
      <c r="AT18" s="132"/>
      <c r="AU18" s="132"/>
      <c r="AV18" s="132"/>
      <c r="AW18" s="133"/>
      <c r="AX18" s="127"/>
      <c r="AY18" s="127"/>
      <c r="AZ18" s="127"/>
      <c r="BA18" s="127"/>
      <c r="BB18" s="127"/>
      <c r="BC18" s="128"/>
      <c r="BD18" s="130"/>
      <c r="BE18" s="127"/>
      <c r="BF18" s="127"/>
      <c r="BG18" s="127"/>
      <c r="BH18" s="127"/>
      <c r="BI18" s="127"/>
      <c r="BJ18" s="128"/>
      <c r="BK18" s="47"/>
    </row>
    <row r="19" spans="1:63" ht="15" customHeight="1" x14ac:dyDescent="0.25">
      <c r="A19" s="46"/>
      <c r="B19" s="78"/>
      <c r="C19" s="79"/>
      <c r="D19" s="79"/>
      <c r="E19" s="79"/>
      <c r="F19" s="79"/>
      <c r="G19" s="80"/>
      <c r="H19" s="78"/>
      <c r="I19" s="79"/>
      <c r="J19" s="79"/>
      <c r="K19" s="79"/>
      <c r="L19" s="79"/>
      <c r="M19" s="79"/>
      <c r="N19" s="80"/>
      <c r="O19" s="78"/>
      <c r="P19" s="79"/>
      <c r="Q19" s="79"/>
      <c r="R19" s="79"/>
      <c r="S19" s="122"/>
      <c r="T19" s="123"/>
      <c r="U19" s="123"/>
      <c r="V19" s="123"/>
      <c r="W19" s="123"/>
      <c r="X19" s="123"/>
      <c r="Y19" s="123"/>
      <c r="Z19" s="123"/>
      <c r="AA19" s="123"/>
      <c r="AB19" s="123"/>
      <c r="AC19" s="123"/>
      <c r="AD19" s="123"/>
      <c r="AE19" s="123"/>
      <c r="AF19" s="123"/>
      <c r="AG19" s="123"/>
      <c r="AH19" s="123"/>
      <c r="AI19" s="123"/>
      <c r="AJ19" s="123"/>
      <c r="AK19" s="123"/>
      <c r="AL19" s="123"/>
      <c r="AM19" s="123"/>
      <c r="AN19" s="123"/>
      <c r="AO19" s="123"/>
      <c r="AP19" s="123"/>
      <c r="AQ19" s="123"/>
      <c r="AR19" s="123"/>
      <c r="AS19" s="123"/>
      <c r="AT19" s="123"/>
      <c r="AU19" s="123"/>
      <c r="AV19" s="123"/>
      <c r="AW19" s="124"/>
      <c r="AX19" s="125"/>
      <c r="AY19" s="125"/>
      <c r="AZ19" s="125"/>
      <c r="BA19" s="125"/>
      <c r="BB19" s="125"/>
      <c r="BC19" s="126"/>
      <c r="BD19" s="129"/>
      <c r="BE19" s="125"/>
      <c r="BF19" s="125"/>
      <c r="BG19" s="125"/>
      <c r="BH19" s="125"/>
      <c r="BI19" s="125"/>
      <c r="BJ19" s="126"/>
      <c r="BK19" s="47"/>
    </row>
    <row r="20" spans="1:63" ht="15" customHeight="1" x14ac:dyDescent="0.25">
      <c r="A20" s="46"/>
      <c r="B20" s="81"/>
      <c r="C20" s="82"/>
      <c r="D20" s="82"/>
      <c r="E20" s="82"/>
      <c r="F20" s="82"/>
      <c r="G20" s="83"/>
      <c r="H20" s="81"/>
      <c r="I20" s="82"/>
      <c r="J20" s="82"/>
      <c r="K20" s="82"/>
      <c r="L20" s="82"/>
      <c r="M20" s="82"/>
      <c r="N20" s="83"/>
      <c r="O20" s="81"/>
      <c r="P20" s="82"/>
      <c r="Q20" s="82"/>
      <c r="R20" s="82"/>
      <c r="S20" s="131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2"/>
      <c r="AG20" s="132"/>
      <c r="AH20" s="132"/>
      <c r="AI20" s="132"/>
      <c r="AJ20" s="132"/>
      <c r="AK20" s="132"/>
      <c r="AL20" s="132"/>
      <c r="AM20" s="132"/>
      <c r="AN20" s="132"/>
      <c r="AO20" s="132"/>
      <c r="AP20" s="132"/>
      <c r="AQ20" s="132"/>
      <c r="AR20" s="132"/>
      <c r="AS20" s="132"/>
      <c r="AT20" s="132"/>
      <c r="AU20" s="132"/>
      <c r="AV20" s="132"/>
      <c r="AW20" s="133"/>
      <c r="AX20" s="127"/>
      <c r="AY20" s="127"/>
      <c r="AZ20" s="127"/>
      <c r="BA20" s="127"/>
      <c r="BB20" s="127"/>
      <c r="BC20" s="128"/>
      <c r="BD20" s="130"/>
      <c r="BE20" s="127"/>
      <c r="BF20" s="127"/>
      <c r="BG20" s="127"/>
      <c r="BH20" s="127"/>
      <c r="BI20" s="127"/>
      <c r="BJ20" s="128"/>
      <c r="BK20" s="47"/>
    </row>
    <row r="21" spans="1:63" ht="15" customHeight="1" x14ac:dyDescent="0.25">
      <c r="A21" s="46"/>
      <c r="B21" s="78"/>
      <c r="C21" s="79"/>
      <c r="D21" s="79"/>
      <c r="E21" s="79"/>
      <c r="F21" s="79"/>
      <c r="G21" s="80"/>
      <c r="H21" s="78"/>
      <c r="I21" s="79"/>
      <c r="J21" s="79"/>
      <c r="K21" s="79"/>
      <c r="L21" s="79"/>
      <c r="M21" s="79"/>
      <c r="N21" s="80"/>
      <c r="O21" s="78"/>
      <c r="P21" s="79"/>
      <c r="Q21" s="79"/>
      <c r="R21" s="79"/>
      <c r="S21" s="122"/>
      <c r="T21" s="123"/>
      <c r="U21" s="123"/>
      <c r="V21" s="123"/>
      <c r="W21" s="123"/>
      <c r="X21" s="123"/>
      <c r="Y21" s="123"/>
      <c r="Z21" s="123"/>
      <c r="AA21" s="123"/>
      <c r="AB21" s="123"/>
      <c r="AC21" s="123"/>
      <c r="AD21" s="123"/>
      <c r="AE21" s="123"/>
      <c r="AF21" s="123"/>
      <c r="AG21" s="123"/>
      <c r="AH21" s="123"/>
      <c r="AI21" s="123"/>
      <c r="AJ21" s="123"/>
      <c r="AK21" s="123"/>
      <c r="AL21" s="123"/>
      <c r="AM21" s="123"/>
      <c r="AN21" s="123"/>
      <c r="AO21" s="123"/>
      <c r="AP21" s="123"/>
      <c r="AQ21" s="123"/>
      <c r="AR21" s="123"/>
      <c r="AS21" s="123"/>
      <c r="AT21" s="123"/>
      <c r="AU21" s="123"/>
      <c r="AV21" s="123"/>
      <c r="AW21" s="124"/>
      <c r="AX21" s="125"/>
      <c r="AY21" s="125"/>
      <c r="AZ21" s="125"/>
      <c r="BA21" s="125"/>
      <c r="BB21" s="125"/>
      <c r="BC21" s="126"/>
      <c r="BD21" s="129"/>
      <c r="BE21" s="125"/>
      <c r="BF21" s="125"/>
      <c r="BG21" s="125"/>
      <c r="BH21" s="125"/>
      <c r="BI21" s="125"/>
      <c r="BJ21" s="126"/>
      <c r="BK21" s="47"/>
    </row>
    <row r="22" spans="1:63" ht="15" customHeight="1" x14ac:dyDescent="0.25">
      <c r="A22" s="46"/>
      <c r="B22" s="81"/>
      <c r="C22" s="82"/>
      <c r="D22" s="82"/>
      <c r="E22" s="82"/>
      <c r="F22" s="82"/>
      <c r="G22" s="83"/>
      <c r="H22" s="81"/>
      <c r="I22" s="82"/>
      <c r="J22" s="82"/>
      <c r="K22" s="82"/>
      <c r="L22" s="82"/>
      <c r="M22" s="82"/>
      <c r="N22" s="83"/>
      <c r="O22" s="81"/>
      <c r="P22" s="82"/>
      <c r="Q22" s="82"/>
      <c r="R22" s="82"/>
      <c r="S22" s="131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132"/>
      <c r="AG22" s="132"/>
      <c r="AH22" s="132"/>
      <c r="AI22" s="132"/>
      <c r="AJ22" s="132"/>
      <c r="AK22" s="132"/>
      <c r="AL22" s="132"/>
      <c r="AM22" s="132"/>
      <c r="AN22" s="132"/>
      <c r="AO22" s="132"/>
      <c r="AP22" s="132"/>
      <c r="AQ22" s="132"/>
      <c r="AR22" s="132"/>
      <c r="AS22" s="132"/>
      <c r="AT22" s="132"/>
      <c r="AU22" s="132"/>
      <c r="AV22" s="132"/>
      <c r="AW22" s="133"/>
      <c r="AX22" s="127"/>
      <c r="AY22" s="127"/>
      <c r="AZ22" s="127"/>
      <c r="BA22" s="127"/>
      <c r="BB22" s="127"/>
      <c r="BC22" s="128"/>
      <c r="BD22" s="130"/>
      <c r="BE22" s="127"/>
      <c r="BF22" s="127"/>
      <c r="BG22" s="127"/>
      <c r="BH22" s="127"/>
      <c r="BI22" s="127"/>
      <c r="BJ22" s="128"/>
      <c r="BK22" s="47"/>
    </row>
    <row r="23" spans="1:63" ht="15" customHeight="1" x14ac:dyDescent="0.25">
      <c r="A23" s="46"/>
      <c r="B23" s="78"/>
      <c r="C23" s="79"/>
      <c r="D23" s="79"/>
      <c r="E23" s="79"/>
      <c r="F23" s="79"/>
      <c r="G23" s="80"/>
      <c r="H23" s="78"/>
      <c r="I23" s="79"/>
      <c r="J23" s="79"/>
      <c r="K23" s="79"/>
      <c r="L23" s="79"/>
      <c r="M23" s="79"/>
      <c r="N23" s="80"/>
      <c r="O23" s="78"/>
      <c r="P23" s="79"/>
      <c r="Q23" s="79"/>
      <c r="R23" s="79"/>
      <c r="S23" s="122"/>
      <c r="T23" s="123"/>
      <c r="U23" s="123"/>
      <c r="V23" s="123"/>
      <c r="W23" s="123"/>
      <c r="X23" s="123"/>
      <c r="Y23" s="123"/>
      <c r="Z23" s="123"/>
      <c r="AA23" s="123"/>
      <c r="AB23" s="123"/>
      <c r="AC23" s="123"/>
      <c r="AD23" s="123"/>
      <c r="AE23" s="123"/>
      <c r="AF23" s="123"/>
      <c r="AG23" s="123"/>
      <c r="AH23" s="123"/>
      <c r="AI23" s="123"/>
      <c r="AJ23" s="123"/>
      <c r="AK23" s="123"/>
      <c r="AL23" s="123"/>
      <c r="AM23" s="123"/>
      <c r="AN23" s="123"/>
      <c r="AO23" s="123"/>
      <c r="AP23" s="123"/>
      <c r="AQ23" s="123"/>
      <c r="AR23" s="123"/>
      <c r="AS23" s="123"/>
      <c r="AT23" s="123"/>
      <c r="AU23" s="123"/>
      <c r="AV23" s="123"/>
      <c r="AW23" s="124"/>
      <c r="AX23" s="125"/>
      <c r="AY23" s="125"/>
      <c r="AZ23" s="125"/>
      <c r="BA23" s="125"/>
      <c r="BB23" s="125"/>
      <c r="BC23" s="126"/>
      <c r="BD23" s="129"/>
      <c r="BE23" s="125"/>
      <c r="BF23" s="125"/>
      <c r="BG23" s="125"/>
      <c r="BH23" s="125"/>
      <c r="BI23" s="125"/>
      <c r="BJ23" s="126"/>
      <c r="BK23" s="47"/>
    </row>
    <row r="24" spans="1:63" ht="15" customHeight="1" x14ac:dyDescent="0.25">
      <c r="A24" s="46"/>
      <c r="B24" s="81"/>
      <c r="C24" s="82"/>
      <c r="D24" s="82"/>
      <c r="E24" s="82"/>
      <c r="F24" s="82"/>
      <c r="G24" s="83"/>
      <c r="H24" s="81"/>
      <c r="I24" s="82"/>
      <c r="J24" s="82"/>
      <c r="K24" s="82"/>
      <c r="L24" s="82"/>
      <c r="M24" s="82"/>
      <c r="N24" s="83"/>
      <c r="O24" s="81"/>
      <c r="P24" s="82"/>
      <c r="Q24" s="82"/>
      <c r="R24" s="82"/>
      <c r="S24" s="131"/>
      <c r="T24" s="132"/>
      <c r="U24" s="132"/>
      <c r="V24" s="132"/>
      <c r="W24" s="132"/>
      <c r="X24" s="132"/>
      <c r="Y24" s="132"/>
      <c r="Z24" s="132"/>
      <c r="AA24" s="132"/>
      <c r="AB24" s="132"/>
      <c r="AC24" s="132"/>
      <c r="AD24" s="132"/>
      <c r="AE24" s="132"/>
      <c r="AF24" s="132"/>
      <c r="AG24" s="132"/>
      <c r="AH24" s="132"/>
      <c r="AI24" s="132"/>
      <c r="AJ24" s="132"/>
      <c r="AK24" s="132"/>
      <c r="AL24" s="132"/>
      <c r="AM24" s="132"/>
      <c r="AN24" s="132"/>
      <c r="AO24" s="132"/>
      <c r="AP24" s="132"/>
      <c r="AQ24" s="132"/>
      <c r="AR24" s="132"/>
      <c r="AS24" s="132"/>
      <c r="AT24" s="132"/>
      <c r="AU24" s="132"/>
      <c r="AV24" s="132"/>
      <c r="AW24" s="133"/>
      <c r="AX24" s="127"/>
      <c r="AY24" s="127"/>
      <c r="AZ24" s="127"/>
      <c r="BA24" s="127"/>
      <c r="BB24" s="127"/>
      <c r="BC24" s="128"/>
      <c r="BD24" s="130"/>
      <c r="BE24" s="127"/>
      <c r="BF24" s="127"/>
      <c r="BG24" s="127"/>
      <c r="BH24" s="127"/>
      <c r="BI24" s="127"/>
      <c r="BJ24" s="128"/>
      <c r="BK24" s="47"/>
    </row>
    <row r="25" spans="1:63" ht="15" customHeight="1" x14ac:dyDescent="0.25">
      <c r="A25" s="46"/>
      <c r="B25" s="78"/>
      <c r="C25" s="79"/>
      <c r="D25" s="79"/>
      <c r="E25" s="79"/>
      <c r="F25" s="79"/>
      <c r="G25" s="80"/>
      <c r="H25" s="78"/>
      <c r="I25" s="79"/>
      <c r="J25" s="79"/>
      <c r="K25" s="79"/>
      <c r="L25" s="79"/>
      <c r="M25" s="79"/>
      <c r="N25" s="80"/>
      <c r="O25" s="78"/>
      <c r="P25" s="79"/>
      <c r="Q25" s="79"/>
      <c r="R25" s="79"/>
      <c r="S25" s="122"/>
      <c r="T25" s="123"/>
      <c r="U25" s="123"/>
      <c r="V25" s="123"/>
      <c r="W25" s="123"/>
      <c r="X25" s="123"/>
      <c r="Y25" s="123"/>
      <c r="Z25" s="123"/>
      <c r="AA25" s="123"/>
      <c r="AB25" s="123"/>
      <c r="AC25" s="123"/>
      <c r="AD25" s="123"/>
      <c r="AE25" s="123"/>
      <c r="AF25" s="123"/>
      <c r="AG25" s="123"/>
      <c r="AH25" s="123"/>
      <c r="AI25" s="123"/>
      <c r="AJ25" s="123"/>
      <c r="AK25" s="123"/>
      <c r="AL25" s="123"/>
      <c r="AM25" s="123"/>
      <c r="AN25" s="123"/>
      <c r="AO25" s="123"/>
      <c r="AP25" s="123"/>
      <c r="AQ25" s="123"/>
      <c r="AR25" s="123"/>
      <c r="AS25" s="123"/>
      <c r="AT25" s="123"/>
      <c r="AU25" s="123"/>
      <c r="AV25" s="123"/>
      <c r="AW25" s="124"/>
      <c r="AX25" s="125"/>
      <c r="AY25" s="125"/>
      <c r="AZ25" s="125"/>
      <c r="BA25" s="125"/>
      <c r="BB25" s="125"/>
      <c r="BC25" s="126"/>
      <c r="BD25" s="129"/>
      <c r="BE25" s="125"/>
      <c r="BF25" s="125"/>
      <c r="BG25" s="125"/>
      <c r="BH25" s="125"/>
      <c r="BI25" s="125"/>
      <c r="BJ25" s="126"/>
      <c r="BK25" s="47"/>
    </row>
    <row r="26" spans="1:63" ht="15" customHeight="1" x14ac:dyDescent="0.25">
      <c r="A26" s="46"/>
      <c r="B26" s="81"/>
      <c r="C26" s="82"/>
      <c r="D26" s="82"/>
      <c r="E26" s="82"/>
      <c r="F26" s="82"/>
      <c r="G26" s="83"/>
      <c r="H26" s="81"/>
      <c r="I26" s="82"/>
      <c r="J26" s="82"/>
      <c r="K26" s="82"/>
      <c r="L26" s="82"/>
      <c r="M26" s="82"/>
      <c r="N26" s="83"/>
      <c r="O26" s="81"/>
      <c r="P26" s="82"/>
      <c r="Q26" s="82"/>
      <c r="R26" s="82"/>
      <c r="S26" s="131"/>
      <c r="T26" s="132"/>
      <c r="U26" s="132"/>
      <c r="V26" s="132"/>
      <c r="W26" s="132"/>
      <c r="X26" s="132"/>
      <c r="Y26" s="132"/>
      <c r="Z26" s="132"/>
      <c r="AA26" s="132"/>
      <c r="AB26" s="132"/>
      <c r="AC26" s="132"/>
      <c r="AD26" s="132"/>
      <c r="AE26" s="132"/>
      <c r="AF26" s="132"/>
      <c r="AG26" s="132"/>
      <c r="AH26" s="132"/>
      <c r="AI26" s="132"/>
      <c r="AJ26" s="132"/>
      <c r="AK26" s="132"/>
      <c r="AL26" s="132"/>
      <c r="AM26" s="132"/>
      <c r="AN26" s="132"/>
      <c r="AO26" s="132"/>
      <c r="AP26" s="132"/>
      <c r="AQ26" s="132"/>
      <c r="AR26" s="132"/>
      <c r="AS26" s="132"/>
      <c r="AT26" s="132"/>
      <c r="AU26" s="132"/>
      <c r="AV26" s="132"/>
      <c r="AW26" s="133"/>
      <c r="AX26" s="127"/>
      <c r="AY26" s="127"/>
      <c r="AZ26" s="127"/>
      <c r="BA26" s="127"/>
      <c r="BB26" s="127"/>
      <c r="BC26" s="128"/>
      <c r="BD26" s="130"/>
      <c r="BE26" s="127"/>
      <c r="BF26" s="127"/>
      <c r="BG26" s="127"/>
      <c r="BH26" s="127"/>
      <c r="BI26" s="127"/>
      <c r="BJ26" s="128"/>
      <c r="BK26" s="47"/>
    </row>
    <row r="27" spans="1:63" ht="15" customHeight="1" x14ac:dyDescent="0.25">
      <c r="A27" s="46"/>
      <c r="B27" s="78"/>
      <c r="C27" s="79"/>
      <c r="D27" s="79"/>
      <c r="E27" s="79"/>
      <c r="F27" s="79"/>
      <c r="G27" s="80"/>
      <c r="H27" s="78"/>
      <c r="I27" s="79"/>
      <c r="J27" s="79"/>
      <c r="K27" s="79"/>
      <c r="L27" s="79"/>
      <c r="M27" s="79"/>
      <c r="N27" s="80"/>
      <c r="O27" s="78"/>
      <c r="P27" s="79"/>
      <c r="Q27" s="79"/>
      <c r="R27" s="79"/>
      <c r="S27" s="122"/>
      <c r="T27" s="123"/>
      <c r="U27" s="123"/>
      <c r="V27" s="123"/>
      <c r="W27" s="123"/>
      <c r="X27" s="123"/>
      <c r="Y27" s="123"/>
      <c r="Z27" s="123"/>
      <c r="AA27" s="123"/>
      <c r="AB27" s="123"/>
      <c r="AC27" s="123"/>
      <c r="AD27" s="123"/>
      <c r="AE27" s="123"/>
      <c r="AF27" s="123"/>
      <c r="AG27" s="123"/>
      <c r="AH27" s="123"/>
      <c r="AI27" s="123"/>
      <c r="AJ27" s="123"/>
      <c r="AK27" s="123"/>
      <c r="AL27" s="123"/>
      <c r="AM27" s="123"/>
      <c r="AN27" s="123"/>
      <c r="AO27" s="123"/>
      <c r="AP27" s="123"/>
      <c r="AQ27" s="123"/>
      <c r="AR27" s="123"/>
      <c r="AS27" s="123"/>
      <c r="AT27" s="123"/>
      <c r="AU27" s="123"/>
      <c r="AV27" s="123"/>
      <c r="AW27" s="124"/>
      <c r="AX27" s="125"/>
      <c r="AY27" s="125"/>
      <c r="AZ27" s="125"/>
      <c r="BA27" s="125"/>
      <c r="BB27" s="125"/>
      <c r="BC27" s="126"/>
      <c r="BD27" s="129"/>
      <c r="BE27" s="125"/>
      <c r="BF27" s="125"/>
      <c r="BG27" s="125"/>
      <c r="BH27" s="125"/>
      <c r="BI27" s="125"/>
      <c r="BJ27" s="126"/>
      <c r="BK27" s="47"/>
    </row>
    <row r="28" spans="1:63" ht="15" customHeight="1" x14ac:dyDescent="0.25">
      <c r="A28" s="46"/>
      <c r="B28" s="81"/>
      <c r="C28" s="82"/>
      <c r="D28" s="82"/>
      <c r="E28" s="82"/>
      <c r="F28" s="82"/>
      <c r="G28" s="83"/>
      <c r="H28" s="81"/>
      <c r="I28" s="82"/>
      <c r="J28" s="82"/>
      <c r="K28" s="82"/>
      <c r="L28" s="82"/>
      <c r="M28" s="82"/>
      <c r="N28" s="83"/>
      <c r="O28" s="81"/>
      <c r="P28" s="82"/>
      <c r="Q28" s="82"/>
      <c r="R28" s="82"/>
      <c r="S28" s="131"/>
      <c r="T28" s="132"/>
      <c r="U28" s="132"/>
      <c r="V28" s="132"/>
      <c r="W28" s="132"/>
      <c r="X28" s="132"/>
      <c r="Y28" s="132"/>
      <c r="Z28" s="132"/>
      <c r="AA28" s="132"/>
      <c r="AB28" s="132"/>
      <c r="AC28" s="132"/>
      <c r="AD28" s="132"/>
      <c r="AE28" s="132"/>
      <c r="AF28" s="132"/>
      <c r="AG28" s="132"/>
      <c r="AH28" s="132"/>
      <c r="AI28" s="132"/>
      <c r="AJ28" s="132"/>
      <c r="AK28" s="132"/>
      <c r="AL28" s="132"/>
      <c r="AM28" s="132"/>
      <c r="AN28" s="132"/>
      <c r="AO28" s="132"/>
      <c r="AP28" s="132"/>
      <c r="AQ28" s="132"/>
      <c r="AR28" s="132"/>
      <c r="AS28" s="132"/>
      <c r="AT28" s="132"/>
      <c r="AU28" s="132"/>
      <c r="AV28" s="132"/>
      <c r="AW28" s="133"/>
      <c r="AX28" s="127"/>
      <c r="AY28" s="127"/>
      <c r="AZ28" s="127"/>
      <c r="BA28" s="127"/>
      <c r="BB28" s="127"/>
      <c r="BC28" s="128"/>
      <c r="BD28" s="130"/>
      <c r="BE28" s="127"/>
      <c r="BF28" s="127"/>
      <c r="BG28" s="127"/>
      <c r="BH28" s="127"/>
      <c r="BI28" s="127"/>
      <c r="BJ28" s="128"/>
      <c r="BK28" s="47"/>
    </row>
    <row r="29" spans="1:63" ht="15" customHeight="1" x14ac:dyDescent="0.25">
      <c r="A29" s="46"/>
      <c r="B29" s="78"/>
      <c r="C29" s="79"/>
      <c r="D29" s="79"/>
      <c r="E29" s="79"/>
      <c r="F29" s="79"/>
      <c r="G29" s="80"/>
      <c r="H29" s="78"/>
      <c r="I29" s="79"/>
      <c r="J29" s="79"/>
      <c r="K29" s="79"/>
      <c r="L29" s="79"/>
      <c r="M29" s="79"/>
      <c r="N29" s="80"/>
      <c r="O29" s="78"/>
      <c r="P29" s="79"/>
      <c r="Q29" s="79"/>
      <c r="R29" s="79"/>
      <c r="S29" s="122"/>
      <c r="T29" s="123"/>
      <c r="U29" s="123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3"/>
      <c r="AG29" s="123"/>
      <c r="AH29" s="123"/>
      <c r="AI29" s="123"/>
      <c r="AJ29" s="123"/>
      <c r="AK29" s="123"/>
      <c r="AL29" s="123"/>
      <c r="AM29" s="123"/>
      <c r="AN29" s="123"/>
      <c r="AO29" s="123"/>
      <c r="AP29" s="123"/>
      <c r="AQ29" s="123"/>
      <c r="AR29" s="123"/>
      <c r="AS29" s="123"/>
      <c r="AT29" s="123"/>
      <c r="AU29" s="123"/>
      <c r="AV29" s="123"/>
      <c r="AW29" s="124"/>
      <c r="AX29" s="125"/>
      <c r="AY29" s="125"/>
      <c r="AZ29" s="125"/>
      <c r="BA29" s="125"/>
      <c r="BB29" s="125"/>
      <c r="BC29" s="126"/>
      <c r="BD29" s="129"/>
      <c r="BE29" s="125"/>
      <c r="BF29" s="125"/>
      <c r="BG29" s="125"/>
      <c r="BH29" s="125"/>
      <c r="BI29" s="125"/>
      <c r="BJ29" s="126"/>
      <c r="BK29" s="47"/>
    </row>
    <row r="30" spans="1:63" ht="15" customHeight="1" x14ac:dyDescent="0.25">
      <c r="A30" s="46"/>
      <c r="B30" s="81"/>
      <c r="C30" s="82"/>
      <c r="D30" s="82"/>
      <c r="E30" s="82"/>
      <c r="F30" s="82"/>
      <c r="G30" s="83"/>
      <c r="H30" s="81"/>
      <c r="I30" s="82"/>
      <c r="J30" s="82"/>
      <c r="K30" s="82"/>
      <c r="L30" s="82"/>
      <c r="M30" s="82"/>
      <c r="N30" s="83"/>
      <c r="O30" s="81"/>
      <c r="P30" s="82"/>
      <c r="Q30" s="82"/>
      <c r="R30" s="82"/>
      <c r="S30" s="131"/>
      <c r="T30" s="132"/>
      <c r="U30" s="132"/>
      <c r="V30" s="132"/>
      <c r="W30" s="132"/>
      <c r="X30" s="132"/>
      <c r="Y30" s="132"/>
      <c r="Z30" s="132"/>
      <c r="AA30" s="132"/>
      <c r="AB30" s="132"/>
      <c r="AC30" s="132"/>
      <c r="AD30" s="132"/>
      <c r="AE30" s="132"/>
      <c r="AF30" s="132"/>
      <c r="AG30" s="132"/>
      <c r="AH30" s="132"/>
      <c r="AI30" s="132"/>
      <c r="AJ30" s="132"/>
      <c r="AK30" s="132"/>
      <c r="AL30" s="132"/>
      <c r="AM30" s="132"/>
      <c r="AN30" s="132"/>
      <c r="AO30" s="132"/>
      <c r="AP30" s="132"/>
      <c r="AQ30" s="132"/>
      <c r="AR30" s="132"/>
      <c r="AS30" s="132"/>
      <c r="AT30" s="132"/>
      <c r="AU30" s="132"/>
      <c r="AV30" s="132"/>
      <c r="AW30" s="133"/>
      <c r="AX30" s="127"/>
      <c r="AY30" s="127"/>
      <c r="AZ30" s="127"/>
      <c r="BA30" s="127"/>
      <c r="BB30" s="127"/>
      <c r="BC30" s="128"/>
      <c r="BD30" s="130"/>
      <c r="BE30" s="127"/>
      <c r="BF30" s="127"/>
      <c r="BG30" s="127"/>
      <c r="BH30" s="127"/>
      <c r="BI30" s="127"/>
      <c r="BJ30" s="128"/>
      <c r="BK30" s="47"/>
    </row>
    <row r="31" spans="1:63" ht="15" customHeight="1" x14ac:dyDescent="0.25">
      <c r="A31" s="46"/>
      <c r="B31" s="78"/>
      <c r="C31" s="79"/>
      <c r="D31" s="79"/>
      <c r="E31" s="79"/>
      <c r="F31" s="79"/>
      <c r="G31" s="80"/>
      <c r="H31" s="78"/>
      <c r="I31" s="79"/>
      <c r="J31" s="79"/>
      <c r="K31" s="79"/>
      <c r="L31" s="79"/>
      <c r="M31" s="79"/>
      <c r="N31" s="80"/>
      <c r="O31" s="78"/>
      <c r="P31" s="79"/>
      <c r="Q31" s="79"/>
      <c r="R31" s="79"/>
      <c r="S31" s="122"/>
      <c r="T31" s="123"/>
      <c r="U31" s="123"/>
      <c r="V31" s="123"/>
      <c r="W31" s="123"/>
      <c r="X31" s="123"/>
      <c r="Y31" s="123"/>
      <c r="Z31" s="123"/>
      <c r="AA31" s="123"/>
      <c r="AB31" s="123"/>
      <c r="AC31" s="123"/>
      <c r="AD31" s="123"/>
      <c r="AE31" s="123"/>
      <c r="AF31" s="123"/>
      <c r="AG31" s="123"/>
      <c r="AH31" s="123"/>
      <c r="AI31" s="123"/>
      <c r="AJ31" s="123"/>
      <c r="AK31" s="123"/>
      <c r="AL31" s="123"/>
      <c r="AM31" s="123"/>
      <c r="AN31" s="123"/>
      <c r="AO31" s="123"/>
      <c r="AP31" s="123"/>
      <c r="AQ31" s="123"/>
      <c r="AR31" s="123"/>
      <c r="AS31" s="123"/>
      <c r="AT31" s="123"/>
      <c r="AU31" s="123"/>
      <c r="AV31" s="123"/>
      <c r="AW31" s="124"/>
      <c r="AX31" s="125"/>
      <c r="AY31" s="125"/>
      <c r="AZ31" s="125"/>
      <c r="BA31" s="125"/>
      <c r="BB31" s="125"/>
      <c r="BC31" s="126"/>
      <c r="BD31" s="129"/>
      <c r="BE31" s="125"/>
      <c r="BF31" s="125"/>
      <c r="BG31" s="125"/>
      <c r="BH31" s="125"/>
      <c r="BI31" s="125"/>
      <c r="BJ31" s="126"/>
      <c r="BK31" s="47"/>
    </row>
    <row r="32" spans="1:63" ht="15" customHeight="1" x14ac:dyDescent="0.25">
      <c r="A32" s="46"/>
      <c r="B32" s="81"/>
      <c r="C32" s="82"/>
      <c r="D32" s="82"/>
      <c r="E32" s="82"/>
      <c r="F32" s="82"/>
      <c r="G32" s="83"/>
      <c r="H32" s="81"/>
      <c r="I32" s="82"/>
      <c r="J32" s="82"/>
      <c r="K32" s="82"/>
      <c r="L32" s="82"/>
      <c r="M32" s="82"/>
      <c r="N32" s="83"/>
      <c r="O32" s="81"/>
      <c r="P32" s="82"/>
      <c r="Q32" s="82"/>
      <c r="R32" s="82"/>
      <c r="S32" s="131"/>
      <c r="T32" s="132"/>
      <c r="U32" s="132"/>
      <c r="V32" s="132"/>
      <c r="W32" s="132"/>
      <c r="X32" s="132"/>
      <c r="Y32" s="132"/>
      <c r="Z32" s="132"/>
      <c r="AA32" s="132"/>
      <c r="AB32" s="132"/>
      <c r="AC32" s="132"/>
      <c r="AD32" s="132"/>
      <c r="AE32" s="132"/>
      <c r="AF32" s="132"/>
      <c r="AG32" s="132"/>
      <c r="AH32" s="132"/>
      <c r="AI32" s="132"/>
      <c r="AJ32" s="132"/>
      <c r="AK32" s="132"/>
      <c r="AL32" s="132"/>
      <c r="AM32" s="132"/>
      <c r="AN32" s="132"/>
      <c r="AO32" s="132"/>
      <c r="AP32" s="132"/>
      <c r="AQ32" s="132"/>
      <c r="AR32" s="132"/>
      <c r="AS32" s="132"/>
      <c r="AT32" s="132"/>
      <c r="AU32" s="132"/>
      <c r="AV32" s="132"/>
      <c r="AW32" s="133"/>
      <c r="AX32" s="127"/>
      <c r="AY32" s="127"/>
      <c r="AZ32" s="127"/>
      <c r="BA32" s="127"/>
      <c r="BB32" s="127"/>
      <c r="BC32" s="128"/>
      <c r="BD32" s="130"/>
      <c r="BE32" s="127"/>
      <c r="BF32" s="127"/>
      <c r="BG32" s="127"/>
      <c r="BH32" s="127"/>
      <c r="BI32" s="127"/>
      <c r="BJ32" s="128"/>
      <c r="BK32" s="47"/>
    </row>
    <row r="33" spans="1:63" ht="15" customHeight="1" x14ac:dyDescent="0.25">
      <c r="A33" s="46"/>
      <c r="B33" s="78"/>
      <c r="C33" s="79"/>
      <c r="D33" s="79"/>
      <c r="E33" s="79"/>
      <c r="F33" s="79"/>
      <c r="G33" s="80"/>
      <c r="H33" s="78"/>
      <c r="I33" s="79"/>
      <c r="J33" s="79"/>
      <c r="K33" s="79"/>
      <c r="L33" s="79"/>
      <c r="M33" s="79"/>
      <c r="N33" s="80"/>
      <c r="O33" s="78"/>
      <c r="P33" s="79"/>
      <c r="Q33" s="79"/>
      <c r="R33" s="79"/>
      <c r="S33" s="122"/>
      <c r="T33" s="123"/>
      <c r="U33" s="123"/>
      <c r="V33" s="123"/>
      <c r="W33" s="123"/>
      <c r="X33" s="123"/>
      <c r="Y33" s="123"/>
      <c r="Z33" s="123"/>
      <c r="AA33" s="123"/>
      <c r="AB33" s="123"/>
      <c r="AC33" s="123"/>
      <c r="AD33" s="123"/>
      <c r="AE33" s="123"/>
      <c r="AF33" s="123"/>
      <c r="AG33" s="123"/>
      <c r="AH33" s="123"/>
      <c r="AI33" s="123"/>
      <c r="AJ33" s="123"/>
      <c r="AK33" s="123"/>
      <c r="AL33" s="123"/>
      <c r="AM33" s="123"/>
      <c r="AN33" s="123"/>
      <c r="AO33" s="123"/>
      <c r="AP33" s="123"/>
      <c r="AQ33" s="123"/>
      <c r="AR33" s="123"/>
      <c r="AS33" s="123"/>
      <c r="AT33" s="123"/>
      <c r="AU33" s="123"/>
      <c r="AV33" s="123"/>
      <c r="AW33" s="124"/>
      <c r="AX33" s="125"/>
      <c r="AY33" s="125"/>
      <c r="AZ33" s="125"/>
      <c r="BA33" s="125"/>
      <c r="BB33" s="125"/>
      <c r="BC33" s="126"/>
      <c r="BD33" s="129"/>
      <c r="BE33" s="125"/>
      <c r="BF33" s="125"/>
      <c r="BG33" s="125"/>
      <c r="BH33" s="125"/>
      <c r="BI33" s="125"/>
      <c r="BJ33" s="126"/>
      <c r="BK33" s="47"/>
    </row>
    <row r="34" spans="1:63" ht="15" customHeight="1" x14ac:dyDescent="0.25">
      <c r="A34" s="46"/>
      <c r="B34" s="81"/>
      <c r="C34" s="82"/>
      <c r="D34" s="82"/>
      <c r="E34" s="82"/>
      <c r="F34" s="82"/>
      <c r="G34" s="83"/>
      <c r="H34" s="81"/>
      <c r="I34" s="82"/>
      <c r="J34" s="82"/>
      <c r="K34" s="82"/>
      <c r="L34" s="82"/>
      <c r="M34" s="82"/>
      <c r="N34" s="83"/>
      <c r="O34" s="81"/>
      <c r="P34" s="82"/>
      <c r="Q34" s="82"/>
      <c r="R34" s="82"/>
      <c r="S34" s="131"/>
      <c r="T34" s="132"/>
      <c r="U34" s="132"/>
      <c r="V34" s="132"/>
      <c r="W34" s="132"/>
      <c r="X34" s="132"/>
      <c r="Y34" s="132"/>
      <c r="Z34" s="132"/>
      <c r="AA34" s="132"/>
      <c r="AB34" s="132"/>
      <c r="AC34" s="132"/>
      <c r="AD34" s="132"/>
      <c r="AE34" s="132"/>
      <c r="AF34" s="132"/>
      <c r="AG34" s="132"/>
      <c r="AH34" s="132"/>
      <c r="AI34" s="132"/>
      <c r="AJ34" s="132"/>
      <c r="AK34" s="132"/>
      <c r="AL34" s="132"/>
      <c r="AM34" s="132"/>
      <c r="AN34" s="132"/>
      <c r="AO34" s="132"/>
      <c r="AP34" s="132"/>
      <c r="AQ34" s="132"/>
      <c r="AR34" s="132"/>
      <c r="AS34" s="132"/>
      <c r="AT34" s="132"/>
      <c r="AU34" s="132"/>
      <c r="AV34" s="132"/>
      <c r="AW34" s="133"/>
      <c r="AX34" s="127"/>
      <c r="AY34" s="127"/>
      <c r="AZ34" s="127"/>
      <c r="BA34" s="127"/>
      <c r="BB34" s="127"/>
      <c r="BC34" s="128"/>
      <c r="BD34" s="130"/>
      <c r="BE34" s="127"/>
      <c r="BF34" s="127"/>
      <c r="BG34" s="127"/>
      <c r="BH34" s="127"/>
      <c r="BI34" s="127"/>
      <c r="BJ34" s="128"/>
      <c r="BK34" s="47"/>
    </row>
    <row r="35" spans="1:63" ht="15" customHeight="1" x14ac:dyDescent="0.25">
      <c r="A35" s="46"/>
      <c r="B35" s="78"/>
      <c r="C35" s="79"/>
      <c r="D35" s="79"/>
      <c r="E35" s="79"/>
      <c r="F35" s="79"/>
      <c r="G35" s="80"/>
      <c r="H35" s="78"/>
      <c r="I35" s="79"/>
      <c r="J35" s="79"/>
      <c r="K35" s="79"/>
      <c r="L35" s="79"/>
      <c r="M35" s="79"/>
      <c r="N35" s="80"/>
      <c r="O35" s="78"/>
      <c r="P35" s="79"/>
      <c r="Q35" s="79"/>
      <c r="R35" s="79"/>
      <c r="S35" s="122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4"/>
      <c r="AX35" s="125"/>
      <c r="AY35" s="125"/>
      <c r="AZ35" s="125"/>
      <c r="BA35" s="125"/>
      <c r="BB35" s="125"/>
      <c r="BC35" s="126"/>
      <c r="BD35" s="129"/>
      <c r="BE35" s="125"/>
      <c r="BF35" s="125"/>
      <c r="BG35" s="125"/>
      <c r="BH35" s="125"/>
      <c r="BI35" s="125"/>
      <c r="BJ35" s="126"/>
      <c r="BK35" s="47"/>
    </row>
    <row r="36" spans="1:63" ht="15" customHeight="1" x14ac:dyDescent="0.25">
      <c r="A36" s="46"/>
      <c r="B36" s="81"/>
      <c r="C36" s="82"/>
      <c r="D36" s="82"/>
      <c r="E36" s="82"/>
      <c r="F36" s="82"/>
      <c r="G36" s="83"/>
      <c r="H36" s="81"/>
      <c r="I36" s="82"/>
      <c r="J36" s="82"/>
      <c r="K36" s="82"/>
      <c r="L36" s="82"/>
      <c r="M36" s="82"/>
      <c r="N36" s="83"/>
      <c r="O36" s="81"/>
      <c r="P36" s="82"/>
      <c r="Q36" s="82"/>
      <c r="R36" s="82"/>
      <c r="S36" s="131"/>
      <c r="T36" s="132"/>
      <c r="U36" s="132"/>
      <c r="V36" s="132"/>
      <c r="W36" s="132"/>
      <c r="X36" s="132"/>
      <c r="Y36" s="132"/>
      <c r="Z36" s="132"/>
      <c r="AA36" s="132"/>
      <c r="AB36" s="132"/>
      <c r="AC36" s="132"/>
      <c r="AD36" s="132"/>
      <c r="AE36" s="132"/>
      <c r="AF36" s="132"/>
      <c r="AG36" s="132"/>
      <c r="AH36" s="132"/>
      <c r="AI36" s="132"/>
      <c r="AJ36" s="132"/>
      <c r="AK36" s="132"/>
      <c r="AL36" s="132"/>
      <c r="AM36" s="132"/>
      <c r="AN36" s="132"/>
      <c r="AO36" s="132"/>
      <c r="AP36" s="132"/>
      <c r="AQ36" s="132"/>
      <c r="AR36" s="132"/>
      <c r="AS36" s="132"/>
      <c r="AT36" s="132"/>
      <c r="AU36" s="132"/>
      <c r="AV36" s="132"/>
      <c r="AW36" s="133"/>
      <c r="AX36" s="127"/>
      <c r="AY36" s="127"/>
      <c r="AZ36" s="127"/>
      <c r="BA36" s="127"/>
      <c r="BB36" s="127"/>
      <c r="BC36" s="128"/>
      <c r="BD36" s="130"/>
      <c r="BE36" s="127"/>
      <c r="BF36" s="127"/>
      <c r="BG36" s="127"/>
      <c r="BH36" s="127"/>
      <c r="BI36" s="127"/>
      <c r="BJ36" s="128"/>
      <c r="BK36" s="47"/>
    </row>
    <row r="37" spans="1:63" ht="15" customHeight="1" x14ac:dyDescent="0.25">
      <c r="A37" s="46"/>
      <c r="B37" s="78"/>
      <c r="C37" s="79"/>
      <c r="D37" s="79"/>
      <c r="E37" s="79"/>
      <c r="F37" s="79"/>
      <c r="G37" s="80"/>
      <c r="H37" s="78"/>
      <c r="I37" s="79"/>
      <c r="J37" s="79"/>
      <c r="K37" s="79"/>
      <c r="L37" s="79"/>
      <c r="M37" s="79"/>
      <c r="N37" s="80"/>
      <c r="O37" s="78"/>
      <c r="P37" s="79"/>
      <c r="Q37" s="79"/>
      <c r="R37" s="79"/>
      <c r="S37" s="122"/>
      <c r="T37" s="123"/>
      <c r="U37" s="123"/>
      <c r="V37" s="123"/>
      <c r="W37" s="123"/>
      <c r="X37" s="123"/>
      <c r="Y37" s="123"/>
      <c r="Z37" s="123"/>
      <c r="AA37" s="123"/>
      <c r="AB37" s="123"/>
      <c r="AC37" s="123"/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4"/>
      <c r="AX37" s="125"/>
      <c r="AY37" s="125"/>
      <c r="AZ37" s="125"/>
      <c r="BA37" s="125"/>
      <c r="BB37" s="125"/>
      <c r="BC37" s="126"/>
      <c r="BD37" s="129"/>
      <c r="BE37" s="125"/>
      <c r="BF37" s="125"/>
      <c r="BG37" s="125"/>
      <c r="BH37" s="125"/>
      <c r="BI37" s="125"/>
      <c r="BJ37" s="126"/>
      <c r="BK37" s="47"/>
    </row>
    <row r="38" spans="1:63" ht="15" customHeight="1" x14ac:dyDescent="0.25">
      <c r="A38" s="46"/>
      <c r="B38" s="81"/>
      <c r="C38" s="82"/>
      <c r="D38" s="82"/>
      <c r="E38" s="82"/>
      <c r="F38" s="82"/>
      <c r="G38" s="83"/>
      <c r="H38" s="81"/>
      <c r="I38" s="82"/>
      <c r="J38" s="82"/>
      <c r="K38" s="82"/>
      <c r="L38" s="82"/>
      <c r="M38" s="82"/>
      <c r="N38" s="83"/>
      <c r="O38" s="81"/>
      <c r="P38" s="82"/>
      <c r="Q38" s="82"/>
      <c r="R38" s="82"/>
      <c r="S38" s="131"/>
      <c r="T38" s="132"/>
      <c r="U38" s="132"/>
      <c r="V38" s="132"/>
      <c r="W38" s="132"/>
      <c r="X38" s="132"/>
      <c r="Y38" s="132"/>
      <c r="Z38" s="132"/>
      <c r="AA38" s="132"/>
      <c r="AB38" s="132"/>
      <c r="AC38" s="132"/>
      <c r="AD38" s="132"/>
      <c r="AE38" s="132"/>
      <c r="AF38" s="132"/>
      <c r="AG38" s="132"/>
      <c r="AH38" s="132"/>
      <c r="AI38" s="132"/>
      <c r="AJ38" s="132"/>
      <c r="AK38" s="132"/>
      <c r="AL38" s="132"/>
      <c r="AM38" s="132"/>
      <c r="AN38" s="132"/>
      <c r="AO38" s="132"/>
      <c r="AP38" s="132"/>
      <c r="AQ38" s="132"/>
      <c r="AR38" s="132"/>
      <c r="AS38" s="132"/>
      <c r="AT38" s="132"/>
      <c r="AU38" s="132"/>
      <c r="AV38" s="132"/>
      <c r="AW38" s="133"/>
      <c r="AX38" s="127"/>
      <c r="AY38" s="127"/>
      <c r="AZ38" s="127"/>
      <c r="BA38" s="127"/>
      <c r="BB38" s="127"/>
      <c r="BC38" s="128"/>
      <c r="BD38" s="130"/>
      <c r="BE38" s="127"/>
      <c r="BF38" s="127"/>
      <c r="BG38" s="127"/>
      <c r="BH38" s="127"/>
      <c r="BI38" s="127"/>
      <c r="BJ38" s="128"/>
      <c r="BK38" s="47"/>
    </row>
    <row r="39" spans="1:63" ht="15" customHeight="1" x14ac:dyDescent="0.25">
      <c r="A39" s="46"/>
      <c r="B39" s="78"/>
      <c r="C39" s="79"/>
      <c r="D39" s="79"/>
      <c r="E39" s="79"/>
      <c r="F39" s="79"/>
      <c r="G39" s="80"/>
      <c r="H39" s="78"/>
      <c r="I39" s="79"/>
      <c r="J39" s="79"/>
      <c r="K39" s="79"/>
      <c r="L39" s="79"/>
      <c r="M39" s="79"/>
      <c r="N39" s="80"/>
      <c r="O39" s="78"/>
      <c r="P39" s="79"/>
      <c r="Q39" s="79"/>
      <c r="R39" s="79"/>
      <c r="S39" s="122"/>
      <c r="T39" s="123"/>
      <c r="U39" s="123"/>
      <c r="V39" s="123"/>
      <c r="W39" s="123"/>
      <c r="X39" s="123"/>
      <c r="Y39" s="123"/>
      <c r="Z39" s="123"/>
      <c r="AA39" s="123"/>
      <c r="AB39" s="123"/>
      <c r="AC39" s="123"/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4"/>
      <c r="AX39" s="125"/>
      <c r="AY39" s="125"/>
      <c r="AZ39" s="125"/>
      <c r="BA39" s="125"/>
      <c r="BB39" s="125"/>
      <c r="BC39" s="126"/>
      <c r="BD39" s="129"/>
      <c r="BE39" s="125"/>
      <c r="BF39" s="125"/>
      <c r="BG39" s="125"/>
      <c r="BH39" s="125"/>
      <c r="BI39" s="125"/>
      <c r="BJ39" s="126"/>
      <c r="BK39" s="47"/>
    </row>
    <row r="40" spans="1:63" ht="15" customHeight="1" x14ac:dyDescent="0.25">
      <c r="A40" s="46"/>
      <c r="B40" s="81"/>
      <c r="C40" s="82"/>
      <c r="D40" s="82"/>
      <c r="E40" s="82"/>
      <c r="F40" s="82"/>
      <c r="G40" s="83"/>
      <c r="H40" s="81"/>
      <c r="I40" s="82"/>
      <c r="J40" s="82"/>
      <c r="K40" s="82"/>
      <c r="L40" s="82"/>
      <c r="M40" s="82"/>
      <c r="N40" s="83"/>
      <c r="O40" s="81"/>
      <c r="P40" s="82"/>
      <c r="Q40" s="82"/>
      <c r="R40" s="82"/>
      <c r="S40" s="131"/>
      <c r="T40" s="132"/>
      <c r="U40" s="132"/>
      <c r="V40" s="132"/>
      <c r="W40" s="132"/>
      <c r="X40" s="132"/>
      <c r="Y40" s="132"/>
      <c r="Z40" s="132"/>
      <c r="AA40" s="132"/>
      <c r="AB40" s="132"/>
      <c r="AC40" s="132"/>
      <c r="AD40" s="132"/>
      <c r="AE40" s="132"/>
      <c r="AF40" s="132"/>
      <c r="AG40" s="132"/>
      <c r="AH40" s="132"/>
      <c r="AI40" s="132"/>
      <c r="AJ40" s="132"/>
      <c r="AK40" s="132"/>
      <c r="AL40" s="132"/>
      <c r="AM40" s="132"/>
      <c r="AN40" s="132"/>
      <c r="AO40" s="132"/>
      <c r="AP40" s="132"/>
      <c r="AQ40" s="132"/>
      <c r="AR40" s="132"/>
      <c r="AS40" s="132"/>
      <c r="AT40" s="132"/>
      <c r="AU40" s="132"/>
      <c r="AV40" s="132"/>
      <c r="AW40" s="133"/>
      <c r="AX40" s="127"/>
      <c r="AY40" s="127"/>
      <c r="AZ40" s="127"/>
      <c r="BA40" s="127"/>
      <c r="BB40" s="127"/>
      <c r="BC40" s="128"/>
      <c r="BD40" s="130"/>
      <c r="BE40" s="127"/>
      <c r="BF40" s="127"/>
      <c r="BG40" s="127"/>
      <c r="BH40" s="127"/>
      <c r="BI40" s="127"/>
      <c r="BJ40" s="128"/>
      <c r="BK40" s="47"/>
    </row>
    <row r="41" spans="1:63" ht="15" customHeight="1" x14ac:dyDescent="0.25">
      <c r="A41" s="46"/>
      <c r="B41" s="78"/>
      <c r="C41" s="79"/>
      <c r="D41" s="79"/>
      <c r="E41" s="79"/>
      <c r="F41" s="79"/>
      <c r="G41" s="80"/>
      <c r="H41" s="78"/>
      <c r="I41" s="79"/>
      <c r="J41" s="79"/>
      <c r="K41" s="79"/>
      <c r="L41" s="79"/>
      <c r="M41" s="79"/>
      <c r="N41" s="80"/>
      <c r="O41" s="78"/>
      <c r="P41" s="79"/>
      <c r="Q41" s="79"/>
      <c r="R41" s="79"/>
      <c r="S41" s="122"/>
      <c r="T41" s="123"/>
      <c r="U41" s="123"/>
      <c r="V41" s="123"/>
      <c r="W41" s="123"/>
      <c r="X41" s="123"/>
      <c r="Y41" s="123"/>
      <c r="Z41" s="123"/>
      <c r="AA41" s="123"/>
      <c r="AB41" s="123"/>
      <c r="AC41" s="123"/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4"/>
      <c r="AX41" s="125"/>
      <c r="AY41" s="125"/>
      <c r="AZ41" s="125"/>
      <c r="BA41" s="125"/>
      <c r="BB41" s="125"/>
      <c r="BC41" s="126"/>
      <c r="BD41" s="129"/>
      <c r="BE41" s="125"/>
      <c r="BF41" s="125"/>
      <c r="BG41" s="125"/>
      <c r="BH41" s="125"/>
      <c r="BI41" s="125"/>
      <c r="BJ41" s="126"/>
      <c r="BK41" s="47"/>
    </row>
    <row r="42" spans="1:63" ht="15" customHeight="1" x14ac:dyDescent="0.25">
      <c r="A42" s="46"/>
      <c r="B42" s="81"/>
      <c r="C42" s="82"/>
      <c r="D42" s="82"/>
      <c r="E42" s="82"/>
      <c r="F42" s="82"/>
      <c r="G42" s="83"/>
      <c r="H42" s="81"/>
      <c r="I42" s="82"/>
      <c r="J42" s="82"/>
      <c r="K42" s="82"/>
      <c r="L42" s="82"/>
      <c r="M42" s="82"/>
      <c r="N42" s="83"/>
      <c r="O42" s="81"/>
      <c r="P42" s="82"/>
      <c r="Q42" s="82"/>
      <c r="R42" s="82"/>
      <c r="S42" s="131"/>
      <c r="T42" s="132"/>
      <c r="U42" s="132"/>
      <c r="V42" s="132"/>
      <c r="W42" s="132"/>
      <c r="X42" s="132"/>
      <c r="Y42" s="132"/>
      <c r="Z42" s="132"/>
      <c r="AA42" s="132"/>
      <c r="AB42" s="132"/>
      <c r="AC42" s="132"/>
      <c r="AD42" s="132"/>
      <c r="AE42" s="132"/>
      <c r="AF42" s="132"/>
      <c r="AG42" s="132"/>
      <c r="AH42" s="132"/>
      <c r="AI42" s="132"/>
      <c r="AJ42" s="132"/>
      <c r="AK42" s="132"/>
      <c r="AL42" s="132"/>
      <c r="AM42" s="132"/>
      <c r="AN42" s="132"/>
      <c r="AO42" s="132"/>
      <c r="AP42" s="132"/>
      <c r="AQ42" s="132"/>
      <c r="AR42" s="132"/>
      <c r="AS42" s="132"/>
      <c r="AT42" s="132"/>
      <c r="AU42" s="132"/>
      <c r="AV42" s="132"/>
      <c r="AW42" s="133"/>
      <c r="AX42" s="127"/>
      <c r="AY42" s="127"/>
      <c r="AZ42" s="127"/>
      <c r="BA42" s="127"/>
      <c r="BB42" s="127"/>
      <c r="BC42" s="128"/>
      <c r="BD42" s="130"/>
      <c r="BE42" s="127"/>
      <c r="BF42" s="127"/>
      <c r="BG42" s="127"/>
      <c r="BH42" s="127"/>
      <c r="BI42" s="127"/>
      <c r="BJ42" s="128"/>
      <c r="BK42" s="47"/>
    </row>
    <row r="43" spans="1:63" ht="15" customHeight="1" x14ac:dyDescent="0.25">
      <c r="A43" s="46"/>
      <c r="B43" s="78"/>
      <c r="C43" s="79"/>
      <c r="D43" s="79"/>
      <c r="E43" s="79"/>
      <c r="F43" s="79"/>
      <c r="G43" s="80"/>
      <c r="H43" s="78"/>
      <c r="I43" s="79"/>
      <c r="J43" s="79"/>
      <c r="K43" s="79"/>
      <c r="L43" s="79"/>
      <c r="M43" s="79"/>
      <c r="N43" s="80"/>
      <c r="O43" s="78"/>
      <c r="P43" s="79"/>
      <c r="Q43" s="79"/>
      <c r="R43" s="79"/>
      <c r="S43" s="122"/>
      <c r="T43" s="123"/>
      <c r="U43" s="123"/>
      <c r="V43" s="123"/>
      <c r="W43" s="123"/>
      <c r="X43" s="123"/>
      <c r="Y43" s="123"/>
      <c r="Z43" s="123"/>
      <c r="AA43" s="123"/>
      <c r="AB43" s="123"/>
      <c r="AC43" s="123"/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4"/>
      <c r="AX43" s="125"/>
      <c r="AY43" s="125"/>
      <c r="AZ43" s="125"/>
      <c r="BA43" s="125"/>
      <c r="BB43" s="125"/>
      <c r="BC43" s="126"/>
      <c r="BD43" s="129"/>
      <c r="BE43" s="125"/>
      <c r="BF43" s="125"/>
      <c r="BG43" s="125"/>
      <c r="BH43" s="125"/>
      <c r="BI43" s="125"/>
      <c r="BJ43" s="126"/>
      <c r="BK43" s="47"/>
    </row>
    <row r="44" spans="1:63" ht="15" customHeight="1" x14ac:dyDescent="0.25">
      <c r="A44" s="46"/>
      <c r="B44" s="81"/>
      <c r="C44" s="82"/>
      <c r="D44" s="82"/>
      <c r="E44" s="82"/>
      <c r="F44" s="82"/>
      <c r="G44" s="83"/>
      <c r="H44" s="81"/>
      <c r="I44" s="82"/>
      <c r="J44" s="82"/>
      <c r="K44" s="82"/>
      <c r="L44" s="82"/>
      <c r="M44" s="82"/>
      <c r="N44" s="83"/>
      <c r="O44" s="81"/>
      <c r="P44" s="82"/>
      <c r="Q44" s="82"/>
      <c r="R44" s="82"/>
      <c r="S44" s="131"/>
      <c r="T44" s="132"/>
      <c r="U44" s="132"/>
      <c r="V44" s="132"/>
      <c r="W44" s="132"/>
      <c r="X44" s="132"/>
      <c r="Y44" s="132"/>
      <c r="Z44" s="132"/>
      <c r="AA44" s="132"/>
      <c r="AB44" s="132"/>
      <c r="AC44" s="132"/>
      <c r="AD44" s="132"/>
      <c r="AE44" s="132"/>
      <c r="AF44" s="132"/>
      <c r="AG44" s="132"/>
      <c r="AH44" s="132"/>
      <c r="AI44" s="132"/>
      <c r="AJ44" s="132"/>
      <c r="AK44" s="132"/>
      <c r="AL44" s="132"/>
      <c r="AM44" s="132"/>
      <c r="AN44" s="132"/>
      <c r="AO44" s="132"/>
      <c r="AP44" s="132"/>
      <c r="AQ44" s="132"/>
      <c r="AR44" s="132"/>
      <c r="AS44" s="132"/>
      <c r="AT44" s="132"/>
      <c r="AU44" s="132"/>
      <c r="AV44" s="132"/>
      <c r="AW44" s="133"/>
      <c r="AX44" s="127"/>
      <c r="AY44" s="127"/>
      <c r="AZ44" s="127"/>
      <c r="BA44" s="127"/>
      <c r="BB44" s="127"/>
      <c r="BC44" s="128"/>
      <c r="BD44" s="130"/>
      <c r="BE44" s="127"/>
      <c r="BF44" s="127"/>
      <c r="BG44" s="127"/>
      <c r="BH44" s="127"/>
      <c r="BI44" s="127"/>
      <c r="BJ44" s="128"/>
      <c r="BK44" s="47"/>
    </row>
    <row r="45" spans="1:63" ht="15" customHeight="1" x14ac:dyDescent="0.25">
      <c r="A45" s="46"/>
      <c r="B45" s="78"/>
      <c r="C45" s="79"/>
      <c r="D45" s="79"/>
      <c r="E45" s="79"/>
      <c r="F45" s="79"/>
      <c r="G45" s="80"/>
      <c r="H45" s="78"/>
      <c r="I45" s="79"/>
      <c r="J45" s="79"/>
      <c r="K45" s="79"/>
      <c r="L45" s="79"/>
      <c r="M45" s="79"/>
      <c r="N45" s="80"/>
      <c r="O45" s="78"/>
      <c r="P45" s="79"/>
      <c r="Q45" s="79"/>
      <c r="R45" s="79"/>
      <c r="S45" s="122"/>
      <c r="T45" s="123"/>
      <c r="U45" s="123"/>
      <c r="V45" s="123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4"/>
      <c r="AX45" s="125"/>
      <c r="AY45" s="125"/>
      <c r="AZ45" s="125"/>
      <c r="BA45" s="125"/>
      <c r="BB45" s="125"/>
      <c r="BC45" s="126"/>
      <c r="BD45" s="129"/>
      <c r="BE45" s="125"/>
      <c r="BF45" s="125"/>
      <c r="BG45" s="125"/>
      <c r="BH45" s="125"/>
      <c r="BI45" s="125"/>
      <c r="BJ45" s="126"/>
      <c r="BK45" s="47"/>
    </row>
    <row r="46" spans="1:63" ht="15" customHeight="1" x14ac:dyDescent="0.25">
      <c r="A46" s="46"/>
      <c r="B46" s="81"/>
      <c r="C46" s="82"/>
      <c r="D46" s="82"/>
      <c r="E46" s="82"/>
      <c r="F46" s="82"/>
      <c r="G46" s="83"/>
      <c r="H46" s="81"/>
      <c r="I46" s="82"/>
      <c r="J46" s="82"/>
      <c r="K46" s="82"/>
      <c r="L46" s="82"/>
      <c r="M46" s="82"/>
      <c r="N46" s="83"/>
      <c r="O46" s="81"/>
      <c r="P46" s="82"/>
      <c r="Q46" s="82"/>
      <c r="R46" s="82"/>
      <c r="S46" s="131"/>
      <c r="T46" s="132"/>
      <c r="U46" s="132"/>
      <c r="V46" s="132"/>
      <c r="W46" s="132"/>
      <c r="X46" s="132"/>
      <c r="Y46" s="132"/>
      <c r="Z46" s="132"/>
      <c r="AA46" s="132"/>
      <c r="AB46" s="132"/>
      <c r="AC46" s="132"/>
      <c r="AD46" s="132"/>
      <c r="AE46" s="132"/>
      <c r="AF46" s="132"/>
      <c r="AG46" s="132"/>
      <c r="AH46" s="132"/>
      <c r="AI46" s="132"/>
      <c r="AJ46" s="132"/>
      <c r="AK46" s="132"/>
      <c r="AL46" s="132"/>
      <c r="AM46" s="132"/>
      <c r="AN46" s="132"/>
      <c r="AO46" s="132"/>
      <c r="AP46" s="132"/>
      <c r="AQ46" s="132"/>
      <c r="AR46" s="132"/>
      <c r="AS46" s="132"/>
      <c r="AT46" s="132"/>
      <c r="AU46" s="132"/>
      <c r="AV46" s="132"/>
      <c r="AW46" s="133"/>
      <c r="AX46" s="127"/>
      <c r="AY46" s="127"/>
      <c r="AZ46" s="127"/>
      <c r="BA46" s="127"/>
      <c r="BB46" s="127"/>
      <c r="BC46" s="128"/>
      <c r="BD46" s="130"/>
      <c r="BE46" s="127"/>
      <c r="BF46" s="127"/>
      <c r="BG46" s="127"/>
      <c r="BH46" s="127"/>
      <c r="BI46" s="127"/>
      <c r="BJ46" s="128"/>
      <c r="BK46" s="47"/>
    </row>
    <row r="47" spans="1:63" ht="15" customHeight="1" x14ac:dyDescent="0.25">
      <c r="A47" s="46"/>
      <c r="B47" s="78"/>
      <c r="C47" s="79"/>
      <c r="D47" s="79"/>
      <c r="E47" s="79"/>
      <c r="F47" s="79"/>
      <c r="G47" s="80"/>
      <c r="H47" s="78"/>
      <c r="I47" s="79"/>
      <c r="J47" s="79"/>
      <c r="K47" s="79"/>
      <c r="L47" s="79"/>
      <c r="M47" s="79"/>
      <c r="N47" s="80"/>
      <c r="O47" s="78"/>
      <c r="P47" s="79"/>
      <c r="Q47" s="79"/>
      <c r="R47" s="79"/>
      <c r="S47" s="122"/>
      <c r="T47" s="123"/>
      <c r="U47" s="123"/>
      <c r="V47" s="123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  <c r="AS47" s="123"/>
      <c r="AT47" s="123"/>
      <c r="AU47" s="123"/>
      <c r="AV47" s="123"/>
      <c r="AW47" s="124"/>
      <c r="AX47" s="125"/>
      <c r="AY47" s="125"/>
      <c r="AZ47" s="125"/>
      <c r="BA47" s="125"/>
      <c r="BB47" s="125"/>
      <c r="BC47" s="126"/>
      <c r="BD47" s="129"/>
      <c r="BE47" s="125"/>
      <c r="BF47" s="125"/>
      <c r="BG47" s="125"/>
      <c r="BH47" s="125"/>
      <c r="BI47" s="125"/>
      <c r="BJ47" s="126"/>
      <c r="BK47" s="47"/>
    </row>
    <row r="48" spans="1:63" ht="15" customHeight="1" x14ac:dyDescent="0.25">
      <c r="A48" s="46"/>
      <c r="B48" s="81"/>
      <c r="C48" s="82"/>
      <c r="D48" s="82"/>
      <c r="E48" s="82"/>
      <c r="F48" s="82"/>
      <c r="G48" s="83"/>
      <c r="H48" s="81"/>
      <c r="I48" s="82"/>
      <c r="J48" s="82"/>
      <c r="K48" s="82"/>
      <c r="L48" s="82"/>
      <c r="M48" s="82"/>
      <c r="N48" s="83"/>
      <c r="O48" s="81"/>
      <c r="P48" s="82"/>
      <c r="Q48" s="82"/>
      <c r="R48" s="82"/>
      <c r="S48" s="131"/>
      <c r="T48" s="132"/>
      <c r="U48" s="132"/>
      <c r="V48" s="132"/>
      <c r="W48" s="132"/>
      <c r="X48" s="132"/>
      <c r="Y48" s="132"/>
      <c r="Z48" s="132"/>
      <c r="AA48" s="132"/>
      <c r="AB48" s="132"/>
      <c r="AC48" s="132"/>
      <c r="AD48" s="132"/>
      <c r="AE48" s="132"/>
      <c r="AF48" s="132"/>
      <c r="AG48" s="132"/>
      <c r="AH48" s="132"/>
      <c r="AI48" s="132"/>
      <c r="AJ48" s="132"/>
      <c r="AK48" s="132"/>
      <c r="AL48" s="132"/>
      <c r="AM48" s="132"/>
      <c r="AN48" s="132"/>
      <c r="AO48" s="132"/>
      <c r="AP48" s="132"/>
      <c r="AQ48" s="132"/>
      <c r="AR48" s="132"/>
      <c r="AS48" s="132"/>
      <c r="AT48" s="132"/>
      <c r="AU48" s="132"/>
      <c r="AV48" s="132"/>
      <c r="AW48" s="133"/>
      <c r="AX48" s="127"/>
      <c r="AY48" s="127"/>
      <c r="AZ48" s="127"/>
      <c r="BA48" s="127"/>
      <c r="BB48" s="127"/>
      <c r="BC48" s="128"/>
      <c r="BD48" s="130"/>
      <c r="BE48" s="127"/>
      <c r="BF48" s="127"/>
      <c r="BG48" s="127"/>
      <c r="BH48" s="127"/>
      <c r="BI48" s="127"/>
      <c r="BJ48" s="128"/>
      <c r="BK48" s="47"/>
    </row>
    <row r="49" spans="1:63" ht="15" customHeight="1" x14ac:dyDescent="0.25">
      <c r="A49" s="46"/>
      <c r="B49" s="78"/>
      <c r="C49" s="79"/>
      <c r="D49" s="79"/>
      <c r="E49" s="79"/>
      <c r="F49" s="79"/>
      <c r="G49" s="80"/>
      <c r="H49" s="78"/>
      <c r="I49" s="79"/>
      <c r="J49" s="79"/>
      <c r="K49" s="79"/>
      <c r="L49" s="79"/>
      <c r="M49" s="79"/>
      <c r="N49" s="80"/>
      <c r="O49" s="78"/>
      <c r="P49" s="79"/>
      <c r="Q49" s="79"/>
      <c r="R49" s="79"/>
      <c r="S49" s="122"/>
      <c r="T49" s="123"/>
      <c r="U49" s="123"/>
      <c r="V49" s="123"/>
      <c r="W49" s="123"/>
      <c r="X49" s="123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  <c r="AS49" s="123"/>
      <c r="AT49" s="123"/>
      <c r="AU49" s="123"/>
      <c r="AV49" s="123"/>
      <c r="AW49" s="124"/>
      <c r="AX49" s="125"/>
      <c r="AY49" s="125"/>
      <c r="AZ49" s="125"/>
      <c r="BA49" s="125"/>
      <c r="BB49" s="125"/>
      <c r="BC49" s="126"/>
      <c r="BD49" s="129"/>
      <c r="BE49" s="125"/>
      <c r="BF49" s="125"/>
      <c r="BG49" s="125"/>
      <c r="BH49" s="125"/>
      <c r="BI49" s="125"/>
      <c r="BJ49" s="126"/>
      <c r="BK49" s="47"/>
    </row>
    <row r="50" spans="1:63" ht="15" customHeight="1" x14ac:dyDescent="0.25">
      <c r="A50" s="46"/>
      <c r="B50" s="81"/>
      <c r="C50" s="82"/>
      <c r="D50" s="82"/>
      <c r="E50" s="82"/>
      <c r="F50" s="82"/>
      <c r="G50" s="83"/>
      <c r="H50" s="81"/>
      <c r="I50" s="82"/>
      <c r="J50" s="82"/>
      <c r="K50" s="82"/>
      <c r="L50" s="82"/>
      <c r="M50" s="82"/>
      <c r="N50" s="83"/>
      <c r="O50" s="81"/>
      <c r="P50" s="82"/>
      <c r="Q50" s="82"/>
      <c r="R50" s="82"/>
      <c r="S50" s="131"/>
      <c r="T50" s="132"/>
      <c r="U50" s="132"/>
      <c r="V50" s="132"/>
      <c r="W50" s="132"/>
      <c r="X50" s="132"/>
      <c r="Y50" s="132"/>
      <c r="Z50" s="132"/>
      <c r="AA50" s="132"/>
      <c r="AB50" s="132"/>
      <c r="AC50" s="132"/>
      <c r="AD50" s="132"/>
      <c r="AE50" s="132"/>
      <c r="AF50" s="132"/>
      <c r="AG50" s="132"/>
      <c r="AH50" s="132"/>
      <c r="AI50" s="132"/>
      <c r="AJ50" s="132"/>
      <c r="AK50" s="132"/>
      <c r="AL50" s="132"/>
      <c r="AM50" s="132"/>
      <c r="AN50" s="132"/>
      <c r="AO50" s="132"/>
      <c r="AP50" s="132"/>
      <c r="AQ50" s="132"/>
      <c r="AR50" s="132"/>
      <c r="AS50" s="132"/>
      <c r="AT50" s="132"/>
      <c r="AU50" s="132"/>
      <c r="AV50" s="132"/>
      <c r="AW50" s="133"/>
      <c r="AX50" s="127"/>
      <c r="AY50" s="127"/>
      <c r="AZ50" s="127"/>
      <c r="BA50" s="127"/>
      <c r="BB50" s="127"/>
      <c r="BC50" s="128"/>
      <c r="BD50" s="130"/>
      <c r="BE50" s="127"/>
      <c r="BF50" s="127"/>
      <c r="BG50" s="127"/>
      <c r="BH50" s="127"/>
      <c r="BI50" s="127"/>
      <c r="BJ50" s="128"/>
      <c r="BK50" s="47"/>
    </row>
    <row r="51" spans="1:63" ht="15" customHeight="1" x14ac:dyDescent="0.25">
      <c r="A51" s="46"/>
      <c r="B51" s="78"/>
      <c r="C51" s="79"/>
      <c r="D51" s="79"/>
      <c r="E51" s="79"/>
      <c r="F51" s="79"/>
      <c r="G51" s="80"/>
      <c r="H51" s="78"/>
      <c r="I51" s="79"/>
      <c r="J51" s="79"/>
      <c r="K51" s="79"/>
      <c r="L51" s="79"/>
      <c r="M51" s="79"/>
      <c r="N51" s="80"/>
      <c r="O51" s="78"/>
      <c r="P51" s="79"/>
      <c r="Q51" s="79"/>
      <c r="R51" s="79"/>
      <c r="S51" s="122"/>
      <c r="T51" s="123"/>
      <c r="U51" s="123"/>
      <c r="V51" s="123"/>
      <c r="W51" s="123"/>
      <c r="X51" s="123"/>
      <c r="Y51" s="123"/>
      <c r="Z51" s="123"/>
      <c r="AA51" s="123"/>
      <c r="AB51" s="123"/>
      <c r="AC51" s="123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4"/>
      <c r="AX51" s="125"/>
      <c r="AY51" s="125"/>
      <c r="AZ51" s="125"/>
      <c r="BA51" s="125"/>
      <c r="BB51" s="125"/>
      <c r="BC51" s="126"/>
      <c r="BD51" s="129"/>
      <c r="BE51" s="125"/>
      <c r="BF51" s="125"/>
      <c r="BG51" s="125"/>
      <c r="BH51" s="125"/>
      <c r="BI51" s="125"/>
      <c r="BJ51" s="126"/>
      <c r="BK51" s="47"/>
    </row>
    <row r="52" spans="1:63" ht="15" customHeight="1" x14ac:dyDescent="0.25">
      <c r="A52" s="46"/>
      <c r="B52" s="81"/>
      <c r="C52" s="82"/>
      <c r="D52" s="82"/>
      <c r="E52" s="82"/>
      <c r="F52" s="82"/>
      <c r="G52" s="83"/>
      <c r="H52" s="81"/>
      <c r="I52" s="82"/>
      <c r="J52" s="82"/>
      <c r="K52" s="82"/>
      <c r="L52" s="82"/>
      <c r="M52" s="82"/>
      <c r="N52" s="83"/>
      <c r="O52" s="81"/>
      <c r="P52" s="82"/>
      <c r="Q52" s="82"/>
      <c r="R52" s="82"/>
      <c r="S52" s="131"/>
      <c r="T52" s="132"/>
      <c r="U52" s="132"/>
      <c r="V52" s="132"/>
      <c r="W52" s="132"/>
      <c r="X52" s="132"/>
      <c r="Y52" s="132"/>
      <c r="Z52" s="132"/>
      <c r="AA52" s="132"/>
      <c r="AB52" s="132"/>
      <c r="AC52" s="132"/>
      <c r="AD52" s="132"/>
      <c r="AE52" s="132"/>
      <c r="AF52" s="132"/>
      <c r="AG52" s="132"/>
      <c r="AH52" s="132"/>
      <c r="AI52" s="132"/>
      <c r="AJ52" s="132"/>
      <c r="AK52" s="132"/>
      <c r="AL52" s="132"/>
      <c r="AM52" s="132"/>
      <c r="AN52" s="132"/>
      <c r="AO52" s="132"/>
      <c r="AP52" s="132"/>
      <c r="AQ52" s="132"/>
      <c r="AR52" s="132"/>
      <c r="AS52" s="132"/>
      <c r="AT52" s="132"/>
      <c r="AU52" s="132"/>
      <c r="AV52" s="132"/>
      <c r="AW52" s="133"/>
      <c r="AX52" s="127"/>
      <c r="AY52" s="127"/>
      <c r="AZ52" s="127"/>
      <c r="BA52" s="127"/>
      <c r="BB52" s="127"/>
      <c r="BC52" s="128"/>
      <c r="BD52" s="130"/>
      <c r="BE52" s="127"/>
      <c r="BF52" s="127"/>
      <c r="BG52" s="127"/>
      <c r="BH52" s="127"/>
      <c r="BI52" s="127"/>
      <c r="BJ52" s="128"/>
      <c r="BK52" s="47"/>
    </row>
    <row r="53" spans="1:63" ht="15" customHeight="1" x14ac:dyDescent="0.25">
      <c r="A53" s="46"/>
      <c r="B53" s="78"/>
      <c r="C53" s="79"/>
      <c r="D53" s="79"/>
      <c r="E53" s="79"/>
      <c r="F53" s="79"/>
      <c r="G53" s="80"/>
      <c r="H53" s="78"/>
      <c r="I53" s="79"/>
      <c r="J53" s="79"/>
      <c r="K53" s="79"/>
      <c r="L53" s="79"/>
      <c r="M53" s="79"/>
      <c r="N53" s="80"/>
      <c r="O53" s="78"/>
      <c r="P53" s="79"/>
      <c r="Q53" s="79"/>
      <c r="R53" s="79"/>
      <c r="S53" s="122"/>
      <c r="T53" s="123"/>
      <c r="U53" s="123"/>
      <c r="V53" s="123"/>
      <c r="W53" s="123"/>
      <c r="X53" s="123"/>
      <c r="Y53" s="123"/>
      <c r="Z53" s="123"/>
      <c r="AA53" s="123"/>
      <c r="AB53" s="123"/>
      <c r="AC53" s="123"/>
      <c r="AD53" s="123"/>
      <c r="AE53" s="123"/>
      <c r="AF53" s="123"/>
      <c r="AG53" s="123"/>
      <c r="AH53" s="123"/>
      <c r="AI53" s="123"/>
      <c r="AJ53" s="123"/>
      <c r="AK53" s="123"/>
      <c r="AL53" s="123"/>
      <c r="AM53" s="123"/>
      <c r="AN53" s="123"/>
      <c r="AO53" s="123"/>
      <c r="AP53" s="123"/>
      <c r="AQ53" s="123"/>
      <c r="AR53" s="123"/>
      <c r="AS53" s="123"/>
      <c r="AT53" s="123"/>
      <c r="AU53" s="123"/>
      <c r="AV53" s="123"/>
      <c r="AW53" s="124"/>
      <c r="AX53" s="125"/>
      <c r="AY53" s="125"/>
      <c r="AZ53" s="125"/>
      <c r="BA53" s="125"/>
      <c r="BB53" s="125"/>
      <c r="BC53" s="126"/>
      <c r="BD53" s="129"/>
      <c r="BE53" s="125"/>
      <c r="BF53" s="125"/>
      <c r="BG53" s="125"/>
      <c r="BH53" s="125"/>
      <c r="BI53" s="125"/>
      <c r="BJ53" s="126"/>
      <c r="BK53" s="47"/>
    </row>
    <row r="54" spans="1:63" ht="15" customHeight="1" x14ac:dyDescent="0.25">
      <c r="A54" s="46"/>
      <c r="B54" s="81"/>
      <c r="C54" s="82"/>
      <c r="D54" s="82"/>
      <c r="E54" s="82"/>
      <c r="F54" s="82"/>
      <c r="G54" s="83"/>
      <c r="H54" s="81"/>
      <c r="I54" s="82"/>
      <c r="J54" s="82"/>
      <c r="K54" s="82"/>
      <c r="L54" s="82"/>
      <c r="M54" s="82"/>
      <c r="N54" s="83"/>
      <c r="O54" s="81"/>
      <c r="P54" s="82"/>
      <c r="Q54" s="82"/>
      <c r="R54" s="82"/>
      <c r="S54" s="131"/>
      <c r="T54" s="132"/>
      <c r="U54" s="132"/>
      <c r="V54" s="132"/>
      <c r="W54" s="132"/>
      <c r="X54" s="132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2"/>
      <c r="AJ54" s="132"/>
      <c r="AK54" s="132"/>
      <c r="AL54" s="132"/>
      <c r="AM54" s="132"/>
      <c r="AN54" s="132"/>
      <c r="AO54" s="132"/>
      <c r="AP54" s="132"/>
      <c r="AQ54" s="132"/>
      <c r="AR54" s="132"/>
      <c r="AS54" s="132"/>
      <c r="AT54" s="132"/>
      <c r="AU54" s="132"/>
      <c r="AV54" s="132"/>
      <c r="AW54" s="133"/>
      <c r="AX54" s="127"/>
      <c r="AY54" s="127"/>
      <c r="AZ54" s="127"/>
      <c r="BA54" s="127"/>
      <c r="BB54" s="127"/>
      <c r="BC54" s="128"/>
      <c r="BD54" s="130"/>
      <c r="BE54" s="127"/>
      <c r="BF54" s="127"/>
      <c r="BG54" s="127"/>
      <c r="BH54" s="127"/>
      <c r="BI54" s="127"/>
      <c r="BJ54" s="128"/>
      <c r="BK54" s="47"/>
    </row>
    <row r="55" spans="1:63" ht="15" customHeight="1" x14ac:dyDescent="0.25">
      <c r="A55" s="43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5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15C0A-FD96-414A-A284-F33BD64ED033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35" t="s">
        <v>35</v>
      </c>
      <c r="B1" s="136"/>
      <c r="C1" s="136"/>
      <c r="D1" s="136"/>
      <c r="E1" s="136"/>
      <c r="F1" s="136"/>
      <c r="G1" s="136"/>
      <c r="H1" s="136"/>
      <c r="I1" s="136"/>
      <c r="J1" s="137"/>
      <c r="K1" s="135" t="s">
        <v>36</v>
      </c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7"/>
      <c r="W1" s="148" t="str">
        <f>IF(表紙!W1="","",表紙!W1)</f>
        <v>詳細設計書</v>
      </c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  <c r="AM1" s="149"/>
      <c r="AN1" s="149"/>
      <c r="AO1" s="150"/>
      <c r="AP1" s="75" t="s">
        <v>38</v>
      </c>
      <c r="AQ1" s="76"/>
      <c r="AR1" s="76"/>
      <c r="AS1" s="77"/>
      <c r="AT1" s="75" t="s">
        <v>39</v>
      </c>
      <c r="AU1" s="76"/>
      <c r="AV1" s="76"/>
      <c r="AW1" s="76"/>
      <c r="AX1" s="77"/>
      <c r="AY1" s="75" t="s">
        <v>40</v>
      </c>
      <c r="AZ1" s="76"/>
      <c r="BA1" s="76"/>
      <c r="BB1" s="77"/>
      <c r="BC1" s="75" t="s">
        <v>41</v>
      </c>
      <c r="BD1" s="76"/>
      <c r="BE1" s="76"/>
      <c r="BF1" s="76"/>
      <c r="BG1" s="77"/>
      <c r="BH1" s="75" t="s">
        <v>42</v>
      </c>
      <c r="BI1" s="76"/>
      <c r="BJ1" s="76"/>
      <c r="BK1" s="77"/>
    </row>
    <row r="2" spans="1:63" ht="15" customHeight="1" x14ac:dyDescent="0.25">
      <c r="A2" s="142" t="str">
        <f>IF(表紙!A2="","",表紙!A2)</f>
        <v>POSサーバー</v>
      </c>
      <c r="B2" s="143"/>
      <c r="C2" s="143"/>
      <c r="D2" s="143"/>
      <c r="E2" s="143"/>
      <c r="F2" s="143"/>
      <c r="G2" s="143"/>
      <c r="H2" s="143"/>
      <c r="I2" s="143"/>
      <c r="J2" s="144"/>
      <c r="K2" s="142" t="str">
        <f>IF(表紙!K2="","",表紙!K2)</f>
        <v>POSサーバー</v>
      </c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4"/>
      <c r="W2" s="151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3"/>
      <c r="AP2" s="78" t="str">
        <f>IF(表紙!AP2="","",表紙!AP2)</f>
        <v>DuNT</v>
      </c>
      <c r="AQ2" s="79"/>
      <c r="AR2" s="79"/>
      <c r="AS2" s="80"/>
      <c r="AT2" s="106">
        <f>IF(表紙!AT2="","",表紙!AT2)</f>
        <v>45455</v>
      </c>
      <c r="AU2" s="107"/>
      <c r="AV2" s="107"/>
      <c r="AW2" s="107"/>
      <c r="AX2" s="108"/>
      <c r="AY2" s="78" t="str">
        <f>IF(表紙!AY2="","",表紙!AY2)</f>
        <v>DuNT</v>
      </c>
      <c r="AZ2" s="79"/>
      <c r="BA2" s="79"/>
      <c r="BB2" s="80"/>
      <c r="BC2" s="106">
        <f>IF(表紙!BC2="","",表紙!BC2)</f>
        <v>45455</v>
      </c>
      <c r="BD2" s="107"/>
      <c r="BE2" s="107"/>
      <c r="BF2" s="107"/>
      <c r="BG2" s="108"/>
      <c r="BH2" s="78">
        <f>IF(表紙!BH2="","",表紙!BH2)</f>
        <v>0.1</v>
      </c>
      <c r="BI2" s="79"/>
      <c r="BJ2" s="79"/>
      <c r="BK2" s="80"/>
    </row>
    <row r="3" spans="1:63" ht="15" customHeight="1" x14ac:dyDescent="0.25">
      <c r="A3" s="145"/>
      <c r="B3" s="146"/>
      <c r="C3" s="146"/>
      <c r="D3" s="146"/>
      <c r="E3" s="146"/>
      <c r="F3" s="146"/>
      <c r="G3" s="146"/>
      <c r="H3" s="146"/>
      <c r="I3" s="146"/>
      <c r="J3" s="147"/>
      <c r="K3" s="145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7"/>
      <c r="W3" s="154"/>
      <c r="X3" s="155"/>
      <c r="Y3" s="155"/>
      <c r="Z3" s="155"/>
      <c r="AA3" s="155"/>
      <c r="AB3" s="155"/>
      <c r="AC3" s="155"/>
      <c r="AD3" s="155"/>
      <c r="AE3" s="155"/>
      <c r="AF3" s="155"/>
      <c r="AG3" s="155"/>
      <c r="AH3" s="155"/>
      <c r="AI3" s="155"/>
      <c r="AJ3" s="155"/>
      <c r="AK3" s="155"/>
      <c r="AL3" s="155"/>
      <c r="AM3" s="155"/>
      <c r="AN3" s="155"/>
      <c r="AO3" s="156"/>
      <c r="AP3" s="81"/>
      <c r="AQ3" s="82"/>
      <c r="AR3" s="82"/>
      <c r="AS3" s="83"/>
      <c r="AT3" s="109"/>
      <c r="AU3" s="110"/>
      <c r="AV3" s="110"/>
      <c r="AW3" s="110"/>
      <c r="AX3" s="111"/>
      <c r="AY3" s="81"/>
      <c r="AZ3" s="82"/>
      <c r="BA3" s="82"/>
      <c r="BB3" s="83"/>
      <c r="BC3" s="109"/>
      <c r="BD3" s="110"/>
      <c r="BE3" s="110"/>
      <c r="BF3" s="110"/>
      <c r="BG3" s="111"/>
      <c r="BH3" s="81"/>
      <c r="BI3" s="82"/>
      <c r="BJ3" s="82"/>
      <c r="BK3" s="83"/>
    </row>
    <row r="4" spans="1:63" ht="24.95" customHeight="1" x14ac:dyDescent="0.25">
      <c r="A4" s="135" t="s">
        <v>44</v>
      </c>
      <c r="B4" s="136"/>
      <c r="C4" s="136"/>
      <c r="D4" s="136"/>
      <c r="E4" s="136"/>
      <c r="F4" s="136"/>
      <c r="G4" s="137"/>
      <c r="H4" s="138" t="str">
        <f>IF(表紙!H4="","",表紙!H4)</f>
        <v>API_AP0401</v>
      </c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40"/>
      <c r="U4" s="135" t="s">
        <v>45</v>
      </c>
      <c r="V4" s="136"/>
      <c r="W4" s="136"/>
      <c r="X4" s="136"/>
      <c r="Y4" s="137"/>
      <c r="Z4" s="138" t="str">
        <f>IF(表紙!Z4="","",表紙!Z4)</f>
        <v>API設計書</v>
      </c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40"/>
      <c r="AP4" s="141" t="str">
        <f ca="1">MID(CELL("filename",A1),FIND("]",CELL("filename",A1))+1,255)</f>
        <v>処理フロー凡例</v>
      </c>
      <c r="AQ4" s="139"/>
      <c r="AR4" s="139"/>
      <c r="AS4" s="139"/>
      <c r="AT4" s="139"/>
      <c r="AU4" s="139"/>
      <c r="AV4" s="139"/>
      <c r="AW4" s="139"/>
      <c r="AX4" s="139"/>
      <c r="AY4" s="139"/>
      <c r="AZ4" s="139"/>
      <c r="BA4" s="139"/>
      <c r="BB4" s="139"/>
      <c r="BC4" s="139"/>
      <c r="BD4" s="139"/>
      <c r="BE4" s="139"/>
      <c r="BF4" s="139"/>
      <c r="BG4" s="139"/>
      <c r="BH4" s="139"/>
      <c r="BI4" s="139"/>
      <c r="BJ4" s="139"/>
      <c r="BK4" s="140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42" customFormat="1" ht="15" customHeight="1" x14ac:dyDescent="0.25">
      <c r="A7" s="58"/>
      <c r="B7" s="59" t="s">
        <v>52</v>
      </c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1"/>
      <c r="AF7" s="62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1"/>
      <c r="BJ7" s="60"/>
      <c r="BK7" s="63"/>
    </row>
    <row r="8" spans="1:63" s="64" customFormat="1" ht="15" customHeight="1" x14ac:dyDescent="0.25">
      <c r="BK8" s="63"/>
    </row>
    <row r="9" spans="1:63" s="64" customFormat="1" ht="15" customHeight="1" x14ac:dyDescent="0.25">
      <c r="BK9" s="63"/>
    </row>
    <row r="10" spans="1:63" s="64" customFormat="1" ht="15" customHeight="1" x14ac:dyDescent="0.25">
      <c r="BK10" s="63"/>
    </row>
    <row r="11" spans="1:63" s="64" customFormat="1" ht="15" customHeight="1" x14ac:dyDescent="0.25">
      <c r="BK11" s="63"/>
    </row>
    <row r="12" spans="1:63" s="64" customFormat="1" ht="15" customHeight="1" x14ac:dyDescent="0.25">
      <c r="BK12" s="63"/>
    </row>
    <row r="13" spans="1:63" s="64" customFormat="1" ht="15" customHeight="1" x14ac:dyDescent="0.25">
      <c r="BK13" s="63"/>
    </row>
    <row r="14" spans="1:63" s="64" customFormat="1" ht="15" customHeight="1" x14ac:dyDescent="0.25">
      <c r="BK14" s="63"/>
    </row>
    <row r="15" spans="1:63" s="64" customFormat="1" ht="15" customHeight="1" x14ac:dyDescent="0.25">
      <c r="BK15" s="63"/>
    </row>
    <row r="16" spans="1:63" s="64" customFormat="1" ht="15" customHeight="1" x14ac:dyDescent="0.25">
      <c r="BK16" s="63"/>
    </row>
    <row r="17" spans="63:63" s="64" customFormat="1" ht="15" customHeight="1" x14ac:dyDescent="0.25">
      <c r="BK17" s="63"/>
    </row>
    <row r="18" spans="63:63" s="64" customFormat="1" ht="15" customHeight="1" x14ac:dyDescent="0.25">
      <c r="BK18" s="63"/>
    </row>
    <row r="19" spans="63:63" s="64" customFormat="1" ht="15" customHeight="1" x14ac:dyDescent="0.25">
      <c r="BK19" s="63"/>
    </row>
    <row r="20" spans="63:63" s="64" customFormat="1" ht="15" customHeight="1" x14ac:dyDescent="0.25">
      <c r="BK20" s="63"/>
    </row>
    <row r="21" spans="63:63" s="64" customFormat="1" ht="15" customHeight="1" x14ac:dyDescent="0.25">
      <c r="BK21" s="63"/>
    </row>
    <row r="22" spans="63:63" s="64" customFormat="1" ht="15" customHeight="1" x14ac:dyDescent="0.25">
      <c r="BK22" s="63"/>
    </row>
    <row r="23" spans="63:63" s="64" customFormat="1" ht="15" customHeight="1" x14ac:dyDescent="0.25">
      <c r="BK23" s="63"/>
    </row>
    <row r="24" spans="63:63" s="64" customFormat="1" ht="15" customHeight="1" x14ac:dyDescent="0.25">
      <c r="BK24" s="63"/>
    </row>
    <row r="25" spans="63:63" s="64" customFormat="1" ht="15" customHeight="1" x14ac:dyDescent="0.25">
      <c r="BK25" s="63"/>
    </row>
    <row r="26" spans="63:63" s="64" customFormat="1" ht="15" customHeight="1" x14ac:dyDescent="0.25">
      <c r="BK26" s="63"/>
    </row>
    <row r="27" spans="63:63" s="64" customFormat="1" ht="15" customHeight="1" x14ac:dyDescent="0.25">
      <c r="BK27" s="63"/>
    </row>
    <row r="28" spans="63:63" s="64" customFormat="1" ht="15" customHeight="1" x14ac:dyDescent="0.25">
      <c r="BK28" s="63"/>
    </row>
    <row r="29" spans="63:63" s="64" customFormat="1" ht="15" customHeight="1" x14ac:dyDescent="0.25">
      <c r="BK29" s="63"/>
    </row>
    <row r="30" spans="63:63" s="64" customFormat="1" ht="15" customHeight="1" x14ac:dyDescent="0.25">
      <c r="BK30" s="63"/>
    </row>
    <row r="31" spans="63:63" s="64" customFormat="1" ht="15" customHeight="1" x14ac:dyDescent="0.25">
      <c r="BK31" s="63"/>
    </row>
    <row r="32" spans="63:63" s="64" customFormat="1" ht="15" customHeight="1" x14ac:dyDescent="0.25">
      <c r="BK32" s="63"/>
    </row>
    <row r="33" spans="63:63" s="64" customFormat="1" ht="15" customHeight="1" x14ac:dyDescent="0.25">
      <c r="BK33" s="63"/>
    </row>
    <row r="34" spans="63:63" s="64" customFormat="1" ht="15" customHeight="1" x14ac:dyDescent="0.25">
      <c r="BK34" s="63"/>
    </row>
    <row r="35" spans="63:63" s="64" customFormat="1" ht="15" customHeight="1" x14ac:dyDescent="0.25">
      <c r="BK35" s="63"/>
    </row>
    <row r="36" spans="63:63" s="64" customFormat="1" ht="15" customHeight="1" x14ac:dyDescent="0.25">
      <c r="BK36" s="63"/>
    </row>
    <row r="37" spans="63:63" s="64" customFormat="1" ht="15" customHeight="1" x14ac:dyDescent="0.25">
      <c r="BK37" s="63"/>
    </row>
    <row r="38" spans="63:63" s="64" customFormat="1" ht="15" customHeight="1" x14ac:dyDescent="0.25">
      <c r="BK38" s="63"/>
    </row>
    <row r="39" spans="63:63" s="64" customFormat="1" ht="15" customHeight="1" x14ac:dyDescent="0.25">
      <c r="BK39" s="63"/>
    </row>
    <row r="40" spans="63:63" s="64" customFormat="1" ht="15" customHeight="1" x14ac:dyDescent="0.25">
      <c r="BK40" s="63"/>
    </row>
    <row r="41" spans="63:63" s="64" customFormat="1" ht="15" customHeight="1" x14ac:dyDescent="0.25">
      <c r="BK41" s="63"/>
    </row>
    <row r="42" spans="63:63" s="64" customFormat="1" ht="15" customHeight="1" x14ac:dyDescent="0.25">
      <c r="BK42" s="63"/>
    </row>
    <row r="43" spans="63:63" s="64" customFormat="1" ht="15" customHeight="1" x14ac:dyDescent="0.25">
      <c r="BK43" s="63"/>
    </row>
    <row r="44" spans="63:63" s="64" customFormat="1" ht="15" customHeight="1" x14ac:dyDescent="0.25">
      <c r="BK44" s="63"/>
    </row>
    <row r="45" spans="63:63" s="64" customFormat="1" ht="15" customHeight="1" x14ac:dyDescent="0.25">
      <c r="BK45" s="63"/>
    </row>
    <row r="46" spans="63:63" s="64" customFormat="1" ht="15" customHeight="1" x14ac:dyDescent="0.25">
      <c r="BK46" s="63"/>
    </row>
    <row r="47" spans="63:63" x14ac:dyDescent="0.25">
      <c r="BK47" s="5"/>
    </row>
    <row r="48" spans="63:63" x14ac:dyDescent="0.25">
      <c r="BK48" s="5"/>
    </row>
    <row r="49" spans="1:63" x14ac:dyDescent="0.25">
      <c r="BK49" s="5"/>
    </row>
    <row r="50" spans="1:63" x14ac:dyDescent="0.25">
      <c r="BK50" s="5"/>
    </row>
    <row r="51" spans="1:63" x14ac:dyDescent="0.25">
      <c r="BK51" s="5"/>
    </row>
    <row r="52" spans="1:63" x14ac:dyDescent="0.25">
      <c r="BK52" s="5"/>
    </row>
    <row r="53" spans="1:63" x14ac:dyDescent="0.25">
      <c r="BK53" s="5"/>
    </row>
    <row r="54" spans="1:63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63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35" t="s">
        <v>35</v>
      </c>
      <c r="B1" s="136"/>
      <c r="C1" s="136"/>
      <c r="D1" s="136"/>
      <c r="E1" s="136"/>
      <c r="F1" s="136"/>
      <c r="G1" s="136"/>
      <c r="H1" s="136"/>
      <c r="I1" s="136"/>
      <c r="J1" s="137"/>
      <c r="K1" s="135" t="s">
        <v>36</v>
      </c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7"/>
      <c r="W1" s="148" t="str">
        <f>IF(表紙!W1="","",表紙!W1)</f>
        <v>詳細設計書</v>
      </c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  <c r="AM1" s="149"/>
      <c r="AN1" s="149"/>
      <c r="AO1" s="150"/>
      <c r="AP1" s="75" t="s">
        <v>38</v>
      </c>
      <c r="AQ1" s="76"/>
      <c r="AR1" s="76"/>
      <c r="AS1" s="77"/>
      <c r="AT1" s="75" t="s">
        <v>39</v>
      </c>
      <c r="AU1" s="76"/>
      <c r="AV1" s="76"/>
      <c r="AW1" s="76"/>
      <c r="AX1" s="77"/>
      <c r="AY1" s="75" t="s">
        <v>40</v>
      </c>
      <c r="AZ1" s="76"/>
      <c r="BA1" s="76"/>
      <c r="BB1" s="77"/>
      <c r="BC1" s="75" t="s">
        <v>41</v>
      </c>
      <c r="BD1" s="76"/>
      <c r="BE1" s="76"/>
      <c r="BF1" s="76"/>
      <c r="BG1" s="77"/>
      <c r="BH1" s="75" t="s">
        <v>42</v>
      </c>
      <c r="BI1" s="76"/>
      <c r="BJ1" s="76"/>
      <c r="BK1" s="77"/>
    </row>
    <row r="2" spans="1:63" ht="15" customHeight="1" x14ac:dyDescent="0.25">
      <c r="A2" s="142" t="str">
        <f>IF(表紙!A2="","",表紙!A2)</f>
        <v>POSサーバー</v>
      </c>
      <c r="B2" s="143"/>
      <c r="C2" s="143"/>
      <c r="D2" s="143"/>
      <c r="E2" s="143"/>
      <c r="F2" s="143"/>
      <c r="G2" s="143"/>
      <c r="H2" s="143"/>
      <c r="I2" s="143"/>
      <c r="J2" s="144"/>
      <c r="K2" s="142" t="str">
        <f>IF(表紙!K2="","",表紙!K2)</f>
        <v>POSサーバー</v>
      </c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4"/>
      <c r="W2" s="151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3"/>
      <c r="AP2" s="78" t="str">
        <f>IF(表紙!AP2="","",表紙!AP2)</f>
        <v>DuNT</v>
      </c>
      <c r="AQ2" s="79"/>
      <c r="AR2" s="79"/>
      <c r="AS2" s="80"/>
      <c r="AT2" s="106">
        <f>IF(表紙!AT2="","",表紙!AT2)</f>
        <v>45455</v>
      </c>
      <c r="AU2" s="107"/>
      <c r="AV2" s="107"/>
      <c r="AW2" s="107"/>
      <c r="AX2" s="108"/>
      <c r="AY2" s="78" t="str">
        <f>IF(表紙!AY2="","",表紙!AY2)</f>
        <v>DuNT</v>
      </c>
      <c r="AZ2" s="79"/>
      <c r="BA2" s="79"/>
      <c r="BB2" s="80"/>
      <c r="BC2" s="106">
        <f>IF(表紙!BC2="","",表紙!BC2)</f>
        <v>45455</v>
      </c>
      <c r="BD2" s="107"/>
      <c r="BE2" s="107"/>
      <c r="BF2" s="107"/>
      <c r="BG2" s="108"/>
      <c r="BH2" s="78">
        <f>IF(表紙!BH2="","",表紙!BH2)</f>
        <v>0.1</v>
      </c>
      <c r="BI2" s="79"/>
      <c r="BJ2" s="79"/>
      <c r="BK2" s="80"/>
    </row>
    <row r="3" spans="1:63" ht="15" customHeight="1" x14ac:dyDescent="0.25">
      <c r="A3" s="145"/>
      <c r="B3" s="146"/>
      <c r="C3" s="146"/>
      <c r="D3" s="146"/>
      <c r="E3" s="146"/>
      <c r="F3" s="146"/>
      <c r="G3" s="146"/>
      <c r="H3" s="146"/>
      <c r="I3" s="146"/>
      <c r="J3" s="147"/>
      <c r="K3" s="145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7"/>
      <c r="W3" s="154"/>
      <c r="X3" s="155"/>
      <c r="Y3" s="155"/>
      <c r="Z3" s="155"/>
      <c r="AA3" s="155"/>
      <c r="AB3" s="155"/>
      <c r="AC3" s="155"/>
      <c r="AD3" s="155"/>
      <c r="AE3" s="155"/>
      <c r="AF3" s="155"/>
      <c r="AG3" s="155"/>
      <c r="AH3" s="155"/>
      <c r="AI3" s="155"/>
      <c r="AJ3" s="155"/>
      <c r="AK3" s="155"/>
      <c r="AL3" s="155"/>
      <c r="AM3" s="155"/>
      <c r="AN3" s="155"/>
      <c r="AO3" s="156"/>
      <c r="AP3" s="81"/>
      <c r="AQ3" s="82"/>
      <c r="AR3" s="82"/>
      <c r="AS3" s="83"/>
      <c r="AT3" s="109"/>
      <c r="AU3" s="110"/>
      <c r="AV3" s="110"/>
      <c r="AW3" s="110"/>
      <c r="AX3" s="111"/>
      <c r="AY3" s="81"/>
      <c r="AZ3" s="82"/>
      <c r="BA3" s="82"/>
      <c r="BB3" s="83"/>
      <c r="BC3" s="109"/>
      <c r="BD3" s="110"/>
      <c r="BE3" s="110"/>
      <c r="BF3" s="110"/>
      <c r="BG3" s="111"/>
      <c r="BH3" s="81"/>
      <c r="BI3" s="82"/>
      <c r="BJ3" s="82"/>
      <c r="BK3" s="83"/>
    </row>
    <row r="4" spans="1:63" ht="24.95" customHeight="1" x14ac:dyDescent="0.25">
      <c r="A4" s="135" t="s">
        <v>44</v>
      </c>
      <c r="B4" s="136"/>
      <c r="C4" s="136"/>
      <c r="D4" s="136"/>
      <c r="E4" s="136"/>
      <c r="F4" s="136"/>
      <c r="G4" s="137"/>
      <c r="H4" s="138" t="str">
        <f>IF(表紙!H4="","",表紙!H4)</f>
        <v>API_AP0401</v>
      </c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40"/>
      <c r="U4" s="135" t="s">
        <v>45</v>
      </c>
      <c r="V4" s="136"/>
      <c r="W4" s="136"/>
      <c r="X4" s="136"/>
      <c r="Y4" s="137"/>
      <c r="Z4" s="138" t="str">
        <f>IF(表紙!Z4="","",表紙!Z4)</f>
        <v>API設計書</v>
      </c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40"/>
      <c r="AP4" s="141" t="str">
        <f ca="1">MID(CELL("filename",A1),FIND("]",CELL("filename",A1))+1,255)</f>
        <v>AP0401</v>
      </c>
      <c r="AQ4" s="139"/>
      <c r="AR4" s="139"/>
      <c r="AS4" s="139"/>
      <c r="AT4" s="139"/>
      <c r="AU4" s="139"/>
      <c r="AV4" s="139"/>
      <c r="AW4" s="139"/>
      <c r="AX4" s="139"/>
      <c r="AY4" s="139"/>
      <c r="AZ4" s="139"/>
      <c r="BA4" s="139"/>
      <c r="BB4" s="139"/>
      <c r="BC4" s="139"/>
      <c r="BD4" s="139"/>
      <c r="BE4" s="139"/>
      <c r="BF4" s="139"/>
      <c r="BG4" s="139"/>
      <c r="BH4" s="139"/>
      <c r="BI4" s="139"/>
      <c r="BJ4" s="139"/>
      <c r="BK4" s="140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20" customFormat="1" ht="15" customHeight="1" x14ac:dyDescent="0.25">
      <c r="A7" s="15"/>
      <c r="B7" s="16" t="s">
        <v>53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65"/>
      <c r="AQ7" s="65"/>
      <c r="AR7" s="65"/>
      <c r="AS7" s="65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8"/>
      <c r="BI7" s="18"/>
      <c r="BJ7" s="18"/>
      <c r="BK7" s="19"/>
    </row>
    <row r="8" spans="1:63" s="20" customFormat="1" ht="15" customHeight="1" x14ac:dyDescent="0.25">
      <c r="A8" s="15"/>
      <c r="B8" s="21"/>
      <c r="C8" s="21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66"/>
      <c r="AQ8" s="66"/>
      <c r="AR8" s="66"/>
      <c r="AS8" s="66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9"/>
      <c r="BI8" s="9"/>
      <c r="BJ8" s="9"/>
      <c r="BK8" s="19"/>
    </row>
    <row r="9" spans="1:63" s="20" customFormat="1" ht="15" customHeight="1" x14ac:dyDescent="0.25">
      <c r="A9" s="15"/>
      <c r="B9" s="21"/>
      <c r="C9" s="22" t="s">
        <v>54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66"/>
      <c r="AQ9" s="66"/>
      <c r="AR9" s="66"/>
      <c r="AS9" s="66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9"/>
      <c r="BI9" s="9"/>
      <c r="BJ9" s="9"/>
      <c r="BK9" s="19"/>
    </row>
    <row r="10" spans="1:63" s="20" customFormat="1" ht="15" customHeight="1" x14ac:dyDescent="0.25">
      <c r="A10" s="15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66"/>
      <c r="AQ10" s="66"/>
      <c r="AR10" s="66"/>
      <c r="AS10" s="66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9"/>
      <c r="BI10" s="9"/>
      <c r="BJ10" s="9"/>
      <c r="BK10" s="19"/>
    </row>
    <row r="11" spans="1:63" s="20" customFormat="1" ht="15" customHeight="1" x14ac:dyDescent="0.25">
      <c r="A11" s="15"/>
      <c r="B11" s="24" t="s">
        <v>55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8"/>
      <c r="BI11" s="18"/>
      <c r="BJ11" s="18"/>
      <c r="BK11" s="19"/>
    </row>
    <row r="12" spans="1:63" s="20" customFormat="1" ht="15" customHeight="1" x14ac:dyDescent="0.25">
      <c r="A12" s="15"/>
      <c r="B12" s="23"/>
      <c r="C12" s="25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9"/>
      <c r="BI12" s="9"/>
      <c r="BJ12" s="9"/>
      <c r="BK12" s="19"/>
    </row>
    <row r="13" spans="1:63" s="20" customFormat="1" ht="15" customHeight="1" x14ac:dyDescent="0.25">
      <c r="A13" s="15"/>
      <c r="B13" s="23"/>
      <c r="C13" s="25" t="s">
        <v>56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9"/>
      <c r="BI13" s="9"/>
      <c r="BJ13" s="9"/>
      <c r="BK13" s="19"/>
    </row>
    <row r="14" spans="1:63" s="20" customFormat="1" ht="15" customHeight="1" x14ac:dyDescent="0.25">
      <c r="A14" s="15"/>
      <c r="B14" s="23"/>
      <c r="C14" s="21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9"/>
      <c r="BI14" s="9"/>
      <c r="BJ14" s="9"/>
      <c r="BK14" s="19"/>
    </row>
    <row r="15" spans="1:63" s="20" customFormat="1" ht="15" customHeight="1" x14ac:dyDescent="0.25">
      <c r="A15" s="15"/>
      <c r="B15" s="23"/>
      <c r="C15" s="167" t="s">
        <v>12</v>
      </c>
      <c r="D15" s="168"/>
      <c r="E15" s="167" t="s">
        <v>16</v>
      </c>
      <c r="F15" s="171"/>
      <c r="G15" s="171"/>
      <c r="H15" s="171"/>
      <c r="I15" s="171"/>
      <c r="J15" s="171"/>
      <c r="K15" s="171"/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171"/>
      <c r="Y15" s="171"/>
      <c r="Z15" s="171"/>
      <c r="AA15" s="171"/>
      <c r="AB15" s="171"/>
      <c r="AC15" s="171"/>
      <c r="AD15" s="171"/>
      <c r="AE15" s="171"/>
      <c r="AF15" s="168"/>
      <c r="AG15" s="167" t="s">
        <v>17</v>
      </c>
      <c r="AH15" s="171"/>
      <c r="AI15" s="171"/>
      <c r="AJ15" s="171"/>
      <c r="AK15" s="171"/>
      <c r="AL15" s="171"/>
      <c r="AM15" s="171"/>
      <c r="AN15" s="171"/>
      <c r="AO15" s="171"/>
      <c r="AP15" s="168"/>
      <c r="AQ15" s="167" t="s">
        <v>18</v>
      </c>
      <c r="AR15" s="171"/>
      <c r="AS15" s="171"/>
      <c r="AT15" s="171"/>
      <c r="AU15" s="171"/>
      <c r="AV15" s="171"/>
      <c r="AW15" s="171"/>
      <c r="AX15" s="171"/>
      <c r="AY15" s="171"/>
      <c r="AZ15" s="171"/>
      <c r="BA15" s="171"/>
      <c r="BB15" s="171"/>
      <c r="BC15" s="171"/>
      <c r="BD15" s="171"/>
      <c r="BE15" s="171"/>
      <c r="BF15" s="171"/>
      <c r="BG15" s="171"/>
      <c r="BH15" s="171"/>
      <c r="BI15" s="171"/>
      <c r="BJ15" s="168"/>
      <c r="BK15" s="19"/>
    </row>
    <row r="16" spans="1:63" s="20" customFormat="1" ht="15" customHeight="1" x14ac:dyDescent="0.25">
      <c r="A16" s="15"/>
      <c r="B16" s="23"/>
      <c r="C16" s="169">
        <v>1</v>
      </c>
      <c r="D16" s="170"/>
      <c r="E16" s="172" t="s">
        <v>31</v>
      </c>
      <c r="F16" s="173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3"/>
      <c r="U16" s="173"/>
      <c r="V16" s="173"/>
      <c r="W16" s="173"/>
      <c r="X16" s="173"/>
      <c r="Y16" s="173"/>
      <c r="Z16" s="173"/>
      <c r="AA16" s="173"/>
      <c r="AB16" s="173"/>
      <c r="AC16" s="173"/>
      <c r="AD16" s="173"/>
      <c r="AE16" s="173"/>
      <c r="AF16" s="174"/>
      <c r="AG16" s="169" t="s">
        <v>32</v>
      </c>
      <c r="AH16" s="187"/>
      <c r="AI16" s="187"/>
      <c r="AJ16" s="187"/>
      <c r="AK16" s="187"/>
      <c r="AL16" s="187"/>
      <c r="AM16" s="187"/>
      <c r="AN16" s="187"/>
      <c r="AO16" s="187"/>
      <c r="AP16" s="170"/>
      <c r="AQ16" s="191"/>
      <c r="AR16" s="192"/>
      <c r="AS16" s="192"/>
      <c r="AT16" s="192"/>
      <c r="AU16" s="192"/>
      <c r="AV16" s="192"/>
      <c r="AW16" s="192"/>
      <c r="AX16" s="192"/>
      <c r="AY16" s="192"/>
      <c r="AZ16" s="192"/>
      <c r="BA16" s="192"/>
      <c r="BB16" s="192"/>
      <c r="BC16" s="192"/>
      <c r="BD16" s="192"/>
      <c r="BE16" s="192"/>
      <c r="BF16" s="192"/>
      <c r="BG16" s="192"/>
      <c r="BH16" s="192"/>
      <c r="BI16" s="192"/>
      <c r="BJ16" s="193"/>
      <c r="BK16" s="19"/>
    </row>
    <row r="17" spans="1:63" s="20" customFormat="1" ht="15" customHeight="1" x14ac:dyDescent="0.25">
      <c r="A17" s="15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9"/>
      <c r="BI17" s="9"/>
      <c r="BJ17" s="9"/>
      <c r="BK17" s="19"/>
    </row>
    <row r="18" spans="1:63" s="20" customFormat="1" ht="15" customHeight="1" x14ac:dyDescent="0.25">
      <c r="A18" s="15"/>
      <c r="B18" s="23"/>
      <c r="C18" s="25" t="s">
        <v>57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9"/>
      <c r="BI18" s="9"/>
      <c r="BJ18" s="9"/>
      <c r="BK18" s="19"/>
    </row>
    <row r="19" spans="1:63" s="20" customFormat="1" ht="15" customHeight="1" x14ac:dyDescent="0.25">
      <c r="A19" s="15"/>
      <c r="B19" s="23"/>
      <c r="C19" s="25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9"/>
      <c r="BI19" s="9"/>
      <c r="BJ19" s="9"/>
      <c r="BK19" s="19"/>
    </row>
    <row r="20" spans="1:63" s="20" customFormat="1" ht="15" customHeight="1" x14ac:dyDescent="0.25">
      <c r="A20" s="15"/>
      <c r="B20" s="23"/>
      <c r="C20" s="175" t="s">
        <v>58</v>
      </c>
      <c r="D20" s="177"/>
      <c r="E20" s="175" t="s">
        <v>59</v>
      </c>
      <c r="F20" s="176"/>
      <c r="G20" s="176"/>
      <c r="H20" s="176"/>
      <c r="I20" s="176"/>
      <c r="J20" s="176"/>
      <c r="K20" s="177"/>
      <c r="L20" s="167" t="s">
        <v>19</v>
      </c>
      <c r="M20" s="171"/>
      <c r="N20" s="168"/>
      <c r="O20" s="167" t="s">
        <v>20</v>
      </c>
      <c r="P20" s="171"/>
      <c r="Q20" s="171"/>
      <c r="R20" s="168"/>
      <c r="S20" s="167" t="s">
        <v>21</v>
      </c>
      <c r="T20" s="171"/>
      <c r="U20" s="171"/>
      <c r="V20" s="171"/>
      <c r="W20" s="171"/>
      <c r="X20" s="171"/>
      <c r="Y20" s="168"/>
      <c r="Z20" s="175" t="s">
        <v>60</v>
      </c>
      <c r="AA20" s="176"/>
      <c r="AB20" s="176"/>
      <c r="AC20" s="176"/>
      <c r="AD20" s="176"/>
      <c r="AE20" s="176"/>
      <c r="AF20" s="176"/>
      <c r="AG20" s="176"/>
      <c r="AH20" s="176"/>
      <c r="AI20" s="176"/>
      <c r="AJ20" s="176"/>
      <c r="AK20" s="176"/>
      <c r="AL20" s="176"/>
      <c r="AM20" s="176"/>
      <c r="AN20" s="176"/>
      <c r="AO20" s="176"/>
      <c r="AP20" s="177"/>
      <c r="AQ20" s="167" t="s">
        <v>18</v>
      </c>
      <c r="AR20" s="171"/>
      <c r="AS20" s="171"/>
      <c r="AT20" s="171"/>
      <c r="AU20" s="171"/>
      <c r="AV20" s="171"/>
      <c r="AW20" s="171"/>
      <c r="AX20" s="171"/>
      <c r="AY20" s="171"/>
      <c r="AZ20" s="171"/>
      <c r="BA20" s="171"/>
      <c r="BB20" s="171"/>
      <c r="BC20" s="171"/>
      <c r="BD20" s="171"/>
      <c r="BE20" s="171"/>
      <c r="BF20" s="171"/>
      <c r="BG20" s="171"/>
      <c r="BH20" s="171"/>
      <c r="BI20" s="171"/>
      <c r="BJ20" s="168"/>
      <c r="BK20" s="19"/>
    </row>
    <row r="21" spans="1:63" s="20" customFormat="1" ht="15" customHeight="1" x14ac:dyDescent="0.25">
      <c r="A21" s="15"/>
      <c r="B21" s="23"/>
      <c r="C21" s="169">
        <v>1</v>
      </c>
      <c r="D21" s="170"/>
      <c r="E21" s="188" t="s">
        <v>3</v>
      </c>
      <c r="F21" s="189"/>
      <c r="G21" s="189"/>
      <c r="H21" s="189"/>
      <c r="I21" s="189"/>
      <c r="J21" s="189"/>
      <c r="K21" s="190"/>
      <c r="L21" s="203" t="s">
        <v>4</v>
      </c>
      <c r="M21" s="204"/>
      <c r="N21" s="205"/>
      <c r="O21" s="169" t="s">
        <v>5</v>
      </c>
      <c r="P21" s="187"/>
      <c r="Q21" s="187"/>
      <c r="R21" s="170"/>
      <c r="S21" s="169" t="s">
        <v>6</v>
      </c>
      <c r="T21" s="187"/>
      <c r="U21" s="187"/>
      <c r="V21" s="187"/>
      <c r="W21" s="187"/>
      <c r="X21" s="187"/>
      <c r="Y21" s="170"/>
      <c r="Z21" s="188" t="s">
        <v>7</v>
      </c>
      <c r="AA21" s="18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189"/>
      <c r="AP21" s="190"/>
      <c r="AQ21" s="160" t="s">
        <v>61</v>
      </c>
      <c r="AR21" s="158"/>
      <c r="AS21" s="158"/>
      <c r="AT21" s="158"/>
      <c r="AU21" s="158"/>
      <c r="AV21" s="158"/>
      <c r="AW21" s="158"/>
      <c r="AX21" s="158"/>
      <c r="AY21" s="158"/>
      <c r="AZ21" s="158"/>
      <c r="BA21" s="158"/>
      <c r="BB21" s="158"/>
      <c r="BC21" s="158"/>
      <c r="BD21" s="158"/>
      <c r="BE21" s="158"/>
      <c r="BF21" s="158"/>
      <c r="BG21" s="158"/>
      <c r="BH21" s="158"/>
      <c r="BI21" s="158"/>
      <c r="BJ21" s="159"/>
      <c r="BK21" s="19"/>
    </row>
    <row r="22" spans="1:63" s="20" customFormat="1" ht="15" customHeight="1" x14ac:dyDescent="0.25">
      <c r="A22" s="15"/>
      <c r="B22" s="23"/>
      <c r="C22" s="169">
        <v>2</v>
      </c>
      <c r="D22" s="170"/>
      <c r="E22" s="188" t="s">
        <v>8</v>
      </c>
      <c r="F22" s="189"/>
      <c r="G22" s="189"/>
      <c r="H22" s="189"/>
      <c r="I22" s="189"/>
      <c r="J22" s="189"/>
      <c r="K22" s="190"/>
      <c r="L22" s="203" t="s">
        <v>6</v>
      </c>
      <c r="M22" s="204"/>
      <c r="N22" s="205"/>
      <c r="O22" s="169" t="s">
        <v>5</v>
      </c>
      <c r="P22" s="187"/>
      <c r="Q22" s="187"/>
      <c r="R22" s="170"/>
      <c r="S22" s="172" t="s">
        <v>13</v>
      </c>
      <c r="T22" s="187"/>
      <c r="U22" s="187"/>
      <c r="V22" s="187"/>
      <c r="W22" s="187"/>
      <c r="X22" s="187"/>
      <c r="Y22" s="170"/>
      <c r="Z22" s="188" t="s">
        <v>8</v>
      </c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189"/>
      <c r="AP22" s="190"/>
      <c r="AQ22" s="157"/>
      <c r="AR22" s="158"/>
      <c r="AS22" s="158"/>
      <c r="AT22" s="158"/>
      <c r="AU22" s="158"/>
      <c r="AV22" s="158"/>
      <c r="AW22" s="158"/>
      <c r="AX22" s="158"/>
      <c r="AY22" s="158"/>
      <c r="AZ22" s="158"/>
      <c r="BA22" s="158"/>
      <c r="BB22" s="158"/>
      <c r="BC22" s="158"/>
      <c r="BD22" s="158"/>
      <c r="BE22" s="158"/>
      <c r="BF22" s="158"/>
      <c r="BG22" s="158"/>
      <c r="BH22" s="158"/>
      <c r="BI22" s="158"/>
      <c r="BJ22" s="159"/>
      <c r="BK22" s="19"/>
    </row>
    <row r="23" spans="1:63" s="20" customFormat="1" ht="15" customHeight="1" x14ac:dyDescent="0.25">
      <c r="A23" s="15"/>
      <c r="B23" s="23"/>
      <c r="C23" s="215">
        <v>3</v>
      </c>
      <c r="D23" s="216"/>
      <c r="E23" s="221" t="s">
        <v>9</v>
      </c>
      <c r="F23" s="222"/>
      <c r="G23" s="222"/>
      <c r="H23" s="222"/>
      <c r="I23" s="222"/>
      <c r="J23" s="222"/>
      <c r="K23" s="223"/>
      <c r="L23" s="206" t="s">
        <v>4</v>
      </c>
      <c r="M23" s="207"/>
      <c r="N23" s="208"/>
      <c r="O23" s="178" t="s">
        <v>5</v>
      </c>
      <c r="P23" s="179"/>
      <c r="Q23" s="179"/>
      <c r="R23" s="180"/>
      <c r="S23" s="178" t="s">
        <v>13</v>
      </c>
      <c r="T23" s="179"/>
      <c r="U23" s="179"/>
      <c r="V23" s="179"/>
      <c r="W23" s="179"/>
      <c r="X23" s="179"/>
      <c r="Y23" s="180"/>
      <c r="Z23" s="194" t="s">
        <v>9</v>
      </c>
      <c r="AA23" s="195"/>
      <c r="AB23" s="195"/>
      <c r="AC23" s="195"/>
      <c r="AD23" s="195"/>
      <c r="AE23" s="195"/>
      <c r="AF23" s="195"/>
      <c r="AG23" s="195"/>
      <c r="AH23" s="195"/>
      <c r="AI23" s="195"/>
      <c r="AJ23" s="195"/>
      <c r="AK23" s="195"/>
      <c r="AL23" s="195"/>
      <c r="AM23" s="195"/>
      <c r="AN23" s="195"/>
      <c r="AO23" s="195"/>
      <c r="AP23" s="196"/>
      <c r="AQ23" s="161"/>
      <c r="AR23" s="161"/>
      <c r="AS23" s="161"/>
      <c r="AT23" s="161"/>
      <c r="AU23" s="161"/>
      <c r="AV23" s="161"/>
      <c r="AW23" s="161"/>
      <c r="AX23" s="161"/>
      <c r="AY23" s="161"/>
      <c r="AZ23" s="161"/>
      <c r="BA23" s="161"/>
      <c r="BB23" s="161"/>
      <c r="BC23" s="161"/>
      <c r="BD23" s="161"/>
      <c r="BE23" s="161"/>
      <c r="BF23" s="161"/>
      <c r="BG23" s="161"/>
      <c r="BH23" s="161"/>
      <c r="BI23" s="161"/>
      <c r="BJ23" s="162"/>
      <c r="BK23" s="19"/>
    </row>
    <row r="24" spans="1:63" s="20" customFormat="1" ht="15" customHeight="1" x14ac:dyDescent="0.25">
      <c r="A24" s="15"/>
      <c r="B24" s="23"/>
      <c r="C24" s="217"/>
      <c r="D24" s="218"/>
      <c r="E24" s="224"/>
      <c r="F24" s="225"/>
      <c r="G24" s="225"/>
      <c r="H24" s="225"/>
      <c r="I24" s="225"/>
      <c r="J24" s="225"/>
      <c r="K24" s="226"/>
      <c r="L24" s="209"/>
      <c r="M24" s="210"/>
      <c r="N24" s="211"/>
      <c r="O24" s="181"/>
      <c r="P24" s="182"/>
      <c r="Q24" s="182"/>
      <c r="R24" s="183"/>
      <c r="S24" s="181"/>
      <c r="T24" s="182"/>
      <c r="U24" s="182"/>
      <c r="V24" s="182"/>
      <c r="W24" s="182"/>
      <c r="X24" s="182"/>
      <c r="Y24" s="183"/>
      <c r="Z24" s="197"/>
      <c r="AA24" s="198"/>
      <c r="AB24" s="198"/>
      <c r="AC24" s="198"/>
      <c r="AD24" s="198"/>
      <c r="AE24" s="198"/>
      <c r="AF24" s="198"/>
      <c r="AG24" s="198"/>
      <c r="AH24" s="198"/>
      <c r="AI24" s="198"/>
      <c r="AJ24" s="198"/>
      <c r="AK24" s="198"/>
      <c r="AL24" s="198"/>
      <c r="AM24" s="198"/>
      <c r="AN24" s="198"/>
      <c r="AO24" s="198"/>
      <c r="AP24" s="199"/>
      <c r="AQ24" s="163"/>
      <c r="AR24" s="163"/>
      <c r="AS24" s="163"/>
      <c r="AT24" s="163"/>
      <c r="AU24" s="163"/>
      <c r="AV24" s="163"/>
      <c r="AW24" s="163"/>
      <c r="AX24" s="163"/>
      <c r="AY24" s="163"/>
      <c r="AZ24" s="163"/>
      <c r="BA24" s="163"/>
      <c r="BB24" s="163"/>
      <c r="BC24" s="163"/>
      <c r="BD24" s="163"/>
      <c r="BE24" s="163"/>
      <c r="BF24" s="163"/>
      <c r="BG24" s="163"/>
      <c r="BH24" s="163"/>
      <c r="BI24" s="163"/>
      <c r="BJ24" s="164"/>
      <c r="BK24" s="19"/>
    </row>
    <row r="25" spans="1:63" s="20" customFormat="1" ht="15" customHeight="1" x14ac:dyDescent="0.25">
      <c r="A25" s="15"/>
      <c r="B25" s="23"/>
      <c r="C25" s="219"/>
      <c r="D25" s="220"/>
      <c r="E25" s="227"/>
      <c r="F25" s="228"/>
      <c r="G25" s="228"/>
      <c r="H25" s="228"/>
      <c r="I25" s="228"/>
      <c r="J25" s="228"/>
      <c r="K25" s="229"/>
      <c r="L25" s="212"/>
      <c r="M25" s="213"/>
      <c r="N25" s="214"/>
      <c r="O25" s="184"/>
      <c r="P25" s="185"/>
      <c r="Q25" s="185"/>
      <c r="R25" s="186"/>
      <c r="S25" s="184"/>
      <c r="T25" s="185"/>
      <c r="U25" s="185"/>
      <c r="V25" s="185"/>
      <c r="W25" s="185"/>
      <c r="X25" s="185"/>
      <c r="Y25" s="186"/>
      <c r="Z25" s="200"/>
      <c r="AA25" s="201"/>
      <c r="AB25" s="201"/>
      <c r="AC25" s="201"/>
      <c r="AD25" s="201"/>
      <c r="AE25" s="201"/>
      <c r="AF25" s="201"/>
      <c r="AG25" s="201"/>
      <c r="AH25" s="201"/>
      <c r="AI25" s="201"/>
      <c r="AJ25" s="201"/>
      <c r="AK25" s="201"/>
      <c r="AL25" s="201"/>
      <c r="AM25" s="201"/>
      <c r="AN25" s="201"/>
      <c r="AO25" s="201"/>
      <c r="AP25" s="202"/>
      <c r="AQ25" s="165"/>
      <c r="AR25" s="165"/>
      <c r="AS25" s="165"/>
      <c r="AT25" s="165"/>
      <c r="AU25" s="165"/>
      <c r="AV25" s="165"/>
      <c r="AW25" s="165"/>
      <c r="AX25" s="165"/>
      <c r="AY25" s="165"/>
      <c r="AZ25" s="165"/>
      <c r="BA25" s="165"/>
      <c r="BB25" s="165"/>
      <c r="BC25" s="165"/>
      <c r="BD25" s="165"/>
      <c r="BE25" s="165"/>
      <c r="BF25" s="165"/>
      <c r="BG25" s="165"/>
      <c r="BH25" s="165"/>
      <c r="BI25" s="165"/>
      <c r="BJ25" s="166"/>
      <c r="BK25" s="19"/>
    </row>
    <row r="26" spans="1:63" s="20" customFormat="1" ht="15" customHeight="1" x14ac:dyDescent="0.25">
      <c r="A26" s="15"/>
      <c r="B26" s="23"/>
      <c r="C26" s="169">
        <v>4</v>
      </c>
      <c r="D26" s="170"/>
      <c r="E26" s="188" t="s">
        <v>10</v>
      </c>
      <c r="F26" s="189"/>
      <c r="G26" s="189"/>
      <c r="H26" s="189"/>
      <c r="I26" s="189"/>
      <c r="J26" s="189"/>
      <c r="K26" s="190"/>
      <c r="L26" s="203" t="s">
        <v>6</v>
      </c>
      <c r="M26" s="204"/>
      <c r="N26" s="205"/>
      <c r="O26" s="169" t="s">
        <v>5</v>
      </c>
      <c r="P26" s="187"/>
      <c r="Q26" s="187"/>
      <c r="R26" s="170"/>
      <c r="S26" s="169" t="s">
        <v>6</v>
      </c>
      <c r="T26" s="187"/>
      <c r="U26" s="187"/>
      <c r="V26" s="187"/>
      <c r="W26" s="187"/>
      <c r="X26" s="187"/>
      <c r="Y26" s="170"/>
      <c r="Z26" s="188" t="s">
        <v>10</v>
      </c>
      <c r="AA26" s="189"/>
      <c r="AB26" s="189"/>
      <c r="AC26" s="189"/>
      <c r="AD26" s="189"/>
      <c r="AE26" s="189"/>
      <c r="AF26" s="189"/>
      <c r="AG26" s="189"/>
      <c r="AH26" s="189"/>
      <c r="AI26" s="189"/>
      <c r="AJ26" s="189"/>
      <c r="AK26" s="189"/>
      <c r="AL26" s="189"/>
      <c r="AM26" s="189"/>
      <c r="AN26" s="189"/>
      <c r="AO26" s="189"/>
      <c r="AP26" s="190"/>
      <c r="AQ26" s="157"/>
      <c r="AR26" s="158"/>
      <c r="AS26" s="158"/>
      <c r="AT26" s="158"/>
      <c r="AU26" s="158"/>
      <c r="AV26" s="158"/>
      <c r="AW26" s="158"/>
      <c r="AX26" s="158"/>
      <c r="AY26" s="158"/>
      <c r="AZ26" s="158"/>
      <c r="BA26" s="158"/>
      <c r="BB26" s="158"/>
      <c r="BC26" s="158"/>
      <c r="BD26" s="158"/>
      <c r="BE26" s="158"/>
      <c r="BF26" s="158"/>
      <c r="BG26" s="158"/>
      <c r="BH26" s="158"/>
      <c r="BI26" s="158"/>
      <c r="BJ26" s="159"/>
      <c r="BK26" s="19"/>
    </row>
    <row r="27" spans="1:63" s="20" customFormat="1" ht="15" customHeight="1" x14ac:dyDescent="0.25">
      <c r="A27" s="15"/>
      <c r="B27" s="23"/>
      <c r="C27" s="169">
        <v>5</v>
      </c>
      <c r="D27" s="170"/>
      <c r="E27" s="188" t="s">
        <v>11</v>
      </c>
      <c r="F27" s="189"/>
      <c r="G27" s="189"/>
      <c r="H27" s="189"/>
      <c r="I27" s="189"/>
      <c r="J27" s="189"/>
      <c r="K27" s="190"/>
      <c r="L27" s="203" t="s">
        <v>6</v>
      </c>
      <c r="M27" s="204"/>
      <c r="N27" s="205"/>
      <c r="O27" s="169" t="s">
        <v>5</v>
      </c>
      <c r="P27" s="187"/>
      <c r="Q27" s="187"/>
      <c r="R27" s="170"/>
      <c r="S27" s="169" t="s">
        <v>6</v>
      </c>
      <c r="T27" s="187"/>
      <c r="U27" s="187"/>
      <c r="V27" s="187"/>
      <c r="W27" s="187"/>
      <c r="X27" s="187"/>
      <c r="Y27" s="170"/>
      <c r="Z27" s="188" t="s">
        <v>11</v>
      </c>
      <c r="AA27" s="189"/>
      <c r="AB27" s="189"/>
      <c r="AC27" s="189"/>
      <c r="AD27" s="189"/>
      <c r="AE27" s="189"/>
      <c r="AF27" s="189"/>
      <c r="AG27" s="189"/>
      <c r="AH27" s="189"/>
      <c r="AI27" s="189"/>
      <c r="AJ27" s="189"/>
      <c r="AK27" s="189"/>
      <c r="AL27" s="189"/>
      <c r="AM27" s="189"/>
      <c r="AN27" s="189"/>
      <c r="AO27" s="189"/>
      <c r="AP27" s="190"/>
      <c r="AQ27" s="157"/>
      <c r="AR27" s="158"/>
      <c r="AS27" s="158"/>
      <c r="AT27" s="158"/>
      <c r="AU27" s="158"/>
      <c r="AV27" s="158"/>
      <c r="AW27" s="158"/>
      <c r="AX27" s="158"/>
      <c r="AY27" s="158"/>
      <c r="AZ27" s="158"/>
      <c r="BA27" s="158"/>
      <c r="BB27" s="158"/>
      <c r="BC27" s="158"/>
      <c r="BD27" s="158"/>
      <c r="BE27" s="158"/>
      <c r="BF27" s="158"/>
      <c r="BG27" s="158"/>
      <c r="BH27" s="158"/>
      <c r="BI27" s="158"/>
      <c r="BJ27" s="159"/>
      <c r="BK27" s="19"/>
    </row>
    <row r="28" spans="1:63" s="20" customFormat="1" ht="15" customHeight="1" x14ac:dyDescent="0.25">
      <c r="A28" s="15"/>
      <c r="B28" s="23"/>
      <c r="C28" s="23"/>
      <c r="D28" s="23"/>
      <c r="E28" s="66"/>
      <c r="F28" s="66"/>
      <c r="G28" s="66"/>
      <c r="H28" s="66"/>
      <c r="I28" s="23"/>
      <c r="J28" s="23"/>
      <c r="K28" s="23"/>
      <c r="L28" s="70"/>
      <c r="M28" s="66"/>
      <c r="N28" s="66"/>
      <c r="O28" s="66"/>
      <c r="P28" s="66"/>
      <c r="Q28" s="23"/>
      <c r="R28" s="23"/>
      <c r="S28" s="23"/>
      <c r="T28" s="23"/>
      <c r="U28" s="23"/>
      <c r="V28" s="23"/>
      <c r="W28" s="23"/>
      <c r="X28" s="23"/>
      <c r="Y28" s="23"/>
      <c r="Z28" s="29"/>
      <c r="AA28" s="23"/>
      <c r="AB28" s="23"/>
      <c r="AC28" s="23"/>
      <c r="AD28" s="23"/>
      <c r="AE28" s="23"/>
      <c r="AF28" s="23"/>
      <c r="AG28" s="66"/>
      <c r="AH28" s="66"/>
      <c r="AI28" s="66"/>
      <c r="AJ28" s="66"/>
      <c r="AK28" s="66"/>
      <c r="AL28" s="66"/>
      <c r="AM28" s="66"/>
      <c r="AN28" s="66"/>
      <c r="AO28" s="66"/>
      <c r="AP28" s="23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9"/>
      <c r="BI28" s="9"/>
      <c r="BJ28" s="9"/>
      <c r="BK28" s="19"/>
    </row>
    <row r="29" spans="1:63" s="20" customFormat="1" ht="15" customHeight="1" x14ac:dyDescent="0.25">
      <c r="A29" s="15"/>
      <c r="B29" s="23"/>
      <c r="C29" s="23"/>
      <c r="D29" s="23"/>
      <c r="E29" s="66"/>
      <c r="F29" s="66"/>
      <c r="G29" s="66"/>
      <c r="H29" s="66"/>
      <c r="I29" s="23"/>
      <c r="J29" s="23"/>
      <c r="K29" s="23"/>
      <c r="L29" s="31"/>
      <c r="M29" s="66"/>
      <c r="N29" s="66"/>
      <c r="O29" s="66"/>
      <c r="P29" s="66"/>
      <c r="Q29" s="23"/>
      <c r="R29" s="23"/>
      <c r="S29" s="23"/>
      <c r="T29" s="23"/>
      <c r="U29" s="23"/>
      <c r="V29" s="23"/>
      <c r="W29" s="23"/>
      <c r="X29" s="23"/>
      <c r="Y29" s="23"/>
      <c r="Z29" s="29"/>
      <c r="AA29" s="23"/>
      <c r="AB29" s="23"/>
      <c r="AC29" s="23"/>
      <c r="AD29" s="23"/>
      <c r="AE29" s="23"/>
      <c r="AF29" s="23"/>
      <c r="AG29" s="66"/>
      <c r="AH29" s="66"/>
      <c r="AI29" s="66"/>
      <c r="AJ29" s="66"/>
      <c r="AK29" s="66"/>
      <c r="AL29" s="66"/>
      <c r="AM29" s="66"/>
      <c r="AN29" s="66"/>
      <c r="AO29" s="66"/>
      <c r="AP29" s="23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9"/>
      <c r="BI29" s="9"/>
      <c r="BJ29" s="9"/>
      <c r="BK29" s="19"/>
    </row>
    <row r="30" spans="1:63" s="20" customFormat="1" ht="15" customHeight="1" x14ac:dyDescent="0.25">
      <c r="A30" s="15"/>
      <c r="B30" s="23"/>
      <c r="C30" s="25" t="s">
        <v>62</v>
      </c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9"/>
      <c r="BI30" s="9"/>
      <c r="BJ30" s="9"/>
      <c r="BK30" s="19"/>
    </row>
    <row r="31" spans="1:63" s="20" customFormat="1" ht="15" customHeight="1" x14ac:dyDescent="0.25">
      <c r="A31" s="15"/>
      <c r="B31" s="23"/>
      <c r="C31" s="21"/>
      <c r="D31" s="23" t="s">
        <v>14</v>
      </c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9"/>
      <c r="BI31" s="9"/>
      <c r="BJ31" s="9"/>
      <c r="BK31" s="19"/>
    </row>
    <row r="32" spans="1:63" s="20" customFormat="1" ht="15" customHeight="1" x14ac:dyDescent="0.25">
      <c r="A32" s="15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9"/>
      <c r="BI32" s="9"/>
      <c r="BJ32" s="9"/>
      <c r="BK32" s="19"/>
    </row>
    <row r="33" spans="1:63" s="20" customFormat="1" ht="15" customHeight="1" x14ac:dyDescent="0.25">
      <c r="A33" s="15"/>
      <c r="B33" s="23"/>
      <c r="C33" s="25" t="s">
        <v>63</v>
      </c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9"/>
      <c r="BI33" s="9"/>
      <c r="BJ33" s="9"/>
      <c r="BK33" s="19"/>
    </row>
    <row r="34" spans="1:63" s="20" customFormat="1" ht="15" customHeight="1" x14ac:dyDescent="0.25">
      <c r="A34" s="15"/>
      <c r="B34" s="23"/>
      <c r="C34" s="21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9"/>
      <c r="BI34" s="9"/>
      <c r="BJ34" s="9"/>
      <c r="BK34" s="19"/>
    </row>
    <row r="35" spans="1:63" s="20" customFormat="1" ht="15" customHeight="1" x14ac:dyDescent="0.25">
      <c r="A35" s="15"/>
      <c r="B35" s="23"/>
      <c r="C35" s="230" t="s">
        <v>12</v>
      </c>
      <c r="D35" s="231"/>
      <c r="E35" s="232" t="s">
        <v>22</v>
      </c>
      <c r="F35" s="233"/>
      <c r="G35" s="233"/>
      <c r="H35" s="233"/>
      <c r="I35" s="233"/>
      <c r="J35" s="233"/>
      <c r="K35" s="234"/>
      <c r="L35" s="167" t="s">
        <v>19</v>
      </c>
      <c r="M35" s="171"/>
      <c r="N35" s="168"/>
      <c r="O35" s="167" t="s">
        <v>20</v>
      </c>
      <c r="P35" s="171"/>
      <c r="Q35" s="171"/>
      <c r="R35" s="168"/>
      <c r="S35" s="167" t="s">
        <v>21</v>
      </c>
      <c r="T35" s="171"/>
      <c r="U35" s="171"/>
      <c r="V35" s="171"/>
      <c r="W35" s="171"/>
      <c r="X35" s="171"/>
      <c r="Y35" s="168"/>
      <c r="Z35" s="175" t="s">
        <v>60</v>
      </c>
      <c r="AA35" s="176"/>
      <c r="AB35" s="176"/>
      <c r="AC35" s="176"/>
      <c r="AD35" s="176"/>
      <c r="AE35" s="176"/>
      <c r="AF35" s="176"/>
      <c r="AG35" s="176"/>
      <c r="AH35" s="176"/>
      <c r="AI35" s="176"/>
      <c r="AJ35" s="176"/>
      <c r="AK35" s="176"/>
      <c r="AL35" s="176"/>
      <c r="AM35" s="176"/>
      <c r="AN35" s="176"/>
      <c r="AO35" s="176"/>
      <c r="AP35" s="177"/>
      <c r="AQ35" s="241" t="s">
        <v>18</v>
      </c>
      <c r="AR35" s="242"/>
      <c r="AS35" s="242"/>
      <c r="AT35" s="242"/>
      <c r="AU35" s="242"/>
      <c r="AV35" s="242"/>
      <c r="AW35" s="242"/>
      <c r="AX35" s="242"/>
      <c r="AY35" s="242"/>
      <c r="AZ35" s="242"/>
      <c r="BA35" s="242"/>
      <c r="BB35" s="242"/>
      <c r="BC35" s="242"/>
      <c r="BD35" s="242"/>
      <c r="BE35" s="242"/>
      <c r="BF35" s="242"/>
      <c r="BG35" s="242"/>
      <c r="BH35" s="242"/>
      <c r="BI35" s="242"/>
      <c r="BJ35" s="243"/>
      <c r="BK35" s="19"/>
    </row>
    <row r="36" spans="1:63" s="20" customFormat="1" ht="15" customHeight="1" x14ac:dyDescent="0.25">
      <c r="A36" s="15"/>
      <c r="B36" s="23"/>
      <c r="C36" s="169">
        <v>1</v>
      </c>
      <c r="D36" s="170"/>
      <c r="E36" s="188" t="s">
        <v>24</v>
      </c>
      <c r="F36" s="189"/>
      <c r="G36" s="189"/>
      <c r="H36" s="189"/>
      <c r="I36" s="189"/>
      <c r="J36" s="189"/>
      <c r="K36" s="190"/>
      <c r="L36" s="203" t="s">
        <v>4</v>
      </c>
      <c r="M36" s="204"/>
      <c r="N36" s="205"/>
      <c r="O36" s="169" t="s">
        <v>15</v>
      </c>
      <c r="P36" s="187"/>
      <c r="Q36" s="187"/>
      <c r="R36" s="170"/>
      <c r="S36" s="169"/>
      <c r="T36" s="187"/>
      <c r="U36" s="187"/>
      <c r="V36" s="187"/>
      <c r="W36" s="187"/>
      <c r="X36" s="187"/>
      <c r="Y36" s="170"/>
      <c r="Z36" s="188" t="s">
        <v>72</v>
      </c>
      <c r="AA36" s="189"/>
      <c r="AB36" s="189"/>
      <c r="AC36" s="189"/>
      <c r="AD36" s="189"/>
      <c r="AE36" s="189"/>
      <c r="AF36" s="189"/>
      <c r="AG36" s="189"/>
      <c r="AH36" s="189"/>
      <c r="AI36" s="189"/>
      <c r="AJ36" s="189"/>
      <c r="AK36" s="189"/>
      <c r="AL36" s="189"/>
      <c r="AM36" s="189"/>
      <c r="AN36" s="189"/>
      <c r="AO36" s="189"/>
      <c r="AP36" s="190"/>
      <c r="AQ36" s="191"/>
      <c r="AR36" s="192"/>
      <c r="AS36" s="192"/>
      <c r="AT36" s="192"/>
      <c r="AU36" s="192"/>
      <c r="AV36" s="192"/>
      <c r="AW36" s="192"/>
      <c r="AX36" s="192"/>
      <c r="AY36" s="192"/>
      <c r="AZ36" s="192"/>
      <c r="BA36" s="192"/>
      <c r="BB36" s="192"/>
      <c r="BC36" s="192"/>
      <c r="BD36" s="192"/>
      <c r="BE36" s="192"/>
      <c r="BF36" s="192"/>
      <c r="BG36" s="192"/>
      <c r="BH36" s="192"/>
      <c r="BI36" s="192"/>
      <c r="BJ36" s="193"/>
      <c r="BK36" s="19"/>
    </row>
    <row r="37" spans="1:63" s="20" customFormat="1" ht="15" customHeight="1" x14ac:dyDescent="0.25">
      <c r="A37" s="15"/>
      <c r="B37" s="23"/>
      <c r="C37" s="169">
        <v>2</v>
      </c>
      <c r="D37" s="170"/>
      <c r="E37" s="188" t="s">
        <v>25</v>
      </c>
      <c r="F37" s="189"/>
      <c r="G37" s="189"/>
      <c r="H37" s="189"/>
      <c r="I37" s="189"/>
      <c r="J37" s="189"/>
      <c r="K37" s="190"/>
      <c r="L37" s="203" t="s">
        <v>4</v>
      </c>
      <c r="M37" s="204"/>
      <c r="N37" s="205"/>
      <c r="O37" s="169" t="s">
        <v>15</v>
      </c>
      <c r="P37" s="187"/>
      <c r="Q37" s="187"/>
      <c r="R37" s="170"/>
      <c r="S37" s="169"/>
      <c r="T37" s="187"/>
      <c r="U37" s="187"/>
      <c r="V37" s="187"/>
      <c r="W37" s="187"/>
      <c r="X37" s="187"/>
      <c r="Y37" s="170"/>
      <c r="Z37" s="188" t="s">
        <v>71</v>
      </c>
      <c r="AA37" s="189"/>
      <c r="AB37" s="189"/>
      <c r="AC37" s="189"/>
      <c r="AD37" s="189"/>
      <c r="AE37" s="189"/>
      <c r="AF37" s="189"/>
      <c r="AG37" s="189"/>
      <c r="AH37" s="189"/>
      <c r="AI37" s="189"/>
      <c r="AJ37" s="189"/>
      <c r="AK37" s="189"/>
      <c r="AL37" s="189"/>
      <c r="AM37" s="189"/>
      <c r="AN37" s="189"/>
      <c r="AO37" s="189"/>
      <c r="AP37" s="190"/>
      <c r="AQ37" s="191"/>
      <c r="AR37" s="192"/>
      <c r="AS37" s="192"/>
      <c r="AT37" s="192"/>
      <c r="AU37" s="192"/>
      <c r="AV37" s="192"/>
      <c r="AW37" s="192"/>
      <c r="AX37" s="192"/>
      <c r="AY37" s="192"/>
      <c r="AZ37" s="192"/>
      <c r="BA37" s="192"/>
      <c r="BB37" s="192"/>
      <c r="BC37" s="192"/>
      <c r="BD37" s="192"/>
      <c r="BE37" s="192"/>
      <c r="BF37" s="192"/>
      <c r="BG37" s="192"/>
      <c r="BH37" s="192"/>
      <c r="BI37" s="192"/>
      <c r="BJ37" s="193"/>
      <c r="BK37" s="19"/>
    </row>
    <row r="38" spans="1:63" s="20" customFormat="1" ht="15" customHeight="1" x14ac:dyDescent="0.25">
      <c r="A38" s="15"/>
      <c r="B38" s="23"/>
      <c r="C38" s="169">
        <v>3</v>
      </c>
      <c r="D38" s="170"/>
      <c r="E38" s="188" t="s">
        <v>26</v>
      </c>
      <c r="F38" s="189"/>
      <c r="G38" s="189"/>
      <c r="H38" s="189"/>
      <c r="I38" s="189"/>
      <c r="J38" s="189"/>
      <c r="K38" s="190"/>
      <c r="L38" s="203" t="s">
        <v>4</v>
      </c>
      <c r="M38" s="204"/>
      <c r="N38" s="205"/>
      <c r="O38" s="169" t="s">
        <v>15</v>
      </c>
      <c r="P38" s="187"/>
      <c r="Q38" s="187"/>
      <c r="R38" s="170"/>
      <c r="S38" s="169"/>
      <c r="T38" s="187"/>
      <c r="U38" s="187"/>
      <c r="V38" s="187"/>
      <c r="W38" s="187"/>
      <c r="X38" s="187"/>
      <c r="Y38" s="170"/>
      <c r="Z38" s="188" t="s">
        <v>64</v>
      </c>
      <c r="AA38" s="189"/>
      <c r="AB38" s="189"/>
      <c r="AC38" s="189"/>
      <c r="AD38" s="189"/>
      <c r="AE38" s="189"/>
      <c r="AF38" s="189"/>
      <c r="AG38" s="189"/>
      <c r="AH38" s="189"/>
      <c r="AI38" s="189"/>
      <c r="AJ38" s="189"/>
      <c r="AK38" s="189"/>
      <c r="AL38" s="189"/>
      <c r="AM38" s="189"/>
      <c r="AN38" s="189"/>
      <c r="AO38" s="189"/>
      <c r="AP38" s="190"/>
      <c r="AQ38" s="191" t="s">
        <v>74</v>
      </c>
      <c r="AR38" s="192"/>
      <c r="AS38" s="192"/>
      <c r="AT38" s="192"/>
      <c r="AU38" s="192"/>
      <c r="AV38" s="192"/>
      <c r="AW38" s="192"/>
      <c r="AX38" s="192"/>
      <c r="AY38" s="192"/>
      <c r="AZ38" s="192"/>
      <c r="BA38" s="192"/>
      <c r="BB38" s="192"/>
      <c r="BC38" s="192"/>
      <c r="BD38" s="192"/>
      <c r="BE38" s="192"/>
      <c r="BF38" s="192"/>
      <c r="BG38" s="192"/>
      <c r="BH38" s="192"/>
      <c r="BI38" s="192"/>
      <c r="BJ38" s="193"/>
      <c r="BK38" s="19"/>
    </row>
    <row r="39" spans="1:63" s="20" customFormat="1" ht="15" customHeight="1" x14ac:dyDescent="0.25">
      <c r="A39" s="15"/>
      <c r="B39" s="23"/>
      <c r="C39" s="169">
        <v>4</v>
      </c>
      <c r="D39" s="170"/>
      <c r="E39" s="188" t="s">
        <v>33</v>
      </c>
      <c r="F39" s="189"/>
      <c r="G39" s="189"/>
      <c r="H39" s="189"/>
      <c r="I39" s="189"/>
      <c r="J39" s="189"/>
      <c r="K39" s="190"/>
      <c r="L39" s="203" t="s">
        <v>4</v>
      </c>
      <c r="M39" s="204"/>
      <c r="N39" s="205"/>
      <c r="O39" s="169" t="s">
        <v>15</v>
      </c>
      <c r="P39" s="187"/>
      <c r="Q39" s="187"/>
      <c r="R39" s="170"/>
      <c r="S39" s="169"/>
      <c r="T39" s="187"/>
      <c r="U39" s="187"/>
      <c r="V39" s="187"/>
      <c r="W39" s="187"/>
      <c r="X39" s="187"/>
      <c r="Y39" s="170"/>
      <c r="Z39" s="191" t="s">
        <v>73</v>
      </c>
      <c r="AA39" s="189"/>
      <c r="AB39" s="189"/>
      <c r="AC39" s="189"/>
      <c r="AD39" s="189"/>
      <c r="AE39" s="189"/>
      <c r="AF39" s="189"/>
      <c r="AG39" s="189"/>
      <c r="AH39" s="189"/>
      <c r="AI39" s="189"/>
      <c r="AJ39" s="189"/>
      <c r="AK39" s="189"/>
      <c r="AL39" s="189"/>
      <c r="AM39" s="189"/>
      <c r="AN39" s="189"/>
      <c r="AO39" s="189"/>
      <c r="AP39" s="190"/>
      <c r="AQ39" s="191" t="s">
        <v>65</v>
      </c>
      <c r="AR39" s="192"/>
      <c r="AS39" s="192"/>
      <c r="AT39" s="192"/>
      <c r="AU39" s="192"/>
      <c r="AV39" s="192"/>
      <c r="AW39" s="192"/>
      <c r="AX39" s="192"/>
      <c r="AY39" s="192"/>
      <c r="AZ39" s="192"/>
      <c r="BA39" s="192"/>
      <c r="BB39" s="192"/>
      <c r="BC39" s="192"/>
      <c r="BD39" s="192"/>
      <c r="BE39" s="192"/>
      <c r="BF39" s="192"/>
      <c r="BG39" s="192"/>
      <c r="BH39" s="192"/>
      <c r="BI39" s="192"/>
      <c r="BJ39" s="193"/>
      <c r="BK39" s="19"/>
    </row>
    <row r="40" spans="1:63" s="20" customFormat="1" ht="15" customHeight="1" x14ac:dyDescent="0.25">
      <c r="A40" s="15"/>
      <c r="B40" s="23"/>
      <c r="C40" s="23"/>
      <c r="D40" s="23"/>
      <c r="E40" s="66"/>
      <c r="F40" s="66"/>
      <c r="G40" s="66"/>
      <c r="H40" s="66"/>
      <c r="I40" s="66"/>
      <c r="J40" s="66"/>
      <c r="K40" s="66"/>
      <c r="L40" s="41"/>
      <c r="M40" s="41"/>
      <c r="N40" s="41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19"/>
    </row>
    <row r="41" spans="1:63" s="20" customFormat="1" ht="15" customHeight="1" x14ac:dyDescent="0.25">
      <c r="A41" s="15"/>
      <c r="B41" s="23"/>
      <c r="C41" s="23"/>
      <c r="D41" s="23"/>
      <c r="E41" s="66"/>
      <c r="F41" s="66"/>
      <c r="G41" s="66"/>
      <c r="H41" s="66"/>
      <c r="I41" s="66"/>
      <c r="J41" s="66"/>
      <c r="K41" s="66"/>
      <c r="L41" s="41"/>
      <c r="M41" s="41"/>
      <c r="N41" s="41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19"/>
    </row>
    <row r="42" spans="1:63" s="20" customFormat="1" ht="15" customHeight="1" x14ac:dyDescent="0.25">
      <c r="A42" s="15"/>
      <c r="B42" s="23"/>
      <c r="C42" s="23"/>
      <c r="D42" s="23"/>
      <c r="E42" s="66"/>
      <c r="F42" s="66"/>
      <c r="G42" s="66"/>
      <c r="H42" s="66"/>
      <c r="I42" s="66"/>
      <c r="J42" s="66"/>
      <c r="K42" s="66"/>
      <c r="L42" s="41"/>
      <c r="M42" s="41"/>
      <c r="N42" s="41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19"/>
    </row>
    <row r="43" spans="1:63" s="20" customFormat="1" ht="15" customHeight="1" x14ac:dyDescent="0.25">
      <c r="A43" s="15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9"/>
      <c r="BI43" s="9"/>
      <c r="BJ43" s="9"/>
      <c r="BK43" s="19"/>
    </row>
    <row r="44" spans="1:63" s="20" customFormat="1" ht="15" customHeight="1" x14ac:dyDescent="0.25">
      <c r="A44" s="15"/>
      <c r="B44" s="16" t="s">
        <v>66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8"/>
      <c r="BI44" s="18"/>
      <c r="BJ44" s="18"/>
      <c r="BK44" s="19"/>
    </row>
    <row r="45" spans="1:63" s="20" customFormat="1" ht="15" customHeight="1" x14ac:dyDescent="0.25">
      <c r="A45" s="15"/>
      <c r="B45" s="21"/>
      <c r="C45" s="25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9"/>
      <c r="BI45" s="9"/>
      <c r="BJ45" s="9"/>
      <c r="BK45" s="19"/>
    </row>
    <row r="46" spans="1:63" s="20" customFormat="1" ht="15" customHeight="1" x14ac:dyDescent="0.25">
      <c r="A46" s="15"/>
      <c r="B46" s="21"/>
      <c r="C46" s="25" t="s">
        <v>67</v>
      </c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9"/>
      <c r="BI46" s="9"/>
      <c r="BJ46" s="9"/>
      <c r="BK46" s="19"/>
    </row>
    <row r="47" spans="1:63" s="20" customFormat="1" ht="15" customHeight="1" x14ac:dyDescent="0.25">
      <c r="A47" s="15"/>
      <c r="B47" s="21"/>
      <c r="C47" s="25"/>
      <c r="D47" s="23" t="s">
        <v>14</v>
      </c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9"/>
      <c r="BI47" s="9"/>
      <c r="BJ47" s="9"/>
      <c r="BK47" s="19"/>
    </row>
    <row r="48" spans="1:63" s="20" customFormat="1" ht="15" customHeight="1" x14ac:dyDescent="0.25">
      <c r="A48" s="15"/>
      <c r="B48" s="23"/>
      <c r="C48" s="23"/>
      <c r="D48" s="66"/>
      <c r="E48" s="66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9"/>
      <c r="BI48" s="9"/>
      <c r="BJ48" s="9"/>
      <c r="BK48" s="19"/>
    </row>
    <row r="49" spans="1:63" s="20" customFormat="1" ht="15" customHeight="1" x14ac:dyDescent="0.25">
      <c r="A49" s="15"/>
      <c r="B49" s="23"/>
      <c r="C49" s="21" t="s">
        <v>68</v>
      </c>
      <c r="D49" s="23"/>
      <c r="E49" s="66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9"/>
      <c r="BI49" s="9"/>
      <c r="BJ49" s="9"/>
      <c r="BK49" s="19"/>
    </row>
    <row r="50" spans="1:63" s="20" customFormat="1" ht="15" customHeight="1" x14ac:dyDescent="0.25">
      <c r="A50" s="15"/>
      <c r="B50" s="23"/>
      <c r="C50" s="21"/>
      <c r="D50" s="23"/>
      <c r="E50" s="66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34"/>
      <c r="AQ50" s="34"/>
      <c r="AR50" s="34"/>
      <c r="AS50" s="34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9"/>
      <c r="BI50" s="9"/>
      <c r="BJ50" s="9"/>
      <c r="BK50" s="19"/>
    </row>
    <row r="51" spans="1:63" s="20" customFormat="1" ht="15" customHeight="1" x14ac:dyDescent="0.25">
      <c r="A51" s="15"/>
      <c r="B51" s="23"/>
      <c r="C51" s="167" t="s">
        <v>12</v>
      </c>
      <c r="D51" s="168"/>
      <c r="E51" s="175" t="s">
        <v>69</v>
      </c>
      <c r="F51" s="171"/>
      <c r="G51" s="171"/>
      <c r="H51" s="171"/>
      <c r="I51" s="171"/>
      <c r="J51" s="171"/>
      <c r="K51" s="168"/>
      <c r="L51" s="167" t="s">
        <v>20</v>
      </c>
      <c r="M51" s="171"/>
      <c r="N51" s="171"/>
      <c r="O51" s="171"/>
      <c r="P51" s="171"/>
      <c r="Q51" s="171"/>
      <c r="R51" s="168"/>
      <c r="S51" s="167" t="s">
        <v>23</v>
      </c>
      <c r="T51" s="171"/>
      <c r="U51" s="171"/>
      <c r="V51" s="171"/>
      <c r="W51" s="171"/>
      <c r="X51" s="171"/>
      <c r="Y51" s="171"/>
      <c r="Z51" s="171"/>
      <c r="AA51" s="171"/>
      <c r="AB51" s="168"/>
      <c r="AC51" s="167" t="s">
        <v>18</v>
      </c>
      <c r="AD51" s="171"/>
      <c r="AE51" s="171"/>
      <c r="AF51" s="171"/>
      <c r="AG51" s="171"/>
      <c r="AH51" s="171"/>
      <c r="AI51" s="171"/>
      <c r="AJ51" s="171"/>
      <c r="AK51" s="171"/>
      <c r="AL51" s="171"/>
      <c r="AM51" s="171"/>
      <c r="AN51" s="171"/>
      <c r="AO51" s="171"/>
      <c r="AP51" s="171"/>
      <c r="AQ51" s="171"/>
      <c r="AR51" s="171"/>
      <c r="AS51" s="171"/>
      <c r="AT51" s="171"/>
      <c r="AU51" s="168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9"/>
      <c r="BI51" s="9"/>
      <c r="BJ51" s="9"/>
      <c r="BK51" s="19"/>
    </row>
    <row r="52" spans="1:63" s="20" customFormat="1" ht="15" customHeight="1" x14ac:dyDescent="0.25">
      <c r="A52" s="15"/>
      <c r="B52" s="23"/>
      <c r="C52" s="169">
        <v>1</v>
      </c>
      <c r="D52" s="170"/>
      <c r="E52" s="235" t="s">
        <v>27</v>
      </c>
      <c r="F52" s="236"/>
      <c r="G52" s="236"/>
      <c r="H52" s="236"/>
      <c r="I52" s="236"/>
      <c r="J52" s="236"/>
      <c r="K52" s="237"/>
      <c r="L52" s="235" t="s">
        <v>15</v>
      </c>
      <c r="M52" s="236"/>
      <c r="N52" s="236"/>
      <c r="O52" s="236"/>
      <c r="P52" s="236"/>
      <c r="Q52" s="236"/>
      <c r="R52" s="237"/>
      <c r="S52" s="188"/>
      <c r="T52" s="189"/>
      <c r="U52" s="189"/>
      <c r="V52" s="189"/>
      <c r="W52" s="189"/>
      <c r="X52" s="189"/>
      <c r="Y52" s="189"/>
      <c r="Z52" s="189"/>
      <c r="AA52" s="189"/>
      <c r="AB52" s="190"/>
      <c r="AC52" s="238" t="s">
        <v>29</v>
      </c>
      <c r="AD52" s="239"/>
      <c r="AE52" s="239"/>
      <c r="AF52" s="239"/>
      <c r="AG52" s="239"/>
      <c r="AH52" s="239"/>
      <c r="AI52" s="239"/>
      <c r="AJ52" s="239"/>
      <c r="AK52" s="239"/>
      <c r="AL52" s="239"/>
      <c r="AM52" s="239"/>
      <c r="AN52" s="239"/>
      <c r="AO52" s="239"/>
      <c r="AP52" s="239"/>
      <c r="AQ52" s="239"/>
      <c r="AR52" s="239"/>
      <c r="AS52" s="239"/>
      <c r="AT52" s="239"/>
      <c r="AU52" s="240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9"/>
      <c r="BI52" s="9"/>
      <c r="BJ52" s="9"/>
      <c r="BK52" s="19"/>
    </row>
    <row r="53" spans="1:63" s="20" customFormat="1" ht="15" customHeight="1" x14ac:dyDescent="0.25">
      <c r="A53" s="15"/>
      <c r="B53" s="23"/>
      <c r="C53" s="169">
        <f>C52+1</f>
        <v>2</v>
      </c>
      <c r="D53" s="170"/>
      <c r="E53" s="235" t="s">
        <v>34</v>
      </c>
      <c r="F53" s="236"/>
      <c r="G53" s="236"/>
      <c r="H53" s="236"/>
      <c r="I53" s="236"/>
      <c r="J53" s="236"/>
      <c r="K53" s="237"/>
      <c r="L53" s="235" t="s">
        <v>15</v>
      </c>
      <c r="M53" s="236"/>
      <c r="N53" s="236"/>
      <c r="O53" s="236"/>
      <c r="P53" s="236"/>
      <c r="Q53" s="236"/>
      <c r="R53" s="237"/>
      <c r="S53" s="188"/>
      <c r="T53" s="189"/>
      <c r="U53" s="189"/>
      <c r="V53" s="189"/>
      <c r="W53" s="189"/>
      <c r="X53" s="189"/>
      <c r="Y53" s="189"/>
      <c r="Z53" s="189"/>
      <c r="AA53" s="189"/>
      <c r="AB53" s="190"/>
      <c r="AC53" s="238" t="s">
        <v>28</v>
      </c>
      <c r="AD53" s="239"/>
      <c r="AE53" s="239"/>
      <c r="AF53" s="239"/>
      <c r="AG53" s="239"/>
      <c r="AH53" s="239"/>
      <c r="AI53" s="239"/>
      <c r="AJ53" s="239"/>
      <c r="AK53" s="239"/>
      <c r="AL53" s="239"/>
      <c r="AM53" s="239"/>
      <c r="AN53" s="239"/>
      <c r="AO53" s="239"/>
      <c r="AP53" s="239"/>
      <c r="AQ53" s="239"/>
      <c r="AR53" s="239"/>
      <c r="AS53" s="239"/>
      <c r="AT53" s="239"/>
      <c r="AU53" s="240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9"/>
      <c r="BI53" s="9"/>
      <c r="BJ53" s="9"/>
      <c r="BK53" s="19"/>
    </row>
    <row r="54" spans="1:63" s="20" customFormat="1" ht="15" customHeight="1" x14ac:dyDescent="0.25">
      <c r="A54" s="15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32"/>
      <c r="AQ54" s="32"/>
      <c r="AR54" s="32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9"/>
      <c r="BI54" s="9"/>
      <c r="BJ54" s="9"/>
      <c r="BK54" s="19"/>
    </row>
    <row r="55" spans="1:63" s="20" customFormat="1" ht="15" customHeight="1" x14ac:dyDescent="0.25">
      <c r="A55" s="15"/>
      <c r="B55" s="23"/>
      <c r="C55" s="25" t="s">
        <v>70</v>
      </c>
      <c r="D55" s="21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9"/>
      <c r="BI55" s="9"/>
      <c r="BJ55" s="9"/>
      <c r="BK55" s="19"/>
    </row>
    <row r="56" spans="1:63" s="20" customFormat="1" ht="15" customHeight="1" x14ac:dyDescent="0.25">
      <c r="A56" s="15"/>
      <c r="B56" s="23"/>
      <c r="C56" s="25"/>
      <c r="D56" s="21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9"/>
      <c r="BI56" s="9"/>
      <c r="BJ56" s="9"/>
      <c r="BK56" s="19"/>
    </row>
    <row r="57" spans="1:63" s="20" customFormat="1" ht="15" customHeight="1" x14ac:dyDescent="0.25">
      <c r="A57" s="15"/>
      <c r="B57" s="23"/>
      <c r="C57" s="67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26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9"/>
      <c r="BI57" s="9"/>
      <c r="BJ57" s="9"/>
      <c r="BK57" s="19"/>
    </row>
    <row r="58" spans="1:63" s="20" customFormat="1" ht="15" customHeight="1" x14ac:dyDescent="0.25">
      <c r="A58" s="15"/>
      <c r="B58" s="23"/>
      <c r="C58" s="69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7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9"/>
      <c r="BI58" s="9"/>
      <c r="BJ58" s="9"/>
      <c r="BK58" s="19"/>
    </row>
    <row r="59" spans="1:63" s="20" customFormat="1" ht="15" customHeight="1" x14ac:dyDescent="0.25">
      <c r="A59" s="15"/>
      <c r="B59" s="23"/>
      <c r="C59" s="69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7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9"/>
      <c r="BI59" s="9"/>
      <c r="BJ59" s="9"/>
      <c r="BK59" s="19"/>
    </row>
    <row r="60" spans="1:63" s="20" customFormat="1" ht="15" customHeight="1" x14ac:dyDescent="0.25">
      <c r="A60" s="15"/>
      <c r="B60" s="23"/>
      <c r="C60" s="69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7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9"/>
      <c r="BI60" s="9"/>
      <c r="BJ60" s="9"/>
      <c r="BK60" s="19"/>
    </row>
    <row r="61" spans="1:63" s="20" customFormat="1" ht="15" customHeight="1" x14ac:dyDescent="0.25">
      <c r="A61" s="15"/>
      <c r="B61" s="23"/>
      <c r="C61" s="69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7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9"/>
      <c r="BI61" s="9"/>
      <c r="BJ61" s="9"/>
      <c r="BK61" s="19"/>
    </row>
    <row r="62" spans="1:63" s="20" customFormat="1" ht="15" customHeight="1" x14ac:dyDescent="0.25">
      <c r="A62" s="15"/>
      <c r="B62" s="23"/>
      <c r="C62" s="71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28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9"/>
      <c r="BI62" s="9"/>
      <c r="BJ62" s="9"/>
      <c r="BK62" s="19"/>
    </row>
    <row r="63" spans="1:63" s="40" customFormat="1" ht="15" customHeight="1" x14ac:dyDescent="0.25">
      <c r="A63" s="35"/>
      <c r="B63" s="36"/>
      <c r="C63" s="36"/>
      <c r="D63" s="36"/>
      <c r="E63" s="37"/>
      <c r="F63" s="37"/>
      <c r="G63" s="37"/>
      <c r="H63" s="37"/>
      <c r="I63" s="37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8"/>
      <c r="BI63" s="38"/>
      <c r="BJ63" s="38"/>
      <c r="BK63" s="39"/>
    </row>
  </sheetData>
  <mergeCells count="120">
    <mergeCell ref="S38:Y38"/>
    <mergeCell ref="Z38:AP38"/>
    <mergeCell ref="AQ38:BJ38"/>
    <mergeCell ref="E36:K36"/>
    <mergeCell ref="L36:N36"/>
    <mergeCell ref="O36:R36"/>
    <mergeCell ref="S36:Y36"/>
    <mergeCell ref="Z36:AP36"/>
    <mergeCell ref="AQ36:BJ36"/>
    <mergeCell ref="C39:D39"/>
    <mergeCell ref="E39:K39"/>
    <mergeCell ref="L39:N39"/>
    <mergeCell ref="O39:R39"/>
    <mergeCell ref="S39:Y39"/>
    <mergeCell ref="Z39:AP39"/>
    <mergeCell ref="AQ39:BJ39"/>
    <mergeCell ref="C37:D37"/>
    <mergeCell ref="E37:K37"/>
    <mergeCell ref="L37:N37"/>
    <mergeCell ref="O37:R37"/>
    <mergeCell ref="S37:Y37"/>
    <mergeCell ref="Z37:AP37"/>
    <mergeCell ref="AQ37:BJ37"/>
    <mergeCell ref="C38:D38"/>
    <mergeCell ref="E38:K38"/>
    <mergeCell ref="L38:N38"/>
    <mergeCell ref="O38:R38"/>
    <mergeCell ref="E52:K52"/>
    <mergeCell ref="E53:K53"/>
    <mergeCell ref="L52:R52"/>
    <mergeCell ref="L53:R53"/>
    <mergeCell ref="C52:D52"/>
    <mergeCell ref="C53:D53"/>
    <mergeCell ref="S52:AB52"/>
    <mergeCell ref="S53:AB53"/>
    <mergeCell ref="AC52:AU52"/>
    <mergeCell ref="AC53:AU53"/>
    <mergeCell ref="C51:D51"/>
    <mergeCell ref="L51:R51"/>
    <mergeCell ref="S51:AB51"/>
    <mergeCell ref="AC51:AU51"/>
    <mergeCell ref="E51:K51"/>
    <mergeCell ref="E22:K22"/>
    <mergeCell ref="C23:D25"/>
    <mergeCell ref="E23:K25"/>
    <mergeCell ref="C21:D21"/>
    <mergeCell ref="L27:N27"/>
    <mergeCell ref="S22:Y22"/>
    <mergeCell ref="S27:Y27"/>
    <mergeCell ref="C27:D27"/>
    <mergeCell ref="C22:D22"/>
    <mergeCell ref="C26:D26"/>
    <mergeCell ref="Z22:AP22"/>
    <mergeCell ref="C35:D35"/>
    <mergeCell ref="E35:K35"/>
    <mergeCell ref="L35:N35"/>
    <mergeCell ref="O35:R35"/>
    <mergeCell ref="S35:Y35"/>
    <mergeCell ref="Z35:AP35"/>
    <mergeCell ref="AQ35:BJ35"/>
    <mergeCell ref="C36:D36"/>
    <mergeCell ref="AQ20:BJ20"/>
    <mergeCell ref="O20:R20"/>
    <mergeCell ref="L20:N20"/>
    <mergeCell ref="E26:K26"/>
    <mergeCell ref="E27:K27"/>
    <mergeCell ref="Z21:AP21"/>
    <mergeCell ref="Z26:AP26"/>
    <mergeCell ref="Z27:AP27"/>
    <mergeCell ref="Z23:AP25"/>
    <mergeCell ref="O21:R21"/>
    <mergeCell ref="O22:R22"/>
    <mergeCell ref="O26:R26"/>
    <mergeCell ref="O27:R27"/>
    <mergeCell ref="O23:R25"/>
    <mergeCell ref="AQ27:BJ27"/>
    <mergeCell ref="S26:Y26"/>
    <mergeCell ref="L21:N21"/>
    <mergeCell ref="L22:N22"/>
    <mergeCell ref="L23:N25"/>
    <mergeCell ref="L26:N26"/>
    <mergeCell ref="AQ22:BJ22"/>
    <mergeCell ref="AQ21:BJ21"/>
    <mergeCell ref="AQ23:BJ25"/>
    <mergeCell ref="A4:G4"/>
    <mergeCell ref="H4:T4"/>
    <mergeCell ref="U4:Y4"/>
    <mergeCell ref="Z4:AO4"/>
    <mergeCell ref="AP4:BK4"/>
    <mergeCell ref="AQ26:BJ26"/>
    <mergeCell ref="C15:D15"/>
    <mergeCell ref="C16:D16"/>
    <mergeCell ref="E15:AF15"/>
    <mergeCell ref="AG15:AP15"/>
    <mergeCell ref="AQ15:BJ15"/>
    <mergeCell ref="E16:AF16"/>
    <mergeCell ref="E20:K20"/>
    <mergeCell ref="C20:D20"/>
    <mergeCell ref="S20:Y20"/>
    <mergeCell ref="Z20:AP20"/>
    <mergeCell ref="S23:Y25"/>
    <mergeCell ref="S21:Y21"/>
    <mergeCell ref="E21:K21"/>
    <mergeCell ref="AG16:AP16"/>
    <mergeCell ref="AQ16:BJ16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54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35" t="s">
        <v>35</v>
      </c>
      <c r="B1" s="136"/>
      <c r="C1" s="136"/>
      <c r="D1" s="136"/>
      <c r="E1" s="136"/>
      <c r="F1" s="136"/>
      <c r="G1" s="136"/>
      <c r="H1" s="136"/>
      <c r="I1" s="136"/>
      <c r="J1" s="137"/>
      <c r="K1" s="135" t="s">
        <v>36</v>
      </c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7"/>
      <c r="W1" s="148" t="str">
        <f>IF(表紙!W1="","",表紙!W1)</f>
        <v>詳細設計書</v>
      </c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  <c r="AM1" s="149"/>
      <c r="AN1" s="149"/>
      <c r="AO1" s="150"/>
      <c r="AP1" s="75" t="s">
        <v>38</v>
      </c>
      <c r="AQ1" s="76"/>
      <c r="AR1" s="76"/>
      <c r="AS1" s="77"/>
      <c r="AT1" s="75" t="s">
        <v>39</v>
      </c>
      <c r="AU1" s="76"/>
      <c r="AV1" s="76"/>
      <c r="AW1" s="76"/>
      <c r="AX1" s="77"/>
      <c r="AY1" s="75" t="s">
        <v>40</v>
      </c>
      <c r="AZ1" s="76"/>
      <c r="BA1" s="76"/>
      <c r="BB1" s="77"/>
      <c r="BC1" s="75" t="s">
        <v>41</v>
      </c>
      <c r="BD1" s="76"/>
      <c r="BE1" s="76"/>
      <c r="BF1" s="76"/>
      <c r="BG1" s="77"/>
      <c r="BH1" s="75" t="s">
        <v>42</v>
      </c>
      <c r="BI1" s="76"/>
      <c r="BJ1" s="76"/>
      <c r="BK1" s="77"/>
    </row>
    <row r="2" spans="1:63" ht="15" customHeight="1" x14ac:dyDescent="0.25">
      <c r="A2" s="142" t="str">
        <f>IF(表紙!A2="","",表紙!A2)</f>
        <v>POSサーバー</v>
      </c>
      <c r="B2" s="143"/>
      <c r="C2" s="143"/>
      <c r="D2" s="143"/>
      <c r="E2" s="143"/>
      <c r="F2" s="143"/>
      <c r="G2" s="143"/>
      <c r="H2" s="143"/>
      <c r="I2" s="143"/>
      <c r="J2" s="144"/>
      <c r="K2" s="142" t="str">
        <f>IF(表紙!K2="","",表紙!K2)</f>
        <v>POSサーバー</v>
      </c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4"/>
      <c r="W2" s="151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3"/>
      <c r="AP2" s="78" t="str">
        <f>IF(表紙!AP2="","",表紙!AP2)</f>
        <v>DuNT</v>
      </c>
      <c r="AQ2" s="79"/>
      <c r="AR2" s="79"/>
      <c r="AS2" s="80"/>
      <c r="AT2" s="106">
        <f>IF(表紙!AT2="","",表紙!AT2)</f>
        <v>45455</v>
      </c>
      <c r="AU2" s="107"/>
      <c r="AV2" s="107"/>
      <c r="AW2" s="107"/>
      <c r="AX2" s="108"/>
      <c r="AY2" s="78" t="str">
        <f>IF(表紙!AY2="","",表紙!AY2)</f>
        <v>DuNT</v>
      </c>
      <c r="AZ2" s="79"/>
      <c r="BA2" s="79"/>
      <c r="BB2" s="80"/>
      <c r="BC2" s="106">
        <f>IF(表紙!BC2="","",表紙!BC2)</f>
        <v>45455</v>
      </c>
      <c r="BD2" s="107"/>
      <c r="BE2" s="107"/>
      <c r="BF2" s="107"/>
      <c r="BG2" s="108"/>
      <c r="BH2" s="78">
        <f>IF(表紙!BH2="","",表紙!BH2)</f>
        <v>0.1</v>
      </c>
      <c r="BI2" s="79"/>
      <c r="BJ2" s="79"/>
      <c r="BK2" s="80"/>
    </row>
    <row r="3" spans="1:63" ht="15" customHeight="1" x14ac:dyDescent="0.25">
      <c r="A3" s="145"/>
      <c r="B3" s="146"/>
      <c r="C3" s="146"/>
      <c r="D3" s="146"/>
      <c r="E3" s="146"/>
      <c r="F3" s="146"/>
      <c r="G3" s="146"/>
      <c r="H3" s="146"/>
      <c r="I3" s="146"/>
      <c r="J3" s="147"/>
      <c r="K3" s="145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7"/>
      <c r="W3" s="154"/>
      <c r="X3" s="155"/>
      <c r="Y3" s="155"/>
      <c r="Z3" s="155"/>
      <c r="AA3" s="155"/>
      <c r="AB3" s="155"/>
      <c r="AC3" s="155"/>
      <c r="AD3" s="155"/>
      <c r="AE3" s="155"/>
      <c r="AF3" s="155"/>
      <c r="AG3" s="155"/>
      <c r="AH3" s="155"/>
      <c r="AI3" s="155"/>
      <c r="AJ3" s="155"/>
      <c r="AK3" s="155"/>
      <c r="AL3" s="155"/>
      <c r="AM3" s="155"/>
      <c r="AN3" s="155"/>
      <c r="AO3" s="156"/>
      <c r="AP3" s="81"/>
      <c r="AQ3" s="82"/>
      <c r="AR3" s="82"/>
      <c r="AS3" s="83"/>
      <c r="AT3" s="109"/>
      <c r="AU3" s="110"/>
      <c r="AV3" s="110"/>
      <c r="AW3" s="110"/>
      <c r="AX3" s="111"/>
      <c r="AY3" s="81"/>
      <c r="AZ3" s="82"/>
      <c r="BA3" s="82"/>
      <c r="BB3" s="83"/>
      <c r="BC3" s="109"/>
      <c r="BD3" s="110"/>
      <c r="BE3" s="110"/>
      <c r="BF3" s="110"/>
      <c r="BG3" s="111"/>
      <c r="BH3" s="81"/>
      <c r="BI3" s="82"/>
      <c r="BJ3" s="82"/>
      <c r="BK3" s="83"/>
    </row>
    <row r="4" spans="1:63" ht="24.95" customHeight="1" x14ac:dyDescent="0.25">
      <c r="A4" s="135" t="s">
        <v>44</v>
      </c>
      <c r="B4" s="136"/>
      <c r="C4" s="136"/>
      <c r="D4" s="136"/>
      <c r="E4" s="136"/>
      <c r="F4" s="136"/>
      <c r="G4" s="137"/>
      <c r="H4" s="138" t="str">
        <f>IF(表紙!H4="","",表紙!H4)</f>
        <v>API_AP0401</v>
      </c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40"/>
      <c r="U4" s="135" t="s">
        <v>45</v>
      </c>
      <c r="V4" s="136"/>
      <c r="W4" s="136"/>
      <c r="X4" s="136"/>
      <c r="Y4" s="137"/>
      <c r="Z4" s="138" t="str">
        <f>IF(表紙!Z4="","",表紙!Z4)</f>
        <v>API設計書</v>
      </c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40"/>
      <c r="AP4" s="141" t="str">
        <f ca="1">MID(CELL("filename",A1),FIND("]",CELL("filename",A1))+1,255)</f>
        <v>処理フロー</v>
      </c>
      <c r="AQ4" s="139"/>
      <c r="AR4" s="139"/>
      <c r="AS4" s="139"/>
      <c r="AT4" s="139"/>
      <c r="AU4" s="139"/>
      <c r="AV4" s="139"/>
      <c r="AW4" s="139"/>
      <c r="AX4" s="139"/>
      <c r="AY4" s="139"/>
      <c r="AZ4" s="139"/>
      <c r="BA4" s="139"/>
      <c r="BB4" s="139"/>
      <c r="BC4" s="139"/>
      <c r="BD4" s="139"/>
      <c r="BE4" s="139"/>
      <c r="BF4" s="139"/>
      <c r="BG4" s="139"/>
      <c r="BH4" s="139"/>
      <c r="BI4" s="139"/>
      <c r="BJ4" s="139"/>
      <c r="BK4" s="140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64" customFormat="1" ht="15" customHeight="1" x14ac:dyDescent="0.25">
      <c r="B7" s="10"/>
      <c r="C7" s="9"/>
      <c r="D7" s="9"/>
      <c r="E7" s="9"/>
      <c r="F7" s="9"/>
      <c r="G7" s="9"/>
      <c r="AI7" s="73"/>
      <c r="BJ7" s="73"/>
      <c r="BK7" s="63"/>
    </row>
    <row r="8" spans="1:63" s="64" customFormat="1" ht="15" customHeight="1" x14ac:dyDescent="0.25">
      <c r="B8" s="10"/>
      <c r="C8" s="9"/>
      <c r="D8" s="9"/>
      <c r="E8" s="9"/>
      <c r="F8" s="9"/>
      <c r="G8" s="9"/>
      <c r="AI8" s="73"/>
      <c r="BJ8" s="73"/>
      <c r="BK8" s="63"/>
    </row>
    <row r="9" spans="1:63" s="64" customFormat="1" ht="15" customHeight="1" x14ac:dyDescent="0.25">
      <c r="B9" s="10"/>
      <c r="C9" s="9"/>
      <c r="D9" s="9"/>
      <c r="E9" s="9"/>
      <c r="F9" s="9"/>
      <c r="G9" s="9"/>
      <c r="AI9" s="73"/>
      <c r="BJ9" s="73"/>
      <c r="BK9" s="63"/>
    </row>
    <row r="10" spans="1:63" s="64" customFormat="1" ht="15" customHeight="1" x14ac:dyDescent="0.25">
      <c r="B10" s="10"/>
      <c r="C10" s="9"/>
      <c r="D10" s="9"/>
      <c r="E10" s="9"/>
      <c r="F10" s="9"/>
      <c r="G10" s="9"/>
      <c r="AI10" s="73"/>
      <c r="BJ10" s="73"/>
      <c r="BK10" s="63"/>
    </row>
    <row r="11" spans="1:63" s="64" customFormat="1" ht="15" customHeight="1" x14ac:dyDescent="0.25">
      <c r="B11" s="10"/>
      <c r="C11" s="9"/>
      <c r="D11" s="9"/>
      <c r="E11" s="9"/>
      <c r="F11" s="9"/>
      <c r="G11" s="9"/>
      <c r="AI11" s="73"/>
      <c r="BJ11" s="73"/>
      <c r="BK11" s="63"/>
    </row>
    <row r="12" spans="1:63" s="64" customFormat="1" ht="15" customHeight="1" x14ac:dyDescent="0.25">
      <c r="B12" s="74"/>
      <c r="AI12" s="73"/>
      <c r="BJ12" s="73"/>
      <c r="BK12" s="63"/>
    </row>
    <row r="13" spans="1:63" s="64" customFormat="1" ht="15" customHeight="1" x14ac:dyDescent="0.25">
      <c r="B13" s="10"/>
      <c r="C13" s="9"/>
      <c r="D13" s="9"/>
      <c r="E13" s="9"/>
      <c r="F13" s="9"/>
      <c r="G13" s="9"/>
      <c r="AI13" s="73"/>
      <c r="BJ13" s="73"/>
      <c r="BK13" s="63"/>
    </row>
    <row r="14" spans="1:63" s="64" customFormat="1" ht="15" customHeight="1" x14ac:dyDescent="0.25">
      <c r="B14" s="10"/>
      <c r="C14" s="9"/>
      <c r="D14" s="9"/>
      <c r="E14" s="9"/>
      <c r="F14" s="9"/>
      <c r="G14" s="9"/>
      <c r="AI14" s="73"/>
      <c r="BJ14" s="73"/>
      <c r="BK14" s="63"/>
    </row>
    <row r="15" spans="1:63" s="64" customFormat="1" ht="15" customHeight="1" x14ac:dyDescent="0.25">
      <c r="B15" s="74"/>
      <c r="AI15" s="73"/>
      <c r="BJ15" s="73"/>
      <c r="BK15" s="63"/>
    </row>
    <row r="16" spans="1:63" s="64" customFormat="1" ht="15" customHeight="1" x14ac:dyDescent="0.25">
      <c r="B16" s="74"/>
      <c r="AI16" s="73"/>
      <c r="BJ16" s="73"/>
      <c r="BK16" s="63"/>
    </row>
    <row r="17" spans="2:63" s="64" customFormat="1" ht="15" customHeight="1" x14ac:dyDescent="0.25">
      <c r="B17" s="74"/>
      <c r="AI17" s="73"/>
      <c r="BJ17" s="73"/>
      <c r="BK17" s="63"/>
    </row>
    <row r="18" spans="2:63" s="64" customFormat="1" ht="15" customHeight="1" x14ac:dyDescent="0.25">
      <c r="B18" s="74"/>
      <c r="AI18" s="73"/>
      <c r="BJ18" s="73"/>
      <c r="BK18" s="63"/>
    </row>
    <row r="19" spans="2:63" s="64" customFormat="1" ht="15" customHeight="1" x14ac:dyDescent="0.25">
      <c r="B19" s="10"/>
      <c r="C19" s="9"/>
      <c r="D19" s="9"/>
      <c r="E19" s="9"/>
      <c r="F19" s="9"/>
      <c r="G19" s="9"/>
      <c r="AI19" s="73"/>
      <c r="BJ19" s="73"/>
      <c r="BK19" s="63"/>
    </row>
    <row r="20" spans="2:63" s="64" customFormat="1" ht="15" customHeight="1" x14ac:dyDescent="0.25">
      <c r="B20" s="10"/>
      <c r="C20" s="9"/>
      <c r="D20" s="9"/>
      <c r="E20" s="9"/>
      <c r="F20" s="9"/>
      <c r="G20" s="9"/>
      <c r="AI20" s="73"/>
      <c r="BJ20" s="73"/>
      <c r="BK20" s="63"/>
    </row>
    <row r="21" spans="2:63" s="64" customFormat="1" ht="15" customHeight="1" x14ac:dyDescent="0.25">
      <c r="B21" s="74"/>
      <c r="AI21" s="73"/>
      <c r="BJ21" s="73"/>
      <c r="BK21" s="63"/>
    </row>
    <row r="22" spans="2:63" s="64" customFormat="1" ht="15" customHeight="1" x14ac:dyDescent="0.25">
      <c r="B22" s="74"/>
      <c r="AI22" s="73"/>
      <c r="BJ22" s="73"/>
      <c r="BK22" s="63"/>
    </row>
    <row r="23" spans="2:63" s="64" customFormat="1" ht="15" customHeight="1" x14ac:dyDescent="0.25">
      <c r="B23" s="74"/>
      <c r="AI23" s="73"/>
      <c r="BJ23" s="73"/>
      <c r="BK23" s="63"/>
    </row>
    <row r="24" spans="2:63" s="64" customFormat="1" ht="15" customHeight="1" x14ac:dyDescent="0.25">
      <c r="B24" s="74"/>
      <c r="AI24" s="73"/>
      <c r="BJ24" s="73"/>
      <c r="BK24" s="63"/>
    </row>
    <row r="25" spans="2:63" s="64" customFormat="1" ht="15" customHeight="1" x14ac:dyDescent="0.25">
      <c r="B25" s="74"/>
      <c r="AI25" s="73"/>
      <c r="BJ25" s="73"/>
      <c r="BK25" s="63"/>
    </row>
    <row r="26" spans="2:63" s="64" customFormat="1" ht="15" customHeight="1" x14ac:dyDescent="0.25">
      <c r="B26" s="74"/>
      <c r="AI26" s="73"/>
      <c r="BJ26" s="73"/>
      <c r="BK26" s="63"/>
    </row>
    <row r="27" spans="2:63" s="64" customFormat="1" ht="15" customHeight="1" x14ac:dyDescent="0.25">
      <c r="B27" s="74"/>
      <c r="AI27" s="73"/>
      <c r="BJ27" s="73"/>
      <c r="BK27" s="63"/>
    </row>
    <row r="28" spans="2:63" s="64" customFormat="1" ht="15" customHeight="1" x14ac:dyDescent="0.25">
      <c r="B28" s="10"/>
      <c r="C28" s="9"/>
      <c r="D28" s="9"/>
      <c r="E28" s="9"/>
      <c r="F28" s="9"/>
      <c r="G28" s="9"/>
      <c r="AI28" s="73"/>
      <c r="BJ28" s="73"/>
      <c r="BK28" s="63"/>
    </row>
    <row r="29" spans="2:63" s="64" customFormat="1" ht="15" customHeight="1" x14ac:dyDescent="0.25">
      <c r="B29" s="10"/>
      <c r="C29" s="9"/>
      <c r="D29" s="9"/>
      <c r="E29" s="9"/>
      <c r="F29" s="9"/>
      <c r="G29" s="9"/>
      <c r="AI29" s="73"/>
      <c r="BJ29" s="73"/>
      <c r="BK29" s="63"/>
    </row>
    <row r="30" spans="2:63" s="64" customFormat="1" ht="15" customHeight="1" x14ac:dyDescent="0.25">
      <c r="B30" s="74"/>
      <c r="AI30" s="73"/>
      <c r="BJ30" s="73"/>
      <c r="BK30" s="63"/>
    </row>
    <row r="31" spans="2:63" s="64" customFormat="1" ht="15" customHeight="1" x14ac:dyDescent="0.25">
      <c r="B31" s="74"/>
      <c r="AI31" s="73"/>
      <c r="BJ31" s="73"/>
      <c r="BK31" s="63"/>
    </row>
    <row r="32" spans="2:63" s="64" customFormat="1" ht="15" customHeight="1" x14ac:dyDescent="0.25">
      <c r="B32" s="74"/>
      <c r="AI32" s="73"/>
      <c r="BJ32" s="73"/>
      <c r="BK32" s="63"/>
    </row>
    <row r="33" spans="2:63" s="64" customFormat="1" ht="15" customHeight="1" x14ac:dyDescent="0.25">
      <c r="B33" s="74"/>
      <c r="AI33" s="73"/>
      <c r="BJ33" s="73"/>
      <c r="BK33" s="63"/>
    </row>
    <row r="34" spans="2:63" s="64" customFormat="1" ht="15" customHeight="1" x14ac:dyDescent="0.25">
      <c r="B34" s="74"/>
      <c r="AI34" s="73"/>
      <c r="BJ34" s="73"/>
      <c r="BK34" s="63"/>
    </row>
    <row r="35" spans="2:63" s="64" customFormat="1" ht="15" customHeight="1" x14ac:dyDescent="0.25">
      <c r="B35" s="74"/>
      <c r="AI35" s="73"/>
      <c r="BJ35" s="73"/>
      <c r="BK35" s="63"/>
    </row>
    <row r="36" spans="2:63" s="64" customFormat="1" ht="15" customHeight="1" x14ac:dyDescent="0.25">
      <c r="B36" s="74"/>
      <c r="AI36" s="73"/>
      <c r="BJ36" s="73"/>
      <c r="BK36" s="63"/>
    </row>
    <row r="37" spans="2:63" s="64" customFormat="1" ht="15" customHeight="1" x14ac:dyDescent="0.25">
      <c r="B37" s="74"/>
      <c r="AI37" s="73"/>
      <c r="BJ37" s="73"/>
      <c r="BK37" s="63"/>
    </row>
    <row r="38" spans="2:63" s="64" customFormat="1" ht="15" customHeight="1" x14ac:dyDescent="0.25">
      <c r="B38" s="74"/>
      <c r="AI38" s="73"/>
      <c r="BJ38" s="73"/>
      <c r="BK38" s="63"/>
    </row>
    <row r="39" spans="2:63" s="64" customFormat="1" ht="15" customHeight="1" x14ac:dyDescent="0.25">
      <c r="B39" s="74"/>
      <c r="AI39" s="73"/>
      <c r="BJ39" s="73"/>
      <c r="BK39" s="63"/>
    </row>
    <row r="40" spans="2:63" s="64" customFormat="1" ht="15" customHeight="1" x14ac:dyDescent="0.25">
      <c r="B40" s="74"/>
      <c r="AI40" s="73"/>
      <c r="BJ40" s="73"/>
      <c r="BK40" s="63"/>
    </row>
    <row r="41" spans="2:63" s="64" customFormat="1" ht="15" customHeight="1" x14ac:dyDescent="0.25">
      <c r="B41" s="74"/>
      <c r="AI41" s="73"/>
      <c r="BJ41" s="73"/>
      <c r="BK41" s="63"/>
    </row>
    <row r="42" spans="2:63" s="64" customFormat="1" ht="15" customHeight="1" x14ac:dyDescent="0.25">
      <c r="B42" s="74"/>
      <c r="AI42" s="73"/>
      <c r="BJ42" s="73"/>
      <c r="BK42" s="63"/>
    </row>
    <row r="43" spans="2:63" s="64" customFormat="1" ht="15" customHeight="1" x14ac:dyDescent="0.25">
      <c r="B43" s="74"/>
      <c r="AI43" s="73"/>
      <c r="BJ43" s="73"/>
      <c r="BK43" s="63"/>
    </row>
    <row r="44" spans="2:63" s="64" customFormat="1" ht="15" customHeight="1" x14ac:dyDescent="0.25">
      <c r="B44" s="74"/>
      <c r="AI44" s="73"/>
      <c r="BJ44" s="73"/>
      <c r="BK44" s="63"/>
    </row>
    <row r="45" spans="2:63" s="64" customFormat="1" ht="15" customHeight="1" x14ac:dyDescent="0.25">
      <c r="B45" s="74"/>
      <c r="AI45" s="73"/>
      <c r="BJ45" s="73"/>
      <c r="BK45" s="63"/>
    </row>
    <row r="46" spans="2:63" s="64" customFormat="1" ht="15" customHeight="1" x14ac:dyDescent="0.25">
      <c r="B46" s="74"/>
      <c r="AI46" s="73"/>
      <c r="BJ46" s="73"/>
      <c r="BK46" s="63"/>
    </row>
    <row r="47" spans="2:63" ht="15" customHeight="1" x14ac:dyDescent="0.25">
      <c r="B47" s="11"/>
      <c r="AI47" s="13"/>
      <c r="BJ47" s="13"/>
      <c r="BK47" s="5"/>
    </row>
    <row r="48" spans="2:63" ht="15" customHeight="1" x14ac:dyDescent="0.25">
      <c r="B48" s="11"/>
      <c r="AI48" s="13"/>
      <c r="BJ48" s="13"/>
      <c r="BK48" s="5"/>
    </row>
    <row r="49" spans="1:63" ht="15" customHeight="1" x14ac:dyDescent="0.25">
      <c r="B49" s="11"/>
      <c r="AI49" s="13"/>
      <c r="BJ49" s="13"/>
      <c r="BK49" s="5"/>
    </row>
    <row r="50" spans="1:63" ht="15" customHeight="1" x14ac:dyDescent="0.25">
      <c r="B50" s="11"/>
      <c r="AI50" s="13"/>
      <c r="BJ50" s="13"/>
      <c r="BK50" s="5"/>
    </row>
    <row r="51" spans="1:63" ht="15" customHeight="1" x14ac:dyDescent="0.25">
      <c r="B51" s="11"/>
      <c r="AI51" s="13"/>
      <c r="BJ51" s="13"/>
      <c r="BK51" s="5"/>
    </row>
    <row r="52" spans="1:63" ht="15" customHeight="1" x14ac:dyDescent="0.25">
      <c r="B52" s="11"/>
      <c r="AI52" s="13"/>
      <c r="BJ52" s="13"/>
      <c r="BK52" s="5"/>
    </row>
    <row r="53" spans="1:63" ht="15" customHeight="1" x14ac:dyDescent="0.25">
      <c r="B53" s="11"/>
      <c r="AI53" s="13"/>
      <c r="BJ53" s="13"/>
      <c r="BK53" s="5"/>
    </row>
    <row r="54" spans="1:63" ht="15" customHeight="1" x14ac:dyDescent="0.25">
      <c r="A54" s="3"/>
      <c r="B54" s="12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14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14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35" t="s">
        <v>35</v>
      </c>
      <c r="B1" s="136"/>
      <c r="C1" s="136"/>
      <c r="D1" s="136"/>
      <c r="E1" s="136"/>
      <c r="F1" s="136"/>
      <c r="G1" s="136"/>
      <c r="H1" s="136"/>
      <c r="I1" s="136"/>
      <c r="J1" s="137"/>
      <c r="K1" s="135" t="s">
        <v>36</v>
      </c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7"/>
      <c r="W1" s="148" t="str">
        <f>IF(表紙!W1="","",表紙!W1)</f>
        <v>詳細設計書</v>
      </c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  <c r="AM1" s="149"/>
      <c r="AN1" s="149"/>
      <c r="AO1" s="150"/>
      <c r="AP1" s="75" t="s">
        <v>38</v>
      </c>
      <c r="AQ1" s="76"/>
      <c r="AR1" s="76"/>
      <c r="AS1" s="77"/>
      <c r="AT1" s="75" t="s">
        <v>39</v>
      </c>
      <c r="AU1" s="76"/>
      <c r="AV1" s="76"/>
      <c r="AW1" s="76"/>
      <c r="AX1" s="77"/>
      <c r="AY1" s="75" t="s">
        <v>40</v>
      </c>
      <c r="AZ1" s="76"/>
      <c r="BA1" s="76"/>
      <c r="BB1" s="77"/>
      <c r="BC1" s="75" t="s">
        <v>41</v>
      </c>
      <c r="BD1" s="76"/>
      <c r="BE1" s="76"/>
      <c r="BF1" s="76"/>
      <c r="BG1" s="77"/>
      <c r="BH1" s="75" t="s">
        <v>42</v>
      </c>
      <c r="BI1" s="76"/>
      <c r="BJ1" s="76"/>
      <c r="BK1" s="77"/>
    </row>
    <row r="2" spans="1:63" ht="15" customHeight="1" x14ac:dyDescent="0.25">
      <c r="A2" s="142" t="str">
        <f>IF(表紙!A2="","",表紙!A2)</f>
        <v>POSサーバー</v>
      </c>
      <c r="B2" s="143"/>
      <c r="C2" s="143"/>
      <c r="D2" s="143"/>
      <c r="E2" s="143"/>
      <c r="F2" s="143"/>
      <c r="G2" s="143"/>
      <c r="H2" s="143"/>
      <c r="I2" s="143"/>
      <c r="J2" s="144"/>
      <c r="K2" s="142" t="str">
        <f>IF(表紙!K2="","",表紙!K2)</f>
        <v>POSサーバー</v>
      </c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4"/>
      <c r="W2" s="151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3"/>
      <c r="AP2" s="78" t="str">
        <f>IF(表紙!AP2="","",表紙!AP2)</f>
        <v>DuNT</v>
      </c>
      <c r="AQ2" s="79"/>
      <c r="AR2" s="79"/>
      <c r="AS2" s="80"/>
      <c r="AT2" s="106">
        <f>IF(表紙!AT2="","",表紙!AT2)</f>
        <v>45455</v>
      </c>
      <c r="AU2" s="107"/>
      <c r="AV2" s="107"/>
      <c r="AW2" s="107"/>
      <c r="AX2" s="108"/>
      <c r="AY2" s="78" t="str">
        <f>IF(表紙!AY2="","",表紙!AY2)</f>
        <v>DuNT</v>
      </c>
      <c r="AZ2" s="79"/>
      <c r="BA2" s="79"/>
      <c r="BB2" s="80"/>
      <c r="BC2" s="106">
        <f>IF(表紙!BC2="","",表紙!BC2)</f>
        <v>45455</v>
      </c>
      <c r="BD2" s="107"/>
      <c r="BE2" s="107"/>
      <c r="BF2" s="107"/>
      <c r="BG2" s="108"/>
      <c r="BH2" s="78">
        <f>IF(表紙!BH2="","",表紙!BH2)</f>
        <v>0.1</v>
      </c>
      <c r="BI2" s="79"/>
      <c r="BJ2" s="79"/>
      <c r="BK2" s="80"/>
    </row>
    <row r="3" spans="1:63" ht="15" customHeight="1" x14ac:dyDescent="0.25">
      <c r="A3" s="145"/>
      <c r="B3" s="146"/>
      <c r="C3" s="146"/>
      <c r="D3" s="146"/>
      <c r="E3" s="146"/>
      <c r="F3" s="146"/>
      <c r="G3" s="146"/>
      <c r="H3" s="146"/>
      <c r="I3" s="146"/>
      <c r="J3" s="147"/>
      <c r="K3" s="145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7"/>
      <c r="W3" s="154"/>
      <c r="X3" s="155"/>
      <c r="Y3" s="155"/>
      <c r="Z3" s="155"/>
      <c r="AA3" s="155"/>
      <c r="AB3" s="155"/>
      <c r="AC3" s="155"/>
      <c r="AD3" s="155"/>
      <c r="AE3" s="155"/>
      <c r="AF3" s="155"/>
      <c r="AG3" s="155"/>
      <c r="AH3" s="155"/>
      <c r="AI3" s="155"/>
      <c r="AJ3" s="155"/>
      <c r="AK3" s="155"/>
      <c r="AL3" s="155"/>
      <c r="AM3" s="155"/>
      <c r="AN3" s="155"/>
      <c r="AO3" s="156"/>
      <c r="AP3" s="81"/>
      <c r="AQ3" s="82"/>
      <c r="AR3" s="82"/>
      <c r="AS3" s="83"/>
      <c r="AT3" s="109"/>
      <c r="AU3" s="110"/>
      <c r="AV3" s="110"/>
      <c r="AW3" s="110"/>
      <c r="AX3" s="111"/>
      <c r="AY3" s="81"/>
      <c r="AZ3" s="82"/>
      <c r="BA3" s="82"/>
      <c r="BB3" s="83"/>
      <c r="BC3" s="109"/>
      <c r="BD3" s="110"/>
      <c r="BE3" s="110"/>
      <c r="BF3" s="110"/>
      <c r="BG3" s="111"/>
      <c r="BH3" s="81"/>
      <c r="BI3" s="82"/>
      <c r="BJ3" s="82"/>
      <c r="BK3" s="83"/>
    </row>
    <row r="4" spans="1:63" ht="24.95" customHeight="1" x14ac:dyDescent="0.25">
      <c r="A4" s="135" t="s">
        <v>44</v>
      </c>
      <c r="B4" s="136"/>
      <c r="C4" s="136"/>
      <c r="D4" s="136"/>
      <c r="E4" s="136"/>
      <c r="F4" s="136"/>
      <c r="G4" s="137"/>
      <c r="H4" s="138" t="str">
        <f>IF(表紙!H4="","",表紙!H4)</f>
        <v>API_AP0401</v>
      </c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40"/>
      <c r="U4" s="135" t="s">
        <v>45</v>
      </c>
      <c r="V4" s="136"/>
      <c r="W4" s="136"/>
      <c r="X4" s="136"/>
      <c r="Y4" s="137"/>
      <c r="Z4" s="138" t="str">
        <f>IF(表紙!Z4="","",表紙!Z4)</f>
        <v>API設計書</v>
      </c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40"/>
      <c r="AP4" s="141" t="str">
        <f ca="1">MID(CELL("filename",A1),FIND("]",CELL("filename",A1))+1,255)</f>
        <v>テンプレート</v>
      </c>
      <c r="AQ4" s="139"/>
      <c r="AR4" s="139"/>
      <c r="AS4" s="139"/>
      <c r="AT4" s="139"/>
      <c r="AU4" s="139"/>
      <c r="AV4" s="139"/>
      <c r="AW4" s="139"/>
      <c r="AX4" s="139"/>
      <c r="AY4" s="139"/>
      <c r="AZ4" s="139"/>
      <c r="BA4" s="139"/>
      <c r="BB4" s="139"/>
      <c r="BC4" s="139"/>
      <c r="BD4" s="139"/>
      <c r="BE4" s="139"/>
      <c r="BF4" s="139"/>
      <c r="BG4" s="139"/>
      <c r="BH4" s="139"/>
      <c r="BI4" s="139"/>
      <c r="BJ4" s="139"/>
      <c r="BK4" s="140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64" customFormat="1" ht="15" customHeight="1" x14ac:dyDescent="0.25">
      <c r="BK7" s="63"/>
    </row>
    <row r="8" spans="1:63" s="64" customFormat="1" ht="15" customHeight="1" x14ac:dyDescent="0.25">
      <c r="BK8" s="63"/>
    </row>
    <row r="9" spans="1:63" s="64" customFormat="1" ht="15" customHeight="1" x14ac:dyDescent="0.25">
      <c r="BK9" s="63"/>
    </row>
    <row r="10" spans="1:63" s="64" customFormat="1" ht="15" customHeight="1" x14ac:dyDescent="0.25">
      <c r="BK10" s="63"/>
    </row>
    <row r="11" spans="1:63" s="64" customFormat="1" ht="15" customHeight="1" x14ac:dyDescent="0.25">
      <c r="BK11" s="63"/>
    </row>
    <row r="12" spans="1:63" s="64" customFormat="1" ht="15" customHeight="1" x14ac:dyDescent="0.25">
      <c r="BK12" s="63"/>
    </row>
    <row r="13" spans="1:63" s="64" customFormat="1" ht="15" customHeight="1" x14ac:dyDescent="0.25">
      <c r="BK13" s="63"/>
    </row>
    <row r="14" spans="1:63" s="64" customFormat="1" ht="15" customHeight="1" x14ac:dyDescent="0.25">
      <c r="BK14" s="63"/>
    </row>
    <row r="15" spans="1:63" s="64" customFormat="1" ht="15" customHeight="1" x14ac:dyDescent="0.25">
      <c r="BK15" s="63"/>
    </row>
    <row r="16" spans="1:63" s="64" customFormat="1" ht="15" customHeight="1" x14ac:dyDescent="0.25">
      <c r="BK16" s="63"/>
    </row>
    <row r="17" spans="63:63" s="64" customFormat="1" ht="15" customHeight="1" x14ac:dyDescent="0.25">
      <c r="BK17" s="63"/>
    </row>
    <row r="18" spans="63:63" s="64" customFormat="1" ht="15" customHeight="1" x14ac:dyDescent="0.25">
      <c r="BK18" s="63"/>
    </row>
    <row r="19" spans="63:63" s="64" customFormat="1" ht="15" customHeight="1" x14ac:dyDescent="0.25">
      <c r="BK19" s="63"/>
    </row>
    <row r="20" spans="63:63" s="64" customFormat="1" ht="15" customHeight="1" x14ac:dyDescent="0.25">
      <c r="BK20" s="63"/>
    </row>
    <row r="21" spans="63:63" s="64" customFormat="1" ht="15" customHeight="1" x14ac:dyDescent="0.25">
      <c r="BK21" s="63"/>
    </row>
    <row r="22" spans="63:63" s="64" customFormat="1" ht="15" customHeight="1" x14ac:dyDescent="0.25">
      <c r="BK22" s="63"/>
    </row>
    <row r="23" spans="63:63" s="64" customFormat="1" ht="15" customHeight="1" x14ac:dyDescent="0.25">
      <c r="BK23" s="63"/>
    </row>
    <row r="24" spans="63:63" s="64" customFormat="1" ht="15" customHeight="1" x14ac:dyDescent="0.25">
      <c r="BK24" s="63"/>
    </row>
    <row r="25" spans="63:63" s="64" customFormat="1" ht="15" customHeight="1" x14ac:dyDescent="0.25">
      <c r="BK25" s="63"/>
    </row>
    <row r="26" spans="63:63" s="64" customFormat="1" ht="15" customHeight="1" x14ac:dyDescent="0.25">
      <c r="BK26" s="63"/>
    </row>
    <row r="27" spans="63:63" s="64" customFormat="1" ht="15" customHeight="1" x14ac:dyDescent="0.25">
      <c r="BK27" s="63"/>
    </row>
    <row r="28" spans="63:63" s="64" customFormat="1" ht="15" customHeight="1" x14ac:dyDescent="0.25">
      <c r="BK28" s="63"/>
    </row>
    <row r="29" spans="63:63" s="64" customFormat="1" ht="15" customHeight="1" x14ac:dyDescent="0.25">
      <c r="BK29" s="63"/>
    </row>
    <row r="30" spans="63:63" s="64" customFormat="1" ht="15" customHeight="1" x14ac:dyDescent="0.25">
      <c r="BK30" s="63"/>
    </row>
    <row r="31" spans="63:63" s="64" customFormat="1" ht="15" customHeight="1" x14ac:dyDescent="0.25">
      <c r="BK31" s="63"/>
    </row>
    <row r="32" spans="63:63" s="64" customFormat="1" ht="15" customHeight="1" x14ac:dyDescent="0.25">
      <c r="BK32" s="63"/>
    </row>
    <row r="33" spans="63:63" s="64" customFormat="1" ht="15" customHeight="1" x14ac:dyDescent="0.25">
      <c r="BK33" s="63"/>
    </row>
    <row r="34" spans="63:63" s="64" customFormat="1" ht="15" customHeight="1" x14ac:dyDescent="0.25">
      <c r="BK34" s="63"/>
    </row>
    <row r="35" spans="63:63" s="64" customFormat="1" ht="15" customHeight="1" x14ac:dyDescent="0.25">
      <c r="BK35" s="63"/>
    </row>
    <row r="36" spans="63:63" s="64" customFormat="1" ht="15" customHeight="1" x14ac:dyDescent="0.25">
      <c r="BK36" s="63"/>
    </row>
    <row r="37" spans="63:63" s="64" customFormat="1" ht="15" customHeight="1" x14ac:dyDescent="0.25">
      <c r="BK37" s="63"/>
    </row>
    <row r="38" spans="63:63" s="64" customFormat="1" ht="15" customHeight="1" x14ac:dyDescent="0.25">
      <c r="BK38" s="63"/>
    </row>
    <row r="39" spans="63:63" s="64" customFormat="1" ht="15" customHeight="1" x14ac:dyDescent="0.25">
      <c r="BK39" s="63"/>
    </row>
    <row r="40" spans="63:63" s="64" customFormat="1" ht="15" customHeight="1" x14ac:dyDescent="0.25">
      <c r="BK40" s="63"/>
    </row>
    <row r="41" spans="63:63" s="64" customFormat="1" ht="15" customHeight="1" x14ac:dyDescent="0.25">
      <c r="BK41" s="63"/>
    </row>
    <row r="42" spans="63:63" s="64" customFormat="1" ht="15" customHeight="1" x14ac:dyDescent="0.25">
      <c r="BK42" s="63"/>
    </row>
    <row r="43" spans="63:63" s="64" customFormat="1" ht="15" customHeight="1" x14ac:dyDescent="0.25">
      <c r="BK43" s="63"/>
    </row>
    <row r="44" spans="63:63" s="64" customFormat="1" ht="15" customHeight="1" x14ac:dyDescent="0.25">
      <c r="BK44" s="63"/>
    </row>
    <row r="45" spans="63:63" s="64" customFormat="1" ht="15" customHeight="1" x14ac:dyDescent="0.25">
      <c r="BK45" s="63"/>
    </row>
    <row r="46" spans="63:63" s="64" customFormat="1" ht="15" customHeight="1" x14ac:dyDescent="0.25">
      <c r="BK46" s="63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54476F-A4A3-4DF9-B75A-84B87767AE05}"/>
</file>

<file path=customXml/itemProps2.xml><?xml version="1.0" encoding="utf-8"?>
<ds:datastoreItem xmlns:ds="http://schemas.openxmlformats.org/officeDocument/2006/customXml" ds:itemID="{6C1A4C8E-21CC-4B52-BAA2-888632F1D871}"/>
</file>

<file path=customXml/itemProps3.xml><?xml version="1.0" encoding="utf-8"?>
<ds:datastoreItem xmlns:ds="http://schemas.openxmlformats.org/officeDocument/2006/customXml" ds:itemID="{9B77DB6F-9B48-4144-8FB8-621700D35B4D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AP0401</vt:lpstr>
      <vt:lpstr>処理フロー</vt:lpstr>
      <vt:lpstr>テンプレート</vt:lpstr>
      <vt:lpstr>'AP0401'!Print_Area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2024-07-11T08:42:27Z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