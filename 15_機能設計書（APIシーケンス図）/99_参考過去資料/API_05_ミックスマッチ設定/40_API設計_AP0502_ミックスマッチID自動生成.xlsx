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2FFB110-3147-4F15-A5EA-0D5A7EB03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2" sheetId="8" r:id="rId4"/>
    <sheet name="処理フロー" sheetId="9" r:id="rId5"/>
    <sheet name="テンプレート" sheetId="7" r:id="rId6"/>
  </sheets>
  <definedNames>
    <definedName name="_xlnm.Print_Area" localSheetId="3">'AP0502'!$A$1:$BK$68</definedName>
    <definedName name="_xlnm.Print_Area" localSheetId="5">テンプレート!$A$1:$BK$54</definedName>
    <definedName name="_xlnm.Print_Area" localSheetId="4">処理フロー!$A$1:$BK$41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C50" i="8"/>
  <c r="C51" i="8" s="1"/>
  <c r="C52" i="8" s="1"/>
  <c r="C53" i="8" s="1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9" s="1"/>
  <c r="BH2" i="10" l="1"/>
  <c r="AY2" i="9"/>
  <c r="AY2" i="8"/>
  <c r="BC2" i="9"/>
  <c r="AP2" i="7"/>
  <c r="BH2" i="7"/>
  <c r="AY2" i="3"/>
  <c r="AY2" i="10"/>
  <c r="BC2" i="8"/>
  <c r="BH2" i="9"/>
  <c r="BH2" i="8"/>
  <c r="BC2" i="3"/>
  <c r="BC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Du</author>
  </authors>
  <commentList>
    <comment ref="S51" authorId="0" shapeId="0" xr:uid="{00000000-0006-0000-0300-000001000000}">
      <text>
        <r>
          <rPr>
            <b/>
            <sz val="9"/>
            <rFont val="Tahoma"/>
            <family val="2"/>
          </rPr>
          <t>Nguyen Thi Du:</t>
        </r>
        <r>
          <rPr>
            <sz val="9"/>
            <rFont val="Tahoma"/>
            <family val="2"/>
          </rPr>
          <t xml:space="preserve">
フロー41,、42に依存する。</t>
        </r>
      </text>
    </comment>
  </commentList>
</comments>
</file>

<file path=xl/sharedStrings.xml><?xml version="1.0" encoding="utf-8"?>
<sst xmlns="http://schemas.openxmlformats.org/spreadsheetml/2006/main" count="194" uniqueCount="106">
  <si>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</si>
  <si>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</si>
  <si>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</si>
  <si>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</si>
  <si>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</si>
  <si>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</si>
  <si>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</si>
  <si>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</si>
  <si>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</si>
  <si>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</si>
  <si>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</si>
  <si>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</si>
  <si>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</si>
  <si>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</si>
  <si>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</si>
  <si>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</si>
  <si>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</si>
  <si>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</si>
  <si>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</si>
  <si>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</si>
  <si>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</si>
  <si>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</si>
  <si>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</si>
  <si>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</si>
  <si>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</si>
  <si>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</si>
  <si>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</si>
  <si>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</si>
  <si>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</si>
  <si>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</si>
  <si>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</si>
  <si>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</si>
  <si>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</si>
  <si>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</si>
  <si>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</si>
  <si>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</si>
  <si>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</si>
  <si>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</si>
  <si>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idの値を生成する店舗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</si>
  <si>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</si>
  <si>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ミックスマッチコード</t>
    </r>
  </si>
  <si>
    <r>
      <rPr>
        <b/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</si>
  <si>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AP0502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</si>
  <si>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</si>
  <si>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</si>
  <si>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</si>
  <si>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作成されたミックスマッチのプロモーションコード</t>
    </r>
  </si>
  <si>
    <r>
      <rPr>
        <sz val="11"/>
        <color rgb="FF000000"/>
        <rFont val="Meiryo UI"/>
        <family val="2"/>
      </rPr>
      <t>sql更新</t>
    </r>
  </si>
  <si>
    <r>
      <rPr>
        <sz val="11"/>
        <color rgb="FF000000"/>
        <rFont val="Meiryo UI"/>
        <family val="2"/>
      </rPr>
      <t>api/v1/combinations/generate-code</t>
    </r>
  </si>
  <si>
    <r>
      <rPr>
        <sz val="11"/>
        <color rgb="FFED7D31"/>
        <rFont val="Meiryo UI"/>
        <family val="2"/>
      </rPr>
      <t>settings</t>
    </r>
  </si>
  <si>
    <r>
      <rPr>
        <sz val="11"/>
        <color rgb="FFED7D31"/>
        <rFont val="Meiryo UI"/>
        <family val="2"/>
      </rPr>
      <t>Object</t>
    </r>
  </si>
  <si>
    <r>
      <rPr>
        <sz val="11"/>
        <color rgb="FFED7D31"/>
        <rFont val="Meiryo UI"/>
        <family val="2"/>
      </rPr>
      <t>各ミックスマッチ区分のオプション数設定</t>
    </r>
  </si>
  <si>
    <r>
      <rPr>
        <sz val="11"/>
        <color rgb="FFED7D31"/>
        <rFont val="Meiryo UI"/>
        <family val="2"/>
      </rPr>
      <t>type_one</t>
    </r>
  </si>
  <si>
    <r>
      <rPr>
        <sz val="11"/>
        <color rgb="FFED7D31"/>
        <rFont val="Meiryo UI"/>
        <family val="2"/>
      </rPr>
      <t>Int</t>
    </r>
  </si>
  <si>
    <r>
      <rPr>
        <sz val="11"/>
        <color rgb="FFED7D31"/>
        <rFont val="Meiryo UI"/>
        <family val="2"/>
      </rPr>
      <t>一時的に固定値を2に設定する。</t>
    </r>
  </si>
  <si>
    <r>
      <rPr>
        <sz val="11"/>
        <color rgb="FFED7D31"/>
        <rFont val="Meiryo UI"/>
        <family val="2"/>
      </rPr>
      <t>ミックスマッチタイプ1のオプション数設定</t>
    </r>
  </si>
  <si>
    <r>
      <rPr>
        <sz val="11"/>
        <color rgb="FFED7D31"/>
        <rFont val="Meiryo UI"/>
        <family val="2"/>
      </rPr>
      <t>type_two</t>
    </r>
  </si>
  <si>
    <r>
      <rPr>
        <sz val="11"/>
        <color rgb="FFED7D31"/>
        <rFont val="Meiryo UI"/>
        <family val="2"/>
      </rPr>
      <t>一時的に固定値を5に設定する。</t>
    </r>
  </si>
  <si>
    <r>
      <rPr>
        <sz val="11"/>
        <color rgb="FFED7D31"/>
        <rFont val="Meiryo UI"/>
        <family val="2"/>
      </rPr>
      <t>ミックスマッチタイプ2のオプション数設定</t>
    </r>
  </si>
  <si>
    <r>
      <rPr>
        <sz val="11"/>
        <color rgb="FFED7D31"/>
        <rFont val="Meiryo UI"/>
        <family val="2"/>
      </rPr>
      <t>type_three</t>
    </r>
  </si>
  <si>
    <r>
      <rPr>
        <sz val="11"/>
        <color rgb="FFED7D31"/>
        <rFont val="Meiryo UI"/>
        <family val="2"/>
      </rPr>
      <t>ミックスマッチタイプ3のオプション数設定</t>
    </r>
  </si>
  <si>
    <r>
      <rPr>
        <sz val="11"/>
        <color rgb="FFED7D31"/>
        <rFont val="Meiryo UI"/>
        <family val="2"/>
      </rPr>
      <t>ミックスマッチオプション数を追加する。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</si>
  <si>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</si>
  <si>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</si>
  <si>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</si>
  <si>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</si>
  <si>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</si>
  <si>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</si>
  <si>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</si>
  <si>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</si>
  <si>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</si>
  <si>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</si>
  <si>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</si>
  <si>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</si>
  <si>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</si>
  <si>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</si>
  <si>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</si>
  <si>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</si>
  <si>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</si>
  <si>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</si>
  <si>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AP0501：新しい設計に基づいてDB テーブルを更新し、record_id を削除する</t>
  </si>
  <si>
    <t>処理フロー：sql文を更新する。</t>
  </si>
  <si>
    <t>●API処理フロー</t>
  </si>
  <si>
    <t>ミックスマッチコードを自動生成する：3桁、ミックスマッチコードは連番で増加、DBに存在しないコード（100から999の範囲）を生成する。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</si>
  <si>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</si>
  <si>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</si>
  <si>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</si>
  <si>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</si>
  <si>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</si>
  <si>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</si>
  <si>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</si>
  <si>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</si>
  <si>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</si>
  <si>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・バリデーションチェック：数字であること（メッセージ = MSG_VAL_006）
・バリデーションチェック：5桁未満の場合、 エラーメッセージ = MSG_VAL_002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</si>
  <si>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</si>
  <si>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</si>
  <si>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</si>
  <si>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</si>
  <si>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</si>
  <si>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m_combination.StoreCode</t>
  </si>
  <si>
    <t>m_combination.PromotionCode</t>
  </si>
  <si>
    <t>m_combination.CombinationCode</t>
  </si>
  <si>
    <r>
      <rPr>
        <sz val="11"/>
        <color rgb="FF000000"/>
        <rFont val="Meiryo UI"/>
        <family val="2"/>
      </rPr>
      <t xml:space="preserve">      "record_id":1,</t>
    </r>
  </si>
  <si>
    <r>
      <rPr>
        <sz val="11"/>
        <color rgb="FF000000"/>
        <rFont val="Meiryo UI"/>
        <family val="2"/>
      </rPr>
      <t xml:space="preserve">      "store_code":"09176",</t>
    </r>
  </si>
  <si>
    <r>
      <rPr>
        <sz val="11"/>
        <color rgb="FF000000"/>
        <rFont val="Meiryo UI"/>
        <family val="2"/>
      </rPr>
      <t xml:space="preserve">      "mix_match_code":"101"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</si>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</sst>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0" fontId="5" fillId="0" borderId="0">
      <alignment vertical="center"/>
    </xf>
  </cellStyleXfs>
  <cellXfs count="31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 wrapText="1"/>
    </xf>
    <xf numFmtId="0" fontId="7" fillId="0" borderId="22" xfId="0" quotePrefix="1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left" vertical="center" indent="1"/>
    </xf>
    <xf numFmtId="0" fontId="6" fillId="0" borderId="23" xfId="0" applyFont="1" applyBorder="1" applyAlignment="1">
      <alignment horizontal="left" vertical="center" indent="1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19" fillId="4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9" fillId="4" borderId="0" xfId="0" applyFont="1" applyFill="1"/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17" xfId="0" applyFont="1" applyBorder="1"/>
    <xf numFmtId="0" fontId="23" fillId="0" borderId="18" xfId="0" applyFont="1" applyBorder="1"/>
    <xf numFmtId="0" fontId="23" fillId="0" borderId="1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14" fontId="26" fillId="0" borderId="1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0" fontId="26" fillId="0" borderId="26" xfId="0" applyFont="1" applyBorder="1"/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28" xfId="0" applyFont="1" applyBorder="1"/>
    <xf numFmtId="0" fontId="26" fillId="0" borderId="29" xfId="0" applyFont="1" applyBorder="1"/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 indent="1"/>
    </xf>
    <xf numFmtId="0" fontId="26" fillId="0" borderId="22" xfId="0" applyFont="1" applyBorder="1" applyAlignment="1">
      <alignment horizontal="left" vertical="center" indent="1"/>
    </xf>
    <xf numFmtId="0" fontId="26" fillId="0" borderId="23" xfId="0" applyFont="1" applyBorder="1" applyAlignment="1">
      <alignment horizontal="left" vertical="center" indent="1"/>
    </xf>
    <xf numFmtId="0" fontId="26" fillId="0" borderId="22" xfId="0" applyFont="1" applyBorder="1" applyAlignment="1">
      <alignment horizontal="left" vertical="center"/>
    </xf>
    <xf numFmtId="0" fontId="26" fillId="0" borderId="21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6" fillId="0" borderId="21" xfId="0" applyFont="1" applyBorder="1" applyAlignment="1">
      <alignment horizontal="left" vertical="center" indent="2"/>
    </xf>
    <xf numFmtId="0" fontId="26" fillId="0" borderId="22" xfId="0" applyFont="1" applyBorder="1" applyAlignment="1">
      <alignment horizontal="left" vertical="center" indent="2"/>
    </xf>
    <xf numFmtId="0" fontId="26" fillId="0" borderId="23" xfId="0" applyFont="1" applyBorder="1" applyAlignment="1">
      <alignment horizontal="left" vertical="center" indent="2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8</xdr:col>
      <xdr:colOff>0</xdr:colOff>
      <xdr:row>29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5448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38</xdr:row>
      <xdr:rowOff>100855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3924300"/>
          <a:ext cx="7200900" cy="3533775"/>
        </a:xfrm>
        <a:prstGeom prst="borderCallout1">
          <a:avLst>
            <a:gd name="adj1" fmla="val 51887"/>
            <a:gd name="adj2" fmla="val 470"/>
            <a:gd name="adj3" fmla="val 11779"/>
            <a:gd name="adj4" fmla="val -975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自動的にIDを生成する：ミックスマッチコードを含む列の値を確認し、欠けている値があればその値を返す。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INSERT INTO m_combination (CompanyCode, StoreCode, PromotionCode, CombinationCode, TargetApply) VALUE (User.CompanyCode, param{store_code}, param{promotion_code}, ( SELECT IFNULL(t.missing_id, 100) AS missing_id FROM (select case when count(*) = 0 then 100 else (  SELECT CASE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WHEN t1.CombinationCode - 1 &gt;= 100 AND t3.CombinationCode IS NULL THEN t1.CombinationCode - 1 WHEN t1.CombinationCode + 1 &gt;= 100 AND t1.CombinationCode + 1 &lt;= 999 AND t2.CombinationCode IS NULL THEN t1.CombinationCode + 1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ELSE NULL END FROM pos_server_master.m_combination t1  LEFT JOIN pos_server_master.m_combination t2 ON t1.CombinationCode + 1 = t2.CombinationCode AND t1.CompanyCode = t2.CompanyCode AND t1.StoreCode = t2.StoreCode  LEFT JOIN pos_server_master.m_combination t3 ON t1.CombinationCode - 1 = t3.CombinationCode AND t1.CompanyCode = t3.CompanyCode AND t1.StoreCode = t3.StoreCode 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WHERE t1.CompanyCode = '100' AND t1.StoreCode = '001' AND ( ( t1.CombinationCode + 1 &gt;= 100 AND t1.CombinationCode + 1 &lt;= 999 AND t2.CombinationCode IS NULL )  OR ( t1.CombinationCode - 1 &gt;= 100 AND t3.CombinationCode IS NULL ))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ORDER BY t1.CombinationCode limit 1 ) END AS missing_id ) AS t) , 0);</a:t>
          </a:r>
        </a:p>
      </xdr:txBody>
    </xdr:sp>
    <xdr:clientData/>
  </xdr:twoCellAnchor>
  <xdr:twoCellAnchor>
    <xdr:from>
      <xdr:col>3</xdr:col>
      <xdr:colOff>0</xdr:colOff>
      <xdr:row>19</xdr:row>
      <xdr:rowOff>179294</xdr:rowOff>
    </xdr:from>
    <xdr:to>
      <xdr:col>9</xdr:col>
      <xdr:colOff>0</xdr:colOff>
      <xdr:row>23</xdr:row>
      <xdr:rowOff>179294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14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ミックスマッチを自動的に作成する。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23</xdr:row>
      <xdr:rowOff>179294</xdr:rowOff>
    </xdr:from>
    <xdr:to>
      <xdr:col>6</xdr:col>
      <xdr:colOff>1</xdr:colOff>
      <xdr:row>28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 flipH="1">
          <a:off x="1600200" y="4676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8</xdr:col>
      <xdr:colOff>235323</xdr:colOff>
      <xdr:row>15</xdr:row>
      <xdr:rowOff>179294</xdr:rowOff>
    </xdr:to>
    <xdr:sp macro="" textlink="" fLocksText="0">
      <xdr:nvSpPr>
        <xdr:cNvPr id="5" name="Flowchart: Decisio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1.promotion_codeが存在している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15</xdr:row>
      <xdr:rowOff>179294</xdr:rowOff>
    </xdr:from>
    <xdr:to>
      <xdr:col>6</xdr:col>
      <xdr:colOff>235323</xdr:colOff>
      <xdr:row>16</xdr:row>
      <xdr:rowOff>179294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04925" y="315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12</xdr:row>
      <xdr:rowOff>179294</xdr:rowOff>
    </xdr:from>
    <xdr:to>
      <xdr:col>10</xdr:col>
      <xdr:colOff>235323</xdr:colOff>
      <xdr:row>13</xdr:row>
      <xdr:rowOff>179294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71725" y="2581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16</xdr:row>
      <xdr:rowOff>179294</xdr:rowOff>
    </xdr:from>
    <xdr:to>
      <xdr:col>6</xdr:col>
      <xdr:colOff>1</xdr:colOff>
      <xdr:row>19</xdr:row>
      <xdr:rowOff>179294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6" idx="2"/>
          <a:endCxn id="8" idx="0"/>
        </xdr:cNvCxnSpPr>
      </xdr:nvCxnSpPr>
      <xdr:spPr>
        <a:xfrm>
          <a:off x="1600200" y="3343275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84044</xdr:rowOff>
    </xdr:from>
    <xdr:to>
      <xdr:col>10</xdr:col>
      <xdr:colOff>235323</xdr:colOff>
      <xdr:row>28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3"/>
          <a:endCxn id="11" idx="0"/>
        </xdr:cNvCxnSpPr>
      </xdr:nvCxnSpPr>
      <xdr:spPr>
        <a:xfrm flipH="1">
          <a:off x="1600200" y="2676525"/>
          <a:ext cx="1304925" cy="2771775"/>
        </a:xfrm>
        <a:prstGeom prst="bentConnector4">
          <a:avLst>
            <a:gd name="adj1" fmla="val -19429"/>
            <a:gd name="adj2" fmla="val 8606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230842</xdr:colOff>
      <xdr:row>6</xdr:row>
      <xdr:rowOff>186016</xdr:rowOff>
    </xdr:from>
    <xdr:to>
      <xdr:col>61</xdr:col>
      <xdr:colOff>230842</xdr:colOff>
      <xdr:row>16</xdr:row>
      <xdr:rowOff>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296400" y="1447800"/>
          <a:ext cx="7200900" cy="1714500"/>
        </a:xfrm>
        <a:prstGeom prst="borderCallout1">
          <a:avLst>
            <a:gd name="adj1" fmla="val 51887"/>
            <a:gd name="adj2" fmla="val 470"/>
            <a:gd name="adj3" fmla="val 67864"/>
            <a:gd name="adj4" fmla="val -1002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promotion_codeの存在と有効性を確認する：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company_code, store_codem, promotion_plan_code FROM m_store_promotion p WHERE p.company_code = User.CompanyCode AND p.store_code = param{selected_store} AND p.code = param{promotion_code} AND p.start_date + p.start_time &lt;= now() AND now() &lt;= p.end_date + p_end_time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AND p.isDeleted = false 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  ORDER BY company_code, store_code,  promotion_plan_code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プロモーションが存在している場合、ステップ2を実行する。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プロモーションが存在していない場合、エラーメッセージ = MSG_VAL_019（{0} = プロモーションコード）を返す。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63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64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65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65" t="s">
        <v>71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DuNT</v>
      </c>
      <c r="AQ2" s="148"/>
      <c r="AR2" s="148"/>
      <c r="AS2" s="149"/>
      <c r="AT2" s="154">
        <f>改訂履歴!$B$11</f>
        <v>45583</v>
      </c>
      <c r="AU2" s="155"/>
      <c r="AV2" s="155"/>
      <c r="AW2" s="155"/>
      <c r="AX2" s="156"/>
      <c r="AY2" s="150" t="str">
        <f>LOOKUP(2,1/(改訂履歴!H11:H30000&lt;&gt;""),改訂履歴!H11:H30000)</f>
        <v>DuNT</v>
      </c>
      <c r="AZ2" s="148"/>
      <c r="BA2" s="148"/>
      <c r="BB2" s="149"/>
      <c r="BC2" s="154">
        <f>LOOKUP(2,1/(改訂履歴!B11:B30000&lt;&gt;""),改訂履歴!B11:B30000)</f>
        <v>45650</v>
      </c>
      <c r="BD2" s="155"/>
      <c r="BE2" s="155"/>
      <c r="BF2" s="155"/>
      <c r="BG2" s="156"/>
      <c r="BH2" s="157">
        <f>LOOKUP(2,1/(改訂履歴!O11:O30000&lt;&gt;""),改訂履歴!O11:O30000)</f>
        <v>0.13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72</v>
      </c>
      <c r="B4" s="142"/>
      <c r="C4" s="142"/>
      <c r="D4" s="142"/>
      <c r="E4" s="142"/>
      <c r="F4" s="142"/>
      <c r="G4" s="143"/>
      <c r="H4" s="172" t="s">
        <v>42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73</v>
      </c>
      <c r="V4" s="142"/>
      <c r="W4" s="142"/>
      <c r="X4" s="142"/>
      <c r="Y4" s="143"/>
      <c r="Z4" s="58" t="s">
        <v>74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75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POSサーバ/AP0502/API設計書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76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77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70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63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64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201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72</v>
      </c>
      <c r="B4" s="142"/>
      <c r="C4" s="142"/>
      <c r="D4" s="142"/>
      <c r="E4" s="142"/>
      <c r="F4" s="142"/>
      <c r="G4" s="143"/>
      <c r="H4" s="172" t="str">
        <f>IF(表紙!H4="","",表紙!H4)</f>
        <v>AP0502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73</v>
      </c>
      <c r="V4" s="142"/>
      <c r="W4" s="142"/>
      <c r="X4" s="142"/>
      <c r="Y4" s="143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0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2" t="s">
        <v>69</v>
      </c>
      <c r="C10" s="202"/>
      <c r="D10" s="202"/>
      <c r="E10" s="202"/>
      <c r="F10" s="202"/>
      <c r="G10" s="202"/>
      <c r="H10" s="202" t="s">
        <v>68</v>
      </c>
      <c r="I10" s="202"/>
      <c r="J10" s="202"/>
      <c r="K10" s="202"/>
      <c r="L10" s="202"/>
      <c r="M10" s="202"/>
      <c r="N10" s="202"/>
      <c r="O10" s="202" t="s">
        <v>70</v>
      </c>
      <c r="P10" s="202"/>
      <c r="Q10" s="202"/>
      <c r="R10" s="202"/>
      <c r="S10" s="202" t="s">
        <v>78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76</v>
      </c>
      <c r="AY10" s="202"/>
      <c r="AZ10" s="202"/>
      <c r="BA10" s="202"/>
      <c r="BB10" s="202"/>
      <c r="BC10" s="202"/>
      <c r="BD10" s="202" t="s">
        <v>77</v>
      </c>
      <c r="BE10" s="202"/>
      <c r="BF10" s="202"/>
      <c r="BG10" s="202"/>
      <c r="BH10" s="202"/>
      <c r="BI10" s="202"/>
      <c r="BJ10" s="202"/>
      <c r="BK10" s="179"/>
    </row>
    <row r="11" spans="1:63" ht="15" customHeight="1" x14ac:dyDescent="0.25">
      <c r="A11" s="178"/>
      <c r="B11" s="154">
        <v>45583</v>
      </c>
      <c r="C11" s="148"/>
      <c r="D11" s="148"/>
      <c r="E11" s="148"/>
      <c r="F11" s="148"/>
      <c r="G11" s="149"/>
      <c r="H11" s="65" t="s">
        <v>79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3" t="s">
        <v>2</v>
      </c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5"/>
      <c r="AX11" s="206"/>
      <c r="AY11" s="206"/>
      <c r="AZ11" s="206"/>
      <c r="BA11" s="206"/>
      <c r="BB11" s="206"/>
      <c r="BC11" s="207"/>
      <c r="BD11" s="208"/>
      <c r="BE11" s="206"/>
      <c r="BF11" s="206"/>
      <c r="BG11" s="206"/>
      <c r="BH11" s="206"/>
      <c r="BI11" s="206"/>
      <c r="BJ11" s="207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9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1"/>
      <c r="AX12" s="212"/>
      <c r="AY12" s="212"/>
      <c r="AZ12" s="212"/>
      <c r="BA12" s="212"/>
      <c r="BB12" s="212"/>
      <c r="BC12" s="213"/>
      <c r="BD12" s="214"/>
      <c r="BE12" s="212"/>
      <c r="BF12" s="212"/>
      <c r="BG12" s="212"/>
      <c r="BH12" s="212"/>
      <c r="BI12" s="212"/>
      <c r="BJ12" s="213"/>
      <c r="BK12" s="179"/>
    </row>
    <row r="13" spans="1:63" ht="15" customHeight="1" x14ac:dyDescent="0.25">
      <c r="A13" s="178"/>
      <c r="B13" s="154">
        <v>45602</v>
      </c>
      <c r="C13" s="148"/>
      <c r="D13" s="148"/>
      <c r="E13" s="148"/>
      <c r="F13" s="148"/>
      <c r="G13" s="149"/>
      <c r="H13" s="150" t="s">
        <v>62</v>
      </c>
      <c r="I13" s="148"/>
      <c r="J13" s="148"/>
      <c r="K13" s="148"/>
      <c r="L13" s="148"/>
      <c r="M13" s="148"/>
      <c r="N13" s="149"/>
      <c r="O13" s="150">
        <v>0.11</v>
      </c>
      <c r="P13" s="148"/>
      <c r="Q13" s="148"/>
      <c r="R13" s="148"/>
      <c r="S13" s="203" t="s">
        <v>47</v>
      </c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5"/>
      <c r="AX13" s="206"/>
      <c r="AY13" s="206"/>
      <c r="AZ13" s="206"/>
      <c r="BA13" s="206"/>
      <c r="BB13" s="206"/>
      <c r="BC13" s="207"/>
      <c r="BD13" s="208"/>
      <c r="BE13" s="206"/>
      <c r="BF13" s="206"/>
      <c r="BG13" s="206"/>
      <c r="BH13" s="206"/>
      <c r="BI13" s="206"/>
      <c r="BJ13" s="207"/>
      <c r="BK13" s="179"/>
    </row>
    <row r="14" spans="1:63" ht="15" customHeight="1" x14ac:dyDescent="0.25">
      <c r="A14" s="178"/>
      <c r="B14" s="160"/>
      <c r="C14" s="161"/>
      <c r="D14" s="161"/>
      <c r="E14" s="161"/>
      <c r="F14" s="161"/>
      <c r="G14" s="162"/>
      <c r="H14" s="160"/>
      <c r="I14" s="161"/>
      <c r="J14" s="161"/>
      <c r="K14" s="161"/>
      <c r="L14" s="161"/>
      <c r="M14" s="161"/>
      <c r="N14" s="162"/>
      <c r="O14" s="160"/>
      <c r="P14" s="161"/>
      <c r="Q14" s="161"/>
      <c r="R14" s="161"/>
      <c r="S14" s="209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1"/>
      <c r="AX14" s="212"/>
      <c r="AY14" s="212"/>
      <c r="AZ14" s="212"/>
      <c r="BA14" s="212"/>
      <c r="BB14" s="212"/>
      <c r="BC14" s="213"/>
      <c r="BD14" s="214"/>
      <c r="BE14" s="212"/>
      <c r="BF14" s="212"/>
      <c r="BG14" s="212"/>
      <c r="BH14" s="212"/>
      <c r="BI14" s="212"/>
      <c r="BJ14" s="213"/>
      <c r="BK14" s="179"/>
    </row>
    <row r="15" spans="1:63" ht="15" customHeight="1" x14ac:dyDescent="0.25">
      <c r="A15" s="178"/>
      <c r="B15" s="66">
        <v>45609</v>
      </c>
      <c r="C15" s="67"/>
      <c r="D15" s="67"/>
      <c r="E15" s="67"/>
      <c r="F15" s="67"/>
      <c r="G15" s="68"/>
      <c r="H15" s="72" t="s">
        <v>79</v>
      </c>
      <c r="I15" s="67"/>
      <c r="J15" s="67"/>
      <c r="K15" s="67"/>
      <c r="L15" s="67"/>
      <c r="M15" s="67"/>
      <c r="N15" s="68"/>
      <c r="O15" s="72">
        <v>0.12</v>
      </c>
      <c r="P15" s="67"/>
      <c r="Q15" s="67"/>
      <c r="R15" s="67"/>
      <c r="S15" s="73" t="s">
        <v>80</v>
      </c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5"/>
      <c r="AX15" s="206"/>
      <c r="AY15" s="206"/>
      <c r="AZ15" s="206"/>
      <c r="BA15" s="206"/>
      <c r="BB15" s="206"/>
      <c r="BC15" s="207"/>
      <c r="BD15" s="208"/>
      <c r="BE15" s="206"/>
      <c r="BF15" s="206"/>
      <c r="BG15" s="206"/>
      <c r="BH15" s="206"/>
      <c r="BI15" s="206"/>
      <c r="BJ15" s="207"/>
      <c r="BK15" s="179"/>
    </row>
    <row r="16" spans="1:63" ht="15" customHeight="1" x14ac:dyDescent="0.25">
      <c r="A16" s="178"/>
      <c r="B16" s="69"/>
      <c r="C16" s="70"/>
      <c r="D16" s="70"/>
      <c r="E16" s="70"/>
      <c r="F16" s="70"/>
      <c r="G16" s="71"/>
      <c r="H16" s="69"/>
      <c r="I16" s="70"/>
      <c r="J16" s="70"/>
      <c r="K16" s="70"/>
      <c r="L16" s="70"/>
      <c r="M16" s="70"/>
      <c r="N16" s="71"/>
      <c r="O16" s="69"/>
      <c r="P16" s="70"/>
      <c r="Q16" s="70"/>
      <c r="R16" s="70"/>
      <c r="S16" s="76" t="s">
        <v>81</v>
      </c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8"/>
      <c r="AX16" s="212"/>
      <c r="AY16" s="212"/>
      <c r="AZ16" s="212"/>
      <c r="BA16" s="212"/>
      <c r="BB16" s="212"/>
      <c r="BC16" s="213"/>
      <c r="BD16" s="214"/>
      <c r="BE16" s="212"/>
      <c r="BF16" s="212"/>
      <c r="BG16" s="212"/>
      <c r="BH16" s="212"/>
      <c r="BI16" s="212"/>
      <c r="BJ16" s="213"/>
      <c r="BK16" s="179"/>
    </row>
    <row r="17" spans="1:63" ht="15" customHeight="1" x14ac:dyDescent="0.25">
      <c r="A17" s="178"/>
      <c r="B17" s="215">
        <v>45650</v>
      </c>
      <c r="C17" s="216"/>
      <c r="D17" s="216"/>
      <c r="E17" s="216"/>
      <c r="F17" s="216"/>
      <c r="G17" s="217"/>
      <c r="H17" s="218" t="s">
        <v>3</v>
      </c>
      <c r="I17" s="216"/>
      <c r="J17" s="216"/>
      <c r="K17" s="216"/>
      <c r="L17" s="216"/>
      <c r="M17" s="216"/>
      <c r="N17" s="217"/>
      <c r="O17" s="218">
        <v>0.13</v>
      </c>
      <c r="P17" s="216"/>
      <c r="Q17" s="216"/>
      <c r="R17" s="216"/>
      <c r="S17" s="219" t="s">
        <v>61</v>
      </c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1"/>
      <c r="AX17" s="206"/>
      <c r="AY17" s="206"/>
      <c r="AZ17" s="206"/>
      <c r="BA17" s="206"/>
      <c r="BB17" s="206"/>
      <c r="BC17" s="207"/>
      <c r="BD17" s="208"/>
      <c r="BE17" s="206"/>
      <c r="BF17" s="206"/>
      <c r="BG17" s="206"/>
      <c r="BH17" s="206"/>
      <c r="BI17" s="206"/>
      <c r="BJ17" s="207"/>
      <c r="BK17" s="179"/>
    </row>
    <row r="18" spans="1:63" ht="15" customHeight="1" x14ac:dyDescent="0.25">
      <c r="A18" s="178"/>
      <c r="B18" s="222"/>
      <c r="C18" s="223"/>
      <c r="D18" s="223"/>
      <c r="E18" s="223"/>
      <c r="F18" s="223"/>
      <c r="G18" s="224"/>
      <c r="H18" s="222"/>
      <c r="I18" s="223"/>
      <c r="J18" s="223"/>
      <c r="K18" s="223"/>
      <c r="L18" s="223"/>
      <c r="M18" s="223"/>
      <c r="N18" s="224"/>
      <c r="O18" s="222"/>
      <c r="P18" s="223"/>
      <c r="Q18" s="223"/>
      <c r="R18" s="223"/>
      <c r="S18" s="225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7"/>
      <c r="AX18" s="212"/>
      <c r="AY18" s="212"/>
      <c r="AZ18" s="212"/>
      <c r="BA18" s="212"/>
      <c r="BB18" s="212"/>
      <c r="BC18" s="213"/>
      <c r="BD18" s="214"/>
      <c r="BE18" s="212"/>
      <c r="BF18" s="212"/>
      <c r="BG18" s="212"/>
      <c r="BH18" s="212"/>
      <c r="BI18" s="212"/>
      <c r="BJ18" s="213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3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5"/>
      <c r="AX19" s="206"/>
      <c r="AY19" s="206"/>
      <c r="AZ19" s="206"/>
      <c r="BA19" s="206"/>
      <c r="BB19" s="206"/>
      <c r="BC19" s="207"/>
      <c r="BD19" s="208"/>
      <c r="BE19" s="206"/>
      <c r="BF19" s="206"/>
      <c r="BG19" s="206"/>
      <c r="BH19" s="206"/>
      <c r="BI19" s="206"/>
      <c r="BJ19" s="207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9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1"/>
      <c r="AX20" s="212"/>
      <c r="AY20" s="212"/>
      <c r="AZ20" s="212"/>
      <c r="BA20" s="212"/>
      <c r="BB20" s="212"/>
      <c r="BC20" s="213"/>
      <c r="BD20" s="214"/>
      <c r="BE20" s="212"/>
      <c r="BF20" s="212"/>
      <c r="BG20" s="212"/>
      <c r="BH20" s="212"/>
      <c r="BI20" s="212"/>
      <c r="BJ20" s="213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3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5"/>
      <c r="AX21" s="206"/>
      <c r="AY21" s="206"/>
      <c r="AZ21" s="206"/>
      <c r="BA21" s="206"/>
      <c r="BB21" s="206"/>
      <c r="BC21" s="207"/>
      <c r="BD21" s="208"/>
      <c r="BE21" s="206"/>
      <c r="BF21" s="206"/>
      <c r="BG21" s="206"/>
      <c r="BH21" s="206"/>
      <c r="BI21" s="206"/>
      <c r="BJ21" s="207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9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1"/>
      <c r="AX22" s="212"/>
      <c r="AY22" s="212"/>
      <c r="AZ22" s="212"/>
      <c r="BA22" s="212"/>
      <c r="BB22" s="212"/>
      <c r="BC22" s="213"/>
      <c r="BD22" s="214"/>
      <c r="BE22" s="212"/>
      <c r="BF22" s="212"/>
      <c r="BG22" s="212"/>
      <c r="BH22" s="212"/>
      <c r="BI22" s="212"/>
      <c r="BJ22" s="213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3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4"/>
      <c r="AR23" s="204"/>
      <c r="AS23" s="204"/>
      <c r="AT23" s="204"/>
      <c r="AU23" s="204"/>
      <c r="AV23" s="204"/>
      <c r="AW23" s="205"/>
      <c r="AX23" s="206"/>
      <c r="AY23" s="206"/>
      <c r="AZ23" s="206"/>
      <c r="BA23" s="206"/>
      <c r="BB23" s="206"/>
      <c r="BC23" s="207"/>
      <c r="BD23" s="208"/>
      <c r="BE23" s="206"/>
      <c r="BF23" s="206"/>
      <c r="BG23" s="206"/>
      <c r="BH23" s="206"/>
      <c r="BI23" s="206"/>
      <c r="BJ23" s="207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9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1"/>
      <c r="AX24" s="212"/>
      <c r="AY24" s="212"/>
      <c r="AZ24" s="212"/>
      <c r="BA24" s="212"/>
      <c r="BB24" s="212"/>
      <c r="BC24" s="213"/>
      <c r="BD24" s="214"/>
      <c r="BE24" s="212"/>
      <c r="BF24" s="212"/>
      <c r="BG24" s="212"/>
      <c r="BH24" s="212"/>
      <c r="BI24" s="212"/>
      <c r="BJ24" s="213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3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204"/>
      <c r="AU25" s="204"/>
      <c r="AV25" s="204"/>
      <c r="AW25" s="205"/>
      <c r="AX25" s="206"/>
      <c r="AY25" s="206"/>
      <c r="AZ25" s="206"/>
      <c r="BA25" s="206"/>
      <c r="BB25" s="206"/>
      <c r="BC25" s="207"/>
      <c r="BD25" s="208"/>
      <c r="BE25" s="206"/>
      <c r="BF25" s="206"/>
      <c r="BG25" s="206"/>
      <c r="BH25" s="206"/>
      <c r="BI25" s="206"/>
      <c r="BJ25" s="207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9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1"/>
      <c r="AX26" s="212"/>
      <c r="AY26" s="212"/>
      <c r="AZ26" s="212"/>
      <c r="BA26" s="212"/>
      <c r="BB26" s="212"/>
      <c r="BC26" s="213"/>
      <c r="BD26" s="214"/>
      <c r="BE26" s="212"/>
      <c r="BF26" s="212"/>
      <c r="BG26" s="212"/>
      <c r="BH26" s="212"/>
      <c r="BI26" s="212"/>
      <c r="BJ26" s="213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3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5"/>
      <c r="AX27" s="206"/>
      <c r="AY27" s="206"/>
      <c r="AZ27" s="206"/>
      <c r="BA27" s="206"/>
      <c r="BB27" s="206"/>
      <c r="BC27" s="207"/>
      <c r="BD27" s="208"/>
      <c r="BE27" s="206"/>
      <c r="BF27" s="206"/>
      <c r="BG27" s="206"/>
      <c r="BH27" s="206"/>
      <c r="BI27" s="206"/>
      <c r="BJ27" s="207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9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1"/>
      <c r="AX28" s="212"/>
      <c r="AY28" s="212"/>
      <c r="AZ28" s="212"/>
      <c r="BA28" s="212"/>
      <c r="BB28" s="212"/>
      <c r="BC28" s="213"/>
      <c r="BD28" s="214"/>
      <c r="BE28" s="212"/>
      <c r="BF28" s="212"/>
      <c r="BG28" s="212"/>
      <c r="BH28" s="212"/>
      <c r="BI28" s="212"/>
      <c r="BJ28" s="213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3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5"/>
      <c r="AX29" s="206"/>
      <c r="AY29" s="206"/>
      <c r="AZ29" s="206"/>
      <c r="BA29" s="206"/>
      <c r="BB29" s="206"/>
      <c r="BC29" s="207"/>
      <c r="BD29" s="208"/>
      <c r="BE29" s="206"/>
      <c r="BF29" s="206"/>
      <c r="BG29" s="206"/>
      <c r="BH29" s="206"/>
      <c r="BI29" s="206"/>
      <c r="BJ29" s="207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9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1"/>
      <c r="AX30" s="212"/>
      <c r="AY30" s="212"/>
      <c r="AZ30" s="212"/>
      <c r="BA30" s="212"/>
      <c r="BB30" s="212"/>
      <c r="BC30" s="213"/>
      <c r="BD30" s="214"/>
      <c r="BE30" s="212"/>
      <c r="BF30" s="212"/>
      <c r="BG30" s="212"/>
      <c r="BH30" s="212"/>
      <c r="BI30" s="212"/>
      <c r="BJ30" s="213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3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5"/>
      <c r="AX31" s="206"/>
      <c r="AY31" s="206"/>
      <c r="AZ31" s="206"/>
      <c r="BA31" s="206"/>
      <c r="BB31" s="206"/>
      <c r="BC31" s="207"/>
      <c r="BD31" s="208"/>
      <c r="BE31" s="206"/>
      <c r="BF31" s="206"/>
      <c r="BG31" s="206"/>
      <c r="BH31" s="206"/>
      <c r="BI31" s="206"/>
      <c r="BJ31" s="207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9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1"/>
      <c r="AX32" s="212"/>
      <c r="AY32" s="212"/>
      <c r="AZ32" s="212"/>
      <c r="BA32" s="212"/>
      <c r="BB32" s="212"/>
      <c r="BC32" s="213"/>
      <c r="BD32" s="214"/>
      <c r="BE32" s="212"/>
      <c r="BF32" s="212"/>
      <c r="BG32" s="212"/>
      <c r="BH32" s="212"/>
      <c r="BI32" s="212"/>
      <c r="BJ32" s="213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3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5"/>
      <c r="AX33" s="206"/>
      <c r="AY33" s="206"/>
      <c r="AZ33" s="206"/>
      <c r="BA33" s="206"/>
      <c r="BB33" s="206"/>
      <c r="BC33" s="207"/>
      <c r="BD33" s="208"/>
      <c r="BE33" s="206"/>
      <c r="BF33" s="206"/>
      <c r="BG33" s="206"/>
      <c r="BH33" s="206"/>
      <c r="BI33" s="206"/>
      <c r="BJ33" s="207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9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1"/>
      <c r="AX34" s="212"/>
      <c r="AY34" s="212"/>
      <c r="AZ34" s="212"/>
      <c r="BA34" s="212"/>
      <c r="BB34" s="212"/>
      <c r="BC34" s="213"/>
      <c r="BD34" s="214"/>
      <c r="BE34" s="212"/>
      <c r="BF34" s="212"/>
      <c r="BG34" s="212"/>
      <c r="BH34" s="212"/>
      <c r="BI34" s="212"/>
      <c r="BJ34" s="213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3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4"/>
      <c r="AU35" s="204"/>
      <c r="AV35" s="204"/>
      <c r="AW35" s="205"/>
      <c r="AX35" s="206"/>
      <c r="AY35" s="206"/>
      <c r="AZ35" s="206"/>
      <c r="BA35" s="206"/>
      <c r="BB35" s="206"/>
      <c r="BC35" s="207"/>
      <c r="BD35" s="208"/>
      <c r="BE35" s="206"/>
      <c r="BF35" s="206"/>
      <c r="BG35" s="206"/>
      <c r="BH35" s="206"/>
      <c r="BI35" s="206"/>
      <c r="BJ35" s="207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9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1"/>
      <c r="AX36" s="212"/>
      <c r="AY36" s="212"/>
      <c r="AZ36" s="212"/>
      <c r="BA36" s="212"/>
      <c r="BB36" s="212"/>
      <c r="BC36" s="213"/>
      <c r="BD36" s="214"/>
      <c r="BE36" s="212"/>
      <c r="BF36" s="212"/>
      <c r="BG36" s="212"/>
      <c r="BH36" s="212"/>
      <c r="BI36" s="212"/>
      <c r="BJ36" s="213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3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5"/>
      <c r="AX37" s="206"/>
      <c r="AY37" s="206"/>
      <c r="AZ37" s="206"/>
      <c r="BA37" s="206"/>
      <c r="BB37" s="206"/>
      <c r="BC37" s="207"/>
      <c r="BD37" s="208"/>
      <c r="BE37" s="206"/>
      <c r="BF37" s="206"/>
      <c r="BG37" s="206"/>
      <c r="BH37" s="206"/>
      <c r="BI37" s="206"/>
      <c r="BJ37" s="207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9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1"/>
      <c r="AX38" s="212"/>
      <c r="AY38" s="212"/>
      <c r="AZ38" s="212"/>
      <c r="BA38" s="212"/>
      <c r="BB38" s="212"/>
      <c r="BC38" s="213"/>
      <c r="BD38" s="214"/>
      <c r="BE38" s="212"/>
      <c r="BF38" s="212"/>
      <c r="BG38" s="212"/>
      <c r="BH38" s="212"/>
      <c r="BI38" s="212"/>
      <c r="BJ38" s="213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3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5"/>
      <c r="AX39" s="206"/>
      <c r="AY39" s="206"/>
      <c r="AZ39" s="206"/>
      <c r="BA39" s="206"/>
      <c r="BB39" s="206"/>
      <c r="BC39" s="207"/>
      <c r="BD39" s="208"/>
      <c r="BE39" s="206"/>
      <c r="BF39" s="206"/>
      <c r="BG39" s="206"/>
      <c r="BH39" s="206"/>
      <c r="BI39" s="206"/>
      <c r="BJ39" s="207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9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1"/>
      <c r="AX40" s="212"/>
      <c r="AY40" s="212"/>
      <c r="AZ40" s="212"/>
      <c r="BA40" s="212"/>
      <c r="BB40" s="212"/>
      <c r="BC40" s="213"/>
      <c r="BD40" s="214"/>
      <c r="BE40" s="212"/>
      <c r="BF40" s="212"/>
      <c r="BG40" s="212"/>
      <c r="BH40" s="212"/>
      <c r="BI40" s="212"/>
      <c r="BJ40" s="213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3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S41" s="204"/>
      <c r="AT41" s="204"/>
      <c r="AU41" s="204"/>
      <c r="AV41" s="204"/>
      <c r="AW41" s="205"/>
      <c r="AX41" s="206"/>
      <c r="AY41" s="206"/>
      <c r="AZ41" s="206"/>
      <c r="BA41" s="206"/>
      <c r="BB41" s="206"/>
      <c r="BC41" s="207"/>
      <c r="BD41" s="208"/>
      <c r="BE41" s="206"/>
      <c r="BF41" s="206"/>
      <c r="BG41" s="206"/>
      <c r="BH41" s="206"/>
      <c r="BI41" s="206"/>
      <c r="BJ41" s="207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9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1"/>
      <c r="AX42" s="212"/>
      <c r="AY42" s="212"/>
      <c r="AZ42" s="212"/>
      <c r="BA42" s="212"/>
      <c r="BB42" s="212"/>
      <c r="BC42" s="213"/>
      <c r="BD42" s="214"/>
      <c r="BE42" s="212"/>
      <c r="BF42" s="212"/>
      <c r="BG42" s="212"/>
      <c r="BH42" s="212"/>
      <c r="BI42" s="212"/>
      <c r="BJ42" s="213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3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5"/>
      <c r="AX43" s="206"/>
      <c r="AY43" s="206"/>
      <c r="AZ43" s="206"/>
      <c r="BA43" s="206"/>
      <c r="BB43" s="206"/>
      <c r="BC43" s="207"/>
      <c r="BD43" s="208"/>
      <c r="BE43" s="206"/>
      <c r="BF43" s="206"/>
      <c r="BG43" s="206"/>
      <c r="BH43" s="206"/>
      <c r="BI43" s="206"/>
      <c r="BJ43" s="207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9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1"/>
      <c r="AX44" s="212"/>
      <c r="AY44" s="212"/>
      <c r="AZ44" s="212"/>
      <c r="BA44" s="212"/>
      <c r="BB44" s="212"/>
      <c r="BC44" s="213"/>
      <c r="BD44" s="214"/>
      <c r="BE44" s="212"/>
      <c r="BF44" s="212"/>
      <c r="BG44" s="212"/>
      <c r="BH44" s="212"/>
      <c r="BI44" s="212"/>
      <c r="BJ44" s="213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3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5"/>
      <c r="AX45" s="206"/>
      <c r="AY45" s="206"/>
      <c r="AZ45" s="206"/>
      <c r="BA45" s="206"/>
      <c r="BB45" s="206"/>
      <c r="BC45" s="207"/>
      <c r="BD45" s="208"/>
      <c r="BE45" s="206"/>
      <c r="BF45" s="206"/>
      <c r="BG45" s="206"/>
      <c r="BH45" s="206"/>
      <c r="BI45" s="206"/>
      <c r="BJ45" s="207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9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1"/>
      <c r="AX46" s="212"/>
      <c r="AY46" s="212"/>
      <c r="AZ46" s="212"/>
      <c r="BA46" s="212"/>
      <c r="BB46" s="212"/>
      <c r="BC46" s="213"/>
      <c r="BD46" s="214"/>
      <c r="BE46" s="212"/>
      <c r="BF46" s="212"/>
      <c r="BG46" s="212"/>
      <c r="BH46" s="212"/>
      <c r="BI46" s="212"/>
      <c r="BJ46" s="213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3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5"/>
      <c r="AX47" s="206"/>
      <c r="AY47" s="206"/>
      <c r="AZ47" s="206"/>
      <c r="BA47" s="206"/>
      <c r="BB47" s="206"/>
      <c r="BC47" s="207"/>
      <c r="BD47" s="208"/>
      <c r="BE47" s="206"/>
      <c r="BF47" s="206"/>
      <c r="BG47" s="206"/>
      <c r="BH47" s="206"/>
      <c r="BI47" s="206"/>
      <c r="BJ47" s="207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9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1"/>
      <c r="AX48" s="212"/>
      <c r="AY48" s="212"/>
      <c r="AZ48" s="212"/>
      <c r="BA48" s="212"/>
      <c r="BB48" s="212"/>
      <c r="BC48" s="213"/>
      <c r="BD48" s="214"/>
      <c r="BE48" s="212"/>
      <c r="BF48" s="212"/>
      <c r="BG48" s="212"/>
      <c r="BH48" s="212"/>
      <c r="BI48" s="212"/>
      <c r="BJ48" s="213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3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4"/>
      <c r="AV49" s="204"/>
      <c r="AW49" s="205"/>
      <c r="AX49" s="206"/>
      <c r="AY49" s="206"/>
      <c r="AZ49" s="206"/>
      <c r="BA49" s="206"/>
      <c r="BB49" s="206"/>
      <c r="BC49" s="207"/>
      <c r="BD49" s="208"/>
      <c r="BE49" s="206"/>
      <c r="BF49" s="206"/>
      <c r="BG49" s="206"/>
      <c r="BH49" s="206"/>
      <c r="BI49" s="206"/>
      <c r="BJ49" s="207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9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1"/>
      <c r="AX50" s="212"/>
      <c r="AY50" s="212"/>
      <c r="AZ50" s="212"/>
      <c r="BA50" s="212"/>
      <c r="BB50" s="212"/>
      <c r="BC50" s="213"/>
      <c r="BD50" s="214"/>
      <c r="BE50" s="212"/>
      <c r="BF50" s="212"/>
      <c r="BG50" s="212"/>
      <c r="BH50" s="212"/>
      <c r="BI50" s="212"/>
      <c r="BJ50" s="213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3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5"/>
      <c r="AX51" s="206"/>
      <c r="AY51" s="206"/>
      <c r="AZ51" s="206"/>
      <c r="BA51" s="206"/>
      <c r="BB51" s="206"/>
      <c r="BC51" s="207"/>
      <c r="BD51" s="208"/>
      <c r="BE51" s="206"/>
      <c r="BF51" s="206"/>
      <c r="BG51" s="206"/>
      <c r="BH51" s="206"/>
      <c r="BI51" s="206"/>
      <c r="BJ51" s="207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9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1"/>
      <c r="AX52" s="212"/>
      <c r="AY52" s="212"/>
      <c r="AZ52" s="212"/>
      <c r="BA52" s="212"/>
      <c r="BB52" s="212"/>
      <c r="BC52" s="213"/>
      <c r="BD52" s="214"/>
      <c r="BE52" s="212"/>
      <c r="BF52" s="212"/>
      <c r="BG52" s="212"/>
      <c r="BH52" s="212"/>
      <c r="BI52" s="212"/>
      <c r="BJ52" s="213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3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5"/>
      <c r="AX53" s="206"/>
      <c r="AY53" s="206"/>
      <c r="AZ53" s="206"/>
      <c r="BA53" s="206"/>
      <c r="BB53" s="206"/>
      <c r="BC53" s="207"/>
      <c r="BD53" s="208"/>
      <c r="BE53" s="206"/>
      <c r="BF53" s="206"/>
      <c r="BG53" s="206"/>
      <c r="BH53" s="206"/>
      <c r="BI53" s="206"/>
      <c r="BJ53" s="207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9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  <c r="AT54" s="210"/>
      <c r="AU54" s="210"/>
      <c r="AV54" s="210"/>
      <c r="AW54" s="211"/>
      <c r="AX54" s="212"/>
      <c r="AY54" s="212"/>
      <c r="AZ54" s="212"/>
      <c r="BA54" s="212"/>
      <c r="BB54" s="212"/>
      <c r="BC54" s="213"/>
      <c r="BD54" s="214"/>
      <c r="BE54" s="212"/>
      <c r="BF54" s="212"/>
      <c r="BG54" s="212"/>
      <c r="BH54" s="212"/>
      <c r="BI54" s="212"/>
      <c r="BJ54" s="213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処理フロー凡例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7" customFormat="1" ht="15" customHeight="1" x14ac:dyDescent="0.25">
      <c r="A7" s="240"/>
      <c r="B7" s="241" t="s">
        <v>82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3"/>
      <c r="AF7" s="244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3"/>
      <c r="BJ7" s="242"/>
      <c r="BK7" s="245"/>
    </row>
    <row r="8" spans="1:63" s="246" customFormat="1" ht="15" customHeight="1" x14ac:dyDescent="0.25">
      <c r="BK8" s="245"/>
    </row>
    <row r="9" spans="1:63" s="246" customFormat="1" ht="15" customHeight="1" x14ac:dyDescent="0.25">
      <c r="BK9" s="245"/>
    </row>
    <row r="10" spans="1:63" s="246" customFormat="1" ht="15" customHeight="1" x14ac:dyDescent="0.25">
      <c r="BK10" s="245"/>
    </row>
    <row r="11" spans="1:63" s="246" customFormat="1" ht="15" customHeight="1" x14ac:dyDescent="0.25">
      <c r="BK11" s="245"/>
    </row>
    <row r="12" spans="1:63" s="246" customFormat="1" ht="15" customHeight="1" x14ac:dyDescent="0.25">
      <c r="BK12" s="245"/>
    </row>
    <row r="13" spans="1:63" s="246" customFormat="1" ht="15" customHeight="1" x14ac:dyDescent="0.25">
      <c r="BK13" s="245"/>
    </row>
    <row r="14" spans="1:63" s="246" customFormat="1" ht="15" customHeight="1" x14ac:dyDescent="0.25">
      <c r="BK14" s="245"/>
    </row>
    <row r="15" spans="1:63" s="246" customFormat="1" ht="15" customHeight="1" x14ac:dyDescent="0.25">
      <c r="BK15" s="245"/>
    </row>
    <row r="16" spans="1:63" s="246" customFormat="1" ht="15" customHeight="1" x14ac:dyDescent="0.25">
      <c r="BK16" s="245"/>
    </row>
    <row r="17" spans="63:63" s="246" customFormat="1" ht="15" customHeight="1" x14ac:dyDescent="0.25">
      <c r="BK17" s="245"/>
    </row>
    <row r="18" spans="63:63" s="246" customFormat="1" ht="15" customHeight="1" x14ac:dyDescent="0.25">
      <c r="BK18" s="245"/>
    </row>
    <row r="19" spans="63:63" s="246" customFormat="1" ht="15" customHeight="1" x14ac:dyDescent="0.25">
      <c r="BK19" s="245"/>
    </row>
    <row r="20" spans="63:63" s="246" customFormat="1" ht="15" customHeight="1" x14ac:dyDescent="0.25">
      <c r="BK20" s="245"/>
    </row>
    <row r="21" spans="63:63" s="246" customFormat="1" ht="15" customHeight="1" x14ac:dyDescent="0.25">
      <c r="BK21" s="245"/>
    </row>
    <row r="22" spans="63:63" s="246" customFormat="1" ht="15" customHeight="1" x14ac:dyDescent="0.25">
      <c r="BK22" s="245"/>
    </row>
    <row r="23" spans="63:63" s="246" customFormat="1" ht="15" customHeight="1" x14ac:dyDescent="0.25">
      <c r="BK23" s="245"/>
    </row>
    <row r="24" spans="63:63" s="246" customFormat="1" ht="15" customHeight="1" x14ac:dyDescent="0.25">
      <c r="BK24" s="245"/>
    </row>
    <row r="25" spans="63:63" s="246" customFormat="1" ht="15" customHeight="1" x14ac:dyDescent="0.25">
      <c r="BK25" s="245"/>
    </row>
    <row r="26" spans="63:63" s="246" customFormat="1" ht="15" customHeight="1" x14ac:dyDescent="0.25">
      <c r="BK26" s="245"/>
    </row>
    <row r="27" spans="63:63" s="246" customFormat="1" ht="15" customHeight="1" x14ac:dyDescent="0.25">
      <c r="BK27" s="245"/>
    </row>
    <row r="28" spans="63:63" s="246" customFormat="1" ht="15" customHeight="1" x14ac:dyDescent="0.25">
      <c r="BK28" s="245"/>
    </row>
    <row r="29" spans="63:63" s="246" customFormat="1" ht="15" customHeight="1" x14ac:dyDescent="0.25">
      <c r="BK29" s="245"/>
    </row>
    <row r="30" spans="63:63" s="246" customFormat="1" ht="15" customHeight="1" x14ac:dyDescent="0.25">
      <c r="BK30" s="245"/>
    </row>
    <row r="31" spans="63:63" s="246" customFormat="1" ht="15" customHeight="1" x14ac:dyDescent="0.25">
      <c r="BK31" s="245"/>
    </row>
    <row r="32" spans="63:63" s="246" customFormat="1" ht="15" customHeight="1" x14ac:dyDescent="0.25">
      <c r="BK32" s="245"/>
    </row>
    <row r="33" spans="63:63" s="246" customFormat="1" ht="15" customHeight="1" x14ac:dyDescent="0.25">
      <c r="BK33" s="245"/>
    </row>
    <row r="34" spans="63:63" s="246" customFormat="1" ht="15" customHeight="1" x14ac:dyDescent="0.25">
      <c r="BK34" s="245"/>
    </row>
    <row r="35" spans="63:63" s="246" customFormat="1" ht="15" customHeight="1" x14ac:dyDescent="0.25">
      <c r="BK35" s="245"/>
    </row>
    <row r="36" spans="63:63" s="246" customFormat="1" ht="15" customHeight="1" x14ac:dyDescent="0.25">
      <c r="BK36" s="245"/>
    </row>
    <row r="37" spans="63:63" s="246" customFormat="1" ht="15" customHeight="1" x14ac:dyDescent="0.25">
      <c r="BK37" s="245"/>
    </row>
    <row r="38" spans="63:63" s="246" customFormat="1" ht="15" customHeight="1" x14ac:dyDescent="0.25">
      <c r="BK38" s="245"/>
    </row>
    <row r="39" spans="63:63" s="246" customFormat="1" ht="15" customHeight="1" x14ac:dyDescent="0.25">
      <c r="BK39" s="245"/>
    </row>
    <row r="40" spans="63:63" s="246" customFormat="1" ht="15" customHeight="1" x14ac:dyDescent="0.25">
      <c r="BK40" s="245"/>
    </row>
    <row r="41" spans="63:63" s="246" customFormat="1" ht="15" customHeight="1" x14ac:dyDescent="0.25">
      <c r="BK41" s="245"/>
    </row>
    <row r="42" spans="63:63" s="246" customFormat="1" ht="15" customHeight="1" x14ac:dyDescent="0.25">
      <c r="BK42" s="245"/>
    </row>
    <row r="43" spans="63:63" s="246" customFormat="1" ht="15" customHeight="1" x14ac:dyDescent="0.25">
      <c r="BK43" s="245"/>
    </row>
    <row r="44" spans="63:63" s="246" customFormat="1" ht="15" customHeight="1" x14ac:dyDescent="0.25">
      <c r="BK44" s="245"/>
    </row>
    <row r="45" spans="63:63" s="246" customFormat="1" ht="15" customHeight="1" x14ac:dyDescent="0.25">
      <c r="BK45" s="245"/>
    </row>
    <row r="46" spans="63:63" s="246" customFormat="1" ht="15" customHeight="1" x14ac:dyDescent="0.25">
      <c r="BK46" s="24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AP0502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6" customFormat="1" ht="15" customHeight="1" x14ac:dyDescent="0.25">
      <c r="A7" s="21"/>
      <c r="B7" s="22" t="s">
        <v>84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7"/>
      <c r="AQ7" s="247"/>
      <c r="AR7" s="247"/>
      <c r="AS7" s="247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4"/>
      <c r="BI7" s="24"/>
      <c r="BJ7" s="24"/>
      <c r="BK7" s="25"/>
    </row>
    <row r="8" spans="1:63" s="26" customFormat="1" ht="15" customHeight="1" x14ac:dyDescent="0.25">
      <c r="A8" s="21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48"/>
      <c r="AQ8" s="248"/>
      <c r="AR8" s="248"/>
      <c r="AS8" s="24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9"/>
      <c r="BI8" s="29"/>
      <c r="BJ8" s="29"/>
      <c r="BK8" s="25"/>
    </row>
    <row r="9" spans="1:63" s="26" customFormat="1" ht="15" customHeight="1" x14ac:dyDescent="0.25">
      <c r="A9" s="21"/>
      <c r="B9" s="27"/>
      <c r="C9" s="50" t="s">
        <v>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48"/>
      <c r="AQ9" s="248"/>
      <c r="AR9" s="248"/>
      <c r="AS9" s="24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9"/>
      <c r="BI9" s="29"/>
      <c r="BJ9" s="29"/>
      <c r="BK9" s="25"/>
    </row>
    <row r="10" spans="1:63" s="26" customFormat="1" ht="15" customHeight="1" x14ac:dyDescent="0.25">
      <c r="A10" s="21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48"/>
      <c r="AQ10" s="248"/>
      <c r="AR10" s="248"/>
      <c r="AS10" s="24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9"/>
      <c r="BI10" s="29"/>
      <c r="BJ10" s="29"/>
      <c r="BK10" s="25"/>
    </row>
    <row r="11" spans="1:63" s="26" customFormat="1" ht="15" customHeight="1" x14ac:dyDescent="0.25">
      <c r="A11" s="2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48"/>
      <c r="AQ11" s="248"/>
      <c r="AR11" s="248"/>
      <c r="AS11" s="24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25"/>
    </row>
    <row r="12" spans="1:63" s="26" customFormat="1" ht="15" customHeight="1" x14ac:dyDescent="0.25">
      <c r="A12" s="21"/>
      <c r="B12" s="30" t="s">
        <v>85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5"/>
    </row>
    <row r="13" spans="1:63" s="26" customFormat="1" ht="15" customHeight="1" x14ac:dyDescent="0.25">
      <c r="A13" s="21"/>
      <c r="B13" s="28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I13" s="29"/>
      <c r="BJ13" s="29"/>
      <c r="BK13" s="25"/>
    </row>
    <row r="14" spans="1:63" s="26" customFormat="1" ht="15" customHeight="1" x14ac:dyDescent="0.25">
      <c r="A14" s="21"/>
      <c r="B14" s="28"/>
      <c r="C14" s="31" t="s">
        <v>86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I14" s="29"/>
      <c r="BJ14" s="29"/>
      <c r="BK14" s="25"/>
    </row>
    <row r="15" spans="1:63" s="26" customFormat="1" ht="15" customHeight="1" x14ac:dyDescent="0.25">
      <c r="A15" s="21"/>
      <c r="B15" s="28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I15" s="29"/>
      <c r="BJ15" s="29"/>
      <c r="BK15" s="25"/>
    </row>
    <row r="16" spans="1:63" s="26" customFormat="1" ht="15" customHeight="1" x14ac:dyDescent="0.25">
      <c r="A16" s="21"/>
      <c r="B16" s="28"/>
      <c r="C16" s="116" t="s">
        <v>13</v>
      </c>
      <c r="D16" s="118"/>
      <c r="E16" s="116" t="s">
        <v>23</v>
      </c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8"/>
      <c r="AG16" s="116" t="s">
        <v>24</v>
      </c>
      <c r="AH16" s="117"/>
      <c r="AI16" s="117"/>
      <c r="AJ16" s="117"/>
      <c r="AK16" s="117"/>
      <c r="AL16" s="117"/>
      <c r="AM16" s="117"/>
      <c r="AN16" s="117"/>
      <c r="AO16" s="117"/>
      <c r="AP16" s="118"/>
      <c r="AQ16" s="116" t="s">
        <v>25</v>
      </c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8"/>
      <c r="BK16" s="25"/>
    </row>
    <row r="17" spans="1:63" s="26" customFormat="1" ht="15" customHeight="1" x14ac:dyDescent="0.25">
      <c r="A17" s="21"/>
      <c r="B17" s="28"/>
      <c r="C17" s="101">
        <v>1</v>
      </c>
      <c r="D17" s="102"/>
      <c r="E17" s="249" t="s">
        <v>48</v>
      </c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1"/>
      <c r="AG17" s="101" t="s">
        <v>35</v>
      </c>
      <c r="AH17" s="106"/>
      <c r="AI17" s="106"/>
      <c r="AJ17" s="106"/>
      <c r="AK17" s="106"/>
      <c r="AL17" s="106"/>
      <c r="AM17" s="106"/>
      <c r="AN17" s="106"/>
      <c r="AO17" s="106"/>
      <c r="AP17" s="102"/>
      <c r="AQ17" s="129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1"/>
      <c r="BK17" s="25"/>
    </row>
    <row r="18" spans="1:63" s="26" customFormat="1" ht="15" customHeight="1" x14ac:dyDescent="0.25">
      <c r="A18" s="2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I18" s="29"/>
      <c r="BJ18" s="29"/>
      <c r="BK18" s="25"/>
    </row>
    <row r="19" spans="1:63" s="26" customFormat="1" ht="15" customHeight="1" x14ac:dyDescent="0.25">
      <c r="A19" s="21"/>
      <c r="B19" s="28"/>
      <c r="C19" s="31" t="s">
        <v>87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I19" s="29"/>
      <c r="BJ19" s="29"/>
      <c r="BK19" s="25"/>
    </row>
    <row r="20" spans="1:63" s="26" customFormat="1" ht="15" customHeight="1" x14ac:dyDescent="0.25">
      <c r="A20" s="21"/>
      <c r="B20" s="28"/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I20" s="29"/>
      <c r="BJ20" s="29"/>
      <c r="BK20" s="25"/>
    </row>
    <row r="21" spans="1:63" s="26" customFormat="1" ht="15" customHeight="1" x14ac:dyDescent="0.25">
      <c r="A21" s="21"/>
      <c r="B21" s="28"/>
      <c r="C21" s="122" t="s">
        <v>88</v>
      </c>
      <c r="D21" s="124"/>
      <c r="E21" s="122" t="s">
        <v>89</v>
      </c>
      <c r="F21" s="123"/>
      <c r="G21" s="123"/>
      <c r="H21" s="123"/>
      <c r="I21" s="123"/>
      <c r="J21" s="123"/>
      <c r="K21" s="124"/>
      <c r="L21" s="116" t="s">
        <v>26</v>
      </c>
      <c r="M21" s="117"/>
      <c r="N21" s="118"/>
      <c r="O21" s="116" t="s">
        <v>27</v>
      </c>
      <c r="P21" s="117"/>
      <c r="Q21" s="117"/>
      <c r="R21" s="118"/>
      <c r="S21" s="116" t="s">
        <v>28</v>
      </c>
      <c r="T21" s="117"/>
      <c r="U21" s="117"/>
      <c r="V21" s="117"/>
      <c r="W21" s="117"/>
      <c r="X21" s="117"/>
      <c r="Y21" s="118"/>
      <c r="Z21" s="122" t="s">
        <v>90</v>
      </c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16" t="s">
        <v>25</v>
      </c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8"/>
      <c r="BK21" s="25"/>
    </row>
    <row r="22" spans="1:63" s="26" customFormat="1" ht="15" customHeight="1" x14ac:dyDescent="0.25">
      <c r="A22" s="21"/>
      <c r="B22" s="28"/>
      <c r="C22" s="101">
        <v>1</v>
      </c>
      <c r="D22" s="102"/>
      <c r="E22" s="252" t="s">
        <v>4</v>
      </c>
      <c r="F22" s="253"/>
      <c r="G22" s="253"/>
      <c r="H22" s="253"/>
      <c r="I22" s="253"/>
      <c r="J22" s="253"/>
      <c r="K22" s="254"/>
      <c r="L22" s="125" t="s">
        <v>5</v>
      </c>
      <c r="M22" s="104"/>
      <c r="N22" s="105"/>
      <c r="O22" s="101" t="s">
        <v>6</v>
      </c>
      <c r="P22" s="106"/>
      <c r="Q22" s="106"/>
      <c r="R22" s="102"/>
      <c r="S22" s="101" t="s">
        <v>7</v>
      </c>
      <c r="T22" s="106"/>
      <c r="U22" s="106"/>
      <c r="V22" s="106"/>
      <c r="W22" s="106"/>
      <c r="X22" s="106"/>
      <c r="Y22" s="102"/>
      <c r="Z22" s="252" t="s">
        <v>8</v>
      </c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4"/>
      <c r="AQ22" s="255" t="s">
        <v>91</v>
      </c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1"/>
      <c r="BK22" s="25"/>
    </row>
    <row r="23" spans="1:63" s="26" customFormat="1" ht="15" customHeight="1" x14ac:dyDescent="0.25">
      <c r="A23" s="21"/>
      <c r="B23" s="28"/>
      <c r="C23" s="101">
        <v>2</v>
      </c>
      <c r="D23" s="102"/>
      <c r="E23" s="252" t="s">
        <v>9</v>
      </c>
      <c r="F23" s="253"/>
      <c r="G23" s="253"/>
      <c r="H23" s="253"/>
      <c r="I23" s="253"/>
      <c r="J23" s="253"/>
      <c r="K23" s="254"/>
      <c r="L23" s="125" t="s">
        <v>7</v>
      </c>
      <c r="M23" s="104"/>
      <c r="N23" s="105"/>
      <c r="O23" s="101" t="s">
        <v>6</v>
      </c>
      <c r="P23" s="106"/>
      <c r="Q23" s="106"/>
      <c r="R23" s="102"/>
      <c r="S23" s="101" t="s">
        <v>7</v>
      </c>
      <c r="T23" s="106"/>
      <c r="U23" s="106"/>
      <c r="V23" s="106"/>
      <c r="W23" s="106"/>
      <c r="X23" s="106"/>
      <c r="Y23" s="102"/>
      <c r="Z23" s="252" t="s">
        <v>9</v>
      </c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4"/>
      <c r="AQ23" s="249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1"/>
      <c r="BK23" s="25"/>
    </row>
    <row r="24" spans="1:63" s="26" customFormat="1" ht="15" customHeight="1" x14ac:dyDescent="0.25">
      <c r="A24" s="21"/>
      <c r="B24" s="28"/>
      <c r="C24" s="135">
        <v>3</v>
      </c>
      <c r="D24" s="136"/>
      <c r="E24" s="256" t="s">
        <v>10</v>
      </c>
      <c r="F24" s="257"/>
      <c r="G24" s="257"/>
      <c r="H24" s="257"/>
      <c r="I24" s="257"/>
      <c r="J24" s="257"/>
      <c r="K24" s="258"/>
      <c r="L24" s="259" t="s">
        <v>5</v>
      </c>
      <c r="M24" s="260"/>
      <c r="N24" s="261"/>
      <c r="O24" s="262" t="s">
        <v>6</v>
      </c>
      <c r="P24" s="263"/>
      <c r="Q24" s="263"/>
      <c r="R24" s="264"/>
      <c r="S24" s="262" t="s">
        <v>30</v>
      </c>
      <c r="T24" s="263"/>
      <c r="U24" s="263"/>
      <c r="V24" s="263"/>
      <c r="W24" s="263"/>
      <c r="X24" s="263"/>
      <c r="Y24" s="264"/>
      <c r="Z24" s="265" t="s">
        <v>30</v>
      </c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7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9"/>
      <c r="BK24" s="25"/>
    </row>
    <row r="25" spans="1:63" s="26" customFormat="1" ht="15" customHeight="1" x14ac:dyDescent="0.25">
      <c r="A25" s="21"/>
      <c r="B25" s="28"/>
      <c r="C25" s="137"/>
      <c r="D25" s="138"/>
      <c r="E25" s="270"/>
      <c r="F25" s="271"/>
      <c r="G25" s="271"/>
      <c r="H25" s="271"/>
      <c r="I25" s="271"/>
      <c r="J25" s="271"/>
      <c r="K25" s="272"/>
      <c r="L25" s="273"/>
      <c r="M25" s="274"/>
      <c r="N25" s="275"/>
      <c r="O25" s="276"/>
      <c r="P25" s="277"/>
      <c r="Q25" s="277"/>
      <c r="R25" s="278"/>
      <c r="S25" s="276"/>
      <c r="T25" s="277"/>
      <c r="U25" s="277"/>
      <c r="V25" s="277"/>
      <c r="W25" s="277"/>
      <c r="X25" s="277"/>
      <c r="Y25" s="278"/>
      <c r="Z25" s="279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1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2"/>
      <c r="BH25" s="282"/>
      <c r="BI25" s="282"/>
      <c r="BJ25" s="283"/>
      <c r="BK25" s="25"/>
    </row>
    <row r="26" spans="1:63" s="26" customFormat="1" ht="15" customHeight="1" x14ac:dyDescent="0.25">
      <c r="A26" s="21"/>
      <c r="B26" s="28"/>
      <c r="C26" s="139"/>
      <c r="D26" s="140"/>
      <c r="E26" s="284"/>
      <c r="F26" s="285"/>
      <c r="G26" s="285"/>
      <c r="H26" s="285"/>
      <c r="I26" s="285"/>
      <c r="J26" s="285"/>
      <c r="K26" s="286"/>
      <c r="L26" s="287"/>
      <c r="M26" s="288"/>
      <c r="N26" s="289"/>
      <c r="O26" s="290"/>
      <c r="P26" s="291"/>
      <c r="Q26" s="291"/>
      <c r="R26" s="292"/>
      <c r="S26" s="290"/>
      <c r="T26" s="291"/>
      <c r="U26" s="291"/>
      <c r="V26" s="291"/>
      <c r="W26" s="291"/>
      <c r="X26" s="291"/>
      <c r="Y26" s="292"/>
      <c r="Z26" s="293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5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7"/>
      <c r="BK26" s="25"/>
    </row>
    <row r="27" spans="1:63" s="26" customFormat="1" ht="15" customHeight="1" x14ac:dyDescent="0.25">
      <c r="A27" s="21"/>
      <c r="B27" s="28"/>
      <c r="C27" s="101">
        <v>4</v>
      </c>
      <c r="D27" s="102"/>
      <c r="E27" s="252" t="s">
        <v>11</v>
      </c>
      <c r="F27" s="253"/>
      <c r="G27" s="253"/>
      <c r="H27" s="253"/>
      <c r="I27" s="253"/>
      <c r="J27" s="253"/>
      <c r="K27" s="254"/>
      <c r="L27" s="125" t="s">
        <v>7</v>
      </c>
      <c r="M27" s="104"/>
      <c r="N27" s="105"/>
      <c r="O27" s="101" t="s">
        <v>6</v>
      </c>
      <c r="P27" s="106"/>
      <c r="Q27" s="106"/>
      <c r="R27" s="102"/>
      <c r="S27" s="101" t="s">
        <v>7</v>
      </c>
      <c r="T27" s="106"/>
      <c r="U27" s="106"/>
      <c r="V27" s="106"/>
      <c r="W27" s="106"/>
      <c r="X27" s="106"/>
      <c r="Y27" s="102"/>
      <c r="Z27" s="252" t="s">
        <v>11</v>
      </c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4"/>
      <c r="AQ27" s="249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1"/>
      <c r="BK27" s="25"/>
    </row>
    <row r="28" spans="1:63" s="26" customFormat="1" ht="15" customHeight="1" x14ac:dyDescent="0.25">
      <c r="A28" s="21"/>
      <c r="B28" s="28"/>
      <c r="C28" s="101">
        <v>5</v>
      </c>
      <c r="D28" s="102"/>
      <c r="E28" s="252" t="s">
        <v>12</v>
      </c>
      <c r="F28" s="253"/>
      <c r="G28" s="253"/>
      <c r="H28" s="253"/>
      <c r="I28" s="253"/>
      <c r="J28" s="253"/>
      <c r="K28" s="254"/>
      <c r="L28" s="125" t="s">
        <v>7</v>
      </c>
      <c r="M28" s="104"/>
      <c r="N28" s="105"/>
      <c r="O28" s="101" t="s">
        <v>6</v>
      </c>
      <c r="P28" s="106"/>
      <c r="Q28" s="106"/>
      <c r="R28" s="102"/>
      <c r="S28" s="101" t="s">
        <v>7</v>
      </c>
      <c r="T28" s="106"/>
      <c r="U28" s="106"/>
      <c r="V28" s="106"/>
      <c r="W28" s="106"/>
      <c r="X28" s="106"/>
      <c r="Y28" s="102"/>
      <c r="Z28" s="252" t="s">
        <v>12</v>
      </c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4"/>
      <c r="AQ28" s="249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1"/>
      <c r="BK28" s="25"/>
    </row>
    <row r="29" spans="1:63" s="26" customFormat="1" ht="15" customHeight="1" x14ac:dyDescent="0.25">
      <c r="A29" s="21"/>
      <c r="B29" s="28"/>
      <c r="C29" s="28"/>
      <c r="D29" s="28"/>
      <c r="E29" s="248"/>
      <c r="F29" s="248"/>
      <c r="G29" s="248"/>
      <c r="H29" s="248"/>
      <c r="I29" s="28"/>
      <c r="J29" s="28"/>
      <c r="K29" s="28"/>
      <c r="L29" s="298"/>
      <c r="M29" s="248"/>
      <c r="N29" s="248"/>
      <c r="O29" s="248"/>
      <c r="P29" s="248"/>
      <c r="Q29" s="28"/>
      <c r="R29" s="28"/>
      <c r="S29" s="28"/>
      <c r="T29" s="28"/>
      <c r="U29" s="28"/>
      <c r="V29" s="28"/>
      <c r="W29" s="28"/>
      <c r="X29" s="28"/>
      <c r="Y29" s="28"/>
      <c r="Z29" s="35"/>
      <c r="AA29" s="28"/>
      <c r="AB29" s="28"/>
      <c r="AC29" s="28"/>
      <c r="AD29" s="28"/>
      <c r="AE29" s="28"/>
      <c r="AF29" s="28"/>
      <c r="AG29" s="248"/>
      <c r="AH29" s="248"/>
      <c r="AI29" s="248"/>
      <c r="AJ29" s="248"/>
      <c r="AK29" s="248"/>
      <c r="AL29" s="248"/>
      <c r="AM29" s="248"/>
      <c r="AN29" s="248"/>
      <c r="AO29" s="248"/>
      <c r="AP29" s="28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29"/>
      <c r="BI29" s="29"/>
      <c r="BJ29" s="29"/>
      <c r="BK29" s="25"/>
    </row>
    <row r="30" spans="1:63" s="26" customFormat="1" ht="15" customHeight="1" x14ac:dyDescent="0.25">
      <c r="A30" s="21"/>
      <c r="B30" s="28"/>
      <c r="C30" s="28"/>
      <c r="D30" s="28"/>
      <c r="E30" s="248"/>
      <c r="F30" s="248"/>
      <c r="G30" s="248"/>
      <c r="H30" s="248"/>
      <c r="I30" s="28"/>
      <c r="J30" s="28"/>
      <c r="K30" s="28"/>
      <c r="L30" s="37"/>
      <c r="M30" s="248"/>
      <c r="N30" s="248"/>
      <c r="O30" s="248"/>
      <c r="P30" s="248"/>
      <c r="Q30" s="28"/>
      <c r="R30" s="28"/>
      <c r="S30" s="28"/>
      <c r="T30" s="28"/>
      <c r="U30" s="28"/>
      <c r="V30" s="28"/>
      <c r="W30" s="28"/>
      <c r="X30" s="28"/>
      <c r="Y30" s="28"/>
      <c r="Z30" s="35"/>
      <c r="AA30" s="28"/>
      <c r="AB30" s="28"/>
      <c r="AC30" s="28"/>
      <c r="AD30" s="28"/>
      <c r="AE30" s="28"/>
      <c r="AF30" s="28"/>
      <c r="AG30" s="248"/>
      <c r="AH30" s="248"/>
      <c r="AI30" s="248"/>
      <c r="AJ30" s="248"/>
      <c r="AK30" s="248"/>
      <c r="AL30" s="248"/>
      <c r="AM30" s="248"/>
      <c r="AN30" s="248"/>
      <c r="AO30" s="248"/>
      <c r="AP30" s="28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9"/>
      <c r="BI30" s="29"/>
      <c r="BJ30" s="29"/>
      <c r="BK30" s="25"/>
    </row>
    <row r="31" spans="1:63" s="26" customFormat="1" ht="15" customHeight="1" x14ac:dyDescent="0.25">
      <c r="A31" s="21"/>
      <c r="B31" s="28"/>
      <c r="C31" s="31" t="s">
        <v>92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9"/>
      <c r="BI31" s="29"/>
      <c r="BJ31" s="29"/>
      <c r="BK31" s="25"/>
    </row>
    <row r="32" spans="1:63" s="26" customFormat="1" ht="15" customHeight="1" x14ac:dyDescent="0.25">
      <c r="A32" s="21"/>
      <c r="B32" s="28"/>
      <c r="C32" s="132" t="s">
        <v>13</v>
      </c>
      <c r="D32" s="133"/>
      <c r="E32" s="299" t="s">
        <v>29</v>
      </c>
      <c r="F32" s="300"/>
      <c r="G32" s="300"/>
      <c r="H32" s="300"/>
      <c r="I32" s="300"/>
      <c r="J32" s="300"/>
      <c r="K32" s="301"/>
      <c r="L32" s="116" t="s">
        <v>26</v>
      </c>
      <c r="M32" s="117"/>
      <c r="N32" s="118"/>
      <c r="O32" s="116" t="s">
        <v>27</v>
      </c>
      <c r="P32" s="117"/>
      <c r="Q32" s="117"/>
      <c r="R32" s="118"/>
      <c r="S32" s="116" t="s">
        <v>28</v>
      </c>
      <c r="T32" s="117"/>
      <c r="U32" s="117"/>
      <c r="V32" s="117"/>
      <c r="W32" s="117"/>
      <c r="X32" s="117"/>
      <c r="Y32" s="118"/>
      <c r="Z32" s="122" t="s">
        <v>90</v>
      </c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6" t="s">
        <v>25</v>
      </c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8"/>
      <c r="BK32" s="25"/>
    </row>
    <row r="33" spans="1:63" s="26" customFormat="1" ht="15" customHeight="1" x14ac:dyDescent="0.25">
      <c r="A33" s="21"/>
      <c r="B33" s="28"/>
      <c r="C33" s="101">
        <v>1</v>
      </c>
      <c r="D33" s="102"/>
      <c r="E33" s="252" t="s">
        <v>37</v>
      </c>
      <c r="F33" s="253"/>
      <c r="G33" s="253"/>
      <c r="H33" s="253"/>
      <c r="I33" s="253"/>
      <c r="J33" s="253"/>
      <c r="K33" s="254"/>
      <c r="L33" s="103" t="s">
        <v>5</v>
      </c>
      <c r="M33" s="104"/>
      <c r="N33" s="105"/>
      <c r="O33" s="101" t="s">
        <v>6</v>
      </c>
      <c r="P33" s="106"/>
      <c r="Q33" s="106"/>
      <c r="R33" s="102"/>
      <c r="S33" s="134" t="s">
        <v>7</v>
      </c>
      <c r="T33" s="106"/>
      <c r="U33" s="106"/>
      <c r="V33" s="106"/>
      <c r="W33" s="106"/>
      <c r="X33" s="106"/>
      <c r="Y33" s="102"/>
      <c r="Z33" s="249" t="s">
        <v>38</v>
      </c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4"/>
      <c r="AQ33" s="249" t="s">
        <v>43</v>
      </c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4"/>
      <c r="BK33" s="25"/>
    </row>
    <row r="34" spans="1:63" s="26" customFormat="1" ht="35.25" customHeight="1" x14ac:dyDescent="0.25">
      <c r="A34" s="21"/>
      <c r="B34" s="28"/>
      <c r="C34" s="101">
        <v>2</v>
      </c>
      <c r="D34" s="102"/>
      <c r="E34" s="252" t="s">
        <v>44</v>
      </c>
      <c r="F34" s="253"/>
      <c r="G34" s="253"/>
      <c r="H34" s="253"/>
      <c r="I34" s="253"/>
      <c r="J34" s="253"/>
      <c r="K34" s="254"/>
      <c r="L34" s="103" t="s">
        <v>5</v>
      </c>
      <c r="M34" s="104"/>
      <c r="N34" s="105"/>
      <c r="O34" s="101" t="s">
        <v>6</v>
      </c>
      <c r="P34" s="106"/>
      <c r="Q34" s="106"/>
      <c r="R34" s="102"/>
      <c r="S34" s="101" t="s">
        <v>7</v>
      </c>
      <c r="T34" s="106"/>
      <c r="U34" s="106"/>
      <c r="V34" s="106"/>
      <c r="W34" s="106"/>
      <c r="X34" s="106"/>
      <c r="Y34" s="102"/>
      <c r="Z34" s="252" t="s">
        <v>45</v>
      </c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4"/>
      <c r="AQ34" s="107" t="s">
        <v>93</v>
      </c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9"/>
      <c r="BK34" s="25"/>
    </row>
    <row r="35" spans="1:63" s="26" customFormat="1" ht="15" customHeight="1" x14ac:dyDescent="0.25">
      <c r="A35" s="21"/>
      <c r="B35" s="28"/>
      <c r="C35" s="28"/>
      <c r="D35" s="28"/>
      <c r="E35" s="248"/>
      <c r="F35" s="248"/>
      <c r="G35" s="248"/>
      <c r="H35" s="248"/>
      <c r="I35" s="248"/>
      <c r="J35" s="248"/>
      <c r="K35" s="248"/>
      <c r="L35" s="51"/>
      <c r="M35" s="52"/>
      <c r="N35" s="52"/>
      <c r="O35" s="28"/>
      <c r="P35" s="28"/>
      <c r="Q35" s="28"/>
      <c r="R35" s="28"/>
      <c r="S35" s="35"/>
      <c r="T35" s="28"/>
      <c r="U35" s="28"/>
      <c r="V35" s="28"/>
      <c r="W35" s="28"/>
      <c r="X35" s="28"/>
      <c r="Y35" s="28"/>
      <c r="Z35" s="29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25"/>
    </row>
    <row r="36" spans="1:63" s="26" customFormat="1" ht="15" customHeight="1" x14ac:dyDescent="0.25">
      <c r="A36" s="21"/>
      <c r="B36" s="28"/>
      <c r="C36" s="31" t="s">
        <v>94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9"/>
      <c r="BI36" s="29"/>
      <c r="BJ36" s="29"/>
      <c r="BK36" s="25"/>
    </row>
    <row r="37" spans="1:63" s="26" customFormat="1" ht="15" customHeight="1" x14ac:dyDescent="0.25">
      <c r="A37" s="21"/>
      <c r="B37" s="28"/>
      <c r="C37" s="27"/>
      <c r="D37" s="28" t="s">
        <v>36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9"/>
      <c r="BI37" s="29"/>
      <c r="BJ37" s="29"/>
      <c r="BK37" s="25"/>
    </row>
    <row r="38" spans="1:63" s="26" customFormat="1" ht="15" customHeight="1" x14ac:dyDescent="0.25">
      <c r="A38" s="21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9"/>
      <c r="BI38" s="29"/>
      <c r="BJ38" s="29"/>
      <c r="BK38" s="25"/>
    </row>
    <row r="39" spans="1:63" s="26" customFormat="1" ht="15" customHeight="1" x14ac:dyDescent="0.25">
      <c r="A39" s="21"/>
      <c r="B39" s="28"/>
      <c r="C39" s="31" t="s">
        <v>95</v>
      </c>
      <c r="D39" s="28"/>
      <c r="E39" s="248"/>
      <c r="F39" s="28"/>
      <c r="G39" s="24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25"/>
    </row>
    <row r="40" spans="1:63" s="26" customFormat="1" ht="15" customHeight="1" x14ac:dyDescent="0.25">
      <c r="A40" s="21"/>
      <c r="B40" s="28"/>
      <c r="C40" s="31"/>
      <c r="D40" s="248" t="s">
        <v>36</v>
      </c>
      <c r="E40" s="248"/>
      <c r="F40" s="28"/>
      <c r="G40" s="24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25"/>
    </row>
    <row r="41" spans="1:63" s="26" customFormat="1" ht="15" customHeight="1" x14ac:dyDescent="0.25">
      <c r="A41" s="21"/>
      <c r="B41" s="27"/>
      <c r="C41" s="3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9"/>
      <c r="BI41" s="29"/>
      <c r="BJ41" s="29"/>
      <c r="BK41" s="25"/>
    </row>
    <row r="42" spans="1:63" s="26" customFormat="1" ht="15" customHeight="1" x14ac:dyDescent="0.25">
      <c r="A42" s="21"/>
      <c r="B42" s="22" t="s">
        <v>96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4"/>
      <c r="BI42" s="24"/>
      <c r="BJ42" s="24"/>
      <c r="BK42" s="25"/>
    </row>
    <row r="43" spans="1:63" s="26" customFormat="1" ht="15" customHeight="1" x14ac:dyDescent="0.25">
      <c r="A43" s="21"/>
      <c r="B43" s="27"/>
      <c r="C43" s="3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9"/>
      <c r="BI43" s="29"/>
      <c r="BJ43" s="29"/>
      <c r="BK43" s="25"/>
    </row>
    <row r="44" spans="1:63" s="26" customFormat="1" ht="15" customHeight="1" x14ac:dyDescent="0.25">
      <c r="A44" s="21"/>
      <c r="B44" s="27"/>
      <c r="C44" s="31" t="s">
        <v>97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9"/>
      <c r="BI44" s="29"/>
      <c r="BJ44" s="29"/>
      <c r="BK44" s="25"/>
    </row>
    <row r="45" spans="1:63" s="26" customFormat="1" ht="15" customHeight="1" x14ac:dyDescent="0.25">
      <c r="A45" s="21"/>
      <c r="B45" s="27"/>
      <c r="C45" s="31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9"/>
      <c r="BI45" s="29"/>
      <c r="BJ45" s="29"/>
      <c r="BK45" s="25"/>
    </row>
    <row r="46" spans="1:63" s="26" customFormat="1" ht="15" customHeight="1" x14ac:dyDescent="0.25">
      <c r="A46" s="21"/>
      <c r="B46" s="28"/>
      <c r="C46" s="116" t="s">
        <v>13</v>
      </c>
      <c r="D46" s="118"/>
      <c r="E46" s="122" t="s">
        <v>98</v>
      </c>
      <c r="F46" s="117"/>
      <c r="G46" s="117"/>
      <c r="H46" s="117"/>
      <c r="I46" s="117"/>
      <c r="J46" s="117"/>
      <c r="K46" s="118"/>
      <c r="L46" s="116" t="s">
        <v>27</v>
      </c>
      <c r="M46" s="117"/>
      <c r="N46" s="117"/>
      <c r="O46" s="117"/>
      <c r="P46" s="117"/>
      <c r="Q46" s="117"/>
      <c r="R46" s="118"/>
      <c r="S46" s="119" t="s">
        <v>90</v>
      </c>
      <c r="T46" s="120"/>
      <c r="U46" s="120"/>
      <c r="V46" s="120"/>
      <c r="W46" s="120"/>
      <c r="X46" s="120"/>
      <c r="Y46" s="120"/>
      <c r="Z46" s="120"/>
      <c r="AA46" s="120"/>
      <c r="AB46" s="121"/>
      <c r="AC46" s="116" t="s">
        <v>25</v>
      </c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9"/>
      <c r="BI46" s="29"/>
      <c r="BJ46" s="29"/>
      <c r="BK46" s="25"/>
    </row>
    <row r="47" spans="1:63" s="26" customFormat="1" ht="14.25" customHeight="1" x14ac:dyDescent="0.25">
      <c r="A47" s="21"/>
      <c r="B47" s="28"/>
      <c r="C47" s="101">
        <v>1</v>
      </c>
      <c r="D47" s="102"/>
      <c r="E47" s="110" t="s">
        <v>33</v>
      </c>
      <c r="F47" s="111"/>
      <c r="G47" s="111"/>
      <c r="H47" s="111"/>
      <c r="I47" s="111"/>
      <c r="J47" s="111"/>
      <c r="K47" s="112"/>
      <c r="L47" s="101" t="s">
        <v>6</v>
      </c>
      <c r="M47" s="106"/>
      <c r="N47" s="106"/>
      <c r="O47" s="106"/>
      <c r="P47" s="106"/>
      <c r="Q47" s="106"/>
      <c r="R47" s="102"/>
      <c r="S47" s="113" t="s">
        <v>99</v>
      </c>
      <c r="T47" s="114"/>
      <c r="U47" s="114"/>
      <c r="V47" s="114"/>
      <c r="W47" s="114"/>
      <c r="X47" s="114"/>
      <c r="Y47" s="114"/>
      <c r="Z47" s="114"/>
      <c r="AA47" s="114"/>
      <c r="AB47" s="115"/>
      <c r="AC47" s="101" t="s">
        <v>34</v>
      </c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2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9"/>
      <c r="BI47" s="29"/>
      <c r="BJ47" s="29"/>
      <c r="BK47" s="25"/>
    </row>
    <row r="48" spans="1:63" s="26" customFormat="1" ht="15" customHeight="1" x14ac:dyDescent="0.25">
      <c r="A48" s="21"/>
      <c r="B48" s="28"/>
      <c r="C48" s="101">
        <v>2</v>
      </c>
      <c r="D48" s="102"/>
      <c r="E48" s="110" t="s">
        <v>44</v>
      </c>
      <c r="F48" s="111"/>
      <c r="G48" s="111"/>
      <c r="H48" s="111"/>
      <c r="I48" s="111"/>
      <c r="J48" s="111"/>
      <c r="K48" s="112"/>
      <c r="L48" s="101" t="s">
        <v>6</v>
      </c>
      <c r="M48" s="106"/>
      <c r="N48" s="106"/>
      <c r="O48" s="106"/>
      <c r="P48" s="106"/>
      <c r="Q48" s="106"/>
      <c r="R48" s="102"/>
      <c r="S48" s="113" t="s">
        <v>100</v>
      </c>
      <c r="T48" s="114"/>
      <c r="U48" s="114"/>
      <c r="V48" s="114"/>
      <c r="W48" s="114"/>
      <c r="X48" s="114"/>
      <c r="Y48" s="114"/>
      <c r="Z48" s="114"/>
      <c r="AA48" s="114"/>
      <c r="AB48" s="115"/>
      <c r="AC48" s="101" t="s">
        <v>46</v>
      </c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2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9"/>
      <c r="BI48" s="29"/>
      <c r="BJ48" s="29"/>
      <c r="BK48" s="25"/>
    </row>
    <row r="49" spans="1:63" s="26" customFormat="1" ht="15" customHeight="1" x14ac:dyDescent="0.25">
      <c r="A49" s="21"/>
      <c r="B49" s="28"/>
      <c r="C49" s="101">
        <v>3</v>
      </c>
      <c r="D49" s="102"/>
      <c r="E49" s="110" t="s">
        <v>39</v>
      </c>
      <c r="F49" s="111"/>
      <c r="G49" s="111"/>
      <c r="H49" s="111"/>
      <c r="I49" s="111"/>
      <c r="J49" s="111"/>
      <c r="K49" s="112"/>
      <c r="L49" s="101" t="s">
        <v>6</v>
      </c>
      <c r="M49" s="106"/>
      <c r="N49" s="106"/>
      <c r="O49" s="106"/>
      <c r="P49" s="106"/>
      <c r="Q49" s="106"/>
      <c r="R49" s="102"/>
      <c r="S49" s="113" t="s">
        <v>101</v>
      </c>
      <c r="T49" s="114"/>
      <c r="U49" s="114"/>
      <c r="V49" s="114"/>
      <c r="W49" s="114"/>
      <c r="X49" s="114"/>
      <c r="Y49" s="114"/>
      <c r="Z49" s="114"/>
      <c r="AA49" s="114"/>
      <c r="AB49" s="115"/>
      <c r="AC49" s="101" t="s">
        <v>40</v>
      </c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2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9"/>
      <c r="BI49" s="29"/>
      <c r="BJ49" s="29"/>
      <c r="BK49" s="25"/>
    </row>
    <row r="50" spans="1:63" s="26" customFormat="1" ht="15" customHeight="1" x14ac:dyDescent="0.25">
      <c r="A50" s="21"/>
      <c r="B50" s="28"/>
      <c r="C50" s="302">
        <f t="shared" ref="C50:C53" si="0">C49+1</f>
        <v>4</v>
      </c>
      <c r="D50" s="303"/>
      <c r="E50" s="304" t="s">
        <v>49</v>
      </c>
      <c r="F50" s="305"/>
      <c r="G50" s="305"/>
      <c r="H50" s="305"/>
      <c r="I50" s="305"/>
      <c r="J50" s="305"/>
      <c r="K50" s="306"/>
      <c r="L50" s="302" t="s">
        <v>50</v>
      </c>
      <c r="M50" s="307"/>
      <c r="N50" s="307"/>
      <c r="O50" s="307" t="s">
        <v>50</v>
      </c>
      <c r="P50" s="307"/>
      <c r="Q50" s="307"/>
      <c r="R50" s="303"/>
      <c r="S50" s="308"/>
      <c r="T50" s="309"/>
      <c r="U50" s="309"/>
      <c r="V50" s="309"/>
      <c r="W50" s="309"/>
      <c r="X50" s="309"/>
      <c r="Y50" s="309"/>
      <c r="Z50" s="309"/>
      <c r="AA50" s="309"/>
      <c r="AB50" s="310"/>
      <c r="AC50" s="302" t="s">
        <v>51</v>
      </c>
      <c r="AD50" s="307"/>
      <c r="AE50" s="307"/>
      <c r="AF50" s="307"/>
      <c r="AG50" s="307"/>
      <c r="AH50" s="307"/>
      <c r="AI50" s="307"/>
      <c r="AJ50" s="307"/>
      <c r="AK50" s="307"/>
      <c r="AL50" s="307"/>
      <c r="AM50" s="307"/>
      <c r="AN50" s="307"/>
      <c r="AO50" s="307"/>
      <c r="AP50" s="307"/>
      <c r="AQ50" s="307"/>
      <c r="AR50" s="307"/>
      <c r="AS50" s="307"/>
      <c r="AT50" s="307"/>
      <c r="AU50" s="303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9"/>
      <c r="BI50" s="29"/>
      <c r="BJ50" s="29"/>
      <c r="BK50" s="25"/>
    </row>
    <row r="51" spans="1:63" s="26" customFormat="1" ht="15" customHeight="1" x14ac:dyDescent="0.25">
      <c r="A51" s="21"/>
      <c r="B51" s="28"/>
      <c r="C51" s="302">
        <f t="shared" si="0"/>
        <v>5</v>
      </c>
      <c r="D51" s="303"/>
      <c r="E51" s="311" t="s">
        <v>52</v>
      </c>
      <c r="F51" s="312"/>
      <c r="G51" s="312"/>
      <c r="H51" s="312"/>
      <c r="I51" s="312"/>
      <c r="J51" s="312"/>
      <c r="K51" s="313"/>
      <c r="L51" s="304" t="s">
        <v>53</v>
      </c>
      <c r="M51" s="305"/>
      <c r="N51" s="305"/>
      <c r="O51" s="305" t="s">
        <v>53</v>
      </c>
      <c r="P51" s="305"/>
      <c r="Q51" s="305"/>
      <c r="R51" s="306"/>
      <c r="S51" s="308" t="s">
        <v>54</v>
      </c>
      <c r="T51" s="309"/>
      <c r="U51" s="309"/>
      <c r="V51" s="309"/>
      <c r="W51" s="309"/>
      <c r="X51" s="309"/>
      <c r="Y51" s="309"/>
      <c r="Z51" s="309"/>
      <c r="AA51" s="309"/>
      <c r="AB51" s="310"/>
      <c r="AC51" s="302" t="s">
        <v>55</v>
      </c>
      <c r="AD51" s="307"/>
      <c r="AE51" s="307"/>
      <c r="AF51" s="307"/>
      <c r="AG51" s="307"/>
      <c r="AH51" s="307"/>
      <c r="AI51" s="307"/>
      <c r="AJ51" s="307"/>
      <c r="AK51" s="307"/>
      <c r="AL51" s="307"/>
      <c r="AM51" s="307"/>
      <c r="AN51" s="307"/>
      <c r="AO51" s="307"/>
      <c r="AP51" s="307"/>
      <c r="AQ51" s="307"/>
      <c r="AR51" s="307"/>
      <c r="AS51" s="307"/>
      <c r="AT51" s="307"/>
      <c r="AU51" s="303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9"/>
      <c r="BI51" s="29"/>
      <c r="BJ51" s="29"/>
      <c r="BK51" s="25"/>
    </row>
    <row r="52" spans="1:63" s="26" customFormat="1" ht="15" customHeight="1" x14ac:dyDescent="0.25">
      <c r="A52" s="21"/>
      <c r="B52" s="28"/>
      <c r="C52" s="302">
        <f t="shared" si="0"/>
        <v>6</v>
      </c>
      <c r="D52" s="303"/>
      <c r="E52" s="311" t="s">
        <v>56</v>
      </c>
      <c r="F52" s="312"/>
      <c r="G52" s="312"/>
      <c r="H52" s="312"/>
      <c r="I52" s="312"/>
      <c r="J52" s="312"/>
      <c r="K52" s="313"/>
      <c r="L52" s="304" t="s">
        <v>53</v>
      </c>
      <c r="M52" s="305"/>
      <c r="N52" s="305"/>
      <c r="O52" s="305" t="s">
        <v>53</v>
      </c>
      <c r="P52" s="305"/>
      <c r="Q52" s="305"/>
      <c r="R52" s="306"/>
      <c r="S52" s="308" t="s">
        <v>57</v>
      </c>
      <c r="T52" s="309"/>
      <c r="U52" s="309"/>
      <c r="V52" s="309"/>
      <c r="W52" s="309"/>
      <c r="X52" s="309"/>
      <c r="Y52" s="309"/>
      <c r="Z52" s="309"/>
      <c r="AA52" s="309"/>
      <c r="AB52" s="310"/>
      <c r="AC52" s="302" t="s">
        <v>58</v>
      </c>
      <c r="AD52" s="307"/>
      <c r="AE52" s="307"/>
      <c r="AF52" s="307"/>
      <c r="AG52" s="307"/>
      <c r="AH52" s="307"/>
      <c r="AI52" s="307"/>
      <c r="AJ52" s="307"/>
      <c r="AK52" s="307"/>
      <c r="AL52" s="307"/>
      <c r="AM52" s="307"/>
      <c r="AN52" s="307"/>
      <c r="AO52" s="307"/>
      <c r="AP52" s="307"/>
      <c r="AQ52" s="307"/>
      <c r="AR52" s="307"/>
      <c r="AS52" s="307"/>
      <c r="AT52" s="307"/>
      <c r="AU52" s="303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25"/>
    </row>
    <row r="53" spans="1:63" s="26" customFormat="1" ht="15" customHeight="1" x14ac:dyDescent="0.25">
      <c r="A53" s="21"/>
      <c r="B53" s="28"/>
      <c r="C53" s="302">
        <f t="shared" si="0"/>
        <v>7</v>
      </c>
      <c r="D53" s="303"/>
      <c r="E53" s="311" t="s">
        <v>59</v>
      </c>
      <c r="F53" s="312"/>
      <c r="G53" s="312"/>
      <c r="H53" s="312"/>
      <c r="I53" s="312"/>
      <c r="J53" s="312"/>
      <c r="K53" s="313"/>
      <c r="L53" s="304" t="s">
        <v>53</v>
      </c>
      <c r="M53" s="305"/>
      <c r="N53" s="305"/>
      <c r="O53" s="305" t="s">
        <v>53</v>
      </c>
      <c r="P53" s="305"/>
      <c r="Q53" s="305"/>
      <c r="R53" s="306"/>
      <c r="S53" s="308" t="s">
        <v>57</v>
      </c>
      <c r="T53" s="309"/>
      <c r="U53" s="309"/>
      <c r="V53" s="309"/>
      <c r="W53" s="309"/>
      <c r="X53" s="309"/>
      <c r="Y53" s="309"/>
      <c r="Z53" s="309"/>
      <c r="AA53" s="309"/>
      <c r="AB53" s="310"/>
      <c r="AC53" s="302" t="s">
        <v>60</v>
      </c>
      <c r="AD53" s="307"/>
      <c r="AE53" s="307"/>
      <c r="AF53" s="307"/>
      <c r="AG53" s="307"/>
      <c r="AH53" s="307"/>
      <c r="AI53" s="307"/>
      <c r="AJ53" s="307"/>
      <c r="AK53" s="307"/>
      <c r="AL53" s="307"/>
      <c r="AM53" s="307"/>
      <c r="AN53" s="307"/>
      <c r="AO53" s="307"/>
      <c r="AP53" s="307"/>
      <c r="AQ53" s="307"/>
      <c r="AR53" s="307"/>
      <c r="AS53" s="307"/>
      <c r="AT53" s="307"/>
      <c r="AU53" s="303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9"/>
      <c r="BI53" s="29"/>
      <c r="BJ53" s="29"/>
      <c r="BK53" s="25"/>
    </row>
    <row r="54" spans="1:63" s="26" customFormat="1" ht="15" customHeight="1" x14ac:dyDescent="0.25">
      <c r="A54" s="21"/>
      <c r="B54" s="28"/>
      <c r="C54" s="28"/>
      <c r="D54" s="28"/>
      <c r="E54" s="53"/>
      <c r="F54" s="53"/>
      <c r="G54" s="53"/>
      <c r="H54" s="53"/>
      <c r="I54" s="53"/>
      <c r="J54" s="53"/>
      <c r="K54" s="53"/>
      <c r="L54" s="28"/>
      <c r="M54" s="28"/>
      <c r="N54" s="28"/>
      <c r="O54" s="28"/>
      <c r="P54" s="28"/>
      <c r="Q54" s="28"/>
      <c r="R54" s="28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9"/>
      <c r="BI54" s="29"/>
      <c r="BJ54" s="29"/>
      <c r="BK54" s="25"/>
    </row>
    <row r="55" spans="1:63" s="26" customFormat="1" x14ac:dyDescent="0.25">
      <c r="A55" s="21"/>
      <c r="B55" s="28"/>
      <c r="C55" s="28"/>
      <c r="D55" s="28"/>
      <c r="E55" s="248"/>
      <c r="F55" s="248"/>
      <c r="G55" s="248"/>
      <c r="H55" s="24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48"/>
      <c r="T55" s="248"/>
      <c r="U55" s="248"/>
      <c r="V55" s="248"/>
      <c r="W55" s="248"/>
      <c r="X55" s="248"/>
      <c r="Y55" s="248"/>
      <c r="Z55" s="248"/>
      <c r="AA55" s="248"/>
      <c r="AB55" s="2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9"/>
      <c r="BI55" s="29"/>
      <c r="BJ55" s="29"/>
      <c r="BK55" s="25"/>
    </row>
    <row r="56" spans="1:63" s="26" customFormat="1" ht="15" customHeight="1" x14ac:dyDescent="0.25">
      <c r="A56" s="21"/>
      <c r="B56" s="28"/>
      <c r="C56" s="31" t="s">
        <v>95</v>
      </c>
      <c r="D56" s="28"/>
      <c r="E56" s="248"/>
      <c r="F56" s="28"/>
      <c r="G56" s="24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9"/>
      <c r="BI56" s="29"/>
      <c r="BJ56" s="29"/>
      <c r="BK56" s="25"/>
    </row>
    <row r="57" spans="1:63" s="26" customFormat="1" ht="15" customHeight="1" x14ac:dyDescent="0.25">
      <c r="A57" s="21"/>
      <c r="B57" s="28"/>
      <c r="C57" s="31"/>
      <c r="D57" s="248"/>
      <c r="E57" s="248"/>
      <c r="F57" s="28"/>
      <c r="G57" s="24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9"/>
      <c r="BI57" s="29"/>
      <c r="BJ57" s="29"/>
      <c r="BK57" s="25"/>
    </row>
    <row r="58" spans="1:63" s="26" customFormat="1" ht="15" customHeight="1" x14ac:dyDescent="0.25">
      <c r="A58" s="21"/>
      <c r="B58" s="28"/>
      <c r="C58" s="314" t="s">
        <v>31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2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25"/>
    </row>
    <row r="59" spans="1:63" s="26" customFormat="1" ht="15" customHeight="1" x14ac:dyDescent="0.25">
      <c r="A59" s="21"/>
      <c r="B59" s="28"/>
      <c r="C59" s="315" t="s">
        <v>102</v>
      </c>
      <c r="D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33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9"/>
      <c r="BI59" s="29"/>
      <c r="BJ59" s="29"/>
      <c r="BK59" s="25"/>
    </row>
    <row r="60" spans="1:63" s="26" customFormat="1" ht="15" customHeight="1" x14ac:dyDescent="0.25">
      <c r="A60" s="21"/>
      <c r="B60" s="28"/>
      <c r="C60" s="315" t="s">
        <v>103</v>
      </c>
      <c r="D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33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9"/>
      <c r="BI60" s="29"/>
      <c r="BJ60" s="29"/>
      <c r="BK60" s="25"/>
    </row>
    <row r="61" spans="1:63" s="26" customFormat="1" ht="15" customHeight="1" x14ac:dyDescent="0.25">
      <c r="A61" s="21"/>
      <c r="B61" s="28"/>
      <c r="C61" s="315" t="s">
        <v>104</v>
      </c>
      <c r="D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33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9"/>
      <c r="BI61" s="29"/>
      <c r="BJ61" s="29"/>
      <c r="BK61" s="25"/>
    </row>
    <row r="62" spans="1:63" s="26" customFormat="1" ht="15" customHeight="1" x14ac:dyDescent="0.25">
      <c r="A62" s="21"/>
      <c r="B62" s="28"/>
      <c r="C62" s="316" t="s">
        <v>32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34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9"/>
      <c r="BI62" s="29"/>
      <c r="BJ62" s="29"/>
      <c r="BK62" s="25"/>
    </row>
    <row r="63" spans="1:63" s="26" customFormat="1" ht="15" customHeight="1" x14ac:dyDescent="0.25">
      <c r="A63" s="21"/>
      <c r="B63" s="28"/>
      <c r="C63" s="28"/>
      <c r="D63" s="248"/>
      <c r="E63" s="248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9"/>
      <c r="BI63" s="29"/>
      <c r="BJ63" s="29"/>
      <c r="BK63" s="25"/>
    </row>
    <row r="64" spans="1:63" s="26" customFormat="1" ht="15" customHeight="1" x14ac:dyDescent="0.25">
      <c r="A64" s="21"/>
      <c r="B64" s="28"/>
      <c r="C64" s="27" t="s">
        <v>105</v>
      </c>
      <c r="D64" s="28"/>
      <c r="E64" s="248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9"/>
      <c r="BI64" s="29"/>
      <c r="BJ64" s="29"/>
      <c r="BK64" s="25"/>
    </row>
    <row r="65" spans="1:63" s="26" customFormat="1" ht="15" customHeight="1" x14ac:dyDescent="0.25">
      <c r="A65" s="21"/>
      <c r="B65" s="28"/>
      <c r="C65" s="27"/>
      <c r="D65" s="28"/>
      <c r="E65" s="248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9"/>
      <c r="BI65" s="29"/>
      <c r="BJ65" s="29"/>
      <c r="BK65" s="25"/>
    </row>
    <row r="66" spans="1:63" s="26" customFormat="1" ht="15" customHeight="1" x14ac:dyDescent="0.25">
      <c r="A66" s="21"/>
      <c r="B66" s="28"/>
      <c r="C66" s="27" t="s">
        <v>41</v>
      </c>
      <c r="D66" s="28"/>
      <c r="E66" s="248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9"/>
      <c r="BI66" s="29"/>
      <c r="BJ66" s="29"/>
      <c r="BK66" s="25"/>
    </row>
    <row r="67" spans="1:63" s="26" customFormat="1" ht="15" customHeight="1" x14ac:dyDescent="0.25">
      <c r="A67" s="21"/>
      <c r="B67" s="28"/>
      <c r="C67" s="27"/>
      <c r="D67" s="28"/>
      <c r="E67" s="248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9"/>
      <c r="BI67" s="29"/>
      <c r="BJ67" s="29"/>
      <c r="BK67" s="25"/>
    </row>
    <row r="68" spans="1:63" s="48" customFormat="1" ht="15" customHeight="1" x14ac:dyDescent="0.25">
      <c r="A68" s="43"/>
      <c r="B68" s="44"/>
      <c r="C68" s="44"/>
      <c r="D68" s="44"/>
      <c r="E68" s="45"/>
      <c r="F68" s="45"/>
      <c r="G68" s="45"/>
      <c r="H68" s="45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6"/>
      <c r="BI68" s="46"/>
      <c r="BJ68" s="46"/>
      <c r="BK68" s="47"/>
    </row>
  </sheetData>
  <mergeCells count="131">
    <mergeCell ref="C52:D52"/>
    <mergeCell ref="S52:AB52"/>
    <mergeCell ref="AC52:AU52"/>
    <mergeCell ref="C53:D53"/>
    <mergeCell ref="S53:AB53"/>
    <mergeCell ref="AC53:AU53"/>
    <mergeCell ref="E52:K52"/>
    <mergeCell ref="L52:R52"/>
    <mergeCell ref="E53:K53"/>
    <mergeCell ref="L53:R53"/>
    <mergeCell ref="C50:D50"/>
    <mergeCell ref="S50:AB50"/>
    <mergeCell ref="AC50:AU50"/>
    <mergeCell ref="C51:D51"/>
    <mergeCell ref="S51:AB51"/>
    <mergeCell ref="AC51:AU51"/>
    <mergeCell ref="E50:K50"/>
    <mergeCell ref="L50:R50"/>
    <mergeCell ref="E51:K51"/>
    <mergeCell ref="L51:R51"/>
    <mergeCell ref="C33:D33"/>
    <mergeCell ref="E33:K33"/>
    <mergeCell ref="C32:D32"/>
    <mergeCell ref="S33:Y33"/>
    <mergeCell ref="AQ33:BJ33"/>
    <mergeCell ref="O33:R33"/>
    <mergeCell ref="E32:K32"/>
    <mergeCell ref="S32:Y32"/>
    <mergeCell ref="A4:G4"/>
    <mergeCell ref="H4:T4"/>
    <mergeCell ref="U4:Y4"/>
    <mergeCell ref="Z4:AO4"/>
    <mergeCell ref="AP4:BK4"/>
    <mergeCell ref="C24:D26"/>
    <mergeCell ref="E24:K26"/>
    <mergeCell ref="C22:D22"/>
    <mergeCell ref="C23:D23"/>
    <mergeCell ref="AG17:AP17"/>
    <mergeCell ref="C21:D21"/>
    <mergeCell ref="S21:Y21"/>
    <mergeCell ref="Z21:AP21"/>
    <mergeCell ref="O22:R22"/>
    <mergeCell ref="C16:D16"/>
    <mergeCell ref="C17:D17"/>
    <mergeCell ref="E16:AF16"/>
    <mergeCell ref="AG16:AP16"/>
    <mergeCell ref="AQ16:BJ16"/>
    <mergeCell ref="E17:AF17"/>
    <mergeCell ref="AQ17:BJ17"/>
    <mergeCell ref="BH2:BK3"/>
    <mergeCell ref="A1:J1"/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L33:N33"/>
    <mergeCell ref="L32:N32"/>
    <mergeCell ref="O32:R32"/>
    <mergeCell ref="Z32:AP32"/>
    <mergeCell ref="AQ27:BJ27"/>
    <mergeCell ref="AQ28:BJ28"/>
    <mergeCell ref="S27:Y27"/>
    <mergeCell ref="S28:Y28"/>
    <mergeCell ref="E21:K21"/>
    <mergeCell ref="E22:K22"/>
    <mergeCell ref="E23:K23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E27:K27"/>
    <mergeCell ref="Z33:AP33"/>
    <mergeCell ref="AQ32:BJ32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C49:D49"/>
    <mergeCell ref="AC46:AU46"/>
    <mergeCell ref="AC49:AU49"/>
    <mergeCell ref="AC47:AU47"/>
    <mergeCell ref="E49:K49"/>
    <mergeCell ref="S46:AB46"/>
    <mergeCell ref="S47:AB47"/>
    <mergeCell ref="C46:D46"/>
    <mergeCell ref="C47:D47"/>
    <mergeCell ref="L49:R49"/>
    <mergeCell ref="S49:AB49"/>
    <mergeCell ref="E47:K47"/>
    <mergeCell ref="L46:R46"/>
    <mergeCell ref="E46:K46"/>
    <mergeCell ref="C34:D34"/>
    <mergeCell ref="E34:K34"/>
    <mergeCell ref="L34:N34"/>
    <mergeCell ref="O34:R34"/>
    <mergeCell ref="S34:Y34"/>
    <mergeCell ref="Z34:AP34"/>
    <mergeCell ref="AQ34:BJ34"/>
    <mergeCell ref="C48:D48"/>
    <mergeCell ref="E48:K48"/>
    <mergeCell ref="L48:R48"/>
    <mergeCell ref="S48:AB48"/>
    <mergeCell ref="AC48:AU48"/>
    <mergeCell ref="L47:R47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5" t="s">
        <v>14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15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88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55" t="s">
        <v>16</v>
      </c>
      <c r="AQ1" s="56"/>
      <c r="AR1" s="56"/>
      <c r="AS1" s="57"/>
      <c r="AT1" s="55" t="s">
        <v>17</v>
      </c>
      <c r="AU1" s="56"/>
      <c r="AV1" s="56"/>
      <c r="AW1" s="56"/>
      <c r="AX1" s="57"/>
      <c r="AY1" s="55" t="s">
        <v>18</v>
      </c>
      <c r="AZ1" s="56"/>
      <c r="BA1" s="56"/>
      <c r="BB1" s="57"/>
      <c r="BC1" s="55" t="s">
        <v>19</v>
      </c>
      <c r="BD1" s="56"/>
      <c r="BE1" s="56"/>
      <c r="BF1" s="56"/>
      <c r="BG1" s="57"/>
      <c r="BH1" s="55" t="s">
        <v>20</v>
      </c>
      <c r="BI1" s="56"/>
      <c r="BJ1" s="56"/>
      <c r="BK1" s="57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6" t="str">
        <f>IF(表紙!AP2="","",表紙!AP2)</f>
        <v>DuNT</v>
      </c>
      <c r="AQ2" s="5"/>
      <c r="AR2" s="5"/>
      <c r="AS2" s="4"/>
      <c r="AT2" s="59">
        <f>IF(表紙!AT2="","",表紙!AT2)</f>
        <v>45583</v>
      </c>
      <c r="AU2" s="60"/>
      <c r="AV2" s="60"/>
      <c r="AW2" s="60"/>
      <c r="AX2" s="61"/>
      <c r="AY2" s="6" t="str">
        <f>IF(表紙!AY2="","",表紙!AY2)</f>
        <v>DuNT</v>
      </c>
      <c r="AZ2" s="5"/>
      <c r="BA2" s="5"/>
      <c r="BB2" s="4"/>
      <c r="BC2" s="59">
        <f>IF(表紙!BC2="","",表紙!BC2)</f>
        <v>45650</v>
      </c>
      <c r="BD2" s="60"/>
      <c r="BE2" s="60"/>
      <c r="BF2" s="60"/>
      <c r="BG2" s="61"/>
      <c r="BH2" s="6">
        <f>IF(表紙!BH2="","",表紙!BH2)</f>
        <v>0.13</v>
      </c>
      <c r="BI2" s="5"/>
      <c r="BJ2" s="5"/>
      <c r="BK2" s="4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3"/>
      <c r="AQ3" s="2"/>
      <c r="AR3" s="2"/>
      <c r="AS3" s="1"/>
      <c r="AT3" s="62"/>
      <c r="AU3" s="63"/>
      <c r="AV3" s="63"/>
      <c r="AW3" s="63"/>
      <c r="AX3" s="64"/>
      <c r="AY3" s="3"/>
      <c r="AZ3" s="2"/>
      <c r="BA3" s="2"/>
      <c r="BB3" s="1"/>
      <c r="BC3" s="62"/>
      <c r="BD3" s="63"/>
      <c r="BE3" s="63"/>
      <c r="BF3" s="63"/>
      <c r="BG3" s="64"/>
      <c r="BH3" s="3"/>
      <c r="BI3" s="2"/>
      <c r="BJ3" s="2"/>
      <c r="BK3" s="1"/>
    </row>
    <row r="4" spans="1:63" ht="24.95" customHeight="1" x14ac:dyDescent="0.25">
      <c r="A4" s="85" t="s">
        <v>21</v>
      </c>
      <c r="B4" s="86"/>
      <c r="C4" s="86"/>
      <c r="D4" s="86"/>
      <c r="E4" s="86"/>
      <c r="F4" s="86"/>
      <c r="G4" s="87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85" t="s">
        <v>22</v>
      </c>
      <c r="V4" s="86"/>
      <c r="W4" s="86"/>
      <c r="X4" s="86"/>
      <c r="Y4" s="87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処理フロー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49"/>
      <c r="C7" s="29"/>
      <c r="D7" s="29"/>
      <c r="E7" s="29"/>
      <c r="F7" s="29"/>
      <c r="G7" s="29"/>
      <c r="AI7" s="19"/>
      <c r="BJ7" s="19"/>
      <c r="BK7" s="16"/>
    </row>
    <row r="8" spans="1:63" s="12" customFormat="1" ht="15" customHeight="1" x14ac:dyDescent="0.25">
      <c r="B8" s="49"/>
      <c r="C8" s="29"/>
      <c r="D8" s="29"/>
      <c r="E8" s="29"/>
      <c r="F8" s="29"/>
      <c r="G8" s="29"/>
      <c r="AI8" s="19"/>
      <c r="BJ8" s="19"/>
      <c r="BK8" s="16"/>
    </row>
    <row r="9" spans="1:63" s="12" customFormat="1" ht="15" customHeight="1" x14ac:dyDescent="0.25">
      <c r="B9" s="49"/>
      <c r="C9" s="29"/>
      <c r="D9" s="29"/>
      <c r="E9" s="29"/>
      <c r="F9" s="29"/>
      <c r="G9" s="29"/>
      <c r="AI9" s="19"/>
      <c r="BJ9" s="19"/>
      <c r="BK9" s="16"/>
    </row>
    <row r="10" spans="1:63" s="12" customFormat="1" ht="15" customHeight="1" x14ac:dyDescent="0.25">
      <c r="B10" s="17"/>
      <c r="AI10" s="19"/>
      <c r="BJ10" s="19"/>
      <c r="BK10" s="16"/>
    </row>
    <row r="11" spans="1:63" s="12" customFormat="1" ht="15" customHeight="1" x14ac:dyDescent="0.25">
      <c r="B11" s="17"/>
      <c r="AI11" s="19"/>
      <c r="BJ11" s="19"/>
      <c r="BK11" s="16"/>
    </row>
    <row r="12" spans="1:63" s="12" customFormat="1" ht="15" customHeight="1" x14ac:dyDescent="0.25">
      <c r="B12" s="17"/>
      <c r="AI12" s="19"/>
      <c r="BJ12" s="19"/>
      <c r="BK12" s="16"/>
    </row>
    <row r="13" spans="1:63" s="12" customFormat="1" ht="15" customHeight="1" x14ac:dyDescent="0.25">
      <c r="B13" s="17"/>
      <c r="AI13" s="19"/>
      <c r="BJ13" s="19"/>
      <c r="BK13" s="16"/>
    </row>
    <row r="14" spans="1:63" s="12" customFormat="1" ht="15" customHeight="1" x14ac:dyDescent="0.25">
      <c r="B14" s="17"/>
      <c r="AI14" s="19"/>
      <c r="BJ14" s="19"/>
      <c r="BK14" s="16"/>
    </row>
    <row r="15" spans="1:63" s="12" customFormat="1" ht="15" customHeight="1" x14ac:dyDescent="0.25">
      <c r="B15" s="17"/>
      <c r="AI15" s="19"/>
      <c r="BJ15" s="19"/>
      <c r="BK15" s="16"/>
    </row>
    <row r="16" spans="1:63" s="12" customFormat="1" ht="15" customHeight="1" x14ac:dyDescent="0.25">
      <c r="B16" s="17"/>
      <c r="AI16" s="19"/>
      <c r="BJ16" s="19"/>
      <c r="BK16" s="16"/>
    </row>
    <row r="17" spans="2:63" s="12" customFormat="1" ht="15" customHeight="1" x14ac:dyDescent="0.25">
      <c r="B17" s="17"/>
      <c r="AI17" s="19"/>
      <c r="BJ17" s="19"/>
      <c r="BK17" s="16"/>
    </row>
    <row r="18" spans="2:63" s="12" customFormat="1" ht="15" customHeight="1" x14ac:dyDescent="0.25">
      <c r="B18" s="17"/>
      <c r="AI18" s="19"/>
      <c r="BJ18" s="19"/>
      <c r="BK18" s="16"/>
    </row>
    <row r="19" spans="2:63" s="12" customFormat="1" ht="15" customHeight="1" x14ac:dyDescent="0.25">
      <c r="B19" s="17"/>
      <c r="AI19" s="19"/>
      <c r="BJ19" s="19"/>
      <c r="BK19" s="16"/>
    </row>
    <row r="20" spans="2:63" s="12" customFormat="1" ht="15" customHeight="1" x14ac:dyDescent="0.25">
      <c r="B20" s="17"/>
      <c r="AI20" s="19"/>
      <c r="BJ20" s="19"/>
      <c r="BK20" s="16"/>
    </row>
    <row r="21" spans="2:63" s="12" customFormat="1" ht="15" customHeight="1" x14ac:dyDescent="0.25">
      <c r="B21" s="17"/>
      <c r="AI21" s="19"/>
      <c r="BJ21" s="19"/>
      <c r="BK21" s="16"/>
    </row>
    <row r="22" spans="2:63" s="12" customFormat="1" ht="15" customHeight="1" x14ac:dyDescent="0.25">
      <c r="B22" s="17"/>
      <c r="AI22" s="19"/>
      <c r="BJ22" s="19"/>
      <c r="BK22" s="16"/>
    </row>
    <row r="23" spans="2:63" s="12" customFormat="1" ht="15" customHeight="1" x14ac:dyDescent="0.25">
      <c r="B23" s="17"/>
      <c r="AI23" s="19"/>
      <c r="BJ23" s="19"/>
      <c r="BK23" s="16"/>
    </row>
    <row r="24" spans="2:63" s="12" customFormat="1" ht="15" customHeight="1" x14ac:dyDescent="0.25">
      <c r="B24" s="17"/>
      <c r="AI24" s="19"/>
      <c r="BJ24" s="19"/>
      <c r="BK24" s="16"/>
    </row>
    <row r="25" spans="2:63" s="12" customFormat="1" ht="15" customHeight="1" x14ac:dyDescent="0.25">
      <c r="B25" s="17"/>
      <c r="AI25" s="19"/>
      <c r="BJ25" s="19"/>
      <c r="BK25" s="16"/>
    </row>
    <row r="26" spans="2:63" s="12" customFormat="1" ht="15" customHeight="1" x14ac:dyDescent="0.25">
      <c r="B26" s="17"/>
      <c r="AI26" s="19"/>
      <c r="BJ26" s="19"/>
      <c r="BK26" s="16"/>
    </row>
    <row r="27" spans="2:63" s="12" customFormat="1" ht="15" customHeight="1" x14ac:dyDescent="0.25">
      <c r="B27" s="17"/>
      <c r="AI27" s="19"/>
      <c r="BJ27" s="19"/>
      <c r="BK27" s="16"/>
    </row>
    <row r="28" spans="2:63" ht="15" customHeight="1" x14ac:dyDescent="0.25">
      <c r="B28" s="18"/>
      <c r="AI28" s="20"/>
      <c r="BJ28" s="20"/>
      <c r="BK28" s="11"/>
    </row>
    <row r="29" spans="2:63" ht="15" customHeight="1" x14ac:dyDescent="0.25">
      <c r="B29" s="18"/>
      <c r="AI29" s="20"/>
      <c r="BJ29" s="20"/>
      <c r="BK29" s="11"/>
    </row>
    <row r="30" spans="2:63" ht="15" customHeight="1" x14ac:dyDescent="0.25">
      <c r="B30" s="18"/>
      <c r="AI30" s="20"/>
      <c r="BJ30" s="20"/>
      <c r="BK30" s="11"/>
    </row>
    <row r="31" spans="2:63" ht="15" customHeight="1" x14ac:dyDescent="0.25">
      <c r="B31" s="18"/>
      <c r="AI31" s="20"/>
      <c r="BJ31" s="20"/>
      <c r="BK31" s="11"/>
    </row>
    <row r="32" spans="2:63" ht="15" customHeight="1" x14ac:dyDescent="0.25">
      <c r="B32" s="18"/>
      <c r="AI32" s="20"/>
      <c r="BJ32" s="20"/>
      <c r="BK32" s="11"/>
    </row>
    <row r="33" spans="2:63" ht="15" customHeight="1" x14ac:dyDescent="0.25">
      <c r="B33" s="18"/>
      <c r="AI33" s="20"/>
      <c r="BJ33" s="20"/>
      <c r="BK33" s="11"/>
    </row>
    <row r="34" spans="2:63" ht="15" customHeight="1" x14ac:dyDescent="0.25">
      <c r="B34" s="18"/>
      <c r="AI34" s="20"/>
      <c r="BJ34" s="20"/>
      <c r="BK34" s="11"/>
    </row>
    <row r="35" spans="2:63" ht="15" customHeight="1" x14ac:dyDescent="0.25">
      <c r="B35" s="18"/>
      <c r="AI35" s="20"/>
      <c r="BJ35" s="20"/>
      <c r="BK35" s="11"/>
    </row>
    <row r="36" spans="2:63" ht="15" customHeight="1" x14ac:dyDescent="0.25">
      <c r="B36" s="18"/>
      <c r="AI36" s="20"/>
      <c r="BJ36" s="20"/>
      <c r="BK36" s="11"/>
    </row>
    <row r="37" spans="2:63" ht="15" customHeight="1" x14ac:dyDescent="0.25">
      <c r="B37" s="18"/>
      <c r="AI37" s="20"/>
      <c r="BJ37" s="20"/>
      <c r="BK37" s="11"/>
    </row>
    <row r="38" spans="2:63" ht="15" customHeight="1" x14ac:dyDescent="0.25">
      <c r="B38" s="18"/>
      <c r="AI38" s="20"/>
      <c r="BJ38" s="20"/>
      <c r="BK38" s="11"/>
    </row>
    <row r="39" spans="2:63" ht="15" customHeight="1" x14ac:dyDescent="0.25">
      <c r="B39" s="18"/>
      <c r="AI39" s="20"/>
      <c r="BJ39" s="20"/>
      <c r="BK39" s="11"/>
    </row>
    <row r="40" spans="2:63" ht="15" customHeight="1" x14ac:dyDescent="0.25">
      <c r="B40" s="18"/>
      <c r="AI40" s="20"/>
      <c r="BJ40" s="20"/>
      <c r="BK40" s="11"/>
    </row>
    <row r="41" spans="2:63" ht="15" customHeight="1" x14ac:dyDescent="0.25">
      <c r="B41" s="18"/>
      <c r="AI41" s="20"/>
      <c r="BJ41" s="20"/>
      <c r="BK41" s="11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64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1" t="str">
        <f>IF(表紙!W1="","",表紙!W1)</f>
        <v>詳細設計書</v>
      </c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3"/>
      <c r="AP1" s="141" t="s">
        <v>66</v>
      </c>
      <c r="AQ1" s="142"/>
      <c r="AR1" s="142"/>
      <c r="AS1" s="143"/>
      <c r="AT1" s="141" t="s">
        <v>67</v>
      </c>
      <c r="AU1" s="142"/>
      <c r="AV1" s="142"/>
      <c r="AW1" s="142"/>
      <c r="AX1" s="143"/>
      <c r="AY1" s="141" t="s">
        <v>68</v>
      </c>
      <c r="AZ1" s="142"/>
      <c r="BA1" s="142"/>
      <c r="BB1" s="143"/>
      <c r="BC1" s="141" t="s">
        <v>69</v>
      </c>
      <c r="BD1" s="142"/>
      <c r="BE1" s="142"/>
      <c r="BF1" s="142"/>
      <c r="BG1" s="143"/>
      <c r="BH1" s="141" t="s">
        <v>70</v>
      </c>
      <c r="BI1" s="142"/>
      <c r="BJ1" s="142"/>
      <c r="BK1" s="143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234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6"/>
      <c r="AP2" s="150" t="str">
        <f>IF(表紙!AP2="","",表紙!AP2)</f>
        <v>DuNT</v>
      </c>
      <c r="AQ2" s="148"/>
      <c r="AR2" s="148"/>
      <c r="AS2" s="149"/>
      <c r="AT2" s="154">
        <f>IF(表紙!AT2="","",表紙!AT2)</f>
        <v>45583</v>
      </c>
      <c r="AU2" s="155"/>
      <c r="AV2" s="155"/>
      <c r="AW2" s="155"/>
      <c r="AX2" s="156"/>
      <c r="AY2" s="150" t="str">
        <f>IF(表紙!AY2="","",表紙!AY2)</f>
        <v>DuNT</v>
      </c>
      <c r="AZ2" s="148"/>
      <c r="BA2" s="148"/>
      <c r="BB2" s="149"/>
      <c r="BC2" s="154">
        <f>IF(表紙!BC2="","",表紙!BC2)</f>
        <v>45650</v>
      </c>
      <c r="BD2" s="155"/>
      <c r="BE2" s="155"/>
      <c r="BF2" s="155"/>
      <c r="BG2" s="156"/>
      <c r="BH2" s="150">
        <f>IF(表紙!BH2="","",表紙!BH2)</f>
        <v>0.13</v>
      </c>
      <c r="BI2" s="148"/>
      <c r="BJ2" s="148"/>
      <c r="BK2" s="149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237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9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28" t="s">
        <v>72</v>
      </c>
      <c r="B4" s="229"/>
      <c r="C4" s="229"/>
      <c r="D4" s="229"/>
      <c r="E4" s="229"/>
      <c r="F4" s="229"/>
      <c r="G4" s="230"/>
      <c r="H4" s="97" t="str">
        <f>IF(表紙!H4="","",表紙!H4)</f>
        <v>AP0502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228" t="s">
        <v>73</v>
      </c>
      <c r="V4" s="229"/>
      <c r="W4" s="229"/>
      <c r="X4" s="229"/>
      <c r="Y4" s="230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100" t="str">
        <f ca="1">MID(CELL("filename",A1),FIND("]",CELL("filename",A1))+1,255)</f>
        <v>テンプレート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46" customFormat="1" ht="15" customHeight="1" x14ac:dyDescent="0.25">
      <c r="BK7" s="245"/>
    </row>
    <row r="8" spans="1:63" s="246" customFormat="1" ht="15" customHeight="1" x14ac:dyDescent="0.25">
      <c r="BK8" s="245"/>
    </row>
    <row r="9" spans="1:63" s="246" customFormat="1" ht="15" customHeight="1" x14ac:dyDescent="0.25">
      <c r="BK9" s="245"/>
    </row>
    <row r="10" spans="1:63" s="246" customFormat="1" ht="15" customHeight="1" x14ac:dyDescent="0.25">
      <c r="BK10" s="245"/>
    </row>
    <row r="11" spans="1:63" s="246" customFormat="1" ht="15" customHeight="1" x14ac:dyDescent="0.25">
      <c r="BK11" s="245"/>
    </row>
    <row r="12" spans="1:63" s="246" customFormat="1" ht="15" customHeight="1" x14ac:dyDescent="0.25">
      <c r="BK12" s="245"/>
    </row>
    <row r="13" spans="1:63" s="246" customFormat="1" ht="15" customHeight="1" x14ac:dyDescent="0.25">
      <c r="BK13" s="245"/>
    </row>
    <row r="14" spans="1:63" s="246" customFormat="1" ht="15" customHeight="1" x14ac:dyDescent="0.25">
      <c r="BK14" s="245"/>
    </row>
    <row r="15" spans="1:63" s="246" customFormat="1" ht="15" customHeight="1" x14ac:dyDescent="0.25">
      <c r="BK15" s="245"/>
    </row>
    <row r="16" spans="1:63" s="246" customFormat="1" ht="15" customHeight="1" x14ac:dyDescent="0.25">
      <c r="BK16" s="245"/>
    </row>
    <row r="17" spans="63:63" s="246" customFormat="1" ht="15" customHeight="1" x14ac:dyDescent="0.25">
      <c r="BK17" s="245"/>
    </row>
    <row r="18" spans="63:63" s="246" customFormat="1" ht="15" customHeight="1" x14ac:dyDescent="0.25">
      <c r="BK18" s="245"/>
    </row>
    <row r="19" spans="63:63" s="246" customFormat="1" ht="15" customHeight="1" x14ac:dyDescent="0.25">
      <c r="BK19" s="245"/>
    </row>
    <row r="20" spans="63:63" s="246" customFormat="1" ht="15" customHeight="1" x14ac:dyDescent="0.25">
      <c r="BK20" s="245"/>
    </row>
    <row r="21" spans="63:63" s="246" customFormat="1" ht="15" customHeight="1" x14ac:dyDescent="0.25">
      <c r="BK21" s="245"/>
    </row>
    <row r="22" spans="63:63" s="246" customFormat="1" ht="15" customHeight="1" x14ac:dyDescent="0.25">
      <c r="BK22" s="245"/>
    </row>
    <row r="23" spans="63:63" s="246" customFormat="1" ht="15" customHeight="1" x14ac:dyDescent="0.25">
      <c r="BK23" s="245"/>
    </row>
    <row r="24" spans="63:63" s="246" customFormat="1" ht="15" customHeight="1" x14ac:dyDescent="0.25">
      <c r="BK24" s="245"/>
    </row>
    <row r="25" spans="63:63" s="246" customFormat="1" ht="15" customHeight="1" x14ac:dyDescent="0.25">
      <c r="BK25" s="245"/>
    </row>
    <row r="26" spans="63:63" s="246" customFormat="1" ht="15" customHeight="1" x14ac:dyDescent="0.25">
      <c r="BK26" s="245"/>
    </row>
    <row r="27" spans="63:63" s="246" customFormat="1" ht="15" customHeight="1" x14ac:dyDescent="0.25">
      <c r="BK27" s="245"/>
    </row>
    <row r="28" spans="63:63" s="246" customFormat="1" ht="15" customHeight="1" x14ac:dyDescent="0.25">
      <c r="BK28" s="245"/>
    </row>
    <row r="29" spans="63:63" s="246" customFormat="1" ht="15" customHeight="1" x14ac:dyDescent="0.25">
      <c r="BK29" s="245"/>
    </row>
    <row r="30" spans="63:63" s="246" customFormat="1" ht="15" customHeight="1" x14ac:dyDescent="0.25">
      <c r="BK30" s="245"/>
    </row>
    <row r="31" spans="63:63" s="246" customFormat="1" ht="15" customHeight="1" x14ac:dyDescent="0.25">
      <c r="BK31" s="245"/>
    </row>
    <row r="32" spans="63:63" s="246" customFormat="1" ht="15" customHeight="1" x14ac:dyDescent="0.25">
      <c r="BK32" s="245"/>
    </row>
    <row r="33" spans="63:63" s="246" customFormat="1" ht="15" customHeight="1" x14ac:dyDescent="0.25">
      <c r="BK33" s="245"/>
    </row>
    <row r="34" spans="63:63" s="246" customFormat="1" ht="15" customHeight="1" x14ac:dyDescent="0.25">
      <c r="BK34" s="245"/>
    </row>
    <row r="35" spans="63:63" s="246" customFormat="1" ht="15" customHeight="1" x14ac:dyDescent="0.25">
      <c r="BK35" s="245"/>
    </row>
    <row r="36" spans="63:63" s="246" customFormat="1" ht="15" customHeight="1" x14ac:dyDescent="0.25">
      <c r="BK36" s="245"/>
    </row>
    <row r="37" spans="63:63" s="246" customFormat="1" ht="15" customHeight="1" x14ac:dyDescent="0.25">
      <c r="BK37" s="245"/>
    </row>
    <row r="38" spans="63:63" s="246" customFormat="1" ht="15" customHeight="1" x14ac:dyDescent="0.25">
      <c r="BK38" s="245"/>
    </row>
    <row r="39" spans="63:63" s="246" customFormat="1" ht="15" customHeight="1" x14ac:dyDescent="0.25">
      <c r="BK39" s="245"/>
    </row>
    <row r="40" spans="63:63" s="246" customFormat="1" ht="15" customHeight="1" x14ac:dyDescent="0.25">
      <c r="BK40" s="245"/>
    </row>
    <row r="41" spans="63:63" s="246" customFormat="1" ht="15" customHeight="1" x14ac:dyDescent="0.25">
      <c r="BK41" s="245"/>
    </row>
    <row r="42" spans="63:63" s="246" customFormat="1" ht="15" customHeight="1" x14ac:dyDescent="0.25">
      <c r="BK42" s="245"/>
    </row>
    <row r="43" spans="63:63" s="246" customFormat="1" ht="15" customHeight="1" x14ac:dyDescent="0.25">
      <c r="BK43" s="245"/>
    </row>
    <row r="44" spans="63:63" s="246" customFormat="1" ht="15" customHeight="1" x14ac:dyDescent="0.25">
      <c r="BK44" s="245"/>
    </row>
    <row r="45" spans="63:63" s="246" customFormat="1" ht="15" customHeight="1" x14ac:dyDescent="0.25">
      <c r="BK45" s="245"/>
    </row>
    <row r="46" spans="63:63" s="246" customFormat="1" ht="15" customHeight="1" x14ac:dyDescent="0.25">
      <c r="BK46" s="24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AP0502</vt:lpstr>
      <vt:lpstr>処理フロー</vt:lpstr>
      <vt:lpstr>テンプレート</vt:lpstr>
      <vt:lpstr>'AP0502'!Print_Area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2024-12-30T04:36:10Z</dcterms:modified>
  <cp:category/>
  <cp:contentStatus/>
</cp:coreProperties>
</file>