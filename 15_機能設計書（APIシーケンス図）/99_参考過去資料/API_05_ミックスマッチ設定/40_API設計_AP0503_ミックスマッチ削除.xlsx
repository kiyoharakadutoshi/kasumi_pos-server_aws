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7D09F3D-2634-435D-8FFD-44CFFF8D38F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503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処理フロー!$A$1:$BK$41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AT2" i="8"/>
  <c r="K2" i="8"/>
  <c r="A2" i="8"/>
  <c r="W1" i="8"/>
  <c r="AP4" i="10"/>
  <c r="Z4" i="10"/>
  <c r="H4" i="10"/>
  <c r="AT2" i="10"/>
  <c r="AP2" i="10"/>
  <c r="K2" i="10"/>
  <c r="A2" i="10"/>
  <c r="W1" i="10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3" s="1"/>
  <c r="BC2" i="4"/>
  <c r="BC2" i="7" s="1"/>
  <c r="AY2" i="4"/>
  <c r="AY2" i="7" s="1"/>
  <c r="AT2" i="4"/>
  <c r="AT2" i="9" s="1"/>
  <c r="AP2" i="4"/>
  <c r="AP2" i="8" s="1"/>
  <c r="BC2" i="9" l="1"/>
  <c r="AP2" i="7"/>
  <c r="BH2" i="7"/>
  <c r="BH2" i="10"/>
  <c r="AY2" i="9"/>
  <c r="AY2" i="8"/>
  <c r="AY2" i="3"/>
  <c r="AY2" i="10"/>
  <c r="BC2" i="8"/>
  <c r="AP2" i="9"/>
  <c r="BH2" i="9"/>
  <c r="AT2" i="7"/>
  <c r="BC2" i="3"/>
  <c r="BC2" i="10"/>
  <c r="BH2" i="8"/>
</calcChain>
</file>

<file path=xl/sharedStrings.xml><?xml version="1.0" encoding="utf-8"?>
<sst xmlns="http://schemas.openxmlformats.org/spreadsheetml/2006/main" count="161" uniqueCount="77">
  <si>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</si>
  <si>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</si>
  <si>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</si>
  <si>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</si>
  <si>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</si>
  <si>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</si>
  <si>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</si>
  <si>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</si>
  <si>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</si>
  <si>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</si>
  <si>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</si>
  <si>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</si>
  <si>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</si>
  <si>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</si>
  <si>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</si>
  <si>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</si>
  <si>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</si>
  <si>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</si>
  <si>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</si>
  <si>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</si>
  <si>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</si>
  <si>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</si>
  <si>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対象店舗コード</t>
    </r>
  </si>
  <si>
    <r>
      <rPr>
        <sz val="11"/>
        <color rgb="FF000000"/>
        <rFont val="Meiryo UI"/>
        <family val="2"/>
      </rPr>
      <t>N/A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</si>
  <si>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</si>
  <si>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・バリデーションチェック：4桁未満の場合、 エラーメッセージ = MSG_VAL_002</t>
    </r>
  </si>
  <si>
    <r>
      <rPr>
        <sz val="11"/>
        <color rgb="FFED7D31"/>
        <rFont val="Meiryo UI"/>
        <family val="2"/>
      </rPr>
      <t>DuNT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</si>
  <si>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</si>
  <si>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ミックスマッチコード</t>
    </r>
  </si>
  <si>
    <r>
      <rPr>
        <sz val="11"/>
        <color rgb="FF000000"/>
        <rFont val="Meiryo UI"/>
        <family val="2"/>
      </rPr>
      <t>mix_match_code</t>
    </r>
  </si>
  <si>
    <r>
      <rPr>
        <sz val="11"/>
        <color rgb="FF000000"/>
        <rFont val="Meiryo UI"/>
        <family val="2"/>
      </rPr>
      <t>DELETE</t>
    </r>
  </si>
  <si>
    <r>
      <rPr>
        <sz val="11"/>
        <color rgb="FF000000"/>
        <rFont val="Meiryo UI"/>
        <family val="2"/>
      </rPr>
      <t>40_API設計/API_00_共通/40_API設計_共通.xlsxをご参照ください。</t>
    </r>
  </si>
  <si>
    <r>
      <rPr>
        <sz val="11"/>
        <color rgb="FF000000"/>
        <rFont val="Meiryo UI"/>
        <family val="2"/>
      </rPr>
      <t>AP0503</t>
    </r>
  </si>
  <si>
    <r>
      <rPr>
        <sz val="11"/>
        <color rgb="FF000000"/>
        <rFont val="Meiryo UI"/>
        <family val="2"/>
      </rPr>
      <t>ミックスマッチを削除する。</t>
    </r>
  </si>
  <si>
    <r>
      <rPr>
        <strike/>
        <sz val="11"/>
        <color rgb="FFED7D31"/>
        <rFont val="Meiryo UI"/>
        <family val="2"/>
      </rPr>
      <t>promotion_code</t>
    </r>
  </si>
  <si>
    <r>
      <rPr>
        <strike/>
        <sz val="11"/>
        <color rgb="FFED7D31"/>
        <rFont val="Meiryo UI"/>
        <family val="2"/>
      </rPr>
      <t>プロモーションコード</t>
    </r>
  </si>
  <si>
    <r>
      <rPr>
        <sz val="11"/>
        <color rgb="FF000000"/>
        <rFont val="Meiryo UI"/>
        <family val="2"/>
      </rPr>
      <t>api/v1/combinations/delete</t>
    </r>
  </si>
  <si>
    <r>
      <rPr>
        <strike/>
        <sz val="11"/>
        <color rgb="FFED7D31"/>
        <rFont val="Meiryo UI"/>
        <family val="2"/>
      </rPr>
      <t>・バリデーションチェック：数字であること（エラーメッセージ = MSG_VAL_006）</t>
    </r>
    <r>
      <rPr>
        <sz val="11"/>
        <color rgb="FFED7D31"/>
        <rFont val="Meiryo UI"/>
        <family val="2"/>
      </rPr>
      <t xml:space="preserve">
</t>
    </r>
    <r>
      <rPr>
        <strike/>
        <sz val="11"/>
        <color rgb="FFED7D31"/>
        <rFont val="Meiryo UI"/>
        <family val="2"/>
      </rPr>
      <t>・バリデーションチェック：5桁ではない場合、エラーメッセージ = MSG_VAL_002</t>
    </r>
  </si>
  <si>
    <r>
      <rPr>
        <sz val="11"/>
        <color rgb="FFED7D31"/>
        <rFont val="Meiryo UI"/>
        <family val="2"/>
      </rPr>
      <t>promotion_codeを削除</t>
    </r>
  </si>
  <si>
    <r>
      <rPr>
        <strike/>
        <sz val="11"/>
        <color rgb="FFED7D31"/>
        <rFont val="Meiryo UI"/>
        <family val="2"/>
      </rPr>
      <t>String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</si>
  <si>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</si>
  <si>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</si>
  <si>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</si>
  <si>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</si>
  <si>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</si>
  <si>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</si>
  <si>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</si>
  <si>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</si>
  <si>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</si>
  <si>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</si>
  <si>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</si>
  <si>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</si>
  <si>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</si>
  <si>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</si>
  <si>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</si>
  <si>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</si>
  <si>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</si>
  <si>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sql文を更新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</si>
  <si>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</si>
  <si>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</si>
  <si>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</si>
  <si>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</si>
  <si>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</si>
  <si>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</si>
  <si>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</si>
  <si>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</si>
  <si>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</si>
  <si>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</si>
  <si>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</si>
  <si>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</si>
  <si>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</si>
  <si>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2.4 Request Body</t>
  </si>
  <si>
    <t>※サンプル</t>
  </si>
  <si>
    <t>3. レスポンス</t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</si>
  <si>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</si>
  <si>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</si>
  <si>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rPr>
        <sz val="11"/>
        <color rgb="FF000000"/>
        <rFont val="Meiryo UI"/>
        <family val="2"/>
      </rPr>
      <t>・バリデーションチェック：数字であること（エラーメッセージ = MSG_VAL_006）
・バリデーションチェック：3桁</t>
    </r>
    <r>
      <rPr>
        <sz val="11"/>
        <color rgb="FF00B050"/>
        <rFont val="Meiryo UI"/>
        <family val="2"/>
      </rPr>
      <t>ではない</t>
    </r>
    <r>
      <rPr>
        <sz val="11"/>
        <color rgb="FF000000"/>
        <rFont val="Meiryo UI"/>
        <family val="2"/>
      </rPr>
      <t>場合、エラーメッセージ = MSG_VAL_002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</si>
</sst>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color theme="5"/>
      <name val="Meiryo UI"/>
      <family val="2"/>
    </font>
    <font>
      <strike/>
      <sz val="11"/>
      <color rgb="FFED7D31"/>
      <name val="Meiryo UI"/>
      <family val="2"/>
    </font>
    <font>
      <sz val="11"/>
      <color rgb="FFED7D3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5" fillId="0" borderId="0">
      <alignment vertical="center"/>
    </xf>
    <xf numFmtId="0" fontId="2" fillId="0" borderId="0">
      <alignment vertical="center"/>
    </xf>
  </cellStyleXfs>
  <cellXfs count="276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4" xfId="0" applyFont="1" applyBorder="1" applyAlignment="1">
      <alignment vertical="center"/>
    </xf>
    <xf numFmtId="0" fontId="12" fillId="3" borderId="0" xfId="0" applyFont="1" applyFill="1" applyAlignment="1">
      <alignment vertical="center"/>
    </xf>
    <xf numFmtId="0" fontId="4" fillId="0" borderId="23" xfId="0" applyFont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2" fillId="0" borderId="23" xfId="0" applyFont="1" applyBorder="1" applyAlignment="1">
      <alignment horizontal="left" vertical="center"/>
    </xf>
    <xf numFmtId="0" fontId="12" fillId="0" borderId="24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2" fillId="0" borderId="23" xfId="0" quotePrefix="1" applyFont="1" applyBorder="1" applyAlignment="1">
      <alignment horizontal="left" vertical="center" wrapText="1"/>
    </xf>
    <xf numFmtId="0" fontId="12" fillId="0" borderId="24" xfId="0" quotePrefix="1" applyFont="1" applyBorder="1" applyAlignment="1">
      <alignment horizontal="left" vertical="center" wrapText="1"/>
    </xf>
    <xf numFmtId="0" fontId="12" fillId="0" borderId="25" xfId="0" quotePrefix="1" applyFont="1" applyBorder="1" applyAlignment="1">
      <alignment horizontal="left" vertical="center" wrapText="1"/>
    </xf>
    <xf numFmtId="0" fontId="12" fillId="0" borderId="23" xfId="0" quotePrefix="1" applyFont="1" applyBorder="1" applyAlignment="1">
      <alignment horizontal="center" vertical="center"/>
    </xf>
    <xf numFmtId="0" fontId="12" fillId="0" borderId="24" xfId="0" quotePrefix="1" applyFont="1" applyBorder="1" applyAlignment="1">
      <alignment horizontal="center" vertical="center"/>
    </xf>
    <xf numFmtId="0" fontId="12" fillId="0" borderId="25" xfId="0" quotePrefix="1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6" fillId="4" borderId="0" xfId="0" applyFont="1" applyFill="1"/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6" xfId="0" applyFont="1" applyBorder="1"/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2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6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16" fillId="4" borderId="23" xfId="6" applyFont="1" applyFill="1" applyBorder="1" applyAlignment="1">
      <alignment horizontal="center" vertical="center"/>
    </xf>
    <xf numFmtId="0" fontId="16" fillId="4" borderId="24" xfId="6" applyFont="1" applyFill="1" applyBorder="1" applyAlignment="1">
      <alignment horizontal="center" vertical="center"/>
    </xf>
    <xf numFmtId="0" fontId="16" fillId="4" borderId="25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16" fillId="4" borderId="0" xfId="0" applyFont="1" applyFill="1" applyAlignment="1">
      <alignment vertical="center"/>
    </xf>
    <xf numFmtId="0" fontId="16" fillId="4" borderId="21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24" xfId="0" quotePrefix="1" applyFont="1" applyBorder="1" applyAlignment="1">
      <alignment horizontal="left" vertical="center"/>
    </xf>
    <xf numFmtId="0" fontId="20" fillId="0" borderId="25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left" vertical="center" wrapText="1"/>
    </xf>
    <xf numFmtId="0" fontId="20" fillId="0" borderId="17" xfId="0" quotePrefix="1" applyFont="1" applyBorder="1" applyAlignment="1">
      <alignment horizontal="left" vertical="center" wrapText="1"/>
    </xf>
    <xf numFmtId="0" fontId="20" fillId="0" borderId="18" xfId="0" quotePrefix="1" applyFont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20" fillId="0" borderId="2" xfId="0" quotePrefix="1" applyFont="1" applyBorder="1" applyAlignment="1">
      <alignment horizontal="left" vertical="center" wrapText="1"/>
    </xf>
    <xf numFmtId="0" fontId="20" fillId="0" borderId="3" xfId="0" quotePrefix="1" applyFont="1" applyBorder="1" applyAlignment="1">
      <alignment horizontal="left"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4" xfId="0" quotePrefix="1" applyFont="1" applyBorder="1" applyAlignment="1">
      <alignment horizontal="left" vertical="center" wrapText="1"/>
    </xf>
    <xf numFmtId="0" fontId="20" fillId="0" borderId="25" xfId="0" quotePrefix="1" applyFont="1" applyBorder="1" applyAlignment="1">
      <alignment horizontal="left" vertical="center" wrapText="1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quotePrefix="1" applyFont="1" applyBorder="1" applyAlignment="1">
      <alignment horizontal="center" vertical="center"/>
    </xf>
    <xf numFmtId="0" fontId="20" fillId="0" borderId="0" xfId="0" quotePrefix="1" applyFont="1" applyAlignment="1">
      <alignment horizontal="center" vertical="center"/>
    </xf>
    <xf numFmtId="0" fontId="20" fillId="0" borderId="4" xfId="0" quotePrefix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4" xfId="0" quotePrefix="1" applyFont="1" applyBorder="1" applyAlignment="1">
      <alignment horizontal="left" vertical="center"/>
    </xf>
    <xf numFmtId="0" fontId="20" fillId="0" borderId="1" xfId="0" applyFont="1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0" xfId="0" quotePrefix="1" applyFont="1" applyAlignment="1">
      <alignment horizontal="left" vertical="top" wrapText="1"/>
    </xf>
    <xf numFmtId="0" fontId="20" fillId="0" borderId="4" xfId="0" quotePrefix="1" applyFont="1" applyBorder="1" applyAlignment="1">
      <alignment horizontal="left" vertical="top" wrapText="1"/>
    </xf>
    <xf numFmtId="0" fontId="20" fillId="0" borderId="2" xfId="0" quotePrefix="1" applyFont="1" applyBorder="1" applyAlignment="1">
      <alignment horizontal="center" vertical="center"/>
    </xf>
    <xf numFmtId="0" fontId="20" fillId="0" borderId="3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left" vertical="center"/>
    </xf>
    <xf numFmtId="0" fontId="20" fillId="0" borderId="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3" xfId="0" quotePrefix="1" applyFont="1" applyBorder="1" applyAlignment="1">
      <alignment horizontal="left" vertical="top" wrapText="1"/>
    </xf>
    <xf numFmtId="0" fontId="20" fillId="0" borderId="5" xfId="0" quotePrefix="1" applyFont="1" applyBorder="1" applyAlignment="1">
      <alignment horizontal="left" vertical="top" wrapText="1"/>
    </xf>
    <xf numFmtId="0" fontId="20" fillId="5" borderId="24" xfId="0" applyFont="1" applyFill="1" applyBorder="1" applyAlignment="1">
      <alignment horizontal="left" vertical="center"/>
    </xf>
    <xf numFmtId="0" fontId="20" fillId="5" borderId="25" xfId="0" applyFont="1" applyFill="1" applyBorder="1" applyAlignment="1">
      <alignment horizontal="left" vertical="center"/>
    </xf>
    <xf numFmtId="0" fontId="20" fillId="0" borderId="21" xfId="0" applyFont="1" applyBorder="1" applyAlignment="1">
      <alignment vertical="center"/>
    </xf>
    <xf numFmtId="0" fontId="20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7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447800"/>
          <a:ext cx="7200900" cy="3048000"/>
        </a:xfrm>
        <a:prstGeom prst="borderCallout1">
          <a:avLst>
            <a:gd name="adj1" fmla="val 56106"/>
            <a:gd name="adj2" fmla="val -236"/>
            <a:gd name="adj3" fmla="val 48815"/>
            <a:gd name="adj4" fmla="val -9672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対象ミックスマッチとそのミックスマッチのアイテムを削除する。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DELETE  FROM m_combination WHERE m_combination.CompanyCode = User.CompanyCode and m_combination.StoreCode = param{selected_store} and m_combination.CombinationCode = param{mix_match_code}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t>
</a:t>
          </a: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DELETE FROM m_combinationitem WHERE m_combinationitem.CompanyCode = User.CompanyCode and m_combinationitem.StoreCode = param{selected_store} and m_combinationitem.CombinationCode = param{mix_match_code}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t>
</a:t>
          </a: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DELETE  FROM CombinationSettings WHERE CombinationSettings.CompanyCode = User.CompanyCode and CombinationSettings.StoreCode = param{selected_store} and CombinationSettings.CombinationCode = param{mix_match_code}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3</xdr:col>
      <xdr:colOff>235322</xdr:colOff>
      <xdr:row>9</xdr:row>
      <xdr:rowOff>11206</xdr:rowOff>
    </xdr:from>
    <xdr:to>
      <xdr:col>7</xdr:col>
      <xdr:colOff>235322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4</xdr:col>
      <xdr:colOff>0</xdr:colOff>
      <xdr:row>32</xdr:row>
      <xdr:rowOff>100853</xdr:rowOff>
    </xdr:from>
    <xdr:to>
      <xdr:col>8</xdr:col>
      <xdr:colOff>0</xdr:colOff>
      <xdr:row>34</xdr:row>
      <xdr:rowOff>78441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6315075"/>
          <a:ext cx="1066800" cy="3524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22</xdr:row>
      <xdr:rowOff>190499</xdr:rowOff>
    </xdr:from>
    <xdr:to>
      <xdr:col>8</xdr:col>
      <xdr:colOff>235323</xdr:colOff>
      <xdr:row>27</xdr:row>
      <xdr:rowOff>179293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44958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2.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27</xdr:row>
      <xdr:rowOff>179293</xdr:rowOff>
    </xdr:from>
    <xdr:to>
      <xdr:col>6</xdr:col>
      <xdr:colOff>235323</xdr:colOff>
      <xdr:row>28</xdr:row>
      <xdr:rowOff>179293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5438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24</xdr:row>
      <xdr:rowOff>179293</xdr:rowOff>
    </xdr:from>
    <xdr:to>
      <xdr:col>10</xdr:col>
      <xdr:colOff>235323</xdr:colOff>
      <xdr:row>25</xdr:row>
      <xdr:rowOff>179293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486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17</xdr:row>
      <xdr:rowOff>179293</xdr:rowOff>
    </xdr:from>
    <xdr:to>
      <xdr:col>6</xdr:col>
      <xdr:colOff>0</xdr:colOff>
      <xdr:row>22</xdr:row>
      <xdr:rowOff>190499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endCxn id="17" idx="0"/>
        </xdr:cNvCxnSpPr>
      </xdr:nvCxnSpPr>
      <xdr:spPr>
        <a:xfrm>
          <a:off x="1600200" y="3533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179293</xdr:rowOff>
    </xdr:from>
    <xdr:to>
      <xdr:col>8</xdr:col>
      <xdr:colOff>235323</xdr:colOff>
      <xdr:row>17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7717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対象ミックスマッチを削除する。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10</xdr:row>
      <xdr:rowOff>179293</xdr:rowOff>
    </xdr:from>
    <xdr:to>
      <xdr:col>6</xdr:col>
      <xdr:colOff>0</xdr:colOff>
      <xdr:row>13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2200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84043</xdr:rowOff>
    </xdr:from>
    <xdr:to>
      <xdr:col>10</xdr:col>
      <xdr:colOff>235323</xdr:colOff>
      <xdr:row>32</xdr:row>
      <xdr:rowOff>100853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  <a:endCxn id="4" idx="0"/>
        </xdr:cNvCxnSpPr>
      </xdr:nvCxnSpPr>
      <xdr:spPr>
        <a:xfrm flipH="1">
          <a:off x="1600200" y="4962525"/>
          <a:ext cx="1304925" cy="1352550"/>
        </a:xfrm>
        <a:prstGeom prst="bentConnector4">
          <a:avLst>
            <a:gd name="adj1" fmla="val -19429"/>
            <a:gd name="adj2" fmla="val 6514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25</xdr:row>
      <xdr:rowOff>0</xdr:rowOff>
    </xdr:from>
    <xdr:to>
      <xdr:col>62</xdr:col>
      <xdr:colOff>0</xdr:colOff>
      <xdr:row>29</xdr:row>
      <xdr:rowOff>11206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4876800"/>
          <a:ext cx="7200900" cy="771525"/>
        </a:xfrm>
        <a:prstGeom prst="borderCallout1">
          <a:avLst>
            <a:gd name="adj1" fmla="val 33259"/>
            <a:gd name="adj2" fmla="val 117"/>
            <a:gd name="adj3" fmla="val 32451"/>
            <a:gd name="adj4" fmla="val -10306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ステップ1から返されたデータをチェックする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▪成功した場合、レスポンスコード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▪失敗した、レスポンスコード = 500を返す。</a:t>
          </a:r>
        </a:p>
      </xdr:txBody>
    </xdr:sp>
    <xdr:clientData/>
  </xdr:twoCellAnchor>
  <xdr:twoCellAnchor>
    <xdr:from>
      <xdr:col>6</xdr:col>
      <xdr:colOff>0</xdr:colOff>
      <xdr:row>28</xdr:row>
      <xdr:rowOff>179293</xdr:rowOff>
    </xdr:from>
    <xdr:to>
      <xdr:col>6</xdr:col>
      <xdr:colOff>0</xdr:colOff>
      <xdr:row>32</xdr:row>
      <xdr:rowOff>100853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18" idx="2"/>
          <a:endCxn id="4" idx="0"/>
        </xdr:cNvCxnSpPr>
      </xdr:nvCxnSpPr>
      <xdr:spPr>
        <a:xfrm>
          <a:off x="1600200" y="5629275"/>
          <a:ext cx="0" cy="6858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13" customWidth="1"/>
    <col min="61" max="16384" width="2.77734375" style="113"/>
  </cols>
  <sheetData>
    <row r="1" spans="1:63" ht="24.95" customHeight="1" x14ac:dyDescent="0.25">
      <c r="A1" s="107" t="s">
        <v>40</v>
      </c>
      <c r="B1" s="108"/>
      <c r="C1" s="108"/>
      <c r="D1" s="108"/>
      <c r="E1" s="108"/>
      <c r="F1" s="108"/>
      <c r="G1" s="108"/>
      <c r="H1" s="108"/>
      <c r="I1" s="108"/>
      <c r="J1" s="109"/>
      <c r="K1" s="107" t="s">
        <v>41</v>
      </c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9"/>
      <c r="W1" s="110" t="s">
        <v>42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1" t="s">
        <v>48</v>
      </c>
      <c r="B2" s="114"/>
      <c r="C2" s="114"/>
      <c r="D2" s="114"/>
      <c r="E2" s="114"/>
      <c r="F2" s="114"/>
      <c r="G2" s="114"/>
      <c r="H2" s="114"/>
      <c r="I2" s="114"/>
      <c r="J2" s="115"/>
      <c r="K2" s="116" t="s">
        <v>1</v>
      </c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5"/>
      <c r="W2" s="117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9"/>
      <c r="AP2" s="116" t="str">
        <f>改訂履歴!$H$11</f>
        <v>DuNT</v>
      </c>
      <c r="AQ2" s="114"/>
      <c r="AR2" s="114"/>
      <c r="AS2" s="115"/>
      <c r="AT2" s="120">
        <f>改訂履歴!$B$11</f>
        <v>45586</v>
      </c>
      <c r="AU2" s="121"/>
      <c r="AV2" s="121"/>
      <c r="AW2" s="121"/>
      <c r="AX2" s="122"/>
      <c r="AY2" s="116" t="str">
        <f>LOOKUP(2,1/(改訂履歴!H11:H30000&lt;&gt;""),改訂履歴!H11:H30000)</f>
        <v>DuNT</v>
      </c>
      <c r="AZ2" s="114"/>
      <c r="BA2" s="114"/>
      <c r="BB2" s="115"/>
      <c r="BC2" s="120">
        <f>LOOKUP(2,1/(改訂履歴!B11:B30000&lt;&gt;""),改訂履歴!B11:B30000)</f>
        <v>45615</v>
      </c>
      <c r="BD2" s="121"/>
      <c r="BE2" s="121"/>
      <c r="BF2" s="121"/>
      <c r="BG2" s="122"/>
      <c r="BH2" s="123">
        <f>LOOKUP(2,1/(改訂履歴!O11:O30000&lt;&gt;""),改訂履歴!O11:O30000)</f>
        <v>0.12</v>
      </c>
      <c r="BI2" s="124"/>
      <c r="BJ2" s="124"/>
      <c r="BK2" s="125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129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1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35"/>
      <c r="BI3" s="136"/>
      <c r="BJ3" s="136"/>
      <c r="BK3" s="137"/>
    </row>
    <row r="4" spans="1:63" ht="24.95" customHeight="1" x14ac:dyDescent="0.25">
      <c r="A4" s="107" t="s">
        <v>49</v>
      </c>
      <c r="B4" s="108"/>
      <c r="C4" s="108"/>
      <c r="D4" s="108"/>
      <c r="E4" s="108"/>
      <c r="F4" s="108"/>
      <c r="G4" s="109"/>
      <c r="H4" s="138" t="s">
        <v>32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07" t="s">
        <v>50</v>
      </c>
      <c r="V4" s="108"/>
      <c r="W4" s="108"/>
      <c r="X4" s="108"/>
      <c r="Y4" s="109"/>
      <c r="Z4" s="40" t="s">
        <v>51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38" t="str">
        <f t="array" aca="1" ref="AP4" ca="1">RIGHT(CELL("filename",$A$1),LEN(CELL("filename",$A$1))-FIND("]",CELL("filename",$A$1)))</f>
        <v>表紙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141"/>
      <c r="B5" s="142"/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3"/>
    </row>
    <row r="6" spans="1:63" ht="15" customHeight="1" x14ac:dyDescent="0.25">
      <c r="A6" s="144"/>
      <c r="BK6" s="145"/>
    </row>
    <row r="7" spans="1:63" ht="15" customHeight="1" x14ac:dyDescent="0.25">
      <c r="A7" s="144"/>
      <c r="BK7" s="145"/>
    </row>
    <row r="8" spans="1:63" ht="15" customHeight="1" x14ac:dyDescent="0.25">
      <c r="A8" s="144"/>
      <c r="BK8" s="145"/>
    </row>
    <row r="9" spans="1:63" ht="15" customHeight="1" x14ac:dyDescent="0.25">
      <c r="A9" s="144"/>
      <c r="BK9" s="145"/>
    </row>
    <row r="10" spans="1:63" ht="15" customHeight="1" x14ac:dyDescent="0.25">
      <c r="A10" s="144"/>
      <c r="BK10" s="145"/>
    </row>
    <row r="11" spans="1:63" ht="15" customHeight="1" x14ac:dyDescent="0.25">
      <c r="A11" s="144"/>
      <c r="BK11" s="145"/>
    </row>
    <row r="12" spans="1:63" ht="15" customHeight="1" x14ac:dyDescent="0.25">
      <c r="A12" s="144"/>
      <c r="BK12" s="145"/>
    </row>
    <row r="13" spans="1:63" ht="15" customHeight="1" x14ac:dyDescent="0.25">
      <c r="A13" s="144"/>
      <c r="BK13" s="145"/>
    </row>
    <row r="14" spans="1:63" ht="15" customHeight="1" thickBot="1" x14ac:dyDescent="0.3">
      <c r="A14" s="144"/>
      <c r="BK14" s="145"/>
    </row>
    <row r="15" spans="1:63" ht="15" customHeight="1" thickTop="1" x14ac:dyDescent="0.25">
      <c r="A15" s="144"/>
      <c r="K15" s="146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8"/>
      <c r="BK15" s="145"/>
    </row>
    <row r="16" spans="1:63" ht="15" customHeight="1" x14ac:dyDescent="0.25">
      <c r="A16" s="144"/>
      <c r="K16" s="149"/>
      <c r="L16" s="150" t="s">
        <v>52</v>
      </c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1"/>
      <c r="AX16" s="151"/>
      <c r="AY16" s="151"/>
      <c r="AZ16" s="151"/>
      <c r="BA16" s="152"/>
      <c r="BK16" s="145"/>
    </row>
    <row r="17" spans="1:63" ht="15" customHeight="1" x14ac:dyDescent="0.25">
      <c r="A17" s="144"/>
      <c r="K17" s="149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51"/>
      <c r="AI17" s="151"/>
      <c r="AJ17" s="151"/>
      <c r="AK17" s="151"/>
      <c r="AL17" s="151"/>
      <c r="AM17" s="151"/>
      <c r="AN17" s="151"/>
      <c r="AO17" s="151"/>
      <c r="AP17" s="151"/>
      <c r="AQ17" s="151"/>
      <c r="AR17" s="151"/>
      <c r="AS17" s="151"/>
      <c r="AT17" s="151"/>
      <c r="AU17" s="151"/>
      <c r="AV17" s="151"/>
      <c r="AW17" s="151"/>
      <c r="AX17" s="151"/>
      <c r="AY17" s="151"/>
      <c r="AZ17" s="151"/>
      <c r="BA17" s="152"/>
      <c r="BK17" s="145"/>
    </row>
    <row r="18" spans="1:63" ht="15" customHeight="1" x14ac:dyDescent="0.25">
      <c r="A18" s="144"/>
      <c r="K18" s="149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1"/>
      <c r="AX18" s="151"/>
      <c r="AY18" s="151"/>
      <c r="AZ18" s="151"/>
      <c r="BA18" s="152"/>
      <c r="BK18" s="145"/>
    </row>
    <row r="19" spans="1:63" ht="15" customHeight="1" x14ac:dyDescent="0.25">
      <c r="A19" s="144"/>
      <c r="K19" s="149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  <c r="AK19" s="151"/>
      <c r="AL19" s="151"/>
      <c r="AM19" s="151"/>
      <c r="AN19" s="151"/>
      <c r="AO19" s="151"/>
      <c r="AP19" s="151"/>
      <c r="AQ19" s="151"/>
      <c r="AR19" s="151"/>
      <c r="AS19" s="151"/>
      <c r="AT19" s="151"/>
      <c r="AU19" s="151"/>
      <c r="AV19" s="151"/>
      <c r="AW19" s="151"/>
      <c r="AX19" s="151"/>
      <c r="AY19" s="151"/>
      <c r="AZ19" s="151"/>
      <c r="BA19" s="152"/>
      <c r="BK19" s="145"/>
    </row>
    <row r="20" spans="1:63" ht="15" customHeight="1" x14ac:dyDescent="0.25">
      <c r="A20" s="144"/>
      <c r="K20" s="149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1"/>
      <c r="AX20" s="151"/>
      <c r="AY20" s="151"/>
      <c r="AZ20" s="151"/>
      <c r="BA20" s="152"/>
      <c r="BK20" s="145"/>
    </row>
    <row r="21" spans="1:63" ht="15" customHeight="1" x14ac:dyDescent="0.25">
      <c r="A21" s="144"/>
      <c r="K21" s="149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  <c r="AK21" s="151"/>
      <c r="AL21" s="151"/>
      <c r="AM21" s="151"/>
      <c r="AN21" s="151"/>
      <c r="AO21" s="151"/>
      <c r="AP21" s="151"/>
      <c r="AQ21" s="151"/>
      <c r="AR21" s="151"/>
      <c r="AS21" s="151"/>
      <c r="AT21" s="151"/>
      <c r="AU21" s="151"/>
      <c r="AV21" s="151"/>
      <c r="AW21" s="151"/>
      <c r="AX21" s="151"/>
      <c r="AY21" s="151"/>
      <c r="AZ21" s="151"/>
      <c r="BA21" s="152"/>
      <c r="BK21" s="145"/>
    </row>
    <row r="22" spans="1:63" ht="15" customHeight="1" thickBot="1" x14ac:dyDescent="0.3">
      <c r="A22" s="144"/>
      <c r="K22" s="149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3"/>
      <c r="AQ22" s="153"/>
      <c r="AR22" s="153"/>
      <c r="AS22" s="153"/>
      <c r="AT22" s="153"/>
      <c r="AU22" s="153"/>
      <c r="AV22" s="153"/>
      <c r="AW22" s="153"/>
      <c r="AX22" s="153"/>
      <c r="AY22" s="153"/>
      <c r="AZ22" s="153"/>
      <c r="BA22" s="152"/>
      <c r="BK22" s="145"/>
    </row>
    <row r="23" spans="1:63" ht="15" customHeight="1" x14ac:dyDescent="0.25">
      <c r="A23" s="144"/>
      <c r="K23" s="149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  <c r="AH23" s="154"/>
      <c r="AI23" s="154"/>
      <c r="AJ23" s="154"/>
      <c r="AK23" s="154"/>
      <c r="AL23" s="154"/>
      <c r="AM23" s="154"/>
      <c r="AN23" s="154"/>
      <c r="AO23" s="154"/>
      <c r="AP23" s="154"/>
      <c r="AQ23" s="154"/>
      <c r="AR23" s="154"/>
      <c r="AS23" s="154"/>
      <c r="AT23" s="154"/>
      <c r="AU23" s="154"/>
      <c r="AV23" s="154"/>
      <c r="AW23" s="154"/>
      <c r="AX23" s="154"/>
      <c r="AY23" s="154"/>
      <c r="AZ23" s="154"/>
      <c r="BA23" s="152"/>
      <c r="BK23" s="145"/>
    </row>
    <row r="24" spans="1:63" ht="15" customHeight="1" x14ac:dyDescent="0.25">
      <c r="A24" s="144"/>
      <c r="K24" s="149"/>
      <c r="L24" s="151" t="str">
        <f>K2&amp;"/"&amp;H4&amp;"/"&amp;Z4</f>
        <v>POSサーバ/AP0503/API設計書</v>
      </c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1"/>
      <c r="AX24" s="151"/>
      <c r="AY24" s="151"/>
      <c r="AZ24" s="151"/>
      <c r="BA24" s="152"/>
      <c r="BK24" s="145"/>
    </row>
    <row r="25" spans="1:63" ht="15" customHeight="1" x14ac:dyDescent="0.25">
      <c r="A25" s="144"/>
      <c r="K25" s="149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  <c r="AG25" s="151"/>
      <c r="AH25" s="151"/>
      <c r="AI25" s="151"/>
      <c r="AJ25" s="151"/>
      <c r="AK25" s="151"/>
      <c r="AL25" s="151"/>
      <c r="AM25" s="151"/>
      <c r="AN25" s="151"/>
      <c r="AO25" s="151"/>
      <c r="AP25" s="151"/>
      <c r="AQ25" s="151"/>
      <c r="AR25" s="151"/>
      <c r="AS25" s="151"/>
      <c r="AT25" s="151"/>
      <c r="AU25" s="151"/>
      <c r="AV25" s="151"/>
      <c r="AW25" s="151"/>
      <c r="AX25" s="151"/>
      <c r="AY25" s="151"/>
      <c r="AZ25" s="151"/>
      <c r="BA25" s="152"/>
      <c r="BK25" s="145"/>
    </row>
    <row r="26" spans="1:63" ht="15" customHeight="1" x14ac:dyDescent="0.25">
      <c r="A26" s="144"/>
      <c r="K26" s="149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1"/>
      <c r="AX26" s="151"/>
      <c r="AY26" s="151"/>
      <c r="AZ26" s="151"/>
      <c r="BA26" s="152"/>
      <c r="BK26" s="145"/>
    </row>
    <row r="27" spans="1:63" ht="15" customHeight="1" x14ac:dyDescent="0.25">
      <c r="A27" s="144"/>
      <c r="K27" s="149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  <c r="AK27" s="151"/>
      <c r="AL27" s="151"/>
      <c r="AM27" s="151"/>
      <c r="AN27" s="151"/>
      <c r="AO27" s="151"/>
      <c r="AP27" s="151"/>
      <c r="AQ27" s="151"/>
      <c r="AR27" s="151"/>
      <c r="AS27" s="151"/>
      <c r="AT27" s="151"/>
      <c r="AU27" s="151"/>
      <c r="AV27" s="151"/>
      <c r="AW27" s="151"/>
      <c r="AX27" s="151"/>
      <c r="AY27" s="151"/>
      <c r="AZ27" s="151"/>
      <c r="BA27" s="152"/>
      <c r="BK27" s="145"/>
    </row>
    <row r="28" spans="1:63" ht="15" customHeight="1" x14ac:dyDescent="0.25">
      <c r="A28" s="144"/>
      <c r="K28" s="149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1"/>
      <c r="AX28" s="151"/>
      <c r="AY28" s="151"/>
      <c r="AZ28" s="151"/>
      <c r="BA28" s="152"/>
      <c r="BK28" s="145"/>
    </row>
    <row r="29" spans="1:63" ht="15" customHeight="1" x14ac:dyDescent="0.25">
      <c r="A29" s="144"/>
      <c r="K29" s="149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51"/>
      <c r="AS29" s="151"/>
      <c r="AT29" s="151"/>
      <c r="AU29" s="151"/>
      <c r="AV29" s="151"/>
      <c r="AW29" s="151"/>
      <c r="AX29" s="151"/>
      <c r="AY29" s="151"/>
      <c r="AZ29" s="151"/>
      <c r="BA29" s="152"/>
      <c r="BK29" s="145"/>
    </row>
    <row r="30" spans="1:63" ht="15" customHeight="1" x14ac:dyDescent="0.25">
      <c r="A30" s="144"/>
      <c r="K30" s="149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1"/>
      <c r="AX30" s="151"/>
      <c r="AY30" s="151"/>
      <c r="AZ30" s="151"/>
      <c r="BA30" s="152"/>
      <c r="BK30" s="145"/>
    </row>
    <row r="31" spans="1:63" ht="15" customHeight="1" x14ac:dyDescent="0.25">
      <c r="A31" s="144"/>
      <c r="K31" s="149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151"/>
      <c r="AG31" s="151"/>
      <c r="AH31" s="151"/>
      <c r="AI31" s="151"/>
      <c r="AJ31" s="151"/>
      <c r="AK31" s="151"/>
      <c r="AL31" s="151"/>
      <c r="AM31" s="151"/>
      <c r="AN31" s="151"/>
      <c r="AO31" s="151"/>
      <c r="AP31" s="151"/>
      <c r="AQ31" s="151"/>
      <c r="AR31" s="151"/>
      <c r="AS31" s="151"/>
      <c r="AT31" s="151"/>
      <c r="AU31" s="151"/>
      <c r="AV31" s="151"/>
      <c r="AW31" s="151"/>
      <c r="AX31" s="151"/>
      <c r="AY31" s="151"/>
      <c r="AZ31" s="151"/>
      <c r="BA31" s="152"/>
      <c r="BK31" s="145"/>
    </row>
    <row r="32" spans="1:63" ht="15" customHeight="1" x14ac:dyDescent="0.25">
      <c r="A32" s="144"/>
      <c r="K32" s="149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1"/>
      <c r="AX32" s="151"/>
      <c r="AY32" s="151"/>
      <c r="AZ32" s="151"/>
      <c r="BA32" s="152"/>
      <c r="BK32" s="145"/>
    </row>
    <row r="33" spans="1:63" ht="15" customHeight="1" x14ac:dyDescent="0.25">
      <c r="A33" s="144"/>
      <c r="K33" s="149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/>
      <c r="AV33" s="151"/>
      <c r="AW33" s="151"/>
      <c r="AX33" s="151"/>
      <c r="AY33" s="151"/>
      <c r="AZ33" s="151"/>
      <c r="BA33" s="152"/>
      <c r="BK33" s="145"/>
    </row>
    <row r="34" spans="1:63" ht="15" customHeight="1" x14ac:dyDescent="0.25">
      <c r="A34" s="144"/>
      <c r="K34" s="149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1"/>
      <c r="AX34" s="151"/>
      <c r="AY34" s="151"/>
      <c r="AZ34" s="151"/>
      <c r="BA34" s="152"/>
      <c r="BK34" s="145"/>
    </row>
    <row r="35" spans="1:63" ht="15" customHeight="1" x14ac:dyDescent="0.25">
      <c r="A35" s="144"/>
      <c r="K35" s="149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1"/>
      <c r="AG35" s="151"/>
      <c r="AH35" s="151"/>
      <c r="AI35" s="151"/>
      <c r="AJ35" s="151"/>
      <c r="AK35" s="151"/>
      <c r="AL35" s="151"/>
      <c r="AM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2"/>
      <c r="BK35" s="145"/>
    </row>
    <row r="36" spans="1:63" ht="15" customHeight="1" x14ac:dyDescent="0.25">
      <c r="A36" s="144"/>
      <c r="K36" s="149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1"/>
      <c r="AX36" s="151"/>
      <c r="AY36" s="151"/>
      <c r="AZ36" s="151"/>
      <c r="BA36" s="152"/>
      <c r="BK36" s="145"/>
    </row>
    <row r="37" spans="1:63" ht="15" customHeight="1" thickBot="1" x14ac:dyDescent="0.3">
      <c r="A37" s="144"/>
      <c r="K37" s="155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  <c r="AG37" s="156"/>
      <c r="AH37" s="156"/>
      <c r="AI37" s="156"/>
      <c r="AJ37" s="156"/>
      <c r="AK37" s="156"/>
      <c r="AL37" s="156"/>
      <c r="AM37" s="156"/>
      <c r="AN37" s="156"/>
      <c r="AO37" s="156"/>
      <c r="AP37" s="156"/>
      <c r="AQ37" s="156"/>
      <c r="AR37" s="156"/>
      <c r="AS37" s="156"/>
      <c r="AT37" s="156"/>
      <c r="AU37" s="156"/>
      <c r="AV37" s="156"/>
      <c r="AW37" s="156"/>
      <c r="AX37" s="156"/>
      <c r="AY37" s="156"/>
      <c r="AZ37" s="156"/>
      <c r="BA37" s="157"/>
      <c r="BK37" s="145"/>
    </row>
    <row r="38" spans="1:63" ht="15" customHeight="1" thickTop="1" x14ac:dyDescent="0.25">
      <c r="A38" s="144"/>
      <c r="BK38" s="145"/>
    </row>
    <row r="39" spans="1:63" ht="15" customHeight="1" x14ac:dyDescent="0.25">
      <c r="A39" s="144"/>
      <c r="BK39" s="145"/>
    </row>
    <row r="40" spans="1:63" ht="15" customHeight="1" x14ac:dyDescent="0.25">
      <c r="A40" s="144"/>
      <c r="BK40" s="145"/>
    </row>
    <row r="41" spans="1:63" ht="15" customHeight="1" x14ac:dyDescent="0.25">
      <c r="A41" s="144"/>
      <c r="BK41" s="145"/>
    </row>
    <row r="42" spans="1:63" ht="15" customHeight="1" x14ac:dyDescent="0.25">
      <c r="A42" s="144"/>
      <c r="BK42" s="145"/>
    </row>
    <row r="43" spans="1:63" ht="15" customHeight="1" x14ac:dyDescent="0.25">
      <c r="A43" s="144"/>
      <c r="BK43" s="145"/>
    </row>
    <row r="44" spans="1:63" ht="15" customHeight="1" x14ac:dyDescent="0.25">
      <c r="A44" s="144"/>
      <c r="Q44" s="158" t="s">
        <v>53</v>
      </c>
      <c r="R44" s="159"/>
      <c r="S44" s="159"/>
      <c r="T44" s="159"/>
      <c r="U44" s="159"/>
      <c r="V44" s="159"/>
      <c r="W44" s="159"/>
      <c r="X44" s="159"/>
      <c r="Y44" s="159"/>
      <c r="Z44" s="160"/>
      <c r="AA44" s="158" t="s">
        <v>54</v>
      </c>
      <c r="AB44" s="159"/>
      <c r="AC44" s="159"/>
      <c r="AD44" s="159"/>
      <c r="AE44" s="159"/>
      <c r="AF44" s="159"/>
      <c r="AG44" s="159"/>
      <c r="AH44" s="159"/>
      <c r="AI44" s="159"/>
      <c r="AJ44" s="159"/>
      <c r="AK44" s="159"/>
      <c r="AL44" s="159"/>
      <c r="AM44" s="159"/>
      <c r="AN44" s="159"/>
      <c r="AO44" s="159"/>
      <c r="AP44" s="160"/>
      <c r="AQ44" s="158" t="s">
        <v>47</v>
      </c>
      <c r="AR44" s="159"/>
      <c r="AS44" s="159"/>
      <c r="AT44" s="159"/>
      <c r="AU44" s="160"/>
      <c r="BK44" s="145"/>
    </row>
    <row r="45" spans="1:63" ht="15" customHeight="1" x14ac:dyDescent="0.25">
      <c r="A45" s="144"/>
      <c r="Q45" s="161"/>
      <c r="R45" s="162"/>
      <c r="S45" s="162"/>
      <c r="T45" s="162"/>
      <c r="U45" s="162"/>
      <c r="V45" s="162"/>
      <c r="W45" s="162"/>
      <c r="X45" s="162"/>
      <c r="Y45" s="162"/>
      <c r="Z45" s="163"/>
      <c r="AA45" s="161"/>
      <c r="AB45" s="162"/>
      <c r="AC45" s="162"/>
      <c r="AD45" s="162"/>
      <c r="AE45" s="162"/>
      <c r="AF45" s="162"/>
      <c r="AG45" s="162"/>
      <c r="AH45" s="162"/>
      <c r="AI45" s="162"/>
      <c r="AJ45" s="162"/>
      <c r="AK45" s="162"/>
      <c r="AL45" s="162"/>
      <c r="AM45" s="162"/>
      <c r="AN45" s="162"/>
      <c r="AO45" s="162"/>
      <c r="AP45" s="163"/>
      <c r="AQ45" s="161"/>
      <c r="AR45" s="162"/>
      <c r="AS45" s="162"/>
      <c r="AT45" s="162"/>
      <c r="AU45" s="163"/>
      <c r="BK45" s="145"/>
    </row>
    <row r="46" spans="1:63" ht="15" customHeight="1" x14ac:dyDescent="0.25">
      <c r="A46" s="144"/>
      <c r="Q46" s="116"/>
      <c r="R46" s="114"/>
      <c r="S46" s="114"/>
      <c r="T46" s="114"/>
      <c r="U46" s="114"/>
      <c r="V46" s="114"/>
      <c r="W46" s="114"/>
      <c r="X46" s="114"/>
      <c r="Y46" s="114"/>
      <c r="Z46" s="115"/>
      <c r="AA46" s="116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5"/>
      <c r="AQ46" s="116"/>
      <c r="AR46" s="114"/>
      <c r="AS46" s="114"/>
      <c r="AT46" s="114"/>
      <c r="AU46" s="115"/>
      <c r="BK46" s="145"/>
    </row>
    <row r="47" spans="1:63" ht="15" customHeight="1" x14ac:dyDescent="0.25">
      <c r="A47" s="144"/>
      <c r="Q47" s="164"/>
      <c r="R47" s="165"/>
      <c r="S47" s="165"/>
      <c r="T47" s="165"/>
      <c r="U47" s="165"/>
      <c r="V47" s="165"/>
      <c r="W47" s="165"/>
      <c r="X47" s="165"/>
      <c r="Y47" s="165"/>
      <c r="Z47" s="166"/>
      <c r="AA47" s="164"/>
      <c r="AB47" s="165"/>
      <c r="AC47" s="165"/>
      <c r="AD47" s="165"/>
      <c r="AE47" s="165"/>
      <c r="AF47" s="165"/>
      <c r="AG47" s="165"/>
      <c r="AH47" s="165"/>
      <c r="AI47" s="165"/>
      <c r="AJ47" s="165"/>
      <c r="AK47" s="165"/>
      <c r="AL47" s="165"/>
      <c r="AM47" s="165"/>
      <c r="AN47" s="165"/>
      <c r="AO47" s="165"/>
      <c r="AP47" s="166"/>
      <c r="AQ47" s="164"/>
      <c r="AR47" s="165"/>
      <c r="AS47" s="165"/>
      <c r="AT47" s="165"/>
      <c r="AU47" s="166"/>
      <c r="BK47" s="145"/>
    </row>
    <row r="48" spans="1:63" ht="15" customHeight="1" x14ac:dyDescent="0.25">
      <c r="A48" s="144"/>
      <c r="Q48" s="164"/>
      <c r="R48" s="165"/>
      <c r="S48" s="165"/>
      <c r="T48" s="165"/>
      <c r="U48" s="165"/>
      <c r="V48" s="165"/>
      <c r="W48" s="165"/>
      <c r="X48" s="165"/>
      <c r="Y48" s="165"/>
      <c r="Z48" s="166"/>
      <c r="AA48" s="164"/>
      <c r="AB48" s="165"/>
      <c r="AC48" s="165"/>
      <c r="AD48" s="165"/>
      <c r="AE48" s="165"/>
      <c r="AF48" s="165"/>
      <c r="AG48" s="165"/>
      <c r="AH48" s="165"/>
      <c r="AI48" s="165"/>
      <c r="AJ48" s="165"/>
      <c r="AK48" s="165"/>
      <c r="AL48" s="165"/>
      <c r="AM48" s="165"/>
      <c r="AN48" s="165"/>
      <c r="AO48" s="165"/>
      <c r="AP48" s="166"/>
      <c r="AQ48" s="164"/>
      <c r="AR48" s="165"/>
      <c r="AS48" s="165"/>
      <c r="AT48" s="165"/>
      <c r="AU48" s="166"/>
      <c r="BK48" s="145"/>
    </row>
    <row r="49" spans="1:63" ht="15" customHeight="1" x14ac:dyDescent="0.25">
      <c r="A49" s="144"/>
      <c r="Q49" s="126"/>
      <c r="R49" s="127"/>
      <c r="S49" s="127"/>
      <c r="T49" s="127"/>
      <c r="U49" s="127"/>
      <c r="V49" s="127"/>
      <c r="W49" s="127"/>
      <c r="X49" s="127"/>
      <c r="Y49" s="127"/>
      <c r="Z49" s="128"/>
      <c r="AA49" s="126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8"/>
      <c r="AQ49" s="126"/>
      <c r="AR49" s="127"/>
      <c r="AS49" s="127"/>
      <c r="AT49" s="127"/>
      <c r="AU49" s="128"/>
      <c r="BK49" s="145"/>
    </row>
    <row r="50" spans="1:63" ht="15" customHeight="1" x14ac:dyDescent="0.25">
      <c r="A50" s="144"/>
      <c r="BK50" s="145"/>
    </row>
    <row r="51" spans="1:63" ht="15" customHeight="1" x14ac:dyDescent="0.25">
      <c r="A51" s="144"/>
      <c r="BK51" s="145"/>
    </row>
    <row r="52" spans="1:63" ht="15" customHeight="1" x14ac:dyDescent="0.25">
      <c r="A52" s="144"/>
      <c r="BK52" s="145"/>
    </row>
    <row r="53" spans="1:63" ht="15" customHeight="1" x14ac:dyDescent="0.25">
      <c r="A53" s="144"/>
      <c r="BK53" s="145"/>
    </row>
    <row r="54" spans="1:63" ht="15" customHeight="1" x14ac:dyDescent="0.25">
      <c r="A54" s="144"/>
      <c r="BK54" s="145"/>
    </row>
    <row r="55" spans="1:63" ht="15" customHeight="1" x14ac:dyDescent="0.25">
      <c r="A55" s="141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  <c r="AZ55" s="142"/>
      <c r="BA55" s="142"/>
      <c r="BB55" s="142"/>
      <c r="BC55" s="142"/>
      <c r="BD55" s="142"/>
      <c r="BE55" s="142"/>
      <c r="BF55" s="142"/>
      <c r="BG55" s="142"/>
      <c r="BH55" s="142"/>
      <c r="BI55" s="142"/>
      <c r="BJ55" s="142"/>
      <c r="BK55" s="143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13" customWidth="1"/>
    <col min="61" max="16384" width="2.77734375" style="113"/>
  </cols>
  <sheetData>
    <row r="1" spans="1:63" ht="24.95" customHeight="1" x14ac:dyDescent="0.25">
      <c r="A1" s="107" t="s">
        <v>40</v>
      </c>
      <c r="B1" s="108"/>
      <c r="C1" s="108"/>
      <c r="D1" s="108"/>
      <c r="E1" s="108"/>
      <c r="F1" s="108"/>
      <c r="G1" s="108"/>
      <c r="H1" s="108"/>
      <c r="I1" s="108"/>
      <c r="J1" s="109"/>
      <c r="K1" s="107" t="s">
        <v>41</v>
      </c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9"/>
      <c r="W1" s="167" t="str">
        <f>IF(表紙!W1="","",表紙!W1)</f>
        <v>詳細設計書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116" t="str">
        <f>IF(表紙!A2="","",表紙!A2)</f>
        <v>POSサーバー</v>
      </c>
      <c r="B2" s="114"/>
      <c r="C2" s="114"/>
      <c r="D2" s="114"/>
      <c r="E2" s="114"/>
      <c r="F2" s="114"/>
      <c r="G2" s="114"/>
      <c r="H2" s="114"/>
      <c r="I2" s="114"/>
      <c r="J2" s="115"/>
      <c r="K2" s="116" t="str">
        <f>IF(表紙!K2="","",表紙!K2)</f>
        <v>POSサーバ</v>
      </c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5"/>
      <c r="W2" s="117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9"/>
      <c r="AP2" s="116" t="str">
        <f>IF(表紙!AP2="","",表紙!AP2)</f>
        <v>DuNT</v>
      </c>
      <c r="AQ2" s="114"/>
      <c r="AR2" s="114"/>
      <c r="AS2" s="115"/>
      <c r="AT2" s="120">
        <f>IF(表紙!AT2="","",表紙!AT2)</f>
        <v>45586</v>
      </c>
      <c r="AU2" s="121"/>
      <c r="AV2" s="121"/>
      <c r="AW2" s="121"/>
      <c r="AX2" s="122"/>
      <c r="AY2" s="116" t="str">
        <f>IF(表紙!AY2="","",表紙!AY2)</f>
        <v>DuNT</v>
      </c>
      <c r="AZ2" s="114"/>
      <c r="BA2" s="114"/>
      <c r="BB2" s="115"/>
      <c r="BC2" s="120">
        <f>IF(表紙!BC2="","",表紙!BC2)</f>
        <v>45615</v>
      </c>
      <c r="BD2" s="121"/>
      <c r="BE2" s="121"/>
      <c r="BF2" s="121"/>
      <c r="BG2" s="122"/>
      <c r="BH2" s="116">
        <f>IF(表紙!BH2="","",表紙!BH2)</f>
        <v>0.12</v>
      </c>
      <c r="BI2" s="114"/>
      <c r="BJ2" s="114"/>
      <c r="BK2" s="115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129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1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26"/>
      <c r="BI3" s="127"/>
      <c r="BJ3" s="127"/>
      <c r="BK3" s="128"/>
    </row>
    <row r="4" spans="1:63" ht="24.95" customHeight="1" x14ac:dyDescent="0.25">
      <c r="A4" s="107" t="s">
        <v>49</v>
      </c>
      <c r="B4" s="108"/>
      <c r="C4" s="108"/>
      <c r="D4" s="108"/>
      <c r="E4" s="108"/>
      <c r="F4" s="108"/>
      <c r="G4" s="109"/>
      <c r="H4" s="138" t="str">
        <f>IF(表紙!H4="","",表紙!H4)</f>
        <v>AP0503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07" t="s">
        <v>50</v>
      </c>
      <c r="V4" s="108"/>
      <c r="W4" s="108"/>
      <c r="X4" s="108"/>
      <c r="Y4" s="109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38" t="str">
        <f t="array" aca="1" ref="AP4" ca="1">RIGHT(CELL("filename",$A$1),LEN(CELL("filename",$A$1))-FIND("]",CELL("filename",$A$1)))</f>
        <v>改訂履歴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141"/>
      <c r="B5" s="142"/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3"/>
    </row>
    <row r="6" spans="1:63" ht="15" customHeight="1" x14ac:dyDescent="0.25">
      <c r="A6" s="144"/>
      <c r="BK6" s="145"/>
    </row>
    <row r="7" spans="1:63" ht="15" customHeight="1" x14ac:dyDescent="0.25">
      <c r="A7" s="144"/>
      <c r="BK7" s="145"/>
    </row>
    <row r="8" spans="1:63" ht="15" customHeight="1" x14ac:dyDescent="0.25">
      <c r="A8" s="144"/>
      <c r="B8" s="113" t="s">
        <v>0</v>
      </c>
      <c r="BK8" s="145"/>
    </row>
    <row r="9" spans="1:63" ht="15" customHeight="1" x14ac:dyDescent="0.25">
      <c r="A9" s="144"/>
      <c r="BK9" s="145"/>
    </row>
    <row r="10" spans="1:63" ht="15" customHeight="1" x14ac:dyDescent="0.25">
      <c r="A10" s="144"/>
      <c r="B10" s="168" t="s">
        <v>46</v>
      </c>
      <c r="C10" s="168"/>
      <c r="D10" s="168"/>
      <c r="E10" s="168"/>
      <c r="F10" s="168"/>
      <c r="G10" s="168"/>
      <c r="H10" s="168" t="s">
        <v>45</v>
      </c>
      <c r="I10" s="168"/>
      <c r="J10" s="168"/>
      <c r="K10" s="168"/>
      <c r="L10" s="168"/>
      <c r="M10" s="168"/>
      <c r="N10" s="168"/>
      <c r="O10" s="168" t="s">
        <v>47</v>
      </c>
      <c r="P10" s="168"/>
      <c r="Q10" s="168"/>
      <c r="R10" s="168"/>
      <c r="S10" s="168" t="s">
        <v>55</v>
      </c>
      <c r="T10" s="168"/>
      <c r="U10" s="168"/>
      <c r="V10" s="168"/>
      <c r="W10" s="168"/>
      <c r="X10" s="168"/>
      <c r="Y10" s="168"/>
      <c r="Z10" s="168"/>
      <c r="AA10" s="168"/>
      <c r="AB10" s="168"/>
      <c r="AC10" s="168"/>
      <c r="AD10" s="168"/>
      <c r="AE10" s="168"/>
      <c r="AF10" s="168"/>
      <c r="AG10" s="168"/>
      <c r="AH10" s="168"/>
      <c r="AI10" s="168"/>
      <c r="AJ10" s="168"/>
      <c r="AK10" s="168"/>
      <c r="AL10" s="168"/>
      <c r="AM10" s="168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 t="s">
        <v>53</v>
      </c>
      <c r="AY10" s="168"/>
      <c r="AZ10" s="168"/>
      <c r="BA10" s="168"/>
      <c r="BB10" s="168"/>
      <c r="BC10" s="168"/>
      <c r="BD10" s="168" t="s">
        <v>54</v>
      </c>
      <c r="BE10" s="168"/>
      <c r="BF10" s="168"/>
      <c r="BG10" s="168"/>
      <c r="BH10" s="168"/>
      <c r="BI10" s="168"/>
      <c r="BJ10" s="168"/>
      <c r="BK10" s="145"/>
    </row>
    <row r="11" spans="1:63" ht="15" customHeight="1" x14ac:dyDescent="0.25">
      <c r="A11" s="144"/>
      <c r="B11" s="120">
        <v>45586</v>
      </c>
      <c r="C11" s="114"/>
      <c r="D11" s="114"/>
      <c r="E11" s="114"/>
      <c r="F11" s="114"/>
      <c r="G11" s="115"/>
      <c r="H11" s="1" t="s">
        <v>56</v>
      </c>
      <c r="I11" s="114"/>
      <c r="J11" s="114"/>
      <c r="K11" s="114"/>
      <c r="L11" s="114"/>
      <c r="M11" s="114"/>
      <c r="N11" s="115"/>
      <c r="O11" s="116">
        <v>0.1</v>
      </c>
      <c r="P11" s="114"/>
      <c r="Q11" s="114"/>
      <c r="R11" s="114"/>
      <c r="S11" s="169" t="s">
        <v>2</v>
      </c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  <c r="AG11" s="170"/>
      <c r="AH11" s="170"/>
      <c r="AI11" s="170"/>
      <c r="AJ11" s="170"/>
      <c r="AK11" s="170"/>
      <c r="AL11" s="170"/>
      <c r="AM11" s="170"/>
      <c r="AN11" s="170"/>
      <c r="AO11" s="170"/>
      <c r="AP11" s="170"/>
      <c r="AQ11" s="170"/>
      <c r="AR11" s="170"/>
      <c r="AS11" s="170"/>
      <c r="AT11" s="170"/>
      <c r="AU11" s="170"/>
      <c r="AV11" s="170"/>
      <c r="AW11" s="171"/>
      <c r="AX11" s="172"/>
      <c r="AY11" s="172"/>
      <c r="AZ11" s="172"/>
      <c r="BA11" s="172"/>
      <c r="BB11" s="172"/>
      <c r="BC11" s="173"/>
      <c r="BD11" s="174"/>
      <c r="BE11" s="172"/>
      <c r="BF11" s="172"/>
      <c r="BG11" s="172"/>
      <c r="BH11" s="172"/>
      <c r="BI11" s="172"/>
      <c r="BJ11" s="173"/>
      <c r="BK11" s="145"/>
    </row>
    <row r="12" spans="1:63" ht="15" customHeight="1" x14ac:dyDescent="0.25">
      <c r="A12" s="144"/>
      <c r="B12" s="126"/>
      <c r="C12" s="127"/>
      <c r="D12" s="127"/>
      <c r="E12" s="127"/>
      <c r="F12" s="127"/>
      <c r="G12" s="128"/>
      <c r="H12" s="126"/>
      <c r="I12" s="127"/>
      <c r="J12" s="127"/>
      <c r="K12" s="127"/>
      <c r="L12" s="127"/>
      <c r="M12" s="127"/>
      <c r="N12" s="128"/>
      <c r="O12" s="126"/>
      <c r="P12" s="127"/>
      <c r="Q12" s="127"/>
      <c r="R12" s="127"/>
      <c r="S12" s="175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7"/>
      <c r="AX12" s="178"/>
      <c r="AY12" s="178"/>
      <c r="AZ12" s="178"/>
      <c r="BA12" s="178"/>
      <c r="BB12" s="178"/>
      <c r="BC12" s="179"/>
      <c r="BD12" s="180"/>
      <c r="BE12" s="178"/>
      <c r="BF12" s="178"/>
      <c r="BG12" s="178"/>
      <c r="BH12" s="178"/>
      <c r="BI12" s="178"/>
      <c r="BJ12" s="179"/>
      <c r="BK12" s="145"/>
    </row>
    <row r="13" spans="1:63" ht="15" customHeight="1" x14ac:dyDescent="0.25">
      <c r="A13" s="144"/>
      <c r="B13" s="41">
        <v>45609</v>
      </c>
      <c r="C13" s="42"/>
      <c r="D13" s="42"/>
      <c r="E13" s="42"/>
      <c r="F13" s="42"/>
      <c r="G13" s="43"/>
      <c r="H13" s="47" t="s">
        <v>56</v>
      </c>
      <c r="I13" s="42"/>
      <c r="J13" s="42"/>
      <c r="K13" s="42"/>
      <c r="L13" s="42"/>
      <c r="M13" s="42"/>
      <c r="N13" s="43"/>
      <c r="O13" s="47">
        <v>0.11</v>
      </c>
      <c r="P13" s="42"/>
      <c r="Q13" s="42"/>
      <c r="R13" s="42"/>
      <c r="S13" s="48" t="s">
        <v>57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50"/>
      <c r="AX13" s="172"/>
      <c r="AY13" s="172"/>
      <c r="AZ13" s="172"/>
      <c r="BA13" s="172"/>
      <c r="BB13" s="172"/>
      <c r="BC13" s="173"/>
      <c r="BD13" s="174"/>
      <c r="BE13" s="172"/>
      <c r="BF13" s="172"/>
      <c r="BG13" s="172"/>
      <c r="BH13" s="172"/>
      <c r="BI13" s="172"/>
      <c r="BJ13" s="173"/>
      <c r="BK13" s="145"/>
    </row>
    <row r="14" spans="1:63" ht="15" customHeight="1" x14ac:dyDescent="0.25">
      <c r="A14" s="144"/>
      <c r="B14" s="44"/>
      <c r="C14" s="45"/>
      <c r="D14" s="45"/>
      <c r="E14" s="45"/>
      <c r="F14" s="45"/>
      <c r="G14" s="46"/>
      <c r="H14" s="44"/>
      <c r="I14" s="45"/>
      <c r="J14" s="45"/>
      <c r="K14" s="45"/>
      <c r="L14" s="45"/>
      <c r="M14" s="45"/>
      <c r="N14" s="46"/>
      <c r="O14" s="44"/>
      <c r="P14" s="45"/>
      <c r="Q14" s="45"/>
      <c r="R14" s="45"/>
      <c r="S14" s="51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3"/>
      <c r="AX14" s="178"/>
      <c r="AY14" s="178"/>
      <c r="AZ14" s="178"/>
      <c r="BA14" s="178"/>
      <c r="BB14" s="178"/>
      <c r="BC14" s="179"/>
      <c r="BD14" s="180"/>
      <c r="BE14" s="178"/>
      <c r="BF14" s="178"/>
      <c r="BG14" s="178"/>
      <c r="BH14" s="178"/>
      <c r="BI14" s="178"/>
      <c r="BJ14" s="179"/>
      <c r="BK14" s="145"/>
    </row>
    <row r="15" spans="1:63" ht="15" customHeight="1" x14ac:dyDescent="0.25">
      <c r="A15" s="144"/>
      <c r="B15" s="181">
        <v>45615</v>
      </c>
      <c r="C15" s="182"/>
      <c r="D15" s="182"/>
      <c r="E15" s="182"/>
      <c r="F15" s="182"/>
      <c r="G15" s="183"/>
      <c r="H15" s="184" t="s">
        <v>26</v>
      </c>
      <c r="I15" s="182"/>
      <c r="J15" s="182"/>
      <c r="K15" s="182"/>
      <c r="L15" s="182"/>
      <c r="M15" s="182"/>
      <c r="N15" s="183"/>
      <c r="O15" s="184">
        <v>0.12</v>
      </c>
      <c r="P15" s="182"/>
      <c r="Q15" s="182"/>
      <c r="R15" s="182"/>
      <c r="S15" s="185" t="s">
        <v>38</v>
      </c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6"/>
      <c r="AV15" s="186"/>
      <c r="AW15" s="187"/>
      <c r="AX15" s="172"/>
      <c r="AY15" s="172"/>
      <c r="AZ15" s="172"/>
      <c r="BA15" s="172"/>
      <c r="BB15" s="172"/>
      <c r="BC15" s="173"/>
      <c r="BD15" s="174"/>
      <c r="BE15" s="172"/>
      <c r="BF15" s="172"/>
      <c r="BG15" s="172"/>
      <c r="BH15" s="172"/>
      <c r="BI15" s="172"/>
      <c r="BJ15" s="173"/>
      <c r="BK15" s="145"/>
    </row>
    <row r="16" spans="1:63" ht="15" customHeight="1" x14ac:dyDescent="0.25">
      <c r="A16" s="144"/>
      <c r="B16" s="188"/>
      <c r="C16" s="189"/>
      <c r="D16" s="189"/>
      <c r="E16" s="189"/>
      <c r="F16" s="189"/>
      <c r="G16" s="190"/>
      <c r="H16" s="188"/>
      <c r="I16" s="189"/>
      <c r="J16" s="189"/>
      <c r="K16" s="189"/>
      <c r="L16" s="189"/>
      <c r="M16" s="189"/>
      <c r="N16" s="190"/>
      <c r="O16" s="188"/>
      <c r="P16" s="189"/>
      <c r="Q16" s="189"/>
      <c r="R16" s="189"/>
      <c r="S16" s="191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2"/>
      <c r="AM16" s="192"/>
      <c r="AN16" s="192"/>
      <c r="AO16" s="192"/>
      <c r="AP16" s="192"/>
      <c r="AQ16" s="192"/>
      <c r="AR16" s="192"/>
      <c r="AS16" s="192"/>
      <c r="AT16" s="192"/>
      <c r="AU16" s="192"/>
      <c r="AV16" s="192"/>
      <c r="AW16" s="193"/>
      <c r="AX16" s="178"/>
      <c r="AY16" s="178"/>
      <c r="AZ16" s="178"/>
      <c r="BA16" s="178"/>
      <c r="BB16" s="178"/>
      <c r="BC16" s="179"/>
      <c r="BD16" s="180"/>
      <c r="BE16" s="178"/>
      <c r="BF16" s="178"/>
      <c r="BG16" s="178"/>
      <c r="BH16" s="178"/>
      <c r="BI16" s="178"/>
      <c r="BJ16" s="179"/>
      <c r="BK16" s="145"/>
    </row>
    <row r="17" spans="1:63" ht="15" customHeight="1" x14ac:dyDescent="0.25">
      <c r="A17" s="144"/>
      <c r="B17" s="116"/>
      <c r="C17" s="114"/>
      <c r="D17" s="114"/>
      <c r="E17" s="114"/>
      <c r="F17" s="114"/>
      <c r="G17" s="115"/>
      <c r="H17" s="116"/>
      <c r="I17" s="114"/>
      <c r="J17" s="114"/>
      <c r="K17" s="114"/>
      <c r="L17" s="114"/>
      <c r="M17" s="114"/>
      <c r="N17" s="115"/>
      <c r="O17" s="116"/>
      <c r="P17" s="114"/>
      <c r="Q17" s="114"/>
      <c r="R17" s="114"/>
      <c r="S17" s="169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70"/>
      <c r="AK17" s="170"/>
      <c r="AL17" s="170"/>
      <c r="AM17" s="170"/>
      <c r="AN17" s="170"/>
      <c r="AO17" s="170"/>
      <c r="AP17" s="170"/>
      <c r="AQ17" s="170"/>
      <c r="AR17" s="170"/>
      <c r="AS17" s="170"/>
      <c r="AT17" s="170"/>
      <c r="AU17" s="170"/>
      <c r="AV17" s="170"/>
      <c r="AW17" s="171"/>
      <c r="AX17" s="172"/>
      <c r="AY17" s="172"/>
      <c r="AZ17" s="172"/>
      <c r="BA17" s="172"/>
      <c r="BB17" s="172"/>
      <c r="BC17" s="173"/>
      <c r="BD17" s="174"/>
      <c r="BE17" s="172"/>
      <c r="BF17" s="172"/>
      <c r="BG17" s="172"/>
      <c r="BH17" s="172"/>
      <c r="BI17" s="172"/>
      <c r="BJ17" s="173"/>
      <c r="BK17" s="145"/>
    </row>
    <row r="18" spans="1:63" ht="15" customHeight="1" x14ac:dyDescent="0.25">
      <c r="A18" s="144"/>
      <c r="B18" s="126"/>
      <c r="C18" s="127"/>
      <c r="D18" s="127"/>
      <c r="E18" s="127"/>
      <c r="F18" s="127"/>
      <c r="G18" s="128"/>
      <c r="H18" s="126"/>
      <c r="I18" s="127"/>
      <c r="J18" s="127"/>
      <c r="K18" s="127"/>
      <c r="L18" s="127"/>
      <c r="M18" s="127"/>
      <c r="N18" s="128"/>
      <c r="O18" s="126"/>
      <c r="P18" s="127"/>
      <c r="Q18" s="127"/>
      <c r="R18" s="127"/>
      <c r="S18" s="175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7"/>
      <c r="AX18" s="178"/>
      <c r="AY18" s="178"/>
      <c r="AZ18" s="178"/>
      <c r="BA18" s="178"/>
      <c r="BB18" s="178"/>
      <c r="BC18" s="179"/>
      <c r="BD18" s="180"/>
      <c r="BE18" s="178"/>
      <c r="BF18" s="178"/>
      <c r="BG18" s="178"/>
      <c r="BH18" s="178"/>
      <c r="BI18" s="178"/>
      <c r="BJ18" s="179"/>
      <c r="BK18" s="145"/>
    </row>
    <row r="19" spans="1:63" ht="15" customHeight="1" x14ac:dyDescent="0.25">
      <c r="A19" s="144"/>
      <c r="B19" s="116"/>
      <c r="C19" s="114"/>
      <c r="D19" s="114"/>
      <c r="E19" s="114"/>
      <c r="F19" s="114"/>
      <c r="G19" s="115"/>
      <c r="H19" s="116"/>
      <c r="I19" s="114"/>
      <c r="J19" s="114"/>
      <c r="K19" s="114"/>
      <c r="L19" s="114"/>
      <c r="M19" s="114"/>
      <c r="N19" s="115"/>
      <c r="O19" s="116"/>
      <c r="P19" s="114"/>
      <c r="Q19" s="114"/>
      <c r="R19" s="114"/>
      <c r="S19" s="169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  <c r="AV19" s="170"/>
      <c r="AW19" s="171"/>
      <c r="AX19" s="172"/>
      <c r="AY19" s="172"/>
      <c r="AZ19" s="172"/>
      <c r="BA19" s="172"/>
      <c r="BB19" s="172"/>
      <c r="BC19" s="173"/>
      <c r="BD19" s="174"/>
      <c r="BE19" s="172"/>
      <c r="BF19" s="172"/>
      <c r="BG19" s="172"/>
      <c r="BH19" s="172"/>
      <c r="BI19" s="172"/>
      <c r="BJ19" s="173"/>
      <c r="BK19" s="145"/>
    </row>
    <row r="20" spans="1:63" ht="15" customHeight="1" x14ac:dyDescent="0.25">
      <c r="A20" s="144"/>
      <c r="B20" s="126"/>
      <c r="C20" s="127"/>
      <c r="D20" s="127"/>
      <c r="E20" s="127"/>
      <c r="F20" s="127"/>
      <c r="G20" s="128"/>
      <c r="H20" s="126"/>
      <c r="I20" s="127"/>
      <c r="J20" s="127"/>
      <c r="K20" s="127"/>
      <c r="L20" s="127"/>
      <c r="M20" s="127"/>
      <c r="N20" s="128"/>
      <c r="O20" s="126"/>
      <c r="P20" s="127"/>
      <c r="Q20" s="127"/>
      <c r="R20" s="127"/>
      <c r="S20" s="175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7"/>
      <c r="AX20" s="178"/>
      <c r="AY20" s="178"/>
      <c r="AZ20" s="178"/>
      <c r="BA20" s="178"/>
      <c r="BB20" s="178"/>
      <c r="BC20" s="179"/>
      <c r="BD20" s="180"/>
      <c r="BE20" s="178"/>
      <c r="BF20" s="178"/>
      <c r="BG20" s="178"/>
      <c r="BH20" s="178"/>
      <c r="BI20" s="178"/>
      <c r="BJ20" s="179"/>
      <c r="BK20" s="145"/>
    </row>
    <row r="21" spans="1:63" ht="15" customHeight="1" x14ac:dyDescent="0.25">
      <c r="A21" s="144"/>
      <c r="B21" s="116"/>
      <c r="C21" s="114"/>
      <c r="D21" s="114"/>
      <c r="E21" s="114"/>
      <c r="F21" s="114"/>
      <c r="G21" s="115"/>
      <c r="H21" s="116"/>
      <c r="I21" s="114"/>
      <c r="J21" s="114"/>
      <c r="K21" s="114"/>
      <c r="L21" s="114"/>
      <c r="M21" s="114"/>
      <c r="N21" s="115"/>
      <c r="O21" s="116"/>
      <c r="P21" s="114"/>
      <c r="Q21" s="114"/>
      <c r="R21" s="114"/>
      <c r="S21" s="169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1"/>
      <c r="AX21" s="172"/>
      <c r="AY21" s="172"/>
      <c r="AZ21" s="172"/>
      <c r="BA21" s="172"/>
      <c r="BB21" s="172"/>
      <c r="BC21" s="173"/>
      <c r="BD21" s="174"/>
      <c r="BE21" s="172"/>
      <c r="BF21" s="172"/>
      <c r="BG21" s="172"/>
      <c r="BH21" s="172"/>
      <c r="BI21" s="172"/>
      <c r="BJ21" s="173"/>
      <c r="BK21" s="145"/>
    </row>
    <row r="22" spans="1:63" ht="15" customHeight="1" x14ac:dyDescent="0.25">
      <c r="A22" s="144"/>
      <c r="B22" s="126"/>
      <c r="C22" s="127"/>
      <c r="D22" s="127"/>
      <c r="E22" s="127"/>
      <c r="F22" s="127"/>
      <c r="G22" s="128"/>
      <c r="H22" s="126"/>
      <c r="I22" s="127"/>
      <c r="J22" s="127"/>
      <c r="K22" s="127"/>
      <c r="L22" s="127"/>
      <c r="M22" s="127"/>
      <c r="N22" s="128"/>
      <c r="O22" s="126"/>
      <c r="P22" s="127"/>
      <c r="Q22" s="127"/>
      <c r="R22" s="127"/>
      <c r="S22" s="175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7"/>
      <c r="AX22" s="178"/>
      <c r="AY22" s="178"/>
      <c r="AZ22" s="178"/>
      <c r="BA22" s="178"/>
      <c r="BB22" s="178"/>
      <c r="BC22" s="179"/>
      <c r="BD22" s="180"/>
      <c r="BE22" s="178"/>
      <c r="BF22" s="178"/>
      <c r="BG22" s="178"/>
      <c r="BH22" s="178"/>
      <c r="BI22" s="178"/>
      <c r="BJ22" s="179"/>
      <c r="BK22" s="145"/>
    </row>
    <row r="23" spans="1:63" ht="15" customHeight="1" x14ac:dyDescent="0.25">
      <c r="A23" s="144"/>
      <c r="B23" s="116"/>
      <c r="C23" s="114"/>
      <c r="D23" s="114"/>
      <c r="E23" s="114"/>
      <c r="F23" s="114"/>
      <c r="G23" s="115"/>
      <c r="H23" s="116"/>
      <c r="I23" s="114"/>
      <c r="J23" s="114"/>
      <c r="K23" s="114"/>
      <c r="L23" s="114"/>
      <c r="M23" s="114"/>
      <c r="N23" s="115"/>
      <c r="O23" s="116"/>
      <c r="P23" s="114"/>
      <c r="Q23" s="114"/>
      <c r="R23" s="114"/>
      <c r="S23" s="169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1"/>
      <c r="AX23" s="172"/>
      <c r="AY23" s="172"/>
      <c r="AZ23" s="172"/>
      <c r="BA23" s="172"/>
      <c r="BB23" s="172"/>
      <c r="BC23" s="173"/>
      <c r="BD23" s="174"/>
      <c r="BE23" s="172"/>
      <c r="BF23" s="172"/>
      <c r="BG23" s="172"/>
      <c r="BH23" s="172"/>
      <c r="BI23" s="172"/>
      <c r="BJ23" s="173"/>
      <c r="BK23" s="145"/>
    </row>
    <row r="24" spans="1:63" ht="15" customHeight="1" x14ac:dyDescent="0.25">
      <c r="A24" s="144"/>
      <c r="B24" s="126"/>
      <c r="C24" s="127"/>
      <c r="D24" s="127"/>
      <c r="E24" s="127"/>
      <c r="F24" s="127"/>
      <c r="G24" s="128"/>
      <c r="H24" s="126"/>
      <c r="I24" s="127"/>
      <c r="J24" s="127"/>
      <c r="K24" s="127"/>
      <c r="L24" s="127"/>
      <c r="M24" s="127"/>
      <c r="N24" s="128"/>
      <c r="O24" s="126"/>
      <c r="P24" s="127"/>
      <c r="Q24" s="127"/>
      <c r="R24" s="127"/>
      <c r="S24" s="175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7"/>
      <c r="AX24" s="178"/>
      <c r="AY24" s="178"/>
      <c r="AZ24" s="178"/>
      <c r="BA24" s="178"/>
      <c r="BB24" s="178"/>
      <c r="BC24" s="179"/>
      <c r="BD24" s="180"/>
      <c r="BE24" s="178"/>
      <c r="BF24" s="178"/>
      <c r="BG24" s="178"/>
      <c r="BH24" s="178"/>
      <c r="BI24" s="178"/>
      <c r="BJ24" s="179"/>
      <c r="BK24" s="145"/>
    </row>
    <row r="25" spans="1:63" ht="15" customHeight="1" x14ac:dyDescent="0.25">
      <c r="A25" s="144"/>
      <c r="B25" s="116"/>
      <c r="C25" s="114"/>
      <c r="D25" s="114"/>
      <c r="E25" s="114"/>
      <c r="F25" s="114"/>
      <c r="G25" s="115"/>
      <c r="H25" s="116"/>
      <c r="I25" s="114"/>
      <c r="J25" s="114"/>
      <c r="K25" s="114"/>
      <c r="L25" s="114"/>
      <c r="M25" s="114"/>
      <c r="N25" s="115"/>
      <c r="O25" s="116"/>
      <c r="P25" s="114"/>
      <c r="Q25" s="114"/>
      <c r="R25" s="114"/>
      <c r="S25" s="169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1"/>
      <c r="AX25" s="172"/>
      <c r="AY25" s="172"/>
      <c r="AZ25" s="172"/>
      <c r="BA25" s="172"/>
      <c r="BB25" s="172"/>
      <c r="BC25" s="173"/>
      <c r="BD25" s="174"/>
      <c r="BE25" s="172"/>
      <c r="BF25" s="172"/>
      <c r="BG25" s="172"/>
      <c r="BH25" s="172"/>
      <c r="BI25" s="172"/>
      <c r="BJ25" s="173"/>
      <c r="BK25" s="145"/>
    </row>
    <row r="26" spans="1:63" ht="15" customHeight="1" x14ac:dyDescent="0.25">
      <c r="A26" s="144"/>
      <c r="B26" s="126"/>
      <c r="C26" s="127"/>
      <c r="D26" s="127"/>
      <c r="E26" s="127"/>
      <c r="F26" s="127"/>
      <c r="G26" s="128"/>
      <c r="H26" s="126"/>
      <c r="I26" s="127"/>
      <c r="J26" s="127"/>
      <c r="K26" s="127"/>
      <c r="L26" s="127"/>
      <c r="M26" s="127"/>
      <c r="N26" s="128"/>
      <c r="O26" s="126"/>
      <c r="P26" s="127"/>
      <c r="Q26" s="127"/>
      <c r="R26" s="127"/>
      <c r="S26" s="175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7"/>
      <c r="AX26" s="178"/>
      <c r="AY26" s="178"/>
      <c r="AZ26" s="178"/>
      <c r="BA26" s="178"/>
      <c r="BB26" s="178"/>
      <c r="BC26" s="179"/>
      <c r="BD26" s="180"/>
      <c r="BE26" s="178"/>
      <c r="BF26" s="178"/>
      <c r="BG26" s="178"/>
      <c r="BH26" s="178"/>
      <c r="BI26" s="178"/>
      <c r="BJ26" s="179"/>
      <c r="BK26" s="145"/>
    </row>
    <row r="27" spans="1:63" ht="15" customHeight="1" x14ac:dyDescent="0.25">
      <c r="A27" s="144"/>
      <c r="B27" s="116"/>
      <c r="C27" s="114"/>
      <c r="D27" s="114"/>
      <c r="E27" s="114"/>
      <c r="F27" s="114"/>
      <c r="G27" s="115"/>
      <c r="H27" s="116"/>
      <c r="I27" s="114"/>
      <c r="J27" s="114"/>
      <c r="K27" s="114"/>
      <c r="L27" s="114"/>
      <c r="M27" s="114"/>
      <c r="N27" s="115"/>
      <c r="O27" s="116"/>
      <c r="P27" s="114"/>
      <c r="Q27" s="114"/>
      <c r="R27" s="114"/>
      <c r="S27" s="169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1"/>
      <c r="AX27" s="172"/>
      <c r="AY27" s="172"/>
      <c r="AZ27" s="172"/>
      <c r="BA27" s="172"/>
      <c r="BB27" s="172"/>
      <c r="BC27" s="173"/>
      <c r="BD27" s="174"/>
      <c r="BE27" s="172"/>
      <c r="BF27" s="172"/>
      <c r="BG27" s="172"/>
      <c r="BH27" s="172"/>
      <c r="BI27" s="172"/>
      <c r="BJ27" s="173"/>
      <c r="BK27" s="145"/>
    </row>
    <row r="28" spans="1:63" ht="15" customHeight="1" x14ac:dyDescent="0.25">
      <c r="A28" s="144"/>
      <c r="B28" s="126"/>
      <c r="C28" s="127"/>
      <c r="D28" s="127"/>
      <c r="E28" s="127"/>
      <c r="F28" s="127"/>
      <c r="G28" s="128"/>
      <c r="H28" s="126"/>
      <c r="I28" s="127"/>
      <c r="J28" s="127"/>
      <c r="K28" s="127"/>
      <c r="L28" s="127"/>
      <c r="M28" s="127"/>
      <c r="N28" s="128"/>
      <c r="O28" s="126"/>
      <c r="P28" s="127"/>
      <c r="Q28" s="127"/>
      <c r="R28" s="127"/>
      <c r="S28" s="175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7"/>
      <c r="AX28" s="178"/>
      <c r="AY28" s="178"/>
      <c r="AZ28" s="178"/>
      <c r="BA28" s="178"/>
      <c r="BB28" s="178"/>
      <c r="BC28" s="179"/>
      <c r="BD28" s="180"/>
      <c r="BE28" s="178"/>
      <c r="BF28" s="178"/>
      <c r="BG28" s="178"/>
      <c r="BH28" s="178"/>
      <c r="BI28" s="178"/>
      <c r="BJ28" s="179"/>
      <c r="BK28" s="145"/>
    </row>
    <row r="29" spans="1:63" ht="15" customHeight="1" x14ac:dyDescent="0.25">
      <c r="A29" s="144"/>
      <c r="B29" s="116"/>
      <c r="C29" s="114"/>
      <c r="D29" s="114"/>
      <c r="E29" s="114"/>
      <c r="F29" s="114"/>
      <c r="G29" s="115"/>
      <c r="H29" s="116"/>
      <c r="I29" s="114"/>
      <c r="J29" s="114"/>
      <c r="K29" s="114"/>
      <c r="L29" s="114"/>
      <c r="M29" s="114"/>
      <c r="N29" s="115"/>
      <c r="O29" s="116"/>
      <c r="P29" s="114"/>
      <c r="Q29" s="114"/>
      <c r="R29" s="114"/>
      <c r="S29" s="169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1"/>
      <c r="AX29" s="172"/>
      <c r="AY29" s="172"/>
      <c r="AZ29" s="172"/>
      <c r="BA29" s="172"/>
      <c r="BB29" s="172"/>
      <c r="BC29" s="173"/>
      <c r="BD29" s="174"/>
      <c r="BE29" s="172"/>
      <c r="BF29" s="172"/>
      <c r="BG29" s="172"/>
      <c r="BH29" s="172"/>
      <c r="BI29" s="172"/>
      <c r="BJ29" s="173"/>
      <c r="BK29" s="145"/>
    </row>
    <row r="30" spans="1:63" ht="15" customHeight="1" x14ac:dyDescent="0.25">
      <c r="A30" s="144"/>
      <c r="B30" s="126"/>
      <c r="C30" s="127"/>
      <c r="D30" s="127"/>
      <c r="E30" s="127"/>
      <c r="F30" s="127"/>
      <c r="G30" s="128"/>
      <c r="H30" s="126"/>
      <c r="I30" s="127"/>
      <c r="J30" s="127"/>
      <c r="K30" s="127"/>
      <c r="L30" s="127"/>
      <c r="M30" s="127"/>
      <c r="N30" s="128"/>
      <c r="O30" s="126"/>
      <c r="P30" s="127"/>
      <c r="Q30" s="127"/>
      <c r="R30" s="127"/>
      <c r="S30" s="175"/>
      <c r="T30" s="176"/>
      <c r="U30" s="176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6"/>
      <c r="AI30" s="176"/>
      <c r="AJ30" s="176"/>
      <c r="AK30" s="176"/>
      <c r="AL30" s="176"/>
      <c r="AM30" s="176"/>
      <c r="AN30" s="176"/>
      <c r="AO30" s="176"/>
      <c r="AP30" s="176"/>
      <c r="AQ30" s="176"/>
      <c r="AR30" s="176"/>
      <c r="AS30" s="176"/>
      <c r="AT30" s="176"/>
      <c r="AU30" s="176"/>
      <c r="AV30" s="176"/>
      <c r="AW30" s="177"/>
      <c r="AX30" s="178"/>
      <c r="AY30" s="178"/>
      <c r="AZ30" s="178"/>
      <c r="BA30" s="178"/>
      <c r="BB30" s="178"/>
      <c r="BC30" s="179"/>
      <c r="BD30" s="180"/>
      <c r="BE30" s="178"/>
      <c r="BF30" s="178"/>
      <c r="BG30" s="178"/>
      <c r="BH30" s="178"/>
      <c r="BI30" s="178"/>
      <c r="BJ30" s="179"/>
      <c r="BK30" s="145"/>
    </row>
    <row r="31" spans="1:63" ht="15" customHeight="1" x14ac:dyDescent="0.25">
      <c r="A31" s="144"/>
      <c r="B31" s="116"/>
      <c r="C31" s="114"/>
      <c r="D31" s="114"/>
      <c r="E31" s="114"/>
      <c r="F31" s="114"/>
      <c r="G31" s="115"/>
      <c r="H31" s="116"/>
      <c r="I31" s="114"/>
      <c r="J31" s="114"/>
      <c r="K31" s="114"/>
      <c r="L31" s="114"/>
      <c r="M31" s="114"/>
      <c r="N31" s="115"/>
      <c r="O31" s="116"/>
      <c r="P31" s="114"/>
      <c r="Q31" s="114"/>
      <c r="R31" s="114"/>
      <c r="S31" s="169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1"/>
      <c r="AX31" s="172"/>
      <c r="AY31" s="172"/>
      <c r="AZ31" s="172"/>
      <c r="BA31" s="172"/>
      <c r="BB31" s="172"/>
      <c r="BC31" s="173"/>
      <c r="BD31" s="174"/>
      <c r="BE31" s="172"/>
      <c r="BF31" s="172"/>
      <c r="BG31" s="172"/>
      <c r="BH31" s="172"/>
      <c r="BI31" s="172"/>
      <c r="BJ31" s="173"/>
      <c r="BK31" s="145"/>
    </row>
    <row r="32" spans="1:63" ht="15" customHeight="1" x14ac:dyDescent="0.25">
      <c r="A32" s="144"/>
      <c r="B32" s="126"/>
      <c r="C32" s="127"/>
      <c r="D32" s="127"/>
      <c r="E32" s="127"/>
      <c r="F32" s="127"/>
      <c r="G32" s="128"/>
      <c r="H32" s="126"/>
      <c r="I32" s="127"/>
      <c r="J32" s="127"/>
      <c r="K32" s="127"/>
      <c r="L32" s="127"/>
      <c r="M32" s="127"/>
      <c r="N32" s="128"/>
      <c r="O32" s="126"/>
      <c r="P32" s="127"/>
      <c r="Q32" s="127"/>
      <c r="R32" s="127"/>
      <c r="S32" s="175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7"/>
      <c r="AX32" s="178"/>
      <c r="AY32" s="178"/>
      <c r="AZ32" s="178"/>
      <c r="BA32" s="178"/>
      <c r="BB32" s="178"/>
      <c r="BC32" s="179"/>
      <c r="BD32" s="180"/>
      <c r="BE32" s="178"/>
      <c r="BF32" s="178"/>
      <c r="BG32" s="178"/>
      <c r="BH32" s="178"/>
      <c r="BI32" s="178"/>
      <c r="BJ32" s="179"/>
      <c r="BK32" s="145"/>
    </row>
    <row r="33" spans="1:63" ht="15" customHeight="1" x14ac:dyDescent="0.25">
      <c r="A33" s="144"/>
      <c r="B33" s="116"/>
      <c r="C33" s="114"/>
      <c r="D33" s="114"/>
      <c r="E33" s="114"/>
      <c r="F33" s="114"/>
      <c r="G33" s="115"/>
      <c r="H33" s="116"/>
      <c r="I33" s="114"/>
      <c r="J33" s="114"/>
      <c r="K33" s="114"/>
      <c r="L33" s="114"/>
      <c r="M33" s="114"/>
      <c r="N33" s="115"/>
      <c r="O33" s="116"/>
      <c r="P33" s="114"/>
      <c r="Q33" s="114"/>
      <c r="R33" s="114"/>
      <c r="S33" s="169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1"/>
      <c r="AX33" s="172"/>
      <c r="AY33" s="172"/>
      <c r="AZ33" s="172"/>
      <c r="BA33" s="172"/>
      <c r="BB33" s="172"/>
      <c r="BC33" s="173"/>
      <c r="BD33" s="174"/>
      <c r="BE33" s="172"/>
      <c r="BF33" s="172"/>
      <c r="BG33" s="172"/>
      <c r="BH33" s="172"/>
      <c r="BI33" s="172"/>
      <c r="BJ33" s="173"/>
      <c r="BK33" s="145"/>
    </row>
    <row r="34" spans="1:63" ht="15" customHeight="1" x14ac:dyDescent="0.25">
      <c r="A34" s="144"/>
      <c r="B34" s="126"/>
      <c r="C34" s="127"/>
      <c r="D34" s="127"/>
      <c r="E34" s="127"/>
      <c r="F34" s="127"/>
      <c r="G34" s="128"/>
      <c r="H34" s="126"/>
      <c r="I34" s="127"/>
      <c r="J34" s="127"/>
      <c r="K34" s="127"/>
      <c r="L34" s="127"/>
      <c r="M34" s="127"/>
      <c r="N34" s="128"/>
      <c r="O34" s="126"/>
      <c r="P34" s="127"/>
      <c r="Q34" s="127"/>
      <c r="R34" s="127"/>
      <c r="S34" s="175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6"/>
      <c r="AQ34" s="176"/>
      <c r="AR34" s="176"/>
      <c r="AS34" s="176"/>
      <c r="AT34" s="176"/>
      <c r="AU34" s="176"/>
      <c r="AV34" s="176"/>
      <c r="AW34" s="177"/>
      <c r="AX34" s="178"/>
      <c r="AY34" s="178"/>
      <c r="AZ34" s="178"/>
      <c r="BA34" s="178"/>
      <c r="BB34" s="178"/>
      <c r="BC34" s="179"/>
      <c r="BD34" s="180"/>
      <c r="BE34" s="178"/>
      <c r="BF34" s="178"/>
      <c r="BG34" s="178"/>
      <c r="BH34" s="178"/>
      <c r="BI34" s="178"/>
      <c r="BJ34" s="179"/>
      <c r="BK34" s="145"/>
    </row>
    <row r="35" spans="1:63" ht="15" customHeight="1" x14ac:dyDescent="0.25">
      <c r="A35" s="144"/>
      <c r="B35" s="116"/>
      <c r="C35" s="114"/>
      <c r="D35" s="114"/>
      <c r="E35" s="114"/>
      <c r="F35" s="114"/>
      <c r="G35" s="115"/>
      <c r="H35" s="116"/>
      <c r="I35" s="114"/>
      <c r="J35" s="114"/>
      <c r="K35" s="114"/>
      <c r="L35" s="114"/>
      <c r="M35" s="114"/>
      <c r="N35" s="115"/>
      <c r="O35" s="116"/>
      <c r="P35" s="114"/>
      <c r="Q35" s="114"/>
      <c r="R35" s="114"/>
      <c r="S35" s="169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1"/>
      <c r="AX35" s="172"/>
      <c r="AY35" s="172"/>
      <c r="AZ35" s="172"/>
      <c r="BA35" s="172"/>
      <c r="BB35" s="172"/>
      <c r="BC35" s="173"/>
      <c r="BD35" s="174"/>
      <c r="BE35" s="172"/>
      <c r="BF35" s="172"/>
      <c r="BG35" s="172"/>
      <c r="BH35" s="172"/>
      <c r="BI35" s="172"/>
      <c r="BJ35" s="173"/>
      <c r="BK35" s="145"/>
    </row>
    <row r="36" spans="1:63" ht="15" customHeight="1" x14ac:dyDescent="0.25">
      <c r="A36" s="144"/>
      <c r="B36" s="126"/>
      <c r="C36" s="127"/>
      <c r="D36" s="127"/>
      <c r="E36" s="127"/>
      <c r="F36" s="127"/>
      <c r="G36" s="128"/>
      <c r="H36" s="126"/>
      <c r="I36" s="127"/>
      <c r="J36" s="127"/>
      <c r="K36" s="127"/>
      <c r="L36" s="127"/>
      <c r="M36" s="127"/>
      <c r="N36" s="128"/>
      <c r="O36" s="126"/>
      <c r="P36" s="127"/>
      <c r="Q36" s="127"/>
      <c r="R36" s="127"/>
      <c r="S36" s="175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7"/>
      <c r="AX36" s="178"/>
      <c r="AY36" s="178"/>
      <c r="AZ36" s="178"/>
      <c r="BA36" s="178"/>
      <c r="BB36" s="178"/>
      <c r="BC36" s="179"/>
      <c r="BD36" s="180"/>
      <c r="BE36" s="178"/>
      <c r="BF36" s="178"/>
      <c r="BG36" s="178"/>
      <c r="BH36" s="178"/>
      <c r="BI36" s="178"/>
      <c r="BJ36" s="179"/>
      <c r="BK36" s="145"/>
    </row>
    <row r="37" spans="1:63" ht="15" customHeight="1" x14ac:dyDescent="0.25">
      <c r="A37" s="144"/>
      <c r="B37" s="116"/>
      <c r="C37" s="114"/>
      <c r="D37" s="114"/>
      <c r="E37" s="114"/>
      <c r="F37" s="114"/>
      <c r="G37" s="115"/>
      <c r="H37" s="116"/>
      <c r="I37" s="114"/>
      <c r="J37" s="114"/>
      <c r="K37" s="114"/>
      <c r="L37" s="114"/>
      <c r="M37" s="114"/>
      <c r="N37" s="115"/>
      <c r="O37" s="116"/>
      <c r="P37" s="114"/>
      <c r="Q37" s="114"/>
      <c r="R37" s="114"/>
      <c r="S37" s="169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1"/>
      <c r="AX37" s="172"/>
      <c r="AY37" s="172"/>
      <c r="AZ37" s="172"/>
      <c r="BA37" s="172"/>
      <c r="BB37" s="172"/>
      <c r="BC37" s="173"/>
      <c r="BD37" s="174"/>
      <c r="BE37" s="172"/>
      <c r="BF37" s="172"/>
      <c r="BG37" s="172"/>
      <c r="BH37" s="172"/>
      <c r="BI37" s="172"/>
      <c r="BJ37" s="173"/>
      <c r="BK37" s="145"/>
    </row>
    <row r="38" spans="1:63" ht="15" customHeight="1" x14ac:dyDescent="0.25">
      <c r="A38" s="144"/>
      <c r="B38" s="126"/>
      <c r="C38" s="127"/>
      <c r="D38" s="127"/>
      <c r="E38" s="127"/>
      <c r="F38" s="127"/>
      <c r="G38" s="128"/>
      <c r="H38" s="126"/>
      <c r="I38" s="127"/>
      <c r="J38" s="127"/>
      <c r="K38" s="127"/>
      <c r="L38" s="127"/>
      <c r="M38" s="127"/>
      <c r="N38" s="128"/>
      <c r="O38" s="126"/>
      <c r="P38" s="127"/>
      <c r="Q38" s="127"/>
      <c r="R38" s="127"/>
      <c r="S38" s="175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6"/>
      <c r="AQ38" s="176"/>
      <c r="AR38" s="176"/>
      <c r="AS38" s="176"/>
      <c r="AT38" s="176"/>
      <c r="AU38" s="176"/>
      <c r="AV38" s="176"/>
      <c r="AW38" s="177"/>
      <c r="AX38" s="178"/>
      <c r="AY38" s="178"/>
      <c r="AZ38" s="178"/>
      <c r="BA38" s="178"/>
      <c r="BB38" s="178"/>
      <c r="BC38" s="179"/>
      <c r="BD38" s="180"/>
      <c r="BE38" s="178"/>
      <c r="BF38" s="178"/>
      <c r="BG38" s="178"/>
      <c r="BH38" s="178"/>
      <c r="BI38" s="178"/>
      <c r="BJ38" s="179"/>
      <c r="BK38" s="145"/>
    </row>
    <row r="39" spans="1:63" ht="15" customHeight="1" x14ac:dyDescent="0.25">
      <c r="A39" s="144"/>
      <c r="B39" s="116"/>
      <c r="C39" s="114"/>
      <c r="D39" s="114"/>
      <c r="E39" s="114"/>
      <c r="F39" s="114"/>
      <c r="G39" s="115"/>
      <c r="H39" s="116"/>
      <c r="I39" s="114"/>
      <c r="J39" s="114"/>
      <c r="K39" s="114"/>
      <c r="L39" s="114"/>
      <c r="M39" s="114"/>
      <c r="N39" s="115"/>
      <c r="O39" s="116"/>
      <c r="P39" s="114"/>
      <c r="Q39" s="114"/>
      <c r="R39" s="114"/>
      <c r="S39" s="169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1"/>
      <c r="AX39" s="172"/>
      <c r="AY39" s="172"/>
      <c r="AZ39" s="172"/>
      <c r="BA39" s="172"/>
      <c r="BB39" s="172"/>
      <c r="BC39" s="173"/>
      <c r="BD39" s="174"/>
      <c r="BE39" s="172"/>
      <c r="BF39" s="172"/>
      <c r="BG39" s="172"/>
      <c r="BH39" s="172"/>
      <c r="BI39" s="172"/>
      <c r="BJ39" s="173"/>
      <c r="BK39" s="145"/>
    </row>
    <row r="40" spans="1:63" ht="15" customHeight="1" x14ac:dyDescent="0.25">
      <c r="A40" s="144"/>
      <c r="B40" s="126"/>
      <c r="C40" s="127"/>
      <c r="D40" s="127"/>
      <c r="E40" s="127"/>
      <c r="F40" s="127"/>
      <c r="G40" s="128"/>
      <c r="H40" s="126"/>
      <c r="I40" s="127"/>
      <c r="J40" s="127"/>
      <c r="K40" s="127"/>
      <c r="L40" s="127"/>
      <c r="M40" s="127"/>
      <c r="N40" s="128"/>
      <c r="O40" s="126"/>
      <c r="P40" s="127"/>
      <c r="Q40" s="127"/>
      <c r="R40" s="127"/>
      <c r="S40" s="175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6"/>
      <c r="AQ40" s="176"/>
      <c r="AR40" s="176"/>
      <c r="AS40" s="176"/>
      <c r="AT40" s="176"/>
      <c r="AU40" s="176"/>
      <c r="AV40" s="176"/>
      <c r="AW40" s="177"/>
      <c r="AX40" s="178"/>
      <c r="AY40" s="178"/>
      <c r="AZ40" s="178"/>
      <c r="BA40" s="178"/>
      <c r="BB40" s="178"/>
      <c r="BC40" s="179"/>
      <c r="BD40" s="180"/>
      <c r="BE40" s="178"/>
      <c r="BF40" s="178"/>
      <c r="BG40" s="178"/>
      <c r="BH40" s="178"/>
      <c r="BI40" s="178"/>
      <c r="BJ40" s="179"/>
      <c r="BK40" s="145"/>
    </row>
    <row r="41" spans="1:63" ht="15" customHeight="1" x14ac:dyDescent="0.25">
      <c r="A41" s="144"/>
      <c r="B41" s="116"/>
      <c r="C41" s="114"/>
      <c r="D41" s="114"/>
      <c r="E41" s="114"/>
      <c r="F41" s="114"/>
      <c r="G41" s="115"/>
      <c r="H41" s="116"/>
      <c r="I41" s="114"/>
      <c r="J41" s="114"/>
      <c r="K41" s="114"/>
      <c r="L41" s="114"/>
      <c r="M41" s="114"/>
      <c r="N41" s="115"/>
      <c r="O41" s="116"/>
      <c r="P41" s="114"/>
      <c r="Q41" s="114"/>
      <c r="R41" s="114"/>
      <c r="S41" s="169"/>
      <c r="T41" s="170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  <c r="AH41" s="170"/>
      <c r="AI41" s="170"/>
      <c r="AJ41" s="170"/>
      <c r="AK41" s="170"/>
      <c r="AL41" s="170"/>
      <c r="AM41" s="170"/>
      <c r="AN41" s="170"/>
      <c r="AO41" s="170"/>
      <c r="AP41" s="170"/>
      <c r="AQ41" s="170"/>
      <c r="AR41" s="170"/>
      <c r="AS41" s="170"/>
      <c r="AT41" s="170"/>
      <c r="AU41" s="170"/>
      <c r="AV41" s="170"/>
      <c r="AW41" s="171"/>
      <c r="AX41" s="172"/>
      <c r="AY41" s="172"/>
      <c r="AZ41" s="172"/>
      <c r="BA41" s="172"/>
      <c r="BB41" s="172"/>
      <c r="BC41" s="173"/>
      <c r="BD41" s="174"/>
      <c r="BE41" s="172"/>
      <c r="BF41" s="172"/>
      <c r="BG41" s="172"/>
      <c r="BH41" s="172"/>
      <c r="BI41" s="172"/>
      <c r="BJ41" s="173"/>
      <c r="BK41" s="145"/>
    </row>
    <row r="42" spans="1:63" ht="15" customHeight="1" x14ac:dyDescent="0.25">
      <c r="A42" s="144"/>
      <c r="B42" s="126"/>
      <c r="C42" s="127"/>
      <c r="D42" s="127"/>
      <c r="E42" s="127"/>
      <c r="F42" s="127"/>
      <c r="G42" s="128"/>
      <c r="H42" s="126"/>
      <c r="I42" s="127"/>
      <c r="J42" s="127"/>
      <c r="K42" s="127"/>
      <c r="L42" s="127"/>
      <c r="M42" s="127"/>
      <c r="N42" s="128"/>
      <c r="O42" s="126"/>
      <c r="P42" s="127"/>
      <c r="Q42" s="127"/>
      <c r="R42" s="127"/>
      <c r="S42" s="175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6"/>
      <c r="AQ42" s="176"/>
      <c r="AR42" s="176"/>
      <c r="AS42" s="176"/>
      <c r="AT42" s="176"/>
      <c r="AU42" s="176"/>
      <c r="AV42" s="176"/>
      <c r="AW42" s="177"/>
      <c r="AX42" s="178"/>
      <c r="AY42" s="178"/>
      <c r="AZ42" s="178"/>
      <c r="BA42" s="178"/>
      <c r="BB42" s="178"/>
      <c r="BC42" s="179"/>
      <c r="BD42" s="180"/>
      <c r="BE42" s="178"/>
      <c r="BF42" s="178"/>
      <c r="BG42" s="178"/>
      <c r="BH42" s="178"/>
      <c r="BI42" s="178"/>
      <c r="BJ42" s="179"/>
      <c r="BK42" s="145"/>
    </row>
    <row r="43" spans="1:63" ht="15" customHeight="1" x14ac:dyDescent="0.25">
      <c r="A43" s="144"/>
      <c r="B43" s="116"/>
      <c r="C43" s="114"/>
      <c r="D43" s="114"/>
      <c r="E43" s="114"/>
      <c r="F43" s="114"/>
      <c r="G43" s="115"/>
      <c r="H43" s="116"/>
      <c r="I43" s="114"/>
      <c r="J43" s="114"/>
      <c r="K43" s="114"/>
      <c r="L43" s="114"/>
      <c r="M43" s="114"/>
      <c r="N43" s="115"/>
      <c r="O43" s="116"/>
      <c r="P43" s="114"/>
      <c r="Q43" s="114"/>
      <c r="R43" s="114"/>
      <c r="S43" s="169"/>
      <c r="T43" s="170"/>
      <c r="U43" s="170"/>
      <c r="V43" s="170"/>
      <c r="W43" s="170"/>
      <c r="X43" s="170"/>
      <c r="Y43" s="170"/>
      <c r="Z43" s="170"/>
      <c r="AA43" s="170"/>
      <c r="AB43" s="170"/>
      <c r="AC43" s="170"/>
      <c r="AD43" s="170"/>
      <c r="AE43" s="170"/>
      <c r="AF43" s="170"/>
      <c r="AG43" s="170"/>
      <c r="AH43" s="170"/>
      <c r="AI43" s="170"/>
      <c r="AJ43" s="170"/>
      <c r="AK43" s="170"/>
      <c r="AL43" s="170"/>
      <c r="AM43" s="170"/>
      <c r="AN43" s="170"/>
      <c r="AO43" s="170"/>
      <c r="AP43" s="170"/>
      <c r="AQ43" s="170"/>
      <c r="AR43" s="170"/>
      <c r="AS43" s="170"/>
      <c r="AT43" s="170"/>
      <c r="AU43" s="170"/>
      <c r="AV43" s="170"/>
      <c r="AW43" s="171"/>
      <c r="AX43" s="172"/>
      <c r="AY43" s="172"/>
      <c r="AZ43" s="172"/>
      <c r="BA43" s="172"/>
      <c r="BB43" s="172"/>
      <c r="BC43" s="173"/>
      <c r="BD43" s="174"/>
      <c r="BE43" s="172"/>
      <c r="BF43" s="172"/>
      <c r="BG43" s="172"/>
      <c r="BH43" s="172"/>
      <c r="BI43" s="172"/>
      <c r="BJ43" s="173"/>
      <c r="BK43" s="145"/>
    </row>
    <row r="44" spans="1:63" ht="15" customHeight="1" x14ac:dyDescent="0.25">
      <c r="A44" s="144"/>
      <c r="B44" s="126"/>
      <c r="C44" s="127"/>
      <c r="D44" s="127"/>
      <c r="E44" s="127"/>
      <c r="F44" s="127"/>
      <c r="G44" s="128"/>
      <c r="H44" s="126"/>
      <c r="I44" s="127"/>
      <c r="J44" s="127"/>
      <c r="K44" s="127"/>
      <c r="L44" s="127"/>
      <c r="M44" s="127"/>
      <c r="N44" s="128"/>
      <c r="O44" s="126"/>
      <c r="P44" s="127"/>
      <c r="Q44" s="127"/>
      <c r="R44" s="127"/>
      <c r="S44" s="175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  <c r="AR44" s="176"/>
      <c r="AS44" s="176"/>
      <c r="AT44" s="176"/>
      <c r="AU44" s="176"/>
      <c r="AV44" s="176"/>
      <c r="AW44" s="177"/>
      <c r="AX44" s="178"/>
      <c r="AY44" s="178"/>
      <c r="AZ44" s="178"/>
      <c r="BA44" s="178"/>
      <c r="BB44" s="178"/>
      <c r="BC44" s="179"/>
      <c r="BD44" s="180"/>
      <c r="BE44" s="178"/>
      <c r="BF44" s="178"/>
      <c r="BG44" s="178"/>
      <c r="BH44" s="178"/>
      <c r="BI44" s="178"/>
      <c r="BJ44" s="179"/>
      <c r="BK44" s="145"/>
    </row>
    <row r="45" spans="1:63" ht="15" customHeight="1" x14ac:dyDescent="0.25">
      <c r="A45" s="144"/>
      <c r="B45" s="116"/>
      <c r="C45" s="114"/>
      <c r="D45" s="114"/>
      <c r="E45" s="114"/>
      <c r="F45" s="114"/>
      <c r="G45" s="115"/>
      <c r="H45" s="116"/>
      <c r="I45" s="114"/>
      <c r="J45" s="114"/>
      <c r="K45" s="114"/>
      <c r="L45" s="114"/>
      <c r="M45" s="114"/>
      <c r="N45" s="115"/>
      <c r="O45" s="116"/>
      <c r="P45" s="114"/>
      <c r="Q45" s="114"/>
      <c r="R45" s="114"/>
      <c r="S45" s="169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  <c r="AV45" s="170"/>
      <c r="AW45" s="171"/>
      <c r="AX45" s="172"/>
      <c r="AY45" s="172"/>
      <c r="AZ45" s="172"/>
      <c r="BA45" s="172"/>
      <c r="BB45" s="172"/>
      <c r="BC45" s="173"/>
      <c r="BD45" s="174"/>
      <c r="BE45" s="172"/>
      <c r="BF45" s="172"/>
      <c r="BG45" s="172"/>
      <c r="BH45" s="172"/>
      <c r="BI45" s="172"/>
      <c r="BJ45" s="173"/>
      <c r="BK45" s="145"/>
    </row>
    <row r="46" spans="1:63" ht="15" customHeight="1" x14ac:dyDescent="0.25">
      <c r="A46" s="144"/>
      <c r="B46" s="126"/>
      <c r="C46" s="127"/>
      <c r="D46" s="127"/>
      <c r="E46" s="127"/>
      <c r="F46" s="127"/>
      <c r="G46" s="128"/>
      <c r="H46" s="126"/>
      <c r="I46" s="127"/>
      <c r="J46" s="127"/>
      <c r="K46" s="127"/>
      <c r="L46" s="127"/>
      <c r="M46" s="127"/>
      <c r="N46" s="128"/>
      <c r="O46" s="126"/>
      <c r="P46" s="127"/>
      <c r="Q46" s="127"/>
      <c r="R46" s="127"/>
      <c r="S46" s="175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  <c r="AR46" s="176"/>
      <c r="AS46" s="176"/>
      <c r="AT46" s="176"/>
      <c r="AU46" s="176"/>
      <c r="AV46" s="176"/>
      <c r="AW46" s="177"/>
      <c r="AX46" s="178"/>
      <c r="AY46" s="178"/>
      <c r="AZ46" s="178"/>
      <c r="BA46" s="178"/>
      <c r="BB46" s="178"/>
      <c r="BC46" s="179"/>
      <c r="BD46" s="180"/>
      <c r="BE46" s="178"/>
      <c r="BF46" s="178"/>
      <c r="BG46" s="178"/>
      <c r="BH46" s="178"/>
      <c r="BI46" s="178"/>
      <c r="BJ46" s="179"/>
      <c r="BK46" s="145"/>
    </row>
    <row r="47" spans="1:63" ht="15" customHeight="1" x14ac:dyDescent="0.25">
      <c r="A47" s="144"/>
      <c r="B47" s="116"/>
      <c r="C47" s="114"/>
      <c r="D47" s="114"/>
      <c r="E47" s="114"/>
      <c r="F47" s="114"/>
      <c r="G47" s="115"/>
      <c r="H47" s="116"/>
      <c r="I47" s="114"/>
      <c r="J47" s="114"/>
      <c r="K47" s="114"/>
      <c r="L47" s="114"/>
      <c r="M47" s="114"/>
      <c r="N47" s="115"/>
      <c r="O47" s="116"/>
      <c r="P47" s="114"/>
      <c r="Q47" s="114"/>
      <c r="R47" s="114"/>
      <c r="S47" s="169"/>
      <c r="T47" s="170"/>
      <c r="U47" s="170"/>
      <c r="V47" s="170"/>
      <c r="W47" s="170"/>
      <c r="X47" s="170"/>
      <c r="Y47" s="170"/>
      <c r="Z47" s="170"/>
      <c r="AA47" s="170"/>
      <c r="AB47" s="170"/>
      <c r="AC47" s="170"/>
      <c r="AD47" s="170"/>
      <c r="AE47" s="170"/>
      <c r="AF47" s="170"/>
      <c r="AG47" s="170"/>
      <c r="AH47" s="170"/>
      <c r="AI47" s="170"/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  <c r="AV47" s="170"/>
      <c r="AW47" s="171"/>
      <c r="AX47" s="172"/>
      <c r="AY47" s="172"/>
      <c r="AZ47" s="172"/>
      <c r="BA47" s="172"/>
      <c r="BB47" s="172"/>
      <c r="BC47" s="173"/>
      <c r="BD47" s="174"/>
      <c r="BE47" s="172"/>
      <c r="BF47" s="172"/>
      <c r="BG47" s="172"/>
      <c r="BH47" s="172"/>
      <c r="BI47" s="172"/>
      <c r="BJ47" s="173"/>
      <c r="BK47" s="145"/>
    </row>
    <row r="48" spans="1:63" ht="15" customHeight="1" x14ac:dyDescent="0.25">
      <c r="A48" s="144"/>
      <c r="B48" s="126"/>
      <c r="C48" s="127"/>
      <c r="D48" s="127"/>
      <c r="E48" s="127"/>
      <c r="F48" s="127"/>
      <c r="G48" s="128"/>
      <c r="H48" s="126"/>
      <c r="I48" s="127"/>
      <c r="J48" s="127"/>
      <c r="K48" s="127"/>
      <c r="L48" s="127"/>
      <c r="M48" s="127"/>
      <c r="N48" s="128"/>
      <c r="O48" s="126"/>
      <c r="P48" s="127"/>
      <c r="Q48" s="127"/>
      <c r="R48" s="127"/>
      <c r="S48" s="175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  <c r="AQ48" s="176"/>
      <c r="AR48" s="176"/>
      <c r="AS48" s="176"/>
      <c r="AT48" s="176"/>
      <c r="AU48" s="176"/>
      <c r="AV48" s="176"/>
      <c r="AW48" s="177"/>
      <c r="AX48" s="178"/>
      <c r="AY48" s="178"/>
      <c r="AZ48" s="178"/>
      <c r="BA48" s="178"/>
      <c r="BB48" s="178"/>
      <c r="BC48" s="179"/>
      <c r="BD48" s="180"/>
      <c r="BE48" s="178"/>
      <c r="BF48" s="178"/>
      <c r="BG48" s="178"/>
      <c r="BH48" s="178"/>
      <c r="BI48" s="178"/>
      <c r="BJ48" s="179"/>
      <c r="BK48" s="145"/>
    </row>
    <row r="49" spans="1:63" ht="15" customHeight="1" x14ac:dyDescent="0.25">
      <c r="A49" s="144"/>
      <c r="B49" s="116"/>
      <c r="C49" s="114"/>
      <c r="D49" s="114"/>
      <c r="E49" s="114"/>
      <c r="F49" s="114"/>
      <c r="G49" s="115"/>
      <c r="H49" s="116"/>
      <c r="I49" s="114"/>
      <c r="J49" s="114"/>
      <c r="K49" s="114"/>
      <c r="L49" s="114"/>
      <c r="M49" s="114"/>
      <c r="N49" s="115"/>
      <c r="O49" s="116"/>
      <c r="P49" s="114"/>
      <c r="Q49" s="114"/>
      <c r="R49" s="114"/>
      <c r="S49" s="169"/>
      <c r="T49" s="170"/>
      <c r="U49" s="170"/>
      <c r="V49" s="170"/>
      <c r="W49" s="170"/>
      <c r="X49" s="170"/>
      <c r="Y49" s="170"/>
      <c r="Z49" s="170"/>
      <c r="AA49" s="170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1"/>
      <c r="AX49" s="172"/>
      <c r="AY49" s="172"/>
      <c r="AZ49" s="172"/>
      <c r="BA49" s="172"/>
      <c r="BB49" s="172"/>
      <c r="BC49" s="173"/>
      <c r="BD49" s="174"/>
      <c r="BE49" s="172"/>
      <c r="BF49" s="172"/>
      <c r="BG49" s="172"/>
      <c r="BH49" s="172"/>
      <c r="BI49" s="172"/>
      <c r="BJ49" s="173"/>
      <c r="BK49" s="145"/>
    </row>
    <row r="50" spans="1:63" ht="15" customHeight="1" x14ac:dyDescent="0.25">
      <c r="A50" s="144"/>
      <c r="B50" s="126"/>
      <c r="C50" s="127"/>
      <c r="D50" s="127"/>
      <c r="E50" s="127"/>
      <c r="F50" s="127"/>
      <c r="G50" s="128"/>
      <c r="H50" s="126"/>
      <c r="I50" s="127"/>
      <c r="J50" s="127"/>
      <c r="K50" s="127"/>
      <c r="L50" s="127"/>
      <c r="M50" s="127"/>
      <c r="N50" s="128"/>
      <c r="O50" s="126"/>
      <c r="P50" s="127"/>
      <c r="Q50" s="127"/>
      <c r="R50" s="127"/>
      <c r="S50" s="175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  <c r="AQ50" s="176"/>
      <c r="AR50" s="176"/>
      <c r="AS50" s="176"/>
      <c r="AT50" s="176"/>
      <c r="AU50" s="176"/>
      <c r="AV50" s="176"/>
      <c r="AW50" s="177"/>
      <c r="AX50" s="178"/>
      <c r="AY50" s="178"/>
      <c r="AZ50" s="178"/>
      <c r="BA50" s="178"/>
      <c r="BB50" s="178"/>
      <c r="BC50" s="179"/>
      <c r="BD50" s="180"/>
      <c r="BE50" s="178"/>
      <c r="BF50" s="178"/>
      <c r="BG50" s="178"/>
      <c r="BH50" s="178"/>
      <c r="BI50" s="178"/>
      <c r="BJ50" s="179"/>
      <c r="BK50" s="145"/>
    </row>
    <row r="51" spans="1:63" ht="15" customHeight="1" x14ac:dyDescent="0.25">
      <c r="A51" s="144"/>
      <c r="B51" s="116"/>
      <c r="C51" s="114"/>
      <c r="D51" s="114"/>
      <c r="E51" s="114"/>
      <c r="F51" s="114"/>
      <c r="G51" s="115"/>
      <c r="H51" s="116"/>
      <c r="I51" s="114"/>
      <c r="J51" s="114"/>
      <c r="K51" s="114"/>
      <c r="L51" s="114"/>
      <c r="M51" s="114"/>
      <c r="N51" s="115"/>
      <c r="O51" s="116"/>
      <c r="P51" s="114"/>
      <c r="Q51" s="114"/>
      <c r="R51" s="114"/>
      <c r="S51" s="169"/>
      <c r="T51" s="170"/>
      <c r="U51" s="170"/>
      <c r="V51" s="170"/>
      <c r="W51" s="170"/>
      <c r="X51" s="170"/>
      <c r="Y51" s="170"/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1"/>
      <c r="AX51" s="172"/>
      <c r="AY51" s="172"/>
      <c r="AZ51" s="172"/>
      <c r="BA51" s="172"/>
      <c r="BB51" s="172"/>
      <c r="BC51" s="173"/>
      <c r="BD51" s="174"/>
      <c r="BE51" s="172"/>
      <c r="BF51" s="172"/>
      <c r="BG51" s="172"/>
      <c r="BH51" s="172"/>
      <c r="BI51" s="172"/>
      <c r="BJ51" s="173"/>
      <c r="BK51" s="145"/>
    </row>
    <row r="52" spans="1:63" ht="15" customHeight="1" x14ac:dyDescent="0.25">
      <c r="A52" s="144"/>
      <c r="B52" s="126"/>
      <c r="C52" s="127"/>
      <c r="D52" s="127"/>
      <c r="E52" s="127"/>
      <c r="F52" s="127"/>
      <c r="G52" s="128"/>
      <c r="H52" s="126"/>
      <c r="I52" s="127"/>
      <c r="J52" s="127"/>
      <c r="K52" s="127"/>
      <c r="L52" s="127"/>
      <c r="M52" s="127"/>
      <c r="N52" s="128"/>
      <c r="O52" s="126"/>
      <c r="P52" s="127"/>
      <c r="Q52" s="127"/>
      <c r="R52" s="127"/>
      <c r="S52" s="175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  <c r="AQ52" s="176"/>
      <c r="AR52" s="176"/>
      <c r="AS52" s="176"/>
      <c r="AT52" s="176"/>
      <c r="AU52" s="176"/>
      <c r="AV52" s="176"/>
      <c r="AW52" s="177"/>
      <c r="AX52" s="178"/>
      <c r="AY52" s="178"/>
      <c r="AZ52" s="178"/>
      <c r="BA52" s="178"/>
      <c r="BB52" s="178"/>
      <c r="BC52" s="179"/>
      <c r="BD52" s="180"/>
      <c r="BE52" s="178"/>
      <c r="BF52" s="178"/>
      <c r="BG52" s="178"/>
      <c r="BH52" s="178"/>
      <c r="BI52" s="178"/>
      <c r="BJ52" s="179"/>
      <c r="BK52" s="145"/>
    </row>
    <row r="53" spans="1:63" ht="15" customHeight="1" x14ac:dyDescent="0.25">
      <c r="A53" s="144"/>
      <c r="B53" s="116"/>
      <c r="C53" s="114"/>
      <c r="D53" s="114"/>
      <c r="E53" s="114"/>
      <c r="F53" s="114"/>
      <c r="G53" s="115"/>
      <c r="H53" s="116"/>
      <c r="I53" s="114"/>
      <c r="J53" s="114"/>
      <c r="K53" s="114"/>
      <c r="L53" s="114"/>
      <c r="M53" s="114"/>
      <c r="N53" s="115"/>
      <c r="O53" s="116"/>
      <c r="P53" s="114"/>
      <c r="Q53" s="114"/>
      <c r="R53" s="114"/>
      <c r="S53" s="169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1"/>
      <c r="AX53" s="172"/>
      <c r="AY53" s="172"/>
      <c r="AZ53" s="172"/>
      <c r="BA53" s="172"/>
      <c r="BB53" s="172"/>
      <c r="BC53" s="173"/>
      <c r="BD53" s="174"/>
      <c r="BE53" s="172"/>
      <c r="BF53" s="172"/>
      <c r="BG53" s="172"/>
      <c r="BH53" s="172"/>
      <c r="BI53" s="172"/>
      <c r="BJ53" s="173"/>
      <c r="BK53" s="145"/>
    </row>
    <row r="54" spans="1:63" ht="15" customHeight="1" x14ac:dyDescent="0.25">
      <c r="A54" s="144"/>
      <c r="B54" s="126"/>
      <c r="C54" s="127"/>
      <c r="D54" s="127"/>
      <c r="E54" s="127"/>
      <c r="F54" s="127"/>
      <c r="G54" s="128"/>
      <c r="H54" s="126"/>
      <c r="I54" s="127"/>
      <c r="J54" s="127"/>
      <c r="K54" s="127"/>
      <c r="L54" s="127"/>
      <c r="M54" s="127"/>
      <c r="N54" s="128"/>
      <c r="O54" s="126"/>
      <c r="P54" s="127"/>
      <c r="Q54" s="127"/>
      <c r="R54" s="127"/>
      <c r="S54" s="175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6"/>
      <c r="AR54" s="176"/>
      <c r="AS54" s="176"/>
      <c r="AT54" s="176"/>
      <c r="AU54" s="176"/>
      <c r="AV54" s="176"/>
      <c r="AW54" s="177"/>
      <c r="AX54" s="178"/>
      <c r="AY54" s="178"/>
      <c r="AZ54" s="178"/>
      <c r="BA54" s="178"/>
      <c r="BB54" s="178"/>
      <c r="BC54" s="179"/>
      <c r="BD54" s="180"/>
      <c r="BE54" s="178"/>
      <c r="BF54" s="178"/>
      <c r="BG54" s="178"/>
      <c r="BH54" s="178"/>
      <c r="BI54" s="178"/>
      <c r="BJ54" s="179"/>
      <c r="BK54" s="145"/>
    </row>
    <row r="55" spans="1:63" ht="15" customHeight="1" x14ac:dyDescent="0.25">
      <c r="A55" s="141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  <c r="AZ55" s="142"/>
      <c r="BA55" s="142"/>
      <c r="BB55" s="142"/>
      <c r="BC55" s="142"/>
      <c r="BD55" s="142"/>
      <c r="BE55" s="142"/>
      <c r="BF55" s="142"/>
      <c r="BG55" s="142"/>
      <c r="BH55" s="142"/>
      <c r="BI55" s="142"/>
      <c r="BJ55" s="142"/>
      <c r="BK55" s="143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94" t="s">
        <v>40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41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58" t="str">
        <f>IF(表紙!A2="","",表紙!A2)</f>
        <v>POSサーバー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16" t="str">
        <f>IF(表紙!AP2="","",表紙!AP2)</f>
        <v>DuNT</v>
      </c>
      <c r="AQ2" s="114"/>
      <c r="AR2" s="114"/>
      <c r="AS2" s="115"/>
      <c r="AT2" s="120">
        <f>IF(表紙!AT2="","",表紙!AT2)</f>
        <v>45586</v>
      </c>
      <c r="AU2" s="121"/>
      <c r="AV2" s="121"/>
      <c r="AW2" s="121"/>
      <c r="AX2" s="122"/>
      <c r="AY2" s="116" t="str">
        <f>IF(表紙!AY2="","",表紙!AY2)</f>
        <v>DuNT</v>
      </c>
      <c r="AZ2" s="114"/>
      <c r="BA2" s="114"/>
      <c r="BB2" s="115"/>
      <c r="BC2" s="120">
        <f>IF(表紙!BC2="","",表紙!BC2)</f>
        <v>45615</v>
      </c>
      <c r="BD2" s="121"/>
      <c r="BE2" s="121"/>
      <c r="BF2" s="121"/>
      <c r="BG2" s="122"/>
      <c r="BH2" s="116">
        <f>IF(表紙!BH2="","",表紙!BH2)</f>
        <v>0.12</v>
      </c>
      <c r="BI2" s="114"/>
      <c r="BJ2" s="114"/>
      <c r="BK2" s="115"/>
    </row>
    <row r="3" spans="1:63" ht="15" customHeight="1" x14ac:dyDescent="0.25">
      <c r="A3" s="61"/>
      <c r="B3" s="62"/>
      <c r="C3" s="62"/>
      <c r="D3" s="62"/>
      <c r="E3" s="62"/>
      <c r="F3" s="62"/>
      <c r="G3" s="62"/>
      <c r="H3" s="62"/>
      <c r="I3" s="62"/>
      <c r="J3" s="63"/>
      <c r="K3" s="61"/>
      <c r="L3" s="62"/>
      <c r="M3" s="62"/>
      <c r="N3" s="62"/>
      <c r="O3" s="62"/>
      <c r="P3" s="62"/>
      <c r="Q3" s="62"/>
      <c r="R3" s="62"/>
      <c r="S3" s="62"/>
      <c r="T3" s="62"/>
      <c r="U3" s="62"/>
      <c r="V3" s="63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26"/>
      <c r="BI3" s="127"/>
      <c r="BJ3" s="127"/>
      <c r="BK3" s="128"/>
    </row>
    <row r="4" spans="1:63" ht="24.95" customHeight="1" x14ac:dyDescent="0.25">
      <c r="A4" s="194" t="s">
        <v>49</v>
      </c>
      <c r="B4" s="195"/>
      <c r="C4" s="195"/>
      <c r="D4" s="195"/>
      <c r="E4" s="195"/>
      <c r="F4" s="195"/>
      <c r="G4" s="196"/>
      <c r="H4" s="54" t="str">
        <f>IF(表紙!H4="","",表紙!H4)</f>
        <v>AP0503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194" t="s">
        <v>50</v>
      </c>
      <c r="V4" s="195"/>
      <c r="W4" s="195"/>
      <c r="X4" s="195"/>
      <c r="Y4" s="196"/>
      <c r="Z4" s="54" t="str">
        <f>IF(表紙!Z4="","",表紙!Z4)</f>
        <v>API設計書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7" t="str">
        <f ca="1">MID(CELL("filename",A1),FIND("]",CELL("filename",A1))+1,255)</f>
        <v>処理フロー凡例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13" customFormat="1" ht="15" customHeight="1" x14ac:dyDescent="0.25">
      <c r="A7" s="206"/>
      <c r="B7" s="207" t="s">
        <v>58</v>
      </c>
      <c r="C7" s="208"/>
      <c r="D7" s="208"/>
      <c r="E7" s="208"/>
      <c r="F7" s="208"/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8"/>
      <c r="U7" s="208"/>
      <c r="V7" s="208"/>
      <c r="W7" s="208"/>
      <c r="X7" s="208"/>
      <c r="Y7" s="208"/>
      <c r="Z7" s="208"/>
      <c r="AA7" s="208"/>
      <c r="AB7" s="208"/>
      <c r="AC7" s="208"/>
      <c r="AD7" s="208"/>
      <c r="AE7" s="209"/>
      <c r="AF7" s="210"/>
      <c r="AG7" s="208"/>
      <c r="AH7" s="208"/>
      <c r="AI7" s="208"/>
      <c r="AJ7" s="208"/>
      <c r="AK7" s="208"/>
      <c r="AL7" s="208"/>
      <c r="AM7" s="208"/>
      <c r="AN7" s="208"/>
      <c r="AO7" s="208"/>
      <c r="AP7" s="208"/>
      <c r="AQ7" s="208"/>
      <c r="AR7" s="208"/>
      <c r="AS7" s="208"/>
      <c r="AT7" s="208"/>
      <c r="AU7" s="208"/>
      <c r="AV7" s="208"/>
      <c r="AW7" s="208"/>
      <c r="AX7" s="208"/>
      <c r="AY7" s="208"/>
      <c r="AZ7" s="208"/>
      <c r="BA7" s="208"/>
      <c r="BB7" s="208"/>
      <c r="BC7" s="208"/>
      <c r="BD7" s="208"/>
      <c r="BE7" s="208"/>
      <c r="BF7" s="208"/>
      <c r="BG7" s="208"/>
      <c r="BH7" s="208"/>
      <c r="BI7" s="209"/>
      <c r="BJ7" s="208"/>
      <c r="BK7" s="211"/>
    </row>
    <row r="8" spans="1:63" s="212" customFormat="1" ht="15" customHeight="1" x14ac:dyDescent="0.25">
      <c r="BK8" s="211"/>
    </row>
    <row r="9" spans="1:63" s="212" customFormat="1" ht="15" customHeight="1" x14ac:dyDescent="0.25">
      <c r="BK9" s="211"/>
    </row>
    <row r="10" spans="1:63" s="212" customFormat="1" ht="15" customHeight="1" x14ac:dyDescent="0.25">
      <c r="BK10" s="211"/>
    </row>
    <row r="11" spans="1:63" s="212" customFormat="1" ht="15" customHeight="1" x14ac:dyDescent="0.25">
      <c r="BK11" s="211"/>
    </row>
    <row r="12" spans="1:63" s="212" customFormat="1" ht="15" customHeight="1" x14ac:dyDescent="0.25">
      <c r="BK12" s="211"/>
    </row>
    <row r="13" spans="1:63" s="212" customFormat="1" ht="15" customHeight="1" x14ac:dyDescent="0.25">
      <c r="BK13" s="211"/>
    </row>
    <row r="14" spans="1:63" s="212" customFormat="1" ht="15" customHeight="1" x14ac:dyDescent="0.25">
      <c r="BK14" s="211"/>
    </row>
    <row r="15" spans="1:63" s="212" customFormat="1" ht="15" customHeight="1" x14ac:dyDescent="0.25">
      <c r="BK15" s="211"/>
    </row>
    <row r="16" spans="1:63" s="212" customFormat="1" ht="15" customHeight="1" x14ac:dyDescent="0.25">
      <c r="BK16" s="211"/>
    </row>
    <row r="17" spans="63:63" s="212" customFormat="1" ht="15" customHeight="1" x14ac:dyDescent="0.25">
      <c r="BK17" s="211"/>
    </row>
    <row r="18" spans="63:63" s="212" customFormat="1" ht="15" customHeight="1" x14ac:dyDescent="0.25">
      <c r="BK18" s="211"/>
    </row>
    <row r="19" spans="63:63" s="212" customFormat="1" ht="15" customHeight="1" x14ac:dyDescent="0.25">
      <c r="BK19" s="211"/>
    </row>
    <row r="20" spans="63:63" s="212" customFormat="1" ht="15" customHeight="1" x14ac:dyDescent="0.25">
      <c r="BK20" s="211"/>
    </row>
    <row r="21" spans="63:63" s="212" customFormat="1" ht="15" customHeight="1" x14ac:dyDescent="0.25">
      <c r="BK21" s="211"/>
    </row>
    <row r="22" spans="63:63" s="212" customFormat="1" ht="15" customHeight="1" x14ac:dyDescent="0.25">
      <c r="BK22" s="211"/>
    </row>
    <row r="23" spans="63:63" s="212" customFormat="1" ht="15" customHeight="1" x14ac:dyDescent="0.25">
      <c r="BK23" s="211"/>
    </row>
    <row r="24" spans="63:63" s="212" customFormat="1" ht="15" customHeight="1" x14ac:dyDescent="0.25">
      <c r="BK24" s="211"/>
    </row>
    <row r="25" spans="63:63" s="212" customFormat="1" ht="15" customHeight="1" x14ac:dyDescent="0.25">
      <c r="BK25" s="211"/>
    </row>
    <row r="26" spans="63:63" s="212" customFormat="1" ht="15" customHeight="1" x14ac:dyDescent="0.25">
      <c r="BK26" s="211"/>
    </row>
    <row r="27" spans="63:63" s="212" customFormat="1" ht="15" customHeight="1" x14ac:dyDescent="0.25">
      <c r="BK27" s="211"/>
    </row>
    <row r="28" spans="63:63" s="212" customFormat="1" ht="15" customHeight="1" x14ac:dyDescent="0.25">
      <c r="BK28" s="211"/>
    </row>
    <row r="29" spans="63:63" s="212" customFormat="1" ht="15" customHeight="1" x14ac:dyDescent="0.25">
      <c r="BK29" s="211"/>
    </row>
    <row r="30" spans="63:63" s="212" customFormat="1" ht="15" customHeight="1" x14ac:dyDescent="0.25">
      <c r="BK30" s="211"/>
    </row>
    <row r="31" spans="63:63" s="212" customFormat="1" ht="15" customHeight="1" x14ac:dyDescent="0.25">
      <c r="BK31" s="211"/>
    </row>
    <row r="32" spans="63:63" s="212" customFormat="1" ht="15" customHeight="1" x14ac:dyDescent="0.25">
      <c r="BK32" s="211"/>
    </row>
    <row r="33" spans="63:63" s="212" customFormat="1" ht="15" customHeight="1" x14ac:dyDescent="0.25">
      <c r="BK33" s="211"/>
    </row>
    <row r="34" spans="63:63" s="212" customFormat="1" ht="15" customHeight="1" x14ac:dyDescent="0.25">
      <c r="BK34" s="211"/>
    </row>
    <row r="35" spans="63:63" s="212" customFormat="1" ht="15" customHeight="1" x14ac:dyDescent="0.25">
      <c r="BK35" s="211"/>
    </row>
    <row r="36" spans="63:63" s="212" customFormat="1" ht="15" customHeight="1" x14ac:dyDescent="0.25">
      <c r="BK36" s="211"/>
    </row>
    <row r="37" spans="63:63" s="212" customFormat="1" ht="15" customHeight="1" x14ac:dyDescent="0.25">
      <c r="BK37" s="211"/>
    </row>
    <row r="38" spans="63:63" s="212" customFormat="1" ht="15" customHeight="1" x14ac:dyDescent="0.25">
      <c r="BK38" s="211"/>
    </row>
    <row r="39" spans="63:63" s="212" customFormat="1" ht="15" customHeight="1" x14ac:dyDescent="0.25">
      <c r="BK39" s="211"/>
    </row>
    <row r="40" spans="63:63" s="212" customFormat="1" ht="15" customHeight="1" x14ac:dyDescent="0.25">
      <c r="BK40" s="211"/>
    </row>
    <row r="41" spans="63:63" s="212" customFormat="1" ht="15" customHeight="1" x14ac:dyDescent="0.25">
      <c r="BK41" s="211"/>
    </row>
    <row r="42" spans="63:63" s="212" customFormat="1" ht="15" customHeight="1" x14ac:dyDescent="0.25">
      <c r="BK42" s="211"/>
    </row>
    <row r="43" spans="63:63" s="212" customFormat="1" ht="15" customHeight="1" x14ac:dyDescent="0.25">
      <c r="BK43" s="211"/>
    </row>
    <row r="44" spans="63:63" s="212" customFormat="1" ht="15" customHeight="1" x14ac:dyDescent="0.25">
      <c r="BK44" s="211"/>
    </row>
    <row r="45" spans="63:63" s="212" customFormat="1" ht="15" customHeight="1" x14ac:dyDescent="0.25">
      <c r="BK45" s="211"/>
    </row>
    <row r="46" spans="63:63" s="212" customFormat="1" ht="15" customHeight="1" x14ac:dyDescent="0.25">
      <c r="BK46" s="211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94" t="s">
        <v>40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41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58" t="str">
        <f>IF(表紙!A2="","",表紙!A2)</f>
        <v>POSサーバー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16" t="str">
        <f>IF(表紙!AP2="","",表紙!AP2)</f>
        <v>DuNT</v>
      </c>
      <c r="AQ2" s="114"/>
      <c r="AR2" s="114"/>
      <c r="AS2" s="115"/>
      <c r="AT2" s="120">
        <f>IF(表紙!AT2="","",表紙!AT2)</f>
        <v>45586</v>
      </c>
      <c r="AU2" s="121"/>
      <c r="AV2" s="121"/>
      <c r="AW2" s="121"/>
      <c r="AX2" s="122"/>
      <c r="AY2" s="116" t="str">
        <f>IF(表紙!AY2="","",表紙!AY2)</f>
        <v>DuNT</v>
      </c>
      <c r="AZ2" s="114"/>
      <c r="BA2" s="114"/>
      <c r="BB2" s="115"/>
      <c r="BC2" s="120">
        <f>IF(表紙!BC2="","",表紙!BC2)</f>
        <v>45615</v>
      </c>
      <c r="BD2" s="121"/>
      <c r="BE2" s="121"/>
      <c r="BF2" s="121"/>
      <c r="BG2" s="122"/>
      <c r="BH2" s="116">
        <f>IF(表紙!BH2="","",表紙!BH2)</f>
        <v>0.12</v>
      </c>
      <c r="BI2" s="114"/>
      <c r="BJ2" s="114"/>
      <c r="BK2" s="115"/>
    </row>
    <row r="3" spans="1:63" ht="15" customHeight="1" x14ac:dyDescent="0.25">
      <c r="A3" s="61"/>
      <c r="B3" s="62"/>
      <c r="C3" s="62"/>
      <c r="D3" s="62"/>
      <c r="E3" s="62"/>
      <c r="F3" s="62"/>
      <c r="G3" s="62"/>
      <c r="H3" s="62"/>
      <c r="I3" s="62"/>
      <c r="J3" s="63"/>
      <c r="K3" s="61"/>
      <c r="L3" s="62"/>
      <c r="M3" s="62"/>
      <c r="N3" s="62"/>
      <c r="O3" s="62"/>
      <c r="P3" s="62"/>
      <c r="Q3" s="62"/>
      <c r="R3" s="62"/>
      <c r="S3" s="62"/>
      <c r="T3" s="62"/>
      <c r="U3" s="62"/>
      <c r="V3" s="63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26"/>
      <c r="BI3" s="127"/>
      <c r="BJ3" s="127"/>
      <c r="BK3" s="128"/>
    </row>
    <row r="4" spans="1:63" ht="24.95" customHeight="1" x14ac:dyDescent="0.25">
      <c r="A4" s="194" t="s">
        <v>49</v>
      </c>
      <c r="B4" s="195"/>
      <c r="C4" s="195"/>
      <c r="D4" s="195"/>
      <c r="E4" s="195"/>
      <c r="F4" s="195"/>
      <c r="G4" s="196"/>
      <c r="H4" s="54" t="str">
        <f>IF(表紙!H4="","",表紙!H4)</f>
        <v>AP0503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194" t="s">
        <v>50</v>
      </c>
      <c r="V4" s="195"/>
      <c r="W4" s="195"/>
      <c r="X4" s="195"/>
      <c r="Y4" s="196"/>
      <c r="Z4" s="54" t="str">
        <f>IF(表紙!Z4="","",表紙!Z4)</f>
        <v>API設計書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7" t="str">
        <f ca="1">MID(CELL("filename",A1),FIND("]",CELL("filename",A1))+1,255)</f>
        <v>AP0503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7" customFormat="1" ht="15" customHeight="1" x14ac:dyDescent="0.25">
      <c r="A7" s="12"/>
      <c r="B7" s="13" t="s">
        <v>59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213"/>
      <c r="AQ7" s="213"/>
      <c r="AR7" s="213"/>
      <c r="AS7" s="213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5"/>
      <c r="BI7" s="15"/>
      <c r="BJ7" s="15"/>
      <c r="BK7" s="16"/>
    </row>
    <row r="8" spans="1:63" s="17" customFormat="1" ht="15" customHeight="1" x14ac:dyDescent="0.25">
      <c r="A8" s="12"/>
      <c r="B8" s="18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214"/>
      <c r="AQ8" s="214"/>
      <c r="AR8" s="214"/>
      <c r="AS8" s="214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20"/>
      <c r="BI8" s="20"/>
      <c r="BJ8" s="20"/>
      <c r="BK8" s="16"/>
    </row>
    <row r="9" spans="1:63" s="17" customFormat="1" ht="15" customHeight="1" x14ac:dyDescent="0.25">
      <c r="A9" s="12"/>
      <c r="B9" s="18"/>
      <c r="C9" s="19" t="s">
        <v>33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14"/>
      <c r="AQ9" s="214"/>
      <c r="AR9" s="214"/>
      <c r="AS9" s="214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20"/>
      <c r="BI9" s="20"/>
      <c r="BJ9" s="20"/>
      <c r="BK9" s="16"/>
    </row>
    <row r="10" spans="1:63" s="17" customFormat="1" ht="15" customHeight="1" x14ac:dyDescent="0.25">
      <c r="A10" s="12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20"/>
      <c r="BI10" s="20"/>
      <c r="BJ10" s="20"/>
      <c r="BK10" s="16"/>
    </row>
    <row r="11" spans="1:63" s="17" customFormat="1" ht="15" customHeight="1" x14ac:dyDescent="0.25">
      <c r="A11" s="12"/>
      <c r="B11" s="21" t="s">
        <v>60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5"/>
      <c r="BI11" s="15"/>
      <c r="BJ11" s="15"/>
      <c r="BK11" s="16"/>
    </row>
    <row r="12" spans="1:63" s="17" customFormat="1" ht="15" customHeight="1" x14ac:dyDescent="0.25">
      <c r="A12" s="12"/>
      <c r="B12" s="19"/>
      <c r="C12" s="22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20"/>
      <c r="BI12" s="20"/>
      <c r="BJ12" s="20"/>
      <c r="BK12" s="16"/>
    </row>
    <row r="13" spans="1:63" s="17" customFormat="1" ht="15" customHeight="1" x14ac:dyDescent="0.25">
      <c r="A13" s="12"/>
      <c r="B13" s="19"/>
      <c r="C13" s="22" t="s">
        <v>61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20"/>
      <c r="BI13" s="20"/>
      <c r="BJ13" s="20"/>
      <c r="BK13" s="16"/>
    </row>
    <row r="14" spans="1:63" s="17" customFormat="1" ht="15" customHeight="1" x14ac:dyDescent="0.25">
      <c r="A14" s="12"/>
      <c r="B14" s="19"/>
      <c r="C14" s="18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20"/>
      <c r="BI14" s="20"/>
      <c r="BJ14" s="20"/>
      <c r="BK14" s="16"/>
    </row>
    <row r="15" spans="1:63" s="17" customFormat="1" ht="15" customHeight="1" x14ac:dyDescent="0.25">
      <c r="A15" s="12"/>
      <c r="B15" s="19"/>
      <c r="C15" s="79" t="s">
        <v>14</v>
      </c>
      <c r="D15" s="81"/>
      <c r="E15" s="79" t="s">
        <v>15</v>
      </c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1"/>
      <c r="AG15" s="79" t="s">
        <v>16</v>
      </c>
      <c r="AH15" s="80"/>
      <c r="AI15" s="80"/>
      <c r="AJ15" s="80"/>
      <c r="AK15" s="80"/>
      <c r="AL15" s="80"/>
      <c r="AM15" s="80"/>
      <c r="AN15" s="80"/>
      <c r="AO15" s="80"/>
      <c r="AP15" s="81"/>
      <c r="AQ15" s="79" t="s">
        <v>17</v>
      </c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1"/>
      <c r="BK15" s="16"/>
    </row>
    <row r="16" spans="1:63" s="17" customFormat="1" ht="15" customHeight="1" x14ac:dyDescent="0.25">
      <c r="A16" s="12"/>
      <c r="B16" s="19"/>
      <c r="C16" s="73">
        <v>1</v>
      </c>
      <c r="D16" s="74"/>
      <c r="E16" s="215" t="s">
        <v>36</v>
      </c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7"/>
      <c r="AG16" s="73" t="s">
        <v>30</v>
      </c>
      <c r="AH16" s="78"/>
      <c r="AI16" s="78"/>
      <c r="AJ16" s="78"/>
      <c r="AK16" s="78"/>
      <c r="AL16" s="78"/>
      <c r="AM16" s="78"/>
      <c r="AN16" s="78"/>
      <c r="AO16" s="78"/>
      <c r="AP16" s="74"/>
      <c r="AQ16" s="94" t="s">
        <v>6</v>
      </c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6"/>
      <c r="BK16" s="16"/>
    </row>
    <row r="17" spans="1:63" s="17" customFormat="1" ht="15" customHeight="1" x14ac:dyDescent="0.25">
      <c r="A17" s="12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20"/>
      <c r="BI17" s="20"/>
      <c r="BJ17" s="20"/>
      <c r="BK17" s="16"/>
    </row>
    <row r="18" spans="1:63" s="17" customFormat="1" ht="15" customHeight="1" x14ac:dyDescent="0.25">
      <c r="A18" s="12"/>
      <c r="B18" s="19"/>
      <c r="C18" s="22" t="s">
        <v>62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20"/>
      <c r="BI18" s="20"/>
      <c r="BJ18" s="20"/>
      <c r="BK18" s="16"/>
    </row>
    <row r="19" spans="1:63" s="17" customFormat="1" ht="15" customHeight="1" x14ac:dyDescent="0.25">
      <c r="A19" s="12"/>
      <c r="B19" s="19"/>
      <c r="C19" s="22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20"/>
      <c r="BI19" s="20"/>
      <c r="BJ19" s="20"/>
      <c r="BK19" s="16"/>
    </row>
    <row r="20" spans="1:63" s="17" customFormat="1" ht="15" customHeight="1" x14ac:dyDescent="0.25">
      <c r="A20" s="12"/>
      <c r="B20" s="19"/>
      <c r="C20" s="88" t="s">
        <v>63</v>
      </c>
      <c r="D20" s="89"/>
      <c r="E20" s="88" t="s">
        <v>64</v>
      </c>
      <c r="F20" s="93"/>
      <c r="G20" s="93"/>
      <c r="H20" s="93"/>
      <c r="I20" s="93"/>
      <c r="J20" s="93"/>
      <c r="K20" s="89"/>
      <c r="L20" s="79" t="s">
        <v>18</v>
      </c>
      <c r="M20" s="80"/>
      <c r="N20" s="81"/>
      <c r="O20" s="79" t="s">
        <v>19</v>
      </c>
      <c r="P20" s="80"/>
      <c r="Q20" s="80"/>
      <c r="R20" s="81"/>
      <c r="S20" s="79" t="s">
        <v>20</v>
      </c>
      <c r="T20" s="80"/>
      <c r="U20" s="80"/>
      <c r="V20" s="80"/>
      <c r="W20" s="80"/>
      <c r="X20" s="80"/>
      <c r="Y20" s="81"/>
      <c r="Z20" s="88" t="s">
        <v>65</v>
      </c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89"/>
      <c r="AQ20" s="79" t="s">
        <v>17</v>
      </c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1"/>
      <c r="BK20" s="16"/>
    </row>
    <row r="21" spans="1:63" s="17" customFormat="1" ht="15" customHeight="1" x14ac:dyDescent="0.25">
      <c r="A21" s="12"/>
      <c r="B21" s="19"/>
      <c r="C21" s="82">
        <v>1</v>
      </c>
      <c r="D21" s="84"/>
      <c r="E21" s="218" t="s">
        <v>3</v>
      </c>
      <c r="F21" s="219"/>
      <c r="G21" s="219"/>
      <c r="H21" s="219"/>
      <c r="I21" s="219"/>
      <c r="J21" s="219"/>
      <c r="K21" s="220"/>
      <c r="L21" s="97" t="s">
        <v>4</v>
      </c>
      <c r="M21" s="98"/>
      <c r="N21" s="99"/>
      <c r="O21" s="82" t="s">
        <v>5</v>
      </c>
      <c r="P21" s="83"/>
      <c r="Q21" s="83"/>
      <c r="R21" s="84"/>
      <c r="S21" s="82" t="s">
        <v>6</v>
      </c>
      <c r="T21" s="83"/>
      <c r="U21" s="83"/>
      <c r="V21" s="83"/>
      <c r="W21" s="83"/>
      <c r="X21" s="83"/>
      <c r="Y21" s="84"/>
      <c r="Z21" s="218" t="s">
        <v>7</v>
      </c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  <c r="AQ21" s="221" t="s">
        <v>66</v>
      </c>
      <c r="AR21" s="222"/>
      <c r="AS21" s="222"/>
      <c r="AT21" s="222"/>
      <c r="AU21" s="222"/>
      <c r="AV21" s="222"/>
      <c r="AW21" s="222"/>
      <c r="AX21" s="222"/>
      <c r="AY21" s="222"/>
      <c r="AZ21" s="222"/>
      <c r="BA21" s="222"/>
      <c r="BB21" s="222"/>
      <c r="BC21" s="222"/>
      <c r="BD21" s="222"/>
      <c r="BE21" s="222"/>
      <c r="BF21" s="222"/>
      <c r="BG21" s="222"/>
      <c r="BH21" s="222"/>
      <c r="BI21" s="222"/>
      <c r="BJ21" s="223"/>
      <c r="BK21" s="16"/>
    </row>
    <row r="22" spans="1:63" s="17" customFormat="1" ht="15" customHeight="1" x14ac:dyDescent="0.25">
      <c r="A22" s="12"/>
      <c r="B22" s="19"/>
      <c r="C22" s="85"/>
      <c r="D22" s="87"/>
      <c r="E22" s="224"/>
      <c r="F22" s="225"/>
      <c r="G22" s="225"/>
      <c r="H22" s="225"/>
      <c r="I22" s="225"/>
      <c r="J22" s="225"/>
      <c r="K22" s="226"/>
      <c r="L22" s="100"/>
      <c r="M22" s="101"/>
      <c r="N22" s="102"/>
      <c r="O22" s="85"/>
      <c r="P22" s="86"/>
      <c r="Q22" s="86"/>
      <c r="R22" s="87"/>
      <c r="S22" s="85"/>
      <c r="T22" s="86"/>
      <c r="U22" s="86"/>
      <c r="V22" s="86"/>
      <c r="W22" s="86"/>
      <c r="X22" s="86"/>
      <c r="Y22" s="87"/>
      <c r="Z22" s="224"/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6"/>
      <c r="AQ22" s="227"/>
      <c r="AR22" s="228"/>
      <c r="AS22" s="228"/>
      <c r="AT22" s="228"/>
      <c r="AU22" s="228"/>
      <c r="AV22" s="228"/>
      <c r="AW22" s="228"/>
      <c r="AX22" s="228"/>
      <c r="AY22" s="228"/>
      <c r="AZ22" s="228"/>
      <c r="BA22" s="228"/>
      <c r="BB22" s="228"/>
      <c r="BC22" s="228"/>
      <c r="BD22" s="228"/>
      <c r="BE22" s="228"/>
      <c r="BF22" s="228"/>
      <c r="BG22" s="228"/>
      <c r="BH22" s="228"/>
      <c r="BI22" s="228"/>
      <c r="BJ22" s="229"/>
      <c r="BK22" s="16"/>
    </row>
    <row r="23" spans="1:63" s="17" customFormat="1" ht="15" customHeight="1" x14ac:dyDescent="0.25">
      <c r="A23" s="12"/>
      <c r="B23" s="19"/>
      <c r="C23" s="73">
        <v>2</v>
      </c>
      <c r="D23" s="74"/>
      <c r="E23" s="230" t="s">
        <v>8</v>
      </c>
      <c r="F23" s="231"/>
      <c r="G23" s="231"/>
      <c r="H23" s="231"/>
      <c r="I23" s="231"/>
      <c r="J23" s="231"/>
      <c r="K23" s="232"/>
      <c r="L23" s="75" t="s">
        <v>6</v>
      </c>
      <c r="M23" s="76"/>
      <c r="N23" s="77"/>
      <c r="O23" s="73" t="s">
        <v>5</v>
      </c>
      <c r="P23" s="78"/>
      <c r="Q23" s="78"/>
      <c r="R23" s="74"/>
      <c r="S23" s="73" t="s">
        <v>6</v>
      </c>
      <c r="T23" s="78"/>
      <c r="U23" s="78"/>
      <c r="V23" s="78"/>
      <c r="W23" s="78"/>
      <c r="X23" s="78"/>
      <c r="Y23" s="74"/>
      <c r="Z23" s="230" t="s">
        <v>8</v>
      </c>
      <c r="AA23" s="231"/>
      <c r="AB23" s="231"/>
      <c r="AC23" s="231"/>
      <c r="AD23" s="231"/>
      <c r="AE23" s="231"/>
      <c r="AF23" s="231"/>
      <c r="AG23" s="231"/>
      <c r="AH23" s="231"/>
      <c r="AI23" s="231"/>
      <c r="AJ23" s="231"/>
      <c r="AK23" s="231"/>
      <c r="AL23" s="231"/>
      <c r="AM23" s="231"/>
      <c r="AN23" s="231"/>
      <c r="AO23" s="231"/>
      <c r="AP23" s="232"/>
      <c r="AQ23" s="233" t="s">
        <v>9</v>
      </c>
      <c r="AR23" s="234"/>
      <c r="AS23" s="234"/>
      <c r="AT23" s="234"/>
      <c r="AU23" s="234"/>
      <c r="AV23" s="234"/>
      <c r="AW23" s="234"/>
      <c r="AX23" s="234"/>
      <c r="AY23" s="234"/>
      <c r="AZ23" s="234"/>
      <c r="BA23" s="234"/>
      <c r="BB23" s="234"/>
      <c r="BC23" s="234"/>
      <c r="BD23" s="234"/>
      <c r="BE23" s="234"/>
      <c r="BF23" s="234"/>
      <c r="BG23" s="234"/>
      <c r="BH23" s="234"/>
      <c r="BI23" s="234"/>
      <c r="BJ23" s="235"/>
      <c r="BK23" s="16"/>
    </row>
    <row r="24" spans="1:63" s="17" customFormat="1" ht="15" customHeight="1" x14ac:dyDescent="0.25">
      <c r="A24" s="12"/>
      <c r="B24" s="19"/>
      <c r="C24" s="82">
        <v>3</v>
      </c>
      <c r="D24" s="84"/>
      <c r="E24" s="218" t="s">
        <v>10</v>
      </c>
      <c r="F24" s="219"/>
      <c r="G24" s="219"/>
      <c r="H24" s="219"/>
      <c r="I24" s="219"/>
      <c r="J24" s="219"/>
      <c r="K24" s="220"/>
      <c r="L24" s="236" t="s">
        <v>4</v>
      </c>
      <c r="M24" s="237"/>
      <c r="N24" s="238"/>
      <c r="O24" s="239" t="s">
        <v>5</v>
      </c>
      <c r="P24" s="240"/>
      <c r="Q24" s="240"/>
      <c r="R24" s="241"/>
      <c r="S24" s="239" t="s">
        <v>24</v>
      </c>
      <c r="T24" s="240"/>
      <c r="U24" s="240"/>
      <c r="V24" s="240"/>
      <c r="W24" s="240"/>
      <c r="X24" s="240"/>
      <c r="Y24" s="241"/>
      <c r="Z24" s="242" t="s">
        <v>10</v>
      </c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  <c r="AP24" s="244"/>
      <c r="AQ24" s="245" t="s">
        <v>67</v>
      </c>
      <c r="AR24" s="245"/>
      <c r="AS24" s="245"/>
      <c r="AT24" s="245"/>
      <c r="AU24" s="245"/>
      <c r="AV24" s="245"/>
      <c r="AW24" s="245"/>
      <c r="AX24" s="245"/>
      <c r="AY24" s="245"/>
      <c r="AZ24" s="245"/>
      <c r="BA24" s="245"/>
      <c r="BB24" s="245"/>
      <c r="BC24" s="245"/>
      <c r="BD24" s="245"/>
      <c r="BE24" s="245"/>
      <c r="BF24" s="245"/>
      <c r="BG24" s="245"/>
      <c r="BH24" s="245"/>
      <c r="BI24" s="245"/>
      <c r="BJ24" s="246"/>
      <c r="BK24" s="16"/>
    </row>
    <row r="25" spans="1:63" s="17" customFormat="1" ht="15" customHeight="1" x14ac:dyDescent="0.25">
      <c r="A25" s="12"/>
      <c r="B25" s="19"/>
      <c r="C25" s="103"/>
      <c r="D25" s="104"/>
      <c r="E25" s="247"/>
      <c r="F25" s="248"/>
      <c r="G25" s="248"/>
      <c r="H25" s="248"/>
      <c r="I25" s="248"/>
      <c r="J25" s="248"/>
      <c r="K25" s="249"/>
      <c r="L25" s="250"/>
      <c r="M25" s="251"/>
      <c r="N25" s="252"/>
      <c r="O25" s="253"/>
      <c r="P25" s="254"/>
      <c r="Q25" s="254"/>
      <c r="R25" s="255"/>
      <c r="S25" s="253"/>
      <c r="T25" s="254"/>
      <c r="U25" s="254"/>
      <c r="V25" s="254"/>
      <c r="W25" s="254"/>
      <c r="X25" s="254"/>
      <c r="Y25" s="255"/>
      <c r="Z25" s="256"/>
      <c r="AA25" s="257"/>
      <c r="AB25" s="257"/>
      <c r="AC25" s="257"/>
      <c r="AD25" s="257"/>
      <c r="AE25" s="257"/>
      <c r="AF25" s="257"/>
      <c r="AG25" s="257"/>
      <c r="AH25" s="257"/>
      <c r="AI25" s="257"/>
      <c r="AJ25" s="257"/>
      <c r="AK25" s="257"/>
      <c r="AL25" s="257"/>
      <c r="AM25" s="257"/>
      <c r="AN25" s="257"/>
      <c r="AO25" s="257"/>
      <c r="AP25" s="258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  <c r="BD25" s="259"/>
      <c r="BE25" s="259"/>
      <c r="BF25" s="259"/>
      <c r="BG25" s="259"/>
      <c r="BH25" s="259"/>
      <c r="BI25" s="259"/>
      <c r="BJ25" s="260"/>
      <c r="BK25" s="16"/>
    </row>
    <row r="26" spans="1:63" s="17" customFormat="1" ht="15" customHeight="1" x14ac:dyDescent="0.25">
      <c r="A26" s="12"/>
      <c r="B26" s="19"/>
      <c r="C26" s="103"/>
      <c r="D26" s="104"/>
      <c r="E26" s="247"/>
      <c r="F26" s="248"/>
      <c r="G26" s="248"/>
      <c r="H26" s="248"/>
      <c r="I26" s="248"/>
      <c r="J26" s="248"/>
      <c r="K26" s="249"/>
      <c r="L26" s="250"/>
      <c r="M26" s="251"/>
      <c r="N26" s="252"/>
      <c r="O26" s="253"/>
      <c r="P26" s="254"/>
      <c r="Q26" s="254"/>
      <c r="R26" s="255"/>
      <c r="S26" s="253"/>
      <c r="T26" s="254"/>
      <c r="U26" s="254"/>
      <c r="V26" s="254"/>
      <c r="W26" s="254"/>
      <c r="X26" s="254"/>
      <c r="Y26" s="255"/>
      <c r="Z26" s="256"/>
      <c r="AA26" s="257"/>
      <c r="AB26" s="257"/>
      <c r="AC26" s="257"/>
      <c r="AD26" s="257"/>
      <c r="AE26" s="257"/>
      <c r="AF26" s="257"/>
      <c r="AG26" s="257"/>
      <c r="AH26" s="257"/>
      <c r="AI26" s="257"/>
      <c r="AJ26" s="257"/>
      <c r="AK26" s="257"/>
      <c r="AL26" s="257"/>
      <c r="AM26" s="257"/>
      <c r="AN26" s="257"/>
      <c r="AO26" s="257"/>
      <c r="AP26" s="258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  <c r="BD26" s="259"/>
      <c r="BE26" s="259"/>
      <c r="BF26" s="259"/>
      <c r="BG26" s="259"/>
      <c r="BH26" s="259"/>
      <c r="BI26" s="259"/>
      <c r="BJ26" s="260"/>
      <c r="BK26" s="16"/>
    </row>
    <row r="27" spans="1:63" s="17" customFormat="1" ht="15" customHeight="1" x14ac:dyDescent="0.25">
      <c r="A27" s="12"/>
      <c r="B27" s="19"/>
      <c r="C27" s="103"/>
      <c r="D27" s="104"/>
      <c r="E27" s="247"/>
      <c r="F27" s="248"/>
      <c r="G27" s="248"/>
      <c r="H27" s="248"/>
      <c r="I27" s="248"/>
      <c r="J27" s="248"/>
      <c r="K27" s="249"/>
      <c r="L27" s="250"/>
      <c r="M27" s="251"/>
      <c r="N27" s="252"/>
      <c r="O27" s="253"/>
      <c r="P27" s="254"/>
      <c r="Q27" s="254"/>
      <c r="R27" s="255"/>
      <c r="S27" s="253"/>
      <c r="T27" s="254"/>
      <c r="U27" s="254"/>
      <c r="V27" s="254"/>
      <c r="W27" s="254"/>
      <c r="X27" s="254"/>
      <c r="Y27" s="255"/>
      <c r="Z27" s="256"/>
      <c r="AA27" s="257"/>
      <c r="AB27" s="257"/>
      <c r="AC27" s="257"/>
      <c r="AD27" s="257"/>
      <c r="AE27" s="257"/>
      <c r="AF27" s="257"/>
      <c r="AG27" s="257"/>
      <c r="AH27" s="257"/>
      <c r="AI27" s="257"/>
      <c r="AJ27" s="257"/>
      <c r="AK27" s="257"/>
      <c r="AL27" s="257"/>
      <c r="AM27" s="257"/>
      <c r="AN27" s="257"/>
      <c r="AO27" s="257"/>
      <c r="AP27" s="258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  <c r="BD27" s="259"/>
      <c r="BE27" s="259"/>
      <c r="BF27" s="259"/>
      <c r="BG27" s="259"/>
      <c r="BH27" s="259"/>
      <c r="BI27" s="259"/>
      <c r="BJ27" s="260"/>
      <c r="BK27" s="16"/>
    </row>
    <row r="28" spans="1:63" s="17" customFormat="1" ht="15" customHeight="1" x14ac:dyDescent="0.25">
      <c r="A28" s="12"/>
      <c r="B28" s="19"/>
      <c r="C28" s="103"/>
      <c r="D28" s="104"/>
      <c r="E28" s="247"/>
      <c r="F28" s="248"/>
      <c r="G28" s="248"/>
      <c r="H28" s="248"/>
      <c r="I28" s="248"/>
      <c r="J28" s="248"/>
      <c r="K28" s="249"/>
      <c r="L28" s="250"/>
      <c r="M28" s="251"/>
      <c r="N28" s="252"/>
      <c r="O28" s="253"/>
      <c r="P28" s="254"/>
      <c r="Q28" s="254"/>
      <c r="R28" s="255"/>
      <c r="S28" s="253"/>
      <c r="T28" s="254"/>
      <c r="U28" s="254"/>
      <c r="V28" s="254"/>
      <c r="W28" s="254"/>
      <c r="X28" s="254"/>
      <c r="Y28" s="255"/>
      <c r="Z28" s="256"/>
      <c r="AA28" s="257"/>
      <c r="AB28" s="257"/>
      <c r="AC28" s="257"/>
      <c r="AD28" s="257"/>
      <c r="AE28" s="257"/>
      <c r="AF28" s="257"/>
      <c r="AG28" s="257"/>
      <c r="AH28" s="257"/>
      <c r="AI28" s="257"/>
      <c r="AJ28" s="257"/>
      <c r="AK28" s="257"/>
      <c r="AL28" s="257"/>
      <c r="AM28" s="257"/>
      <c r="AN28" s="257"/>
      <c r="AO28" s="257"/>
      <c r="AP28" s="258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  <c r="BD28" s="259"/>
      <c r="BE28" s="259"/>
      <c r="BF28" s="259"/>
      <c r="BG28" s="259"/>
      <c r="BH28" s="259"/>
      <c r="BI28" s="259"/>
      <c r="BJ28" s="260"/>
      <c r="BK28" s="16"/>
    </row>
    <row r="29" spans="1:63" s="17" customFormat="1" ht="15" customHeight="1" x14ac:dyDescent="0.25">
      <c r="A29" s="12"/>
      <c r="B29" s="19"/>
      <c r="C29" s="103"/>
      <c r="D29" s="104"/>
      <c r="E29" s="247"/>
      <c r="F29" s="248"/>
      <c r="G29" s="248"/>
      <c r="H29" s="248"/>
      <c r="I29" s="248"/>
      <c r="J29" s="248"/>
      <c r="K29" s="249"/>
      <c r="L29" s="250"/>
      <c r="M29" s="251"/>
      <c r="N29" s="252"/>
      <c r="O29" s="253"/>
      <c r="P29" s="254"/>
      <c r="Q29" s="254"/>
      <c r="R29" s="255"/>
      <c r="S29" s="253"/>
      <c r="T29" s="254"/>
      <c r="U29" s="254"/>
      <c r="V29" s="254"/>
      <c r="W29" s="254"/>
      <c r="X29" s="254"/>
      <c r="Y29" s="255"/>
      <c r="Z29" s="256"/>
      <c r="AA29" s="257"/>
      <c r="AB29" s="257"/>
      <c r="AC29" s="257"/>
      <c r="AD29" s="257"/>
      <c r="AE29" s="257"/>
      <c r="AF29" s="257"/>
      <c r="AG29" s="257"/>
      <c r="AH29" s="257"/>
      <c r="AI29" s="257"/>
      <c r="AJ29" s="257"/>
      <c r="AK29" s="257"/>
      <c r="AL29" s="257"/>
      <c r="AM29" s="257"/>
      <c r="AN29" s="257"/>
      <c r="AO29" s="257"/>
      <c r="AP29" s="258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  <c r="BD29" s="259"/>
      <c r="BE29" s="259"/>
      <c r="BF29" s="259"/>
      <c r="BG29" s="259"/>
      <c r="BH29" s="259"/>
      <c r="BI29" s="259"/>
      <c r="BJ29" s="260"/>
      <c r="BK29" s="16"/>
    </row>
    <row r="30" spans="1:63" s="17" customFormat="1" ht="15" customHeight="1" x14ac:dyDescent="0.25">
      <c r="A30" s="12"/>
      <c r="B30" s="19"/>
      <c r="C30" s="85"/>
      <c r="D30" s="87"/>
      <c r="E30" s="224"/>
      <c r="F30" s="225"/>
      <c r="G30" s="225"/>
      <c r="H30" s="225"/>
      <c r="I30" s="225"/>
      <c r="J30" s="225"/>
      <c r="K30" s="226"/>
      <c r="L30" s="261"/>
      <c r="M30" s="262"/>
      <c r="N30" s="263"/>
      <c r="O30" s="264"/>
      <c r="P30" s="265"/>
      <c r="Q30" s="265"/>
      <c r="R30" s="266"/>
      <c r="S30" s="264"/>
      <c r="T30" s="265"/>
      <c r="U30" s="265"/>
      <c r="V30" s="265"/>
      <c r="W30" s="265"/>
      <c r="X30" s="265"/>
      <c r="Y30" s="266"/>
      <c r="Z30" s="267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9"/>
      <c r="AQ30" s="270"/>
      <c r="AR30" s="270"/>
      <c r="AS30" s="270"/>
      <c r="AT30" s="270"/>
      <c r="AU30" s="270"/>
      <c r="AV30" s="270"/>
      <c r="AW30" s="270"/>
      <c r="AX30" s="270"/>
      <c r="AY30" s="270"/>
      <c r="AZ30" s="270"/>
      <c r="BA30" s="270"/>
      <c r="BB30" s="270"/>
      <c r="BC30" s="270"/>
      <c r="BD30" s="270"/>
      <c r="BE30" s="270"/>
      <c r="BF30" s="270"/>
      <c r="BG30" s="270"/>
      <c r="BH30" s="270"/>
      <c r="BI30" s="270"/>
      <c r="BJ30" s="271"/>
      <c r="BK30" s="16"/>
    </row>
    <row r="31" spans="1:63" s="17" customFormat="1" ht="15" customHeight="1" x14ac:dyDescent="0.25">
      <c r="A31" s="12"/>
      <c r="B31" s="19"/>
      <c r="C31" s="73">
        <v>4</v>
      </c>
      <c r="D31" s="74"/>
      <c r="E31" s="230" t="s">
        <v>11</v>
      </c>
      <c r="F31" s="231"/>
      <c r="G31" s="231"/>
      <c r="H31" s="231"/>
      <c r="I31" s="231"/>
      <c r="J31" s="231"/>
      <c r="K31" s="232"/>
      <c r="L31" s="75" t="s">
        <v>6</v>
      </c>
      <c r="M31" s="76"/>
      <c r="N31" s="77"/>
      <c r="O31" s="73" t="s">
        <v>5</v>
      </c>
      <c r="P31" s="78"/>
      <c r="Q31" s="78"/>
      <c r="R31" s="74"/>
      <c r="S31" s="73" t="s">
        <v>6</v>
      </c>
      <c r="T31" s="78"/>
      <c r="U31" s="78"/>
      <c r="V31" s="78"/>
      <c r="W31" s="78"/>
      <c r="X31" s="78"/>
      <c r="Y31" s="74"/>
      <c r="Z31" s="230" t="s">
        <v>11</v>
      </c>
      <c r="AA31" s="231"/>
      <c r="AB31" s="231"/>
      <c r="AC31" s="231"/>
      <c r="AD31" s="231"/>
      <c r="AE31" s="231"/>
      <c r="AF31" s="231"/>
      <c r="AG31" s="231"/>
      <c r="AH31" s="231"/>
      <c r="AI31" s="231"/>
      <c r="AJ31" s="231"/>
      <c r="AK31" s="231"/>
      <c r="AL31" s="231"/>
      <c r="AM31" s="231"/>
      <c r="AN31" s="231"/>
      <c r="AO31" s="231"/>
      <c r="AP31" s="232"/>
      <c r="AQ31" s="233" t="s">
        <v>12</v>
      </c>
      <c r="AR31" s="234"/>
      <c r="AS31" s="234"/>
      <c r="AT31" s="234"/>
      <c r="AU31" s="234"/>
      <c r="AV31" s="234"/>
      <c r="AW31" s="234"/>
      <c r="AX31" s="234"/>
      <c r="AY31" s="234"/>
      <c r="AZ31" s="234"/>
      <c r="BA31" s="234"/>
      <c r="BB31" s="234"/>
      <c r="BC31" s="234"/>
      <c r="BD31" s="234"/>
      <c r="BE31" s="234"/>
      <c r="BF31" s="234"/>
      <c r="BG31" s="234"/>
      <c r="BH31" s="234"/>
      <c r="BI31" s="234"/>
      <c r="BJ31" s="235"/>
      <c r="BK31" s="16"/>
    </row>
    <row r="32" spans="1:63" s="17" customFormat="1" ht="15" customHeight="1" x14ac:dyDescent="0.25">
      <c r="A32" s="12"/>
      <c r="B32" s="19"/>
      <c r="C32" s="73">
        <v>5</v>
      </c>
      <c r="D32" s="74"/>
      <c r="E32" s="230" t="s">
        <v>13</v>
      </c>
      <c r="F32" s="231"/>
      <c r="G32" s="231"/>
      <c r="H32" s="231"/>
      <c r="I32" s="231"/>
      <c r="J32" s="231"/>
      <c r="K32" s="232"/>
      <c r="L32" s="75" t="s">
        <v>6</v>
      </c>
      <c r="M32" s="76"/>
      <c r="N32" s="77"/>
      <c r="O32" s="73" t="s">
        <v>5</v>
      </c>
      <c r="P32" s="78"/>
      <c r="Q32" s="78"/>
      <c r="R32" s="74"/>
      <c r="S32" s="73" t="s">
        <v>6</v>
      </c>
      <c r="T32" s="78"/>
      <c r="U32" s="78"/>
      <c r="V32" s="78"/>
      <c r="W32" s="78"/>
      <c r="X32" s="78"/>
      <c r="Y32" s="74"/>
      <c r="Z32" s="230" t="s">
        <v>13</v>
      </c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  <c r="AK32" s="231"/>
      <c r="AL32" s="231"/>
      <c r="AM32" s="231"/>
      <c r="AN32" s="231"/>
      <c r="AO32" s="231"/>
      <c r="AP32" s="232"/>
      <c r="AQ32" s="233" t="s">
        <v>68</v>
      </c>
      <c r="AR32" s="234"/>
      <c r="AS32" s="234"/>
      <c r="AT32" s="234"/>
      <c r="AU32" s="234"/>
      <c r="AV32" s="234"/>
      <c r="AW32" s="234"/>
      <c r="AX32" s="234"/>
      <c r="AY32" s="234"/>
      <c r="AZ32" s="234"/>
      <c r="BA32" s="234"/>
      <c r="BB32" s="234"/>
      <c r="BC32" s="234"/>
      <c r="BD32" s="234"/>
      <c r="BE32" s="234"/>
      <c r="BF32" s="234"/>
      <c r="BG32" s="234"/>
      <c r="BH32" s="234"/>
      <c r="BI32" s="234"/>
      <c r="BJ32" s="235"/>
      <c r="BK32" s="16"/>
    </row>
    <row r="33" spans="1:63" s="17" customFormat="1" ht="15" customHeight="1" x14ac:dyDescent="0.25">
      <c r="A33" s="12"/>
      <c r="B33" s="19"/>
      <c r="C33" s="19"/>
      <c r="D33" s="19"/>
      <c r="E33" s="214"/>
      <c r="F33" s="214"/>
      <c r="G33" s="214"/>
      <c r="H33" s="214"/>
      <c r="I33" s="19"/>
      <c r="J33" s="19"/>
      <c r="K33" s="19"/>
      <c r="L33" s="25"/>
      <c r="M33" s="214"/>
      <c r="N33" s="214"/>
      <c r="O33" s="214"/>
      <c r="P33" s="214"/>
      <c r="Q33" s="19"/>
      <c r="R33" s="19"/>
      <c r="S33" s="19"/>
      <c r="T33" s="19"/>
      <c r="U33" s="19"/>
      <c r="V33" s="19"/>
      <c r="W33" s="19"/>
      <c r="X33" s="19"/>
      <c r="Y33" s="19"/>
      <c r="Z33" s="23"/>
      <c r="AA33" s="19"/>
      <c r="AB33" s="19"/>
      <c r="AC33" s="19"/>
      <c r="AD33" s="19"/>
      <c r="AE33" s="19"/>
      <c r="AF33" s="19"/>
      <c r="AG33" s="214"/>
      <c r="AH33" s="214"/>
      <c r="AI33" s="214"/>
      <c r="AJ33" s="214"/>
      <c r="AK33" s="214"/>
      <c r="AL33" s="214"/>
      <c r="AM33" s="214"/>
      <c r="AN33" s="214"/>
      <c r="AO33" s="214"/>
      <c r="AP33" s="19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0"/>
      <c r="BI33" s="20"/>
      <c r="BJ33" s="20"/>
      <c r="BK33" s="16"/>
    </row>
    <row r="34" spans="1:63" s="17" customFormat="1" ht="15" customHeight="1" x14ac:dyDescent="0.25">
      <c r="A34" s="12"/>
      <c r="B34" s="19"/>
      <c r="C34" s="22" t="s">
        <v>69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20"/>
      <c r="BI34" s="20"/>
      <c r="BJ34" s="20"/>
      <c r="BK34" s="16"/>
    </row>
    <row r="35" spans="1:63" s="17" customFormat="1" ht="15" customHeight="1" x14ac:dyDescent="0.25">
      <c r="A35" s="12"/>
      <c r="B35" s="19"/>
      <c r="C35" s="19"/>
      <c r="D35" s="19"/>
      <c r="E35" s="214"/>
      <c r="F35" s="214"/>
      <c r="G35" s="214"/>
      <c r="H35" s="214"/>
      <c r="I35" s="214"/>
      <c r="J35" s="214"/>
      <c r="K35" s="214"/>
      <c r="L35" s="34"/>
      <c r="M35" s="34"/>
      <c r="N35" s="34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16"/>
    </row>
    <row r="36" spans="1:63" s="17" customFormat="1" ht="15" customHeight="1" x14ac:dyDescent="0.25">
      <c r="A36" s="12"/>
      <c r="B36" s="19"/>
      <c r="C36" s="105" t="s">
        <v>14</v>
      </c>
      <c r="D36" s="106"/>
      <c r="E36" s="88" t="s">
        <v>70</v>
      </c>
      <c r="F36" s="272"/>
      <c r="G36" s="272"/>
      <c r="H36" s="272"/>
      <c r="I36" s="272"/>
      <c r="J36" s="272"/>
      <c r="K36" s="273"/>
      <c r="L36" s="79" t="s">
        <v>18</v>
      </c>
      <c r="M36" s="80"/>
      <c r="N36" s="81"/>
      <c r="O36" s="79" t="s">
        <v>19</v>
      </c>
      <c r="P36" s="80"/>
      <c r="Q36" s="80"/>
      <c r="R36" s="81"/>
      <c r="S36" s="79" t="s">
        <v>20</v>
      </c>
      <c r="T36" s="80"/>
      <c r="U36" s="80"/>
      <c r="V36" s="80"/>
      <c r="W36" s="80"/>
      <c r="X36" s="80"/>
      <c r="Y36" s="81"/>
      <c r="Z36" s="88" t="s">
        <v>65</v>
      </c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89"/>
      <c r="AQ36" s="90" t="s">
        <v>17</v>
      </c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1"/>
      <c r="BG36" s="91"/>
      <c r="BH36" s="91"/>
      <c r="BI36" s="91"/>
      <c r="BJ36" s="92"/>
      <c r="BK36" s="16"/>
    </row>
    <row r="37" spans="1:63" s="17" customFormat="1" ht="15" customHeight="1" x14ac:dyDescent="0.25">
      <c r="A37" s="12"/>
      <c r="B37" s="19"/>
      <c r="C37" s="73">
        <v>1</v>
      </c>
      <c r="D37" s="74"/>
      <c r="E37" s="230" t="s">
        <v>21</v>
      </c>
      <c r="F37" s="231"/>
      <c r="G37" s="231"/>
      <c r="H37" s="231"/>
      <c r="I37" s="231"/>
      <c r="J37" s="231"/>
      <c r="K37" s="232"/>
      <c r="L37" s="75" t="s">
        <v>4</v>
      </c>
      <c r="M37" s="76"/>
      <c r="N37" s="77"/>
      <c r="O37" s="73" t="s">
        <v>5</v>
      </c>
      <c r="P37" s="78"/>
      <c r="Q37" s="78"/>
      <c r="R37" s="74"/>
      <c r="S37" s="73" t="s">
        <v>6</v>
      </c>
      <c r="T37" s="78"/>
      <c r="U37" s="78"/>
      <c r="V37" s="78"/>
      <c r="W37" s="78"/>
      <c r="X37" s="78"/>
      <c r="Y37" s="74"/>
      <c r="Z37" s="230" t="s">
        <v>22</v>
      </c>
      <c r="AA37" s="231"/>
      <c r="AB37" s="231"/>
      <c r="AC37" s="231"/>
      <c r="AD37" s="231"/>
      <c r="AE37" s="231"/>
      <c r="AF37" s="231"/>
      <c r="AG37" s="231"/>
      <c r="AH37" s="231"/>
      <c r="AI37" s="231"/>
      <c r="AJ37" s="231"/>
      <c r="AK37" s="231"/>
      <c r="AL37" s="231"/>
      <c r="AM37" s="231"/>
      <c r="AN37" s="231"/>
      <c r="AO37" s="231"/>
      <c r="AP37" s="232"/>
      <c r="AQ37" s="215" t="s">
        <v>25</v>
      </c>
      <c r="AR37" s="231"/>
      <c r="AS37" s="231"/>
      <c r="AT37" s="231"/>
      <c r="AU37" s="231"/>
      <c r="AV37" s="231"/>
      <c r="AW37" s="231"/>
      <c r="AX37" s="231"/>
      <c r="AY37" s="231"/>
      <c r="AZ37" s="231"/>
      <c r="BA37" s="231"/>
      <c r="BB37" s="231"/>
      <c r="BC37" s="231"/>
      <c r="BD37" s="231"/>
      <c r="BE37" s="231"/>
      <c r="BF37" s="231"/>
      <c r="BG37" s="231"/>
      <c r="BH37" s="231"/>
      <c r="BI37" s="231"/>
      <c r="BJ37" s="232"/>
      <c r="BK37" s="16"/>
    </row>
    <row r="38" spans="1:63" s="39" customFormat="1" ht="35.25" customHeight="1" x14ac:dyDescent="0.25">
      <c r="A38" s="36"/>
      <c r="B38" s="37"/>
      <c r="C38" s="64">
        <v>2</v>
      </c>
      <c r="D38" s="66"/>
      <c r="E38" s="64" t="s">
        <v>34</v>
      </c>
      <c r="F38" s="65"/>
      <c r="G38" s="65"/>
      <c r="H38" s="65"/>
      <c r="I38" s="65"/>
      <c r="J38" s="65"/>
      <c r="K38" s="66"/>
      <c r="L38" s="70" t="s">
        <v>6</v>
      </c>
      <c r="M38" s="71"/>
      <c r="N38" s="72"/>
      <c r="O38" s="64" t="s">
        <v>39</v>
      </c>
      <c r="P38" s="65"/>
      <c r="Q38" s="65"/>
      <c r="R38" s="66"/>
      <c r="S38" s="64" t="s">
        <v>6</v>
      </c>
      <c r="T38" s="65"/>
      <c r="U38" s="65"/>
      <c r="V38" s="65"/>
      <c r="W38" s="65"/>
      <c r="X38" s="65"/>
      <c r="Y38" s="66"/>
      <c r="Z38" s="64" t="s">
        <v>35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6"/>
      <c r="AQ38" s="67" t="s">
        <v>37</v>
      </c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9"/>
      <c r="BK38" s="38"/>
    </row>
    <row r="39" spans="1:63" s="17" customFormat="1" ht="30" customHeight="1" x14ac:dyDescent="0.25">
      <c r="A39" s="12"/>
      <c r="B39" s="19"/>
      <c r="C39" s="73">
        <v>3</v>
      </c>
      <c r="D39" s="74"/>
      <c r="E39" s="230" t="s">
        <v>29</v>
      </c>
      <c r="F39" s="231"/>
      <c r="G39" s="231"/>
      <c r="H39" s="231"/>
      <c r="I39" s="231"/>
      <c r="J39" s="231"/>
      <c r="K39" s="232"/>
      <c r="L39" s="75" t="s">
        <v>4</v>
      </c>
      <c r="M39" s="76"/>
      <c r="N39" s="77"/>
      <c r="O39" s="73" t="s">
        <v>5</v>
      </c>
      <c r="P39" s="78"/>
      <c r="Q39" s="78"/>
      <c r="R39" s="74"/>
      <c r="S39" s="73" t="s">
        <v>6</v>
      </c>
      <c r="T39" s="78"/>
      <c r="U39" s="78"/>
      <c r="V39" s="78"/>
      <c r="W39" s="78"/>
      <c r="X39" s="78"/>
      <c r="Y39" s="74"/>
      <c r="Z39" s="230" t="s">
        <v>28</v>
      </c>
      <c r="AA39" s="231"/>
      <c r="AB39" s="231"/>
      <c r="AC39" s="231"/>
      <c r="AD39" s="231"/>
      <c r="AE39" s="231"/>
      <c r="AF39" s="231"/>
      <c r="AG39" s="231"/>
      <c r="AH39" s="231"/>
      <c r="AI39" s="231"/>
      <c r="AJ39" s="231"/>
      <c r="AK39" s="231"/>
      <c r="AL39" s="231"/>
      <c r="AM39" s="231"/>
      <c r="AN39" s="231"/>
      <c r="AO39" s="231"/>
      <c r="AP39" s="232"/>
      <c r="AQ39" s="233" t="s">
        <v>76</v>
      </c>
      <c r="AR39" s="231"/>
      <c r="AS39" s="231"/>
      <c r="AT39" s="231"/>
      <c r="AU39" s="231"/>
      <c r="AV39" s="231"/>
      <c r="AW39" s="231"/>
      <c r="AX39" s="231"/>
      <c r="AY39" s="231"/>
      <c r="AZ39" s="231"/>
      <c r="BA39" s="231"/>
      <c r="BB39" s="231"/>
      <c r="BC39" s="231"/>
      <c r="BD39" s="231"/>
      <c r="BE39" s="231"/>
      <c r="BF39" s="231"/>
      <c r="BG39" s="231"/>
      <c r="BH39" s="231"/>
      <c r="BI39" s="231"/>
      <c r="BJ39" s="232"/>
      <c r="BK39" s="16"/>
    </row>
    <row r="41" spans="1:63" s="17" customFormat="1" ht="15" customHeight="1" x14ac:dyDescent="0.25">
      <c r="A41" s="12"/>
      <c r="B41" s="19"/>
      <c r="C41" s="19"/>
      <c r="D41" s="19"/>
      <c r="E41" s="214"/>
      <c r="F41" s="214"/>
      <c r="G41" s="214"/>
      <c r="H41" s="214"/>
      <c r="I41" s="214"/>
      <c r="J41" s="214"/>
      <c r="K41" s="214"/>
      <c r="L41" s="34"/>
      <c r="M41" s="34"/>
      <c r="N41" s="34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214"/>
      <c r="AA41" s="214"/>
      <c r="AB41" s="214"/>
      <c r="AC41" s="214"/>
      <c r="AD41" s="214"/>
      <c r="AE41" s="214"/>
      <c r="AF41" s="214"/>
      <c r="AG41" s="214"/>
      <c r="AH41" s="214"/>
      <c r="AI41" s="214"/>
      <c r="AJ41" s="214"/>
      <c r="AK41" s="214"/>
      <c r="AL41" s="214"/>
      <c r="AM41" s="214"/>
      <c r="AN41" s="214"/>
      <c r="AO41" s="214"/>
      <c r="AP41" s="214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16"/>
    </row>
    <row r="42" spans="1:63" s="17" customFormat="1" ht="15" customHeight="1" x14ac:dyDescent="0.25">
      <c r="A42" s="12"/>
      <c r="B42" s="19"/>
      <c r="C42" s="22" t="s">
        <v>71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20"/>
      <c r="BI42" s="20"/>
      <c r="BJ42" s="20"/>
      <c r="BK42" s="16"/>
    </row>
    <row r="43" spans="1:63" s="17" customFormat="1" ht="15" customHeight="1" x14ac:dyDescent="0.25">
      <c r="A43" s="12"/>
      <c r="B43" s="19"/>
      <c r="C43" s="18"/>
      <c r="D43" s="19"/>
      <c r="E43" s="19" t="s">
        <v>27</v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20"/>
      <c r="BI43" s="20"/>
      <c r="BJ43" s="20"/>
      <c r="BK43" s="16"/>
    </row>
    <row r="44" spans="1:63" s="17" customFormat="1" ht="15" customHeight="1" x14ac:dyDescent="0.25">
      <c r="A44" s="12"/>
      <c r="B44" s="19"/>
      <c r="C44" s="19"/>
      <c r="D44" s="19"/>
      <c r="E44" s="214"/>
      <c r="F44" s="214"/>
      <c r="G44" s="214"/>
      <c r="H44" s="214"/>
      <c r="I44" s="214"/>
      <c r="J44" s="214"/>
      <c r="K44" s="214"/>
      <c r="L44" s="34"/>
      <c r="M44" s="34"/>
      <c r="N44" s="34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214"/>
      <c r="AA44" s="214"/>
      <c r="AB44" s="214"/>
      <c r="AC44" s="214"/>
      <c r="AD44" s="214"/>
      <c r="AE44" s="214"/>
      <c r="AF44" s="214"/>
      <c r="AG44" s="214"/>
      <c r="AH44" s="214"/>
      <c r="AI44" s="214"/>
      <c r="AJ44" s="214"/>
      <c r="AK44" s="214"/>
      <c r="AL44" s="214"/>
      <c r="AM44" s="214"/>
      <c r="AN44" s="214"/>
      <c r="AO44" s="214"/>
      <c r="AP44" s="214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16"/>
    </row>
    <row r="45" spans="1:63" s="17" customFormat="1" ht="15" customHeight="1" x14ac:dyDescent="0.25">
      <c r="A45" s="12"/>
      <c r="B45" s="19"/>
      <c r="C45" s="22" t="s">
        <v>72</v>
      </c>
      <c r="D45" s="19"/>
      <c r="E45" s="214"/>
      <c r="F45" s="19"/>
      <c r="G45" s="214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16"/>
    </row>
    <row r="46" spans="1:63" s="17" customFormat="1" ht="15" customHeight="1" x14ac:dyDescent="0.25">
      <c r="A46" s="12"/>
      <c r="B46" s="19"/>
      <c r="C46" s="22"/>
      <c r="D46" s="214" t="s">
        <v>23</v>
      </c>
      <c r="E46" s="214"/>
      <c r="F46" s="19"/>
      <c r="G46" s="214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16"/>
    </row>
    <row r="47" spans="1:63" s="17" customFormat="1" ht="15" customHeight="1" x14ac:dyDescent="0.25">
      <c r="A47" s="12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20"/>
      <c r="BI47" s="20"/>
      <c r="BJ47" s="20"/>
      <c r="BK47" s="16"/>
    </row>
    <row r="48" spans="1:63" s="17" customFormat="1" ht="15" customHeight="1" x14ac:dyDescent="0.25">
      <c r="A48" s="12"/>
      <c r="B48" s="21" t="s">
        <v>73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5"/>
      <c r="BI48" s="15"/>
      <c r="BJ48" s="15"/>
      <c r="BK48" s="16"/>
    </row>
    <row r="49" spans="1:63" s="17" customFormat="1" ht="15" customHeight="1" x14ac:dyDescent="0.25">
      <c r="A49" s="12"/>
      <c r="B49" s="18"/>
      <c r="C49" s="22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20"/>
      <c r="BI49" s="20"/>
      <c r="BJ49" s="20"/>
      <c r="BK49" s="16"/>
    </row>
    <row r="50" spans="1:63" s="17" customFormat="1" ht="15" customHeight="1" x14ac:dyDescent="0.25">
      <c r="A50" s="12"/>
      <c r="B50" s="18"/>
      <c r="C50" s="22" t="s">
        <v>74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20"/>
      <c r="BI50" s="20"/>
      <c r="BJ50" s="20"/>
      <c r="BK50" s="16"/>
    </row>
    <row r="51" spans="1:63" s="17" customFormat="1" ht="15" customHeight="1" x14ac:dyDescent="0.25">
      <c r="A51" s="12"/>
      <c r="B51" s="18"/>
      <c r="C51" s="22"/>
      <c r="D51" s="19" t="s">
        <v>31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20"/>
      <c r="BI51" s="20"/>
      <c r="BJ51" s="20"/>
      <c r="BK51" s="16"/>
    </row>
    <row r="52" spans="1:63" s="17" customFormat="1" ht="15" customHeight="1" x14ac:dyDescent="0.25">
      <c r="A52" s="12"/>
      <c r="B52" s="19"/>
      <c r="C52" s="19"/>
      <c r="D52" s="214"/>
      <c r="E52" s="214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20"/>
      <c r="BI52" s="20"/>
      <c r="BJ52" s="20"/>
      <c r="BK52" s="16"/>
    </row>
    <row r="53" spans="1:63" s="17" customFormat="1" ht="15" customHeight="1" x14ac:dyDescent="0.25">
      <c r="A53" s="12"/>
      <c r="B53" s="19"/>
      <c r="C53" s="18" t="s">
        <v>75</v>
      </c>
      <c r="D53" s="19"/>
      <c r="E53" s="214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20"/>
      <c r="BI53" s="20"/>
      <c r="BJ53" s="20"/>
      <c r="BK53" s="16"/>
    </row>
    <row r="54" spans="1:63" s="17" customFormat="1" ht="15" customHeight="1" x14ac:dyDescent="0.25">
      <c r="A54" s="12"/>
      <c r="B54" s="19"/>
      <c r="C54" s="18"/>
      <c r="D54" s="19"/>
      <c r="E54" s="214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20"/>
      <c r="BI54" s="20"/>
      <c r="BJ54" s="20"/>
      <c r="BK54" s="16"/>
    </row>
    <row r="55" spans="1:63" s="17" customFormat="1" ht="15" customHeight="1" x14ac:dyDescent="0.25">
      <c r="A55" s="12"/>
      <c r="B55" s="19"/>
      <c r="C55" s="18"/>
      <c r="D55" s="19" t="s">
        <v>31</v>
      </c>
      <c r="E55" s="214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20"/>
      <c r="BI55" s="20"/>
      <c r="BJ55" s="20"/>
      <c r="BK55" s="16"/>
    </row>
    <row r="56" spans="1:63" s="32" customFormat="1" ht="15" customHeight="1" x14ac:dyDescent="0.25">
      <c r="A56" s="27"/>
      <c r="B56" s="28"/>
      <c r="C56" s="28"/>
      <c r="D56" s="28"/>
      <c r="E56" s="29"/>
      <c r="F56" s="29"/>
      <c r="G56" s="29"/>
      <c r="H56" s="29"/>
      <c r="I56" s="29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30"/>
      <c r="BI56" s="30"/>
      <c r="BJ56" s="30"/>
      <c r="BK56" s="31"/>
    </row>
  </sheetData>
  <mergeCells count="98">
    <mergeCell ref="Z37:AP37"/>
    <mergeCell ref="AQ37:BJ37"/>
    <mergeCell ref="C24:D30"/>
    <mergeCell ref="E24:K30"/>
    <mergeCell ref="E31:K31"/>
    <mergeCell ref="O31:R31"/>
    <mergeCell ref="O24:R30"/>
    <mergeCell ref="C37:D37"/>
    <mergeCell ref="E37:K37"/>
    <mergeCell ref="L37:N37"/>
    <mergeCell ref="O37:R37"/>
    <mergeCell ref="S37:Y37"/>
    <mergeCell ref="C36:D36"/>
    <mergeCell ref="O32:R32"/>
    <mergeCell ref="S32:Y32"/>
    <mergeCell ref="Z32:AP32"/>
    <mergeCell ref="AQ21:BJ22"/>
    <mergeCell ref="O21:R22"/>
    <mergeCell ref="L21:N22"/>
    <mergeCell ref="E21:K22"/>
    <mergeCell ref="C21:D22"/>
    <mergeCell ref="AQ16:BJ16"/>
    <mergeCell ref="AQ23:BJ23"/>
    <mergeCell ref="AQ24:BJ30"/>
    <mergeCell ref="Z23:AP23"/>
    <mergeCell ref="E20:K20"/>
    <mergeCell ref="Z20:AP20"/>
    <mergeCell ref="AG16:AP16"/>
    <mergeCell ref="Z21:AP22"/>
    <mergeCell ref="E23:K23"/>
    <mergeCell ref="AQ20:BJ20"/>
    <mergeCell ref="O20:R20"/>
    <mergeCell ref="S23:Y23"/>
    <mergeCell ref="S24:Y30"/>
    <mergeCell ref="L23:N23"/>
    <mergeCell ref="L24:N30"/>
    <mergeCell ref="O23:R23"/>
    <mergeCell ref="AQ32:BJ32"/>
    <mergeCell ref="AQ31:BJ31"/>
    <mergeCell ref="AQ36:BJ36"/>
    <mergeCell ref="S31:Y31"/>
    <mergeCell ref="E36:K36"/>
    <mergeCell ref="L36:N36"/>
    <mergeCell ref="O36:R36"/>
    <mergeCell ref="Z36:AP36"/>
    <mergeCell ref="Z31:AP31"/>
    <mergeCell ref="L31:N31"/>
    <mergeCell ref="E32:K32"/>
    <mergeCell ref="L32:N32"/>
    <mergeCell ref="Z24:AP30"/>
    <mergeCell ref="S36:Y36"/>
    <mergeCell ref="C15:D15"/>
    <mergeCell ref="C16:D16"/>
    <mergeCell ref="E15:AF15"/>
    <mergeCell ref="AG15:AP15"/>
    <mergeCell ref="S20:Y20"/>
    <mergeCell ref="S21:Y22"/>
    <mergeCell ref="C31:D31"/>
    <mergeCell ref="C23:D23"/>
    <mergeCell ref="C32:D32"/>
    <mergeCell ref="L20:N20"/>
    <mergeCell ref="C20:D20"/>
    <mergeCell ref="AQ15:BJ15"/>
    <mergeCell ref="E16:AF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Z39:AP39"/>
    <mergeCell ref="AQ39:BJ39"/>
    <mergeCell ref="C39:D39"/>
    <mergeCell ref="E39:K39"/>
    <mergeCell ref="L39:N39"/>
    <mergeCell ref="O39:R39"/>
    <mergeCell ref="S39:Y39"/>
    <mergeCell ref="Z38:AP38"/>
    <mergeCell ref="AQ38:BJ38"/>
    <mergeCell ref="C38:D38"/>
    <mergeCell ref="E38:K38"/>
    <mergeCell ref="L38:N38"/>
    <mergeCell ref="O38:R38"/>
    <mergeCell ref="S38:Y38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4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94" t="s">
        <v>40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41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58" t="str">
        <f>IF(表紙!A2="","",表紙!A2)</f>
        <v>POSサーバー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16" t="str">
        <f>IF(表紙!AP2="","",表紙!AP2)</f>
        <v>DuNT</v>
      </c>
      <c r="AQ2" s="114"/>
      <c r="AR2" s="114"/>
      <c r="AS2" s="115"/>
      <c r="AT2" s="120">
        <f>IF(表紙!AT2="","",表紙!AT2)</f>
        <v>45586</v>
      </c>
      <c r="AU2" s="121"/>
      <c r="AV2" s="121"/>
      <c r="AW2" s="121"/>
      <c r="AX2" s="122"/>
      <c r="AY2" s="116" t="str">
        <f>IF(表紙!AY2="","",表紙!AY2)</f>
        <v>DuNT</v>
      </c>
      <c r="AZ2" s="114"/>
      <c r="BA2" s="114"/>
      <c r="BB2" s="115"/>
      <c r="BC2" s="120">
        <f>IF(表紙!BC2="","",表紙!BC2)</f>
        <v>45615</v>
      </c>
      <c r="BD2" s="121"/>
      <c r="BE2" s="121"/>
      <c r="BF2" s="121"/>
      <c r="BG2" s="122"/>
      <c r="BH2" s="116">
        <f>IF(表紙!BH2="","",表紙!BH2)</f>
        <v>0.12</v>
      </c>
      <c r="BI2" s="114"/>
      <c r="BJ2" s="114"/>
      <c r="BK2" s="115"/>
    </row>
    <row r="3" spans="1:63" ht="15" customHeight="1" x14ac:dyDescent="0.25">
      <c r="A3" s="61"/>
      <c r="B3" s="62"/>
      <c r="C3" s="62"/>
      <c r="D3" s="62"/>
      <c r="E3" s="62"/>
      <c r="F3" s="62"/>
      <c r="G3" s="62"/>
      <c r="H3" s="62"/>
      <c r="I3" s="62"/>
      <c r="J3" s="63"/>
      <c r="K3" s="61"/>
      <c r="L3" s="62"/>
      <c r="M3" s="62"/>
      <c r="N3" s="62"/>
      <c r="O3" s="62"/>
      <c r="P3" s="62"/>
      <c r="Q3" s="62"/>
      <c r="R3" s="62"/>
      <c r="S3" s="62"/>
      <c r="T3" s="62"/>
      <c r="U3" s="62"/>
      <c r="V3" s="63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26"/>
      <c r="BI3" s="127"/>
      <c r="BJ3" s="127"/>
      <c r="BK3" s="128"/>
    </row>
    <row r="4" spans="1:63" ht="24.95" customHeight="1" x14ac:dyDescent="0.25">
      <c r="A4" s="194" t="s">
        <v>49</v>
      </c>
      <c r="B4" s="195"/>
      <c r="C4" s="195"/>
      <c r="D4" s="195"/>
      <c r="E4" s="195"/>
      <c r="F4" s="195"/>
      <c r="G4" s="196"/>
      <c r="H4" s="54" t="str">
        <f>IF(表紙!H4="","",表紙!H4)</f>
        <v>AP0503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194" t="s">
        <v>50</v>
      </c>
      <c r="V4" s="195"/>
      <c r="W4" s="195"/>
      <c r="X4" s="195"/>
      <c r="Y4" s="196"/>
      <c r="Z4" s="54" t="str">
        <f>IF(表紙!Z4="","",表紙!Z4)</f>
        <v>API設計書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7" t="str">
        <f ca="1">MID(CELL("filename",A1),FIND("]",CELL("filename",A1))+1,255)</f>
        <v>処理フロー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12" customFormat="1" ht="15" customHeight="1" x14ac:dyDescent="0.25">
      <c r="B7" s="33"/>
      <c r="C7" s="20"/>
      <c r="D7" s="20"/>
      <c r="E7" s="20"/>
      <c r="F7" s="20"/>
      <c r="G7" s="20"/>
      <c r="AI7" s="274"/>
      <c r="BJ7" s="274"/>
      <c r="BK7" s="211"/>
    </row>
    <row r="8" spans="1:63" s="212" customFormat="1" ht="15" customHeight="1" x14ac:dyDescent="0.25">
      <c r="B8" s="33"/>
      <c r="C8" s="20"/>
      <c r="D8" s="20"/>
      <c r="E8" s="20"/>
      <c r="F8" s="20"/>
      <c r="G8" s="20"/>
      <c r="AI8" s="274"/>
      <c r="BJ8" s="274"/>
      <c r="BK8" s="211"/>
    </row>
    <row r="9" spans="1:63" s="212" customFormat="1" ht="15" customHeight="1" x14ac:dyDescent="0.25">
      <c r="B9" s="33"/>
      <c r="C9" s="20"/>
      <c r="D9" s="20"/>
      <c r="E9" s="20"/>
      <c r="F9" s="20"/>
      <c r="G9" s="20"/>
      <c r="AI9" s="274"/>
      <c r="BJ9" s="274"/>
      <c r="BK9" s="211"/>
    </row>
    <row r="10" spans="1:63" s="212" customFormat="1" ht="15" customHeight="1" x14ac:dyDescent="0.25">
      <c r="B10" s="33"/>
      <c r="C10" s="20"/>
      <c r="D10" s="20"/>
      <c r="E10" s="20"/>
      <c r="F10" s="20"/>
      <c r="G10" s="20"/>
      <c r="AI10" s="274"/>
      <c r="BJ10" s="274"/>
      <c r="BK10" s="211"/>
    </row>
    <row r="11" spans="1:63" s="212" customFormat="1" ht="15" customHeight="1" x14ac:dyDescent="0.25">
      <c r="B11" s="275"/>
      <c r="AI11" s="274"/>
      <c r="BJ11" s="274"/>
      <c r="BK11" s="211"/>
    </row>
    <row r="12" spans="1:63" s="212" customFormat="1" ht="15" customHeight="1" x14ac:dyDescent="0.25">
      <c r="B12" s="275"/>
      <c r="AI12" s="274"/>
      <c r="BJ12" s="274"/>
      <c r="BK12" s="211"/>
    </row>
    <row r="13" spans="1:63" s="212" customFormat="1" ht="15" customHeight="1" x14ac:dyDescent="0.25">
      <c r="B13" s="275"/>
      <c r="AI13" s="274"/>
      <c r="BJ13" s="274"/>
      <c r="BK13" s="211"/>
    </row>
    <row r="14" spans="1:63" s="212" customFormat="1" ht="15" customHeight="1" x14ac:dyDescent="0.25">
      <c r="B14" s="275"/>
      <c r="AI14" s="274"/>
      <c r="BJ14" s="274"/>
      <c r="BK14" s="211"/>
    </row>
    <row r="15" spans="1:63" s="212" customFormat="1" ht="15" customHeight="1" x14ac:dyDescent="0.25">
      <c r="B15" s="275"/>
      <c r="AI15" s="274"/>
      <c r="BJ15" s="274"/>
      <c r="BK15" s="211"/>
    </row>
    <row r="16" spans="1:63" s="212" customFormat="1" ht="15" customHeight="1" x14ac:dyDescent="0.25">
      <c r="B16" s="275"/>
      <c r="AI16" s="274"/>
      <c r="BJ16" s="274"/>
      <c r="BK16" s="211"/>
    </row>
    <row r="17" spans="2:63" s="212" customFormat="1" ht="15" customHeight="1" x14ac:dyDescent="0.25">
      <c r="B17" s="275"/>
      <c r="AI17" s="274"/>
      <c r="BJ17" s="274"/>
      <c r="BK17" s="211"/>
    </row>
    <row r="18" spans="2:63" s="212" customFormat="1" ht="15" customHeight="1" x14ac:dyDescent="0.25">
      <c r="B18" s="275"/>
      <c r="AI18" s="274"/>
      <c r="BJ18" s="274"/>
      <c r="BK18" s="211"/>
    </row>
    <row r="19" spans="2:63" s="212" customFormat="1" ht="15" customHeight="1" x14ac:dyDescent="0.25">
      <c r="B19" s="275"/>
      <c r="AI19" s="274"/>
      <c r="BJ19" s="274"/>
      <c r="BK19" s="211"/>
    </row>
    <row r="20" spans="2:63" s="212" customFormat="1" ht="15" customHeight="1" x14ac:dyDescent="0.25">
      <c r="B20" s="275"/>
      <c r="AI20" s="274"/>
      <c r="BJ20" s="274"/>
      <c r="BK20" s="211"/>
    </row>
    <row r="21" spans="2:63" s="212" customFormat="1" ht="15" customHeight="1" x14ac:dyDescent="0.25">
      <c r="B21" s="275"/>
      <c r="AI21" s="274"/>
      <c r="BJ21" s="274"/>
      <c r="BK21" s="211"/>
    </row>
    <row r="22" spans="2:63" s="212" customFormat="1" ht="15" customHeight="1" x14ac:dyDescent="0.25">
      <c r="B22" s="275"/>
      <c r="AI22" s="274"/>
      <c r="BJ22" s="274"/>
      <c r="BK22" s="211"/>
    </row>
    <row r="23" spans="2:63" s="212" customFormat="1" ht="15" customHeight="1" x14ac:dyDescent="0.25">
      <c r="B23" s="275"/>
      <c r="AI23" s="274"/>
      <c r="BJ23" s="274"/>
      <c r="BK23" s="211"/>
    </row>
    <row r="24" spans="2:63" s="212" customFormat="1" ht="15" customHeight="1" x14ac:dyDescent="0.25">
      <c r="B24" s="275"/>
      <c r="AI24" s="274"/>
      <c r="BJ24" s="274"/>
      <c r="BK24" s="211"/>
    </row>
    <row r="25" spans="2:63" s="212" customFormat="1" ht="15" customHeight="1" x14ac:dyDescent="0.25">
      <c r="B25" s="275"/>
      <c r="AI25" s="274"/>
      <c r="BJ25" s="274"/>
      <c r="BK25" s="211"/>
    </row>
    <row r="26" spans="2:63" s="212" customFormat="1" ht="15" customHeight="1" x14ac:dyDescent="0.25">
      <c r="B26" s="275"/>
      <c r="AI26" s="274"/>
      <c r="BJ26" s="274"/>
      <c r="BK26" s="211"/>
    </row>
    <row r="27" spans="2:63" s="212" customFormat="1" ht="15" customHeight="1" x14ac:dyDescent="0.25">
      <c r="B27" s="275"/>
      <c r="AI27" s="274"/>
      <c r="BJ27" s="274"/>
      <c r="BK27" s="211"/>
    </row>
    <row r="28" spans="2:63" s="212" customFormat="1" ht="15" customHeight="1" x14ac:dyDescent="0.25">
      <c r="B28" s="275"/>
      <c r="AI28" s="274"/>
      <c r="BJ28" s="274"/>
      <c r="BK28" s="211"/>
    </row>
    <row r="29" spans="2:63" s="212" customFormat="1" ht="15" customHeight="1" x14ac:dyDescent="0.25">
      <c r="B29" s="275"/>
      <c r="AI29" s="274"/>
      <c r="BJ29" s="274"/>
      <c r="BK29" s="211"/>
    </row>
    <row r="30" spans="2:63" s="212" customFormat="1" ht="15" customHeight="1" x14ac:dyDescent="0.25">
      <c r="B30" s="275"/>
      <c r="AI30" s="274"/>
      <c r="BJ30" s="274"/>
      <c r="BK30" s="211"/>
    </row>
    <row r="31" spans="2:63" s="212" customFormat="1" ht="15" customHeight="1" x14ac:dyDescent="0.25">
      <c r="B31" s="275"/>
      <c r="AI31" s="274"/>
      <c r="BJ31" s="274"/>
      <c r="BK31" s="211"/>
    </row>
    <row r="32" spans="2:63" s="212" customFormat="1" ht="15" customHeight="1" x14ac:dyDescent="0.25">
      <c r="B32" s="275"/>
      <c r="AI32" s="274"/>
      <c r="BJ32" s="274"/>
      <c r="BK32" s="211"/>
    </row>
    <row r="33" spans="1:63" s="212" customFormat="1" ht="15" customHeight="1" x14ac:dyDescent="0.25">
      <c r="B33" s="275"/>
      <c r="AI33" s="274"/>
      <c r="BJ33" s="274"/>
      <c r="BK33" s="211"/>
    </row>
    <row r="34" spans="1:63" s="212" customFormat="1" ht="15" customHeight="1" x14ac:dyDescent="0.25">
      <c r="B34" s="275"/>
      <c r="AI34" s="274"/>
      <c r="BJ34" s="274"/>
      <c r="BK34" s="211"/>
    </row>
    <row r="35" spans="1:63" s="212" customFormat="1" ht="15" customHeight="1" x14ac:dyDescent="0.25">
      <c r="B35" s="275"/>
      <c r="AI35" s="274"/>
      <c r="BJ35" s="274"/>
      <c r="BK35" s="211"/>
    </row>
    <row r="36" spans="1:63" s="212" customFormat="1" ht="15" customHeight="1" x14ac:dyDescent="0.25">
      <c r="B36" s="275"/>
      <c r="AI36" s="274"/>
      <c r="BJ36" s="274"/>
      <c r="BK36" s="211"/>
    </row>
    <row r="37" spans="1:63" s="212" customFormat="1" ht="15" customHeight="1" x14ac:dyDescent="0.25">
      <c r="B37" s="275"/>
      <c r="AI37" s="274"/>
      <c r="BJ37" s="274"/>
      <c r="BK37" s="211"/>
    </row>
    <row r="38" spans="1:63" s="212" customFormat="1" ht="15" customHeight="1" x14ac:dyDescent="0.25">
      <c r="B38" s="275"/>
      <c r="AI38" s="274"/>
      <c r="BJ38" s="274"/>
      <c r="BK38" s="211"/>
    </row>
    <row r="39" spans="1:63" s="212" customFormat="1" ht="15" customHeight="1" x14ac:dyDescent="0.25">
      <c r="B39" s="275"/>
      <c r="AI39" s="274"/>
      <c r="BJ39" s="274"/>
      <c r="BK39" s="211"/>
    </row>
    <row r="40" spans="1:63" s="212" customFormat="1" ht="15" customHeight="1" x14ac:dyDescent="0.25">
      <c r="B40" s="275"/>
      <c r="AI40" s="274"/>
      <c r="BJ40" s="274"/>
      <c r="BK40" s="211"/>
    </row>
    <row r="41" spans="1:63" ht="15" customHeight="1" x14ac:dyDescent="0.25">
      <c r="A41" s="4"/>
      <c r="B41" s="10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11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11"/>
      <c r="BK41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94" t="s">
        <v>40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41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07" t="s">
        <v>43</v>
      </c>
      <c r="AQ1" s="108"/>
      <c r="AR1" s="108"/>
      <c r="AS1" s="109"/>
      <c r="AT1" s="107" t="s">
        <v>44</v>
      </c>
      <c r="AU1" s="108"/>
      <c r="AV1" s="108"/>
      <c r="AW1" s="108"/>
      <c r="AX1" s="109"/>
      <c r="AY1" s="107" t="s">
        <v>45</v>
      </c>
      <c r="AZ1" s="108"/>
      <c r="BA1" s="108"/>
      <c r="BB1" s="109"/>
      <c r="BC1" s="107" t="s">
        <v>46</v>
      </c>
      <c r="BD1" s="108"/>
      <c r="BE1" s="108"/>
      <c r="BF1" s="108"/>
      <c r="BG1" s="109"/>
      <c r="BH1" s="107" t="s">
        <v>47</v>
      </c>
      <c r="BI1" s="108"/>
      <c r="BJ1" s="108"/>
      <c r="BK1" s="109"/>
    </row>
    <row r="2" spans="1:63" ht="15" customHeight="1" x14ac:dyDescent="0.25">
      <c r="A2" s="58" t="str">
        <f>IF(表紙!A2="","",表紙!A2)</f>
        <v>POSサーバー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16" t="str">
        <f>IF(表紙!AP2="","",表紙!AP2)</f>
        <v>DuNT</v>
      </c>
      <c r="AQ2" s="114"/>
      <c r="AR2" s="114"/>
      <c r="AS2" s="115"/>
      <c r="AT2" s="120">
        <f>IF(表紙!AT2="","",表紙!AT2)</f>
        <v>45586</v>
      </c>
      <c r="AU2" s="121"/>
      <c r="AV2" s="121"/>
      <c r="AW2" s="121"/>
      <c r="AX2" s="122"/>
      <c r="AY2" s="116" t="str">
        <f>IF(表紙!AY2="","",表紙!AY2)</f>
        <v>DuNT</v>
      </c>
      <c r="AZ2" s="114"/>
      <c r="BA2" s="114"/>
      <c r="BB2" s="115"/>
      <c r="BC2" s="120">
        <f>IF(表紙!BC2="","",表紙!BC2)</f>
        <v>45615</v>
      </c>
      <c r="BD2" s="121"/>
      <c r="BE2" s="121"/>
      <c r="BF2" s="121"/>
      <c r="BG2" s="122"/>
      <c r="BH2" s="116">
        <f>IF(表紙!BH2="","",表紙!BH2)</f>
        <v>0.12</v>
      </c>
      <c r="BI2" s="114"/>
      <c r="BJ2" s="114"/>
      <c r="BK2" s="115"/>
    </row>
    <row r="3" spans="1:63" ht="15" customHeight="1" x14ac:dyDescent="0.25">
      <c r="A3" s="61"/>
      <c r="B3" s="62"/>
      <c r="C3" s="62"/>
      <c r="D3" s="62"/>
      <c r="E3" s="62"/>
      <c r="F3" s="62"/>
      <c r="G3" s="62"/>
      <c r="H3" s="62"/>
      <c r="I3" s="62"/>
      <c r="J3" s="63"/>
      <c r="K3" s="61"/>
      <c r="L3" s="62"/>
      <c r="M3" s="62"/>
      <c r="N3" s="62"/>
      <c r="O3" s="62"/>
      <c r="P3" s="62"/>
      <c r="Q3" s="62"/>
      <c r="R3" s="62"/>
      <c r="S3" s="62"/>
      <c r="T3" s="62"/>
      <c r="U3" s="62"/>
      <c r="V3" s="63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26"/>
      <c r="AQ3" s="127"/>
      <c r="AR3" s="127"/>
      <c r="AS3" s="128"/>
      <c r="AT3" s="132"/>
      <c r="AU3" s="133"/>
      <c r="AV3" s="133"/>
      <c r="AW3" s="133"/>
      <c r="AX3" s="134"/>
      <c r="AY3" s="126"/>
      <c r="AZ3" s="127"/>
      <c r="BA3" s="127"/>
      <c r="BB3" s="128"/>
      <c r="BC3" s="132"/>
      <c r="BD3" s="133"/>
      <c r="BE3" s="133"/>
      <c r="BF3" s="133"/>
      <c r="BG3" s="134"/>
      <c r="BH3" s="126"/>
      <c r="BI3" s="127"/>
      <c r="BJ3" s="127"/>
      <c r="BK3" s="128"/>
    </row>
    <row r="4" spans="1:63" ht="24.95" customHeight="1" x14ac:dyDescent="0.25">
      <c r="A4" s="194" t="s">
        <v>49</v>
      </c>
      <c r="B4" s="195"/>
      <c r="C4" s="195"/>
      <c r="D4" s="195"/>
      <c r="E4" s="195"/>
      <c r="F4" s="195"/>
      <c r="G4" s="196"/>
      <c r="H4" s="54" t="str">
        <f>IF(表紙!H4="","",表紙!H4)</f>
        <v>AP0503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194" t="s">
        <v>50</v>
      </c>
      <c r="V4" s="195"/>
      <c r="W4" s="195"/>
      <c r="X4" s="195"/>
      <c r="Y4" s="196"/>
      <c r="Z4" s="54" t="str">
        <f>IF(表紙!Z4="","",表紙!Z4)</f>
        <v>API設計書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7" t="str">
        <f ca="1">MID(CELL("filename",A1),FIND("]",CELL("filename",A1))+1,255)</f>
        <v>テンプレート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12" customFormat="1" ht="15" customHeight="1" x14ac:dyDescent="0.25">
      <c r="BK7" s="211"/>
    </row>
    <row r="8" spans="1:63" s="212" customFormat="1" ht="15" customHeight="1" x14ac:dyDescent="0.25">
      <c r="BK8" s="211"/>
    </row>
    <row r="9" spans="1:63" s="212" customFormat="1" ht="15" customHeight="1" x14ac:dyDescent="0.25">
      <c r="BK9" s="211"/>
    </row>
    <row r="10" spans="1:63" s="212" customFormat="1" ht="15" customHeight="1" x14ac:dyDescent="0.25">
      <c r="BK10" s="211"/>
    </row>
    <row r="11" spans="1:63" s="212" customFormat="1" ht="15" customHeight="1" x14ac:dyDescent="0.25">
      <c r="BK11" s="211"/>
    </row>
    <row r="12" spans="1:63" s="212" customFormat="1" ht="15" customHeight="1" x14ac:dyDescent="0.25">
      <c r="BK12" s="211"/>
    </row>
    <row r="13" spans="1:63" s="212" customFormat="1" ht="15" customHeight="1" x14ac:dyDescent="0.25">
      <c r="BK13" s="211"/>
    </row>
    <row r="14" spans="1:63" s="212" customFormat="1" ht="15" customHeight="1" x14ac:dyDescent="0.25">
      <c r="BK14" s="211"/>
    </row>
    <row r="15" spans="1:63" s="212" customFormat="1" ht="15" customHeight="1" x14ac:dyDescent="0.25">
      <c r="BK15" s="211"/>
    </row>
    <row r="16" spans="1:63" s="212" customFormat="1" ht="15" customHeight="1" x14ac:dyDescent="0.25">
      <c r="BK16" s="211"/>
    </row>
    <row r="17" spans="63:63" s="212" customFormat="1" ht="15" customHeight="1" x14ac:dyDescent="0.25">
      <c r="BK17" s="211"/>
    </row>
    <row r="18" spans="63:63" s="212" customFormat="1" ht="15" customHeight="1" x14ac:dyDescent="0.25">
      <c r="BK18" s="211"/>
    </row>
    <row r="19" spans="63:63" s="212" customFormat="1" ht="15" customHeight="1" x14ac:dyDescent="0.25">
      <c r="BK19" s="211"/>
    </row>
    <row r="20" spans="63:63" s="212" customFormat="1" ht="15" customHeight="1" x14ac:dyDescent="0.25">
      <c r="BK20" s="211"/>
    </row>
    <row r="21" spans="63:63" s="212" customFormat="1" ht="15" customHeight="1" x14ac:dyDescent="0.25">
      <c r="BK21" s="211"/>
    </row>
    <row r="22" spans="63:63" s="212" customFormat="1" ht="15" customHeight="1" x14ac:dyDescent="0.25">
      <c r="BK22" s="211"/>
    </row>
    <row r="23" spans="63:63" s="212" customFormat="1" ht="15" customHeight="1" x14ac:dyDescent="0.25">
      <c r="BK23" s="211"/>
    </row>
    <row r="24" spans="63:63" s="212" customFormat="1" ht="15" customHeight="1" x14ac:dyDescent="0.25">
      <c r="BK24" s="211"/>
    </row>
    <row r="25" spans="63:63" s="212" customFormat="1" ht="15" customHeight="1" x14ac:dyDescent="0.25">
      <c r="BK25" s="211"/>
    </row>
    <row r="26" spans="63:63" s="212" customFormat="1" ht="15" customHeight="1" x14ac:dyDescent="0.25">
      <c r="BK26" s="211"/>
    </row>
    <row r="27" spans="63:63" s="212" customFormat="1" ht="15" customHeight="1" x14ac:dyDescent="0.25">
      <c r="BK27" s="211"/>
    </row>
    <row r="28" spans="63:63" s="212" customFormat="1" ht="15" customHeight="1" x14ac:dyDescent="0.25">
      <c r="BK28" s="211"/>
    </row>
    <row r="29" spans="63:63" s="212" customFormat="1" ht="15" customHeight="1" x14ac:dyDescent="0.25">
      <c r="BK29" s="211"/>
    </row>
    <row r="30" spans="63:63" s="212" customFormat="1" ht="15" customHeight="1" x14ac:dyDescent="0.25">
      <c r="BK30" s="211"/>
    </row>
    <row r="31" spans="63:63" s="212" customFormat="1" ht="15" customHeight="1" x14ac:dyDescent="0.25">
      <c r="BK31" s="211"/>
    </row>
    <row r="32" spans="63:63" s="212" customFormat="1" ht="15" customHeight="1" x14ac:dyDescent="0.25">
      <c r="BK32" s="211"/>
    </row>
    <row r="33" spans="63:63" s="212" customFormat="1" ht="15" customHeight="1" x14ac:dyDescent="0.25">
      <c r="BK33" s="211"/>
    </row>
    <row r="34" spans="63:63" s="212" customFormat="1" ht="15" customHeight="1" x14ac:dyDescent="0.25">
      <c r="BK34" s="211"/>
    </row>
    <row r="35" spans="63:63" s="212" customFormat="1" ht="15" customHeight="1" x14ac:dyDescent="0.25">
      <c r="BK35" s="211"/>
    </row>
    <row r="36" spans="63:63" s="212" customFormat="1" ht="15" customHeight="1" x14ac:dyDescent="0.25">
      <c r="BK36" s="211"/>
    </row>
    <row r="37" spans="63:63" s="212" customFormat="1" ht="15" customHeight="1" x14ac:dyDescent="0.25">
      <c r="BK37" s="211"/>
    </row>
    <row r="38" spans="63:63" s="212" customFormat="1" ht="15" customHeight="1" x14ac:dyDescent="0.25">
      <c r="BK38" s="211"/>
    </row>
    <row r="39" spans="63:63" s="212" customFormat="1" ht="15" customHeight="1" x14ac:dyDescent="0.25">
      <c r="BK39" s="211"/>
    </row>
    <row r="40" spans="63:63" s="212" customFormat="1" ht="15" customHeight="1" x14ac:dyDescent="0.25">
      <c r="BK40" s="211"/>
    </row>
    <row r="41" spans="63:63" s="212" customFormat="1" ht="15" customHeight="1" x14ac:dyDescent="0.25">
      <c r="BK41" s="211"/>
    </row>
    <row r="42" spans="63:63" s="212" customFormat="1" ht="15" customHeight="1" x14ac:dyDescent="0.25">
      <c r="BK42" s="211"/>
    </row>
    <row r="43" spans="63:63" s="212" customFormat="1" ht="15" customHeight="1" x14ac:dyDescent="0.25">
      <c r="BK43" s="211"/>
    </row>
    <row r="44" spans="63:63" s="212" customFormat="1" ht="15" customHeight="1" x14ac:dyDescent="0.25">
      <c r="BK44" s="211"/>
    </row>
    <row r="45" spans="63:63" s="212" customFormat="1" ht="15" customHeight="1" x14ac:dyDescent="0.25">
      <c r="BK45" s="211"/>
    </row>
    <row r="46" spans="63:63" s="212" customFormat="1" ht="15" customHeight="1" x14ac:dyDescent="0.25">
      <c r="BK46" s="211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AP0503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2024-12-30T07:00:07Z</dcterms:modified>
  <cp:category/>
  <cp:contentStatus/>
</cp:coreProperties>
</file>