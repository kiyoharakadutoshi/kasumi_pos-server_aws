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753FC583-C7EC-4559-8711-2B7FC4D6C6F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504" sheetId="11" r:id="rId4"/>
    <sheet name="処理フロー" sheetId="12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処理フロー!$A$1:$BK$91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12"/>
  <c r="Z4" i="12"/>
  <c r="H4" i="12"/>
  <c r="K2" i="12"/>
  <c r="A2" i="12"/>
  <c r="W1" i="12"/>
  <c r="AP4" i="11"/>
  <c r="Z4" i="11"/>
  <c r="H4" i="11"/>
  <c r="K2" i="11"/>
  <c r="A2" i="11"/>
  <c r="W1" i="11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12" s="1"/>
  <c r="AT2" i="4"/>
  <c r="AT2" i="11" s="1"/>
  <c r="AP2" i="4"/>
  <c r="AP2" i="10" s="1"/>
  <c r="AT2" i="3" l="1"/>
  <c r="AT2" i="10"/>
  <c r="AY2" i="11"/>
  <c r="BC2" i="12"/>
  <c r="AP2" i="7"/>
  <c r="BH2" i="7"/>
  <c r="AY2" i="3"/>
  <c r="AY2" i="10"/>
  <c r="BC2" i="11"/>
  <c r="AP2" i="12"/>
  <c r="BH2" i="12"/>
  <c r="AT2" i="7"/>
  <c r="BC2" i="3"/>
  <c r="BC2" i="10"/>
  <c r="AP2" i="11"/>
  <c r="BH2" i="11"/>
  <c r="AT2" i="12"/>
  <c r="AY2" i="7"/>
  <c r="AP2" i="3"/>
  <c r="BH2" i="3"/>
</calcChain>
</file>

<file path=xl/sharedStrings.xml><?xml version="1.0" encoding="utf-8"?>
<sst xmlns="http://schemas.openxmlformats.org/spreadsheetml/2006/main" count="275" uniqueCount="172">
  <si>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</si>
  <si>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</si>
  <si>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</si>
  <si>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</si>
  <si>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</si>
  <si>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</si>
  <si>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</si>
  <si>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</si>
  <si>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</si>
  <si>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</si>
  <si>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</si>
  <si>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</si>
  <si>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</si>
  <si>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</si>
  <si>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</si>
  <si>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</si>
  <si>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</si>
  <si>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</si>
  <si>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</si>
  <si>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</si>
  <si>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</si>
  <si>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</si>
  <si>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</si>
  <si>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</si>
  <si>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</si>
  <si>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代表ユーザーを認証するAPIキー値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フォーマット：</t>
    </r>
    <r>
      <rPr>
        <sz val="11"/>
        <color rgb="FF000000"/>
        <rFont val="Meiryo UI"/>
        <family val="2"/>
      </rPr>
      <t>"Bearer {api_key}"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</si>
  <si>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</si>
  <si>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</si>
  <si>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</si>
  <si>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</si>
  <si>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</si>
  <si>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</si>
  <si>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sz val="11"/>
        <color rgb="FF000000"/>
        <rFont val="Meiryo UI"/>
        <family val="2"/>
      </rPr>
      <t>データ暗号化アルゴリズムを定義する。</t>
    </r>
    <r>
      <rPr>
        <sz val="11"/>
        <color rgb="FF000000"/>
        <rFont val="Meiryo UI"/>
        <family val="2"/>
      </rPr>
      <t>サーバーから受信したデータに使用できる： zip、gzip、png、gif等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</si>
  <si>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</si>
  <si>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 xml:space="preserve">2. </t>
    </r>
    <r>
      <rPr>
        <b/>
        <sz val="11"/>
        <color rgb="FF000000"/>
        <rFont val="Meiryo UI"/>
        <family val="2"/>
      </rPr>
      <t>リクエスト</t>
    </r>
  </si>
  <si>
    <r>
      <rPr>
        <b/>
        <sz val="11"/>
        <color rgb="FF000000"/>
        <rFont val="Meiryo UI"/>
        <family val="2"/>
      </rPr>
      <t xml:space="preserve">2.1 </t>
    </r>
    <r>
      <rPr>
        <b/>
        <sz val="11"/>
        <color rgb="FF000000"/>
        <rFont val="Meiryo UI"/>
        <family val="2"/>
      </rPr>
      <t>Request URL</t>
    </r>
  </si>
  <si>
    <r>
      <rPr>
        <b/>
        <sz val="11"/>
        <color rgb="FF000000"/>
        <rFont val="Meiryo UI"/>
        <family val="2"/>
      </rPr>
      <t xml:space="preserve">2. </t>
    </r>
    <r>
      <rPr>
        <b/>
        <sz val="11"/>
        <color rgb="FF000000"/>
        <rFont val="Meiryo UI"/>
        <family val="2"/>
      </rPr>
      <t xml:space="preserve">2 </t>
    </r>
    <r>
      <rPr>
        <b/>
        <sz val="11"/>
        <color rgb="FF000000"/>
        <rFont val="Meiryo UI"/>
        <family val="2"/>
      </rPr>
      <t>Request Header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</si>
  <si>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</si>
  <si>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</si>
  <si>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</si>
  <si>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</si>
  <si>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</si>
  <si>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</si>
  <si>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</si>
  <si>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</si>
  <si>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</si>
  <si>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</si>
  <si>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</si>
  <si>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</si>
  <si>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概要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</si>
  <si>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</si>
  <si>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</si>
  <si>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</si>
  <si>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</si>
  <si>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</si>
  <si>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</si>
  <si>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 xml:space="preserve">3.1. </t>
    </r>
    <r>
      <rPr>
        <b/>
        <sz val="11"/>
        <color rgb="FF000000"/>
        <rFont val="Meiryo UI"/>
        <family val="2"/>
      </rPr>
      <t>正常の場合のレスポンスフォーマット</t>
    </r>
  </si>
  <si>
    <r>
      <rPr>
        <b/>
        <sz val="11"/>
        <color rgb="FF000000"/>
        <rFont val="Meiryo UI"/>
        <family val="2"/>
      </rPr>
      <t>※サンプル</t>
    </r>
  </si>
  <si>
    <r>
      <rPr>
        <b/>
        <sz val="11"/>
        <color rgb="FF000000"/>
        <rFont val="Meiryo UI"/>
        <family val="2"/>
      </rPr>
      <t xml:space="preserve">3.2. </t>
    </r>
    <r>
      <rPr>
        <b/>
        <sz val="11"/>
        <color rgb="FF000000"/>
        <rFont val="Meiryo UI"/>
        <family val="2"/>
      </rPr>
      <t>エラーの場合のレスポンスフォーマット</t>
    </r>
  </si>
  <si>
    <r>
      <rPr>
        <sz val="11"/>
        <color rgb="FFFFFFFF"/>
        <rFont val="Meiryo UI"/>
        <family val="3"/>
        <charset val="128"/>
      </rPr>
      <t>●API処理フロー</t>
    </r>
  </si>
  <si>
    <t>{</t>
  </si>
  <si>
    <t>}</t>
  </si>
  <si>
    <r>
      <rPr>
        <b/>
        <sz val="11"/>
        <color rgb="FF000000"/>
        <rFont val="Meiryo UI"/>
        <family val="2"/>
      </rPr>
      <t>パラメータ</t>
    </r>
  </si>
  <si>
    <r>
      <rPr>
        <b/>
        <sz val="11"/>
        <color rgb="FF000000"/>
        <rFont val="Meiryo UI"/>
        <family val="2"/>
      </rPr>
      <t xml:space="preserve">3. </t>
    </r>
    <r>
      <rPr>
        <b/>
        <sz val="11"/>
        <color rgb="FF000000"/>
        <rFont val="Meiryo UI"/>
        <family val="2"/>
      </rPr>
      <t>レスポンス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</si>
  <si>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</si>
  <si>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promotion_code</t>
    </r>
  </si>
  <si>
    <r>
      <rPr>
        <sz val="11"/>
        <color rgb="FF00B050"/>
        <rFont val="Meiryo UI"/>
        <family val="2"/>
      </rPr>
      <t>DuNT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</si>
  <si>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</si>
  <si>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</si>
  <si>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time_service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</si>
  <si>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</si>
  <si>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status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</si>
  <si>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</si>
  <si>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option</t>
    </r>
  </si>
  <si>
    <r>
      <rPr>
        <sz val="11"/>
        <color rgb="FF000000"/>
        <rFont val="Meiryo UI"/>
        <family val="2"/>
      </rPr>
      <t>quantity</t>
    </r>
  </si>
  <si>
    <r>
      <rPr>
        <sz val="11"/>
        <color rgb="FF000000"/>
        <rFont val="Meiryo UI"/>
        <family val="2"/>
      </rPr>
      <t>product</t>
    </r>
  </si>
  <si>
    <r>
      <rPr>
        <sz val="11"/>
        <color rgb="FF000000"/>
        <rFont val="Meiryo UI"/>
        <family val="2"/>
      </rPr>
      <t>plu_code</t>
    </r>
  </si>
  <si>
    <r>
      <rPr>
        <sz val="11"/>
        <color rgb="FF000000"/>
        <rFont val="Meiryo UI"/>
        <family val="2"/>
      </rPr>
      <t>start_date</t>
    </r>
  </si>
  <si>
    <r>
      <rPr>
        <sz val="11"/>
        <color rgb="FF000000"/>
        <rFont val="Meiryo UI"/>
        <family val="2"/>
      </rPr>
      <t>end_date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</si>
  <si>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</si>
  <si>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</si>
  <si>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AP0504</t>
    </r>
  </si>
  <si>
    <r>
      <rPr>
        <sz val="11"/>
        <color rgb="FF000000"/>
        <rFont val="Meiryo UI"/>
        <family val="2"/>
      </rPr>
      <t>ミックスマッチ情報を更新する。</t>
    </r>
  </si>
  <si>
    <r>
      <rPr>
        <sz val="11"/>
        <color rgb="FF000000"/>
        <rFont val="Meiryo UI"/>
        <family val="2"/>
      </rPr>
      <t>40_API設計/API_00_共通/40_API設計_共通.xlsxをご参照ください。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</si>
  <si>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</si>
  <si>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</si>
  <si>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必須チェック：オプションに1つのアイテムがあること。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</si>
  <si>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</si>
  <si>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</si>
  <si>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Decimal</t>
    </r>
  </si>
  <si>
    <r>
      <rPr>
        <sz val="11"/>
        <color rgb="FF000000"/>
        <rFont val="Meiryo UI"/>
        <family val="2"/>
      </rPr>
      <t>バリデーションチェック：値= 0 又は 1。上記の値以外の場合はエラーメッセージ =  MSG_VAL_019を返す。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</si>
  <si>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・形式：yyyy/MM/dd。形式が不正な場合、エラーメッセージ = MSG_VAL_003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・バリデーションチェック： start_date &gt; end_dateの場合、</t>
    </r>
    <r>
      <rPr>
        <sz val="11"/>
        <color rgb="FF000000"/>
        <rFont val="Meiryo UI"/>
        <family val="2"/>
      </rPr>
      <t>MSG_VAL_004を表示する。</t>
    </r>
  </si>
  <si>
    <r>
      <rPr>
        <sz val="11"/>
        <color rgb="FF000000"/>
        <rFont val="Meiryo UI"/>
        <family val="2"/>
      </rPr>
      <t>商品一覧が空の場合、エラーメッセージ = MSG_VAL_001を返す。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</si>
  <si>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・バリデーションチェック：数字であること（エラーメッセージ = MSG_VAL_006）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・バリデーションチェック：13桁未満の場合、 エラーメッセージ = MSG_VAL_028</t>
    </r>
  </si>
  <si>
    <r>
      <rPr>
        <sz val="11"/>
        <color rgb="FF000000"/>
        <rFont val="Meiryo UI"/>
        <family val="2"/>
      </rPr>
      <t>ミックスマッチの商品</t>
    </r>
  </si>
  <si>
    <r>
      <rPr>
        <sz val="11"/>
        <color rgb="FF000000"/>
        <rFont val="Meiryo UI"/>
        <family val="2"/>
      </rPr>
      <t xml:space="preserve">   </t>
    </r>
    <r>
      <rPr>
        <sz val="11"/>
        <color rgb="FF000000"/>
        <rFont val="Meiryo UI"/>
        <family val="2"/>
      </rPr>
      <t>"store_code":"00001",</t>
    </r>
  </si>
  <si>
    <r>
      <rPr>
        <sz val="11"/>
        <color rgb="FF000000"/>
        <rFont val="Meiryo UI"/>
        <family val="2"/>
      </rPr>
      <t xml:space="preserve">   </t>
    </r>
    <r>
      <rPr>
        <sz val="11"/>
        <color rgb="FF000000"/>
        <rFont val="Meiryo UI"/>
        <family val="2"/>
      </rPr>
      <t>"promotion_code":"99011",</t>
    </r>
  </si>
  <si>
    <r>
      <rPr>
        <sz val="11"/>
        <color rgb="FF000000"/>
        <rFont val="Meiryo UI"/>
        <family val="2"/>
      </rPr>
      <t xml:space="preserve">   </t>
    </r>
    <r>
      <rPr>
        <sz val="11"/>
        <color rgb="FF000000"/>
        <rFont val="Meiryo UI"/>
        <family val="2"/>
      </rPr>
      <t>"code":"00101",</t>
    </r>
  </si>
  <si>
    <r>
      <rPr>
        <sz val="11"/>
        <color rgb="FF000000"/>
        <rFont val="Meiryo UI"/>
        <family val="2"/>
      </rPr>
      <t xml:space="preserve">   </t>
    </r>
    <r>
      <rPr>
        <sz val="11"/>
        <color rgb="FF000000"/>
        <rFont val="Meiryo UI"/>
        <family val="2"/>
      </rPr>
      <t>"start_date":"2024/09/09",</t>
    </r>
  </si>
  <si>
    <r>
      <rPr>
        <sz val="11"/>
        <color rgb="FF000000"/>
        <rFont val="Meiryo UI"/>
        <family val="2"/>
      </rPr>
      <t xml:space="preserve">   </t>
    </r>
    <r>
      <rPr>
        <sz val="11"/>
        <color rgb="FF000000"/>
        <rFont val="Meiryo UI"/>
        <family val="2"/>
      </rPr>
      <t>"start_time":"02:00"</t>
    </r>
  </si>
  <si>
    <r>
      <rPr>
        <sz val="11"/>
        <color rgb="FF000000"/>
        <rFont val="Meiryo UI"/>
        <family val="2"/>
      </rPr>
      <t xml:space="preserve">   </t>
    </r>
    <r>
      <rPr>
        <sz val="11"/>
        <color rgb="FF000000"/>
        <rFont val="Meiryo UI"/>
        <family val="2"/>
      </rPr>
      <t>"end_date":"2024/09/09",</t>
    </r>
  </si>
  <si>
    <r>
      <rPr>
        <sz val="11"/>
        <color rgb="FF000000"/>
        <rFont val="Meiryo UI"/>
        <family val="2"/>
      </rPr>
      <t xml:space="preserve">   </t>
    </r>
    <r>
      <rPr>
        <sz val="11"/>
        <color rgb="FF000000"/>
        <rFont val="Meiryo UI"/>
        <family val="2"/>
      </rPr>
      <t>"end_time":"02:00"</t>
    </r>
  </si>
  <si>
    <r>
      <rPr>
        <sz val="11"/>
        <color rgb="FF000000"/>
        <rFont val="Meiryo UI"/>
        <family val="2"/>
      </rPr>
      <t xml:space="preserve">    </t>
    </r>
    <r>
      <rPr>
        <sz val="11"/>
        <color rgb="FF000000"/>
        <rFont val="Meiryo UI"/>
        <family val="2"/>
      </rPr>
      <t>"time_service":0,</t>
    </r>
  </si>
  <si>
    <r>
      <rPr>
        <sz val="11"/>
        <color rgb="FF000000"/>
        <rFont val="Meiryo UI"/>
        <family val="2"/>
      </rPr>
      <t xml:space="preserve">    </t>
    </r>
    <r>
      <rPr>
        <sz val="11"/>
        <color rgb="FF000000"/>
        <rFont val="Meiryo UI"/>
        <family val="2"/>
      </rPr>
      <t>"type":0,</t>
    </r>
  </si>
  <si>
    <r>
      <rPr>
        <sz val="11"/>
        <color rgb="FF000000"/>
        <rFont val="Meiryo UI"/>
        <family val="2"/>
      </rPr>
      <t xml:space="preserve">    </t>
    </r>
    <r>
      <rPr>
        <sz val="11"/>
        <color rgb="FF000000"/>
        <rFont val="Meiryo UI"/>
        <family val="2"/>
      </rPr>
      <t>"status":0,</t>
    </r>
  </si>
  <si>
    <r>
      <rPr>
        <sz val="11"/>
        <color rgb="FF000000"/>
        <rFont val="Meiryo UI"/>
        <family val="2"/>
      </rPr>
      <t xml:space="preserve">   </t>
    </r>
    <r>
      <rPr>
        <sz val="11"/>
        <color rgb="FF000000"/>
        <rFont val="Meiryo UI"/>
        <family val="2"/>
      </rPr>
      <t>"options":[</t>
    </r>
  </si>
  <si>
    <r>
      <rPr>
        <sz val="11"/>
        <color rgb="FF000000"/>
        <rFont val="Meiryo UI"/>
        <family val="2"/>
      </rPr>
      <t>"quantity":2,</t>
    </r>
  </si>
  <si>
    <t xml:space="preserve">   ],</t>
  </si>
  <si>
    <r>
      <rPr>
        <sz val="11"/>
        <color rgb="FF000000"/>
        <rFont val="Meiryo UI"/>
        <family val="2"/>
      </rPr>
      <t xml:space="preserve">   </t>
    </r>
    <r>
      <rPr>
        <sz val="11"/>
        <color rgb="FF000000"/>
        <rFont val="Meiryo UI"/>
        <family val="2"/>
      </rPr>
      <t>"products":[</t>
    </r>
  </si>
  <si>
    <r>
      <rPr>
        <sz val="11"/>
        <color rgb="FF000000"/>
        <rFont val="Meiryo UI"/>
        <family val="2"/>
      </rPr>
      <t xml:space="preserve">            </t>
    </r>
    <r>
      <rPr>
        <sz val="11"/>
        <color rgb="FF000000"/>
        <rFont val="Meiryo UI"/>
        <family val="2"/>
      </rPr>
      <t>"plu_code":"0000000000269",</t>
    </r>
  </si>
  <si>
    <r>
      <rPr>
        <sz val="11"/>
        <color rgb="FF000000"/>
        <rFont val="Meiryo UI"/>
        <family val="2"/>
      </rPr>
      <t xml:space="preserve">            </t>
    </r>
    <r>
      <rPr>
        <sz val="11"/>
        <color rgb="FF000000"/>
        <rFont val="Meiryo UI"/>
        <family val="2"/>
      </rPr>
      <t>"status":0,</t>
    </r>
  </si>
  <si>
    <t xml:space="preserve">     }</t>
  </si>
  <si>
    <t xml:space="preserve">    ],</t>
  </si>
  <si>
    <r>
      <rPr>
        <sz val="11"/>
        <color rgb="FF000000"/>
        <rFont val="Meiryo UI"/>
        <family val="2"/>
      </rPr>
      <t xml:space="preserve">   </t>
    </r>
    <r>
      <rPr>
        <sz val="11"/>
        <color rgb="FF000000"/>
        <rFont val="Meiryo UI"/>
        <family val="2"/>
      </rPr>
      <t>"record_id":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1,</t>
    </r>
  </si>
  <si>
    <r>
      <rPr>
        <sz val="11"/>
        <color rgb="FF000000"/>
        <rFont val="Meiryo UI"/>
        <family val="2"/>
      </rPr>
      <t>api/v1/combinations/maintenance</t>
    </r>
  </si>
  <si>
    <r>
      <rPr>
        <sz val="11"/>
        <color rgb="FF000000"/>
        <rFont val="Meiryo UI"/>
        <family val="2"/>
      </rPr>
      <t>value</t>
    </r>
  </si>
  <si>
    <r>
      <rPr>
        <sz val="11"/>
        <color rgb="FF000000"/>
        <rFont val="Meiryo UI"/>
        <family val="2"/>
      </rPr>
      <t>m_combination.StartDateTime</t>
    </r>
  </si>
  <si>
    <r>
      <rPr>
        <sz val="11"/>
        <color rgb="FF000000"/>
        <rFont val="Meiryo UI"/>
        <family val="2"/>
      </rPr>
      <t>m_combination.Status</t>
    </r>
  </si>
  <si>
    <r>
      <rPr>
        <sz val="11"/>
        <color rgb="FF000000"/>
        <rFont val="Meiryo UI"/>
        <family val="2"/>
      </rPr>
      <t>m_combination.CombinationOptions</t>
    </r>
  </si>
  <si>
    <r>
      <rPr>
        <sz val="11"/>
        <color rgb="FF000000"/>
        <rFont val="Meiryo UI"/>
        <family val="2"/>
      </rPr>
      <t>category_code</t>
    </r>
  </si>
  <si>
    <r>
      <rPr>
        <sz val="11"/>
        <color rgb="FF000000"/>
        <rFont val="Meiryo UI"/>
        <family val="2"/>
      </rPr>
      <t>m_combinationitem.CategoryCode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</si>
  <si>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・バリデーションチェック：数字であること（エラーメッセージ = MSG_VAL_006）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・バリデーションチェック：2桁未満の場合、 エラーメッセージ = MSG_VAL_028</t>
    </r>
  </si>
  <si>
    <r>
      <rPr>
        <sz val="11"/>
        <color rgb="FF000000"/>
        <rFont val="Meiryo UI"/>
        <family val="2"/>
      </rPr>
      <t xml:space="preserve">            </t>
    </r>
    <r>
      <rPr>
        <sz val="11"/>
        <color rgb="FF000000"/>
        <rFont val="Meiryo UI"/>
        <family val="2"/>
      </rPr>
      <t>"category_code":"01"</t>
    </r>
  </si>
  <si>
    <r>
      <rPr>
        <sz val="11"/>
        <color rgb="FF000000"/>
        <rFont val="Meiryo UI"/>
        <family val="2"/>
      </rPr>
      <t>処理フロー更新</t>
    </r>
  </si>
  <si>
    <r>
      <rPr>
        <sz val="11"/>
        <color rgb="FF000000"/>
        <rFont val="Meiryo UI"/>
        <family val="2"/>
      </rPr>
      <t>バリデーションチェックの更新、record_idの削除</t>
    </r>
  </si>
  <si>
    <r>
      <rPr>
        <sz val="11"/>
        <color rgb="FF000000"/>
        <rFont val="Meiryo UI"/>
        <family val="2"/>
      </rPr>
      <t>数量が設定されている全てのオプションに適用する。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・バリデーションチェック：null以外。nullの場合、エラーメッセージ= MSG_VAL_001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 「0」より大きいことのバリデーションチェック。条件を満たさない場合、エラーメッセージ = MSG_VAL_019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ミックスマッチタイプ = 1 h又は 3の場合、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・バリデーションチェック：6桁を超える（エラーメッセージ= MSG_VAL_002）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ミックスマッチ区分 = 2の場合、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・バリデーションチェック：2桁を超える（エラーメッセージ= MSG_VAL_002）</t>
    </r>
    <r>
      <rPr>
        <sz val="11"/>
        <color rgb="FF000000"/>
        <rFont val="Meiryo UI"/>
        <family val="2"/>
      </rPr>
      <t xml:space="preserve">
</t>
    </r>
  </si>
  <si>
    <r>
      <rPr>
        <sz val="11"/>
        <color rgb="FF000000"/>
        <rFont val="Meiryo UI"/>
        <family val="2"/>
      </rPr>
      <t xml:space="preserve">
m_combination.StoreCode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</si>
  <si>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・バリデーションチェック：数字であること（エラーメッセージ = MSG_VAL_006）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・バリデーションチェック：3桁未満の場合、 エラーメッセージ = MSG_VAL_002</t>
    </r>
  </si>
  <si>
    <r>
      <rPr>
        <sz val="11"/>
        <color rgb="FF000000"/>
        <rFont val="Meiryo UI"/>
        <family val="2"/>
      </rPr>
      <t xml:space="preserve">
m_combination.PromotionCode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</si>
  <si>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・バリデーションチェック：数字であること（エラーメッセージ = MSG_VAL_006）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・バリデーションチェック：5桁ではない場合、 エラーメッセージ = MSG_VAL_028</t>
    </r>
  </si>
  <si>
    <r>
      <rPr>
        <sz val="11"/>
        <color rgb="FF000000"/>
        <rFont val="Meiryo UI"/>
        <family val="2"/>
      </rPr>
      <t xml:space="preserve">
m_combination.CombinationCode</t>
    </r>
  </si>
  <si>
    <r>
      <rPr>
        <sz val="11"/>
        <color rgb="FF000000"/>
        <rFont val="Meiryo UI"/>
        <family val="2"/>
      </rPr>
      <t xml:space="preserve">
m_combination.StartDateTime</t>
    </r>
  </si>
  <si>
    <r>
      <rPr>
        <sz val="11"/>
        <color rgb="FF000000"/>
        <rFont val="Meiryo UI"/>
        <family val="2"/>
      </rPr>
      <t xml:space="preserve">
m_combination.EndDateTime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</si>
  <si>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形式：hh:mm。形式が不正な場合、エラーメッセージ= MSG_VAL_003</t>
    </r>
  </si>
  <si>
    <r>
      <rPr>
        <sz val="11"/>
        <color rgb="FF000000"/>
        <rFont val="Meiryo UI"/>
        <family val="2"/>
      </rPr>
      <t>タイムサービス： 0：通常、1: タイムサービス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m_combination.TimeService</t>
    </r>
  </si>
  <si>
    <r>
      <rPr>
        <sz val="11"/>
        <color rgb="FF000000"/>
        <rFont val="Meiryo UI"/>
        <family val="2"/>
      </rPr>
      <t>1つのミックスマッチオプションでの購入可能な個数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key mQuantity</t>
    </r>
  </si>
  <si>
    <r>
      <rPr>
        <sz val="11"/>
        <color rgb="FF000000"/>
        <rFont val="Meiryo UI"/>
        <family val="2"/>
      </rPr>
      <t>全てのミックスマッチ売価・割引・値引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key mValue</t>
    </r>
  </si>
  <si>
    <r>
      <rPr>
        <sz val="11"/>
        <color rgb="FF000000"/>
        <rFont val="Meiryo UI"/>
        <family val="2"/>
      </rPr>
      <t>商品のPLUコード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m_combinationitem.ItemCode</t>
    </r>
  </si>
  <si>
    <r>
      <rPr>
        <sz val="11"/>
        <color rgb="FF000000"/>
        <rFont val="Meiryo UI"/>
        <family val="2"/>
      </rPr>
      <t>状態: 0: 実施 1: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中止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m_combinationitem.Status</t>
    </r>
  </si>
  <si>
    <r>
      <rPr>
        <sz val="11"/>
        <color rgb="FF000000"/>
        <rFont val="Meiryo UI"/>
        <family val="2"/>
      </rPr>
      <t>"value":100</t>
    </r>
  </si>
  <si>
    <r>
      <rPr>
        <sz val="11"/>
        <color rgb="FFED7D31"/>
        <rFont val="Meiryo UI"/>
        <family val="3"/>
      </rPr>
      <t>会員売価の削除、会員売価設定</t>
    </r>
  </si>
  <si>
    <r>
      <rPr>
        <sz val="11"/>
        <color rgb="FF000000"/>
        <rFont val="Meiryo UI"/>
        <family val="2"/>
      </rPr>
      <t>ミックスマッチ区分：</t>
    </r>
    <r>
      <rPr>
        <sz val="11"/>
        <color rgb="FFFF0000"/>
        <rFont val="Meiryo UI"/>
        <family val="2"/>
      </rPr>
      <t>0</t>
    </r>
    <r>
      <rPr>
        <sz val="11"/>
        <color rgb="FF000000"/>
        <rFont val="Meiryo UI"/>
        <family val="2"/>
      </rPr>
      <t>1: 売価、</t>
    </r>
    <r>
      <rPr>
        <sz val="11"/>
        <color rgb="FFFF0000"/>
        <rFont val="Meiryo UI"/>
        <family val="2"/>
      </rPr>
      <t>0</t>
    </r>
    <r>
      <rPr>
        <sz val="11"/>
        <color rgb="FF000000"/>
        <rFont val="Meiryo UI"/>
        <family val="2"/>
      </rPr>
      <t>2:割引、</t>
    </r>
    <r>
      <rPr>
        <sz val="11"/>
        <color rgb="FFFF0000"/>
        <rFont val="Meiryo UI"/>
        <family val="2"/>
      </rPr>
      <t>0</t>
    </r>
    <r>
      <rPr>
        <sz val="11"/>
        <color rgb="FF000000"/>
        <rFont val="Meiryo UI"/>
        <family val="2"/>
      </rPr>
      <t>3:値引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m_combination.CombinationType</t>
    </r>
  </si>
  <si>
    <r>
      <rPr>
        <sz val="11"/>
        <color rgb="FF000000"/>
        <rFont val="Meiryo UI"/>
        <family val="2"/>
      </rPr>
      <t>バリデーションチェック：値= "</t>
    </r>
    <r>
      <rPr>
        <sz val="11"/>
        <color rgb="FFFF0000"/>
        <rFont val="Meiryo UI"/>
        <family val="2"/>
      </rPr>
      <t>0</t>
    </r>
    <r>
      <rPr>
        <sz val="11"/>
        <color rgb="FF000000"/>
        <rFont val="Meiryo UI"/>
        <family val="2"/>
      </rPr>
      <t>1" 又は "</t>
    </r>
    <r>
      <rPr>
        <sz val="11"/>
        <color rgb="FFFF0000"/>
        <rFont val="Meiryo UI"/>
        <family val="2"/>
      </rPr>
      <t>0</t>
    </r>
    <r>
      <rPr>
        <sz val="11"/>
        <color rgb="FF000000"/>
        <rFont val="Meiryo UI"/>
        <family val="2"/>
      </rPr>
      <t>2" 又は "</t>
    </r>
    <r>
      <rPr>
        <sz val="11"/>
        <color rgb="FFFF0000"/>
        <rFont val="Meiryo UI"/>
        <family val="2"/>
      </rPr>
      <t>0</t>
    </r>
    <r>
      <rPr>
        <sz val="11"/>
        <color rgb="FF000000"/>
        <rFont val="Meiryo UI"/>
        <family val="2"/>
      </rPr>
      <t>3"。上記の値以外の場合はエラーメッセージ =  MSG_VAL_019を返す。</t>
    </r>
  </si>
  <si>
    <r>
      <rPr>
        <sz val="11"/>
        <color rgb="FFFF0000"/>
        <rFont val="Meiryo UI"/>
        <family val="2"/>
      </rPr>
      <t>0</t>
    </r>
    <r>
      <rPr>
        <sz val="11"/>
        <color rgb="FF000000"/>
        <rFont val="Meiryo UI"/>
        <family val="2"/>
      </rPr>
      <t>1</t>
    </r>
  </si>
  <si>
    <r>
      <rPr>
        <sz val="11"/>
        <color rgb="FFFF0000"/>
        <rFont val="Meiryo UI"/>
        <family val="2"/>
      </rPr>
      <t>AnhDD</t>
    </r>
  </si>
  <si>
    <r>
      <rPr>
        <sz val="11"/>
        <color rgb="FFFF0000"/>
        <rFont val="Meiryo UI"/>
        <family val="2"/>
      </rPr>
      <t>M_Combination.CombinationTypeに渡される値を 01、02、03 に修正する。</t>
    </r>
  </si>
  <si>
    <r>
      <rPr>
        <sz val="11"/>
        <color rgb="FF00B050"/>
        <rFont val="Meiryo UI"/>
        <family val="2"/>
      </rPr>
      <t>バリデーションチェック：後のオプション &lt;= 前のオプション</t>
    </r>
  </si>
  <si>
    <r>
      <rPr>
        <sz val="11"/>
        <color rgb="FF000000"/>
        <rFont val="Meiryo UI"/>
        <family val="2"/>
      </rPr>
      <t>オプション1の場合、以下のように個数のバリデーションチェックを行う。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・バリデーションチェック：入力必須（エラーメッセージ = MSG_VAL_001）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全てのオプションに適用：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・いずれかの値が存在している場合、入力必須のバリデーションチェックを行う（エラーメッセージ= MSG_VAL_001）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・バリデーションチェック：個数 &gt;= 2。</t>
    </r>
    <r>
      <rPr>
        <sz val="11"/>
        <color rgb="FF000000"/>
        <rFont val="Meiryo UI"/>
        <family val="2"/>
      </rPr>
      <t>2未満の場合、エラーメッセージ = MSG_VAL_021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・バリデーションチェック：個数 &gt; 99 （エラーメッセージ = MSG_VAL_002）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・各オプションの数量のバリデーションチェック：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+数量が重複している場合、エラーメッセージ = MSG_VAL_053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+数量 &lt;= オプション1の数量の場合、エラーメッセージ = MSG_VAL_053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</si>
  <si>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</si>
  <si>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ED7D31"/>
        <rFont val="Meiryo UI"/>
        <family val="3"/>
      </rPr>
      <t>DuNT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</si>
  <si>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</si>
  <si>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※サンプル</t>
    </r>
  </si>
  <si>
    <r>
      <rPr>
        <sz val="11"/>
        <color rgb="FF000000"/>
        <rFont val="Meiryo UI"/>
        <family val="2"/>
      </rPr>
      <t>40_API設計/API_00_共通/40_API設計_共通.xlsxをご参照ください。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</si>
  <si>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</si>
  <si>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</si>
  <si>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</si>
  <si>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</si>
  <si>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sz val="11"/>
        <color rgb="FF000000"/>
        <rFont val="Meiryo UI"/>
        <family val="2"/>
      </rPr>
      <t>status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</si>
  <si>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</si>
  <si>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</si>
  <si>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</si>
  <si>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</si>
  <si>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List&lt;Object&gt;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</si>
  <si>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</si>
  <si>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項目説明</t>
    </r>
  </si>
  <si>
    <r>
      <rPr>
        <sz val="11"/>
        <color rgb="FF000000"/>
        <rFont val="Meiryo UI"/>
        <family val="2"/>
      </rPr>
      <t xml:space="preserve">
m_combination.EndDateTime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</si>
  <si>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</si>
  <si>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バリデーションチェック：値= 0 又は 1。上記の値以外の場合はエラーメッセージ =  MSG_VAL_019を返す。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</si>
  <si>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</si>
  <si>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バリデーションチェック：入力必須（エラーメッセージ = MSG_VAL_001）
・バリデーションチェック：数字であること（エラーメッセージ = MSG_VAL_006）
・バリデーションチェック：3桁ではない場合、エラーメッセージ = MSG_VAL_028
・新規作成の場合、コードが100から999の範囲内にあることを確認する。100から999の範囲外の場合、エラーメッセージ =  MSG_VAL_054を返す。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</si>
  <si>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
・形式：yyyy/MM/dd。形式が不正な場合、エラーメッセージ = MSG_VAL_003
・過去日のバリデーションチェック（エラーメッセージ = MSG_VAL_022）</t>
    </r>
  </si>
  <si>
    <r>
      <rPr>
        <sz val="11"/>
        <color rgb="FF000000"/>
        <rFont val="Meiryo UI"/>
        <family val="2"/>
      </rPr>
      <t>形式：hh:mm。形式が不正な場合、エラーメッセージ= MSG_VAL_003
start_date = end_dateの場合、
+バリデーションチェック：start_time &gt;= end_timeの場合、「MSG_VAL_004」エラーメッセージを表示する。
・start_date = end_date = today()の場合、
・バリデーションチェック：end_time &lt;= now()の場合、「MSG_VAL_022」エラーメッセージを表示する。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</si>
</sst>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theme="5"/>
      <name val="Meiryo UI"/>
      <family val="3"/>
      <charset val="128"/>
    </font>
    <font>
      <sz val="11"/>
      <color rgb="FFED7D31"/>
      <name val="Meiryo UI"/>
      <family val="3"/>
    </font>
    <font>
      <sz val="1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20" fillId="0" borderId="0">
      <alignment vertical="center"/>
    </xf>
    <xf numFmtId="0" fontId="6" fillId="0" borderId="0">
      <alignment vertical="center"/>
    </xf>
  </cellStyleXfs>
  <cellXfs count="31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4" borderId="19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20" xfId="0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0" fillId="0" borderId="3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5" xfId="0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4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7" fillId="0" borderId="16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indent="2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2" fillId="4" borderId="0" xfId="0" applyFont="1" applyFill="1"/>
    <xf numFmtId="14" fontId="14" fillId="0" borderId="16" xfId="0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6" xfId="0" applyFont="1" applyBorder="1"/>
    <xf numFmtId="0" fontId="14" fillId="0" borderId="27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30" xfId="0" applyFont="1" applyBorder="1"/>
    <xf numFmtId="0" fontId="14" fillId="0" borderId="31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14" fontId="18" fillId="0" borderId="16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14" fontId="13" fillId="0" borderId="16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31" xfId="0" applyFont="1" applyBorder="1"/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0" fillId="0" borderId="16" xfId="0" quotePrefix="1" applyBorder="1" applyAlignment="1">
      <alignment horizontal="left" vertical="center" wrapText="1"/>
    </xf>
    <xf numFmtId="0" fontId="0" fillId="0" borderId="17" xfId="0" quotePrefix="1" applyBorder="1" applyAlignment="1">
      <alignment horizontal="left" vertical="center" wrapText="1"/>
    </xf>
    <xf numFmtId="0" fontId="0" fillId="0" borderId="18" xfId="0" quotePrefix="1" applyBorder="1" applyAlignment="1">
      <alignment horizontal="left" vertical="center" wrapText="1"/>
    </xf>
    <xf numFmtId="0" fontId="0" fillId="0" borderId="2" xfId="0" quotePrefix="1" applyBorder="1" applyAlignment="1">
      <alignment horizontal="left" vertical="center" wrapText="1"/>
    </xf>
    <xf numFmtId="0" fontId="0" fillId="0" borderId="3" xfId="0" quotePrefix="1" applyBorder="1" applyAlignment="1">
      <alignment horizontal="left" vertical="center" wrapText="1"/>
    </xf>
    <xf numFmtId="0" fontId="0" fillId="0" borderId="5" xfId="0" quotePrefix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0" fillId="0" borderId="23" xfId="0" quotePrefix="1" applyBorder="1" applyAlignment="1">
      <alignment horizontal="left" vertical="center"/>
    </xf>
    <xf numFmtId="0" fontId="0" fillId="0" borderId="24" xfId="0" quotePrefix="1" applyBorder="1" applyAlignment="1">
      <alignment horizontal="left" vertical="center"/>
    </xf>
    <xf numFmtId="0" fontId="0" fillId="0" borderId="25" xfId="0" quotePrefix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0" fillId="0" borderId="23" xfId="0" quotePrefix="1" applyBorder="1" applyAlignment="1">
      <alignment horizontal="left" vertical="center" wrapText="1"/>
    </xf>
    <xf numFmtId="0" fontId="0" fillId="0" borderId="24" xfId="0" quotePrefix="1" applyBorder="1" applyAlignment="1">
      <alignment horizontal="left" vertical="center" wrapText="1"/>
    </xf>
    <xf numFmtId="0" fontId="0" fillId="0" borderId="25" xfId="0" quotePrefix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6" xfId="0" quotePrefix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16" xfId="0" quotePrefix="1" applyBorder="1" applyAlignment="1">
      <alignment horizontal="left" vertical="center"/>
    </xf>
    <xf numFmtId="0" fontId="0" fillId="0" borderId="17" xfId="0" quotePrefix="1" applyBorder="1" applyAlignment="1">
      <alignment horizontal="left" vertical="center"/>
    </xf>
    <xf numFmtId="0" fontId="0" fillId="0" borderId="18" xfId="0" quotePrefix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4" xfId="0" quotePrefix="1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0" fontId="0" fillId="0" borderId="3" xfId="0" quotePrefix="1" applyBorder="1" applyAlignment="1">
      <alignment horizontal="left" vertical="center"/>
    </xf>
    <xf numFmtId="0" fontId="0" fillId="0" borderId="5" xfId="0" quotePrefix="1" applyBorder="1" applyAlignment="1">
      <alignment horizontal="left" vertical="center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7" xfId="0" quotePrefix="1" applyBorder="1" applyAlignment="1">
      <alignment horizontal="left" vertical="top" wrapText="1"/>
    </xf>
    <xf numFmtId="0" fontId="0" fillId="0" borderId="18" xfId="0" quotePrefix="1" applyBorder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0" fillId="0" borderId="4" xfId="0" quotePrefix="1" applyBorder="1" applyAlignment="1">
      <alignment horizontal="left" vertical="top" wrapText="1"/>
    </xf>
    <xf numFmtId="0" fontId="0" fillId="0" borderId="3" xfId="0" quotePrefix="1" applyBorder="1" applyAlignment="1">
      <alignment horizontal="left" vertical="top" wrapText="1"/>
    </xf>
    <xf numFmtId="0" fontId="0" fillId="0" borderId="5" xfId="0" quotePrefix="1" applyBorder="1" applyAlignment="1">
      <alignment horizontal="left" vertical="top" wrapText="1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25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 wrapText="1"/>
    </xf>
    <xf numFmtId="0" fontId="7" fillId="3" borderId="23" xfId="0" quotePrefix="1" applyFont="1" applyFill="1" applyBorder="1" applyAlignment="1">
      <alignment horizontal="left" vertical="center" wrapText="1"/>
    </xf>
    <xf numFmtId="0" fontId="7" fillId="3" borderId="24" xfId="0" quotePrefix="1" applyFont="1" applyFill="1" applyBorder="1" applyAlignment="1">
      <alignment horizontal="left" vertical="center" wrapText="1"/>
    </xf>
    <xf numFmtId="0" fontId="7" fillId="3" borderId="25" xfId="0" quotePrefix="1" applyFont="1" applyFill="1" applyBorder="1" applyAlignment="1">
      <alignment horizontal="left" vertical="center" wrapText="1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0" fillId="5" borderId="24" xfId="0" applyFill="1" applyBorder="1" applyAlignment="1">
      <alignment horizontal="left" vertical="center"/>
    </xf>
    <xf numFmtId="0" fontId="0" fillId="5" borderId="25" xfId="0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 wrapText="1"/>
    </xf>
    <xf numFmtId="0" fontId="7" fillId="3" borderId="25" xfId="0" applyFont="1" applyFill="1" applyBorder="1" applyAlignment="1">
      <alignment horizontal="left" vertical="center" wrapText="1"/>
    </xf>
    <xf numFmtId="0" fontId="7" fillId="3" borderId="23" xfId="0" quotePrefix="1" applyFont="1" applyFill="1" applyBorder="1" applyAlignment="1">
      <alignment horizontal="center" vertical="center"/>
    </xf>
    <xf numFmtId="0" fontId="7" fillId="3" borderId="23" xfId="0" quotePrefix="1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7" fillId="3" borderId="23" xfId="0" quotePrefix="1" applyFont="1" applyFill="1" applyBorder="1" applyAlignment="1">
      <alignment horizontal="left" vertical="top" wrapText="1"/>
    </xf>
    <xf numFmtId="0" fontId="7" fillId="3" borderId="24" xfId="0" applyFont="1" applyFill="1" applyBorder="1" applyAlignment="1">
      <alignment horizontal="left" vertical="top" wrapText="1"/>
    </xf>
    <xf numFmtId="0" fontId="7" fillId="3" borderId="25" xfId="0" applyFont="1" applyFill="1" applyBorder="1" applyAlignment="1">
      <alignment horizontal="left" vertical="top"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31</xdr:row>
      <xdr:rowOff>145676</xdr:rowOff>
    </xdr:from>
    <xdr:to>
      <xdr:col>62</xdr:col>
      <xdr:colOff>0</xdr:colOff>
      <xdr:row>36</xdr:row>
      <xdr:rowOff>112059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6162675"/>
          <a:ext cx="7200900" cy="923925"/>
        </a:xfrm>
        <a:prstGeom prst="borderCallout1">
          <a:avLst>
            <a:gd name="adj1" fmla="val 56106"/>
            <a:gd name="adj2" fmla="val -236"/>
            <a:gd name="adj3" fmla="val 31404"/>
            <a:gd name="adj4" fmla="val -967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以下の条件を満たすミックスマッチレコードに対して、m_combination cテーブルに更新する。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c.company_code = User.CompanyCode AND c.store_code = param {selected_store} AND  c.promotion_code = param{promotion_code} AND c.code = param{code}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* TargetApply列の値 = 0 </a:t>
          </a:r>
        </a:p>
      </xdr:txBody>
    </xdr:sp>
    <xdr:clientData/>
  </xdr:twoCellAnchor>
  <xdr:twoCellAnchor>
    <xdr:from>
      <xdr:col>4</xdr:col>
      <xdr:colOff>0</xdr:colOff>
      <xdr:row>8</xdr:row>
      <xdr:rowOff>11206</xdr:rowOff>
    </xdr:from>
    <xdr:to>
      <xdr:col>8</xdr:col>
      <xdr:colOff>0</xdr:colOff>
      <xdr:row>10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6478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8</xdr:col>
      <xdr:colOff>0</xdr:colOff>
      <xdr:row>88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66878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5</xdr:col>
      <xdr:colOff>235324</xdr:colOff>
      <xdr:row>45</xdr:row>
      <xdr:rowOff>179293</xdr:rowOff>
    </xdr:from>
    <xdr:to>
      <xdr:col>6</xdr:col>
      <xdr:colOff>0</xdr:colOff>
      <xdr:row>50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7" idx="2"/>
          <a:endCxn id="30" idx="0"/>
        </xdr:cNvCxnSpPr>
      </xdr:nvCxnSpPr>
      <xdr:spPr>
        <a:xfrm>
          <a:off x="1571625" y="8867775"/>
          <a:ext cx="28575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240195</xdr:colOff>
      <xdr:row>39</xdr:row>
      <xdr:rowOff>190499</xdr:rowOff>
    </xdr:from>
    <xdr:to>
      <xdr:col>8</xdr:col>
      <xdr:colOff>235323</xdr:colOff>
      <xdr:row>44</xdr:row>
      <xdr:rowOff>179293</xdr:rowOff>
    </xdr:to>
    <xdr:sp macro="" textlink="" fLocksText="0">
      <xdr:nvSpPr>
        <xdr:cNvPr id="6" name="Flowchart: Decision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771525" y="7734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3. 成功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44</xdr:row>
      <xdr:rowOff>179293</xdr:rowOff>
    </xdr:from>
    <xdr:to>
      <xdr:col>6</xdr:col>
      <xdr:colOff>235323</xdr:colOff>
      <xdr:row>45</xdr:row>
      <xdr:rowOff>179293</xdr:rowOff>
    </xdr:to>
    <xdr:sp macro="" textlink="" fLocksText="0">
      <xdr:nvSpPr>
        <xdr:cNvPr id="7" name="Flowchart: Process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304925" y="867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41</xdr:row>
      <xdr:rowOff>179293</xdr:rowOff>
    </xdr:from>
    <xdr:to>
      <xdr:col>10</xdr:col>
      <xdr:colOff>235323</xdr:colOff>
      <xdr:row>42</xdr:row>
      <xdr:rowOff>179293</xdr:rowOff>
    </xdr:to>
    <xdr:sp macro="" textlink="" fLocksText="0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2371725" y="810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34</xdr:row>
      <xdr:rowOff>179293</xdr:rowOff>
    </xdr:from>
    <xdr:to>
      <xdr:col>6</xdr:col>
      <xdr:colOff>0</xdr:colOff>
      <xdr:row>39</xdr:row>
      <xdr:rowOff>190499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endCxn id="6" idx="0"/>
        </xdr:cNvCxnSpPr>
      </xdr:nvCxnSpPr>
      <xdr:spPr>
        <a:xfrm>
          <a:off x="1600200" y="67722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30</xdr:row>
      <xdr:rowOff>179293</xdr:rowOff>
    </xdr:from>
    <xdr:to>
      <xdr:col>8</xdr:col>
      <xdr:colOff>235323</xdr:colOff>
      <xdr:row>34</xdr:row>
      <xdr:rowOff>179293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60102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2. ミックスマッチ情報更新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</xdr:colOff>
      <xdr:row>30</xdr:row>
      <xdr:rowOff>179293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endCxn id="10" idx="0"/>
        </xdr:cNvCxnSpPr>
      </xdr:nvCxnSpPr>
      <xdr:spPr>
        <a:xfrm flipH="1">
          <a:off x="1600200" y="3352800"/>
          <a:ext cx="0" cy="26574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235323</xdr:colOff>
      <xdr:row>42</xdr:row>
      <xdr:rowOff>84043</xdr:rowOff>
    </xdr:from>
    <xdr:to>
      <xdr:col>33</xdr:col>
      <xdr:colOff>0</xdr:colOff>
      <xdr:row>76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3"/>
          <a:endCxn id="21" idx="0"/>
        </xdr:cNvCxnSpPr>
      </xdr:nvCxnSpPr>
      <xdr:spPr>
        <a:xfrm>
          <a:off x="2905125" y="8201025"/>
          <a:ext cx="5895975" cy="6391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41</xdr:row>
      <xdr:rowOff>0</xdr:rowOff>
    </xdr:from>
    <xdr:to>
      <xdr:col>62</xdr:col>
      <xdr:colOff>0</xdr:colOff>
      <xdr:row>45</xdr:row>
      <xdr:rowOff>0</xdr:rowOff>
    </xdr:to>
    <xdr:sp macro="" textlink="" fLocksText="0">
      <xdr:nvSpPr>
        <xdr:cNvPr id="13" name="吹き出し: 線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9334500" y="7924800"/>
          <a:ext cx="7200900" cy="762000"/>
        </a:xfrm>
        <a:prstGeom prst="borderCallout1">
          <a:avLst>
            <a:gd name="adj1" fmla="val 33259"/>
            <a:gd name="adj2" fmla="val 117"/>
            <a:gd name="adj3" fmla="val 32451"/>
            <a:gd name="adj4" fmla="val -10306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3.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▪更新が成功した場合、4.1と4.2のステップを実行する。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▪失敗した場合、レスポンスコード = 500を返す。</a:t>
          </a:r>
        </a:p>
      </xdr:txBody>
    </xdr:sp>
    <xdr:clientData/>
  </xdr:twoCellAnchor>
  <xdr:twoCellAnchor>
    <xdr:from>
      <xdr:col>6</xdr:col>
      <xdr:colOff>0</xdr:colOff>
      <xdr:row>80</xdr:row>
      <xdr:rowOff>44824</xdr:rowOff>
    </xdr:from>
    <xdr:to>
      <xdr:col>6</xdr:col>
      <xdr:colOff>1</xdr:colOff>
      <xdr:row>87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endCxn id="4" idx="0"/>
        </xdr:cNvCxnSpPr>
      </xdr:nvCxnSpPr>
      <xdr:spPr>
        <a:xfrm flipH="1">
          <a:off x="1600200" y="15401925"/>
          <a:ext cx="0" cy="12858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73</xdr:row>
      <xdr:rowOff>190499</xdr:rowOff>
    </xdr:from>
    <xdr:to>
      <xdr:col>8</xdr:col>
      <xdr:colOff>235323</xdr:colOff>
      <xdr:row>78</xdr:row>
      <xdr:rowOff>179293</xdr:rowOff>
    </xdr:to>
    <xdr:sp macro="" textlink="" fLocksText="0">
      <xdr:nvSpPr>
        <xdr:cNvPr id="15" name="Flowchart: Decision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00100" y="142113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5. 成功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78</xdr:row>
      <xdr:rowOff>179293</xdr:rowOff>
    </xdr:from>
    <xdr:to>
      <xdr:col>6</xdr:col>
      <xdr:colOff>235323</xdr:colOff>
      <xdr:row>79</xdr:row>
      <xdr:rowOff>179293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304925" y="15154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75</xdr:row>
      <xdr:rowOff>179292</xdr:rowOff>
    </xdr:from>
    <xdr:to>
      <xdr:col>10</xdr:col>
      <xdr:colOff>235323</xdr:colOff>
      <xdr:row>77</xdr:row>
      <xdr:rowOff>0</xdr:rowOff>
    </xdr:to>
    <xdr:sp macro="" textlink="" fLocksText="0">
      <xdr:nvSpPr>
        <xdr:cNvPr id="17" name="Flowchart: Process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371725" y="1458277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77</xdr:row>
      <xdr:rowOff>0</xdr:rowOff>
    </xdr:from>
    <xdr:to>
      <xdr:col>62</xdr:col>
      <xdr:colOff>0</xdr:colOff>
      <xdr:row>81</xdr:row>
      <xdr:rowOff>0</xdr:rowOff>
    </xdr:to>
    <xdr:sp macro="" textlink="" fLocksText="0">
      <xdr:nvSpPr>
        <xdr:cNvPr id="18" name="吹き出し: 線 2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9334500" y="14782800"/>
          <a:ext cx="7200900" cy="762000"/>
        </a:xfrm>
        <a:prstGeom prst="borderCallout1">
          <a:avLst>
            <a:gd name="adj1" fmla="val 33259"/>
            <a:gd name="adj2" fmla="val 117"/>
            <a:gd name="adj3" fmla="val 3039"/>
            <a:gd name="adj4" fmla="val -1028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▪成功した場合、レスポンスコード = 200を返す。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▪失敗した場合、ステップ1から全てのプロセスをロールバックし、レスポンスコード = 500 を返す。</a:t>
          </a:r>
        </a:p>
      </xdr:txBody>
    </xdr:sp>
    <xdr:clientData/>
  </xdr:twoCellAnchor>
  <xdr:twoCellAnchor>
    <xdr:from>
      <xdr:col>5</xdr:col>
      <xdr:colOff>237759</xdr:colOff>
      <xdr:row>71</xdr:row>
      <xdr:rowOff>0</xdr:rowOff>
    </xdr:from>
    <xdr:to>
      <xdr:col>6</xdr:col>
      <xdr:colOff>0</xdr:colOff>
      <xdr:row>73</xdr:row>
      <xdr:rowOff>190499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endCxn id="15" idx="0"/>
        </xdr:cNvCxnSpPr>
      </xdr:nvCxnSpPr>
      <xdr:spPr>
        <a:xfrm flipH="1">
          <a:off x="1571625" y="13639800"/>
          <a:ext cx="28575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79</xdr:row>
      <xdr:rowOff>179293</xdr:rowOff>
    </xdr:from>
    <xdr:to>
      <xdr:col>6</xdr:col>
      <xdr:colOff>0</xdr:colOff>
      <xdr:row>87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16" idx="2"/>
          <a:endCxn id="4" idx="0"/>
        </xdr:cNvCxnSpPr>
      </xdr:nvCxnSpPr>
      <xdr:spPr>
        <a:xfrm>
          <a:off x="1600200" y="15344775"/>
          <a:ext cx="0" cy="1343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76</xdr:row>
      <xdr:rowOff>0</xdr:rowOff>
    </xdr:from>
    <xdr:to>
      <xdr:col>34</xdr:col>
      <xdr:colOff>0</xdr:colOff>
      <xdr:row>77</xdr:row>
      <xdr:rowOff>0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34400" y="14592300"/>
          <a:ext cx="533400" cy="19050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77</xdr:row>
      <xdr:rowOff>1</xdr:rowOff>
    </xdr:from>
    <xdr:to>
      <xdr:col>33</xdr:col>
      <xdr:colOff>0</xdr:colOff>
      <xdr:row>87</xdr:row>
      <xdr:rowOff>1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21" idx="2"/>
          <a:endCxn id="4" idx="0"/>
        </xdr:cNvCxnSpPr>
      </xdr:nvCxnSpPr>
      <xdr:spPr>
        <a:xfrm rot="5400000">
          <a:off x="1600200" y="14782800"/>
          <a:ext cx="7200900" cy="1905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76</xdr:row>
      <xdr:rowOff>89646</xdr:rowOff>
    </xdr:from>
    <xdr:to>
      <xdr:col>10</xdr:col>
      <xdr:colOff>235323</xdr:colOff>
      <xdr:row>87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7" idx="3"/>
          <a:endCxn id="4" idx="0"/>
        </xdr:cNvCxnSpPr>
      </xdr:nvCxnSpPr>
      <xdr:spPr>
        <a:xfrm flipH="1">
          <a:off x="1600200" y="14678025"/>
          <a:ext cx="1304925" cy="2009775"/>
        </a:xfrm>
        <a:prstGeom prst="bentConnector4">
          <a:avLst>
            <a:gd name="adj1" fmla="val -19429"/>
            <a:gd name="adj2" fmla="val 5251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</xdr:row>
      <xdr:rowOff>0</xdr:rowOff>
    </xdr:from>
    <xdr:to>
      <xdr:col>62</xdr:col>
      <xdr:colOff>0</xdr:colOff>
      <xdr:row>27</xdr:row>
      <xdr:rowOff>11206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1257300"/>
          <a:ext cx="7200900" cy="4010025"/>
        </a:xfrm>
        <a:prstGeom prst="borderCallout1">
          <a:avLst>
            <a:gd name="adj1" fmla="val 56106"/>
            <a:gd name="adj2" fmla="val -236"/>
            <a:gd name="adj3" fmla="val 39688"/>
            <a:gd name="adj4" fmla="val -10060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1.1 promotion_codeの存在と有効性を確認する：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SELECT * m_store_promotion p WHERE p.COMPANY_CODE = User.CompanyCode AND p.STORE_CODE = param{selected_store} AND p.PROMO_PLAN_CODE = param{promotion_code} p.PROMO_END_DATE + p.PROMO_END_TIME &gt;= now()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ORDER BY COMPANY_CODE, STORE_CODE, PROMO_PLAN_CODE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LIMIT 1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 プロモーションが存在している場合、ステップ1.2を実行する。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・プロモーションが存在していない場合、422を返し、エラーメッセージ = MSG_VAL_019 （{0} = プロモーションコード）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1.2 ミックスマッチ時間がプロモーション期間内であるかを確認する。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・プロモーション期間内の場合: ステップ2 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・プロモーション期間外の場合、422を返し、エラーメッセージ= MSG_VAL_041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1.3  より大きな数量のオプションの平均値 &lt;= 前のオプション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・オプションを数量順に並べ替える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・商品の平均売価を計算する。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・順番に比較する。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 +数列が減少順の場合、「2.ミックスマッチ情報更新」を実行する。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 +数列が減少順でない場合、422を返し、エラーメッセージ = MSG_VAL_069を表示する。</a:t>
          </a: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</xdr:colOff>
      <xdr:row>13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3" idx="4"/>
          <a:endCxn id="26" idx="0"/>
        </xdr:cNvCxnSpPr>
      </xdr:nvCxnSpPr>
      <xdr:spPr>
        <a:xfrm>
          <a:off x="1600200" y="2019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179294</xdr:rowOff>
    </xdr:to>
    <xdr:sp macro="" textlink="" fLocksText="0">
      <xdr:nvSpPr>
        <xdr:cNvPr id="26" name="Flowchart: Decision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00100" y="259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1.バリデーションチェック</a:t>
          </a:r>
        </a:p>
      </xdr:txBody>
    </xdr:sp>
    <xdr:clientData/>
  </xdr:twoCellAnchor>
  <xdr:twoCellAnchor>
    <xdr:from>
      <xdr:col>5</xdr:col>
      <xdr:colOff>0</xdr:colOff>
      <xdr:row>17</xdr:row>
      <xdr:rowOff>179294</xdr:rowOff>
    </xdr:from>
    <xdr:to>
      <xdr:col>7</xdr:col>
      <xdr:colOff>0</xdr:colOff>
      <xdr:row>18</xdr:row>
      <xdr:rowOff>179294</xdr:rowOff>
    </xdr:to>
    <xdr:sp macro="" textlink="" fLocksText="0">
      <xdr:nvSpPr>
        <xdr:cNvPr id="27" name="Flowchart: Process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1333500" y="3533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14</xdr:row>
      <xdr:rowOff>179294</xdr:rowOff>
    </xdr:from>
    <xdr:to>
      <xdr:col>11</xdr:col>
      <xdr:colOff>0</xdr:colOff>
      <xdr:row>15</xdr:row>
      <xdr:rowOff>179294</xdr:rowOff>
    </xdr:to>
    <xdr:sp macro="" textlink="" fLocksText="0">
      <xdr:nvSpPr>
        <xdr:cNvPr id="28" name="Flowchart: Process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2400300" y="2962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11</xdr:col>
      <xdr:colOff>0</xdr:colOff>
      <xdr:row>15</xdr:row>
      <xdr:rowOff>84044</xdr:rowOff>
    </xdr:from>
    <xdr:to>
      <xdr:col>33</xdr:col>
      <xdr:colOff>0</xdr:colOff>
      <xdr:row>76</xdr:row>
      <xdr:rowOff>0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stCxn id="28" idx="3"/>
          <a:endCxn id="21" idx="0"/>
        </xdr:cNvCxnSpPr>
      </xdr:nvCxnSpPr>
      <xdr:spPr>
        <a:xfrm>
          <a:off x="2933700" y="3057525"/>
          <a:ext cx="5867400" cy="11534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0</xdr:rowOff>
    </xdr:from>
    <xdr:to>
      <xdr:col>9</xdr:col>
      <xdr:colOff>0</xdr:colOff>
      <xdr:row>54</xdr:row>
      <xdr:rowOff>0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001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4.2. ミックスマッチ商品データ配列ループ</a:t>
          </a:r>
        </a:p>
      </xdr:txBody>
    </xdr:sp>
    <xdr:clientData/>
  </xdr:twoCellAnchor>
  <xdr:twoCellAnchor>
    <xdr:from>
      <xdr:col>2</xdr:col>
      <xdr:colOff>240195</xdr:colOff>
      <xdr:row>57</xdr:row>
      <xdr:rowOff>190499</xdr:rowOff>
    </xdr:from>
    <xdr:to>
      <xdr:col>8</xdr:col>
      <xdr:colOff>235323</xdr:colOff>
      <xdr:row>62</xdr:row>
      <xdr:rowOff>179293</xdr:rowOff>
    </xdr:to>
    <xdr:sp macro="" textlink="" fLocksText="0">
      <xdr:nvSpPr>
        <xdr:cNvPr id="31" name="Flowchart: Decision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771525" y="11163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4.3. 存在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62</xdr:row>
      <xdr:rowOff>179293</xdr:rowOff>
    </xdr:from>
    <xdr:to>
      <xdr:col>6</xdr:col>
      <xdr:colOff>235323</xdr:colOff>
      <xdr:row>63</xdr:row>
      <xdr:rowOff>179293</xdr:rowOff>
    </xdr:to>
    <xdr:sp macro="" textlink="" fLocksText="0">
      <xdr:nvSpPr>
        <xdr:cNvPr id="32" name="Flowchart: Process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1304925" y="12106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59</xdr:row>
      <xdr:rowOff>179293</xdr:rowOff>
    </xdr:from>
    <xdr:to>
      <xdr:col>10</xdr:col>
      <xdr:colOff>235323</xdr:colOff>
      <xdr:row>60</xdr:row>
      <xdr:rowOff>179293</xdr:rowOff>
    </xdr:to>
    <xdr:sp macro="" textlink="" fLocksText="0">
      <xdr:nvSpPr>
        <xdr:cNvPr id="33" name="Flowchart: Process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2371725" y="11534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59</xdr:row>
      <xdr:rowOff>41414</xdr:rowOff>
    </xdr:from>
    <xdr:to>
      <xdr:col>62</xdr:col>
      <xdr:colOff>0</xdr:colOff>
      <xdr:row>63</xdr:row>
      <xdr:rowOff>41414</xdr:rowOff>
    </xdr:to>
    <xdr:sp macro="" textlink="" fLocksText="0">
      <xdr:nvSpPr>
        <xdr:cNvPr id="34" name="吹き出し: 線 2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9334500" y="11391900"/>
          <a:ext cx="7200900" cy="762000"/>
        </a:xfrm>
        <a:prstGeom prst="borderCallout1">
          <a:avLst>
            <a:gd name="adj1" fmla="val 33259"/>
            <a:gd name="adj2" fmla="val 117"/>
            <a:gd name="adj3" fmla="val 34625"/>
            <a:gd name="adj4" fmla="val -994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4.3. ミックスマッチに商品が存在しているかを確認する。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▪存在している場合、「4.4.ミックスマッチ商品更新」を実行する。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▪存在していない場合、「4.5 ミックスマッチ商品新規作成」を実行する。</a:t>
          </a:r>
        </a:p>
      </xdr:txBody>
    </xdr:sp>
    <xdr:clientData/>
  </xdr:twoCellAnchor>
  <xdr:twoCellAnchor>
    <xdr:from>
      <xdr:col>5</xdr:col>
      <xdr:colOff>237759</xdr:colOff>
      <xdr:row>54</xdr:row>
      <xdr:rowOff>0</xdr:rowOff>
    </xdr:from>
    <xdr:to>
      <xdr:col>6</xdr:col>
      <xdr:colOff>0</xdr:colOff>
      <xdr:row>57</xdr:row>
      <xdr:rowOff>190499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30" idx="2"/>
          <a:endCxn id="31" idx="0"/>
        </xdr:cNvCxnSpPr>
      </xdr:nvCxnSpPr>
      <xdr:spPr>
        <a:xfrm flipH="1">
          <a:off x="1571625" y="10401300"/>
          <a:ext cx="28575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66</xdr:row>
      <xdr:rowOff>0</xdr:rowOff>
    </xdr:from>
    <xdr:to>
      <xdr:col>9</xdr:col>
      <xdr:colOff>0</xdr:colOff>
      <xdr:row>70</xdr:row>
      <xdr:rowOff>0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00100" y="1268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4.4. ミックスマッチ商品更新</a:t>
          </a:r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17</xdr:col>
      <xdr:colOff>0</xdr:colOff>
      <xdr:row>70</xdr:row>
      <xdr:rowOff>0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2933700" y="1268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4.5. ミックスマッチ商品新規作成</a:t>
          </a:r>
        </a:p>
      </xdr:txBody>
    </xdr:sp>
    <xdr:clientData/>
  </xdr:twoCellAnchor>
  <xdr:twoCellAnchor>
    <xdr:from>
      <xdr:col>5</xdr:col>
      <xdr:colOff>235324</xdr:colOff>
      <xdr:row>63</xdr:row>
      <xdr:rowOff>179293</xdr:rowOff>
    </xdr:from>
    <xdr:to>
      <xdr:col>6</xdr:col>
      <xdr:colOff>0</xdr:colOff>
      <xdr:row>66</xdr:row>
      <xdr:rowOff>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32" idx="2"/>
          <a:endCxn id="36" idx="0"/>
        </xdr:cNvCxnSpPr>
      </xdr:nvCxnSpPr>
      <xdr:spPr>
        <a:xfrm>
          <a:off x="1571625" y="12296775"/>
          <a:ext cx="28575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235323</xdr:colOff>
      <xdr:row>60</xdr:row>
      <xdr:rowOff>84043</xdr:rowOff>
    </xdr:from>
    <xdr:to>
      <xdr:col>14</xdr:col>
      <xdr:colOff>0</xdr:colOff>
      <xdr:row>66</xdr:row>
      <xdr:rowOff>0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33" idx="3"/>
          <a:endCxn id="37" idx="0"/>
        </xdr:cNvCxnSpPr>
      </xdr:nvCxnSpPr>
      <xdr:spPr>
        <a:xfrm>
          <a:off x="2905125" y="11630025"/>
          <a:ext cx="828675" cy="1057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237759</xdr:colOff>
      <xdr:row>70</xdr:row>
      <xdr:rowOff>0</xdr:rowOff>
    </xdr:from>
    <xdr:to>
      <xdr:col>6</xdr:col>
      <xdr:colOff>0</xdr:colOff>
      <xdr:row>73</xdr:row>
      <xdr:rowOff>190499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36" idx="2"/>
          <a:endCxn id="15" idx="0"/>
        </xdr:cNvCxnSpPr>
      </xdr:nvCxnSpPr>
      <xdr:spPr>
        <a:xfrm flipH="1">
          <a:off x="1571625" y="13449300"/>
          <a:ext cx="28575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237760</xdr:colOff>
      <xdr:row>69</xdr:row>
      <xdr:rowOff>190499</xdr:rowOff>
    </xdr:from>
    <xdr:to>
      <xdr:col>14</xdr:col>
      <xdr:colOff>1</xdr:colOff>
      <xdr:row>73</xdr:row>
      <xdr:rowOff>190498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>
          <a:stCxn id="37" idx="2"/>
          <a:endCxn id="15" idx="0"/>
        </xdr:cNvCxnSpPr>
      </xdr:nvCxnSpPr>
      <xdr:spPr>
        <a:xfrm rot="5400000">
          <a:off x="1571625" y="13449300"/>
          <a:ext cx="2162175" cy="762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18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15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13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2"/>
      <c r="AP2" s="11" t="str">
        <f>改訂履歴!$H$11</f>
        <v>DuNT</v>
      </c>
      <c r="AQ2" s="10"/>
      <c r="AR2" s="10"/>
      <c r="AS2" s="9"/>
      <c r="AT2" s="108">
        <f>改訂履歴!$B$11</f>
        <v>45586</v>
      </c>
      <c r="AU2" s="109"/>
      <c r="AV2" s="109"/>
      <c r="AW2" s="109"/>
      <c r="AX2" s="110"/>
      <c r="AY2" s="11" t="str">
        <f>LOOKUP(2,1/(改訂履歴!H11:H30000&lt;&gt;""),改訂履歴!H11:H30000)</f>
        <v>DuNT</v>
      </c>
      <c r="AZ2" s="10"/>
      <c r="BA2" s="10"/>
      <c r="BB2" s="9"/>
      <c r="BC2" s="108">
        <f>LOOKUP(2,1/(改訂履歴!B11:B30000&lt;&gt;""),改訂履歴!B11:B30000)</f>
        <v>45653</v>
      </c>
      <c r="BD2" s="109"/>
      <c r="BE2" s="109"/>
      <c r="BF2" s="109"/>
      <c r="BG2" s="110"/>
      <c r="BH2" s="102">
        <f>LOOKUP(2,1/(改訂履歴!O11:O30000&lt;&gt;""),改訂履歴!O11:O30000)</f>
        <v>0.13</v>
      </c>
      <c r="BI2" s="103"/>
      <c r="BJ2" s="103"/>
      <c r="BK2" s="104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93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5"/>
      <c r="AP3" s="8"/>
      <c r="AQ3" s="7"/>
      <c r="AR3" s="7"/>
      <c r="AS3" s="6"/>
      <c r="AT3" s="111"/>
      <c r="AU3" s="112"/>
      <c r="AV3" s="112"/>
      <c r="AW3" s="112"/>
      <c r="AX3" s="113"/>
      <c r="AY3" s="8"/>
      <c r="AZ3" s="7"/>
      <c r="BA3" s="7"/>
      <c r="BB3" s="6"/>
      <c r="BC3" s="111"/>
      <c r="BD3" s="112"/>
      <c r="BE3" s="112"/>
      <c r="BF3" s="112"/>
      <c r="BG3" s="113"/>
      <c r="BH3" s="105"/>
      <c r="BI3" s="106"/>
      <c r="BJ3" s="106"/>
      <c r="BK3" s="107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98" t="s">
        <v>81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100"/>
      <c r="U4" s="14" t="s">
        <v>8</v>
      </c>
      <c r="V4" s="13"/>
      <c r="W4" s="13"/>
      <c r="X4" s="13"/>
      <c r="Y4" s="12"/>
      <c r="Z4" s="101" t="s">
        <v>17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100"/>
      <c r="AP4" s="98" t="str">
        <f t="array" aca="1" ref="AP4" ca="1">RIGHT(CELL("filename",$A$1),LEN(CELL("filename",$A$1))-FIND("]",CELL("filename",$A$1)))</f>
        <v>表紙</v>
      </c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100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96" t="s">
        <v>16</v>
      </c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26"/>
      <c r="BK16" s="18"/>
    </row>
    <row r="17" spans="1:63" ht="15" customHeight="1" x14ac:dyDescent="0.25">
      <c r="A17" s="15"/>
      <c r="K17" s="20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26"/>
      <c r="BK17" s="18"/>
    </row>
    <row r="18" spans="1:63" ht="15" customHeight="1" x14ac:dyDescent="0.25">
      <c r="A18" s="15"/>
      <c r="K18" s="20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26"/>
      <c r="BK18" s="18"/>
    </row>
    <row r="19" spans="1:63" ht="15" customHeight="1" x14ac:dyDescent="0.25">
      <c r="A19" s="15"/>
      <c r="K19" s="20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26"/>
      <c r="BK19" s="18"/>
    </row>
    <row r="20" spans="1:63" ht="15" customHeight="1" x14ac:dyDescent="0.25">
      <c r="A20" s="15"/>
      <c r="K20" s="20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26"/>
      <c r="BK20" s="18"/>
    </row>
    <row r="21" spans="1:63" ht="15" customHeight="1" x14ac:dyDescent="0.25">
      <c r="A21" s="15"/>
      <c r="K21" s="20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97" t="str">
        <f>K2&amp;"/"&amp;H4&amp;"/"&amp;Z4</f>
        <v>POSサーバ/AP0504/API設計書</v>
      </c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26"/>
      <c r="BK24" s="18"/>
    </row>
    <row r="25" spans="1:63" ht="15" customHeight="1" x14ac:dyDescent="0.25">
      <c r="A25" s="15"/>
      <c r="K25" s="20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26"/>
      <c r="BK25" s="18"/>
    </row>
    <row r="26" spans="1:63" ht="15" customHeight="1" x14ac:dyDescent="0.25">
      <c r="A26" s="15"/>
      <c r="K26" s="20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26"/>
      <c r="BK26" s="18"/>
    </row>
    <row r="27" spans="1:63" ht="15" customHeight="1" x14ac:dyDescent="0.25">
      <c r="A27" s="15"/>
      <c r="K27" s="20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26"/>
      <c r="BK27" s="18"/>
    </row>
    <row r="28" spans="1:63" ht="15" customHeight="1" x14ac:dyDescent="0.25">
      <c r="A28" s="15"/>
      <c r="K28" s="20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26"/>
      <c r="BK28" s="18"/>
    </row>
    <row r="29" spans="1:63" ht="15" customHeight="1" x14ac:dyDescent="0.25">
      <c r="A29" s="15"/>
      <c r="K29" s="20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26"/>
      <c r="BK29" s="18"/>
    </row>
    <row r="30" spans="1:63" ht="15" customHeight="1" x14ac:dyDescent="0.25">
      <c r="A30" s="15"/>
      <c r="K30" s="20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26"/>
      <c r="BK30" s="18"/>
    </row>
    <row r="31" spans="1:63" ht="15" customHeight="1" x14ac:dyDescent="0.25">
      <c r="A31" s="15"/>
      <c r="K31" s="20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26"/>
      <c r="BK31" s="18"/>
    </row>
    <row r="32" spans="1:63" ht="15" customHeight="1" x14ac:dyDescent="0.25">
      <c r="A32" s="15"/>
      <c r="K32" s="20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26"/>
      <c r="BK32" s="18"/>
    </row>
    <row r="33" spans="1:63" ht="15" customHeight="1" x14ac:dyDescent="0.25">
      <c r="A33" s="15"/>
      <c r="K33" s="20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26"/>
      <c r="BK33" s="18"/>
    </row>
    <row r="34" spans="1:63" ht="15" customHeight="1" x14ac:dyDescent="0.25">
      <c r="A34" s="15"/>
      <c r="K34" s="20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26"/>
      <c r="BK34" s="18"/>
    </row>
    <row r="35" spans="1:63" ht="15" customHeight="1" x14ac:dyDescent="0.25">
      <c r="A35" s="15"/>
      <c r="K35" s="20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26"/>
      <c r="BK35" s="18"/>
    </row>
    <row r="36" spans="1:63" ht="15" customHeight="1" x14ac:dyDescent="0.25">
      <c r="A36" s="15"/>
      <c r="K36" s="20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117" t="s">
        <v>11</v>
      </c>
      <c r="R44" s="118"/>
      <c r="S44" s="118"/>
      <c r="T44" s="118"/>
      <c r="U44" s="118"/>
      <c r="V44" s="118"/>
      <c r="W44" s="118"/>
      <c r="X44" s="118"/>
      <c r="Y44" s="118"/>
      <c r="Z44" s="119"/>
      <c r="AA44" s="117" t="s">
        <v>12</v>
      </c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9"/>
      <c r="AQ44" s="117" t="s">
        <v>7</v>
      </c>
      <c r="AR44" s="118"/>
      <c r="AS44" s="118"/>
      <c r="AT44" s="118"/>
      <c r="AU44" s="119"/>
      <c r="BK44" s="18"/>
    </row>
    <row r="45" spans="1:63" ht="15" customHeight="1" x14ac:dyDescent="0.25">
      <c r="A45" s="15"/>
      <c r="Q45" s="120"/>
      <c r="R45" s="121"/>
      <c r="S45" s="121"/>
      <c r="T45" s="121"/>
      <c r="U45" s="121"/>
      <c r="V45" s="121"/>
      <c r="W45" s="121"/>
      <c r="X45" s="121"/>
      <c r="Y45" s="121"/>
      <c r="Z45" s="122"/>
      <c r="AA45" s="120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2"/>
      <c r="AQ45" s="120"/>
      <c r="AR45" s="121"/>
      <c r="AS45" s="121"/>
      <c r="AT45" s="121"/>
      <c r="AU45" s="122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114"/>
      <c r="R47" s="115"/>
      <c r="S47" s="115"/>
      <c r="T47" s="115"/>
      <c r="U47" s="115"/>
      <c r="V47" s="115"/>
      <c r="W47" s="115"/>
      <c r="X47" s="115"/>
      <c r="Y47" s="115"/>
      <c r="Z47" s="116"/>
      <c r="AA47" s="114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6"/>
      <c r="AQ47" s="114"/>
      <c r="AR47" s="115"/>
      <c r="AS47" s="115"/>
      <c r="AT47" s="115"/>
      <c r="AU47" s="116"/>
      <c r="BK47" s="18"/>
    </row>
    <row r="48" spans="1:63" ht="15" customHeight="1" x14ac:dyDescent="0.25">
      <c r="A48" s="15"/>
      <c r="Q48" s="114"/>
      <c r="R48" s="115"/>
      <c r="S48" s="115"/>
      <c r="T48" s="115"/>
      <c r="U48" s="115"/>
      <c r="V48" s="115"/>
      <c r="W48" s="115"/>
      <c r="X48" s="115"/>
      <c r="Y48" s="115"/>
      <c r="Z48" s="116"/>
      <c r="AA48" s="114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6"/>
      <c r="AQ48" s="114"/>
      <c r="AR48" s="115"/>
      <c r="AS48" s="115"/>
      <c r="AT48" s="115"/>
      <c r="AU48" s="116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123" t="str">
        <f>IF(表紙!W1="","",表紙!W1)</f>
        <v>詳細設計書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1" t="str">
        <f>IF(表紙!A2="","",表紙!A2)</f>
        <v>POSサーバー</v>
      </c>
      <c r="B2" s="10"/>
      <c r="C2" s="10"/>
      <c r="D2" s="10"/>
      <c r="E2" s="10"/>
      <c r="F2" s="10"/>
      <c r="G2" s="10"/>
      <c r="H2" s="10"/>
      <c r="I2" s="10"/>
      <c r="J2" s="9"/>
      <c r="K2" s="11" t="str">
        <f>IF(表紙!K2="","",表紙!K2)</f>
        <v>POSサーバ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2"/>
      <c r="AP2" s="11" t="str">
        <f>IF(表紙!AP2="","",表紙!AP2)</f>
        <v>DuNT</v>
      </c>
      <c r="AQ2" s="10"/>
      <c r="AR2" s="10"/>
      <c r="AS2" s="9"/>
      <c r="AT2" s="108">
        <f>IF(表紙!AT2="","",表紙!AT2)</f>
        <v>45586</v>
      </c>
      <c r="AU2" s="109"/>
      <c r="AV2" s="109"/>
      <c r="AW2" s="109"/>
      <c r="AX2" s="110"/>
      <c r="AY2" s="11" t="str">
        <f>IF(表紙!AY2="","",表紙!AY2)</f>
        <v>DuNT</v>
      </c>
      <c r="AZ2" s="10"/>
      <c r="BA2" s="10"/>
      <c r="BB2" s="9"/>
      <c r="BC2" s="108">
        <f>IF(表紙!BC2="","",表紙!BC2)</f>
        <v>45653</v>
      </c>
      <c r="BD2" s="109"/>
      <c r="BE2" s="109"/>
      <c r="BF2" s="109"/>
      <c r="BG2" s="110"/>
      <c r="BH2" s="11">
        <f>IF(表紙!BH2="","",表紙!BH2)</f>
        <v>0.13</v>
      </c>
      <c r="BI2" s="10"/>
      <c r="BJ2" s="10"/>
      <c r="BK2" s="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93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5"/>
      <c r="AP3" s="8"/>
      <c r="AQ3" s="7"/>
      <c r="AR3" s="7"/>
      <c r="AS3" s="6"/>
      <c r="AT3" s="111"/>
      <c r="AU3" s="112"/>
      <c r="AV3" s="112"/>
      <c r="AW3" s="112"/>
      <c r="AX3" s="113"/>
      <c r="AY3" s="8"/>
      <c r="AZ3" s="7"/>
      <c r="BA3" s="7"/>
      <c r="BB3" s="6"/>
      <c r="BC3" s="111"/>
      <c r="BD3" s="112"/>
      <c r="BE3" s="112"/>
      <c r="BF3" s="112"/>
      <c r="BG3" s="113"/>
      <c r="BH3" s="8"/>
      <c r="BI3" s="7"/>
      <c r="BJ3" s="7"/>
      <c r="BK3" s="6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98" t="str">
        <f>IF(表紙!H4="","",表紙!H4)</f>
        <v>AP0504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100"/>
      <c r="U4" s="14" t="s">
        <v>8</v>
      </c>
      <c r="V4" s="13"/>
      <c r="W4" s="13"/>
      <c r="X4" s="13"/>
      <c r="Y4" s="12"/>
      <c r="Z4" s="98" t="str">
        <f>IF(表紙!Z4="","",表紙!Z4)</f>
        <v>API設計書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100"/>
      <c r="AP4" s="98" t="str">
        <f t="array" aca="1" ref="AP4" ca="1">RIGHT(CELL("filename",$A$1),LEN(CELL("filename",$A$1))-FIND("]",CELL("filename",$A$1)))</f>
        <v>改訂履歴</v>
      </c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100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146" t="s">
        <v>6</v>
      </c>
      <c r="C10" s="146"/>
      <c r="D10" s="146"/>
      <c r="E10" s="146"/>
      <c r="F10" s="146"/>
      <c r="G10" s="146"/>
      <c r="H10" s="146" t="s">
        <v>5</v>
      </c>
      <c r="I10" s="146"/>
      <c r="J10" s="146"/>
      <c r="K10" s="146"/>
      <c r="L10" s="146"/>
      <c r="M10" s="146"/>
      <c r="N10" s="146"/>
      <c r="O10" s="146" t="s">
        <v>7</v>
      </c>
      <c r="P10" s="146"/>
      <c r="Q10" s="146"/>
      <c r="R10" s="146"/>
      <c r="S10" s="146" t="s">
        <v>10</v>
      </c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 t="s">
        <v>11</v>
      </c>
      <c r="AY10" s="146"/>
      <c r="AZ10" s="146"/>
      <c r="BA10" s="146"/>
      <c r="BB10" s="146"/>
      <c r="BC10" s="146"/>
      <c r="BD10" s="146" t="s">
        <v>12</v>
      </c>
      <c r="BE10" s="146"/>
      <c r="BF10" s="146"/>
      <c r="BG10" s="146"/>
      <c r="BH10" s="146"/>
      <c r="BI10" s="146"/>
      <c r="BJ10" s="146"/>
      <c r="BK10" s="18"/>
    </row>
    <row r="11" spans="1:63" ht="15" customHeight="1" x14ac:dyDescent="0.25">
      <c r="A11" s="15"/>
      <c r="B11" s="108">
        <v>45586</v>
      </c>
      <c r="C11" s="10"/>
      <c r="D11" s="10"/>
      <c r="E11" s="10"/>
      <c r="F11" s="10"/>
      <c r="G11" s="9"/>
      <c r="H11" s="5" t="s">
        <v>148</v>
      </c>
      <c r="I11" s="10"/>
      <c r="J11" s="10"/>
      <c r="K11" s="10"/>
      <c r="L11" s="10"/>
      <c r="M11" s="10"/>
      <c r="N11" s="9"/>
      <c r="O11" s="11">
        <v>0.1</v>
      </c>
      <c r="P11" s="10"/>
      <c r="Q11" s="10"/>
      <c r="R11" s="10"/>
      <c r="S11" s="143" t="s">
        <v>14</v>
      </c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5"/>
      <c r="AX11" s="134"/>
      <c r="AY11" s="134"/>
      <c r="AZ11" s="134"/>
      <c r="BA11" s="134"/>
      <c r="BB11" s="134"/>
      <c r="BC11" s="135"/>
      <c r="BD11" s="138"/>
      <c r="BE11" s="134"/>
      <c r="BF11" s="134"/>
      <c r="BG11" s="134"/>
      <c r="BH11" s="134"/>
      <c r="BI11" s="134"/>
      <c r="BJ11" s="135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140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2"/>
      <c r="AX12" s="136"/>
      <c r="AY12" s="136"/>
      <c r="AZ12" s="136"/>
      <c r="BA12" s="136"/>
      <c r="BB12" s="136"/>
      <c r="BC12" s="137"/>
      <c r="BD12" s="139"/>
      <c r="BE12" s="136"/>
      <c r="BF12" s="136"/>
      <c r="BG12" s="136"/>
      <c r="BH12" s="136"/>
      <c r="BI12" s="136"/>
      <c r="BJ12" s="137"/>
      <c r="BK12" s="18"/>
    </row>
    <row r="13" spans="1:63" ht="15" customHeight="1" x14ac:dyDescent="0.25">
      <c r="A13" s="15"/>
      <c r="B13" s="124">
        <v>45607</v>
      </c>
      <c r="C13" s="125"/>
      <c r="D13" s="125"/>
      <c r="E13" s="125"/>
      <c r="F13" s="125"/>
      <c r="G13" s="126"/>
      <c r="H13" s="130" t="s">
        <v>148</v>
      </c>
      <c r="I13" s="125"/>
      <c r="J13" s="125"/>
      <c r="K13" s="125"/>
      <c r="L13" s="125"/>
      <c r="M13" s="125"/>
      <c r="N13" s="126"/>
      <c r="O13" s="130">
        <v>0.11</v>
      </c>
      <c r="P13" s="125"/>
      <c r="Q13" s="125"/>
      <c r="R13" s="125"/>
      <c r="S13" s="131" t="s">
        <v>124</v>
      </c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3"/>
      <c r="AX13" s="134"/>
      <c r="AY13" s="134"/>
      <c r="AZ13" s="134"/>
      <c r="BA13" s="134"/>
      <c r="BB13" s="134"/>
      <c r="BC13" s="135"/>
      <c r="BD13" s="138"/>
      <c r="BE13" s="134"/>
      <c r="BF13" s="134"/>
      <c r="BG13" s="134"/>
      <c r="BH13" s="134"/>
      <c r="BI13" s="134"/>
      <c r="BJ13" s="135"/>
      <c r="BK13" s="18"/>
    </row>
    <row r="14" spans="1:63" ht="15" customHeight="1" x14ac:dyDescent="0.25">
      <c r="A14" s="15"/>
      <c r="B14" s="127"/>
      <c r="C14" s="128"/>
      <c r="D14" s="128"/>
      <c r="E14" s="128"/>
      <c r="F14" s="128"/>
      <c r="G14" s="129"/>
      <c r="H14" s="127"/>
      <c r="I14" s="128"/>
      <c r="J14" s="128"/>
      <c r="K14" s="128"/>
      <c r="L14" s="128"/>
      <c r="M14" s="128"/>
      <c r="N14" s="129"/>
      <c r="O14" s="127"/>
      <c r="P14" s="128"/>
      <c r="Q14" s="128"/>
      <c r="R14" s="128"/>
      <c r="S14" s="160" t="s">
        <v>123</v>
      </c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2"/>
      <c r="AX14" s="136"/>
      <c r="AY14" s="136"/>
      <c r="AZ14" s="136"/>
      <c r="BA14" s="136"/>
      <c r="BB14" s="136"/>
      <c r="BC14" s="137"/>
      <c r="BD14" s="139"/>
      <c r="BE14" s="136"/>
      <c r="BF14" s="136"/>
      <c r="BG14" s="136"/>
      <c r="BH14" s="136"/>
      <c r="BI14" s="136"/>
      <c r="BJ14" s="137"/>
      <c r="BK14" s="18"/>
    </row>
    <row r="15" spans="1:63" ht="15" customHeight="1" x14ac:dyDescent="0.25">
      <c r="A15" s="15"/>
      <c r="B15" s="163">
        <v>45649</v>
      </c>
      <c r="C15" s="164"/>
      <c r="D15" s="164"/>
      <c r="E15" s="164"/>
      <c r="F15" s="164"/>
      <c r="G15" s="165"/>
      <c r="H15" s="169" t="s">
        <v>149</v>
      </c>
      <c r="I15" s="164"/>
      <c r="J15" s="164"/>
      <c r="K15" s="164"/>
      <c r="L15" s="164"/>
      <c r="M15" s="164"/>
      <c r="N15" s="165"/>
      <c r="O15" s="169">
        <v>0.12</v>
      </c>
      <c r="P15" s="164"/>
      <c r="Q15" s="164"/>
      <c r="R15" s="164"/>
      <c r="S15" s="170" t="s">
        <v>140</v>
      </c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2"/>
      <c r="AX15" s="134"/>
      <c r="AY15" s="134"/>
      <c r="AZ15" s="134"/>
      <c r="BA15" s="134"/>
      <c r="BB15" s="134"/>
      <c r="BC15" s="135"/>
      <c r="BD15" s="138"/>
      <c r="BE15" s="134"/>
      <c r="BF15" s="134"/>
      <c r="BG15" s="134"/>
      <c r="BH15" s="134"/>
      <c r="BI15" s="134"/>
      <c r="BJ15" s="135"/>
      <c r="BK15" s="18"/>
    </row>
    <row r="16" spans="1:63" ht="15" customHeight="1" x14ac:dyDescent="0.25">
      <c r="A16" s="15"/>
      <c r="B16" s="166"/>
      <c r="C16" s="167"/>
      <c r="D16" s="167"/>
      <c r="E16" s="167"/>
      <c r="F16" s="167"/>
      <c r="G16" s="168"/>
      <c r="H16" s="166"/>
      <c r="I16" s="167"/>
      <c r="J16" s="167"/>
      <c r="K16" s="167"/>
      <c r="L16" s="167"/>
      <c r="M16" s="167"/>
      <c r="N16" s="168"/>
      <c r="O16" s="166"/>
      <c r="P16" s="167"/>
      <c r="Q16" s="167"/>
      <c r="R16" s="167"/>
      <c r="S16" s="173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5"/>
      <c r="AX16" s="136"/>
      <c r="AY16" s="136"/>
      <c r="AZ16" s="136"/>
      <c r="BA16" s="136"/>
      <c r="BB16" s="136"/>
      <c r="BC16" s="137"/>
      <c r="BD16" s="139"/>
      <c r="BE16" s="136"/>
      <c r="BF16" s="136"/>
      <c r="BG16" s="136"/>
      <c r="BH16" s="136"/>
      <c r="BI16" s="136"/>
      <c r="BJ16" s="137"/>
      <c r="BK16" s="18"/>
    </row>
    <row r="17" spans="1:63" ht="15" customHeight="1" x14ac:dyDescent="0.25">
      <c r="A17" s="15"/>
      <c r="B17" s="147">
        <v>45653</v>
      </c>
      <c r="C17" s="148"/>
      <c r="D17" s="148"/>
      <c r="E17" s="148"/>
      <c r="F17" s="148"/>
      <c r="G17" s="149"/>
      <c r="H17" s="153" t="s">
        <v>144</v>
      </c>
      <c r="I17" s="148"/>
      <c r="J17" s="148"/>
      <c r="K17" s="148"/>
      <c r="L17" s="148"/>
      <c r="M17" s="148"/>
      <c r="N17" s="149"/>
      <c r="O17" s="153">
        <v>0.13</v>
      </c>
      <c r="P17" s="148"/>
      <c r="Q17" s="148"/>
      <c r="R17" s="148"/>
      <c r="S17" s="154" t="s">
        <v>145</v>
      </c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6"/>
      <c r="AX17" s="134"/>
      <c r="AY17" s="134"/>
      <c r="AZ17" s="134"/>
      <c r="BA17" s="134"/>
      <c r="BB17" s="134"/>
      <c r="BC17" s="135"/>
      <c r="BD17" s="138"/>
      <c r="BE17" s="134"/>
      <c r="BF17" s="134"/>
      <c r="BG17" s="134"/>
      <c r="BH17" s="134"/>
      <c r="BI17" s="134"/>
      <c r="BJ17" s="135"/>
      <c r="BK17" s="18"/>
    </row>
    <row r="18" spans="1:63" ht="15" customHeight="1" x14ac:dyDescent="0.25">
      <c r="A18" s="15"/>
      <c r="B18" s="150"/>
      <c r="C18" s="151"/>
      <c r="D18" s="151"/>
      <c r="E18" s="151"/>
      <c r="F18" s="151"/>
      <c r="G18" s="152"/>
      <c r="H18" s="150"/>
      <c r="I18" s="151"/>
      <c r="J18" s="151"/>
      <c r="K18" s="151"/>
      <c r="L18" s="151"/>
      <c r="M18" s="151"/>
      <c r="N18" s="152"/>
      <c r="O18" s="150"/>
      <c r="P18" s="151"/>
      <c r="Q18" s="151"/>
      <c r="R18" s="151"/>
      <c r="S18" s="157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9"/>
      <c r="AX18" s="136"/>
      <c r="AY18" s="136"/>
      <c r="AZ18" s="136"/>
      <c r="BA18" s="136"/>
      <c r="BB18" s="136"/>
      <c r="BC18" s="137"/>
      <c r="BD18" s="139"/>
      <c r="BE18" s="136"/>
      <c r="BF18" s="136"/>
      <c r="BG18" s="136"/>
      <c r="BH18" s="136"/>
      <c r="BI18" s="136"/>
      <c r="BJ18" s="137"/>
      <c r="BK18" s="18"/>
    </row>
    <row r="19" spans="1:63" ht="15" customHeight="1" x14ac:dyDescent="0.25">
      <c r="A19" s="15"/>
      <c r="B19" s="176">
        <v>45653</v>
      </c>
      <c r="C19" s="177"/>
      <c r="D19" s="177"/>
      <c r="E19" s="177"/>
      <c r="F19" s="177"/>
      <c r="G19" s="178"/>
      <c r="H19" s="182" t="s">
        <v>66</v>
      </c>
      <c r="I19" s="177"/>
      <c r="J19" s="177"/>
      <c r="K19" s="177"/>
      <c r="L19" s="177"/>
      <c r="M19" s="177"/>
      <c r="N19" s="178"/>
      <c r="O19" s="182">
        <v>0.13</v>
      </c>
      <c r="P19" s="177"/>
      <c r="Q19" s="177"/>
      <c r="R19" s="177"/>
      <c r="S19" s="183" t="s">
        <v>146</v>
      </c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  <c r="AT19" s="184"/>
      <c r="AU19" s="184"/>
      <c r="AV19" s="184"/>
      <c r="AW19" s="185"/>
      <c r="AX19" s="134"/>
      <c r="AY19" s="134"/>
      <c r="AZ19" s="134"/>
      <c r="BA19" s="134"/>
      <c r="BB19" s="134"/>
      <c r="BC19" s="135"/>
      <c r="BD19" s="138"/>
      <c r="BE19" s="134"/>
      <c r="BF19" s="134"/>
      <c r="BG19" s="134"/>
      <c r="BH19" s="134"/>
      <c r="BI19" s="134"/>
      <c r="BJ19" s="135"/>
      <c r="BK19" s="18"/>
    </row>
    <row r="20" spans="1:63" ht="15" customHeight="1" x14ac:dyDescent="0.25">
      <c r="A20" s="15"/>
      <c r="B20" s="179"/>
      <c r="C20" s="180"/>
      <c r="D20" s="180"/>
      <c r="E20" s="180"/>
      <c r="F20" s="180"/>
      <c r="G20" s="181"/>
      <c r="H20" s="179"/>
      <c r="I20" s="180"/>
      <c r="J20" s="180"/>
      <c r="K20" s="180"/>
      <c r="L20" s="180"/>
      <c r="M20" s="180"/>
      <c r="N20" s="181"/>
      <c r="O20" s="179"/>
      <c r="P20" s="180"/>
      <c r="Q20" s="180"/>
      <c r="R20" s="180"/>
      <c r="S20" s="186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7"/>
      <c r="AT20" s="187"/>
      <c r="AU20" s="187"/>
      <c r="AV20" s="187"/>
      <c r="AW20" s="188"/>
      <c r="AX20" s="136"/>
      <c r="AY20" s="136"/>
      <c r="AZ20" s="136"/>
      <c r="BA20" s="136"/>
      <c r="BB20" s="136"/>
      <c r="BC20" s="137"/>
      <c r="BD20" s="139"/>
      <c r="BE20" s="136"/>
      <c r="BF20" s="136"/>
      <c r="BG20" s="136"/>
      <c r="BH20" s="136"/>
      <c r="BI20" s="136"/>
      <c r="BJ20" s="137"/>
      <c r="BK20" s="18"/>
    </row>
    <row r="21" spans="1:63" ht="15" customHeight="1" x14ac:dyDescent="0.25">
      <c r="A21" s="15"/>
      <c r="B21" s="11"/>
      <c r="C21" s="10"/>
      <c r="D21" s="10"/>
      <c r="E21" s="10"/>
      <c r="F21" s="10"/>
      <c r="G21" s="9"/>
      <c r="H21" s="11"/>
      <c r="I21" s="10"/>
      <c r="J21" s="10"/>
      <c r="K21" s="10"/>
      <c r="L21" s="10"/>
      <c r="M21" s="10"/>
      <c r="N21" s="9"/>
      <c r="O21" s="11"/>
      <c r="P21" s="10"/>
      <c r="Q21" s="10"/>
      <c r="R21" s="10"/>
      <c r="S21" s="143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5"/>
      <c r="AX21" s="134"/>
      <c r="AY21" s="134"/>
      <c r="AZ21" s="134"/>
      <c r="BA21" s="134"/>
      <c r="BB21" s="134"/>
      <c r="BC21" s="135"/>
      <c r="BD21" s="138"/>
      <c r="BE21" s="134"/>
      <c r="BF21" s="134"/>
      <c r="BG21" s="134"/>
      <c r="BH21" s="134"/>
      <c r="BI21" s="134"/>
      <c r="BJ21" s="135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140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2"/>
      <c r="AX22" s="136"/>
      <c r="AY22" s="136"/>
      <c r="AZ22" s="136"/>
      <c r="BA22" s="136"/>
      <c r="BB22" s="136"/>
      <c r="BC22" s="137"/>
      <c r="BD22" s="139"/>
      <c r="BE22" s="136"/>
      <c r="BF22" s="136"/>
      <c r="BG22" s="136"/>
      <c r="BH22" s="136"/>
      <c r="BI22" s="136"/>
      <c r="BJ22" s="137"/>
      <c r="BK22" s="18"/>
    </row>
    <row r="23" spans="1:63" ht="15" customHeight="1" x14ac:dyDescent="0.25">
      <c r="A23" s="15"/>
      <c r="B23" s="11"/>
      <c r="C23" s="10"/>
      <c r="D23" s="10"/>
      <c r="E23" s="10"/>
      <c r="F23" s="10"/>
      <c r="G23" s="9"/>
      <c r="H23" s="11"/>
      <c r="I23" s="10"/>
      <c r="J23" s="10"/>
      <c r="K23" s="10"/>
      <c r="L23" s="10"/>
      <c r="M23" s="10"/>
      <c r="N23" s="9"/>
      <c r="O23" s="11"/>
      <c r="P23" s="10"/>
      <c r="Q23" s="10"/>
      <c r="R23" s="10"/>
      <c r="S23" s="143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5"/>
      <c r="AX23" s="134"/>
      <c r="AY23" s="134"/>
      <c r="AZ23" s="134"/>
      <c r="BA23" s="134"/>
      <c r="BB23" s="134"/>
      <c r="BC23" s="135"/>
      <c r="BD23" s="138"/>
      <c r="BE23" s="134"/>
      <c r="BF23" s="134"/>
      <c r="BG23" s="134"/>
      <c r="BH23" s="134"/>
      <c r="BI23" s="134"/>
      <c r="BJ23" s="135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140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2"/>
      <c r="AX24" s="136"/>
      <c r="AY24" s="136"/>
      <c r="AZ24" s="136"/>
      <c r="BA24" s="136"/>
      <c r="BB24" s="136"/>
      <c r="BC24" s="137"/>
      <c r="BD24" s="139"/>
      <c r="BE24" s="136"/>
      <c r="BF24" s="136"/>
      <c r="BG24" s="136"/>
      <c r="BH24" s="136"/>
      <c r="BI24" s="136"/>
      <c r="BJ24" s="137"/>
      <c r="BK24" s="18"/>
    </row>
    <row r="25" spans="1:63" ht="15" customHeight="1" x14ac:dyDescent="0.25">
      <c r="A25" s="15"/>
      <c r="B25" s="11"/>
      <c r="C25" s="10"/>
      <c r="D25" s="10"/>
      <c r="E25" s="10"/>
      <c r="F25" s="10"/>
      <c r="G25" s="9"/>
      <c r="H25" s="11"/>
      <c r="I25" s="10"/>
      <c r="J25" s="10"/>
      <c r="K25" s="10"/>
      <c r="L25" s="10"/>
      <c r="M25" s="10"/>
      <c r="N25" s="9"/>
      <c r="O25" s="11"/>
      <c r="P25" s="10"/>
      <c r="Q25" s="10"/>
      <c r="R25" s="10"/>
      <c r="S25" s="143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5"/>
      <c r="AX25" s="134"/>
      <c r="AY25" s="134"/>
      <c r="AZ25" s="134"/>
      <c r="BA25" s="134"/>
      <c r="BB25" s="134"/>
      <c r="BC25" s="135"/>
      <c r="BD25" s="138"/>
      <c r="BE25" s="134"/>
      <c r="BF25" s="134"/>
      <c r="BG25" s="134"/>
      <c r="BH25" s="134"/>
      <c r="BI25" s="134"/>
      <c r="BJ25" s="135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140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2"/>
      <c r="AX26" s="136"/>
      <c r="AY26" s="136"/>
      <c r="AZ26" s="136"/>
      <c r="BA26" s="136"/>
      <c r="BB26" s="136"/>
      <c r="BC26" s="137"/>
      <c r="BD26" s="139"/>
      <c r="BE26" s="136"/>
      <c r="BF26" s="136"/>
      <c r="BG26" s="136"/>
      <c r="BH26" s="136"/>
      <c r="BI26" s="136"/>
      <c r="BJ26" s="137"/>
      <c r="BK26" s="18"/>
    </row>
    <row r="27" spans="1:63" ht="15" customHeight="1" x14ac:dyDescent="0.25">
      <c r="A27" s="15"/>
      <c r="B27" s="11"/>
      <c r="C27" s="10"/>
      <c r="D27" s="10"/>
      <c r="E27" s="10"/>
      <c r="F27" s="10"/>
      <c r="G27" s="9"/>
      <c r="H27" s="11"/>
      <c r="I27" s="10"/>
      <c r="J27" s="10"/>
      <c r="K27" s="10"/>
      <c r="L27" s="10"/>
      <c r="M27" s="10"/>
      <c r="N27" s="9"/>
      <c r="O27" s="11"/>
      <c r="P27" s="10"/>
      <c r="Q27" s="10"/>
      <c r="R27" s="10"/>
      <c r="S27" s="143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5"/>
      <c r="AX27" s="134"/>
      <c r="AY27" s="134"/>
      <c r="AZ27" s="134"/>
      <c r="BA27" s="134"/>
      <c r="BB27" s="134"/>
      <c r="BC27" s="135"/>
      <c r="BD27" s="138"/>
      <c r="BE27" s="134"/>
      <c r="BF27" s="134"/>
      <c r="BG27" s="134"/>
      <c r="BH27" s="134"/>
      <c r="BI27" s="134"/>
      <c r="BJ27" s="135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140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2"/>
      <c r="AX28" s="136"/>
      <c r="AY28" s="136"/>
      <c r="AZ28" s="136"/>
      <c r="BA28" s="136"/>
      <c r="BB28" s="136"/>
      <c r="BC28" s="137"/>
      <c r="BD28" s="139"/>
      <c r="BE28" s="136"/>
      <c r="BF28" s="136"/>
      <c r="BG28" s="136"/>
      <c r="BH28" s="136"/>
      <c r="BI28" s="136"/>
      <c r="BJ28" s="137"/>
      <c r="BK28" s="18"/>
    </row>
    <row r="29" spans="1:63" ht="15" customHeight="1" x14ac:dyDescent="0.25">
      <c r="A29" s="15"/>
      <c r="B29" s="11"/>
      <c r="C29" s="10"/>
      <c r="D29" s="10"/>
      <c r="E29" s="10"/>
      <c r="F29" s="10"/>
      <c r="G29" s="9"/>
      <c r="H29" s="11"/>
      <c r="I29" s="10"/>
      <c r="J29" s="10"/>
      <c r="K29" s="10"/>
      <c r="L29" s="10"/>
      <c r="M29" s="10"/>
      <c r="N29" s="9"/>
      <c r="O29" s="11"/>
      <c r="P29" s="10"/>
      <c r="Q29" s="10"/>
      <c r="R29" s="10"/>
      <c r="S29" s="143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5"/>
      <c r="AX29" s="134"/>
      <c r="AY29" s="134"/>
      <c r="AZ29" s="134"/>
      <c r="BA29" s="134"/>
      <c r="BB29" s="134"/>
      <c r="BC29" s="135"/>
      <c r="BD29" s="138"/>
      <c r="BE29" s="134"/>
      <c r="BF29" s="134"/>
      <c r="BG29" s="134"/>
      <c r="BH29" s="134"/>
      <c r="BI29" s="134"/>
      <c r="BJ29" s="135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140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2"/>
      <c r="AX30" s="136"/>
      <c r="AY30" s="136"/>
      <c r="AZ30" s="136"/>
      <c r="BA30" s="136"/>
      <c r="BB30" s="136"/>
      <c r="BC30" s="137"/>
      <c r="BD30" s="139"/>
      <c r="BE30" s="136"/>
      <c r="BF30" s="136"/>
      <c r="BG30" s="136"/>
      <c r="BH30" s="136"/>
      <c r="BI30" s="136"/>
      <c r="BJ30" s="137"/>
      <c r="BK30" s="18"/>
    </row>
    <row r="31" spans="1:63" ht="15" customHeight="1" x14ac:dyDescent="0.25">
      <c r="A31" s="15"/>
      <c r="B31" s="11"/>
      <c r="C31" s="10"/>
      <c r="D31" s="10"/>
      <c r="E31" s="10"/>
      <c r="F31" s="10"/>
      <c r="G31" s="9"/>
      <c r="H31" s="11"/>
      <c r="I31" s="10"/>
      <c r="J31" s="10"/>
      <c r="K31" s="10"/>
      <c r="L31" s="10"/>
      <c r="M31" s="10"/>
      <c r="N31" s="9"/>
      <c r="O31" s="11"/>
      <c r="P31" s="10"/>
      <c r="Q31" s="10"/>
      <c r="R31" s="10"/>
      <c r="S31" s="143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5"/>
      <c r="AX31" s="134"/>
      <c r="AY31" s="134"/>
      <c r="AZ31" s="134"/>
      <c r="BA31" s="134"/>
      <c r="BB31" s="134"/>
      <c r="BC31" s="135"/>
      <c r="BD31" s="138"/>
      <c r="BE31" s="134"/>
      <c r="BF31" s="134"/>
      <c r="BG31" s="134"/>
      <c r="BH31" s="134"/>
      <c r="BI31" s="134"/>
      <c r="BJ31" s="135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140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2"/>
      <c r="AX32" s="136"/>
      <c r="AY32" s="136"/>
      <c r="AZ32" s="136"/>
      <c r="BA32" s="136"/>
      <c r="BB32" s="136"/>
      <c r="BC32" s="137"/>
      <c r="BD32" s="139"/>
      <c r="BE32" s="136"/>
      <c r="BF32" s="136"/>
      <c r="BG32" s="136"/>
      <c r="BH32" s="136"/>
      <c r="BI32" s="136"/>
      <c r="BJ32" s="137"/>
      <c r="BK32" s="18"/>
    </row>
    <row r="33" spans="1:63" ht="15" customHeight="1" x14ac:dyDescent="0.25">
      <c r="A33" s="15"/>
      <c r="B33" s="11"/>
      <c r="C33" s="10"/>
      <c r="D33" s="10"/>
      <c r="E33" s="10"/>
      <c r="F33" s="10"/>
      <c r="G33" s="9"/>
      <c r="H33" s="11"/>
      <c r="I33" s="10"/>
      <c r="J33" s="10"/>
      <c r="K33" s="10"/>
      <c r="L33" s="10"/>
      <c r="M33" s="10"/>
      <c r="N33" s="9"/>
      <c r="O33" s="11"/>
      <c r="P33" s="10"/>
      <c r="Q33" s="10"/>
      <c r="R33" s="10"/>
      <c r="S33" s="143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5"/>
      <c r="AX33" s="134"/>
      <c r="AY33" s="134"/>
      <c r="AZ33" s="134"/>
      <c r="BA33" s="134"/>
      <c r="BB33" s="134"/>
      <c r="BC33" s="135"/>
      <c r="BD33" s="138"/>
      <c r="BE33" s="134"/>
      <c r="BF33" s="134"/>
      <c r="BG33" s="134"/>
      <c r="BH33" s="134"/>
      <c r="BI33" s="134"/>
      <c r="BJ33" s="135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140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2"/>
      <c r="AX34" s="136"/>
      <c r="AY34" s="136"/>
      <c r="AZ34" s="136"/>
      <c r="BA34" s="136"/>
      <c r="BB34" s="136"/>
      <c r="BC34" s="137"/>
      <c r="BD34" s="139"/>
      <c r="BE34" s="136"/>
      <c r="BF34" s="136"/>
      <c r="BG34" s="136"/>
      <c r="BH34" s="136"/>
      <c r="BI34" s="136"/>
      <c r="BJ34" s="137"/>
      <c r="BK34" s="18"/>
    </row>
    <row r="35" spans="1:63" ht="15" customHeight="1" x14ac:dyDescent="0.25">
      <c r="A35" s="15"/>
      <c r="B35" s="11"/>
      <c r="C35" s="10"/>
      <c r="D35" s="10"/>
      <c r="E35" s="10"/>
      <c r="F35" s="10"/>
      <c r="G35" s="9"/>
      <c r="H35" s="11"/>
      <c r="I35" s="10"/>
      <c r="J35" s="10"/>
      <c r="K35" s="10"/>
      <c r="L35" s="10"/>
      <c r="M35" s="10"/>
      <c r="N35" s="9"/>
      <c r="O35" s="11"/>
      <c r="P35" s="10"/>
      <c r="Q35" s="10"/>
      <c r="R35" s="10"/>
      <c r="S35" s="143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5"/>
      <c r="AX35" s="134"/>
      <c r="AY35" s="134"/>
      <c r="AZ35" s="134"/>
      <c r="BA35" s="134"/>
      <c r="BB35" s="134"/>
      <c r="BC35" s="135"/>
      <c r="BD35" s="138"/>
      <c r="BE35" s="134"/>
      <c r="BF35" s="134"/>
      <c r="BG35" s="134"/>
      <c r="BH35" s="134"/>
      <c r="BI35" s="134"/>
      <c r="BJ35" s="135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140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2"/>
      <c r="AX36" s="136"/>
      <c r="AY36" s="136"/>
      <c r="AZ36" s="136"/>
      <c r="BA36" s="136"/>
      <c r="BB36" s="136"/>
      <c r="BC36" s="137"/>
      <c r="BD36" s="139"/>
      <c r="BE36" s="136"/>
      <c r="BF36" s="136"/>
      <c r="BG36" s="136"/>
      <c r="BH36" s="136"/>
      <c r="BI36" s="136"/>
      <c r="BJ36" s="137"/>
      <c r="BK36" s="18"/>
    </row>
    <row r="37" spans="1:63" ht="15" customHeight="1" x14ac:dyDescent="0.25">
      <c r="A37" s="15"/>
      <c r="B37" s="11"/>
      <c r="C37" s="10"/>
      <c r="D37" s="10"/>
      <c r="E37" s="10"/>
      <c r="F37" s="10"/>
      <c r="G37" s="9"/>
      <c r="H37" s="11"/>
      <c r="I37" s="10"/>
      <c r="J37" s="10"/>
      <c r="K37" s="10"/>
      <c r="L37" s="10"/>
      <c r="M37" s="10"/>
      <c r="N37" s="9"/>
      <c r="O37" s="11"/>
      <c r="P37" s="10"/>
      <c r="Q37" s="10"/>
      <c r="R37" s="10"/>
      <c r="S37" s="143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5"/>
      <c r="AX37" s="134"/>
      <c r="AY37" s="134"/>
      <c r="AZ37" s="134"/>
      <c r="BA37" s="134"/>
      <c r="BB37" s="134"/>
      <c r="BC37" s="135"/>
      <c r="BD37" s="138"/>
      <c r="BE37" s="134"/>
      <c r="BF37" s="134"/>
      <c r="BG37" s="134"/>
      <c r="BH37" s="134"/>
      <c r="BI37" s="134"/>
      <c r="BJ37" s="135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140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2"/>
      <c r="AX38" s="136"/>
      <c r="AY38" s="136"/>
      <c r="AZ38" s="136"/>
      <c r="BA38" s="136"/>
      <c r="BB38" s="136"/>
      <c r="BC38" s="137"/>
      <c r="BD38" s="139"/>
      <c r="BE38" s="136"/>
      <c r="BF38" s="136"/>
      <c r="BG38" s="136"/>
      <c r="BH38" s="136"/>
      <c r="BI38" s="136"/>
      <c r="BJ38" s="137"/>
      <c r="BK38" s="18"/>
    </row>
    <row r="39" spans="1:63" ht="15" customHeight="1" x14ac:dyDescent="0.25">
      <c r="A39" s="15"/>
      <c r="B39" s="11"/>
      <c r="C39" s="10"/>
      <c r="D39" s="10"/>
      <c r="E39" s="10"/>
      <c r="F39" s="10"/>
      <c r="G39" s="9"/>
      <c r="H39" s="11"/>
      <c r="I39" s="10"/>
      <c r="J39" s="10"/>
      <c r="K39" s="10"/>
      <c r="L39" s="10"/>
      <c r="M39" s="10"/>
      <c r="N39" s="9"/>
      <c r="O39" s="11"/>
      <c r="P39" s="10"/>
      <c r="Q39" s="10"/>
      <c r="R39" s="10"/>
      <c r="S39" s="143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5"/>
      <c r="AX39" s="134"/>
      <c r="AY39" s="134"/>
      <c r="AZ39" s="134"/>
      <c r="BA39" s="134"/>
      <c r="BB39" s="134"/>
      <c r="BC39" s="135"/>
      <c r="BD39" s="138"/>
      <c r="BE39" s="134"/>
      <c r="BF39" s="134"/>
      <c r="BG39" s="134"/>
      <c r="BH39" s="134"/>
      <c r="BI39" s="134"/>
      <c r="BJ39" s="135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140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2"/>
      <c r="AX40" s="136"/>
      <c r="AY40" s="136"/>
      <c r="AZ40" s="136"/>
      <c r="BA40" s="136"/>
      <c r="BB40" s="136"/>
      <c r="BC40" s="137"/>
      <c r="BD40" s="139"/>
      <c r="BE40" s="136"/>
      <c r="BF40" s="136"/>
      <c r="BG40" s="136"/>
      <c r="BH40" s="136"/>
      <c r="BI40" s="136"/>
      <c r="BJ40" s="137"/>
      <c r="BK40" s="18"/>
    </row>
    <row r="41" spans="1:63" ht="15" customHeight="1" x14ac:dyDescent="0.25">
      <c r="A41" s="15"/>
      <c r="B41" s="11"/>
      <c r="C41" s="10"/>
      <c r="D41" s="10"/>
      <c r="E41" s="10"/>
      <c r="F41" s="10"/>
      <c r="G41" s="9"/>
      <c r="H41" s="11"/>
      <c r="I41" s="10"/>
      <c r="J41" s="10"/>
      <c r="K41" s="10"/>
      <c r="L41" s="10"/>
      <c r="M41" s="10"/>
      <c r="N41" s="9"/>
      <c r="O41" s="11"/>
      <c r="P41" s="10"/>
      <c r="Q41" s="10"/>
      <c r="R41" s="10"/>
      <c r="S41" s="143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5"/>
      <c r="AX41" s="134"/>
      <c r="AY41" s="134"/>
      <c r="AZ41" s="134"/>
      <c r="BA41" s="134"/>
      <c r="BB41" s="134"/>
      <c r="BC41" s="135"/>
      <c r="BD41" s="138"/>
      <c r="BE41" s="134"/>
      <c r="BF41" s="134"/>
      <c r="BG41" s="134"/>
      <c r="BH41" s="134"/>
      <c r="BI41" s="134"/>
      <c r="BJ41" s="135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140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2"/>
      <c r="AX42" s="136"/>
      <c r="AY42" s="136"/>
      <c r="AZ42" s="136"/>
      <c r="BA42" s="136"/>
      <c r="BB42" s="136"/>
      <c r="BC42" s="137"/>
      <c r="BD42" s="139"/>
      <c r="BE42" s="136"/>
      <c r="BF42" s="136"/>
      <c r="BG42" s="136"/>
      <c r="BH42" s="136"/>
      <c r="BI42" s="136"/>
      <c r="BJ42" s="137"/>
      <c r="BK42" s="18"/>
    </row>
    <row r="43" spans="1:63" ht="15" customHeight="1" x14ac:dyDescent="0.25">
      <c r="A43" s="15"/>
      <c r="B43" s="11"/>
      <c r="C43" s="10"/>
      <c r="D43" s="10"/>
      <c r="E43" s="10"/>
      <c r="F43" s="10"/>
      <c r="G43" s="9"/>
      <c r="H43" s="11"/>
      <c r="I43" s="10"/>
      <c r="J43" s="10"/>
      <c r="K43" s="10"/>
      <c r="L43" s="10"/>
      <c r="M43" s="10"/>
      <c r="N43" s="9"/>
      <c r="O43" s="11"/>
      <c r="P43" s="10"/>
      <c r="Q43" s="10"/>
      <c r="R43" s="10"/>
      <c r="S43" s="143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5"/>
      <c r="AX43" s="134"/>
      <c r="AY43" s="134"/>
      <c r="AZ43" s="134"/>
      <c r="BA43" s="134"/>
      <c r="BB43" s="134"/>
      <c r="BC43" s="135"/>
      <c r="BD43" s="138"/>
      <c r="BE43" s="134"/>
      <c r="BF43" s="134"/>
      <c r="BG43" s="134"/>
      <c r="BH43" s="134"/>
      <c r="BI43" s="134"/>
      <c r="BJ43" s="135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140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2"/>
      <c r="AX44" s="136"/>
      <c r="AY44" s="136"/>
      <c r="AZ44" s="136"/>
      <c r="BA44" s="136"/>
      <c r="BB44" s="136"/>
      <c r="BC44" s="137"/>
      <c r="BD44" s="139"/>
      <c r="BE44" s="136"/>
      <c r="BF44" s="136"/>
      <c r="BG44" s="136"/>
      <c r="BH44" s="136"/>
      <c r="BI44" s="136"/>
      <c r="BJ44" s="137"/>
      <c r="BK44" s="18"/>
    </row>
    <row r="45" spans="1:63" ht="15" customHeight="1" x14ac:dyDescent="0.25">
      <c r="A45" s="15"/>
      <c r="B45" s="11"/>
      <c r="C45" s="10"/>
      <c r="D45" s="10"/>
      <c r="E45" s="10"/>
      <c r="F45" s="10"/>
      <c r="G45" s="9"/>
      <c r="H45" s="11"/>
      <c r="I45" s="10"/>
      <c r="J45" s="10"/>
      <c r="K45" s="10"/>
      <c r="L45" s="10"/>
      <c r="M45" s="10"/>
      <c r="N45" s="9"/>
      <c r="O45" s="11"/>
      <c r="P45" s="10"/>
      <c r="Q45" s="10"/>
      <c r="R45" s="10"/>
      <c r="S45" s="143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5"/>
      <c r="AX45" s="134"/>
      <c r="AY45" s="134"/>
      <c r="AZ45" s="134"/>
      <c r="BA45" s="134"/>
      <c r="BB45" s="134"/>
      <c r="BC45" s="135"/>
      <c r="BD45" s="138"/>
      <c r="BE45" s="134"/>
      <c r="BF45" s="134"/>
      <c r="BG45" s="134"/>
      <c r="BH45" s="134"/>
      <c r="BI45" s="134"/>
      <c r="BJ45" s="135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140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2"/>
      <c r="AX46" s="136"/>
      <c r="AY46" s="136"/>
      <c r="AZ46" s="136"/>
      <c r="BA46" s="136"/>
      <c r="BB46" s="136"/>
      <c r="BC46" s="137"/>
      <c r="BD46" s="139"/>
      <c r="BE46" s="136"/>
      <c r="BF46" s="136"/>
      <c r="BG46" s="136"/>
      <c r="BH46" s="136"/>
      <c r="BI46" s="136"/>
      <c r="BJ46" s="137"/>
      <c r="BK46" s="18"/>
    </row>
    <row r="47" spans="1:63" ht="15" customHeight="1" x14ac:dyDescent="0.25">
      <c r="A47" s="15"/>
      <c r="B47" s="11"/>
      <c r="C47" s="10"/>
      <c r="D47" s="10"/>
      <c r="E47" s="10"/>
      <c r="F47" s="10"/>
      <c r="G47" s="9"/>
      <c r="H47" s="11"/>
      <c r="I47" s="10"/>
      <c r="J47" s="10"/>
      <c r="K47" s="10"/>
      <c r="L47" s="10"/>
      <c r="M47" s="10"/>
      <c r="N47" s="9"/>
      <c r="O47" s="11"/>
      <c r="P47" s="10"/>
      <c r="Q47" s="10"/>
      <c r="R47" s="10"/>
      <c r="S47" s="143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5"/>
      <c r="AX47" s="134"/>
      <c r="AY47" s="134"/>
      <c r="AZ47" s="134"/>
      <c r="BA47" s="134"/>
      <c r="BB47" s="134"/>
      <c r="BC47" s="135"/>
      <c r="BD47" s="138"/>
      <c r="BE47" s="134"/>
      <c r="BF47" s="134"/>
      <c r="BG47" s="134"/>
      <c r="BH47" s="134"/>
      <c r="BI47" s="134"/>
      <c r="BJ47" s="135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140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2"/>
      <c r="AX48" s="136"/>
      <c r="AY48" s="136"/>
      <c r="AZ48" s="136"/>
      <c r="BA48" s="136"/>
      <c r="BB48" s="136"/>
      <c r="BC48" s="137"/>
      <c r="BD48" s="139"/>
      <c r="BE48" s="136"/>
      <c r="BF48" s="136"/>
      <c r="BG48" s="136"/>
      <c r="BH48" s="136"/>
      <c r="BI48" s="136"/>
      <c r="BJ48" s="137"/>
      <c r="BK48" s="18"/>
    </row>
    <row r="49" spans="1:63" ht="15" customHeight="1" x14ac:dyDescent="0.25">
      <c r="A49" s="15"/>
      <c r="B49" s="11"/>
      <c r="C49" s="10"/>
      <c r="D49" s="10"/>
      <c r="E49" s="10"/>
      <c r="F49" s="10"/>
      <c r="G49" s="9"/>
      <c r="H49" s="11"/>
      <c r="I49" s="10"/>
      <c r="J49" s="10"/>
      <c r="K49" s="10"/>
      <c r="L49" s="10"/>
      <c r="M49" s="10"/>
      <c r="N49" s="9"/>
      <c r="O49" s="11"/>
      <c r="P49" s="10"/>
      <c r="Q49" s="10"/>
      <c r="R49" s="10"/>
      <c r="S49" s="143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5"/>
      <c r="AX49" s="134"/>
      <c r="AY49" s="134"/>
      <c r="AZ49" s="134"/>
      <c r="BA49" s="134"/>
      <c r="BB49" s="134"/>
      <c r="BC49" s="135"/>
      <c r="BD49" s="138"/>
      <c r="BE49" s="134"/>
      <c r="BF49" s="134"/>
      <c r="BG49" s="134"/>
      <c r="BH49" s="134"/>
      <c r="BI49" s="134"/>
      <c r="BJ49" s="135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140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2"/>
      <c r="AX50" s="136"/>
      <c r="AY50" s="136"/>
      <c r="AZ50" s="136"/>
      <c r="BA50" s="136"/>
      <c r="BB50" s="136"/>
      <c r="BC50" s="137"/>
      <c r="BD50" s="139"/>
      <c r="BE50" s="136"/>
      <c r="BF50" s="136"/>
      <c r="BG50" s="136"/>
      <c r="BH50" s="136"/>
      <c r="BI50" s="136"/>
      <c r="BJ50" s="137"/>
      <c r="BK50" s="18"/>
    </row>
    <row r="51" spans="1:63" ht="15" customHeight="1" x14ac:dyDescent="0.25">
      <c r="A51" s="15"/>
      <c r="B51" s="11"/>
      <c r="C51" s="10"/>
      <c r="D51" s="10"/>
      <c r="E51" s="10"/>
      <c r="F51" s="10"/>
      <c r="G51" s="9"/>
      <c r="H51" s="11"/>
      <c r="I51" s="10"/>
      <c r="J51" s="10"/>
      <c r="K51" s="10"/>
      <c r="L51" s="10"/>
      <c r="M51" s="10"/>
      <c r="N51" s="9"/>
      <c r="O51" s="11"/>
      <c r="P51" s="10"/>
      <c r="Q51" s="10"/>
      <c r="R51" s="10"/>
      <c r="S51" s="143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5"/>
      <c r="AX51" s="134"/>
      <c r="AY51" s="134"/>
      <c r="AZ51" s="134"/>
      <c r="BA51" s="134"/>
      <c r="BB51" s="134"/>
      <c r="BC51" s="135"/>
      <c r="BD51" s="138"/>
      <c r="BE51" s="134"/>
      <c r="BF51" s="134"/>
      <c r="BG51" s="134"/>
      <c r="BH51" s="134"/>
      <c r="BI51" s="134"/>
      <c r="BJ51" s="135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140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2"/>
      <c r="AX52" s="136"/>
      <c r="AY52" s="136"/>
      <c r="AZ52" s="136"/>
      <c r="BA52" s="136"/>
      <c r="BB52" s="136"/>
      <c r="BC52" s="137"/>
      <c r="BD52" s="139"/>
      <c r="BE52" s="136"/>
      <c r="BF52" s="136"/>
      <c r="BG52" s="136"/>
      <c r="BH52" s="136"/>
      <c r="BI52" s="136"/>
      <c r="BJ52" s="137"/>
      <c r="BK52" s="18"/>
    </row>
    <row r="53" spans="1:63" ht="15" customHeight="1" x14ac:dyDescent="0.25">
      <c r="A53" s="15"/>
      <c r="B53" s="11"/>
      <c r="C53" s="10"/>
      <c r="D53" s="10"/>
      <c r="E53" s="10"/>
      <c r="F53" s="10"/>
      <c r="G53" s="9"/>
      <c r="H53" s="11"/>
      <c r="I53" s="10"/>
      <c r="J53" s="10"/>
      <c r="K53" s="10"/>
      <c r="L53" s="10"/>
      <c r="M53" s="10"/>
      <c r="N53" s="9"/>
      <c r="O53" s="11"/>
      <c r="P53" s="10"/>
      <c r="Q53" s="10"/>
      <c r="R53" s="10"/>
      <c r="S53" s="143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5"/>
      <c r="AX53" s="134"/>
      <c r="AY53" s="134"/>
      <c r="AZ53" s="134"/>
      <c r="BA53" s="134"/>
      <c r="BB53" s="134"/>
      <c r="BC53" s="135"/>
      <c r="BD53" s="138"/>
      <c r="BE53" s="134"/>
      <c r="BF53" s="134"/>
      <c r="BG53" s="134"/>
      <c r="BH53" s="134"/>
      <c r="BI53" s="134"/>
      <c r="BJ53" s="135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140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2"/>
      <c r="AX54" s="136"/>
      <c r="AY54" s="136"/>
      <c r="AZ54" s="136"/>
      <c r="BA54" s="136"/>
      <c r="BB54" s="136"/>
      <c r="BC54" s="137"/>
      <c r="BD54" s="139"/>
      <c r="BE54" s="136"/>
      <c r="BF54" s="136"/>
      <c r="BG54" s="136"/>
      <c r="BH54" s="136"/>
      <c r="BI54" s="136"/>
      <c r="BJ54" s="137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89" t="s">
        <v>40</v>
      </c>
      <c r="B1" s="190"/>
      <c r="C1" s="190"/>
      <c r="D1" s="190"/>
      <c r="E1" s="190"/>
      <c r="F1" s="190"/>
      <c r="G1" s="190"/>
      <c r="H1" s="190"/>
      <c r="I1" s="190"/>
      <c r="J1" s="191"/>
      <c r="K1" s="189" t="s">
        <v>41</v>
      </c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1"/>
      <c r="W1" s="202" t="str">
        <f>IF(表紙!W1="","",表紙!W1)</f>
        <v>詳細設計書</v>
      </c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4"/>
      <c r="AP1" s="14" t="s">
        <v>42</v>
      </c>
      <c r="AQ1" s="13"/>
      <c r="AR1" s="13"/>
      <c r="AS1" s="12"/>
      <c r="AT1" s="14" t="s">
        <v>43</v>
      </c>
      <c r="AU1" s="13"/>
      <c r="AV1" s="13"/>
      <c r="AW1" s="13"/>
      <c r="AX1" s="12"/>
      <c r="AY1" s="14" t="s">
        <v>44</v>
      </c>
      <c r="AZ1" s="13"/>
      <c r="BA1" s="13"/>
      <c r="BB1" s="12"/>
      <c r="BC1" s="14" t="s">
        <v>45</v>
      </c>
      <c r="BD1" s="13"/>
      <c r="BE1" s="13"/>
      <c r="BF1" s="13"/>
      <c r="BG1" s="12"/>
      <c r="BH1" s="14" t="s">
        <v>46</v>
      </c>
      <c r="BI1" s="13"/>
      <c r="BJ1" s="13"/>
      <c r="BK1" s="12"/>
    </row>
    <row r="2" spans="1:63" ht="15" customHeight="1" x14ac:dyDescent="0.25">
      <c r="A2" s="196" t="str">
        <f>IF(表紙!A2="","",表紙!A2)</f>
        <v>POSサーバー</v>
      </c>
      <c r="B2" s="197"/>
      <c r="C2" s="197"/>
      <c r="D2" s="197"/>
      <c r="E2" s="197"/>
      <c r="F2" s="197"/>
      <c r="G2" s="197"/>
      <c r="H2" s="197"/>
      <c r="I2" s="197"/>
      <c r="J2" s="198"/>
      <c r="K2" s="196" t="str">
        <f>IF(表紙!K2="","",表紙!K2)</f>
        <v>POSサーバ</v>
      </c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8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11" t="str">
        <f>IF(表紙!AP2="","",表紙!AP2)</f>
        <v>DuNT</v>
      </c>
      <c r="AQ2" s="10"/>
      <c r="AR2" s="10"/>
      <c r="AS2" s="9"/>
      <c r="AT2" s="108">
        <f>IF(表紙!AT2="","",表紙!AT2)</f>
        <v>45586</v>
      </c>
      <c r="AU2" s="109"/>
      <c r="AV2" s="109"/>
      <c r="AW2" s="109"/>
      <c r="AX2" s="110"/>
      <c r="AY2" s="11" t="str">
        <f>IF(表紙!AY2="","",表紙!AY2)</f>
        <v>DuNT</v>
      </c>
      <c r="AZ2" s="10"/>
      <c r="BA2" s="10"/>
      <c r="BB2" s="9"/>
      <c r="BC2" s="108">
        <f>IF(表紙!BC2="","",表紙!BC2)</f>
        <v>45653</v>
      </c>
      <c r="BD2" s="109"/>
      <c r="BE2" s="109"/>
      <c r="BF2" s="109"/>
      <c r="BG2" s="110"/>
      <c r="BH2" s="11">
        <f>IF(表紙!BH2="","",表紙!BH2)</f>
        <v>0.13</v>
      </c>
      <c r="BI2" s="10"/>
      <c r="BJ2" s="10"/>
      <c r="BK2" s="9"/>
    </row>
    <row r="3" spans="1:63" ht="15" customHeight="1" x14ac:dyDescent="0.25">
      <c r="A3" s="199"/>
      <c r="B3" s="200"/>
      <c r="C3" s="200"/>
      <c r="D3" s="200"/>
      <c r="E3" s="200"/>
      <c r="F3" s="200"/>
      <c r="G3" s="200"/>
      <c r="H3" s="200"/>
      <c r="I3" s="200"/>
      <c r="J3" s="201"/>
      <c r="K3" s="199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1"/>
      <c r="W3" s="208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10"/>
      <c r="AP3" s="8"/>
      <c r="AQ3" s="7"/>
      <c r="AR3" s="7"/>
      <c r="AS3" s="6"/>
      <c r="AT3" s="111"/>
      <c r="AU3" s="112"/>
      <c r="AV3" s="112"/>
      <c r="AW3" s="112"/>
      <c r="AX3" s="113"/>
      <c r="AY3" s="8"/>
      <c r="AZ3" s="7"/>
      <c r="BA3" s="7"/>
      <c r="BB3" s="6"/>
      <c r="BC3" s="111"/>
      <c r="BD3" s="112"/>
      <c r="BE3" s="112"/>
      <c r="BF3" s="112"/>
      <c r="BG3" s="113"/>
      <c r="BH3" s="8"/>
      <c r="BI3" s="7"/>
      <c r="BJ3" s="7"/>
      <c r="BK3" s="6"/>
    </row>
    <row r="4" spans="1:63" ht="24.95" customHeight="1" x14ac:dyDescent="0.25">
      <c r="A4" s="189" t="s">
        <v>47</v>
      </c>
      <c r="B4" s="190"/>
      <c r="C4" s="190"/>
      <c r="D4" s="190"/>
      <c r="E4" s="190"/>
      <c r="F4" s="190"/>
      <c r="G4" s="191"/>
      <c r="H4" s="192" t="str">
        <f>IF(表紙!H4="","",表紙!H4)</f>
        <v>AP0504</v>
      </c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4"/>
      <c r="U4" s="189" t="s">
        <v>48</v>
      </c>
      <c r="V4" s="190"/>
      <c r="W4" s="190"/>
      <c r="X4" s="190"/>
      <c r="Y4" s="191"/>
      <c r="Z4" s="192" t="str">
        <f>IF(表紙!Z4="","",表紙!Z4)</f>
        <v>API設計書</v>
      </c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4"/>
      <c r="AP4" s="195" t="str">
        <f ca="1">MID(CELL("filename",A1),FIND("]",CELL("filename",A1))+1,255)</f>
        <v>処理フロー凡例</v>
      </c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4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customFormat="1" ht="15" customHeight="1" x14ac:dyDescent="0.25">
      <c r="A7" s="66"/>
      <c r="B7" s="67" t="s">
        <v>59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9"/>
      <c r="AF7" s="70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9"/>
      <c r="BJ7" s="68"/>
      <c r="BK7" s="39"/>
    </row>
    <row r="8" spans="1:63" s="35" customFormat="1" ht="15" customHeight="1" x14ac:dyDescent="0.25">
      <c r="BK8" s="39"/>
    </row>
    <row r="9" spans="1:63" s="35" customFormat="1" ht="15" customHeight="1" x14ac:dyDescent="0.25">
      <c r="BK9" s="39"/>
    </row>
    <row r="10" spans="1:63" s="35" customFormat="1" ht="15" customHeight="1" x14ac:dyDescent="0.25">
      <c r="BK10" s="39"/>
    </row>
    <row r="11" spans="1:63" s="35" customFormat="1" ht="15" customHeight="1" x14ac:dyDescent="0.25">
      <c r="BK11" s="39"/>
    </row>
    <row r="12" spans="1:63" s="35" customFormat="1" ht="15" customHeight="1" x14ac:dyDescent="0.25">
      <c r="BK12" s="39"/>
    </row>
    <row r="13" spans="1:63" s="35" customFormat="1" ht="15" customHeight="1" x14ac:dyDescent="0.25">
      <c r="BK13" s="39"/>
    </row>
    <row r="14" spans="1:63" s="35" customFormat="1" ht="15" customHeight="1" x14ac:dyDescent="0.25">
      <c r="BK14" s="39"/>
    </row>
    <row r="15" spans="1:63" s="35" customFormat="1" ht="15" customHeight="1" x14ac:dyDescent="0.25">
      <c r="BK15" s="39"/>
    </row>
    <row r="16" spans="1:63" s="35" customFormat="1" ht="15" customHeight="1" x14ac:dyDescent="0.25">
      <c r="BK16" s="39"/>
    </row>
    <row r="17" spans="63:63" s="35" customFormat="1" ht="15" customHeight="1" x14ac:dyDescent="0.25">
      <c r="BK17" s="39"/>
    </row>
    <row r="18" spans="63:63" s="35" customFormat="1" ht="15" customHeight="1" x14ac:dyDescent="0.25">
      <c r="BK18" s="39"/>
    </row>
    <row r="19" spans="63:63" s="35" customFormat="1" ht="15" customHeight="1" x14ac:dyDescent="0.25">
      <c r="BK19" s="39"/>
    </row>
    <row r="20" spans="63:63" s="35" customFormat="1" ht="15" customHeight="1" x14ac:dyDescent="0.25">
      <c r="BK20" s="39"/>
    </row>
    <row r="21" spans="63:63" s="35" customFormat="1" ht="15" customHeight="1" x14ac:dyDescent="0.25">
      <c r="BK21" s="39"/>
    </row>
    <row r="22" spans="63:63" s="35" customFormat="1" ht="15" customHeight="1" x14ac:dyDescent="0.25">
      <c r="BK22" s="39"/>
    </row>
    <row r="23" spans="63:63" s="35" customFormat="1" ht="15" customHeight="1" x14ac:dyDescent="0.25">
      <c r="BK23" s="39"/>
    </row>
    <row r="24" spans="63:63" s="35" customFormat="1" ht="15" customHeight="1" x14ac:dyDescent="0.25">
      <c r="BK24" s="39"/>
    </row>
    <row r="25" spans="63:63" s="35" customFormat="1" ht="15" customHeight="1" x14ac:dyDescent="0.25">
      <c r="BK25" s="39"/>
    </row>
    <row r="26" spans="63:63" s="35" customFormat="1" ht="15" customHeight="1" x14ac:dyDescent="0.25">
      <c r="BK26" s="39"/>
    </row>
    <row r="27" spans="63:63" s="35" customFormat="1" ht="15" customHeight="1" x14ac:dyDescent="0.25">
      <c r="BK27" s="39"/>
    </row>
    <row r="28" spans="63:63" s="35" customFormat="1" ht="15" customHeight="1" x14ac:dyDescent="0.25">
      <c r="BK28" s="39"/>
    </row>
    <row r="29" spans="63:63" s="35" customFormat="1" ht="15" customHeight="1" x14ac:dyDescent="0.25">
      <c r="BK29" s="39"/>
    </row>
    <row r="30" spans="63:63" s="35" customFormat="1" ht="15" customHeight="1" x14ac:dyDescent="0.25">
      <c r="BK30" s="39"/>
    </row>
    <row r="31" spans="63:63" s="35" customFormat="1" ht="15" customHeight="1" x14ac:dyDescent="0.25">
      <c r="BK31" s="39"/>
    </row>
    <row r="32" spans="63:63" s="35" customFormat="1" ht="15" customHeight="1" x14ac:dyDescent="0.25">
      <c r="BK32" s="39"/>
    </row>
    <row r="33" spans="63:63" s="35" customFormat="1" ht="15" customHeight="1" x14ac:dyDescent="0.25">
      <c r="BK33" s="39"/>
    </row>
    <row r="34" spans="63:63" s="35" customFormat="1" ht="15" customHeight="1" x14ac:dyDescent="0.25">
      <c r="BK34" s="39"/>
    </row>
    <row r="35" spans="63:63" s="35" customFormat="1" ht="15" customHeight="1" x14ac:dyDescent="0.25">
      <c r="BK35" s="39"/>
    </row>
    <row r="36" spans="63:63" s="35" customFormat="1" ht="15" customHeight="1" x14ac:dyDescent="0.25">
      <c r="BK36" s="39"/>
    </row>
    <row r="37" spans="63:63" s="35" customFormat="1" ht="15" customHeight="1" x14ac:dyDescent="0.25">
      <c r="BK37" s="39"/>
    </row>
    <row r="38" spans="63:63" s="35" customFormat="1" ht="15" customHeight="1" x14ac:dyDescent="0.25">
      <c r="BK38" s="39"/>
    </row>
    <row r="39" spans="63:63" s="35" customFormat="1" ht="15" customHeight="1" x14ac:dyDescent="0.25">
      <c r="BK39" s="39"/>
    </row>
    <row r="40" spans="63:63" s="35" customFormat="1" ht="15" customHeight="1" x14ac:dyDescent="0.25">
      <c r="BK40" s="39"/>
    </row>
    <row r="41" spans="63:63" s="35" customFormat="1" ht="15" customHeight="1" x14ac:dyDescent="0.25">
      <c r="BK41" s="39"/>
    </row>
    <row r="42" spans="63:63" s="35" customFormat="1" ht="15" customHeight="1" x14ac:dyDescent="0.25">
      <c r="BK42" s="39"/>
    </row>
    <row r="43" spans="63:63" s="35" customFormat="1" ht="15" customHeight="1" x14ac:dyDescent="0.25">
      <c r="BK43" s="39"/>
    </row>
    <row r="44" spans="63:63" s="35" customFormat="1" ht="15" customHeight="1" x14ac:dyDescent="0.25">
      <c r="BK44" s="39"/>
    </row>
    <row r="45" spans="63:63" s="35" customFormat="1" ht="15" customHeight="1" x14ac:dyDescent="0.25">
      <c r="BK45" s="39"/>
    </row>
    <row r="46" spans="63:63" s="35" customFormat="1" ht="15" customHeight="1" x14ac:dyDescent="0.25">
      <c r="BK46" s="39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6297-0094-4C90-983D-0A999717D68E}">
  <sheetPr>
    <pageSetUpPr fitToPage="1"/>
  </sheetPr>
  <dimension ref="A1:BK9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89" t="s">
        <v>40</v>
      </c>
      <c r="B1" s="190"/>
      <c r="C1" s="190"/>
      <c r="D1" s="190"/>
      <c r="E1" s="190"/>
      <c r="F1" s="190"/>
      <c r="G1" s="190"/>
      <c r="H1" s="190"/>
      <c r="I1" s="190"/>
      <c r="J1" s="191"/>
      <c r="K1" s="189" t="s">
        <v>41</v>
      </c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1"/>
      <c r="W1" s="202" t="str">
        <f>IF(表紙!W1="","",表紙!W1)</f>
        <v>詳細設計書</v>
      </c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4"/>
      <c r="AP1" s="14" t="s">
        <v>42</v>
      </c>
      <c r="AQ1" s="13"/>
      <c r="AR1" s="13"/>
      <c r="AS1" s="12"/>
      <c r="AT1" s="14" t="s">
        <v>43</v>
      </c>
      <c r="AU1" s="13"/>
      <c r="AV1" s="13"/>
      <c r="AW1" s="13"/>
      <c r="AX1" s="12"/>
      <c r="AY1" s="14" t="s">
        <v>44</v>
      </c>
      <c r="AZ1" s="13"/>
      <c r="BA1" s="13"/>
      <c r="BB1" s="12"/>
      <c r="BC1" s="14" t="s">
        <v>45</v>
      </c>
      <c r="BD1" s="13"/>
      <c r="BE1" s="13"/>
      <c r="BF1" s="13"/>
      <c r="BG1" s="12"/>
      <c r="BH1" s="14" t="s">
        <v>46</v>
      </c>
      <c r="BI1" s="13"/>
      <c r="BJ1" s="13"/>
      <c r="BK1" s="12"/>
    </row>
    <row r="2" spans="1:63" ht="15" customHeight="1" x14ac:dyDescent="0.25">
      <c r="A2" s="196" t="str">
        <f>IF(表紙!A2="","",表紙!A2)</f>
        <v>POSサーバー</v>
      </c>
      <c r="B2" s="197"/>
      <c r="C2" s="197"/>
      <c r="D2" s="197"/>
      <c r="E2" s="197"/>
      <c r="F2" s="197"/>
      <c r="G2" s="197"/>
      <c r="H2" s="197"/>
      <c r="I2" s="197"/>
      <c r="J2" s="198"/>
      <c r="K2" s="196" t="str">
        <f>IF(表紙!K2="","",表紙!K2)</f>
        <v>POSサーバ</v>
      </c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8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11" t="str">
        <f>IF(表紙!AP2="","",表紙!AP2)</f>
        <v>DuNT</v>
      </c>
      <c r="AQ2" s="10"/>
      <c r="AR2" s="10"/>
      <c r="AS2" s="9"/>
      <c r="AT2" s="108">
        <f>IF(表紙!AT2="","",表紙!AT2)</f>
        <v>45586</v>
      </c>
      <c r="AU2" s="109"/>
      <c r="AV2" s="109"/>
      <c r="AW2" s="109"/>
      <c r="AX2" s="110"/>
      <c r="AY2" s="11" t="str">
        <f>IF(表紙!AY2="","",表紙!AY2)</f>
        <v>DuNT</v>
      </c>
      <c r="AZ2" s="10"/>
      <c r="BA2" s="10"/>
      <c r="BB2" s="9"/>
      <c r="BC2" s="108">
        <f>IF(表紙!BC2="","",表紙!BC2)</f>
        <v>45653</v>
      </c>
      <c r="BD2" s="109"/>
      <c r="BE2" s="109"/>
      <c r="BF2" s="109"/>
      <c r="BG2" s="110"/>
      <c r="BH2" s="11">
        <f>IF(表紙!BH2="","",表紙!BH2)</f>
        <v>0.13</v>
      </c>
      <c r="BI2" s="10"/>
      <c r="BJ2" s="10"/>
      <c r="BK2" s="9"/>
    </row>
    <row r="3" spans="1:63" ht="15" customHeight="1" x14ac:dyDescent="0.25">
      <c r="A3" s="199"/>
      <c r="B3" s="200"/>
      <c r="C3" s="200"/>
      <c r="D3" s="200"/>
      <c r="E3" s="200"/>
      <c r="F3" s="200"/>
      <c r="G3" s="200"/>
      <c r="H3" s="200"/>
      <c r="I3" s="200"/>
      <c r="J3" s="201"/>
      <c r="K3" s="199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1"/>
      <c r="W3" s="208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10"/>
      <c r="AP3" s="8"/>
      <c r="AQ3" s="7"/>
      <c r="AR3" s="7"/>
      <c r="AS3" s="6"/>
      <c r="AT3" s="111"/>
      <c r="AU3" s="112"/>
      <c r="AV3" s="112"/>
      <c r="AW3" s="112"/>
      <c r="AX3" s="113"/>
      <c r="AY3" s="8"/>
      <c r="AZ3" s="7"/>
      <c r="BA3" s="7"/>
      <c r="BB3" s="6"/>
      <c r="BC3" s="111"/>
      <c r="BD3" s="112"/>
      <c r="BE3" s="112"/>
      <c r="BF3" s="112"/>
      <c r="BG3" s="113"/>
      <c r="BH3" s="8"/>
      <c r="BI3" s="7"/>
      <c r="BJ3" s="7"/>
      <c r="BK3" s="6"/>
    </row>
    <row r="4" spans="1:63" ht="24.95" customHeight="1" x14ac:dyDescent="0.25">
      <c r="A4" s="189" t="s">
        <v>47</v>
      </c>
      <c r="B4" s="190"/>
      <c r="C4" s="190"/>
      <c r="D4" s="190"/>
      <c r="E4" s="190"/>
      <c r="F4" s="190"/>
      <c r="G4" s="191"/>
      <c r="H4" s="192" t="str">
        <f>IF(表紙!H4="","",表紙!H4)</f>
        <v>AP0504</v>
      </c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4"/>
      <c r="U4" s="189" t="s">
        <v>48</v>
      </c>
      <c r="V4" s="190"/>
      <c r="W4" s="190"/>
      <c r="X4" s="190"/>
      <c r="Y4" s="191"/>
      <c r="Z4" s="192" t="str">
        <f>IF(表紙!Z4="","",表紙!Z4)</f>
        <v>API設計書</v>
      </c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4"/>
      <c r="AP4" s="195" t="str">
        <f ca="1">MID(CELL("filename",A1),FIND("]",CELL("filename",A1))+1,255)</f>
        <v>AP0504</v>
      </c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4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48" customFormat="1" ht="15" customHeight="1" x14ac:dyDescent="0.25">
      <c r="A7" s="42"/>
      <c r="B7" s="43" t="s">
        <v>49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5"/>
      <c r="AQ7" s="45"/>
      <c r="AR7" s="45"/>
      <c r="AS7" s="45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6"/>
      <c r="BI7" s="46"/>
      <c r="BJ7" s="46"/>
      <c r="BK7" s="47"/>
    </row>
    <row r="8" spans="1:63" s="48" customFormat="1" ht="15" customHeight="1" x14ac:dyDescent="0.25">
      <c r="A8" s="42"/>
      <c r="B8" s="49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1"/>
      <c r="AQ8" s="51"/>
      <c r="AR8" s="51"/>
      <c r="AS8" s="51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2"/>
      <c r="BI8" s="52"/>
      <c r="BJ8" s="52"/>
      <c r="BK8" s="47"/>
    </row>
    <row r="9" spans="1:63" s="48" customFormat="1" ht="15" customHeight="1" x14ac:dyDescent="0.25">
      <c r="A9" s="42"/>
      <c r="B9" s="49"/>
      <c r="C9" s="50" t="s">
        <v>82</v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1"/>
      <c r="AQ9" s="51"/>
      <c r="AR9" s="51"/>
      <c r="AS9" s="51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2"/>
      <c r="BI9" s="52"/>
      <c r="BJ9" s="52"/>
      <c r="BK9" s="47"/>
    </row>
    <row r="10" spans="1:63" s="48" customFormat="1" ht="15" customHeight="1" x14ac:dyDescent="0.25">
      <c r="A10" s="42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2"/>
      <c r="BI10" s="52"/>
      <c r="BJ10" s="52"/>
      <c r="BK10" s="47"/>
    </row>
    <row r="11" spans="1:63" s="48" customFormat="1" ht="15" customHeight="1" x14ac:dyDescent="0.25">
      <c r="A11" s="42"/>
      <c r="B11" s="53" t="s">
        <v>34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6"/>
      <c r="BI11" s="46"/>
      <c r="BJ11" s="46"/>
      <c r="BK11" s="47"/>
    </row>
    <row r="12" spans="1:63" s="48" customFormat="1" ht="15" customHeight="1" x14ac:dyDescent="0.25">
      <c r="A12" s="42"/>
      <c r="B12" s="50"/>
      <c r="C12" s="54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2"/>
      <c r="BI12" s="52"/>
      <c r="BJ12" s="52"/>
      <c r="BK12" s="47"/>
    </row>
    <row r="13" spans="1:63" s="48" customFormat="1" ht="15" customHeight="1" x14ac:dyDescent="0.25">
      <c r="A13" s="42"/>
      <c r="B13" s="50"/>
      <c r="C13" s="54" t="s">
        <v>35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2"/>
      <c r="BI13" s="52"/>
      <c r="BJ13" s="52"/>
      <c r="BK13" s="47"/>
    </row>
    <row r="14" spans="1:63" s="48" customFormat="1" ht="15" customHeight="1" x14ac:dyDescent="0.25">
      <c r="A14" s="42"/>
      <c r="B14" s="50"/>
      <c r="C14" s="49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2"/>
      <c r="BI14" s="52"/>
      <c r="BJ14" s="52"/>
      <c r="BK14" s="47"/>
    </row>
    <row r="15" spans="1:63" s="48" customFormat="1" ht="15" customHeight="1" x14ac:dyDescent="0.25">
      <c r="A15" s="42"/>
      <c r="B15" s="50"/>
      <c r="C15" s="211" t="s">
        <v>150</v>
      </c>
      <c r="D15" s="212"/>
      <c r="E15" s="211" t="s">
        <v>50</v>
      </c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2"/>
      <c r="AG15" s="211" t="s">
        <v>51</v>
      </c>
      <c r="AH15" s="213"/>
      <c r="AI15" s="213"/>
      <c r="AJ15" s="213"/>
      <c r="AK15" s="213"/>
      <c r="AL15" s="213"/>
      <c r="AM15" s="213"/>
      <c r="AN15" s="213"/>
      <c r="AO15" s="213"/>
      <c r="AP15" s="212"/>
      <c r="AQ15" s="211" t="s">
        <v>166</v>
      </c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2"/>
      <c r="BK15" s="47"/>
    </row>
    <row r="16" spans="1:63" s="48" customFormat="1" ht="15" customHeight="1" x14ac:dyDescent="0.25">
      <c r="A16" s="42"/>
      <c r="B16" s="50"/>
      <c r="C16" s="232">
        <v>1</v>
      </c>
      <c r="D16" s="233"/>
      <c r="E16" s="234" t="s">
        <v>114</v>
      </c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5"/>
      <c r="AF16" s="236"/>
      <c r="AG16" s="232" t="s">
        <v>84</v>
      </c>
      <c r="AH16" s="237"/>
      <c r="AI16" s="237"/>
      <c r="AJ16" s="237"/>
      <c r="AK16" s="237"/>
      <c r="AL16" s="237"/>
      <c r="AM16" s="237"/>
      <c r="AN16" s="237"/>
      <c r="AO16" s="237"/>
      <c r="AP16" s="233"/>
      <c r="AQ16" s="238" t="s">
        <v>23</v>
      </c>
      <c r="AR16" s="239"/>
      <c r="AS16" s="239"/>
      <c r="AT16" s="239"/>
      <c r="AU16" s="239"/>
      <c r="AV16" s="239"/>
      <c r="AW16" s="239"/>
      <c r="AX16" s="239"/>
      <c r="AY16" s="239"/>
      <c r="AZ16" s="239"/>
      <c r="BA16" s="239"/>
      <c r="BB16" s="239"/>
      <c r="BC16" s="239"/>
      <c r="BD16" s="239"/>
      <c r="BE16" s="239"/>
      <c r="BF16" s="239"/>
      <c r="BG16" s="239"/>
      <c r="BH16" s="239"/>
      <c r="BI16" s="239"/>
      <c r="BJ16" s="240"/>
      <c r="BK16" s="47"/>
    </row>
    <row r="17" spans="1:63" s="48" customFormat="1" ht="15" customHeight="1" x14ac:dyDescent="0.25">
      <c r="A17" s="42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2"/>
      <c r="BI17" s="52"/>
      <c r="BJ17" s="52"/>
      <c r="BK17" s="47"/>
    </row>
    <row r="18" spans="1:63" s="48" customFormat="1" ht="15" customHeight="1" x14ac:dyDescent="0.25">
      <c r="A18" s="42"/>
      <c r="B18" s="50"/>
      <c r="C18" s="54" t="s">
        <v>36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2"/>
      <c r="BI18" s="52"/>
      <c r="BJ18" s="52"/>
      <c r="BK18" s="47"/>
    </row>
    <row r="19" spans="1:63" s="48" customFormat="1" ht="15" customHeight="1" x14ac:dyDescent="0.25">
      <c r="A19" s="42"/>
      <c r="B19" s="50"/>
      <c r="C19" s="54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2"/>
      <c r="BI19" s="52"/>
      <c r="BJ19" s="52"/>
      <c r="BK19" s="47"/>
    </row>
    <row r="20" spans="1:63" s="48" customFormat="1" ht="15" customHeight="1" x14ac:dyDescent="0.25">
      <c r="A20" s="42"/>
      <c r="B20" s="50"/>
      <c r="C20" s="241" t="s">
        <v>33</v>
      </c>
      <c r="D20" s="242"/>
      <c r="E20" s="241" t="s">
        <v>19</v>
      </c>
      <c r="F20" s="243"/>
      <c r="G20" s="243"/>
      <c r="H20" s="243"/>
      <c r="I20" s="243"/>
      <c r="J20" s="243"/>
      <c r="K20" s="242"/>
      <c r="L20" s="211" t="s">
        <v>158</v>
      </c>
      <c r="M20" s="213"/>
      <c r="N20" s="212"/>
      <c r="O20" s="211" t="s">
        <v>159</v>
      </c>
      <c r="P20" s="213"/>
      <c r="Q20" s="213"/>
      <c r="R20" s="212"/>
      <c r="S20" s="211" t="s">
        <v>163</v>
      </c>
      <c r="T20" s="213"/>
      <c r="U20" s="213"/>
      <c r="V20" s="213"/>
      <c r="W20" s="213"/>
      <c r="X20" s="213"/>
      <c r="Y20" s="212"/>
      <c r="Z20" s="241" t="s">
        <v>164</v>
      </c>
      <c r="AA20" s="243"/>
      <c r="AB20" s="243"/>
      <c r="AC20" s="243"/>
      <c r="AD20" s="243"/>
      <c r="AE20" s="243"/>
      <c r="AF20" s="243"/>
      <c r="AG20" s="243"/>
      <c r="AH20" s="243"/>
      <c r="AI20" s="243"/>
      <c r="AJ20" s="243"/>
      <c r="AK20" s="243"/>
      <c r="AL20" s="243"/>
      <c r="AM20" s="243"/>
      <c r="AN20" s="243"/>
      <c r="AO20" s="243"/>
      <c r="AP20" s="242"/>
      <c r="AQ20" s="211" t="s">
        <v>166</v>
      </c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  <c r="BC20" s="213"/>
      <c r="BD20" s="213"/>
      <c r="BE20" s="213"/>
      <c r="BF20" s="213"/>
      <c r="BG20" s="213"/>
      <c r="BH20" s="213"/>
      <c r="BI20" s="213"/>
      <c r="BJ20" s="212"/>
      <c r="BK20" s="47"/>
    </row>
    <row r="21" spans="1:63" s="48" customFormat="1" ht="15" customHeight="1" x14ac:dyDescent="0.25">
      <c r="A21" s="42"/>
      <c r="B21" s="50"/>
      <c r="C21" s="214">
        <v>1</v>
      </c>
      <c r="D21" s="215"/>
      <c r="E21" s="218" t="s">
        <v>20</v>
      </c>
      <c r="F21" s="219"/>
      <c r="G21" s="219"/>
      <c r="H21" s="219"/>
      <c r="I21" s="219"/>
      <c r="J21" s="219"/>
      <c r="K21" s="220"/>
      <c r="L21" s="130" t="s">
        <v>21</v>
      </c>
      <c r="M21" s="125"/>
      <c r="N21" s="126"/>
      <c r="O21" s="214" t="s">
        <v>160</v>
      </c>
      <c r="P21" s="224"/>
      <c r="Q21" s="224"/>
      <c r="R21" s="215"/>
      <c r="S21" s="214" t="s">
        <v>23</v>
      </c>
      <c r="T21" s="224"/>
      <c r="U21" s="224"/>
      <c r="V21" s="224"/>
      <c r="W21" s="224"/>
      <c r="X21" s="224"/>
      <c r="Y21" s="215"/>
      <c r="Z21" s="218" t="s">
        <v>24</v>
      </c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  <c r="AK21" s="219"/>
      <c r="AL21" s="219"/>
      <c r="AM21" s="219"/>
      <c r="AN21" s="219"/>
      <c r="AO21" s="219"/>
      <c r="AP21" s="220"/>
      <c r="AQ21" s="226" t="s">
        <v>25</v>
      </c>
      <c r="AR21" s="227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8"/>
      <c r="BK21" s="47"/>
    </row>
    <row r="22" spans="1:63" s="48" customFormat="1" ht="15" customHeight="1" x14ac:dyDescent="0.25">
      <c r="A22" s="42"/>
      <c r="B22" s="50"/>
      <c r="C22" s="216"/>
      <c r="D22" s="217"/>
      <c r="E22" s="221"/>
      <c r="F22" s="222"/>
      <c r="G22" s="222"/>
      <c r="H22" s="222"/>
      <c r="I22" s="222"/>
      <c r="J22" s="222"/>
      <c r="K22" s="223"/>
      <c r="L22" s="127"/>
      <c r="M22" s="128"/>
      <c r="N22" s="129"/>
      <c r="O22" s="216"/>
      <c r="P22" s="225"/>
      <c r="Q22" s="225"/>
      <c r="R22" s="217"/>
      <c r="S22" s="216"/>
      <c r="T22" s="225"/>
      <c r="U22" s="225"/>
      <c r="V22" s="225"/>
      <c r="W22" s="225"/>
      <c r="X22" s="225"/>
      <c r="Y22" s="217"/>
      <c r="Z22" s="221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3"/>
      <c r="AQ22" s="229"/>
      <c r="AR22" s="230"/>
      <c r="AS22" s="230"/>
      <c r="AT22" s="230"/>
      <c r="AU22" s="230"/>
      <c r="AV22" s="230"/>
      <c r="AW22" s="230"/>
      <c r="AX22" s="230"/>
      <c r="AY22" s="230"/>
      <c r="AZ22" s="230"/>
      <c r="BA22" s="230"/>
      <c r="BB22" s="230"/>
      <c r="BC22" s="230"/>
      <c r="BD22" s="230"/>
      <c r="BE22" s="230"/>
      <c r="BF22" s="230"/>
      <c r="BG22" s="230"/>
      <c r="BH22" s="230"/>
      <c r="BI22" s="230"/>
      <c r="BJ22" s="231"/>
      <c r="BK22" s="47"/>
    </row>
    <row r="23" spans="1:63" s="48" customFormat="1" ht="15" customHeight="1" x14ac:dyDescent="0.25">
      <c r="A23" s="42"/>
      <c r="B23" s="50"/>
      <c r="C23" s="232">
        <v>2</v>
      </c>
      <c r="D23" s="233"/>
      <c r="E23" s="285" t="s">
        <v>153</v>
      </c>
      <c r="F23" s="286"/>
      <c r="G23" s="286"/>
      <c r="H23" s="286"/>
      <c r="I23" s="286"/>
      <c r="J23" s="286"/>
      <c r="K23" s="287"/>
      <c r="L23" s="288" t="s">
        <v>23</v>
      </c>
      <c r="M23" s="289"/>
      <c r="N23" s="290"/>
      <c r="O23" s="232" t="s">
        <v>160</v>
      </c>
      <c r="P23" s="237"/>
      <c r="Q23" s="237"/>
      <c r="R23" s="233"/>
      <c r="S23" s="232" t="s">
        <v>23</v>
      </c>
      <c r="T23" s="237"/>
      <c r="U23" s="237"/>
      <c r="V23" s="237"/>
      <c r="W23" s="237"/>
      <c r="X23" s="237"/>
      <c r="Y23" s="233"/>
      <c r="Z23" s="285" t="s">
        <v>26</v>
      </c>
      <c r="AA23" s="286"/>
      <c r="AB23" s="286"/>
      <c r="AC23" s="286"/>
      <c r="AD23" s="286"/>
      <c r="AE23" s="286"/>
      <c r="AF23" s="286"/>
      <c r="AG23" s="286"/>
      <c r="AH23" s="286"/>
      <c r="AI23" s="286"/>
      <c r="AJ23" s="286"/>
      <c r="AK23" s="286"/>
      <c r="AL23" s="286"/>
      <c r="AM23" s="286"/>
      <c r="AN23" s="286"/>
      <c r="AO23" s="286"/>
      <c r="AP23" s="287"/>
      <c r="AQ23" s="244" t="s">
        <v>27</v>
      </c>
      <c r="AR23" s="245"/>
      <c r="AS23" s="245"/>
      <c r="AT23" s="245"/>
      <c r="AU23" s="245"/>
      <c r="AV23" s="245"/>
      <c r="AW23" s="245"/>
      <c r="AX23" s="245"/>
      <c r="AY23" s="245"/>
      <c r="AZ23" s="245"/>
      <c r="BA23" s="245"/>
      <c r="BB23" s="245"/>
      <c r="BC23" s="245"/>
      <c r="BD23" s="245"/>
      <c r="BE23" s="245"/>
      <c r="BF23" s="245"/>
      <c r="BG23" s="245"/>
      <c r="BH23" s="245"/>
      <c r="BI23" s="245"/>
      <c r="BJ23" s="246"/>
      <c r="BK23" s="47"/>
    </row>
    <row r="24" spans="1:63" s="48" customFormat="1" ht="15" customHeight="1" x14ac:dyDescent="0.25">
      <c r="A24" s="42"/>
      <c r="B24" s="50"/>
      <c r="C24" s="214">
        <v>3</v>
      </c>
      <c r="D24" s="215"/>
      <c r="E24" s="218" t="s">
        <v>154</v>
      </c>
      <c r="F24" s="219"/>
      <c r="G24" s="219"/>
      <c r="H24" s="219"/>
      <c r="I24" s="219"/>
      <c r="J24" s="219"/>
      <c r="K24" s="220"/>
      <c r="L24" s="252" t="s">
        <v>21</v>
      </c>
      <c r="M24" s="253"/>
      <c r="N24" s="254"/>
      <c r="O24" s="261" t="s">
        <v>160</v>
      </c>
      <c r="P24" s="262"/>
      <c r="Q24" s="262"/>
      <c r="R24" s="263"/>
      <c r="S24" s="261" t="s">
        <v>64</v>
      </c>
      <c r="T24" s="262"/>
      <c r="U24" s="262"/>
      <c r="V24" s="262"/>
      <c r="W24" s="262"/>
      <c r="X24" s="262"/>
      <c r="Y24" s="263"/>
      <c r="Z24" s="270" t="s">
        <v>28</v>
      </c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71"/>
      <c r="AN24" s="271"/>
      <c r="AO24" s="271"/>
      <c r="AP24" s="272"/>
      <c r="AQ24" s="279" t="s">
        <v>168</v>
      </c>
      <c r="AR24" s="279"/>
      <c r="AS24" s="279"/>
      <c r="AT24" s="279"/>
      <c r="AU24" s="279"/>
      <c r="AV24" s="279"/>
      <c r="AW24" s="279"/>
      <c r="AX24" s="279"/>
      <c r="AY24" s="279"/>
      <c r="AZ24" s="279"/>
      <c r="BA24" s="279"/>
      <c r="BB24" s="279"/>
      <c r="BC24" s="279"/>
      <c r="BD24" s="279"/>
      <c r="BE24" s="279"/>
      <c r="BF24" s="279"/>
      <c r="BG24" s="279"/>
      <c r="BH24" s="279"/>
      <c r="BI24" s="279"/>
      <c r="BJ24" s="280"/>
      <c r="BK24" s="47"/>
    </row>
    <row r="25" spans="1:63" s="48" customFormat="1" ht="15" customHeight="1" x14ac:dyDescent="0.25">
      <c r="A25" s="42"/>
      <c r="B25" s="50"/>
      <c r="C25" s="247"/>
      <c r="D25" s="248"/>
      <c r="E25" s="249"/>
      <c r="F25" s="250"/>
      <c r="G25" s="250"/>
      <c r="H25" s="250"/>
      <c r="I25" s="250"/>
      <c r="J25" s="250"/>
      <c r="K25" s="251"/>
      <c r="L25" s="255"/>
      <c r="M25" s="256"/>
      <c r="N25" s="257"/>
      <c r="O25" s="264"/>
      <c r="P25" s="265"/>
      <c r="Q25" s="265"/>
      <c r="R25" s="266"/>
      <c r="S25" s="264"/>
      <c r="T25" s="265"/>
      <c r="U25" s="265"/>
      <c r="V25" s="265"/>
      <c r="W25" s="265"/>
      <c r="X25" s="265"/>
      <c r="Y25" s="266"/>
      <c r="Z25" s="273"/>
      <c r="AA25" s="274"/>
      <c r="AB25" s="274"/>
      <c r="AC25" s="274"/>
      <c r="AD25" s="274"/>
      <c r="AE25" s="274"/>
      <c r="AF25" s="274"/>
      <c r="AG25" s="274"/>
      <c r="AH25" s="274"/>
      <c r="AI25" s="274"/>
      <c r="AJ25" s="274"/>
      <c r="AK25" s="274"/>
      <c r="AL25" s="274"/>
      <c r="AM25" s="274"/>
      <c r="AN25" s="274"/>
      <c r="AO25" s="274"/>
      <c r="AP25" s="275"/>
      <c r="AQ25" s="281"/>
      <c r="AR25" s="281"/>
      <c r="AS25" s="281"/>
      <c r="AT25" s="281"/>
      <c r="AU25" s="281"/>
      <c r="AV25" s="281"/>
      <c r="AW25" s="281"/>
      <c r="AX25" s="281"/>
      <c r="AY25" s="281"/>
      <c r="AZ25" s="281"/>
      <c r="BA25" s="281"/>
      <c r="BB25" s="281"/>
      <c r="BC25" s="281"/>
      <c r="BD25" s="281"/>
      <c r="BE25" s="281"/>
      <c r="BF25" s="281"/>
      <c r="BG25" s="281"/>
      <c r="BH25" s="281"/>
      <c r="BI25" s="281"/>
      <c r="BJ25" s="282"/>
      <c r="BK25" s="47"/>
    </row>
    <row r="26" spans="1:63" s="48" customFormat="1" ht="15" customHeight="1" x14ac:dyDescent="0.25">
      <c r="A26" s="42"/>
      <c r="B26" s="50"/>
      <c r="C26" s="247"/>
      <c r="D26" s="248"/>
      <c r="E26" s="249"/>
      <c r="F26" s="250"/>
      <c r="G26" s="250"/>
      <c r="H26" s="250"/>
      <c r="I26" s="250"/>
      <c r="J26" s="250"/>
      <c r="K26" s="251"/>
      <c r="L26" s="255"/>
      <c r="M26" s="256"/>
      <c r="N26" s="257"/>
      <c r="O26" s="264"/>
      <c r="P26" s="265"/>
      <c r="Q26" s="265"/>
      <c r="R26" s="266"/>
      <c r="S26" s="264"/>
      <c r="T26" s="265"/>
      <c r="U26" s="265"/>
      <c r="V26" s="265"/>
      <c r="W26" s="265"/>
      <c r="X26" s="265"/>
      <c r="Y26" s="266"/>
      <c r="Z26" s="273"/>
      <c r="AA26" s="274"/>
      <c r="AB26" s="274"/>
      <c r="AC26" s="274"/>
      <c r="AD26" s="274"/>
      <c r="AE26" s="274"/>
      <c r="AF26" s="274"/>
      <c r="AG26" s="274"/>
      <c r="AH26" s="274"/>
      <c r="AI26" s="274"/>
      <c r="AJ26" s="274"/>
      <c r="AK26" s="274"/>
      <c r="AL26" s="274"/>
      <c r="AM26" s="274"/>
      <c r="AN26" s="274"/>
      <c r="AO26" s="274"/>
      <c r="AP26" s="275"/>
      <c r="AQ26" s="281"/>
      <c r="AR26" s="281"/>
      <c r="AS26" s="281"/>
      <c r="AT26" s="281"/>
      <c r="AU26" s="281"/>
      <c r="AV26" s="281"/>
      <c r="AW26" s="281"/>
      <c r="AX26" s="281"/>
      <c r="AY26" s="281"/>
      <c r="AZ26" s="281"/>
      <c r="BA26" s="281"/>
      <c r="BB26" s="281"/>
      <c r="BC26" s="281"/>
      <c r="BD26" s="281"/>
      <c r="BE26" s="281"/>
      <c r="BF26" s="281"/>
      <c r="BG26" s="281"/>
      <c r="BH26" s="281"/>
      <c r="BI26" s="281"/>
      <c r="BJ26" s="282"/>
      <c r="BK26" s="47"/>
    </row>
    <row r="27" spans="1:63" s="48" customFormat="1" ht="15" customHeight="1" x14ac:dyDescent="0.25">
      <c r="A27" s="42"/>
      <c r="B27" s="50"/>
      <c r="C27" s="247"/>
      <c r="D27" s="248"/>
      <c r="E27" s="249"/>
      <c r="F27" s="250"/>
      <c r="G27" s="250"/>
      <c r="H27" s="250"/>
      <c r="I27" s="250"/>
      <c r="J27" s="250"/>
      <c r="K27" s="251"/>
      <c r="L27" s="255"/>
      <c r="M27" s="256"/>
      <c r="N27" s="257"/>
      <c r="O27" s="264"/>
      <c r="P27" s="265"/>
      <c r="Q27" s="265"/>
      <c r="R27" s="266"/>
      <c r="S27" s="264"/>
      <c r="T27" s="265"/>
      <c r="U27" s="265"/>
      <c r="V27" s="265"/>
      <c r="W27" s="265"/>
      <c r="X27" s="265"/>
      <c r="Y27" s="266"/>
      <c r="Z27" s="273"/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74"/>
      <c r="AM27" s="274"/>
      <c r="AN27" s="274"/>
      <c r="AO27" s="274"/>
      <c r="AP27" s="275"/>
      <c r="AQ27" s="281"/>
      <c r="AR27" s="281"/>
      <c r="AS27" s="281"/>
      <c r="AT27" s="281"/>
      <c r="AU27" s="281"/>
      <c r="AV27" s="281"/>
      <c r="AW27" s="281"/>
      <c r="AX27" s="281"/>
      <c r="AY27" s="281"/>
      <c r="AZ27" s="281"/>
      <c r="BA27" s="281"/>
      <c r="BB27" s="281"/>
      <c r="BC27" s="281"/>
      <c r="BD27" s="281"/>
      <c r="BE27" s="281"/>
      <c r="BF27" s="281"/>
      <c r="BG27" s="281"/>
      <c r="BH27" s="281"/>
      <c r="BI27" s="281"/>
      <c r="BJ27" s="282"/>
      <c r="BK27" s="47"/>
    </row>
    <row r="28" spans="1:63" s="48" customFormat="1" ht="15" customHeight="1" x14ac:dyDescent="0.25">
      <c r="A28" s="42"/>
      <c r="B28" s="50"/>
      <c r="C28" s="247"/>
      <c r="D28" s="248"/>
      <c r="E28" s="249"/>
      <c r="F28" s="250"/>
      <c r="G28" s="250"/>
      <c r="H28" s="250"/>
      <c r="I28" s="250"/>
      <c r="J28" s="250"/>
      <c r="K28" s="251"/>
      <c r="L28" s="255"/>
      <c r="M28" s="256"/>
      <c r="N28" s="257"/>
      <c r="O28" s="264"/>
      <c r="P28" s="265"/>
      <c r="Q28" s="265"/>
      <c r="R28" s="266"/>
      <c r="S28" s="264"/>
      <c r="T28" s="265"/>
      <c r="U28" s="265"/>
      <c r="V28" s="265"/>
      <c r="W28" s="265"/>
      <c r="X28" s="265"/>
      <c r="Y28" s="266"/>
      <c r="Z28" s="273"/>
      <c r="AA28" s="274"/>
      <c r="AB28" s="274"/>
      <c r="AC28" s="274"/>
      <c r="AD28" s="274"/>
      <c r="AE28" s="274"/>
      <c r="AF28" s="274"/>
      <c r="AG28" s="274"/>
      <c r="AH28" s="274"/>
      <c r="AI28" s="274"/>
      <c r="AJ28" s="274"/>
      <c r="AK28" s="274"/>
      <c r="AL28" s="274"/>
      <c r="AM28" s="274"/>
      <c r="AN28" s="274"/>
      <c r="AO28" s="274"/>
      <c r="AP28" s="275"/>
      <c r="AQ28" s="281"/>
      <c r="AR28" s="281"/>
      <c r="AS28" s="281"/>
      <c r="AT28" s="281"/>
      <c r="AU28" s="281"/>
      <c r="AV28" s="281"/>
      <c r="AW28" s="281"/>
      <c r="AX28" s="281"/>
      <c r="AY28" s="281"/>
      <c r="AZ28" s="281"/>
      <c r="BA28" s="281"/>
      <c r="BB28" s="281"/>
      <c r="BC28" s="281"/>
      <c r="BD28" s="281"/>
      <c r="BE28" s="281"/>
      <c r="BF28" s="281"/>
      <c r="BG28" s="281"/>
      <c r="BH28" s="281"/>
      <c r="BI28" s="281"/>
      <c r="BJ28" s="282"/>
      <c r="BK28" s="47"/>
    </row>
    <row r="29" spans="1:63" s="48" customFormat="1" ht="15" customHeight="1" x14ac:dyDescent="0.25">
      <c r="A29" s="42"/>
      <c r="B29" s="50"/>
      <c r="C29" s="247"/>
      <c r="D29" s="248"/>
      <c r="E29" s="249"/>
      <c r="F29" s="250"/>
      <c r="G29" s="250"/>
      <c r="H29" s="250"/>
      <c r="I29" s="250"/>
      <c r="J29" s="250"/>
      <c r="K29" s="251"/>
      <c r="L29" s="255"/>
      <c r="M29" s="256"/>
      <c r="N29" s="257"/>
      <c r="O29" s="264"/>
      <c r="P29" s="265"/>
      <c r="Q29" s="265"/>
      <c r="R29" s="266"/>
      <c r="S29" s="264"/>
      <c r="T29" s="265"/>
      <c r="U29" s="265"/>
      <c r="V29" s="265"/>
      <c r="W29" s="265"/>
      <c r="X29" s="265"/>
      <c r="Y29" s="266"/>
      <c r="Z29" s="273"/>
      <c r="AA29" s="274"/>
      <c r="AB29" s="274"/>
      <c r="AC29" s="274"/>
      <c r="AD29" s="274"/>
      <c r="AE29" s="274"/>
      <c r="AF29" s="274"/>
      <c r="AG29" s="274"/>
      <c r="AH29" s="274"/>
      <c r="AI29" s="274"/>
      <c r="AJ29" s="274"/>
      <c r="AK29" s="274"/>
      <c r="AL29" s="274"/>
      <c r="AM29" s="274"/>
      <c r="AN29" s="274"/>
      <c r="AO29" s="274"/>
      <c r="AP29" s="275"/>
      <c r="AQ29" s="281"/>
      <c r="AR29" s="281"/>
      <c r="AS29" s="281"/>
      <c r="AT29" s="281"/>
      <c r="AU29" s="281"/>
      <c r="AV29" s="281"/>
      <c r="AW29" s="281"/>
      <c r="AX29" s="281"/>
      <c r="AY29" s="281"/>
      <c r="AZ29" s="281"/>
      <c r="BA29" s="281"/>
      <c r="BB29" s="281"/>
      <c r="BC29" s="281"/>
      <c r="BD29" s="281"/>
      <c r="BE29" s="281"/>
      <c r="BF29" s="281"/>
      <c r="BG29" s="281"/>
      <c r="BH29" s="281"/>
      <c r="BI29" s="281"/>
      <c r="BJ29" s="282"/>
      <c r="BK29" s="47"/>
    </row>
    <row r="30" spans="1:63" s="48" customFormat="1" ht="15" customHeight="1" x14ac:dyDescent="0.25">
      <c r="A30" s="42"/>
      <c r="B30" s="50"/>
      <c r="C30" s="216"/>
      <c r="D30" s="217"/>
      <c r="E30" s="221"/>
      <c r="F30" s="222"/>
      <c r="G30" s="222"/>
      <c r="H30" s="222"/>
      <c r="I30" s="222"/>
      <c r="J30" s="222"/>
      <c r="K30" s="223"/>
      <c r="L30" s="258"/>
      <c r="M30" s="259"/>
      <c r="N30" s="260"/>
      <c r="O30" s="267"/>
      <c r="P30" s="268"/>
      <c r="Q30" s="268"/>
      <c r="R30" s="269"/>
      <c r="S30" s="267"/>
      <c r="T30" s="268"/>
      <c r="U30" s="268"/>
      <c r="V30" s="268"/>
      <c r="W30" s="268"/>
      <c r="X30" s="268"/>
      <c r="Y30" s="269"/>
      <c r="Z30" s="276"/>
      <c r="AA30" s="277"/>
      <c r="AB30" s="277"/>
      <c r="AC30" s="277"/>
      <c r="AD30" s="277"/>
      <c r="AE30" s="277"/>
      <c r="AF30" s="277"/>
      <c r="AG30" s="277"/>
      <c r="AH30" s="277"/>
      <c r="AI30" s="277"/>
      <c r="AJ30" s="277"/>
      <c r="AK30" s="277"/>
      <c r="AL30" s="277"/>
      <c r="AM30" s="277"/>
      <c r="AN30" s="277"/>
      <c r="AO30" s="277"/>
      <c r="AP30" s="278"/>
      <c r="AQ30" s="283"/>
      <c r="AR30" s="283"/>
      <c r="AS30" s="283"/>
      <c r="AT30" s="283"/>
      <c r="AU30" s="283"/>
      <c r="AV30" s="283"/>
      <c r="AW30" s="283"/>
      <c r="AX30" s="283"/>
      <c r="AY30" s="283"/>
      <c r="AZ30" s="283"/>
      <c r="BA30" s="283"/>
      <c r="BB30" s="283"/>
      <c r="BC30" s="283"/>
      <c r="BD30" s="283"/>
      <c r="BE30" s="283"/>
      <c r="BF30" s="283"/>
      <c r="BG30" s="283"/>
      <c r="BH30" s="283"/>
      <c r="BI30" s="283"/>
      <c r="BJ30" s="284"/>
      <c r="BK30" s="47"/>
    </row>
    <row r="31" spans="1:63" s="48" customFormat="1" ht="15" customHeight="1" x14ac:dyDescent="0.25">
      <c r="A31" s="42"/>
      <c r="B31" s="50"/>
      <c r="C31" s="232">
        <v>4</v>
      </c>
      <c r="D31" s="233"/>
      <c r="E31" s="285" t="s">
        <v>155</v>
      </c>
      <c r="F31" s="286"/>
      <c r="G31" s="286"/>
      <c r="H31" s="286"/>
      <c r="I31" s="286"/>
      <c r="J31" s="286"/>
      <c r="K31" s="287"/>
      <c r="L31" s="288" t="s">
        <v>23</v>
      </c>
      <c r="M31" s="289"/>
      <c r="N31" s="290"/>
      <c r="O31" s="232" t="s">
        <v>160</v>
      </c>
      <c r="P31" s="237"/>
      <c r="Q31" s="237"/>
      <c r="R31" s="233"/>
      <c r="S31" s="232" t="s">
        <v>23</v>
      </c>
      <c r="T31" s="237"/>
      <c r="U31" s="237"/>
      <c r="V31" s="237"/>
      <c r="W31" s="237"/>
      <c r="X31" s="237"/>
      <c r="Y31" s="233"/>
      <c r="Z31" s="285" t="s">
        <v>29</v>
      </c>
      <c r="AA31" s="286"/>
      <c r="AB31" s="286"/>
      <c r="AC31" s="286"/>
      <c r="AD31" s="286"/>
      <c r="AE31" s="286"/>
      <c r="AF31" s="286"/>
      <c r="AG31" s="286"/>
      <c r="AH31" s="286"/>
      <c r="AI31" s="286"/>
      <c r="AJ31" s="286"/>
      <c r="AK31" s="286"/>
      <c r="AL31" s="286"/>
      <c r="AM31" s="286"/>
      <c r="AN31" s="286"/>
      <c r="AO31" s="286"/>
      <c r="AP31" s="287"/>
      <c r="AQ31" s="244" t="s">
        <v>30</v>
      </c>
      <c r="AR31" s="245"/>
      <c r="AS31" s="245"/>
      <c r="AT31" s="245"/>
      <c r="AU31" s="245"/>
      <c r="AV31" s="245"/>
      <c r="AW31" s="245"/>
      <c r="AX31" s="245"/>
      <c r="AY31" s="245"/>
      <c r="AZ31" s="245"/>
      <c r="BA31" s="245"/>
      <c r="BB31" s="245"/>
      <c r="BC31" s="245"/>
      <c r="BD31" s="245"/>
      <c r="BE31" s="245"/>
      <c r="BF31" s="245"/>
      <c r="BG31" s="245"/>
      <c r="BH31" s="245"/>
      <c r="BI31" s="245"/>
      <c r="BJ31" s="246"/>
      <c r="BK31" s="47"/>
    </row>
    <row r="32" spans="1:63" s="48" customFormat="1" ht="15" customHeight="1" x14ac:dyDescent="0.25">
      <c r="A32" s="42"/>
      <c r="B32" s="50"/>
      <c r="C32" s="232">
        <v>5</v>
      </c>
      <c r="D32" s="233"/>
      <c r="E32" s="285" t="s">
        <v>156</v>
      </c>
      <c r="F32" s="286"/>
      <c r="G32" s="286"/>
      <c r="H32" s="286"/>
      <c r="I32" s="286"/>
      <c r="J32" s="286"/>
      <c r="K32" s="287"/>
      <c r="L32" s="288" t="s">
        <v>23</v>
      </c>
      <c r="M32" s="289"/>
      <c r="N32" s="290"/>
      <c r="O32" s="232" t="s">
        <v>160</v>
      </c>
      <c r="P32" s="237"/>
      <c r="Q32" s="237"/>
      <c r="R32" s="233"/>
      <c r="S32" s="232" t="s">
        <v>23</v>
      </c>
      <c r="T32" s="237"/>
      <c r="U32" s="237"/>
      <c r="V32" s="237"/>
      <c r="W32" s="237"/>
      <c r="X32" s="237"/>
      <c r="Y32" s="233"/>
      <c r="Z32" s="285" t="s">
        <v>31</v>
      </c>
      <c r="AA32" s="286"/>
      <c r="AB32" s="286"/>
      <c r="AC32" s="286"/>
      <c r="AD32" s="286"/>
      <c r="AE32" s="286"/>
      <c r="AF32" s="286"/>
      <c r="AG32" s="286"/>
      <c r="AH32" s="286"/>
      <c r="AI32" s="286"/>
      <c r="AJ32" s="286"/>
      <c r="AK32" s="286"/>
      <c r="AL32" s="286"/>
      <c r="AM32" s="286"/>
      <c r="AN32" s="286"/>
      <c r="AO32" s="286"/>
      <c r="AP32" s="287"/>
      <c r="AQ32" s="244" t="s">
        <v>32</v>
      </c>
      <c r="AR32" s="245"/>
      <c r="AS32" s="245"/>
      <c r="AT32" s="245"/>
      <c r="AU32" s="245"/>
      <c r="AV32" s="245"/>
      <c r="AW32" s="245"/>
      <c r="AX32" s="245"/>
      <c r="AY32" s="245"/>
      <c r="AZ32" s="245"/>
      <c r="BA32" s="245"/>
      <c r="BB32" s="245"/>
      <c r="BC32" s="245"/>
      <c r="BD32" s="245"/>
      <c r="BE32" s="245"/>
      <c r="BF32" s="245"/>
      <c r="BG32" s="245"/>
      <c r="BH32" s="245"/>
      <c r="BI32" s="245"/>
      <c r="BJ32" s="246"/>
      <c r="BK32" s="47"/>
    </row>
    <row r="33" spans="1:63" s="48" customFormat="1" ht="15" customHeight="1" x14ac:dyDescent="0.25">
      <c r="A33" s="42"/>
      <c r="B33" s="50"/>
      <c r="C33" s="50"/>
      <c r="D33" s="50"/>
      <c r="E33" s="51"/>
      <c r="F33" s="51"/>
      <c r="G33" s="51"/>
      <c r="H33" s="51"/>
      <c r="I33" s="50"/>
      <c r="J33" s="50"/>
      <c r="K33" s="50"/>
      <c r="L33" s="57"/>
      <c r="M33" s="51"/>
      <c r="N33" s="51"/>
      <c r="O33" s="51"/>
      <c r="P33" s="51"/>
      <c r="Q33" s="50"/>
      <c r="R33" s="50"/>
      <c r="S33" s="50"/>
      <c r="T33" s="50"/>
      <c r="U33" s="50"/>
      <c r="V33" s="50"/>
      <c r="W33" s="50"/>
      <c r="X33" s="50"/>
      <c r="Y33" s="50"/>
      <c r="Z33" s="55"/>
      <c r="AA33" s="50"/>
      <c r="AB33" s="50"/>
      <c r="AC33" s="50"/>
      <c r="AD33" s="50"/>
      <c r="AE33" s="50"/>
      <c r="AF33" s="50"/>
      <c r="AG33" s="51"/>
      <c r="AH33" s="51"/>
      <c r="AI33" s="51"/>
      <c r="AJ33" s="51"/>
      <c r="AK33" s="51"/>
      <c r="AL33" s="51"/>
      <c r="AM33" s="51"/>
      <c r="AN33" s="51"/>
      <c r="AO33" s="51"/>
      <c r="AP33" s="50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2"/>
      <c r="BI33" s="52"/>
      <c r="BJ33" s="52"/>
      <c r="BK33" s="47"/>
    </row>
    <row r="34" spans="1:63" s="48" customFormat="1" ht="15" customHeight="1" x14ac:dyDescent="0.25">
      <c r="A34" s="42"/>
      <c r="B34" s="50"/>
      <c r="C34" s="54" t="s">
        <v>39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2"/>
      <c r="BI34" s="52"/>
      <c r="BJ34" s="52"/>
      <c r="BK34" s="47"/>
    </row>
    <row r="35" spans="1:63" s="48" customFormat="1" ht="15" customHeight="1" x14ac:dyDescent="0.25">
      <c r="A35" s="42"/>
      <c r="B35" s="50"/>
      <c r="C35" s="49"/>
      <c r="D35" s="50"/>
      <c r="E35" s="50" t="s">
        <v>67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2"/>
      <c r="BI35" s="52"/>
      <c r="BJ35" s="52"/>
      <c r="BK35" s="47"/>
    </row>
    <row r="36" spans="1:63" s="48" customFormat="1" ht="15" customHeight="1" x14ac:dyDescent="0.25">
      <c r="A36" s="42"/>
      <c r="B36" s="50"/>
      <c r="C36" s="50"/>
      <c r="D36" s="50"/>
      <c r="E36" s="51"/>
      <c r="F36" s="51"/>
      <c r="G36" s="51"/>
      <c r="H36" s="51"/>
      <c r="I36" s="51"/>
      <c r="J36" s="51"/>
      <c r="K36" s="51"/>
      <c r="L36" s="71"/>
      <c r="M36" s="71"/>
      <c r="N36" s="71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47"/>
    </row>
    <row r="37" spans="1:63" s="48" customFormat="1" ht="15" customHeight="1" x14ac:dyDescent="0.25">
      <c r="A37" s="42"/>
      <c r="B37" s="50"/>
      <c r="C37" s="54" t="s">
        <v>37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2"/>
      <c r="BI37" s="52"/>
      <c r="BJ37" s="52"/>
      <c r="BK37" s="47"/>
    </row>
    <row r="38" spans="1:63" s="48" customFormat="1" ht="15" customHeight="1" x14ac:dyDescent="0.25">
      <c r="A38" s="42"/>
      <c r="B38" s="50"/>
      <c r="C38" s="49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2"/>
      <c r="BI38" s="52"/>
      <c r="BJ38" s="52"/>
      <c r="BK38" s="47"/>
    </row>
    <row r="39" spans="1:63" s="48" customFormat="1" ht="15" customHeight="1" x14ac:dyDescent="0.25">
      <c r="A39" s="42"/>
      <c r="B39" s="50"/>
      <c r="C39" s="304" t="s">
        <v>33</v>
      </c>
      <c r="D39" s="305"/>
      <c r="E39" s="241" t="s">
        <v>62</v>
      </c>
      <c r="F39" s="306"/>
      <c r="G39" s="306"/>
      <c r="H39" s="306"/>
      <c r="I39" s="306"/>
      <c r="J39" s="306"/>
      <c r="K39" s="307"/>
      <c r="L39" s="211" t="s">
        <v>53</v>
      </c>
      <c r="M39" s="213"/>
      <c r="N39" s="212"/>
      <c r="O39" s="211" t="s">
        <v>54</v>
      </c>
      <c r="P39" s="213"/>
      <c r="Q39" s="213"/>
      <c r="R39" s="212"/>
      <c r="S39" s="211" t="s">
        <v>55</v>
      </c>
      <c r="T39" s="213"/>
      <c r="U39" s="213"/>
      <c r="V39" s="213"/>
      <c r="W39" s="213"/>
      <c r="X39" s="213"/>
      <c r="Y39" s="212"/>
      <c r="Z39" s="241" t="s">
        <v>38</v>
      </c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2"/>
      <c r="AQ39" s="291" t="s">
        <v>52</v>
      </c>
      <c r="AR39" s="292"/>
      <c r="AS39" s="292"/>
      <c r="AT39" s="292"/>
      <c r="AU39" s="292"/>
      <c r="AV39" s="292"/>
      <c r="AW39" s="292"/>
      <c r="AX39" s="292"/>
      <c r="AY39" s="292"/>
      <c r="AZ39" s="292"/>
      <c r="BA39" s="292"/>
      <c r="BB39" s="292"/>
      <c r="BC39" s="292"/>
      <c r="BD39" s="292"/>
      <c r="BE39" s="292"/>
      <c r="BF39" s="292"/>
      <c r="BG39" s="292"/>
      <c r="BH39" s="292"/>
      <c r="BI39" s="292"/>
      <c r="BJ39" s="293"/>
      <c r="BK39" s="47"/>
    </row>
    <row r="40" spans="1:63" s="48" customFormat="1" ht="56.25" customHeight="1" x14ac:dyDescent="0.25">
      <c r="A40" s="42"/>
      <c r="B40" s="50"/>
      <c r="C40" s="232">
        <v>1</v>
      </c>
      <c r="D40" s="233"/>
      <c r="E40" s="232" t="s">
        <v>68</v>
      </c>
      <c r="F40" s="237"/>
      <c r="G40" s="237"/>
      <c r="H40" s="237"/>
      <c r="I40" s="237"/>
      <c r="J40" s="237"/>
      <c r="K40" s="233"/>
      <c r="L40" s="294" t="s">
        <v>21</v>
      </c>
      <c r="M40" s="295"/>
      <c r="N40" s="296"/>
      <c r="O40" s="297" t="s">
        <v>160</v>
      </c>
      <c r="P40" s="298"/>
      <c r="Q40" s="298"/>
      <c r="R40" s="299"/>
      <c r="S40" s="297" t="s">
        <v>23</v>
      </c>
      <c r="T40" s="298"/>
      <c r="U40" s="298"/>
      <c r="V40" s="298"/>
      <c r="W40" s="298"/>
      <c r="X40" s="298"/>
      <c r="Y40" s="299"/>
      <c r="Z40" s="300" t="s">
        <v>126</v>
      </c>
      <c r="AA40" s="298"/>
      <c r="AB40" s="298"/>
      <c r="AC40" s="298"/>
      <c r="AD40" s="298"/>
      <c r="AE40" s="298"/>
      <c r="AF40" s="298"/>
      <c r="AG40" s="298"/>
      <c r="AH40" s="298"/>
      <c r="AI40" s="298"/>
      <c r="AJ40" s="298"/>
      <c r="AK40" s="298"/>
      <c r="AL40" s="298"/>
      <c r="AM40" s="298"/>
      <c r="AN40" s="298"/>
      <c r="AO40" s="298"/>
      <c r="AP40" s="299"/>
      <c r="AQ40" s="301" t="s">
        <v>127</v>
      </c>
      <c r="AR40" s="302"/>
      <c r="AS40" s="302"/>
      <c r="AT40" s="302"/>
      <c r="AU40" s="302"/>
      <c r="AV40" s="302"/>
      <c r="AW40" s="302"/>
      <c r="AX40" s="302"/>
      <c r="AY40" s="302"/>
      <c r="AZ40" s="302"/>
      <c r="BA40" s="302"/>
      <c r="BB40" s="302"/>
      <c r="BC40" s="302"/>
      <c r="BD40" s="302"/>
      <c r="BE40" s="302"/>
      <c r="BF40" s="302"/>
      <c r="BG40" s="302"/>
      <c r="BH40" s="302"/>
      <c r="BI40" s="302"/>
      <c r="BJ40" s="303"/>
      <c r="BK40" s="47"/>
    </row>
    <row r="41" spans="1:63" s="48" customFormat="1" ht="65.25" customHeight="1" x14ac:dyDescent="0.25">
      <c r="A41" s="42"/>
      <c r="B41" s="50"/>
      <c r="C41" s="232">
        <v>2</v>
      </c>
      <c r="D41" s="233"/>
      <c r="E41" s="232" t="s">
        <v>65</v>
      </c>
      <c r="F41" s="237"/>
      <c r="G41" s="237"/>
      <c r="H41" s="237"/>
      <c r="I41" s="237"/>
      <c r="J41" s="237"/>
      <c r="K41" s="233"/>
      <c r="L41" s="294" t="s">
        <v>21</v>
      </c>
      <c r="M41" s="295"/>
      <c r="N41" s="296"/>
      <c r="O41" s="297" t="s">
        <v>160</v>
      </c>
      <c r="P41" s="298"/>
      <c r="Q41" s="298"/>
      <c r="R41" s="299"/>
      <c r="S41" s="297" t="s">
        <v>23</v>
      </c>
      <c r="T41" s="298"/>
      <c r="U41" s="298"/>
      <c r="V41" s="298"/>
      <c r="W41" s="298"/>
      <c r="X41" s="298"/>
      <c r="Y41" s="299"/>
      <c r="Z41" s="300" t="s">
        <v>128</v>
      </c>
      <c r="AA41" s="298"/>
      <c r="AB41" s="298"/>
      <c r="AC41" s="298"/>
      <c r="AD41" s="298"/>
      <c r="AE41" s="298"/>
      <c r="AF41" s="298"/>
      <c r="AG41" s="298"/>
      <c r="AH41" s="298"/>
      <c r="AI41" s="298"/>
      <c r="AJ41" s="298"/>
      <c r="AK41" s="298"/>
      <c r="AL41" s="298"/>
      <c r="AM41" s="298"/>
      <c r="AN41" s="298"/>
      <c r="AO41" s="298"/>
      <c r="AP41" s="299"/>
      <c r="AQ41" s="301" t="s">
        <v>129</v>
      </c>
      <c r="AR41" s="308"/>
      <c r="AS41" s="308"/>
      <c r="AT41" s="308"/>
      <c r="AU41" s="308"/>
      <c r="AV41" s="308"/>
      <c r="AW41" s="308"/>
      <c r="AX41" s="308"/>
      <c r="AY41" s="308"/>
      <c r="AZ41" s="308"/>
      <c r="BA41" s="308"/>
      <c r="BB41" s="308"/>
      <c r="BC41" s="308"/>
      <c r="BD41" s="308"/>
      <c r="BE41" s="308"/>
      <c r="BF41" s="308"/>
      <c r="BG41" s="308"/>
      <c r="BH41" s="308"/>
      <c r="BI41" s="308"/>
      <c r="BJ41" s="309"/>
      <c r="BK41" s="47"/>
    </row>
    <row r="42" spans="1:63" s="48" customFormat="1" ht="81" customHeight="1" x14ac:dyDescent="0.25">
      <c r="A42" s="42"/>
      <c r="B42" s="50"/>
      <c r="C42" s="232">
        <v>3</v>
      </c>
      <c r="D42" s="233"/>
      <c r="E42" s="232" t="s">
        <v>72</v>
      </c>
      <c r="F42" s="237"/>
      <c r="G42" s="237"/>
      <c r="H42" s="237"/>
      <c r="I42" s="237"/>
      <c r="J42" s="237"/>
      <c r="K42" s="233"/>
      <c r="L42" s="294" t="s">
        <v>21</v>
      </c>
      <c r="M42" s="295"/>
      <c r="N42" s="296"/>
      <c r="O42" s="297" t="s">
        <v>160</v>
      </c>
      <c r="P42" s="298"/>
      <c r="Q42" s="298"/>
      <c r="R42" s="299"/>
      <c r="S42" s="297" t="s">
        <v>23</v>
      </c>
      <c r="T42" s="298"/>
      <c r="U42" s="298"/>
      <c r="V42" s="298"/>
      <c r="W42" s="298"/>
      <c r="X42" s="298"/>
      <c r="Y42" s="299"/>
      <c r="Z42" s="300" t="s">
        <v>130</v>
      </c>
      <c r="AA42" s="298"/>
      <c r="AB42" s="298"/>
      <c r="AC42" s="298"/>
      <c r="AD42" s="298"/>
      <c r="AE42" s="298"/>
      <c r="AF42" s="298"/>
      <c r="AG42" s="298"/>
      <c r="AH42" s="298"/>
      <c r="AI42" s="298"/>
      <c r="AJ42" s="298"/>
      <c r="AK42" s="298"/>
      <c r="AL42" s="298"/>
      <c r="AM42" s="298"/>
      <c r="AN42" s="298"/>
      <c r="AO42" s="298"/>
      <c r="AP42" s="299"/>
      <c r="AQ42" s="301" t="s">
        <v>169</v>
      </c>
      <c r="AR42" s="308"/>
      <c r="AS42" s="308"/>
      <c r="AT42" s="308"/>
      <c r="AU42" s="308"/>
      <c r="AV42" s="308"/>
      <c r="AW42" s="308"/>
      <c r="AX42" s="308"/>
      <c r="AY42" s="308"/>
      <c r="AZ42" s="308"/>
      <c r="BA42" s="308"/>
      <c r="BB42" s="308"/>
      <c r="BC42" s="308"/>
      <c r="BD42" s="308"/>
      <c r="BE42" s="308"/>
      <c r="BF42" s="308"/>
      <c r="BG42" s="308"/>
      <c r="BH42" s="308"/>
      <c r="BI42" s="308"/>
      <c r="BJ42" s="309"/>
      <c r="BK42" s="47"/>
    </row>
    <row r="43" spans="1:63" s="48" customFormat="1" ht="62.25" customHeight="1" x14ac:dyDescent="0.25">
      <c r="A43" s="42"/>
      <c r="B43" s="50"/>
      <c r="C43" s="232">
        <v>4</v>
      </c>
      <c r="D43" s="233"/>
      <c r="E43" s="232" t="s">
        <v>77</v>
      </c>
      <c r="F43" s="237"/>
      <c r="G43" s="237"/>
      <c r="H43" s="237"/>
      <c r="I43" s="237"/>
      <c r="J43" s="237"/>
      <c r="K43" s="233"/>
      <c r="L43" s="294" t="s">
        <v>21</v>
      </c>
      <c r="M43" s="295"/>
      <c r="N43" s="296"/>
      <c r="O43" s="297" t="s">
        <v>160</v>
      </c>
      <c r="P43" s="298"/>
      <c r="Q43" s="298"/>
      <c r="R43" s="299"/>
      <c r="S43" s="297" t="s">
        <v>23</v>
      </c>
      <c r="T43" s="298"/>
      <c r="U43" s="298"/>
      <c r="V43" s="298"/>
      <c r="W43" s="298"/>
      <c r="X43" s="298"/>
      <c r="Y43" s="299"/>
      <c r="Z43" s="300" t="s">
        <v>131</v>
      </c>
      <c r="AA43" s="298"/>
      <c r="AB43" s="298"/>
      <c r="AC43" s="298"/>
      <c r="AD43" s="298"/>
      <c r="AE43" s="298"/>
      <c r="AF43" s="298"/>
      <c r="AG43" s="298"/>
      <c r="AH43" s="298"/>
      <c r="AI43" s="298"/>
      <c r="AJ43" s="298"/>
      <c r="AK43" s="298"/>
      <c r="AL43" s="298"/>
      <c r="AM43" s="298"/>
      <c r="AN43" s="298"/>
      <c r="AO43" s="298"/>
      <c r="AP43" s="299"/>
      <c r="AQ43" s="301" t="s">
        <v>91</v>
      </c>
      <c r="AR43" s="308"/>
      <c r="AS43" s="308"/>
      <c r="AT43" s="308"/>
      <c r="AU43" s="308"/>
      <c r="AV43" s="308"/>
      <c r="AW43" s="308"/>
      <c r="AX43" s="308"/>
      <c r="AY43" s="308"/>
      <c r="AZ43" s="308"/>
      <c r="BA43" s="308"/>
      <c r="BB43" s="308"/>
      <c r="BC43" s="308"/>
      <c r="BD43" s="308"/>
      <c r="BE43" s="308"/>
      <c r="BF43" s="308"/>
      <c r="BG43" s="308"/>
      <c r="BH43" s="308"/>
      <c r="BI43" s="308"/>
      <c r="BJ43" s="309"/>
      <c r="BK43" s="47"/>
    </row>
    <row r="44" spans="1:63" s="48" customFormat="1" ht="62.25" customHeight="1" x14ac:dyDescent="0.25">
      <c r="A44" s="42"/>
      <c r="B44" s="50"/>
      <c r="C44" s="232">
        <v>5</v>
      </c>
      <c r="D44" s="233"/>
      <c r="E44" s="232" t="s">
        <v>78</v>
      </c>
      <c r="F44" s="237"/>
      <c r="G44" s="237"/>
      <c r="H44" s="237"/>
      <c r="I44" s="237"/>
      <c r="J44" s="237"/>
      <c r="K44" s="233"/>
      <c r="L44" s="294" t="s">
        <v>21</v>
      </c>
      <c r="M44" s="295"/>
      <c r="N44" s="296"/>
      <c r="O44" s="297" t="s">
        <v>160</v>
      </c>
      <c r="P44" s="298"/>
      <c r="Q44" s="298"/>
      <c r="R44" s="299"/>
      <c r="S44" s="297" t="s">
        <v>23</v>
      </c>
      <c r="T44" s="298"/>
      <c r="U44" s="298"/>
      <c r="V44" s="298"/>
      <c r="W44" s="298"/>
      <c r="X44" s="298"/>
      <c r="Y44" s="299"/>
      <c r="Z44" s="300" t="s">
        <v>165</v>
      </c>
      <c r="AA44" s="298"/>
      <c r="AB44" s="298"/>
      <c r="AC44" s="298"/>
      <c r="AD44" s="298"/>
      <c r="AE44" s="298"/>
      <c r="AF44" s="298"/>
      <c r="AG44" s="298"/>
      <c r="AH44" s="298"/>
      <c r="AI44" s="298"/>
      <c r="AJ44" s="298"/>
      <c r="AK44" s="298"/>
      <c r="AL44" s="298"/>
      <c r="AM44" s="298"/>
      <c r="AN44" s="298"/>
      <c r="AO44" s="298"/>
      <c r="AP44" s="299"/>
      <c r="AQ44" s="301" t="s">
        <v>170</v>
      </c>
      <c r="AR44" s="308"/>
      <c r="AS44" s="308"/>
      <c r="AT44" s="308"/>
      <c r="AU44" s="308"/>
      <c r="AV44" s="308"/>
      <c r="AW44" s="308"/>
      <c r="AX44" s="308"/>
      <c r="AY44" s="308"/>
      <c r="AZ44" s="308"/>
      <c r="BA44" s="308"/>
      <c r="BB44" s="308"/>
      <c r="BC44" s="308"/>
      <c r="BD44" s="308"/>
      <c r="BE44" s="308"/>
      <c r="BF44" s="308"/>
      <c r="BG44" s="308"/>
      <c r="BH44" s="308"/>
      <c r="BI44" s="308"/>
      <c r="BJ44" s="309"/>
      <c r="BK44" s="47"/>
    </row>
    <row r="45" spans="1:63" s="48" customFormat="1" ht="15" customHeight="1" x14ac:dyDescent="0.25">
      <c r="A45" s="42"/>
      <c r="B45" s="50"/>
      <c r="C45" s="232">
        <v>6</v>
      </c>
      <c r="D45" s="233"/>
      <c r="E45" s="232" t="s">
        <v>79</v>
      </c>
      <c r="F45" s="237"/>
      <c r="G45" s="237"/>
      <c r="H45" s="237"/>
      <c r="I45" s="237"/>
      <c r="J45" s="237"/>
      <c r="K45" s="233"/>
      <c r="L45" s="294" t="s">
        <v>21</v>
      </c>
      <c r="M45" s="295"/>
      <c r="N45" s="296"/>
      <c r="O45" s="297" t="s">
        <v>160</v>
      </c>
      <c r="P45" s="298"/>
      <c r="Q45" s="298"/>
      <c r="R45" s="299"/>
      <c r="S45" s="297" t="s">
        <v>23</v>
      </c>
      <c r="T45" s="298"/>
      <c r="U45" s="298"/>
      <c r="V45" s="298"/>
      <c r="W45" s="298"/>
      <c r="X45" s="298"/>
      <c r="Y45" s="299"/>
      <c r="Z45" s="300" t="s">
        <v>116</v>
      </c>
      <c r="AA45" s="308"/>
      <c r="AB45" s="308"/>
      <c r="AC45" s="308"/>
      <c r="AD45" s="308"/>
      <c r="AE45" s="308"/>
      <c r="AF45" s="308"/>
      <c r="AG45" s="308"/>
      <c r="AH45" s="308"/>
      <c r="AI45" s="308"/>
      <c r="AJ45" s="308"/>
      <c r="AK45" s="308"/>
      <c r="AL45" s="308"/>
      <c r="AM45" s="308"/>
      <c r="AN45" s="308"/>
      <c r="AO45" s="308"/>
      <c r="AP45" s="309"/>
      <c r="AQ45" s="301" t="s">
        <v>133</v>
      </c>
      <c r="AR45" s="308"/>
      <c r="AS45" s="308"/>
      <c r="AT45" s="308"/>
      <c r="AU45" s="308"/>
      <c r="AV45" s="308"/>
      <c r="AW45" s="308"/>
      <c r="AX45" s="308"/>
      <c r="AY45" s="308"/>
      <c r="AZ45" s="308"/>
      <c r="BA45" s="308"/>
      <c r="BB45" s="308"/>
      <c r="BC45" s="308"/>
      <c r="BD45" s="308"/>
      <c r="BE45" s="308"/>
      <c r="BF45" s="308"/>
      <c r="BG45" s="308"/>
      <c r="BH45" s="308"/>
      <c r="BI45" s="308"/>
      <c r="BJ45" s="309"/>
      <c r="BK45" s="47"/>
    </row>
    <row r="46" spans="1:63" s="48" customFormat="1" ht="118.5" customHeight="1" x14ac:dyDescent="0.25">
      <c r="A46" s="42"/>
      <c r="B46" s="50"/>
      <c r="C46" s="232">
        <v>7</v>
      </c>
      <c r="D46" s="233"/>
      <c r="E46" s="232" t="s">
        <v>80</v>
      </c>
      <c r="F46" s="237"/>
      <c r="G46" s="237"/>
      <c r="H46" s="237"/>
      <c r="I46" s="237"/>
      <c r="J46" s="237"/>
      <c r="K46" s="233"/>
      <c r="L46" s="294" t="s">
        <v>21</v>
      </c>
      <c r="M46" s="295"/>
      <c r="N46" s="296"/>
      <c r="O46" s="297" t="s">
        <v>160</v>
      </c>
      <c r="P46" s="298"/>
      <c r="Q46" s="298"/>
      <c r="R46" s="299"/>
      <c r="S46" s="297" t="s">
        <v>23</v>
      </c>
      <c r="T46" s="298"/>
      <c r="U46" s="298"/>
      <c r="V46" s="298"/>
      <c r="W46" s="298"/>
      <c r="X46" s="298"/>
      <c r="Y46" s="299"/>
      <c r="Z46" s="300" t="s">
        <v>132</v>
      </c>
      <c r="AA46" s="298"/>
      <c r="AB46" s="298"/>
      <c r="AC46" s="298"/>
      <c r="AD46" s="298"/>
      <c r="AE46" s="298"/>
      <c r="AF46" s="298"/>
      <c r="AG46" s="298"/>
      <c r="AH46" s="298"/>
      <c r="AI46" s="298"/>
      <c r="AJ46" s="298"/>
      <c r="AK46" s="298"/>
      <c r="AL46" s="298"/>
      <c r="AM46" s="298"/>
      <c r="AN46" s="298"/>
      <c r="AO46" s="298"/>
      <c r="AP46" s="299"/>
      <c r="AQ46" s="301" t="s">
        <v>171</v>
      </c>
      <c r="AR46" s="308"/>
      <c r="AS46" s="308"/>
      <c r="AT46" s="308"/>
      <c r="AU46" s="308"/>
      <c r="AV46" s="308"/>
      <c r="AW46" s="308"/>
      <c r="AX46" s="308"/>
      <c r="AY46" s="308"/>
      <c r="AZ46" s="308"/>
      <c r="BA46" s="308"/>
      <c r="BB46" s="308"/>
      <c r="BC46" s="308"/>
      <c r="BD46" s="308"/>
      <c r="BE46" s="308"/>
      <c r="BF46" s="308"/>
      <c r="BG46" s="308"/>
      <c r="BH46" s="308"/>
      <c r="BI46" s="308"/>
      <c r="BJ46" s="309"/>
      <c r="BK46" s="47"/>
    </row>
    <row r="47" spans="1:63" s="48" customFormat="1" ht="32.25" customHeight="1" x14ac:dyDescent="0.25">
      <c r="A47" s="42"/>
      <c r="B47" s="50"/>
      <c r="C47" s="232">
        <v>10</v>
      </c>
      <c r="D47" s="233"/>
      <c r="E47" s="232" t="s">
        <v>69</v>
      </c>
      <c r="F47" s="237"/>
      <c r="G47" s="237"/>
      <c r="H47" s="237"/>
      <c r="I47" s="237"/>
      <c r="J47" s="237"/>
      <c r="K47" s="233"/>
      <c r="L47" s="310" t="s">
        <v>23</v>
      </c>
      <c r="M47" s="295"/>
      <c r="N47" s="296"/>
      <c r="O47" s="297" t="s">
        <v>161</v>
      </c>
      <c r="P47" s="298"/>
      <c r="Q47" s="298"/>
      <c r="R47" s="299"/>
      <c r="S47" s="297">
        <v>0</v>
      </c>
      <c r="T47" s="298"/>
      <c r="U47" s="298"/>
      <c r="V47" s="298"/>
      <c r="W47" s="298"/>
      <c r="X47" s="298"/>
      <c r="Y47" s="299"/>
      <c r="Z47" s="300" t="s">
        <v>134</v>
      </c>
      <c r="AA47" s="298"/>
      <c r="AB47" s="298"/>
      <c r="AC47" s="298"/>
      <c r="AD47" s="298"/>
      <c r="AE47" s="298"/>
      <c r="AF47" s="298"/>
      <c r="AG47" s="298"/>
      <c r="AH47" s="298"/>
      <c r="AI47" s="298"/>
      <c r="AJ47" s="298"/>
      <c r="AK47" s="298"/>
      <c r="AL47" s="298"/>
      <c r="AM47" s="298"/>
      <c r="AN47" s="298"/>
      <c r="AO47" s="298"/>
      <c r="AP47" s="299"/>
      <c r="AQ47" s="301" t="s">
        <v>167</v>
      </c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3"/>
      <c r="BK47" s="47"/>
    </row>
    <row r="48" spans="1:63" s="48" customFormat="1" ht="35.25" customHeight="1" x14ac:dyDescent="0.25">
      <c r="A48" s="42"/>
      <c r="B48" s="50"/>
      <c r="C48" s="232">
        <v>11</v>
      </c>
      <c r="D48" s="233"/>
      <c r="E48" s="232" t="s">
        <v>70</v>
      </c>
      <c r="F48" s="237"/>
      <c r="G48" s="237"/>
      <c r="H48" s="237"/>
      <c r="I48" s="237"/>
      <c r="J48" s="237"/>
      <c r="K48" s="233"/>
      <c r="L48" s="310" t="s">
        <v>23</v>
      </c>
      <c r="M48" s="295"/>
      <c r="N48" s="296"/>
      <c r="O48" s="297" t="s">
        <v>160</v>
      </c>
      <c r="P48" s="298"/>
      <c r="Q48" s="298"/>
      <c r="R48" s="299"/>
      <c r="S48" s="311" t="s">
        <v>143</v>
      </c>
      <c r="T48" s="298"/>
      <c r="U48" s="298"/>
      <c r="V48" s="298"/>
      <c r="W48" s="298"/>
      <c r="X48" s="298"/>
      <c r="Y48" s="299"/>
      <c r="Z48" s="300" t="s">
        <v>141</v>
      </c>
      <c r="AA48" s="298"/>
      <c r="AB48" s="298"/>
      <c r="AC48" s="298"/>
      <c r="AD48" s="298"/>
      <c r="AE48" s="298"/>
      <c r="AF48" s="298"/>
      <c r="AG48" s="298"/>
      <c r="AH48" s="298"/>
      <c r="AI48" s="298"/>
      <c r="AJ48" s="298"/>
      <c r="AK48" s="298"/>
      <c r="AL48" s="298"/>
      <c r="AM48" s="298"/>
      <c r="AN48" s="298"/>
      <c r="AO48" s="298"/>
      <c r="AP48" s="299"/>
      <c r="AQ48" s="301" t="s">
        <v>142</v>
      </c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3"/>
      <c r="BK48" s="47"/>
    </row>
    <row r="49" spans="1:63" s="48" customFormat="1" ht="15" customHeight="1" x14ac:dyDescent="0.25">
      <c r="A49" s="42"/>
      <c r="B49" s="50"/>
      <c r="C49" s="232">
        <v>12</v>
      </c>
      <c r="D49" s="233"/>
      <c r="E49" s="232" t="s">
        <v>157</v>
      </c>
      <c r="F49" s="237"/>
      <c r="G49" s="237"/>
      <c r="H49" s="237"/>
      <c r="I49" s="237"/>
      <c r="J49" s="237"/>
      <c r="K49" s="233"/>
      <c r="L49" s="310" t="s">
        <v>23</v>
      </c>
      <c r="M49" s="295"/>
      <c r="N49" s="296"/>
      <c r="O49" s="297" t="s">
        <v>161</v>
      </c>
      <c r="P49" s="298"/>
      <c r="Q49" s="298"/>
      <c r="R49" s="299"/>
      <c r="S49" s="297">
        <v>1</v>
      </c>
      <c r="T49" s="298"/>
      <c r="U49" s="298"/>
      <c r="V49" s="298"/>
      <c r="W49" s="298"/>
      <c r="X49" s="298"/>
      <c r="Y49" s="299"/>
      <c r="Z49" s="297" t="s">
        <v>117</v>
      </c>
      <c r="AA49" s="298"/>
      <c r="AB49" s="298"/>
      <c r="AC49" s="298"/>
      <c r="AD49" s="298"/>
      <c r="AE49" s="298"/>
      <c r="AF49" s="298"/>
      <c r="AG49" s="298"/>
      <c r="AH49" s="298"/>
      <c r="AI49" s="298"/>
      <c r="AJ49" s="298"/>
      <c r="AK49" s="298"/>
      <c r="AL49" s="298"/>
      <c r="AM49" s="298"/>
      <c r="AN49" s="298"/>
      <c r="AO49" s="298"/>
      <c r="AP49" s="299"/>
      <c r="AQ49" s="301" t="s">
        <v>167</v>
      </c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3"/>
      <c r="BK49" s="47"/>
    </row>
    <row r="50" spans="1:63" s="48" customFormat="1" ht="32.25" customHeight="1" x14ac:dyDescent="0.25">
      <c r="A50" s="42"/>
      <c r="B50" s="50"/>
      <c r="C50" s="232">
        <v>13</v>
      </c>
      <c r="D50" s="233"/>
      <c r="E50" s="232" t="s">
        <v>73</v>
      </c>
      <c r="F50" s="237"/>
      <c r="G50" s="237"/>
      <c r="H50" s="237"/>
      <c r="I50" s="237"/>
      <c r="J50" s="237"/>
      <c r="K50" s="233"/>
      <c r="L50" s="294" t="s">
        <v>21</v>
      </c>
      <c r="M50" s="295"/>
      <c r="N50" s="296"/>
      <c r="O50" s="297" t="s">
        <v>162</v>
      </c>
      <c r="P50" s="298"/>
      <c r="Q50" s="298"/>
      <c r="R50" s="299"/>
      <c r="S50" s="297" t="s">
        <v>23</v>
      </c>
      <c r="T50" s="298"/>
      <c r="U50" s="298"/>
      <c r="V50" s="298"/>
      <c r="W50" s="298"/>
      <c r="X50" s="298"/>
      <c r="Y50" s="299"/>
      <c r="Z50" s="297" t="s">
        <v>118</v>
      </c>
      <c r="AA50" s="298"/>
      <c r="AB50" s="298"/>
      <c r="AC50" s="298"/>
      <c r="AD50" s="298"/>
      <c r="AE50" s="298"/>
      <c r="AF50" s="298"/>
      <c r="AG50" s="298"/>
      <c r="AH50" s="298"/>
      <c r="AI50" s="298"/>
      <c r="AJ50" s="298"/>
      <c r="AK50" s="298"/>
      <c r="AL50" s="298"/>
      <c r="AM50" s="298"/>
      <c r="AN50" s="298"/>
      <c r="AO50" s="298"/>
      <c r="AP50" s="299"/>
      <c r="AQ50" s="301" t="s">
        <v>86</v>
      </c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3"/>
      <c r="BK50" s="47"/>
    </row>
    <row r="51" spans="1:63" s="48" customFormat="1" ht="188.25" customHeight="1" x14ac:dyDescent="0.25">
      <c r="A51" s="42"/>
      <c r="B51" s="50"/>
      <c r="C51" s="232">
        <v>14</v>
      </c>
      <c r="D51" s="233"/>
      <c r="E51" s="312" t="s">
        <v>74</v>
      </c>
      <c r="F51" s="313"/>
      <c r="G51" s="313"/>
      <c r="H51" s="313"/>
      <c r="I51" s="313"/>
      <c r="J51" s="313"/>
      <c r="K51" s="314"/>
      <c r="L51" s="310" t="s">
        <v>23</v>
      </c>
      <c r="M51" s="295"/>
      <c r="N51" s="296"/>
      <c r="O51" s="297" t="s">
        <v>88</v>
      </c>
      <c r="P51" s="298"/>
      <c r="Q51" s="298"/>
      <c r="R51" s="299"/>
      <c r="S51" s="297" t="s">
        <v>23</v>
      </c>
      <c r="T51" s="298"/>
      <c r="U51" s="298"/>
      <c r="V51" s="298"/>
      <c r="W51" s="298"/>
      <c r="X51" s="298"/>
      <c r="Y51" s="299"/>
      <c r="Z51" s="300" t="s">
        <v>135</v>
      </c>
      <c r="AA51" s="308"/>
      <c r="AB51" s="308"/>
      <c r="AC51" s="308"/>
      <c r="AD51" s="308"/>
      <c r="AE51" s="308"/>
      <c r="AF51" s="308"/>
      <c r="AG51" s="308"/>
      <c r="AH51" s="308"/>
      <c r="AI51" s="308"/>
      <c r="AJ51" s="308"/>
      <c r="AK51" s="308"/>
      <c r="AL51" s="308"/>
      <c r="AM51" s="308"/>
      <c r="AN51" s="308"/>
      <c r="AO51" s="308"/>
      <c r="AP51" s="309"/>
      <c r="AQ51" s="301" t="s">
        <v>147</v>
      </c>
      <c r="AR51" s="308"/>
      <c r="AS51" s="308"/>
      <c r="AT51" s="308"/>
      <c r="AU51" s="308"/>
      <c r="AV51" s="308"/>
      <c r="AW51" s="308"/>
      <c r="AX51" s="308"/>
      <c r="AY51" s="308"/>
      <c r="AZ51" s="308"/>
      <c r="BA51" s="308"/>
      <c r="BB51" s="308"/>
      <c r="BC51" s="308"/>
      <c r="BD51" s="308"/>
      <c r="BE51" s="308"/>
      <c r="BF51" s="308"/>
      <c r="BG51" s="308"/>
      <c r="BH51" s="308"/>
      <c r="BI51" s="308"/>
      <c r="BJ51" s="309"/>
      <c r="BK51" s="47"/>
    </row>
    <row r="52" spans="1:63" s="48" customFormat="1" ht="116.25" customHeight="1" x14ac:dyDescent="0.25">
      <c r="A52" s="42"/>
      <c r="B52" s="50"/>
      <c r="C52" s="232">
        <v>15</v>
      </c>
      <c r="D52" s="233"/>
      <c r="E52" s="312" t="s">
        <v>115</v>
      </c>
      <c r="F52" s="313"/>
      <c r="G52" s="313"/>
      <c r="H52" s="313"/>
      <c r="I52" s="313"/>
      <c r="J52" s="313"/>
      <c r="K52" s="314"/>
      <c r="L52" s="310" t="s">
        <v>23</v>
      </c>
      <c r="M52" s="295"/>
      <c r="N52" s="296"/>
      <c r="O52" s="297" t="s">
        <v>89</v>
      </c>
      <c r="P52" s="298"/>
      <c r="Q52" s="298"/>
      <c r="R52" s="299"/>
      <c r="S52" s="297" t="s">
        <v>23</v>
      </c>
      <c r="T52" s="298"/>
      <c r="U52" s="298"/>
      <c r="V52" s="298"/>
      <c r="W52" s="298"/>
      <c r="X52" s="298"/>
      <c r="Y52" s="299"/>
      <c r="Z52" s="300" t="s">
        <v>136</v>
      </c>
      <c r="AA52" s="308"/>
      <c r="AB52" s="308"/>
      <c r="AC52" s="308"/>
      <c r="AD52" s="308"/>
      <c r="AE52" s="308"/>
      <c r="AF52" s="308"/>
      <c r="AG52" s="308"/>
      <c r="AH52" s="308"/>
      <c r="AI52" s="308"/>
      <c r="AJ52" s="308"/>
      <c r="AK52" s="308"/>
      <c r="AL52" s="308"/>
      <c r="AM52" s="308"/>
      <c r="AN52" s="308"/>
      <c r="AO52" s="308"/>
      <c r="AP52" s="309"/>
      <c r="AQ52" s="315" t="s">
        <v>125</v>
      </c>
      <c r="AR52" s="316"/>
      <c r="AS52" s="316"/>
      <c r="AT52" s="316"/>
      <c r="AU52" s="316"/>
      <c r="AV52" s="316"/>
      <c r="AW52" s="316"/>
      <c r="AX52" s="316"/>
      <c r="AY52" s="316"/>
      <c r="AZ52" s="316"/>
      <c r="BA52" s="316"/>
      <c r="BB52" s="316"/>
      <c r="BC52" s="316"/>
      <c r="BD52" s="316"/>
      <c r="BE52" s="316"/>
      <c r="BF52" s="316"/>
      <c r="BG52" s="316"/>
      <c r="BH52" s="316"/>
      <c r="BI52" s="316"/>
      <c r="BJ52" s="317"/>
      <c r="BK52" s="47"/>
    </row>
    <row r="53" spans="1:63" s="48" customFormat="1" ht="15" customHeight="1" x14ac:dyDescent="0.25">
      <c r="A53" s="42"/>
      <c r="B53" s="50"/>
      <c r="C53" s="232">
        <v>18</v>
      </c>
      <c r="D53" s="233"/>
      <c r="E53" s="232" t="s">
        <v>75</v>
      </c>
      <c r="F53" s="237"/>
      <c r="G53" s="237"/>
      <c r="H53" s="237"/>
      <c r="I53" s="237"/>
      <c r="J53" s="237"/>
      <c r="K53" s="233"/>
      <c r="L53" s="294" t="s">
        <v>21</v>
      </c>
      <c r="M53" s="295"/>
      <c r="N53" s="296"/>
      <c r="O53" s="297" t="s">
        <v>87</v>
      </c>
      <c r="P53" s="298"/>
      <c r="Q53" s="298"/>
      <c r="R53" s="299"/>
      <c r="S53" s="297" t="s">
        <v>23</v>
      </c>
      <c r="T53" s="298"/>
      <c r="U53" s="298"/>
      <c r="V53" s="298"/>
      <c r="W53" s="298"/>
      <c r="X53" s="298"/>
      <c r="Y53" s="299"/>
      <c r="Z53" s="297" t="s">
        <v>94</v>
      </c>
      <c r="AA53" s="298"/>
      <c r="AB53" s="298"/>
      <c r="AC53" s="298"/>
      <c r="AD53" s="298"/>
      <c r="AE53" s="298"/>
      <c r="AF53" s="298"/>
      <c r="AG53" s="298"/>
      <c r="AH53" s="298"/>
      <c r="AI53" s="298"/>
      <c r="AJ53" s="298"/>
      <c r="AK53" s="298"/>
      <c r="AL53" s="298"/>
      <c r="AM53" s="298"/>
      <c r="AN53" s="298"/>
      <c r="AO53" s="298"/>
      <c r="AP53" s="299"/>
      <c r="AQ53" s="301" t="s">
        <v>92</v>
      </c>
      <c r="AR53" s="308"/>
      <c r="AS53" s="308"/>
      <c r="AT53" s="308"/>
      <c r="AU53" s="308"/>
      <c r="AV53" s="308"/>
      <c r="AW53" s="308"/>
      <c r="AX53" s="308"/>
      <c r="AY53" s="308"/>
      <c r="AZ53" s="308"/>
      <c r="BA53" s="308"/>
      <c r="BB53" s="308"/>
      <c r="BC53" s="308"/>
      <c r="BD53" s="308"/>
      <c r="BE53" s="308"/>
      <c r="BF53" s="308"/>
      <c r="BG53" s="308"/>
      <c r="BH53" s="308"/>
      <c r="BI53" s="308"/>
      <c r="BJ53" s="309"/>
      <c r="BK53" s="47"/>
    </row>
    <row r="54" spans="1:63" s="48" customFormat="1" ht="61.5" customHeight="1" x14ac:dyDescent="0.25">
      <c r="A54" s="42"/>
      <c r="B54" s="50"/>
      <c r="C54" s="232">
        <v>19</v>
      </c>
      <c r="D54" s="233"/>
      <c r="E54" s="312" t="s">
        <v>76</v>
      </c>
      <c r="F54" s="313"/>
      <c r="G54" s="313"/>
      <c r="H54" s="313"/>
      <c r="I54" s="313"/>
      <c r="J54" s="313"/>
      <c r="K54" s="314"/>
      <c r="L54" s="294" t="s">
        <v>21</v>
      </c>
      <c r="M54" s="295"/>
      <c r="N54" s="296"/>
      <c r="O54" s="297" t="s">
        <v>160</v>
      </c>
      <c r="P54" s="298"/>
      <c r="Q54" s="298"/>
      <c r="R54" s="299"/>
      <c r="S54" s="297" t="s">
        <v>23</v>
      </c>
      <c r="T54" s="298"/>
      <c r="U54" s="298"/>
      <c r="V54" s="298"/>
      <c r="W54" s="298"/>
      <c r="X54" s="298"/>
      <c r="Y54" s="299"/>
      <c r="Z54" s="300" t="s">
        <v>137</v>
      </c>
      <c r="AA54" s="298"/>
      <c r="AB54" s="298"/>
      <c r="AC54" s="298"/>
      <c r="AD54" s="298"/>
      <c r="AE54" s="298"/>
      <c r="AF54" s="298"/>
      <c r="AG54" s="298"/>
      <c r="AH54" s="298"/>
      <c r="AI54" s="298"/>
      <c r="AJ54" s="298"/>
      <c r="AK54" s="298"/>
      <c r="AL54" s="298"/>
      <c r="AM54" s="298"/>
      <c r="AN54" s="298"/>
      <c r="AO54" s="298"/>
      <c r="AP54" s="299"/>
      <c r="AQ54" s="301" t="s">
        <v>93</v>
      </c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3"/>
      <c r="BK54" s="47"/>
    </row>
    <row r="55" spans="1:63" s="48" customFormat="1" ht="31.5" customHeight="1" x14ac:dyDescent="0.25">
      <c r="A55" s="42"/>
      <c r="B55" s="50"/>
      <c r="C55" s="232">
        <v>20</v>
      </c>
      <c r="D55" s="233"/>
      <c r="E55" s="312" t="s">
        <v>71</v>
      </c>
      <c r="F55" s="313"/>
      <c r="G55" s="313"/>
      <c r="H55" s="313"/>
      <c r="I55" s="313"/>
      <c r="J55" s="313"/>
      <c r="K55" s="314"/>
      <c r="L55" s="310" t="s">
        <v>23</v>
      </c>
      <c r="M55" s="295"/>
      <c r="N55" s="296"/>
      <c r="O55" s="297" t="s">
        <v>85</v>
      </c>
      <c r="P55" s="298"/>
      <c r="Q55" s="298"/>
      <c r="R55" s="299"/>
      <c r="S55" s="297" t="s">
        <v>23</v>
      </c>
      <c r="T55" s="298"/>
      <c r="U55" s="298"/>
      <c r="V55" s="298"/>
      <c r="W55" s="298"/>
      <c r="X55" s="298"/>
      <c r="Y55" s="299"/>
      <c r="Z55" s="300" t="s">
        <v>138</v>
      </c>
      <c r="AA55" s="298"/>
      <c r="AB55" s="298"/>
      <c r="AC55" s="298"/>
      <c r="AD55" s="298"/>
      <c r="AE55" s="298"/>
      <c r="AF55" s="298"/>
      <c r="AG55" s="298"/>
      <c r="AH55" s="298"/>
      <c r="AI55" s="298"/>
      <c r="AJ55" s="298"/>
      <c r="AK55" s="298"/>
      <c r="AL55" s="298"/>
      <c r="AM55" s="298"/>
      <c r="AN55" s="298"/>
      <c r="AO55" s="298"/>
      <c r="AP55" s="299"/>
      <c r="AQ55" s="301" t="s">
        <v>90</v>
      </c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3"/>
      <c r="BK55" s="47"/>
    </row>
    <row r="56" spans="1:63" s="87" customFormat="1" ht="54.75" customHeight="1" x14ac:dyDescent="0.25">
      <c r="A56" s="84"/>
      <c r="B56" s="85"/>
      <c r="C56" s="232">
        <v>21</v>
      </c>
      <c r="D56" s="233"/>
      <c r="E56" s="312" t="s">
        <v>119</v>
      </c>
      <c r="F56" s="313"/>
      <c r="G56" s="313"/>
      <c r="H56" s="313"/>
      <c r="I56" s="313"/>
      <c r="J56" s="313"/>
      <c r="K56" s="314"/>
      <c r="L56" s="294" t="s">
        <v>21</v>
      </c>
      <c r="M56" s="295"/>
      <c r="N56" s="296"/>
      <c r="O56" s="297" t="s">
        <v>22</v>
      </c>
      <c r="P56" s="298"/>
      <c r="Q56" s="298"/>
      <c r="R56" s="299"/>
      <c r="S56" s="297" t="s">
        <v>23</v>
      </c>
      <c r="T56" s="298"/>
      <c r="U56" s="298"/>
      <c r="V56" s="298"/>
      <c r="W56" s="298"/>
      <c r="X56" s="298"/>
      <c r="Y56" s="299"/>
      <c r="Z56" s="297" t="s">
        <v>120</v>
      </c>
      <c r="AA56" s="298"/>
      <c r="AB56" s="298"/>
      <c r="AC56" s="298"/>
      <c r="AD56" s="298"/>
      <c r="AE56" s="298"/>
      <c r="AF56" s="298"/>
      <c r="AG56" s="298"/>
      <c r="AH56" s="298"/>
      <c r="AI56" s="298"/>
      <c r="AJ56" s="298"/>
      <c r="AK56" s="298"/>
      <c r="AL56" s="298"/>
      <c r="AM56" s="298"/>
      <c r="AN56" s="298"/>
      <c r="AO56" s="298"/>
      <c r="AP56" s="299"/>
      <c r="AQ56" s="301" t="s">
        <v>121</v>
      </c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3"/>
      <c r="BK56" s="86"/>
    </row>
    <row r="57" spans="1:63" s="48" customFormat="1" ht="15" customHeight="1" x14ac:dyDescent="0.25">
      <c r="A57" s="42"/>
      <c r="B57" s="50"/>
      <c r="C57" s="49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47"/>
    </row>
    <row r="58" spans="1:63" s="48" customFormat="1" ht="15" customHeight="1" x14ac:dyDescent="0.25">
      <c r="A58" s="42"/>
      <c r="B58" s="50"/>
      <c r="C58" s="49" t="s">
        <v>151</v>
      </c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47"/>
    </row>
    <row r="59" spans="1:63" s="48" customFormat="1" ht="15" customHeight="1" x14ac:dyDescent="0.25">
      <c r="A59" s="42"/>
      <c r="B59" s="50"/>
      <c r="C59" s="88" t="s">
        <v>60</v>
      </c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5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2"/>
      <c r="BI59" s="52"/>
      <c r="BJ59" s="52"/>
      <c r="BK59" s="47"/>
    </row>
    <row r="60" spans="1:63" s="48" customFormat="1" ht="15" customHeight="1" x14ac:dyDescent="0.25">
      <c r="A60" s="42"/>
      <c r="B60" s="50"/>
      <c r="C60" s="42" t="s">
        <v>113</v>
      </c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78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2"/>
      <c r="BI60" s="52"/>
      <c r="BJ60" s="52"/>
      <c r="BK60" s="47"/>
    </row>
    <row r="61" spans="1:63" s="48" customFormat="1" ht="15" customHeight="1" x14ac:dyDescent="0.25">
      <c r="A61" s="42"/>
      <c r="B61" s="50"/>
      <c r="C61" s="42" t="s">
        <v>95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78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2"/>
      <c r="BI61" s="52"/>
      <c r="BJ61" s="52"/>
      <c r="BK61" s="47"/>
    </row>
    <row r="62" spans="1:63" s="48" customFormat="1" ht="15" customHeight="1" x14ac:dyDescent="0.25">
      <c r="A62" s="42"/>
      <c r="B62" s="50"/>
      <c r="C62" s="42" t="s">
        <v>96</v>
      </c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78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2"/>
      <c r="BI62" s="52"/>
      <c r="BJ62" s="52"/>
      <c r="BK62" s="47"/>
    </row>
    <row r="63" spans="1:63" s="48" customFormat="1" ht="15" customHeight="1" x14ac:dyDescent="0.25">
      <c r="A63" s="42"/>
      <c r="B63" s="50"/>
      <c r="C63" s="42" t="s">
        <v>97</v>
      </c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78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2"/>
      <c r="BI63" s="52"/>
      <c r="BJ63" s="52"/>
      <c r="BK63" s="47"/>
    </row>
    <row r="64" spans="1:63" s="48" customFormat="1" ht="15" customHeight="1" x14ac:dyDescent="0.25">
      <c r="A64" s="42"/>
      <c r="B64" s="50"/>
      <c r="C64" s="42" t="s">
        <v>98</v>
      </c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78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2"/>
      <c r="BI64" s="52"/>
      <c r="BJ64" s="52"/>
      <c r="BK64" s="47"/>
    </row>
    <row r="65" spans="1:63" s="48" customFormat="1" ht="15" customHeight="1" x14ac:dyDescent="0.25">
      <c r="A65" s="42"/>
      <c r="B65" s="50"/>
      <c r="C65" s="42" t="s">
        <v>99</v>
      </c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78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2"/>
      <c r="BI65" s="52"/>
      <c r="BJ65" s="52"/>
      <c r="BK65" s="47"/>
    </row>
    <row r="66" spans="1:63" s="48" customFormat="1" ht="15" customHeight="1" x14ac:dyDescent="0.25">
      <c r="A66" s="42"/>
      <c r="B66" s="50"/>
      <c r="C66" s="42" t="s">
        <v>100</v>
      </c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78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2"/>
      <c r="BI66" s="52"/>
      <c r="BJ66" s="52"/>
      <c r="BK66" s="47"/>
    </row>
    <row r="67" spans="1:63" s="48" customFormat="1" ht="15" customHeight="1" x14ac:dyDescent="0.25">
      <c r="A67" s="42"/>
      <c r="B67" s="50"/>
      <c r="C67" s="42" t="s">
        <v>101</v>
      </c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78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2"/>
      <c r="BI67" s="52"/>
      <c r="BJ67" s="52"/>
      <c r="BK67" s="47"/>
    </row>
    <row r="68" spans="1:63" s="48" customFormat="1" ht="15" customHeight="1" x14ac:dyDescent="0.25">
      <c r="A68" s="42"/>
      <c r="B68" s="50"/>
      <c r="C68" s="42" t="s">
        <v>102</v>
      </c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78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2"/>
      <c r="BI68" s="52"/>
      <c r="BJ68" s="52"/>
      <c r="BK68" s="47"/>
    </row>
    <row r="69" spans="1:63" s="48" customFormat="1" ht="15" customHeight="1" x14ac:dyDescent="0.25">
      <c r="A69" s="42"/>
      <c r="B69" s="50"/>
      <c r="C69" s="42" t="s">
        <v>103</v>
      </c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78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2"/>
      <c r="BI69" s="52"/>
      <c r="BJ69" s="52"/>
      <c r="BK69" s="47"/>
    </row>
    <row r="70" spans="1:63" s="48" customFormat="1" ht="15" customHeight="1" x14ac:dyDescent="0.25">
      <c r="A70" s="42"/>
      <c r="B70" s="50"/>
      <c r="C70" s="42" t="s">
        <v>104</v>
      </c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78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2"/>
      <c r="BI70" s="52"/>
      <c r="BJ70" s="52"/>
      <c r="BK70" s="47"/>
    </row>
    <row r="71" spans="1:63" s="48" customFormat="1" ht="15" customHeight="1" x14ac:dyDescent="0.25">
      <c r="A71" s="42"/>
      <c r="B71" s="50"/>
      <c r="C71" s="42" t="s">
        <v>105</v>
      </c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78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2"/>
      <c r="BI71" s="52"/>
      <c r="BJ71" s="52"/>
      <c r="BK71" s="47"/>
    </row>
    <row r="72" spans="1:63" s="79" customFormat="1" ht="15" customHeight="1" x14ac:dyDescent="0.25">
      <c r="A72" s="73"/>
      <c r="B72" s="51"/>
      <c r="C72" s="42"/>
      <c r="D72" s="50" t="s">
        <v>60</v>
      </c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78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2"/>
      <c r="BI72" s="52"/>
      <c r="BJ72" s="52"/>
      <c r="BK72" s="39"/>
    </row>
    <row r="73" spans="1:63" s="79" customFormat="1" ht="15" customHeight="1" x14ac:dyDescent="0.25">
      <c r="A73" s="73"/>
      <c r="B73" s="51"/>
      <c r="C73" s="90" t="s">
        <v>106</v>
      </c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78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2"/>
      <c r="BI73" s="52"/>
      <c r="BJ73" s="52"/>
      <c r="BK73" s="39"/>
    </row>
    <row r="74" spans="1:63" s="79" customFormat="1" ht="15" customHeight="1" x14ac:dyDescent="0.25">
      <c r="A74" s="73"/>
      <c r="B74" s="51"/>
      <c r="C74" s="90" t="s">
        <v>139</v>
      </c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78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2"/>
      <c r="BI74" s="52"/>
      <c r="BJ74" s="52"/>
      <c r="BK74" s="39"/>
    </row>
    <row r="75" spans="1:63" s="79" customFormat="1" ht="15" customHeight="1" x14ac:dyDescent="0.25">
      <c r="A75" s="73"/>
      <c r="B75" s="51"/>
      <c r="C75" s="42"/>
      <c r="D75" s="50" t="s">
        <v>61</v>
      </c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78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2"/>
      <c r="BI75" s="52"/>
      <c r="BJ75" s="52"/>
      <c r="BK75" s="39"/>
    </row>
    <row r="76" spans="1:63" s="48" customFormat="1" ht="15" customHeight="1" x14ac:dyDescent="0.25">
      <c r="A76" s="42"/>
      <c r="B76" s="50"/>
      <c r="C76" s="42" t="s">
        <v>107</v>
      </c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78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2"/>
      <c r="BI76" s="52"/>
      <c r="BJ76" s="52"/>
      <c r="BK76" s="47"/>
    </row>
    <row r="77" spans="1:63" s="48" customFormat="1" ht="15" customHeight="1" x14ac:dyDescent="0.25">
      <c r="A77" s="42"/>
      <c r="B77" s="50"/>
      <c r="C77" s="42" t="s">
        <v>108</v>
      </c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78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2"/>
      <c r="BI77" s="52"/>
      <c r="BJ77" s="52"/>
      <c r="BK77" s="47"/>
    </row>
    <row r="78" spans="1:63" s="79" customFormat="1" ht="15" customHeight="1" x14ac:dyDescent="0.25">
      <c r="A78" s="73"/>
      <c r="B78" s="51"/>
      <c r="C78" s="42"/>
      <c r="D78" s="50" t="s">
        <v>60</v>
      </c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78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2"/>
      <c r="BI78" s="52"/>
      <c r="BJ78" s="52"/>
      <c r="BK78" s="39"/>
    </row>
    <row r="79" spans="1:63" s="48" customFormat="1" ht="15" customHeight="1" x14ac:dyDescent="0.25">
      <c r="A79" s="42"/>
      <c r="B79" s="50"/>
      <c r="C79" s="42" t="s">
        <v>109</v>
      </c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78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2"/>
      <c r="BI79" s="52"/>
      <c r="BJ79" s="52"/>
      <c r="BK79" s="47"/>
    </row>
    <row r="80" spans="1:63" s="48" customFormat="1" ht="15" customHeight="1" x14ac:dyDescent="0.25">
      <c r="A80" s="42"/>
      <c r="B80" s="50"/>
      <c r="C80" s="42" t="s">
        <v>110</v>
      </c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78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2"/>
      <c r="BI80" s="52"/>
      <c r="BJ80" s="52"/>
      <c r="BK80" s="47"/>
    </row>
    <row r="81" spans="1:63" s="48" customFormat="1" ht="15" customHeight="1" x14ac:dyDescent="0.25">
      <c r="A81" s="42"/>
      <c r="B81" s="50"/>
      <c r="C81" s="42" t="s">
        <v>122</v>
      </c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78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2"/>
      <c r="BI81" s="52"/>
      <c r="BJ81" s="52"/>
      <c r="BK81" s="47"/>
    </row>
    <row r="82" spans="1:63" s="48" customFormat="1" ht="15" customHeight="1" x14ac:dyDescent="0.25">
      <c r="A82" s="42"/>
      <c r="B82" s="50"/>
      <c r="C82" s="42" t="s">
        <v>111</v>
      </c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78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2"/>
      <c r="BI82" s="52"/>
      <c r="BJ82" s="52"/>
      <c r="BK82" s="47"/>
    </row>
    <row r="83" spans="1:63" s="48" customFormat="1" ht="15" customHeight="1" x14ac:dyDescent="0.25">
      <c r="A83" s="42"/>
      <c r="B83" s="50"/>
      <c r="C83" s="42" t="s">
        <v>112</v>
      </c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78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2"/>
      <c r="BI83" s="52"/>
      <c r="BJ83" s="52"/>
      <c r="BK83" s="47"/>
    </row>
    <row r="84" spans="1:63" s="48" customFormat="1" ht="15" customHeight="1" x14ac:dyDescent="0.25">
      <c r="A84" s="42"/>
      <c r="B84" s="50"/>
      <c r="C84" s="42" t="s">
        <v>61</v>
      </c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78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2"/>
      <c r="BI84" s="52"/>
      <c r="BJ84" s="52"/>
      <c r="BK84" s="47"/>
    </row>
    <row r="85" spans="1:63" s="48" customFormat="1" ht="15" customHeight="1" x14ac:dyDescent="0.25">
      <c r="A85" s="42"/>
      <c r="B85" s="50"/>
      <c r="C85" s="89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7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2"/>
      <c r="BI85" s="52"/>
      <c r="BJ85" s="52"/>
      <c r="BK85" s="47"/>
    </row>
    <row r="86" spans="1:63" s="48" customFormat="1" ht="15" customHeight="1" x14ac:dyDescent="0.25">
      <c r="A86" s="42"/>
      <c r="B86" s="50"/>
      <c r="C86" s="54"/>
      <c r="D86" s="51"/>
      <c r="E86" s="51"/>
      <c r="F86" s="50"/>
      <c r="G86" s="51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47"/>
    </row>
    <row r="87" spans="1:63" s="48" customFormat="1" ht="15" customHeight="1" x14ac:dyDescent="0.25">
      <c r="A87" s="42"/>
      <c r="B87" s="53" t="s">
        <v>63</v>
      </c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6"/>
      <c r="BI87" s="46"/>
      <c r="BJ87" s="46"/>
      <c r="BK87" s="47"/>
    </row>
    <row r="88" spans="1:63" s="48" customFormat="1" ht="15" customHeight="1" x14ac:dyDescent="0.25">
      <c r="A88" s="42"/>
      <c r="B88" s="49"/>
      <c r="C88" s="54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2"/>
      <c r="BI88" s="52"/>
      <c r="BJ88" s="52"/>
      <c r="BK88" s="47"/>
    </row>
    <row r="89" spans="1:63" s="48" customFormat="1" ht="15" customHeight="1" x14ac:dyDescent="0.25">
      <c r="A89" s="42"/>
      <c r="B89" s="49"/>
      <c r="C89" s="54" t="s">
        <v>56</v>
      </c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2"/>
      <c r="BI89" s="52"/>
      <c r="BJ89" s="52"/>
      <c r="BK89" s="47"/>
    </row>
    <row r="90" spans="1:63" s="48" customFormat="1" ht="15" customHeight="1" x14ac:dyDescent="0.25">
      <c r="A90" s="42"/>
      <c r="B90" s="49"/>
      <c r="C90" s="54"/>
      <c r="D90" s="50" t="s">
        <v>152</v>
      </c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2"/>
      <c r="BI90" s="52"/>
      <c r="BJ90" s="52"/>
      <c r="BK90" s="47"/>
    </row>
    <row r="91" spans="1:63" s="48" customFormat="1" ht="15" customHeight="1" x14ac:dyDescent="0.25">
      <c r="A91" s="42"/>
      <c r="B91" s="50"/>
      <c r="C91" s="50"/>
      <c r="D91" s="50"/>
      <c r="E91" s="51"/>
      <c r="F91" s="51"/>
      <c r="G91" s="51"/>
      <c r="H91" s="51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1"/>
      <c r="T91" s="51"/>
      <c r="U91" s="51"/>
      <c r="V91" s="51"/>
      <c r="W91" s="51"/>
      <c r="X91" s="51"/>
      <c r="Y91" s="51"/>
      <c r="Z91" s="51"/>
      <c r="AA91" s="51"/>
      <c r="AB91" s="50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2"/>
      <c r="BI91" s="52"/>
      <c r="BJ91" s="52"/>
      <c r="BK91" s="47"/>
    </row>
    <row r="92" spans="1:63" s="48" customFormat="1" ht="15" customHeight="1" x14ac:dyDescent="0.25">
      <c r="A92" s="42"/>
      <c r="B92" s="50"/>
      <c r="C92" s="54" t="s">
        <v>57</v>
      </c>
      <c r="D92" s="50"/>
      <c r="E92" s="51"/>
      <c r="F92" s="50"/>
      <c r="G92" s="51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2"/>
      <c r="BI92" s="52"/>
      <c r="BJ92" s="52"/>
      <c r="BK92" s="47"/>
    </row>
    <row r="93" spans="1:63" s="48" customFormat="1" ht="15" customHeight="1" x14ac:dyDescent="0.25">
      <c r="A93" s="42"/>
      <c r="B93" s="50"/>
      <c r="C93" s="54"/>
      <c r="D93" s="51" t="s">
        <v>67</v>
      </c>
      <c r="E93" s="51"/>
      <c r="F93" s="50"/>
      <c r="G93" s="51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2"/>
      <c r="BI93" s="52"/>
      <c r="BJ93" s="52"/>
      <c r="BK93" s="47"/>
    </row>
    <row r="94" spans="1:63" s="48" customFormat="1" ht="15" customHeight="1" x14ac:dyDescent="0.25">
      <c r="A94" s="42"/>
      <c r="B94" s="50"/>
      <c r="C94" s="50"/>
      <c r="D94" s="51"/>
      <c r="E94" s="51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2"/>
      <c r="BI94" s="52"/>
      <c r="BJ94" s="52"/>
      <c r="BK94" s="47"/>
    </row>
    <row r="95" spans="1:63" s="48" customFormat="1" ht="15" customHeight="1" x14ac:dyDescent="0.25">
      <c r="A95" s="42"/>
      <c r="B95" s="50"/>
      <c r="C95" s="49" t="s">
        <v>58</v>
      </c>
      <c r="D95" s="50"/>
      <c r="E95" s="51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2"/>
      <c r="BI95" s="52"/>
      <c r="BJ95" s="52"/>
      <c r="BK95" s="47"/>
    </row>
    <row r="96" spans="1:63" s="48" customFormat="1" ht="15" customHeight="1" x14ac:dyDescent="0.25">
      <c r="A96" s="42"/>
      <c r="B96" s="50"/>
      <c r="C96" s="49"/>
      <c r="D96" s="50" t="s">
        <v>83</v>
      </c>
      <c r="E96" s="51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2"/>
      <c r="BI96" s="52"/>
      <c r="BJ96" s="52"/>
      <c r="BK96" s="47"/>
    </row>
    <row r="97" spans="1:63" s="48" customFormat="1" ht="15" customHeight="1" x14ac:dyDescent="0.25">
      <c r="A97" s="42"/>
      <c r="B97" s="50"/>
      <c r="C97" s="49"/>
      <c r="E97" s="51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2"/>
      <c r="BI97" s="52"/>
      <c r="BJ97" s="52"/>
      <c r="BK97" s="47"/>
    </row>
    <row r="98" spans="1:63" s="64" customFormat="1" ht="15" customHeight="1" x14ac:dyDescent="0.25">
      <c r="A98" s="59"/>
      <c r="B98" s="60"/>
      <c r="C98" s="60"/>
      <c r="D98" s="60"/>
      <c r="E98" s="61"/>
      <c r="F98" s="61"/>
      <c r="G98" s="61"/>
      <c r="H98" s="61"/>
      <c r="I98" s="61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2"/>
      <c r="BI98" s="62"/>
      <c r="BJ98" s="62"/>
      <c r="BK98" s="63"/>
    </row>
  </sheetData>
  <mergeCells count="196">
    <mergeCell ref="AQ55:BJ55"/>
    <mergeCell ref="C56:D56"/>
    <mergeCell ref="E56:K56"/>
    <mergeCell ref="L56:N56"/>
    <mergeCell ref="O56:R56"/>
    <mergeCell ref="S56:Y56"/>
    <mergeCell ref="Z56:AP56"/>
    <mergeCell ref="AQ56:BJ56"/>
    <mergeCell ref="C55:D55"/>
    <mergeCell ref="E55:K55"/>
    <mergeCell ref="L55:N55"/>
    <mergeCell ref="O55:R55"/>
    <mergeCell ref="S55:Y55"/>
    <mergeCell ref="Z55:AP55"/>
    <mergeCell ref="AQ53:BJ53"/>
    <mergeCell ref="C54:D54"/>
    <mergeCell ref="E54:K54"/>
    <mergeCell ref="L54:N54"/>
    <mergeCell ref="O54:R54"/>
    <mergeCell ref="S54:Y54"/>
    <mergeCell ref="Z54:AP54"/>
    <mergeCell ref="AQ54:BJ54"/>
    <mergeCell ref="C53:D53"/>
    <mergeCell ref="E53:K53"/>
    <mergeCell ref="L53:N53"/>
    <mergeCell ref="O53:R53"/>
    <mergeCell ref="S53:Y53"/>
    <mergeCell ref="Z53:AP53"/>
    <mergeCell ref="AQ51:BJ51"/>
    <mergeCell ref="C52:D52"/>
    <mergeCell ref="E52:K52"/>
    <mergeCell ref="L52:N52"/>
    <mergeCell ref="O52:R52"/>
    <mergeCell ref="S52:Y52"/>
    <mergeCell ref="Z52:AP52"/>
    <mergeCell ref="AQ52:BJ52"/>
    <mergeCell ref="C51:D51"/>
    <mergeCell ref="E51:K51"/>
    <mergeCell ref="L51:N51"/>
    <mergeCell ref="O51:R51"/>
    <mergeCell ref="S51:Y51"/>
    <mergeCell ref="Z51:AP51"/>
    <mergeCell ref="AQ49:BJ49"/>
    <mergeCell ref="C50:D50"/>
    <mergeCell ref="E50:K50"/>
    <mergeCell ref="L50:N50"/>
    <mergeCell ref="O50:R50"/>
    <mergeCell ref="S50:Y50"/>
    <mergeCell ref="Z50:AP50"/>
    <mergeCell ref="AQ50:BJ50"/>
    <mergeCell ref="C49:D49"/>
    <mergeCell ref="E49:K49"/>
    <mergeCell ref="L49:N49"/>
    <mergeCell ref="O49:R49"/>
    <mergeCell ref="S49:Y49"/>
    <mergeCell ref="Z49:AP49"/>
    <mergeCell ref="AQ47:BJ47"/>
    <mergeCell ref="C48:D48"/>
    <mergeCell ref="E48:K48"/>
    <mergeCell ref="L48:N48"/>
    <mergeCell ref="O48:R48"/>
    <mergeCell ref="S48:Y48"/>
    <mergeCell ref="Z48:AP48"/>
    <mergeCell ref="AQ48:BJ48"/>
    <mergeCell ref="C47:D47"/>
    <mergeCell ref="E47:K47"/>
    <mergeCell ref="L47:N47"/>
    <mergeCell ref="O47:R47"/>
    <mergeCell ref="S47:Y47"/>
    <mergeCell ref="Z47:AP47"/>
    <mergeCell ref="AQ45:BJ45"/>
    <mergeCell ref="C46:D46"/>
    <mergeCell ref="E46:K46"/>
    <mergeCell ref="L46:N46"/>
    <mergeCell ref="O46:R46"/>
    <mergeCell ref="S46:Y46"/>
    <mergeCell ref="Z46:AP46"/>
    <mergeCell ref="AQ46:BJ46"/>
    <mergeCell ref="C45:D45"/>
    <mergeCell ref="E45:K45"/>
    <mergeCell ref="L45:N45"/>
    <mergeCell ref="O45:R45"/>
    <mergeCell ref="S45:Y45"/>
    <mergeCell ref="Z45:AP45"/>
    <mergeCell ref="AQ43:BJ43"/>
    <mergeCell ref="C44:D44"/>
    <mergeCell ref="E44:K44"/>
    <mergeCell ref="L44:N44"/>
    <mergeCell ref="O44:R44"/>
    <mergeCell ref="S44:Y44"/>
    <mergeCell ref="Z44:AP44"/>
    <mergeCell ref="AQ44:BJ44"/>
    <mergeCell ref="C43:D43"/>
    <mergeCell ref="E43:K43"/>
    <mergeCell ref="L43:N43"/>
    <mergeCell ref="O43:R43"/>
    <mergeCell ref="S43:Y43"/>
    <mergeCell ref="Z43:AP43"/>
    <mergeCell ref="AQ41:BJ41"/>
    <mergeCell ref="C42:D42"/>
    <mergeCell ref="E42:K42"/>
    <mergeCell ref="L42:N42"/>
    <mergeCell ref="O42:R42"/>
    <mergeCell ref="S42:Y42"/>
    <mergeCell ref="Z42:AP42"/>
    <mergeCell ref="AQ42:BJ42"/>
    <mergeCell ref="C41:D41"/>
    <mergeCell ref="E41:K41"/>
    <mergeCell ref="L41:N41"/>
    <mergeCell ref="O41:R41"/>
    <mergeCell ref="S41:Y41"/>
    <mergeCell ref="Z41:AP41"/>
    <mergeCell ref="AQ39:BJ39"/>
    <mergeCell ref="C40:D40"/>
    <mergeCell ref="E40:K40"/>
    <mergeCell ref="L40:N40"/>
    <mergeCell ref="O40:R40"/>
    <mergeCell ref="S40:Y40"/>
    <mergeCell ref="Z40:AP40"/>
    <mergeCell ref="AQ40:BJ40"/>
    <mergeCell ref="C39:D39"/>
    <mergeCell ref="E39:K39"/>
    <mergeCell ref="L39:N39"/>
    <mergeCell ref="O39:R39"/>
    <mergeCell ref="S39:Y39"/>
    <mergeCell ref="Z39:AP39"/>
    <mergeCell ref="AQ31:BJ31"/>
    <mergeCell ref="C32:D32"/>
    <mergeCell ref="E32:K32"/>
    <mergeCell ref="L32:N32"/>
    <mergeCell ref="O32:R32"/>
    <mergeCell ref="S32:Y32"/>
    <mergeCell ref="Z32:AP32"/>
    <mergeCell ref="AQ32:BJ32"/>
    <mergeCell ref="C31:D31"/>
    <mergeCell ref="E31:K31"/>
    <mergeCell ref="L31:N31"/>
    <mergeCell ref="O31:R31"/>
    <mergeCell ref="S31:Y31"/>
    <mergeCell ref="Z31:AP31"/>
    <mergeCell ref="AQ23:BJ23"/>
    <mergeCell ref="C24:D30"/>
    <mergeCell ref="E24:K30"/>
    <mergeCell ref="L24:N30"/>
    <mergeCell ref="O24:R30"/>
    <mergeCell ref="S24:Y30"/>
    <mergeCell ref="Z24:AP30"/>
    <mergeCell ref="AQ24:BJ30"/>
    <mergeCell ref="C23:D23"/>
    <mergeCell ref="E23:K23"/>
    <mergeCell ref="L23:N23"/>
    <mergeCell ref="O23:R23"/>
    <mergeCell ref="S23:Y23"/>
    <mergeCell ref="Z23:AP23"/>
    <mergeCell ref="AQ20:BJ20"/>
    <mergeCell ref="C21:D22"/>
    <mergeCell ref="E21:K22"/>
    <mergeCell ref="L21:N22"/>
    <mergeCell ref="O21:R22"/>
    <mergeCell ref="S21:Y22"/>
    <mergeCell ref="Z21:AP22"/>
    <mergeCell ref="AQ21:BJ22"/>
    <mergeCell ref="C16:D16"/>
    <mergeCell ref="E16:AF16"/>
    <mergeCell ref="AG16:AP16"/>
    <mergeCell ref="AQ16:BJ16"/>
    <mergeCell ref="C20:D20"/>
    <mergeCell ref="E20:K20"/>
    <mergeCell ref="L20:N20"/>
    <mergeCell ref="O20:R20"/>
    <mergeCell ref="S20:Y20"/>
    <mergeCell ref="Z20:AP20"/>
    <mergeCell ref="A4:G4"/>
    <mergeCell ref="H4:T4"/>
    <mergeCell ref="U4:Y4"/>
    <mergeCell ref="Z4:AO4"/>
    <mergeCell ref="AP4:BK4"/>
    <mergeCell ref="C15:D15"/>
    <mergeCell ref="E15:AF15"/>
    <mergeCell ref="AG15:AP15"/>
    <mergeCell ref="AQ15:BJ15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3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C0F2-490C-49AE-8202-FE32F543036D}">
  <sheetPr>
    <pageSetUpPr fitToPage="1"/>
  </sheetPr>
  <dimension ref="A1:BK9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89" t="s">
        <v>40</v>
      </c>
      <c r="B1" s="190"/>
      <c r="C1" s="190"/>
      <c r="D1" s="190"/>
      <c r="E1" s="190"/>
      <c r="F1" s="190"/>
      <c r="G1" s="190"/>
      <c r="H1" s="190"/>
      <c r="I1" s="190"/>
      <c r="J1" s="191"/>
      <c r="K1" s="189" t="s">
        <v>41</v>
      </c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1"/>
      <c r="W1" s="202" t="str">
        <f>IF(表紙!W1="","",表紙!W1)</f>
        <v>詳細設計書</v>
      </c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4"/>
      <c r="AP1" s="14" t="s">
        <v>42</v>
      </c>
      <c r="AQ1" s="13"/>
      <c r="AR1" s="13"/>
      <c r="AS1" s="12"/>
      <c r="AT1" s="14" t="s">
        <v>43</v>
      </c>
      <c r="AU1" s="13"/>
      <c r="AV1" s="13"/>
      <c r="AW1" s="13"/>
      <c r="AX1" s="12"/>
      <c r="AY1" s="14" t="s">
        <v>44</v>
      </c>
      <c r="AZ1" s="13"/>
      <c r="BA1" s="13"/>
      <c r="BB1" s="12"/>
      <c r="BC1" s="14" t="s">
        <v>45</v>
      </c>
      <c r="BD1" s="13"/>
      <c r="BE1" s="13"/>
      <c r="BF1" s="13"/>
      <c r="BG1" s="12"/>
      <c r="BH1" s="14" t="s">
        <v>46</v>
      </c>
      <c r="BI1" s="13"/>
      <c r="BJ1" s="13"/>
      <c r="BK1" s="12"/>
    </row>
    <row r="2" spans="1:63" ht="15" customHeight="1" x14ac:dyDescent="0.25">
      <c r="A2" s="196" t="str">
        <f>IF(表紙!A2="","",表紙!A2)</f>
        <v>POSサーバー</v>
      </c>
      <c r="B2" s="197"/>
      <c r="C2" s="197"/>
      <c r="D2" s="197"/>
      <c r="E2" s="197"/>
      <c r="F2" s="197"/>
      <c r="G2" s="197"/>
      <c r="H2" s="197"/>
      <c r="I2" s="197"/>
      <c r="J2" s="198"/>
      <c r="K2" s="196" t="str">
        <f>IF(表紙!K2="","",表紙!K2)</f>
        <v>POSサーバ</v>
      </c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8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11" t="str">
        <f>IF(表紙!AP2="","",表紙!AP2)</f>
        <v>DuNT</v>
      </c>
      <c r="AQ2" s="10"/>
      <c r="AR2" s="10"/>
      <c r="AS2" s="9"/>
      <c r="AT2" s="108">
        <f>IF(表紙!AT2="","",表紙!AT2)</f>
        <v>45586</v>
      </c>
      <c r="AU2" s="109"/>
      <c r="AV2" s="109"/>
      <c r="AW2" s="109"/>
      <c r="AX2" s="110"/>
      <c r="AY2" s="11" t="str">
        <f>IF(表紙!AY2="","",表紙!AY2)</f>
        <v>DuNT</v>
      </c>
      <c r="AZ2" s="10"/>
      <c r="BA2" s="10"/>
      <c r="BB2" s="9"/>
      <c r="BC2" s="108">
        <f>IF(表紙!BC2="","",表紙!BC2)</f>
        <v>45653</v>
      </c>
      <c r="BD2" s="109"/>
      <c r="BE2" s="109"/>
      <c r="BF2" s="109"/>
      <c r="BG2" s="110"/>
      <c r="BH2" s="11">
        <f>IF(表紙!BH2="","",表紙!BH2)</f>
        <v>0.13</v>
      </c>
      <c r="BI2" s="10"/>
      <c r="BJ2" s="10"/>
      <c r="BK2" s="9"/>
    </row>
    <row r="3" spans="1:63" ht="15" customHeight="1" x14ac:dyDescent="0.25">
      <c r="A3" s="199"/>
      <c r="B3" s="200"/>
      <c r="C3" s="200"/>
      <c r="D3" s="200"/>
      <c r="E3" s="200"/>
      <c r="F3" s="200"/>
      <c r="G3" s="200"/>
      <c r="H3" s="200"/>
      <c r="I3" s="200"/>
      <c r="J3" s="201"/>
      <c r="K3" s="199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1"/>
      <c r="W3" s="208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10"/>
      <c r="AP3" s="8"/>
      <c r="AQ3" s="7"/>
      <c r="AR3" s="7"/>
      <c r="AS3" s="6"/>
      <c r="AT3" s="111"/>
      <c r="AU3" s="112"/>
      <c r="AV3" s="112"/>
      <c r="AW3" s="112"/>
      <c r="AX3" s="113"/>
      <c r="AY3" s="8"/>
      <c r="AZ3" s="7"/>
      <c r="BA3" s="7"/>
      <c r="BB3" s="6"/>
      <c r="BC3" s="111"/>
      <c r="BD3" s="112"/>
      <c r="BE3" s="112"/>
      <c r="BF3" s="112"/>
      <c r="BG3" s="113"/>
      <c r="BH3" s="8"/>
      <c r="BI3" s="7"/>
      <c r="BJ3" s="7"/>
      <c r="BK3" s="6"/>
    </row>
    <row r="4" spans="1:63" ht="24.95" customHeight="1" x14ac:dyDescent="0.25">
      <c r="A4" s="189" t="s">
        <v>47</v>
      </c>
      <c r="B4" s="190"/>
      <c r="C4" s="190"/>
      <c r="D4" s="190"/>
      <c r="E4" s="190"/>
      <c r="F4" s="190"/>
      <c r="G4" s="191"/>
      <c r="H4" s="192" t="str">
        <f>IF(表紙!H4="","",表紙!H4)</f>
        <v>AP0504</v>
      </c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4"/>
      <c r="U4" s="189" t="s">
        <v>48</v>
      </c>
      <c r="V4" s="190"/>
      <c r="W4" s="190"/>
      <c r="X4" s="190"/>
      <c r="Y4" s="191"/>
      <c r="Z4" s="192" t="str">
        <f>IF(表紙!Z4="","",表紙!Z4)</f>
        <v>API設計書</v>
      </c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4"/>
      <c r="AP4" s="195" t="str">
        <f ca="1">MID(CELL("filename",A1),FIND("]",CELL("filename",A1))+1,255)</f>
        <v>処理フロー</v>
      </c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4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35" customFormat="1" ht="15" customHeight="1" x14ac:dyDescent="0.25">
      <c r="B7" s="65"/>
      <c r="C7" s="52"/>
      <c r="D7" s="52"/>
      <c r="E7" s="52"/>
      <c r="F7" s="52"/>
      <c r="G7" s="52"/>
      <c r="AI7" s="41"/>
      <c r="BJ7" s="41"/>
      <c r="BK7" s="39"/>
    </row>
    <row r="8" spans="1:63" s="35" customFormat="1" ht="15" customHeight="1" x14ac:dyDescent="0.25">
      <c r="B8" s="65"/>
      <c r="C8" s="52"/>
      <c r="D8" s="52"/>
      <c r="E8" s="52"/>
      <c r="F8" s="52"/>
      <c r="G8" s="52"/>
      <c r="AI8" s="41"/>
      <c r="BJ8" s="41"/>
      <c r="BK8" s="39"/>
    </row>
    <row r="9" spans="1:63" s="35" customFormat="1" ht="15" customHeight="1" x14ac:dyDescent="0.25">
      <c r="B9" s="65"/>
      <c r="C9" s="52"/>
      <c r="D9" s="52"/>
      <c r="E9" s="52"/>
      <c r="F9" s="52"/>
      <c r="G9" s="52"/>
      <c r="AI9" s="41"/>
      <c r="BJ9" s="41"/>
      <c r="BK9" s="39"/>
    </row>
    <row r="10" spans="1:63" s="35" customFormat="1" ht="15" customHeight="1" x14ac:dyDescent="0.25">
      <c r="B10" s="65"/>
      <c r="C10" s="52"/>
      <c r="D10" s="52"/>
      <c r="E10" s="52"/>
      <c r="F10" s="52"/>
      <c r="G10" s="52"/>
      <c r="AI10" s="41"/>
      <c r="BJ10" s="41"/>
      <c r="BK10" s="39"/>
    </row>
    <row r="11" spans="1:63" s="35" customFormat="1" ht="15" customHeight="1" x14ac:dyDescent="0.25">
      <c r="B11" s="40"/>
      <c r="AI11" s="41"/>
      <c r="BJ11" s="41"/>
      <c r="BK11" s="39"/>
    </row>
    <row r="12" spans="1:63" s="35" customFormat="1" ht="15" customHeight="1" x14ac:dyDescent="0.25">
      <c r="B12" s="40"/>
      <c r="AI12" s="41"/>
      <c r="BJ12" s="41"/>
      <c r="BK12" s="39"/>
    </row>
    <row r="13" spans="1:63" s="35" customFormat="1" ht="15" customHeight="1" x14ac:dyDescent="0.25">
      <c r="B13" s="40"/>
      <c r="AI13" s="41"/>
      <c r="BJ13" s="41"/>
      <c r="BK13" s="39"/>
    </row>
    <row r="14" spans="1:63" s="35" customFormat="1" ht="15" customHeight="1" x14ac:dyDescent="0.25">
      <c r="B14" s="40"/>
      <c r="AI14" s="41"/>
      <c r="BJ14" s="41"/>
      <c r="BK14" s="39"/>
    </row>
    <row r="15" spans="1:63" s="35" customFormat="1" ht="15" customHeight="1" x14ac:dyDescent="0.25">
      <c r="B15" s="40"/>
      <c r="AI15" s="41"/>
      <c r="BJ15" s="41"/>
      <c r="BK15" s="39"/>
    </row>
    <row r="16" spans="1:63" s="35" customFormat="1" ht="15" customHeight="1" x14ac:dyDescent="0.25">
      <c r="B16" s="40"/>
      <c r="AI16" s="41"/>
      <c r="BJ16" s="41"/>
      <c r="BK16" s="39"/>
    </row>
    <row r="17" spans="2:63" s="35" customFormat="1" ht="15" customHeight="1" x14ac:dyDescent="0.25">
      <c r="B17" s="40"/>
      <c r="AI17" s="41"/>
      <c r="BJ17" s="41"/>
      <c r="BK17" s="39"/>
    </row>
    <row r="18" spans="2:63" s="35" customFormat="1" ht="15" customHeight="1" x14ac:dyDescent="0.25">
      <c r="B18" s="40"/>
      <c r="AI18" s="41"/>
      <c r="BJ18" s="41"/>
      <c r="BK18" s="39"/>
    </row>
    <row r="19" spans="2:63" s="35" customFormat="1" ht="15" customHeight="1" x14ac:dyDescent="0.25">
      <c r="B19" s="40"/>
      <c r="AI19" s="41"/>
      <c r="BJ19" s="41"/>
      <c r="BK19" s="39"/>
    </row>
    <row r="20" spans="2:63" s="35" customFormat="1" ht="15" customHeight="1" x14ac:dyDescent="0.25">
      <c r="B20" s="40"/>
      <c r="AI20" s="41"/>
      <c r="BJ20" s="41"/>
      <c r="BK20" s="39"/>
    </row>
    <row r="21" spans="2:63" s="35" customFormat="1" ht="15" customHeight="1" x14ac:dyDescent="0.25">
      <c r="B21" s="40"/>
      <c r="AI21" s="41"/>
      <c r="BJ21" s="41"/>
      <c r="BK21" s="39"/>
    </row>
    <row r="22" spans="2:63" s="35" customFormat="1" ht="15" customHeight="1" x14ac:dyDescent="0.25">
      <c r="B22" s="40"/>
      <c r="AI22" s="41"/>
      <c r="BJ22" s="41"/>
      <c r="BK22" s="39"/>
    </row>
    <row r="23" spans="2:63" s="35" customFormat="1" ht="15" customHeight="1" x14ac:dyDescent="0.25">
      <c r="B23" s="40"/>
      <c r="AI23" s="41"/>
      <c r="BJ23" s="41"/>
      <c r="BK23" s="39"/>
    </row>
    <row r="24" spans="2:63" s="35" customFormat="1" ht="15" customHeight="1" x14ac:dyDescent="0.25">
      <c r="B24" s="40"/>
      <c r="AI24" s="41"/>
      <c r="BJ24" s="41"/>
      <c r="BK24" s="39"/>
    </row>
    <row r="25" spans="2:63" s="35" customFormat="1" ht="15" customHeight="1" x14ac:dyDescent="0.25">
      <c r="B25" s="40"/>
      <c r="AI25" s="41"/>
      <c r="BJ25" s="41"/>
      <c r="BK25" s="39"/>
    </row>
    <row r="26" spans="2:63" s="35" customFormat="1" ht="15" customHeight="1" x14ac:dyDescent="0.25">
      <c r="B26" s="40"/>
      <c r="AI26" s="41"/>
      <c r="BJ26" s="41"/>
      <c r="BK26" s="39"/>
    </row>
    <row r="27" spans="2:63" s="35" customFormat="1" ht="15" customHeight="1" x14ac:dyDescent="0.25">
      <c r="B27" s="40"/>
      <c r="AI27" s="41"/>
      <c r="BJ27" s="41"/>
      <c r="BK27" s="39"/>
    </row>
    <row r="28" spans="2:63" s="35" customFormat="1" ht="15" customHeight="1" x14ac:dyDescent="0.25">
      <c r="B28" s="40"/>
      <c r="AI28" s="41"/>
      <c r="BJ28" s="41"/>
      <c r="BK28" s="39"/>
    </row>
    <row r="29" spans="2:63" s="35" customFormat="1" ht="15" customHeight="1" x14ac:dyDescent="0.25">
      <c r="B29" s="40"/>
      <c r="AI29" s="41"/>
      <c r="BJ29" s="41"/>
      <c r="BK29" s="39"/>
    </row>
    <row r="30" spans="2:63" s="35" customFormat="1" ht="15" customHeight="1" x14ac:dyDescent="0.25">
      <c r="B30" s="40"/>
      <c r="AI30" s="41"/>
      <c r="BJ30" s="41"/>
      <c r="BK30" s="39"/>
    </row>
    <row r="31" spans="2:63" s="35" customFormat="1" ht="15" customHeight="1" x14ac:dyDescent="0.25">
      <c r="B31" s="40"/>
      <c r="AI31" s="41"/>
      <c r="BJ31" s="41"/>
      <c r="BK31" s="39"/>
    </row>
    <row r="32" spans="2:63" s="35" customFormat="1" ht="15" customHeight="1" x14ac:dyDescent="0.25">
      <c r="B32" s="40"/>
      <c r="AI32" s="41"/>
      <c r="BJ32" s="41"/>
      <c r="BK32" s="39"/>
    </row>
    <row r="33" spans="2:63" s="35" customFormat="1" ht="15" customHeight="1" x14ac:dyDescent="0.25">
      <c r="B33" s="40"/>
      <c r="AI33" s="41"/>
      <c r="BJ33" s="41"/>
      <c r="BK33" s="39"/>
    </row>
    <row r="34" spans="2:63" s="35" customFormat="1" ht="15" customHeight="1" x14ac:dyDescent="0.25">
      <c r="B34" s="40"/>
      <c r="AI34" s="41"/>
      <c r="BJ34" s="41"/>
      <c r="BK34" s="39"/>
    </row>
    <row r="35" spans="2:63" s="35" customFormat="1" ht="15" customHeight="1" x14ac:dyDescent="0.25">
      <c r="B35" s="40"/>
      <c r="AI35" s="41"/>
      <c r="BJ35" s="41"/>
      <c r="BK35" s="39"/>
    </row>
    <row r="36" spans="2:63" s="35" customFormat="1" ht="15" customHeight="1" x14ac:dyDescent="0.25">
      <c r="B36" s="40"/>
      <c r="AI36" s="41"/>
      <c r="BJ36" s="41"/>
      <c r="BK36" s="39"/>
    </row>
    <row r="37" spans="2:63" s="35" customFormat="1" ht="15" customHeight="1" x14ac:dyDescent="0.25">
      <c r="B37" s="40"/>
      <c r="AI37" s="41"/>
      <c r="BJ37" s="41"/>
      <c r="BK37" s="39"/>
    </row>
    <row r="38" spans="2:63" s="35" customFormat="1" ht="15" customHeight="1" x14ac:dyDescent="0.25">
      <c r="B38" s="40"/>
      <c r="AI38" s="41"/>
      <c r="BJ38" s="41"/>
      <c r="BK38" s="39"/>
    </row>
    <row r="39" spans="2:63" s="35" customFormat="1" ht="15" customHeight="1" x14ac:dyDescent="0.25">
      <c r="B39" s="40"/>
      <c r="AI39" s="41"/>
      <c r="BJ39" s="41"/>
      <c r="BK39" s="39"/>
    </row>
    <row r="40" spans="2:63" s="35" customFormat="1" ht="15" customHeight="1" x14ac:dyDescent="0.25">
      <c r="B40" s="40"/>
      <c r="AI40" s="41"/>
      <c r="BJ40" s="41"/>
      <c r="BK40" s="39"/>
    </row>
    <row r="41" spans="2:63" s="35" customFormat="1" ht="15" customHeight="1" x14ac:dyDescent="0.25">
      <c r="B41" s="40"/>
      <c r="AI41" s="41"/>
      <c r="BJ41" s="41"/>
      <c r="BK41" s="39"/>
    </row>
    <row r="42" spans="2:63" s="35" customFormat="1" ht="15" customHeight="1" x14ac:dyDescent="0.25">
      <c r="B42" s="40"/>
      <c r="AI42" s="41"/>
      <c r="BJ42" s="41"/>
      <c r="BK42" s="39"/>
    </row>
    <row r="43" spans="2:63" s="35" customFormat="1" ht="15" customHeight="1" x14ac:dyDescent="0.25">
      <c r="B43" s="40"/>
      <c r="AI43" s="41"/>
      <c r="BJ43" s="41"/>
      <c r="BK43" s="39"/>
    </row>
    <row r="44" spans="2:63" s="35" customFormat="1" ht="15" customHeight="1" x14ac:dyDescent="0.25">
      <c r="B44" s="40"/>
      <c r="AI44" s="41"/>
      <c r="BJ44" s="41"/>
      <c r="BK44" s="39"/>
    </row>
    <row r="45" spans="2:63" s="35" customFormat="1" ht="15" customHeight="1" x14ac:dyDescent="0.25">
      <c r="B45" s="40"/>
      <c r="AI45" s="41"/>
      <c r="BJ45" s="41"/>
      <c r="BK45" s="39"/>
    </row>
    <row r="46" spans="2:63" s="35" customFormat="1" ht="15" customHeight="1" x14ac:dyDescent="0.25">
      <c r="B46" s="40"/>
      <c r="AI46" s="41"/>
      <c r="BJ46" s="41"/>
      <c r="BK46" s="39"/>
    </row>
    <row r="47" spans="2:63" s="35" customFormat="1" ht="15" customHeight="1" x14ac:dyDescent="0.25">
      <c r="B47" s="40"/>
      <c r="AI47" s="41"/>
      <c r="BJ47" s="41"/>
      <c r="BK47" s="39"/>
    </row>
    <row r="48" spans="2:63" s="35" customFormat="1" ht="15" customHeight="1" x14ac:dyDescent="0.25">
      <c r="B48" s="40"/>
      <c r="AI48" s="41"/>
      <c r="BJ48" s="41"/>
      <c r="BK48" s="39"/>
    </row>
    <row r="49" spans="2:63" s="35" customFormat="1" ht="15" customHeight="1" x14ac:dyDescent="0.25">
      <c r="B49" s="40"/>
      <c r="AI49" s="41"/>
      <c r="BJ49" s="41"/>
      <c r="BK49" s="39"/>
    </row>
    <row r="50" spans="2:63" s="35" customFormat="1" ht="15" customHeight="1" x14ac:dyDescent="0.25">
      <c r="B50" s="40"/>
      <c r="AI50" s="41"/>
      <c r="BJ50" s="41"/>
      <c r="BK50" s="39"/>
    </row>
    <row r="51" spans="2:63" s="35" customFormat="1" ht="15" customHeight="1" x14ac:dyDescent="0.25">
      <c r="B51" s="40"/>
      <c r="AI51" s="41"/>
      <c r="BJ51" s="41"/>
      <c r="BK51" s="39"/>
    </row>
    <row r="52" spans="2:63" s="35" customFormat="1" ht="15" customHeight="1" x14ac:dyDescent="0.25">
      <c r="B52" s="40"/>
      <c r="AI52" s="41"/>
      <c r="BJ52" s="41"/>
      <c r="BK52" s="39"/>
    </row>
    <row r="53" spans="2:63" s="35" customFormat="1" ht="15" customHeight="1" x14ac:dyDescent="0.25">
      <c r="B53" s="40"/>
      <c r="AI53" s="41"/>
      <c r="BJ53" s="41"/>
      <c r="BK53" s="39"/>
    </row>
    <row r="54" spans="2:63" s="35" customFormat="1" ht="15" customHeight="1" x14ac:dyDescent="0.25">
      <c r="B54" s="40"/>
      <c r="AI54" s="41"/>
      <c r="BJ54" s="41"/>
      <c r="BK54" s="39"/>
    </row>
    <row r="55" spans="2:63" s="35" customFormat="1" ht="15" customHeight="1" x14ac:dyDescent="0.25">
      <c r="B55" s="40"/>
      <c r="AI55" s="41"/>
      <c r="BJ55" s="41"/>
      <c r="BK55" s="39"/>
    </row>
    <row r="56" spans="2:63" s="35" customFormat="1" ht="15" customHeight="1" x14ac:dyDescent="0.25">
      <c r="B56" s="40"/>
      <c r="AI56" s="41"/>
      <c r="BJ56" s="41"/>
      <c r="BK56" s="39"/>
    </row>
    <row r="57" spans="2:63" s="35" customFormat="1" ht="15" customHeight="1" x14ac:dyDescent="0.25">
      <c r="B57" s="40"/>
      <c r="AI57" s="41"/>
      <c r="BJ57" s="41"/>
      <c r="BK57" s="39"/>
    </row>
    <row r="58" spans="2:63" s="35" customFormat="1" ht="15" customHeight="1" x14ac:dyDescent="0.25">
      <c r="B58" s="40"/>
      <c r="AI58" s="41"/>
      <c r="BJ58" s="41"/>
      <c r="BK58" s="39"/>
    </row>
    <row r="59" spans="2:63" s="35" customFormat="1" ht="15" customHeight="1" x14ac:dyDescent="0.25">
      <c r="B59" s="40"/>
      <c r="AI59" s="41"/>
      <c r="BJ59" s="41"/>
      <c r="BK59" s="39"/>
    </row>
    <row r="60" spans="2:63" s="35" customFormat="1" ht="15" customHeight="1" x14ac:dyDescent="0.25">
      <c r="B60" s="40"/>
      <c r="AI60" s="41"/>
      <c r="BJ60" s="41"/>
      <c r="BK60" s="39"/>
    </row>
    <row r="61" spans="2:63" s="35" customFormat="1" ht="15" customHeight="1" x14ac:dyDescent="0.25">
      <c r="B61" s="40"/>
      <c r="AI61" s="41"/>
      <c r="BJ61" s="41"/>
      <c r="BK61" s="39"/>
    </row>
    <row r="62" spans="2:63" s="35" customFormat="1" ht="15" customHeight="1" x14ac:dyDescent="0.25">
      <c r="B62" s="40"/>
      <c r="AI62" s="41"/>
      <c r="BJ62" s="41"/>
      <c r="BK62" s="39"/>
    </row>
    <row r="63" spans="2:63" s="35" customFormat="1" ht="15" customHeight="1" x14ac:dyDescent="0.25">
      <c r="B63" s="40"/>
      <c r="AI63" s="41"/>
      <c r="BJ63" s="41"/>
      <c r="BK63" s="39"/>
    </row>
    <row r="64" spans="2:63" s="35" customFormat="1" ht="15" customHeight="1" x14ac:dyDescent="0.25">
      <c r="B64" s="40"/>
      <c r="AI64" s="41"/>
      <c r="BJ64" s="41"/>
      <c r="BK64" s="39"/>
    </row>
    <row r="65" spans="2:63" s="35" customFormat="1" ht="15" customHeight="1" x14ac:dyDescent="0.25">
      <c r="B65" s="40"/>
      <c r="AI65" s="41"/>
      <c r="BJ65" s="41"/>
      <c r="BK65" s="39"/>
    </row>
    <row r="66" spans="2:63" s="35" customFormat="1" ht="15" customHeight="1" x14ac:dyDescent="0.25">
      <c r="B66" s="40"/>
      <c r="AI66" s="41"/>
      <c r="BJ66" s="41"/>
      <c r="BK66" s="39"/>
    </row>
    <row r="67" spans="2:63" s="35" customFormat="1" ht="15" customHeight="1" x14ac:dyDescent="0.25">
      <c r="B67" s="40"/>
      <c r="AI67" s="41"/>
      <c r="BJ67" s="41"/>
      <c r="BK67" s="39"/>
    </row>
    <row r="68" spans="2:63" s="35" customFormat="1" ht="15" customHeight="1" x14ac:dyDescent="0.25">
      <c r="B68" s="40"/>
      <c r="AI68" s="41"/>
      <c r="BJ68" s="41"/>
      <c r="BK68" s="39"/>
    </row>
    <row r="69" spans="2:63" s="35" customFormat="1" ht="15" customHeight="1" x14ac:dyDescent="0.25">
      <c r="B69" s="40"/>
      <c r="AI69" s="41"/>
      <c r="BJ69" s="41"/>
      <c r="BK69" s="39"/>
    </row>
    <row r="70" spans="2:63" s="35" customFormat="1" ht="15" customHeight="1" x14ac:dyDescent="0.25">
      <c r="B70" s="40"/>
      <c r="AI70" s="41"/>
      <c r="BJ70" s="41"/>
      <c r="BK70" s="39"/>
    </row>
    <row r="71" spans="2:63" s="35" customFormat="1" ht="15" customHeight="1" x14ac:dyDescent="0.25">
      <c r="B71" s="40"/>
      <c r="AI71" s="41"/>
      <c r="BJ71" s="41"/>
      <c r="BK71" s="39"/>
    </row>
    <row r="72" spans="2:63" s="35" customFormat="1" ht="15" customHeight="1" x14ac:dyDescent="0.25">
      <c r="B72" s="40"/>
      <c r="AI72" s="41"/>
      <c r="BJ72" s="41"/>
      <c r="BK72" s="39"/>
    </row>
    <row r="73" spans="2:63" s="35" customFormat="1" ht="15" customHeight="1" x14ac:dyDescent="0.25">
      <c r="B73" s="40"/>
      <c r="AI73" s="41"/>
      <c r="BJ73" s="41"/>
      <c r="BK73" s="39"/>
    </row>
    <row r="74" spans="2:63" s="35" customFormat="1" ht="15" customHeight="1" x14ac:dyDescent="0.25">
      <c r="B74" s="40"/>
      <c r="AI74" s="41"/>
      <c r="BJ74" s="41"/>
      <c r="BK74" s="39"/>
    </row>
    <row r="75" spans="2:63" s="35" customFormat="1" ht="15" customHeight="1" x14ac:dyDescent="0.25">
      <c r="B75" s="40"/>
      <c r="AI75" s="41"/>
      <c r="BJ75" s="41"/>
      <c r="BK75" s="39"/>
    </row>
    <row r="76" spans="2:63" s="35" customFormat="1" ht="15" customHeight="1" x14ac:dyDescent="0.25">
      <c r="B76" s="40"/>
      <c r="AI76" s="41"/>
      <c r="BJ76" s="41"/>
      <c r="BK76" s="39"/>
    </row>
    <row r="77" spans="2:63" s="35" customFormat="1" ht="15" customHeight="1" x14ac:dyDescent="0.25">
      <c r="B77" s="40"/>
      <c r="AI77" s="41"/>
      <c r="BJ77" s="41"/>
      <c r="BK77" s="39"/>
    </row>
    <row r="78" spans="2:63" s="35" customFormat="1" ht="15" customHeight="1" x14ac:dyDescent="0.25">
      <c r="B78" s="40"/>
      <c r="AI78" s="41"/>
      <c r="BJ78" s="41"/>
      <c r="BK78" s="39"/>
    </row>
    <row r="79" spans="2:63" s="35" customFormat="1" ht="15" customHeight="1" x14ac:dyDescent="0.25">
      <c r="B79" s="40"/>
      <c r="AI79" s="41"/>
      <c r="BJ79" s="41"/>
      <c r="BK79" s="39"/>
    </row>
    <row r="80" spans="2:63" s="35" customFormat="1" ht="15" customHeight="1" x14ac:dyDescent="0.25">
      <c r="B80" s="40"/>
      <c r="AI80" s="41"/>
      <c r="BJ80" s="41"/>
      <c r="BK80" s="39"/>
    </row>
    <row r="81" spans="1:63" s="35" customFormat="1" ht="15" customHeight="1" x14ac:dyDescent="0.25">
      <c r="B81" s="40"/>
      <c r="AI81" s="41"/>
      <c r="BJ81" s="41"/>
      <c r="BK81" s="39"/>
    </row>
    <row r="82" spans="1:63" s="35" customFormat="1" ht="15" customHeight="1" x14ac:dyDescent="0.25">
      <c r="B82" s="40"/>
      <c r="AI82" s="41"/>
      <c r="BJ82" s="41"/>
      <c r="BK82" s="39"/>
    </row>
    <row r="83" spans="1:63" s="35" customFormat="1" ht="15" customHeight="1" x14ac:dyDescent="0.25">
      <c r="B83" s="40"/>
      <c r="AI83" s="41"/>
      <c r="BJ83" s="41"/>
      <c r="BK83" s="39"/>
    </row>
    <row r="84" spans="1:63" s="35" customFormat="1" ht="15" customHeight="1" x14ac:dyDescent="0.25">
      <c r="B84" s="40"/>
      <c r="AI84" s="41"/>
      <c r="BJ84" s="41"/>
      <c r="BK84" s="39"/>
    </row>
    <row r="85" spans="1:63" s="35" customFormat="1" ht="15" customHeight="1" x14ac:dyDescent="0.25">
      <c r="B85" s="40"/>
      <c r="AI85" s="41"/>
      <c r="BJ85" s="41"/>
      <c r="BK85" s="39"/>
    </row>
    <row r="86" spans="1:63" s="35" customFormat="1" ht="15" customHeight="1" x14ac:dyDescent="0.25">
      <c r="B86" s="40"/>
      <c r="AI86" s="41"/>
      <c r="BJ86" s="41"/>
      <c r="BK86" s="39"/>
    </row>
    <row r="87" spans="1:63" s="35" customFormat="1" ht="15" customHeight="1" x14ac:dyDescent="0.25">
      <c r="B87" s="40"/>
      <c r="AI87" s="41"/>
      <c r="BJ87" s="41"/>
      <c r="BK87" s="39"/>
    </row>
    <row r="88" spans="1:63" s="35" customFormat="1" ht="15" customHeight="1" x14ac:dyDescent="0.25">
      <c r="B88" s="40"/>
      <c r="AI88" s="41"/>
      <c r="BJ88" s="41"/>
      <c r="BK88" s="39"/>
    </row>
    <row r="89" spans="1:63" s="35" customFormat="1" ht="15" customHeight="1" x14ac:dyDescent="0.25">
      <c r="B89" s="40"/>
      <c r="AI89" s="41"/>
      <c r="BJ89" s="41"/>
      <c r="BK89" s="39"/>
    </row>
    <row r="90" spans="1:63" s="35" customFormat="1" ht="15" customHeight="1" x14ac:dyDescent="0.25">
      <c r="B90" s="40"/>
      <c r="AI90" s="41"/>
      <c r="BJ90" s="41"/>
      <c r="BK90" s="39"/>
    </row>
    <row r="91" spans="1:63" s="35" customFormat="1" ht="15" customHeight="1" x14ac:dyDescent="0.25">
      <c r="A91" s="80"/>
      <c r="B91" s="81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2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2"/>
      <c r="BK91" s="8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89" t="s">
        <v>40</v>
      </c>
      <c r="B1" s="190"/>
      <c r="C1" s="190"/>
      <c r="D1" s="190"/>
      <c r="E1" s="190"/>
      <c r="F1" s="190"/>
      <c r="G1" s="190"/>
      <c r="H1" s="190"/>
      <c r="I1" s="190"/>
      <c r="J1" s="191"/>
      <c r="K1" s="189" t="s">
        <v>41</v>
      </c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1"/>
      <c r="W1" s="202" t="str">
        <f>IF(表紙!W1="","",表紙!W1)</f>
        <v>詳細設計書</v>
      </c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4"/>
      <c r="AP1" s="14" t="s">
        <v>42</v>
      </c>
      <c r="AQ1" s="13"/>
      <c r="AR1" s="13"/>
      <c r="AS1" s="12"/>
      <c r="AT1" s="14" t="s">
        <v>43</v>
      </c>
      <c r="AU1" s="13"/>
      <c r="AV1" s="13"/>
      <c r="AW1" s="13"/>
      <c r="AX1" s="12"/>
      <c r="AY1" s="14" t="s">
        <v>44</v>
      </c>
      <c r="AZ1" s="13"/>
      <c r="BA1" s="13"/>
      <c r="BB1" s="12"/>
      <c r="BC1" s="14" t="s">
        <v>45</v>
      </c>
      <c r="BD1" s="13"/>
      <c r="BE1" s="13"/>
      <c r="BF1" s="13"/>
      <c r="BG1" s="12"/>
      <c r="BH1" s="14" t="s">
        <v>46</v>
      </c>
      <c r="BI1" s="13"/>
      <c r="BJ1" s="13"/>
      <c r="BK1" s="12"/>
    </row>
    <row r="2" spans="1:63" ht="15" customHeight="1" x14ac:dyDescent="0.25">
      <c r="A2" s="196" t="str">
        <f>IF(表紙!A2="","",表紙!A2)</f>
        <v>POSサーバー</v>
      </c>
      <c r="B2" s="197"/>
      <c r="C2" s="197"/>
      <c r="D2" s="197"/>
      <c r="E2" s="197"/>
      <c r="F2" s="197"/>
      <c r="G2" s="197"/>
      <c r="H2" s="197"/>
      <c r="I2" s="197"/>
      <c r="J2" s="198"/>
      <c r="K2" s="196" t="str">
        <f>IF(表紙!K2="","",表紙!K2)</f>
        <v>POSサーバ</v>
      </c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8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11" t="str">
        <f>IF(表紙!AP2="","",表紙!AP2)</f>
        <v>DuNT</v>
      </c>
      <c r="AQ2" s="10"/>
      <c r="AR2" s="10"/>
      <c r="AS2" s="9"/>
      <c r="AT2" s="108">
        <f>IF(表紙!AT2="","",表紙!AT2)</f>
        <v>45586</v>
      </c>
      <c r="AU2" s="109"/>
      <c r="AV2" s="109"/>
      <c r="AW2" s="109"/>
      <c r="AX2" s="110"/>
      <c r="AY2" s="11" t="str">
        <f>IF(表紙!AY2="","",表紙!AY2)</f>
        <v>DuNT</v>
      </c>
      <c r="AZ2" s="10"/>
      <c r="BA2" s="10"/>
      <c r="BB2" s="9"/>
      <c r="BC2" s="108">
        <f>IF(表紙!BC2="","",表紙!BC2)</f>
        <v>45653</v>
      </c>
      <c r="BD2" s="109"/>
      <c r="BE2" s="109"/>
      <c r="BF2" s="109"/>
      <c r="BG2" s="110"/>
      <c r="BH2" s="11">
        <f>IF(表紙!BH2="","",表紙!BH2)</f>
        <v>0.13</v>
      </c>
      <c r="BI2" s="10"/>
      <c r="BJ2" s="10"/>
      <c r="BK2" s="9"/>
    </row>
    <row r="3" spans="1:63" ht="15" customHeight="1" x14ac:dyDescent="0.25">
      <c r="A3" s="199"/>
      <c r="B3" s="200"/>
      <c r="C3" s="200"/>
      <c r="D3" s="200"/>
      <c r="E3" s="200"/>
      <c r="F3" s="200"/>
      <c r="G3" s="200"/>
      <c r="H3" s="200"/>
      <c r="I3" s="200"/>
      <c r="J3" s="201"/>
      <c r="K3" s="199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1"/>
      <c r="W3" s="208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10"/>
      <c r="AP3" s="8"/>
      <c r="AQ3" s="7"/>
      <c r="AR3" s="7"/>
      <c r="AS3" s="6"/>
      <c r="AT3" s="111"/>
      <c r="AU3" s="112"/>
      <c r="AV3" s="112"/>
      <c r="AW3" s="112"/>
      <c r="AX3" s="113"/>
      <c r="AY3" s="8"/>
      <c r="AZ3" s="7"/>
      <c r="BA3" s="7"/>
      <c r="BB3" s="6"/>
      <c r="BC3" s="111"/>
      <c r="BD3" s="112"/>
      <c r="BE3" s="112"/>
      <c r="BF3" s="112"/>
      <c r="BG3" s="113"/>
      <c r="BH3" s="8"/>
      <c r="BI3" s="7"/>
      <c r="BJ3" s="7"/>
      <c r="BK3" s="6"/>
    </row>
    <row r="4" spans="1:63" ht="24.95" customHeight="1" x14ac:dyDescent="0.25">
      <c r="A4" s="189" t="s">
        <v>47</v>
      </c>
      <c r="B4" s="190"/>
      <c r="C4" s="190"/>
      <c r="D4" s="190"/>
      <c r="E4" s="190"/>
      <c r="F4" s="190"/>
      <c r="G4" s="191"/>
      <c r="H4" s="192" t="str">
        <f>IF(表紙!H4="","",表紙!H4)</f>
        <v>AP0504</v>
      </c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4"/>
      <c r="U4" s="189" t="s">
        <v>48</v>
      </c>
      <c r="V4" s="190"/>
      <c r="W4" s="190"/>
      <c r="X4" s="190"/>
      <c r="Y4" s="191"/>
      <c r="Z4" s="192" t="str">
        <f>IF(表紙!Z4="","",表紙!Z4)</f>
        <v>API設計書</v>
      </c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4"/>
      <c r="AP4" s="195" t="str">
        <f ca="1">MID(CELL("filename",A1),FIND("]",CELL("filename",A1))+1,255)</f>
        <v>テンプレート</v>
      </c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4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35" customFormat="1" ht="15" customHeight="1" x14ac:dyDescent="0.25">
      <c r="BK7" s="39"/>
    </row>
    <row r="8" spans="1:63" s="35" customFormat="1" ht="15" customHeight="1" x14ac:dyDescent="0.25">
      <c r="BK8" s="39"/>
    </row>
    <row r="9" spans="1:63" s="35" customFormat="1" ht="15" customHeight="1" x14ac:dyDescent="0.25">
      <c r="BK9" s="39"/>
    </row>
    <row r="10" spans="1:63" s="35" customFormat="1" ht="15" customHeight="1" x14ac:dyDescent="0.25">
      <c r="BK10" s="39"/>
    </row>
    <row r="11" spans="1:63" s="35" customFormat="1" ht="15" customHeight="1" x14ac:dyDescent="0.25">
      <c r="BK11" s="39"/>
    </row>
    <row r="12" spans="1:63" s="35" customFormat="1" ht="15" customHeight="1" x14ac:dyDescent="0.25">
      <c r="BK12" s="39"/>
    </row>
    <row r="13" spans="1:63" s="35" customFormat="1" ht="15" customHeight="1" x14ac:dyDescent="0.25">
      <c r="BK13" s="39"/>
    </row>
    <row r="14" spans="1:63" s="35" customFormat="1" ht="15" customHeight="1" x14ac:dyDescent="0.25">
      <c r="BK14" s="39"/>
    </row>
    <row r="15" spans="1:63" s="35" customFormat="1" ht="15" customHeight="1" x14ac:dyDescent="0.25">
      <c r="BK15" s="39"/>
    </row>
    <row r="16" spans="1:63" s="35" customFormat="1" ht="15" customHeight="1" x14ac:dyDescent="0.25">
      <c r="BK16" s="39"/>
    </row>
    <row r="17" spans="63:63" s="35" customFormat="1" ht="15" customHeight="1" x14ac:dyDescent="0.25">
      <c r="BK17" s="39"/>
    </row>
    <row r="18" spans="63:63" s="35" customFormat="1" ht="15" customHeight="1" x14ac:dyDescent="0.25">
      <c r="BK18" s="39"/>
    </row>
    <row r="19" spans="63:63" s="35" customFormat="1" ht="15" customHeight="1" x14ac:dyDescent="0.25">
      <c r="BK19" s="39"/>
    </row>
    <row r="20" spans="63:63" s="35" customFormat="1" ht="15" customHeight="1" x14ac:dyDescent="0.25">
      <c r="BK20" s="39"/>
    </row>
    <row r="21" spans="63:63" s="35" customFormat="1" ht="15" customHeight="1" x14ac:dyDescent="0.25">
      <c r="BK21" s="39"/>
    </row>
    <row r="22" spans="63:63" s="35" customFormat="1" ht="15" customHeight="1" x14ac:dyDescent="0.25">
      <c r="BK22" s="39"/>
    </row>
    <row r="23" spans="63:63" s="35" customFormat="1" ht="15" customHeight="1" x14ac:dyDescent="0.25">
      <c r="BK23" s="39"/>
    </row>
    <row r="24" spans="63:63" s="35" customFormat="1" ht="15" customHeight="1" x14ac:dyDescent="0.25">
      <c r="BK24" s="39"/>
    </row>
    <row r="25" spans="63:63" s="35" customFormat="1" ht="15" customHeight="1" x14ac:dyDescent="0.25">
      <c r="BK25" s="39"/>
    </row>
    <row r="26" spans="63:63" s="35" customFormat="1" ht="15" customHeight="1" x14ac:dyDescent="0.25">
      <c r="BK26" s="39"/>
    </row>
    <row r="27" spans="63:63" s="35" customFormat="1" ht="15" customHeight="1" x14ac:dyDescent="0.25">
      <c r="BK27" s="39"/>
    </row>
    <row r="28" spans="63:63" s="35" customFormat="1" ht="15" customHeight="1" x14ac:dyDescent="0.25">
      <c r="BK28" s="39"/>
    </row>
    <row r="29" spans="63:63" s="35" customFormat="1" ht="15" customHeight="1" x14ac:dyDescent="0.25">
      <c r="BK29" s="39"/>
    </row>
    <row r="30" spans="63:63" s="35" customFormat="1" ht="15" customHeight="1" x14ac:dyDescent="0.25">
      <c r="BK30" s="39"/>
    </row>
    <row r="31" spans="63:63" s="35" customFormat="1" ht="15" customHeight="1" x14ac:dyDescent="0.25">
      <c r="BK31" s="39"/>
    </row>
    <row r="32" spans="63:63" s="35" customFormat="1" ht="15" customHeight="1" x14ac:dyDescent="0.25">
      <c r="BK32" s="39"/>
    </row>
    <row r="33" spans="63:63" s="35" customFormat="1" ht="15" customHeight="1" x14ac:dyDescent="0.25">
      <c r="BK33" s="39"/>
    </row>
    <row r="34" spans="63:63" s="35" customFormat="1" ht="15" customHeight="1" x14ac:dyDescent="0.25">
      <c r="BK34" s="39"/>
    </row>
    <row r="35" spans="63:63" s="35" customFormat="1" ht="15" customHeight="1" x14ac:dyDescent="0.25">
      <c r="BK35" s="39"/>
    </row>
    <row r="36" spans="63:63" s="35" customFormat="1" ht="15" customHeight="1" x14ac:dyDescent="0.25">
      <c r="BK36" s="39"/>
    </row>
    <row r="37" spans="63:63" s="35" customFormat="1" ht="15" customHeight="1" x14ac:dyDescent="0.25">
      <c r="BK37" s="39"/>
    </row>
    <row r="38" spans="63:63" s="35" customFormat="1" ht="15" customHeight="1" x14ac:dyDescent="0.25">
      <c r="BK38" s="39"/>
    </row>
    <row r="39" spans="63:63" s="35" customFormat="1" ht="15" customHeight="1" x14ac:dyDescent="0.25">
      <c r="BK39" s="39"/>
    </row>
    <row r="40" spans="63:63" s="35" customFormat="1" ht="15" customHeight="1" x14ac:dyDescent="0.25">
      <c r="BK40" s="39"/>
    </row>
    <row r="41" spans="63:63" s="35" customFormat="1" ht="15" customHeight="1" x14ac:dyDescent="0.25">
      <c r="BK41" s="39"/>
    </row>
    <row r="42" spans="63:63" s="35" customFormat="1" ht="15" customHeight="1" x14ac:dyDescent="0.25">
      <c r="BK42" s="39"/>
    </row>
    <row r="43" spans="63:63" s="35" customFormat="1" ht="15" customHeight="1" x14ac:dyDescent="0.25">
      <c r="BK43" s="39"/>
    </row>
    <row r="44" spans="63:63" s="35" customFormat="1" ht="15" customHeight="1" x14ac:dyDescent="0.25">
      <c r="BK44" s="39"/>
    </row>
    <row r="45" spans="63:63" s="35" customFormat="1" ht="15" customHeight="1" x14ac:dyDescent="0.25">
      <c r="BK45" s="39"/>
    </row>
    <row r="46" spans="63:63" s="35" customFormat="1" ht="15" customHeight="1" x14ac:dyDescent="0.25">
      <c r="BK46" s="39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0DA412-502F-424E-9757-EF46045ED826}"/>
</file>

<file path=customXml/itemProps2.xml><?xml version="1.0" encoding="utf-8"?>
<ds:datastoreItem xmlns:ds="http://schemas.openxmlformats.org/officeDocument/2006/customXml" ds:itemID="{FB7EC5E0-01CE-47F1-BBFD-9F4B3726C6AA}"/>
</file>

<file path=customXml/itemProps3.xml><?xml version="1.0" encoding="utf-8"?>
<ds:datastoreItem xmlns:ds="http://schemas.openxmlformats.org/officeDocument/2006/customXml" ds:itemID="{7C2E6A1D-B66C-4C18-810D-AA118D5B47F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AP0504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2024-12-30T09:28:37Z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