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DBA4F4AD-5750-4D69-AA26-3F4A33762C9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602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処理フロー!$A$1:$BK$87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C35" i="8"/>
  <c r="C36" i="8" s="1"/>
  <c r="C37" i="8" s="1"/>
  <c r="C38" i="8" s="1"/>
  <c r="C39" i="8" s="1"/>
  <c r="C40" i="8" s="1"/>
  <c r="C41" i="8" s="1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8" s="1"/>
  <c r="BC2" i="4"/>
  <c r="BC2" i="7" s="1"/>
  <c r="AY2" i="4"/>
  <c r="AY2" i="9" s="1"/>
  <c r="AT2" i="4"/>
  <c r="AT2" i="9" s="1"/>
  <c r="AP2" i="4"/>
  <c r="AP2" i="8" s="1"/>
  <c r="AP2" i="3" l="1"/>
  <c r="BH2" i="3"/>
  <c r="AP2" i="10"/>
  <c r="BH2" i="10"/>
  <c r="AT2" i="8"/>
  <c r="BC2" i="9"/>
  <c r="AP2" i="7"/>
  <c r="BH2" i="7"/>
  <c r="AY2" i="3"/>
  <c r="AY2" i="10"/>
  <c r="BC2" i="8"/>
  <c r="AT2" i="3"/>
  <c r="AT2" i="10"/>
  <c r="AY2" i="8"/>
  <c r="AP2" i="9"/>
  <c r="BH2" i="9"/>
  <c r="AT2" i="7"/>
  <c r="AY2" i="7"/>
  <c r="BC2" i="3"/>
  <c r="BC2" i="10"/>
</calcChain>
</file>

<file path=xl/sharedStrings.xml><?xml version="1.0" encoding="utf-8"?>
<sst xmlns="http://schemas.openxmlformats.org/spreadsheetml/2006/main" count="196" uniqueCount="101">
  <si>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</si>
  <si>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</si>
  <si>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</si>
  <si>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</si>
  <si>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</si>
  <si>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</si>
  <si>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</si>
  <si>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</si>
  <si>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</si>
  <si>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</si>
  <si>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</si>
  <si>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</si>
  <si>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</si>
  <si>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</si>
  <si>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</si>
  <si>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</si>
  <si>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</si>
  <si>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</si>
  <si>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</si>
  <si>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Array</t>
    </r>
  </si>
  <si>
    <t>{</t>
  </si>
  <si>
    <t>}</t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</si>
  <si>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</si>
  <si>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</si>
  <si>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</si>
  <si>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</si>
  <si>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</si>
  <si>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</si>
  <si>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</si>
  <si>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</si>
  <si>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</si>
  <si>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未来日で対象店舗の1, 7, 8 定番売価一覧を保存する。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</si>
  <si>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</si>
  <si>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売価変更データリスト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</si>
  <si>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</si>
  <si>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</si>
  <si>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</si>
  <si>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new_price</t>
    </r>
  </si>
  <si>
    <t xml:space="preserve">  [</t>
  </si>
  <si>
    <r>
      <rPr>
        <sz val="11"/>
        <color rgb="FF000000"/>
        <rFont val="Meiryo UI"/>
        <family val="2"/>
      </rPr>
      <t>40_API設計/API_00_共通/40_API設計_共通.xlsxをご参照ください。</t>
    </r>
  </si>
  <si>
    <t>`</t>
  </si>
  <si>
    <r>
      <rPr>
        <sz val="11"/>
        <color rgb="FF000000"/>
        <rFont val="Meiryo UI"/>
        <family val="2"/>
      </rPr>
      <t>api/v1/changed-standard-prices/maintenance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</si>
  <si>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</si>
  <si>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</si>
  <si>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StandardPriceHistory.RECORD_ID</t>
    </r>
  </si>
  <si>
    <r>
      <rPr>
        <sz val="11"/>
        <color rgb="FF000000"/>
        <rFont val="Meiryo UI"/>
        <family val="2"/>
      </rPr>
      <t>StandardPriceHistory.StoreCode</t>
    </r>
  </si>
  <si>
    <r>
      <rPr>
        <sz val="11"/>
        <color rgb="FF000000"/>
        <rFont val="Meiryo UI"/>
        <family val="2"/>
      </rPr>
      <t>StandardPriceHistory.ItemCode</t>
    </r>
  </si>
  <si>
    <r>
      <rPr>
        <sz val="11"/>
        <color rgb="FF000000"/>
        <rFont val="Meiryo UI"/>
        <family val="2"/>
      </rPr>
      <t>StandardPriceHistory.BookingDate</t>
    </r>
  </si>
  <si>
    <r>
      <rPr>
        <sz val="11"/>
        <color rgb="FF000000"/>
        <rFont val="Meiryo UI"/>
        <family val="2"/>
      </rPr>
      <t>StandardPriceHistory.GroupCode</t>
    </r>
  </si>
  <si>
    <r>
      <rPr>
        <sz val="11"/>
        <color rgb="FF000000"/>
        <rFont val="Meiryo UI"/>
        <family val="2"/>
      </rPr>
      <t>StandardPriceHistory.Price</t>
    </r>
  </si>
  <si>
    <r>
      <rPr>
        <sz val="11"/>
        <color rgb="FF000000"/>
        <rFont val="Meiryo UI"/>
        <family val="2"/>
      </rPr>
      <t>standard_prices</t>
    </r>
  </si>
  <si>
    <r>
      <rPr>
        <sz val="11"/>
        <color rgb="FF000000"/>
        <rFont val="Meiryo UI"/>
        <family val="2"/>
      </rPr>
      <t>AP0602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</si>
  <si>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</si>
  <si>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</si>
  <si>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</si>
  <si>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</si>
  <si>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</si>
  <si>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</si>
  <si>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</si>
  <si>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</si>
  <si>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</si>
  <si>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</si>
  <si>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</si>
  <si>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</si>
  <si>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</si>
  <si>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</si>
  <si>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</si>
  <si>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</si>
  <si>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</si>
  <si>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処理フロー更新</t>
  </si>
  <si>
    <t>●API処理フロー</t>
  </si>
  <si>
    <t>システム名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</si>
  <si>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</si>
  <si>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</si>
  <si>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</si>
  <si>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</si>
  <si>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</si>
  <si>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</si>
  <si>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</si>
  <si>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</si>
  <si>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</si>
  <si>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2.4 Request Body</t>
  </si>
  <si>
    <t>パラメータ</t>
  </si>
  <si>
    <t>新規作成の場合はrecord_id = nullとし、編集・削除の場合は該当するrecord_idを渡す。</t>
  </si>
  <si>
    <t>・新規作成の場合、operation_typeを「1」として渡す。
・編集の場合、operation_type を「2」として渡す。
・削除の場合、operation_typeを「3」として渡す。
上記以外の場合、エラーメッセージ = MSG_VAL_019</t>
  </si>
  <si>
    <t>バリデーションチェック：数字、4桁 バリデーションチェックNGの場合、エラーメッセージ = MSG_VAL_019
store_codeがユーザーが所属する会社のstore_masterに存在しているかをバリデーションチェックする。</t>
  </si>
  <si>
    <t>・数字13桁 -&gt; 数字ではない場合、エラーメッセージ = MSG_VAL_026、長さが13桁以外の場合、エラーメッセージ= MSG_VAL_002。
item_codeがitem_master に存在しているかをバリデーションチェックする。存在していない場合、 エラーメッセージ =  MSG_VAL_019 存在している場合、my_company_codeの6番目と7番目の桁が「01」または「07」、または「08」であるかをバリデーションチェックする。エラーの場合、「MSG_VAL_045」エラーメッセージを表示する。</t>
  </si>
  <si>
    <r>
      <rPr>
        <sz val="11"/>
        <color rgb="FF000000"/>
        <rFont val="Meiryo UI"/>
        <family val="2"/>
      </rPr>
      <t>フォーマット: yyyy/mm/dd 現在日または未来日のみを許可する。</t>
    </r>
  </si>
  <si>
    <t>数字の2桁。数字ではない場合、エラーメッセージ = MSG_VAL_026。長さが2桁以外の場合、エラーメッセージ= MSG_VAL_002。
group_code = 「01」又は「07」又は「08」であるかをバリデーションチェックする。エラーの場合、「MSG_VAL_045」エラーメッセージを表示する。</t>
  </si>
  <si>
    <t>最大6桁。バリデーションチェック：0より大きい値であること。「0」以下の場合、エラーメッセージ = MSG_VAL_019</t>
  </si>
  <si>
    <t>※サンプル</t>
  </si>
  <si>
    <r>
      <rPr>
        <sz val="11"/>
        <color rgb="FF000000"/>
        <rFont val="Meiryo UI"/>
        <family val="2"/>
      </rPr>
      <t xml:space="preserve">            "record_id":1,</t>
    </r>
  </si>
  <si>
    <r>
      <rPr>
        <sz val="11"/>
        <color rgb="FF000000"/>
        <rFont val="Meiryo UI"/>
        <family val="2"/>
      </rPr>
      <t xml:space="preserve">            "operation_type":1,</t>
    </r>
  </si>
  <si>
    <r>
      <rPr>
        <sz val="11"/>
        <color rgb="FF000000"/>
        <rFont val="Meiryo UI"/>
        <family val="2"/>
      </rPr>
      <t xml:space="preserve">            "store_code":"00002",</t>
    </r>
  </si>
  <si>
    <r>
      <rPr>
        <sz val="11"/>
        <color rgb="FF000000"/>
        <rFont val="Meiryo UI"/>
        <family val="2"/>
      </rPr>
      <t xml:space="preserve">            "item_code":"0000000000017",</t>
    </r>
  </si>
  <si>
    <r>
      <rPr>
        <sz val="11"/>
        <color rgb="FF000000"/>
        <rFont val="Meiryo UI"/>
        <family val="2"/>
      </rPr>
      <t xml:space="preserve">            "booking_date":"2024/09/09",</t>
    </r>
  </si>
  <si>
    <r>
      <rPr>
        <sz val="11"/>
        <color rgb="FF000000"/>
        <rFont val="Meiryo UI"/>
        <family val="2"/>
      </rPr>
      <t xml:space="preserve">            "group_code":"01",</t>
    </r>
  </si>
  <si>
    <r>
      <rPr>
        <sz val="11"/>
        <color rgb="FF000000"/>
        <rFont val="Meiryo UI"/>
        <family val="2"/>
      </rPr>
      <t xml:space="preserve">            "new_price":290</t>
    </r>
  </si>
  <si>
    <t>3. レスポンス</t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</si>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</sst>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36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9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24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4" fillId="4" borderId="23" xfId="6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11206</xdr:rowOff>
    </xdr:from>
    <xdr:to>
      <xdr:col>10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6002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80</xdr:row>
      <xdr:rowOff>22412</xdr:rowOff>
    </xdr:from>
    <xdr:to>
      <xdr:col>10</xdr:col>
      <xdr:colOff>0</xdr:colOff>
      <xdr:row>82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600200" y="15373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0</xdr:colOff>
      <xdr:row>40</xdr:row>
      <xdr:rowOff>0</xdr:rowOff>
    </xdr:from>
    <xdr:to>
      <xdr:col>11</xdr:col>
      <xdr:colOff>0</xdr:colOff>
      <xdr:row>44</xdr:row>
      <xdr:rowOff>179294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333500" y="773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44</xdr:row>
      <xdr:rowOff>179294</xdr:rowOff>
    </xdr:from>
    <xdr:to>
      <xdr:col>9</xdr:col>
      <xdr:colOff>0</xdr:colOff>
      <xdr:row>45</xdr:row>
      <xdr:rowOff>179294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866900" y="867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41</xdr:row>
      <xdr:rowOff>179294</xdr:rowOff>
    </xdr:from>
    <xdr:to>
      <xdr:col>13</xdr:col>
      <xdr:colOff>0</xdr:colOff>
      <xdr:row>42</xdr:row>
      <xdr:rowOff>179294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933700" y="810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1</xdr:colOff>
      <xdr:row>17</xdr:row>
      <xdr:rowOff>179293</xdr:rowOff>
    </xdr:from>
    <xdr:to>
      <xdr:col>8</xdr:col>
      <xdr:colOff>1</xdr:colOff>
      <xdr:row>22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21" idx="2"/>
        </xdr:cNvCxnSpPr>
      </xdr:nvCxnSpPr>
      <xdr:spPr>
        <a:xfrm>
          <a:off x="2133600" y="35337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179293</xdr:rowOff>
    </xdr:from>
    <xdr:to>
      <xdr:col>11</xdr:col>
      <xdr:colOff>0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333500" y="27717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存在している1, 7, 8 定番売価変更レコード一覧を取得する。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10</xdr:row>
      <xdr:rowOff>179293</xdr:rowOff>
    </xdr:from>
    <xdr:to>
      <xdr:col>8</xdr:col>
      <xdr:colOff>1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21336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32</xdr:row>
      <xdr:rowOff>84044</xdr:rowOff>
    </xdr:from>
    <xdr:to>
      <xdr:col>28</xdr:col>
      <xdr:colOff>0</xdr:colOff>
      <xdr:row>51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7" idx="3"/>
          <a:endCxn id="42" idx="0"/>
        </xdr:cNvCxnSpPr>
      </xdr:nvCxnSpPr>
      <xdr:spPr>
        <a:xfrm>
          <a:off x="3467100" y="6296025"/>
          <a:ext cx="4000500" cy="3533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51</xdr:row>
      <xdr:rowOff>11206</xdr:rowOff>
    </xdr:from>
    <xdr:to>
      <xdr:col>11</xdr:col>
      <xdr:colOff>0</xdr:colOff>
      <xdr:row>55</xdr:row>
      <xdr:rowOff>11206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333500" y="98393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1, 7, 8 定番売価更新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75</xdr:row>
      <xdr:rowOff>0</xdr:rowOff>
    </xdr:from>
    <xdr:to>
      <xdr:col>34</xdr:col>
      <xdr:colOff>0</xdr:colOff>
      <xdr:row>76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34400" y="14401800"/>
          <a:ext cx="533400" cy="190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76</xdr:row>
      <xdr:rowOff>1</xdr:rowOff>
    </xdr:from>
    <xdr:to>
      <xdr:col>33</xdr:col>
      <xdr:colOff>1</xdr:colOff>
      <xdr:row>80</xdr:row>
      <xdr:rowOff>22413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14" idx="2"/>
          <a:endCxn id="4" idx="0"/>
        </xdr:cNvCxnSpPr>
      </xdr:nvCxnSpPr>
      <xdr:spPr>
        <a:xfrm rot="5400000">
          <a:off x="2133600" y="14592300"/>
          <a:ext cx="6667500" cy="78105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45</xdr:row>
      <xdr:rowOff>179294</xdr:rowOff>
    </xdr:from>
    <xdr:to>
      <xdr:col>8</xdr:col>
      <xdr:colOff>1</xdr:colOff>
      <xdr:row>51</xdr:row>
      <xdr:rowOff>11206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18" idx="2"/>
          <a:endCxn id="5" idx="0"/>
        </xdr:cNvCxnSpPr>
      </xdr:nvCxnSpPr>
      <xdr:spPr>
        <a:xfrm>
          <a:off x="2133600" y="8867775"/>
          <a:ext cx="0" cy="971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22</xdr:row>
      <xdr:rowOff>0</xdr:rowOff>
    </xdr:from>
    <xdr:to>
      <xdr:col>11</xdr:col>
      <xdr:colOff>1</xdr:colOff>
      <xdr:row>26</xdr:row>
      <xdr:rowOff>0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333500" y="4305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リクエストデータ配列をループする。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18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2590800"/>
          <a:ext cx="7200900" cy="952500"/>
        </a:xfrm>
        <a:prstGeom prst="borderCallout1">
          <a:avLst>
            <a:gd name="adj1" fmla="val 33259"/>
            <a:gd name="adj2" fmla="val 117"/>
            <a:gd name="adj3" fmla="val 60686"/>
            <a:gd name="adj4" fmla="val -990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以下の条件を満たすStandardPriceHistoryテーブルに存在しているリクエストのレコード一覧を取得する。 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c FROM standard_price_history c WHERE (c.company_code, c.store_code, c.group_code, c.item_code, c.booking_date) IN (User.company_code, request[i].store_code, request[i].group_code, request[i].item_code, request[i].booking_date)</a:t>
          </a:r>
        </a:p>
      </xdr:txBody>
    </xdr:sp>
    <xdr:clientData/>
  </xdr:twoCellAnchor>
  <xdr:twoCellAnchor>
    <xdr:from>
      <xdr:col>8</xdr:col>
      <xdr:colOff>1</xdr:colOff>
      <xdr:row>26</xdr:row>
      <xdr:rowOff>0</xdr:rowOff>
    </xdr:from>
    <xdr:to>
      <xdr:col>8</xdr:col>
      <xdr:colOff>2</xdr:colOff>
      <xdr:row>30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3" idx="2"/>
          <a:endCxn id="2" idx="0"/>
        </xdr:cNvCxnSpPr>
      </xdr:nvCxnSpPr>
      <xdr:spPr>
        <a:xfrm flipH="1">
          <a:off x="2133600" y="5067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41</xdr:row>
      <xdr:rowOff>0</xdr:rowOff>
    </xdr:from>
    <xdr:to>
      <xdr:col>62</xdr:col>
      <xdr:colOff>0</xdr:colOff>
      <xdr:row>45</xdr:row>
      <xdr:rowOff>0</xdr:rowOff>
    </xdr:to>
    <xdr:sp macro="" textlink="" fLocksText="0">
      <xdr:nvSpPr>
        <xdr:cNvPr id="26" name="吹き出し: 線 2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9334500" y="7924800"/>
          <a:ext cx="7200900" cy="762000"/>
        </a:xfrm>
        <a:prstGeom prst="borderCallout1">
          <a:avLst>
            <a:gd name="adj1" fmla="val 53848"/>
            <a:gd name="adj2" fmla="val -59"/>
            <a:gd name="adj3" fmla="val 25152"/>
            <a:gd name="adj4" fmla="val -10117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 ループ中のレコードがステップ1の結果リストに存在しているかを確認する。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レコードが存在している場合、「4.1, 7, 8定番売価更新」を実行する。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▪レコードが存在していない場合、「5.1, 7, 8定番売価新規作成」を実行する。</a:t>
          </a:r>
        </a:p>
      </xdr:txBody>
    </xdr:sp>
    <xdr:clientData/>
  </xdr:twoCellAnchor>
  <xdr:twoCellAnchor>
    <xdr:from>
      <xdr:col>15</xdr:col>
      <xdr:colOff>0</xdr:colOff>
      <xdr:row>51</xdr:row>
      <xdr:rowOff>0</xdr:rowOff>
    </xdr:from>
    <xdr:to>
      <xdr:col>21</xdr:col>
      <xdr:colOff>0</xdr:colOff>
      <xdr:row>55</xdr:row>
      <xdr:rowOff>0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4000500" y="982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1, 7, 8定番売価新規作成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25</xdr:col>
      <xdr:colOff>0</xdr:colOff>
      <xdr:row>51</xdr:row>
      <xdr:rowOff>0</xdr:rowOff>
    </xdr:from>
    <xdr:to>
      <xdr:col>31</xdr:col>
      <xdr:colOff>0</xdr:colOff>
      <xdr:row>55</xdr:row>
      <xdr:rowOff>0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6667500" y="982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1, 7, 8定番売価削除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42</xdr:row>
      <xdr:rowOff>84044</xdr:rowOff>
    </xdr:from>
    <xdr:to>
      <xdr:col>18</xdr:col>
      <xdr:colOff>0</xdr:colOff>
      <xdr:row>51</xdr:row>
      <xdr:rowOff>0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19" idx="3"/>
          <a:endCxn id="40" idx="0"/>
        </xdr:cNvCxnSpPr>
      </xdr:nvCxnSpPr>
      <xdr:spPr>
        <a:xfrm>
          <a:off x="3467100" y="8201025"/>
          <a:ext cx="1333500" cy="1628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59</xdr:row>
      <xdr:rowOff>0</xdr:rowOff>
    </xdr:from>
    <xdr:to>
      <xdr:col>11</xdr:col>
      <xdr:colOff>0</xdr:colOff>
      <xdr:row>64</xdr:row>
      <xdr:rowOff>0</xdr:rowOff>
    </xdr:to>
    <xdr:sp macro="" textlink="" fLocksText="0">
      <xdr:nvSpPr>
        <xdr:cNvPr id="57" name="Flowchart: Decision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1333500" y="11353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成功</a:t>
          </a: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13</xdr:col>
      <xdr:colOff>0</xdr:colOff>
      <xdr:row>62</xdr:row>
      <xdr:rowOff>0</xdr:rowOff>
    </xdr:to>
    <xdr:sp macro="" textlink="" fLocksText="0">
      <xdr:nvSpPr>
        <xdr:cNvPr id="58" name="Flowchart: Process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2933700" y="1173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9</xdr:col>
      <xdr:colOff>0</xdr:colOff>
      <xdr:row>65</xdr:row>
      <xdr:rowOff>0</xdr:rowOff>
    </xdr:to>
    <xdr:sp macro="" textlink="" fLocksText="0">
      <xdr:nvSpPr>
        <xdr:cNvPr id="59" name="Flowchart: Process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866900" y="1230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1</xdr:colOff>
      <xdr:row>55</xdr:row>
      <xdr:rowOff>11206</xdr:rowOff>
    </xdr:from>
    <xdr:to>
      <xdr:col>8</xdr:col>
      <xdr:colOff>1</xdr:colOff>
      <xdr:row>59</xdr:row>
      <xdr:rowOff>0</xdr:rowOff>
    </xdr:to>
    <xdr:cxnSp macro="">
      <xdr:nvCxnSpPr>
        <xdr:cNvPr id="60" name="Connector: Elbow 81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>
          <a:stCxn id="5" idx="2"/>
          <a:endCxn id="57" idx="0"/>
        </xdr:cNvCxnSpPr>
      </xdr:nvCxnSpPr>
      <xdr:spPr>
        <a:xfrm>
          <a:off x="2133600" y="10601325"/>
          <a:ext cx="0" cy="752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68</xdr:row>
      <xdr:rowOff>0</xdr:rowOff>
    </xdr:from>
    <xdr:to>
      <xdr:col>11</xdr:col>
      <xdr:colOff>0</xdr:colOff>
      <xdr:row>73</xdr:row>
      <xdr:rowOff>0</xdr:rowOff>
    </xdr:to>
    <xdr:sp macro="" textlink="" fLocksText="0">
      <xdr:nvSpPr>
        <xdr:cNvPr id="61" name="Flowchart: Decision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1333500" y="1306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配列の最後の要素であるかを確認する。</a:t>
          </a:r>
        </a:p>
      </xdr:txBody>
    </xdr:sp>
    <xdr:clientData/>
  </xdr:twoCellAnchor>
  <xdr:twoCellAnchor>
    <xdr:from>
      <xdr:col>3</xdr:col>
      <xdr:colOff>0</xdr:colOff>
      <xdr:row>70</xdr:row>
      <xdr:rowOff>0</xdr:rowOff>
    </xdr:from>
    <xdr:to>
      <xdr:col>5</xdr:col>
      <xdr:colOff>0</xdr:colOff>
      <xdr:row>71</xdr:row>
      <xdr:rowOff>0</xdr:rowOff>
    </xdr:to>
    <xdr:sp macro="" textlink="" fLocksText="0">
      <xdr:nvSpPr>
        <xdr:cNvPr id="62" name="Flowchart: Process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800100" y="1344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7</xdr:col>
      <xdr:colOff>0</xdr:colOff>
      <xdr:row>73</xdr:row>
      <xdr:rowOff>0</xdr:rowOff>
    </xdr:from>
    <xdr:to>
      <xdr:col>9</xdr:col>
      <xdr:colOff>0</xdr:colOff>
      <xdr:row>74</xdr:row>
      <xdr:rowOff>0</xdr:rowOff>
    </xdr:to>
    <xdr:sp macro="" textlink="" fLocksText="0">
      <xdr:nvSpPr>
        <xdr:cNvPr id="63" name="Flowchart: Process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1866900" y="1402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1</xdr:colOff>
      <xdr:row>65</xdr:row>
      <xdr:rowOff>0</xdr:rowOff>
    </xdr:from>
    <xdr:to>
      <xdr:col>8</xdr:col>
      <xdr:colOff>1</xdr:colOff>
      <xdr:row>68</xdr:row>
      <xdr:rowOff>0</xdr:rowOff>
    </xdr:to>
    <xdr:cxnSp macro="">
      <xdr:nvCxnSpPr>
        <xdr:cNvPr id="64" name="Connector: Elbow 81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CxnSpPr>
          <a:stCxn id="59" idx="2"/>
          <a:endCxn id="61" idx="0"/>
        </xdr:cNvCxnSpPr>
      </xdr:nvCxnSpPr>
      <xdr:spPr>
        <a:xfrm>
          <a:off x="2133600" y="12496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55</xdr:row>
      <xdr:rowOff>1</xdr:rowOff>
    </xdr:from>
    <xdr:to>
      <xdr:col>18</xdr:col>
      <xdr:colOff>2</xdr:colOff>
      <xdr:row>59</xdr:row>
      <xdr:rowOff>1</xdr:rowOff>
    </xdr:to>
    <xdr:cxnSp macro="">
      <xdr:nvCxnSpPr>
        <xdr:cNvPr id="65" name="Connector: Elbow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CxnSpPr>
          <a:endCxn id="57" idx="0"/>
        </xdr:cNvCxnSpPr>
      </xdr:nvCxnSpPr>
      <xdr:spPr>
        <a:xfrm rot="5400000">
          <a:off x="2133600" y="105918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74</xdr:row>
      <xdr:rowOff>0</xdr:rowOff>
    </xdr:from>
    <xdr:to>
      <xdr:col>8</xdr:col>
      <xdr:colOff>1</xdr:colOff>
      <xdr:row>80</xdr:row>
      <xdr:rowOff>22412</xdr:rowOff>
    </xdr:to>
    <xdr:cxnSp macro="">
      <xdr:nvCxnSpPr>
        <xdr:cNvPr id="67" name="Connector: Elbow 81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63" idx="2"/>
          <a:endCxn id="4" idx="0"/>
        </xdr:cNvCxnSpPr>
      </xdr:nvCxnSpPr>
      <xdr:spPr>
        <a:xfrm flipH="1">
          <a:off x="2133600" y="14211300"/>
          <a:ext cx="0" cy="1162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61</xdr:row>
      <xdr:rowOff>95250</xdr:rowOff>
    </xdr:from>
    <xdr:to>
      <xdr:col>33</xdr:col>
      <xdr:colOff>1</xdr:colOff>
      <xdr:row>75</xdr:row>
      <xdr:rowOff>0</xdr:rowOff>
    </xdr:to>
    <xdr:cxnSp macro="">
      <xdr:nvCxnSpPr>
        <xdr:cNvPr id="68" name="Connector: Elbow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CxnSpPr>
          <a:stCxn id="58" idx="3"/>
          <a:endCxn id="14" idx="0"/>
        </xdr:cNvCxnSpPr>
      </xdr:nvCxnSpPr>
      <xdr:spPr>
        <a:xfrm>
          <a:off x="3467100" y="11830050"/>
          <a:ext cx="5334000" cy="2571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60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69" name="吹き出し: 線 2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9334500" y="11544300"/>
          <a:ext cx="7200900" cy="952500"/>
        </a:xfrm>
        <a:prstGeom prst="borderCallout1">
          <a:avLst>
            <a:gd name="adj1" fmla="val 55319"/>
            <a:gd name="adj2" fmla="val 498"/>
            <a:gd name="adj3" fmla="val 35966"/>
            <a:gd name="adj4" fmla="val -896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1, 7, 8定番売価新規作成・編集・削除の状態を確認する。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▪成功した場合、[8. [8.配列の最後の要素であるかを確認する]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69</xdr:row>
      <xdr:rowOff>0</xdr:rowOff>
    </xdr:from>
    <xdr:to>
      <xdr:col>62</xdr:col>
      <xdr:colOff>0</xdr:colOff>
      <xdr:row>73</xdr:row>
      <xdr:rowOff>0</xdr:rowOff>
    </xdr:to>
    <xdr:sp macro="" textlink="" fLocksText="0">
      <xdr:nvSpPr>
        <xdr:cNvPr id="70" name="吹き出し: 線 2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9334500" y="13258800"/>
          <a:ext cx="7200900" cy="762000"/>
        </a:xfrm>
        <a:prstGeom prst="borderCallout1">
          <a:avLst>
            <a:gd name="adj1" fmla="val 51201"/>
            <a:gd name="adj2" fmla="val -58"/>
            <a:gd name="adj3" fmla="val 32439"/>
            <a:gd name="adj4" fmla="val -9869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リクエストのレジデータ配列の最後の要素であるかを確認する。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最後の要素の場合、プログラムを終了する。</a:t>
          </a:r>
        </a:p>
      </xdr:txBody>
    </xdr:sp>
    <xdr:clientData/>
  </xdr:twoCellAnchor>
  <xdr:twoCellAnchor>
    <xdr:from>
      <xdr:col>8</xdr:col>
      <xdr:colOff>1</xdr:colOff>
      <xdr:row>55</xdr:row>
      <xdr:rowOff>0</xdr:rowOff>
    </xdr:from>
    <xdr:to>
      <xdr:col>28</xdr:col>
      <xdr:colOff>0</xdr:colOff>
      <xdr:row>59</xdr:row>
      <xdr:rowOff>0</xdr:rowOff>
    </xdr:to>
    <xdr:cxnSp macro="">
      <xdr:nvCxnSpPr>
        <xdr:cNvPr id="71" name="Connector: Elbow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CxnSpPr>
          <a:stCxn id="42" idx="2"/>
          <a:endCxn id="57" idx="0"/>
        </xdr:cNvCxnSpPr>
      </xdr:nvCxnSpPr>
      <xdr:spPr>
        <a:xfrm rot="5400000">
          <a:off x="2133600" y="10591800"/>
          <a:ext cx="5334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</xdr:row>
      <xdr:rowOff>0</xdr:rowOff>
    </xdr:from>
    <xdr:to>
      <xdr:col>5</xdr:col>
      <xdr:colOff>1</xdr:colOff>
      <xdr:row>70</xdr:row>
      <xdr:rowOff>95250</xdr:rowOff>
    </xdr:to>
    <xdr:cxnSp macro="">
      <xdr:nvCxnSpPr>
        <xdr:cNvPr id="79" name="Connector: Elbow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62" idx="1"/>
          <a:endCxn id="13" idx="1"/>
        </xdr:cNvCxnSpPr>
      </xdr:nvCxnSpPr>
      <xdr:spPr>
        <a:xfrm rot="10800000" flipH="1">
          <a:off x="800100" y="4686300"/>
          <a:ext cx="533400" cy="8858250"/>
        </a:xfrm>
        <a:prstGeom prst="bentConnector3">
          <a:avLst>
            <a:gd name="adj1" fmla="val -485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30</xdr:row>
      <xdr:rowOff>0</xdr:rowOff>
    </xdr:from>
    <xdr:to>
      <xdr:col>11</xdr:col>
      <xdr:colOff>0</xdr:colOff>
      <xdr:row>34</xdr:row>
      <xdr:rowOff>179294</xdr:rowOff>
    </xdr:to>
    <xdr:sp macro="" textlink="" fLocksText="0">
      <xdr:nvSpPr>
        <xdr:cNvPr id="2" name="Flowchart: Decisio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333500" y="5829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3.1 operation_type</a:t>
          </a:r>
        </a:p>
      </xdr:txBody>
    </xdr:sp>
    <xdr:clientData/>
  </xdr:twoCellAnchor>
  <xdr:twoCellAnchor>
    <xdr:from>
      <xdr:col>6</xdr:col>
      <xdr:colOff>2</xdr:colOff>
      <xdr:row>35</xdr:row>
      <xdr:rowOff>0</xdr:rowOff>
    </xdr:from>
    <xdr:to>
      <xdr:col>10</xdr:col>
      <xdr:colOff>1</xdr:colOff>
      <xdr:row>36</xdr:row>
      <xdr:rowOff>0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600200" y="6781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1 or = 2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31</xdr:row>
      <xdr:rowOff>179294</xdr:rowOff>
    </xdr:from>
    <xdr:to>
      <xdr:col>13</xdr:col>
      <xdr:colOff>0</xdr:colOff>
      <xdr:row>32</xdr:row>
      <xdr:rowOff>179294</xdr:rowOff>
    </xdr:to>
    <xdr:sp macro="" textlink="" fLocksText="0">
      <xdr:nvSpPr>
        <xdr:cNvPr id="7" name="Flowchart: Process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933700" y="6200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8</xdr:col>
      <xdr:colOff>1</xdr:colOff>
      <xdr:row>36</xdr:row>
      <xdr:rowOff>0</xdr:rowOff>
    </xdr:from>
    <xdr:to>
      <xdr:col>8</xdr:col>
      <xdr:colOff>2</xdr:colOff>
      <xdr:row>40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6" idx="2"/>
          <a:endCxn id="17" idx="0"/>
        </xdr:cNvCxnSpPr>
      </xdr:nvCxnSpPr>
      <xdr:spPr>
        <a:xfrm flipH="1">
          <a:off x="2133600" y="6972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30</xdr:row>
      <xdr:rowOff>0</xdr:rowOff>
    </xdr:from>
    <xdr:to>
      <xdr:col>62</xdr:col>
      <xdr:colOff>0</xdr:colOff>
      <xdr:row>35</xdr:row>
      <xdr:rowOff>0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9334500" y="5829300"/>
          <a:ext cx="7200900" cy="952500"/>
        </a:xfrm>
        <a:prstGeom prst="borderCallout1">
          <a:avLst>
            <a:gd name="adj1" fmla="val 53848"/>
            <a:gd name="adj2" fmla="val -59"/>
            <a:gd name="adj3" fmla="val 46230"/>
            <a:gd name="adj4" fmla="val -1002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3.1 ループ中のレコードのoperation_typeを確認する。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1又はoperation_type = 2の場合、「3.2 レコードが存在している」を実行する。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3の場合、「6.1, 7, 8定番売価削除」を実行し、同時にそのレコードをステップ1の結果リストから削除する。</a:t>
          </a:r>
        </a:p>
      </xdr:txBody>
    </xdr:sp>
    <xdr:clientData/>
  </xdr:twoCellAnchor>
  <xdr:twoCellAnchor>
    <xdr:from>
      <xdr:col>35</xdr:col>
      <xdr:colOff>0</xdr:colOff>
      <xdr:row>46</xdr:row>
      <xdr:rowOff>11206</xdr:rowOff>
    </xdr:from>
    <xdr:to>
      <xdr:col>62</xdr:col>
      <xdr:colOff>0</xdr:colOff>
      <xdr:row>58</xdr:row>
      <xdr:rowOff>0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334500" y="8886825"/>
          <a:ext cx="7200900" cy="2276475"/>
        </a:xfrm>
        <a:prstGeom prst="borderCallout1">
          <a:avLst>
            <a:gd name="adj1" fmla="val 53848"/>
            <a:gd name="adj2" fmla="val -59"/>
            <a:gd name="adj3" fmla="val 46230"/>
            <a:gd name="adj4" fmla="val -1002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ステップ4、5、6: 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▪booking_dateが現在日の場合、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・定番売価を更新・新規作成する時、ループ中の対象商品に対して、item_masterテーブルのstandard_price列をparams{new_price}に更新する。同時にStandardPriceHistoryテーブルのレコードを更新・新規作成する。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・定番売価を削除する時、ループ中の対象商品に対して、item_masterテーブルのstandard_price列の値をnullに更新する。同時にStandardPriceHistoryテーブルのレコードを削除する。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▪booking_dateが未来日の場合、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・定番売価を更新・新規作成する時、StandardPriceHistoryテーブルのレコードを更新・新規作成する。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・定番売価を削除する時、StandardPriceHistoryテーブルのレコードを削除する。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15" customWidth="1"/>
    <col min="61" max="16384" width="2.77734375" style="115"/>
  </cols>
  <sheetData>
    <row r="1" spans="1:63" ht="24.95" customHeight="1" x14ac:dyDescent="0.25">
      <c r="A1" s="109" t="s">
        <v>52</v>
      </c>
      <c r="B1" s="110"/>
      <c r="C1" s="110"/>
      <c r="D1" s="110"/>
      <c r="E1" s="110"/>
      <c r="F1" s="110"/>
      <c r="G1" s="110"/>
      <c r="H1" s="110"/>
      <c r="I1" s="110"/>
      <c r="J1" s="111"/>
      <c r="K1" s="109" t="s">
        <v>53</v>
      </c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1"/>
      <c r="W1" s="112" t="s">
        <v>54</v>
      </c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4"/>
      <c r="AP1" s="109" t="s">
        <v>55</v>
      </c>
      <c r="AQ1" s="110"/>
      <c r="AR1" s="110"/>
      <c r="AS1" s="111"/>
      <c r="AT1" s="109" t="s">
        <v>56</v>
      </c>
      <c r="AU1" s="110"/>
      <c r="AV1" s="110"/>
      <c r="AW1" s="110"/>
      <c r="AX1" s="111"/>
      <c r="AY1" s="109" t="s">
        <v>57</v>
      </c>
      <c r="AZ1" s="110"/>
      <c r="BA1" s="110"/>
      <c r="BB1" s="111"/>
      <c r="BC1" s="109" t="s">
        <v>58</v>
      </c>
      <c r="BD1" s="110"/>
      <c r="BE1" s="110"/>
      <c r="BF1" s="110"/>
      <c r="BG1" s="111"/>
      <c r="BH1" s="109" t="s">
        <v>59</v>
      </c>
      <c r="BI1" s="110"/>
      <c r="BJ1" s="110"/>
      <c r="BK1" s="111"/>
    </row>
    <row r="2" spans="1:63" ht="15" customHeight="1" x14ac:dyDescent="0.25">
      <c r="A2" s="1" t="s">
        <v>60</v>
      </c>
      <c r="B2" s="116"/>
      <c r="C2" s="116"/>
      <c r="D2" s="116"/>
      <c r="E2" s="116"/>
      <c r="F2" s="116"/>
      <c r="G2" s="116"/>
      <c r="H2" s="116"/>
      <c r="I2" s="116"/>
      <c r="J2" s="117"/>
      <c r="K2" s="118" t="s">
        <v>1</v>
      </c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7"/>
      <c r="W2" s="119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1"/>
      <c r="AP2" s="118" t="str">
        <f>改訂履歴!$H$11</f>
        <v>DuNT</v>
      </c>
      <c r="AQ2" s="116"/>
      <c r="AR2" s="116"/>
      <c r="AS2" s="117"/>
      <c r="AT2" s="122">
        <f>改訂履歴!$B$11</f>
        <v>45559</v>
      </c>
      <c r="AU2" s="123"/>
      <c r="AV2" s="123"/>
      <c r="AW2" s="123"/>
      <c r="AX2" s="124"/>
      <c r="AY2" s="118" t="str">
        <f>LOOKUP(2,1/(改訂履歴!H11:H30000&lt;&gt;""),改訂履歴!H11:H30000)</f>
        <v>DuNT</v>
      </c>
      <c r="AZ2" s="116"/>
      <c r="BA2" s="116"/>
      <c r="BB2" s="117"/>
      <c r="BC2" s="122">
        <f>LOOKUP(2,1/(改訂履歴!B11:B30000&lt;&gt;""),改訂履歴!B11:B30000)</f>
        <v>45624</v>
      </c>
      <c r="BD2" s="123"/>
      <c r="BE2" s="123"/>
      <c r="BF2" s="123"/>
      <c r="BG2" s="124"/>
      <c r="BH2" s="125">
        <f>LOOKUP(2,1/(改訂履歴!O11:O30000&lt;&gt;""),改訂履歴!O11:O30000)</f>
        <v>0.11</v>
      </c>
      <c r="BI2" s="126"/>
      <c r="BJ2" s="126"/>
      <c r="BK2" s="127"/>
    </row>
    <row r="3" spans="1:63" ht="15" customHeight="1" x14ac:dyDescent="0.25">
      <c r="A3" s="128"/>
      <c r="B3" s="129"/>
      <c r="C3" s="129"/>
      <c r="D3" s="129"/>
      <c r="E3" s="129"/>
      <c r="F3" s="129"/>
      <c r="G3" s="129"/>
      <c r="H3" s="129"/>
      <c r="I3" s="129"/>
      <c r="J3" s="130"/>
      <c r="K3" s="128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30"/>
      <c r="W3" s="131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3"/>
      <c r="AP3" s="128"/>
      <c r="AQ3" s="129"/>
      <c r="AR3" s="129"/>
      <c r="AS3" s="130"/>
      <c r="AT3" s="134"/>
      <c r="AU3" s="135"/>
      <c r="AV3" s="135"/>
      <c r="AW3" s="135"/>
      <c r="AX3" s="136"/>
      <c r="AY3" s="128"/>
      <c r="AZ3" s="129"/>
      <c r="BA3" s="129"/>
      <c r="BB3" s="130"/>
      <c r="BC3" s="134"/>
      <c r="BD3" s="135"/>
      <c r="BE3" s="135"/>
      <c r="BF3" s="135"/>
      <c r="BG3" s="136"/>
      <c r="BH3" s="137"/>
      <c r="BI3" s="138"/>
      <c r="BJ3" s="138"/>
      <c r="BK3" s="139"/>
    </row>
    <row r="4" spans="1:63" ht="24.95" customHeight="1" x14ac:dyDescent="0.25">
      <c r="A4" s="109" t="s">
        <v>61</v>
      </c>
      <c r="B4" s="110"/>
      <c r="C4" s="110"/>
      <c r="D4" s="110"/>
      <c r="E4" s="110"/>
      <c r="F4" s="110"/>
      <c r="G4" s="111"/>
      <c r="H4" s="140" t="s">
        <v>51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2"/>
      <c r="U4" s="109" t="s">
        <v>62</v>
      </c>
      <c r="V4" s="110"/>
      <c r="W4" s="110"/>
      <c r="X4" s="110"/>
      <c r="Y4" s="111"/>
      <c r="Z4" s="45" t="s">
        <v>63</v>
      </c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2"/>
      <c r="AP4" s="140" t="str">
        <f t="array" aca="1" ref="AP4" ca="1">RIGHT(CELL("filename",$A$1),LEN(CELL("filename",$A$1))-FIND("]",CELL("filename",$A$1)))</f>
        <v>表紙</v>
      </c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2"/>
    </row>
    <row r="5" spans="1:63" ht="5.0999999999999996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5"/>
    </row>
    <row r="6" spans="1:63" ht="15" customHeight="1" x14ac:dyDescent="0.25">
      <c r="A6" s="146"/>
      <c r="BK6" s="147"/>
    </row>
    <row r="7" spans="1:63" ht="15" customHeight="1" x14ac:dyDescent="0.25">
      <c r="A7" s="146"/>
      <c r="BK7" s="147"/>
    </row>
    <row r="8" spans="1:63" ht="15" customHeight="1" x14ac:dyDescent="0.25">
      <c r="A8" s="146"/>
      <c r="BK8" s="147"/>
    </row>
    <row r="9" spans="1:63" ht="15" customHeight="1" x14ac:dyDescent="0.25">
      <c r="A9" s="146"/>
      <c r="BK9" s="147"/>
    </row>
    <row r="10" spans="1:63" ht="15" customHeight="1" x14ac:dyDescent="0.25">
      <c r="A10" s="146"/>
      <c r="BK10" s="147"/>
    </row>
    <row r="11" spans="1:63" ht="15" customHeight="1" x14ac:dyDescent="0.25">
      <c r="A11" s="146"/>
      <c r="BK11" s="147"/>
    </row>
    <row r="12" spans="1:63" ht="15" customHeight="1" x14ac:dyDescent="0.25">
      <c r="A12" s="146"/>
      <c r="BK12" s="147"/>
    </row>
    <row r="13" spans="1:63" ht="15" customHeight="1" x14ac:dyDescent="0.25">
      <c r="A13" s="146"/>
      <c r="BK13" s="147"/>
    </row>
    <row r="14" spans="1:63" ht="15" customHeight="1" thickBot="1" x14ac:dyDescent="0.3">
      <c r="A14" s="146"/>
      <c r="BK14" s="147"/>
    </row>
    <row r="15" spans="1:63" ht="15" customHeight="1" thickTop="1" x14ac:dyDescent="0.25">
      <c r="A15" s="146"/>
      <c r="K15" s="148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50"/>
      <c r="BK15" s="147"/>
    </row>
    <row r="16" spans="1:63" ht="15" customHeight="1" x14ac:dyDescent="0.25">
      <c r="A16" s="146"/>
      <c r="K16" s="151"/>
      <c r="L16" s="152" t="s">
        <v>64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4"/>
      <c r="BK16" s="147"/>
    </row>
    <row r="17" spans="1:63" ht="15" customHeight="1" x14ac:dyDescent="0.25">
      <c r="A17" s="146"/>
      <c r="K17" s="151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4"/>
      <c r="BK17" s="147"/>
    </row>
    <row r="18" spans="1:63" ht="15" customHeight="1" x14ac:dyDescent="0.25">
      <c r="A18" s="146"/>
      <c r="K18" s="151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4"/>
      <c r="BK18" s="147"/>
    </row>
    <row r="19" spans="1:63" ht="15" customHeight="1" x14ac:dyDescent="0.25">
      <c r="A19" s="146"/>
      <c r="K19" s="151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4"/>
      <c r="BK19" s="147"/>
    </row>
    <row r="20" spans="1:63" ht="15" customHeight="1" x14ac:dyDescent="0.25">
      <c r="A20" s="146"/>
      <c r="K20" s="151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4"/>
      <c r="BK20" s="147"/>
    </row>
    <row r="21" spans="1:63" ht="15" customHeight="1" x14ac:dyDescent="0.25">
      <c r="A21" s="146"/>
      <c r="K21" s="151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4"/>
      <c r="BK21" s="147"/>
    </row>
    <row r="22" spans="1:63" ht="15" customHeight="1" thickBot="1" x14ac:dyDescent="0.3">
      <c r="A22" s="146"/>
      <c r="K22" s="151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4"/>
      <c r="BK22" s="147"/>
    </row>
    <row r="23" spans="1:63" ht="15" customHeight="1" x14ac:dyDescent="0.25">
      <c r="A23" s="146"/>
      <c r="K23" s="151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4"/>
      <c r="BK23" s="147"/>
    </row>
    <row r="24" spans="1:63" ht="15" customHeight="1" x14ac:dyDescent="0.25">
      <c r="A24" s="146"/>
      <c r="K24" s="151"/>
      <c r="L24" s="153" t="str">
        <f>K2&amp;"/"&amp;H4&amp;"/"&amp;Z4</f>
        <v>POSサーバ/AP0602/API設計書</v>
      </c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4"/>
      <c r="BK24" s="147"/>
    </row>
    <row r="25" spans="1:63" ht="15" customHeight="1" x14ac:dyDescent="0.25">
      <c r="A25" s="146"/>
      <c r="K25" s="151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4"/>
      <c r="BK25" s="147"/>
    </row>
    <row r="26" spans="1:63" ht="15" customHeight="1" x14ac:dyDescent="0.25">
      <c r="A26" s="146"/>
      <c r="K26" s="151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4"/>
      <c r="BK26" s="147"/>
    </row>
    <row r="27" spans="1:63" ht="15" customHeight="1" x14ac:dyDescent="0.25">
      <c r="A27" s="146"/>
      <c r="K27" s="151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4"/>
      <c r="BK27" s="147"/>
    </row>
    <row r="28" spans="1:63" ht="15" customHeight="1" x14ac:dyDescent="0.25">
      <c r="A28" s="146"/>
      <c r="K28" s="151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4"/>
      <c r="BK28" s="147"/>
    </row>
    <row r="29" spans="1:63" ht="15" customHeight="1" x14ac:dyDescent="0.25">
      <c r="A29" s="146"/>
      <c r="K29" s="151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4"/>
      <c r="BK29" s="147"/>
    </row>
    <row r="30" spans="1:63" ht="15" customHeight="1" x14ac:dyDescent="0.25">
      <c r="A30" s="146"/>
      <c r="K30" s="151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4"/>
      <c r="BK30" s="147"/>
    </row>
    <row r="31" spans="1:63" ht="15" customHeight="1" x14ac:dyDescent="0.25">
      <c r="A31" s="146"/>
      <c r="K31" s="151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4"/>
      <c r="BK31" s="147"/>
    </row>
    <row r="32" spans="1:63" ht="15" customHeight="1" x14ac:dyDescent="0.25">
      <c r="A32" s="146"/>
      <c r="K32" s="151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4"/>
      <c r="BK32" s="147"/>
    </row>
    <row r="33" spans="1:63" ht="15" customHeight="1" x14ac:dyDescent="0.25">
      <c r="A33" s="146"/>
      <c r="K33" s="151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4"/>
      <c r="BK33" s="147"/>
    </row>
    <row r="34" spans="1:63" ht="15" customHeight="1" x14ac:dyDescent="0.25">
      <c r="A34" s="146"/>
      <c r="K34" s="151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4"/>
      <c r="BK34" s="147"/>
    </row>
    <row r="35" spans="1:63" ht="15" customHeight="1" x14ac:dyDescent="0.25">
      <c r="A35" s="146"/>
      <c r="K35" s="151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4"/>
      <c r="BK35" s="147"/>
    </row>
    <row r="36" spans="1:63" ht="15" customHeight="1" x14ac:dyDescent="0.25">
      <c r="A36" s="146"/>
      <c r="K36" s="151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4"/>
      <c r="BK36" s="147"/>
    </row>
    <row r="37" spans="1:63" ht="15" customHeight="1" thickBot="1" x14ac:dyDescent="0.3">
      <c r="A37" s="146"/>
      <c r="K37" s="157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9"/>
      <c r="BK37" s="147"/>
    </row>
    <row r="38" spans="1:63" ht="15" customHeight="1" thickTop="1" x14ac:dyDescent="0.25">
      <c r="A38" s="146"/>
      <c r="BK38" s="147"/>
    </row>
    <row r="39" spans="1:63" ht="15" customHeight="1" x14ac:dyDescent="0.25">
      <c r="A39" s="146"/>
      <c r="BK39" s="147"/>
    </row>
    <row r="40" spans="1:63" ht="15" customHeight="1" x14ac:dyDescent="0.25">
      <c r="A40" s="146"/>
      <c r="BK40" s="147"/>
    </row>
    <row r="41" spans="1:63" ht="15" customHeight="1" x14ac:dyDescent="0.25">
      <c r="A41" s="146"/>
      <c r="BK41" s="147"/>
    </row>
    <row r="42" spans="1:63" ht="15" customHeight="1" x14ac:dyDescent="0.25">
      <c r="A42" s="146"/>
      <c r="BK42" s="147"/>
    </row>
    <row r="43" spans="1:63" ht="15" customHeight="1" x14ac:dyDescent="0.25">
      <c r="A43" s="146"/>
      <c r="BK43" s="147"/>
    </row>
    <row r="44" spans="1:63" ht="15" customHeight="1" x14ac:dyDescent="0.25">
      <c r="A44" s="146"/>
      <c r="Q44" s="160" t="s">
        <v>65</v>
      </c>
      <c r="R44" s="161"/>
      <c r="S44" s="161"/>
      <c r="T44" s="161"/>
      <c r="U44" s="161"/>
      <c r="V44" s="161"/>
      <c r="W44" s="161"/>
      <c r="X44" s="161"/>
      <c r="Y44" s="161"/>
      <c r="Z44" s="162"/>
      <c r="AA44" s="160" t="s">
        <v>66</v>
      </c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2"/>
      <c r="AQ44" s="160" t="s">
        <v>59</v>
      </c>
      <c r="AR44" s="161"/>
      <c r="AS44" s="161"/>
      <c r="AT44" s="161"/>
      <c r="AU44" s="162"/>
      <c r="BK44" s="147"/>
    </row>
    <row r="45" spans="1:63" ht="15" customHeight="1" x14ac:dyDescent="0.25">
      <c r="A45" s="146"/>
      <c r="Q45" s="163"/>
      <c r="R45" s="164"/>
      <c r="S45" s="164"/>
      <c r="T45" s="164"/>
      <c r="U45" s="164"/>
      <c r="V45" s="164"/>
      <c r="W45" s="164"/>
      <c r="X45" s="164"/>
      <c r="Y45" s="164"/>
      <c r="Z45" s="165"/>
      <c r="AA45" s="163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5"/>
      <c r="AQ45" s="163"/>
      <c r="AR45" s="164"/>
      <c r="AS45" s="164"/>
      <c r="AT45" s="164"/>
      <c r="AU45" s="165"/>
      <c r="BK45" s="147"/>
    </row>
    <row r="46" spans="1:63" ht="15" customHeight="1" x14ac:dyDescent="0.25">
      <c r="A46" s="146"/>
      <c r="Q46" s="118"/>
      <c r="R46" s="116"/>
      <c r="S46" s="116"/>
      <c r="T46" s="116"/>
      <c r="U46" s="116"/>
      <c r="V46" s="116"/>
      <c r="W46" s="116"/>
      <c r="X46" s="116"/>
      <c r="Y46" s="116"/>
      <c r="Z46" s="117"/>
      <c r="AA46" s="118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7"/>
      <c r="AQ46" s="118"/>
      <c r="AR46" s="116"/>
      <c r="AS46" s="116"/>
      <c r="AT46" s="116"/>
      <c r="AU46" s="117"/>
      <c r="BK46" s="147"/>
    </row>
    <row r="47" spans="1:63" ht="15" customHeight="1" x14ac:dyDescent="0.25">
      <c r="A47" s="146"/>
      <c r="Q47" s="166"/>
      <c r="R47" s="167"/>
      <c r="S47" s="167"/>
      <c r="T47" s="167"/>
      <c r="U47" s="167"/>
      <c r="V47" s="167"/>
      <c r="W47" s="167"/>
      <c r="X47" s="167"/>
      <c r="Y47" s="167"/>
      <c r="Z47" s="168"/>
      <c r="AA47" s="166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  <c r="AP47" s="168"/>
      <c r="AQ47" s="166"/>
      <c r="AR47" s="167"/>
      <c r="AS47" s="167"/>
      <c r="AT47" s="167"/>
      <c r="AU47" s="168"/>
      <c r="BK47" s="147"/>
    </row>
    <row r="48" spans="1:63" ht="15" customHeight="1" x14ac:dyDescent="0.25">
      <c r="A48" s="146"/>
      <c r="Q48" s="166"/>
      <c r="R48" s="167"/>
      <c r="S48" s="167"/>
      <c r="T48" s="167"/>
      <c r="U48" s="167"/>
      <c r="V48" s="167"/>
      <c r="W48" s="167"/>
      <c r="X48" s="167"/>
      <c r="Y48" s="167"/>
      <c r="Z48" s="168"/>
      <c r="AA48" s="166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8"/>
      <c r="AQ48" s="166"/>
      <c r="AR48" s="167"/>
      <c r="AS48" s="167"/>
      <c r="AT48" s="167"/>
      <c r="AU48" s="168"/>
      <c r="BK48" s="147"/>
    </row>
    <row r="49" spans="1:63" ht="15" customHeight="1" x14ac:dyDescent="0.25">
      <c r="A49" s="146"/>
      <c r="Q49" s="128"/>
      <c r="R49" s="129"/>
      <c r="S49" s="129"/>
      <c r="T49" s="129"/>
      <c r="U49" s="129"/>
      <c r="V49" s="129"/>
      <c r="W49" s="129"/>
      <c r="X49" s="129"/>
      <c r="Y49" s="129"/>
      <c r="Z49" s="130"/>
      <c r="AA49" s="128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30"/>
      <c r="AQ49" s="128"/>
      <c r="AR49" s="129"/>
      <c r="AS49" s="129"/>
      <c r="AT49" s="129"/>
      <c r="AU49" s="130"/>
      <c r="BK49" s="147"/>
    </row>
    <row r="50" spans="1:63" ht="15" customHeight="1" x14ac:dyDescent="0.25">
      <c r="A50" s="146"/>
      <c r="BK50" s="147"/>
    </row>
    <row r="51" spans="1:63" ht="15" customHeight="1" x14ac:dyDescent="0.25">
      <c r="A51" s="146"/>
      <c r="BK51" s="147"/>
    </row>
    <row r="52" spans="1:63" ht="15" customHeight="1" x14ac:dyDescent="0.25">
      <c r="A52" s="146"/>
      <c r="BK52" s="147"/>
    </row>
    <row r="53" spans="1:63" ht="15" customHeight="1" x14ac:dyDescent="0.25">
      <c r="A53" s="146"/>
      <c r="BK53" s="147"/>
    </row>
    <row r="54" spans="1:63" ht="15" customHeight="1" x14ac:dyDescent="0.25">
      <c r="A54" s="146"/>
      <c r="BK54" s="147"/>
    </row>
    <row r="55" spans="1:63" ht="15" customHeight="1" x14ac:dyDescent="0.25">
      <c r="A55" s="143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15" customWidth="1"/>
    <col min="61" max="16384" width="2.77734375" style="115"/>
  </cols>
  <sheetData>
    <row r="1" spans="1:63" ht="24.95" customHeight="1" x14ac:dyDescent="0.25">
      <c r="A1" s="109" t="s">
        <v>52</v>
      </c>
      <c r="B1" s="110"/>
      <c r="C1" s="110"/>
      <c r="D1" s="110"/>
      <c r="E1" s="110"/>
      <c r="F1" s="110"/>
      <c r="G1" s="110"/>
      <c r="H1" s="110"/>
      <c r="I1" s="110"/>
      <c r="J1" s="111"/>
      <c r="K1" s="109" t="s">
        <v>53</v>
      </c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1"/>
      <c r="W1" s="169" t="str">
        <f>IF(表紙!W1="","",表紙!W1)</f>
        <v>詳細設計書</v>
      </c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4"/>
      <c r="AP1" s="109" t="s">
        <v>55</v>
      </c>
      <c r="AQ1" s="110"/>
      <c r="AR1" s="110"/>
      <c r="AS1" s="111"/>
      <c r="AT1" s="109" t="s">
        <v>56</v>
      </c>
      <c r="AU1" s="110"/>
      <c r="AV1" s="110"/>
      <c r="AW1" s="110"/>
      <c r="AX1" s="111"/>
      <c r="AY1" s="109" t="s">
        <v>57</v>
      </c>
      <c r="AZ1" s="110"/>
      <c r="BA1" s="110"/>
      <c r="BB1" s="111"/>
      <c r="BC1" s="109" t="s">
        <v>58</v>
      </c>
      <c r="BD1" s="110"/>
      <c r="BE1" s="110"/>
      <c r="BF1" s="110"/>
      <c r="BG1" s="111"/>
      <c r="BH1" s="109" t="s">
        <v>59</v>
      </c>
      <c r="BI1" s="110"/>
      <c r="BJ1" s="110"/>
      <c r="BK1" s="111"/>
    </row>
    <row r="2" spans="1:63" ht="15" customHeight="1" x14ac:dyDescent="0.25">
      <c r="A2" s="118" t="str">
        <f>IF(表紙!A2="","",表紙!A2)</f>
        <v>POSサーバー</v>
      </c>
      <c r="B2" s="116"/>
      <c r="C2" s="116"/>
      <c r="D2" s="116"/>
      <c r="E2" s="116"/>
      <c r="F2" s="116"/>
      <c r="G2" s="116"/>
      <c r="H2" s="116"/>
      <c r="I2" s="116"/>
      <c r="J2" s="117"/>
      <c r="K2" s="118" t="str">
        <f>IF(表紙!K2="","",表紙!K2)</f>
        <v>POSサーバ</v>
      </c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7"/>
      <c r="W2" s="119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1"/>
      <c r="AP2" s="118" t="str">
        <f>IF(表紙!AP2="","",表紙!AP2)</f>
        <v>DuNT</v>
      </c>
      <c r="AQ2" s="116"/>
      <c r="AR2" s="116"/>
      <c r="AS2" s="117"/>
      <c r="AT2" s="122">
        <f>IF(表紙!AT2="","",表紙!AT2)</f>
        <v>45559</v>
      </c>
      <c r="AU2" s="123"/>
      <c r="AV2" s="123"/>
      <c r="AW2" s="123"/>
      <c r="AX2" s="124"/>
      <c r="AY2" s="118" t="str">
        <f>IF(表紙!AY2="","",表紙!AY2)</f>
        <v>DuNT</v>
      </c>
      <c r="AZ2" s="116"/>
      <c r="BA2" s="116"/>
      <c r="BB2" s="117"/>
      <c r="BC2" s="122">
        <f>IF(表紙!BC2="","",表紙!BC2)</f>
        <v>45624</v>
      </c>
      <c r="BD2" s="123"/>
      <c r="BE2" s="123"/>
      <c r="BF2" s="123"/>
      <c r="BG2" s="124"/>
      <c r="BH2" s="118">
        <f>IF(表紙!BH2="","",表紙!BH2)</f>
        <v>0.11</v>
      </c>
      <c r="BI2" s="116"/>
      <c r="BJ2" s="116"/>
      <c r="BK2" s="117"/>
    </row>
    <row r="3" spans="1:63" ht="15" customHeight="1" x14ac:dyDescent="0.25">
      <c r="A3" s="128"/>
      <c r="B3" s="129"/>
      <c r="C3" s="129"/>
      <c r="D3" s="129"/>
      <c r="E3" s="129"/>
      <c r="F3" s="129"/>
      <c r="G3" s="129"/>
      <c r="H3" s="129"/>
      <c r="I3" s="129"/>
      <c r="J3" s="130"/>
      <c r="K3" s="128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30"/>
      <c r="W3" s="131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3"/>
      <c r="AP3" s="128"/>
      <c r="AQ3" s="129"/>
      <c r="AR3" s="129"/>
      <c r="AS3" s="130"/>
      <c r="AT3" s="134"/>
      <c r="AU3" s="135"/>
      <c r="AV3" s="135"/>
      <c r="AW3" s="135"/>
      <c r="AX3" s="136"/>
      <c r="AY3" s="128"/>
      <c r="AZ3" s="129"/>
      <c r="BA3" s="129"/>
      <c r="BB3" s="130"/>
      <c r="BC3" s="134"/>
      <c r="BD3" s="135"/>
      <c r="BE3" s="135"/>
      <c r="BF3" s="135"/>
      <c r="BG3" s="136"/>
      <c r="BH3" s="128"/>
      <c r="BI3" s="129"/>
      <c r="BJ3" s="129"/>
      <c r="BK3" s="130"/>
    </row>
    <row r="4" spans="1:63" ht="24.95" customHeight="1" x14ac:dyDescent="0.25">
      <c r="A4" s="109" t="s">
        <v>61</v>
      </c>
      <c r="B4" s="110"/>
      <c r="C4" s="110"/>
      <c r="D4" s="110"/>
      <c r="E4" s="110"/>
      <c r="F4" s="110"/>
      <c r="G4" s="111"/>
      <c r="H4" s="140" t="str">
        <f>IF(表紙!H4="","",表紙!H4)</f>
        <v>AP0602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2"/>
      <c r="U4" s="109" t="s">
        <v>62</v>
      </c>
      <c r="V4" s="110"/>
      <c r="W4" s="110"/>
      <c r="X4" s="110"/>
      <c r="Y4" s="111"/>
      <c r="Z4" s="140" t="str">
        <f>IF(表紙!Z4="","",表紙!Z4)</f>
        <v>API設計書</v>
      </c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2"/>
      <c r="AP4" s="140" t="str">
        <f t="array" aca="1" ref="AP4" ca="1">RIGHT(CELL("filename",$A$1),LEN(CELL("filename",$A$1))-FIND("]",CELL("filename",$A$1)))</f>
        <v>改訂履歴</v>
      </c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2"/>
    </row>
    <row r="5" spans="1:63" ht="5.0999999999999996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5"/>
    </row>
    <row r="6" spans="1:63" ht="15" customHeight="1" x14ac:dyDescent="0.25">
      <c r="A6" s="146"/>
      <c r="BK6" s="147"/>
    </row>
    <row r="7" spans="1:63" ht="15" customHeight="1" x14ac:dyDescent="0.25">
      <c r="A7" s="146"/>
      <c r="BK7" s="147"/>
    </row>
    <row r="8" spans="1:63" ht="15" customHeight="1" x14ac:dyDescent="0.25">
      <c r="A8" s="146"/>
      <c r="B8" s="115" t="s">
        <v>0</v>
      </c>
      <c r="BK8" s="147"/>
    </row>
    <row r="9" spans="1:63" ht="15" customHeight="1" x14ac:dyDescent="0.25">
      <c r="A9" s="146"/>
      <c r="BK9" s="147"/>
    </row>
    <row r="10" spans="1:63" ht="15" customHeight="1" x14ac:dyDescent="0.25">
      <c r="A10" s="146"/>
      <c r="B10" s="170" t="s">
        <v>58</v>
      </c>
      <c r="C10" s="170"/>
      <c r="D10" s="170"/>
      <c r="E10" s="170"/>
      <c r="F10" s="170"/>
      <c r="G10" s="170"/>
      <c r="H10" s="170" t="s">
        <v>57</v>
      </c>
      <c r="I10" s="170"/>
      <c r="J10" s="170"/>
      <c r="K10" s="170"/>
      <c r="L10" s="170"/>
      <c r="M10" s="170"/>
      <c r="N10" s="170"/>
      <c r="O10" s="170" t="s">
        <v>59</v>
      </c>
      <c r="P10" s="170"/>
      <c r="Q10" s="170"/>
      <c r="R10" s="170"/>
      <c r="S10" s="170" t="s">
        <v>67</v>
      </c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 t="s">
        <v>65</v>
      </c>
      <c r="AY10" s="170"/>
      <c r="AZ10" s="170"/>
      <c r="BA10" s="170"/>
      <c r="BB10" s="170"/>
      <c r="BC10" s="170"/>
      <c r="BD10" s="170" t="s">
        <v>66</v>
      </c>
      <c r="BE10" s="170"/>
      <c r="BF10" s="170"/>
      <c r="BG10" s="170"/>
      <c r="BH10" s="170"/>
      <c r="BI10" s="170"/>
      <c r="BJ10" s="170"/>
      <c r="BK10" s="147"/>
    </row>
    <row r="11" spans="1:63" ht="15" customHeight="1" x14ac:dyDescent="0.25">
      <c r="A11" s="146"/>
      <c r="B11" s="122">
        <v>45559</v>
      </c>
      <c r="C11" s="116"/>
      <c r="D11" s="116"/>
      <c r="E11" s="116"/>
      <c r="F11" s="116"/>
      <c r="G11" s="117"/>
      <c r="H11" s="1" t="s">
        <v>68</v>
      </c>
      <c r="I11" s="116"/>
      <c r="J11" s="116"/>
      <c r="K11" s="116"/>
      <c r="L11" s="116"/>
      <c r="M11" s="116"/>
      <c r="N11" s="117"/>
      <c r="O11" s="118">
        <v>0.1</v>
      </c>
      <c r="P11" s="116"/>
      <c r="Q11" s="116"/>
      <c r="R11" s="116"/>
      <c r="S11" s="171" t="s">
        <v>2</v>
      </c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3"/>
      <c r="AX11" s="174"/>
      <c r="AY11" s="174"/>
      <c r="AZ11" s="174"/>
      <c r="BA11" s="174"/>
      <c r="BB11" s="174"/>
      <c r="BC11" s="175"/>
      <c r="BD11" s="176"/>
      <c r="BE11" s="174"/>
      <c r="BF11" s="174"/>
      <c r="BG11" s="174"/>
      <c r="BH11" s="174"/>
      <c r="BI11" s="174"/>
      <c r="BJ11" s="175"/>
      <c r="BK11" s="147"/>
    </row>
    <row r="12" spans="1:63" ht="15" customHeight="1" x14ac:dyDescent="0.25">
      <c r="A12" s="146"/>
      <c r="B12" s="128"/>
      <c r="C12" s="129"/>
      <c r="D12" s="129"/>
      <c r="E12" s="129"/>
      <c r="F12" s="129"/>
      <c r="G12" s="130"/>
      <c r="H12" s="128"/>
      <c r="I12" s="129"/>
      <c r="J12" s="129"/>
      <c r="K12" s="129"/>
      <c r="L12" s="129"/>
      <c r="M12" s="129"/>
      <c r="N12" s="130"/>
      <c r="O12" s="128"/>
      <c r="P12" s="129"/>
      <c r="Q12" s="129"/>
      <c r="R12" s="129"/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9"/>
      <c r="AX12" s="180"/>
      <c r="AY12" s="180"/>
      <c r="AZ12" s="180"/>
      <c r="BA12" s="180"/>
      <c r="BB12" s="180"/>
      <c r="BC12" s="181"/>
      <c r="BD12" s="182"/>
      <c r="BE12" s="180"/>
      <c r="BF12" s="180"/>
      <c r="BG12" s="180"/>
      <c r="BH12" s="180"/>
      <c r="BI12" s="180"/>
      <c r="BJ12" s="181"/>
      <c r="BK12" s="147"/>
    </row>
    <row r="13" spans="1:63" ht="15" customHeight="1" x14ac:dyDescent="0.25">
      <c r="A13" s="146"/>
      <c r="B13" s="46">
        <v>45624</v>
      </c>
      <c r="C13" s="47"/>
      <c r="D13" s="47"/>
      <c r="E13" s="47"/>
      <c r="F13" s="47"/>
      <c r="G13" s="48"/>
      <c r="H13" s="52" t="s">
        <v>68</v>
      </c>
      <c r="I13" s="47"/>
      <c r="J13" s="47"/>
      <c r="K13" s="47"/>
      <c r="L13" s="47"/>
      <c r="M13" s="47"/>
      <c r="N13" s="48"/>
      <c r="O13" s="52">
        <v>0.11</v>
      </c>
      <c r="P13" s="47"/>
      <c r="Q13" s="47"/>
      <c r="R13" s="47"/>
      <c r="S13" s="53" t="s">
        <v>69</v>
      </c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5"/>
      <c r="AX13" s="174"/>
      <c r="AY13" s="174"/>
      <c r="AZ13" s="174"/>
      <c r="BA13" s="174"/>
      <c r="BB13" s="174"/>
      <c r="BC13" s="175"/>
      <c r="BD13" s="176"/>
      <c r="BE13" s="174"/>
      <c r="BF13" s="174"/>
      <c r="BG13" s="174"/>
      <c r="BH13" s="174"/>
      <c r="BI13" s="174"/>
      <c r="BJ13" s="175"/>
      <c r="BK13" s="147"/>
    </row>
    <row r="14" spans="1:63" ht="15" customHeight="1" x14ac:dyDescent="0.25">
      <c r="A14" s="146"/>
      <c r="B14" s="49"/>
      <c r="C14" s="50"/>
      <c r="D14" s="50"/>
      <c r="E14" s="50"/>
      <c r="F14" s="50"/>
      <c r="G14" s="51"/>
      <c r="H14" s="49"/>
      <c r="I14" s="50"/>
      <c r="J14" s="50"/>
      <c r="K14" s="50"/>
      <c r="L14" s="50"/>
      <c r="M14" s="50"/>
      <c r="N14" s="51"/>
      <c r="O14" s="49"/>
      <c r="P14" s="50"/>
      <c r="Q14" s="50"/>
      <c r="R14" s="50"/>
      <c r="S14" s="56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8"/>
      <c r="AX14" s="180"/>
      <c r="AY14" s="180"/>
      <c r="AZ14" s="180"/>
      <c r="BA14" s="180"/>
      <c r="BB14" s="180"/>
      <c r="BC14" s="181"/>
      <c r="BD14" s="182"/>
      <c r="BE14" s="180"/>
      <c r="BF14" s="180"/>
      <c r="BG14" s="180"/>
      <c r="BH14" s="180"/>
      <c r="BI14" s="180"/>
      <c r="BJ14" s="181"/>
      <c r="BK14" s="147"/>
    </row>
    <row r="15" spans="1:63" ht="15" customHeight="1" x14ac:dyDescent="0.25">
      <c r="A15" s="146"/>
      <c r="B15" s="122"/>
      <c r="C15" s="116"/>
      <c r="D15" s="116"/>
      <c r="E15" s="116"/>
      <c r="F15" s="116"/>
      <c r="G15" s="117"/>
      <c r="H15" s="118"/>
      <c r="I15" s="116"/>
      <c r="J15" s="116"/>
      <c r="K15" s="116"/>
      <c r="L15" s="116"/>
      <c r="M15" s="116"/>
      <c r="N15" s="117"/>
      <c r="O15" s="118"/>
      <c r="P15" s="116"/>
      <c r="Q15" s="116"/>
      <c r="R15" s="116"/>
      <c r="S15" s="171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3"/>
      <c r="AX15" s="174"/>
      <c r="AY15" s="174"/>
      <c r="AZ15" s="174"/>
      <c r="BA15" s="174"/>
      <c r="BB15" s="174"/>
      <c r="BC15" s="175"/>
      <c r="BD15" s="176"/>
      <c r="BE15" s="174"/>
      <c r="BF15" s="174"/>
      <c r="BG15" s="174"/>
      <c r="BH15" s="174"/>
      <c r="BI15" s="174"/>
      <c r="BJ15" s="175"/>
      <c r="BK15" s="147"/>
    </row>
    <row r="16" spans="1:63" ht="15" customHeight="1" x14ac:dyDescent="0.25">
      <c r="A16" s="146"/>
      <c r="B16" s="128"/>
      <c r="C16" s="129"/>
      <c r="D16" s="129"/>
      <c r="E16" s="129"/>
      <c r="F16" s="129"/>
      <c r="G16" s="130"/>
      <c r="H16" s="128"/>
      <c r="I16" s="129"/>
      <c r="J16" s="129"/>
      <c r="K16" s="129"/>
      <c r="L16" s="129"/>
      <c r="M16" s="129"/>
      <c r="N16" s="130"/>
      <c r="O16" s="128"/>
      <c r="P16" s="129"/>
      <c r="Q16" s="129"/>
      <c r="R16" s="129"/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9"/>
      <c r="AX16" s="180"/>
      <c r="AY16" s="180"/>
      <c r="AZ16" s="180"/>
      <c r="BA16" s="180"/>
      <c r="BB16" s="180"/>
      <c r="BC16" s="181"/>
      <c r="BD16" s="182"/>
      <c r="BE16" s="180"/>
      <c r="BF16" s="180"/>
      <c r="BG16" s="180"/>
      <c r="BH16" s="180"/>
      <c r="BI16" s="180"/>
      <c r="BJ16" s="181"/>
      <c r="BK16" s="147"/>
    </row>
    <row r="17" spans="1:63" ht="15" customHeight="1" x14ac:dyDescent="0.25">
      <c r="A17" s="146"/>
      <c r="B17" s="118"/>
      <c r="C17" s="116"/>
      <c r="D17" s="116"/>
      <c r="E17" s="116"/>
      <c r="F17" s="116"/>
      <c r="G17" s="117"/>
      <c r="H17" s="118"/>
      <c r="I17" s="116"/>
      <c r="J17" s="116"/>
      <c r="K17" s="116"/>
      <c r="L17" s="116"/>
      <c r="M17" s="116"/>
      <c r="N17" s="117"/>
      <c r="O17" s="118"/>
      <c r="P17" s="116"/>
      <c r="Q17" s="116"/>
      <c r="R17" s="116"/>
      <c r="S17" s="171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3"/>
      <c r="AX17" s="174"/>
      <c r="AY17" s="174"/>
      <c r="AZ17" s="174"/>
      <c r="BA17" s="174"/>
      <c r="BB17" s="174"/>
      <c r="BC17" s="175"/>
      <c r="BD17" s="176"/>
      <c r="BE17" s="174"/>
      <c r="BF17" s="174"/>
      <c r="BG17" s="174"/>
      <c r="BH17" s="174"/>
      <c r="BI17" s="174"/>
      <c r="BJ17" s="175"/>
      <c r="BK17" s="147"/>
    </row>
    <row r="18" spans="1:63" ht="15" customHeight="1" x14ac:dyDescent="0.25">
      <c r="A18" s="146"/>
      <c r="B18" s="128"/>
      <c r="C18" s="129"/>
      <c r="D18" s="129"/>
      <c r="E18" s="129"/>
      <c r="F18" s="129"/>
      <c r="G18" s="130"/>
      <c r="H18" s="128"/>
      <c r="I18" s="129"/>
      <c r="J18" s="129"/>
      <c r="K18" s="129"/>
      <c r="L18" s="129"/>
      <c r="M18" s="129"/>
      <c r="N18" s="130"/>
      <c r="O18" s="128"/>
      <c r="P18" s="129"/>
      <c r="Q18" s="129"/>
      <c r="R18" s="129"/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9"/>
      <c r="AX18" s="180"/>
      <c r="AY18" s="180"/>
      <c r="AZ18" s="180"/>
      <c r="BA18" s="180"/>
      <c r="BB18" s="180"/>
      <c r="BC18" s="181"/>
      <c r="BD18" s="182"/>
      <c r="BE18" s="180"/>
      <c r="BF18" s="180"/>
      <c r="BG18" s="180"/>
      <c r="BH18" s="180"/>
      <c r="BI18" s="180"/>
      <c r="BJ18" s="181"/>
      <c r="BK18" s="147"/>
    </row>
    <row r="19" spans="1:63" ht="15" customHeight="1" x14ac:dyDescent="0.25">
      <c r="A19" s="146"/>
      <c r="B19" s="118"/>
      <c r="C19" s="116"/>
      <c r="D19" s="116"/>
      <c r="E19" s="116"/>
      <c r="F19" s="116"/>
      <c r="G19" s="117"/>
      <c r="H19" s="118"/>
      <c r="I19" s="116"/>
      <c r="J19" s="116"/>
      <c r="K19" s="116"/>
      <c r="L19" s="116"/>
      <c r="M19" s="116"/>
      <c r="N19" s="117"/>
      <c r="O19" s="118"/>
      <c r="P19" s="116"/>
      <c r="Q19" s="116"/>
      <c r="R19" s="116"/>
      <c r="S19" s="171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3"/>
      <c r="AX19" s="174"/>
      <c r="AY19" s="174"/>
      <c r="AZ19" s="174"/>
      <c r="BA19" s="174"/>
      <c r="BB19" s="174"/>
      <c r="BC19" s="175"/>
      <c r="BD19" s="176"/>
      <c r="BE19" s="174"/>
      <c r="BF19" s="174"/>
      <c r="BG19" s="174"/>
      <c r="BH19" s="174"/>
      <c r="BI19" s="174"/>
      <c r="BJ19" s="175"/>
      <c r="BK19" s="147"/>
    </row>
    <row r="20" spans="1:63" ht="15" customHeight="1" x14ac:dyDescent="0.25">
      <c r="A20" s="146"/>
      <c r="B20" s="128"/>
      <c r="C20" s="129"/>
      <c r="D20" s="129"/>
      <c r="E20" s="129"/>
      <c r="F20" s="129"/>
      <c r="G20" s="130"/>
      <c r="H20" s="128"/>
      <c r="I20" s="129"/>
      <c r="J20" s="129"/>
      <c r="K20" s="129"/>
      <c r="L20" s="129"/>
      <c r="M20" s="129"/>
      <c r="N20" s="130"/>
      <c r="O20" s="128"/>
      <c r="P20" s="129"/>
      <c r="Q20" s="129"/>
      <c r="R20" s="129"/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9"/>
      <c r="AX20" s="180"/>
      <c r="AY20" s="180"/>
      <c r="AZ20" s="180"/>
      <c r="BA20" s="180"/>
      <c r="BB20" s="180"/>
      <c r="BC20" s="181"/>
      <c r="BD20" s="182"/>
      <c r="BE20" s="180"/>
      <c r="BF20" s="180"/>
      <c r="BG20" s="180"/>
      <c r="BH20" s="180"/>
      <c r="BI20" s="180"/>
      <c r="BJ20" s="181"/>
      <c r="BK20" s="147"/>
    </row>
    <row r="21" spans="1:63" ht="15" customHeight="1" x14ac:dyDescent="0.25">
      <c r="A21" s="146"/>
      <c r="B21" s="118"/>
      <c r="C21" s="116"/>
      <c r="D21" s="116"/>
      <c r="E21" s="116"/>
      <c r="F21" s="116"/>
      <c r="G21" s="117"/>
      <c r="H21" s="118"/>
      <c r="I21" s="116"/>
      <c r="J21" s="116"/>
      <c r="K21" s="116"/>
      <c r="L21" s="116"/>
      <c r="M21" s="116"/>
      <c r="N21" s="117"/>
      <c r="O21" s="118"/>
      <c r="P21" s="116"/>
      <c r="Q21" s="116"/>
      <c r="R21" s="116"/>
      <c r="S21" s="171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3"/>
      <c r="AX21" s="174"/>
      <c r="AY21" s="174"/>
      <c r="AZ21" s="174"/>
      <c r="BA21" s="174"/>
      <c r="BB21" s="174"/>
      <c r="BC21" s="175"/>
      <c r="BD21" s="176"/>
      <c r="BE21" s="174"/>
      <c r="BF21" s="174"/>
      <c r="BG21" s="174"/>
      <c r="BH21" s="174"/>
      <c r="BI21" s="174"/>
      <c r="BJ21" s="175"/>
      <c r="BK21" s="147"/>
    </row>
    <row r="22" spans="1:63" ht="15" customHeight="1" x14ac:dyDescent="0.25">
      <c r="A22" s="146"/>
      <c r="B22" s="128"/>
      <c r="C22" s="129"/>
      <c r="D22" s="129"/>
      <c r="E22" s="129"/>
      <c r="F22" s="129"/>
      <c r="G22" s="130"/>
      <c r="H22" s="128"/>
      <c r="I22" s="129"/>
      <c r="J22" s="129"/>
      <c r="K22" s="129"/>
      <c r="L22" s="129"/>
      <c r="M22" s="129"/>
      <c r="N22" s="130"/>
      <c r="O22" s="128"/>
      <c r="P22" s="129"/>
      <c r="Q22" s="129"/>
      <c r="R22" s="129"/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9"/>
      <c r="AX22" s="180"/>
      <c r="AY22" s="180"/>
      <c r="AZ22" s="180"/>
      <c r="BA22" s="180"/>
      <c r="BB22" s="180"/>
      <c r="BC22" s="181"/>
      <c r="BD22" s="182"/>
      <c r="BE22" s="180"/>
      <c r="BF22" s="180"/>
      <c r="BG22" s="180"/>
      <c r="BH22" s="180"/>
      <c r="BI22" s="180"/>
      <c r="BJ22" s="181"/>
      <c r="BK22" s="147"/>
    </row>
    <row r="23" spans="1:63" ht="15" customHeight="1" x14ac:dyDescent="0.25">
      <c r="A23" s="146"/>
      <c r="B23" s="118"/>
      <c r="C23" s="116"/>
      <c r="D23" s="116"/>
      <c r="E23" s="116"/>
      <c r="F23" s="116"/>
      <c r="G23" s="117"/>
      <c r="H23" s="118"/>
      <c r="I23" s="116"/>
      <c r="J23" s="116"/>
      <c r="K23" s="116"/>
      <c r="L23" s="116"/>
      <c r="M23" s="116"/>
      <c r="N23" s="117"/>
      <c r="O23" s="118"/>
      <c r="P23" s="116"/>
      <c r="Q23" s="116"/>
      <c r="R23" s="116"/>
      <c r="S23" s="171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3"/>
      <c r="AX23" s="174"/>
      <c r="AY23" s="174"/>
      <c r="AZ23" s="174"/>
      <c r="BA23" s="174"/>
      <c r="BB23" s="174"/>
      <c r="BC23" s="175"/>
      <c r="BD23" s="176"/>
      <c r="BE23" s="174"/>
      <c r="BF23" s="174"/>
      <c r="BG23" s="174"/>
      <c r="BH23" s="174"/>
      <c r="BI23" s="174"/>
      <c r="BJ23" s="175"/>
      <c r="BK23" s="147"/>
    </row>
    <row r="24" spans="1:63" ht="15" customHeight="1" x14ac:dyDescent="0.25">
      <c r="A24" s="146"/>
      <c r="B24" s="128"/>
      <c r="C24" s="129"/>
      <c r="D24" s="129"/>
      <c r="E24" s="129"/>
      <c r="F24" s="129"/>
      <c r="G24" s="130"/>
      <c r="H24" s="128"/>
      <c r="I24" s="129"/>
      <c r="J24" s="129"/>
      <c r="K24" s="129"/>
      <c r="L24" s="129"/>
      <c r="M24" s="129"/>
      <c r="N24" s="130"/>
      <c r="O24" s="128"/>
      <c r="P24" s="129"/>
      <c r="Q24" s="129"/>
      <c r="R24" s="129"/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9"/>
      <c r="AX24" s="180"/>
      <c r="AY24" s="180"/>
      <c r="AZ24" s="180"/>
      <c r="BA24" s="180"/>
      <c r="BB24" s="180"/>
      <c r="BC24" s="181"/>
      <c r="BD24" s="182"/>
      <c r="BE24" s="180"/>
      <c r="BF24" s="180"/>
      <c r="BG24" s="180"/>
      <c r="BH24" s="180"/>
      <c r="BI24" s="180"/>
      <c r="BJ24" s="181"/>
      <c r="BK24" s="147"/>
    </row>
    <row r="25" spans="1:63" ht="15" customHeight="1" x14ac:dyDescent="0.25">
      <c r="A25" s="146"/>
      <c r="B25" s="118"/>
      <c r="C25" s="116"/>
      <c r="D25" s="116"/>
      <c r="E25" s="116"/>
      <c r="F25" s="116"/>
      <c r="G25" s="117"/>
      <c r="H25" s="118"/>
      <c r="I25" s="116"/>
      <c r="J25" s="116"/>
      <c r="K25" s="116"/>
      <c r="L25" s="116"/>
      <c r="M25" s="116"/>
      <c r="N25" s="117"/>
      <c r="O25" s="118"/>
      <c r="P25" s="116"/>
      <c r="Q25" s="116"/>
      <c r="R25" s="116"/>
      <c r="S25" s="171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3"/>
      <c r="AX25" s="174"/>
      <c r="AY25" s="174"/>
      <c r="AZ25" s="174"/>
      <c r="BA25" s="174"/>
      <c r="BB25" s="174"/>
      <c r="BC25" s="175"/>
      <c r="BD25" s="176"/>
      <c r="BE25" s="174"/>
      <c r="BF25" s="174"/>
      <c r="BG25" s="174"/>
      <c r="BH25" s="174"/>
      <c r="BI25" s="174"/>
      <c r="BJ25" s="175"/>
      <c r="BK25" s="147"/>
    </row>
    <row r="26" spans="1:63" ht="15" customHeight="1" x14ac:dyDescent="0.25">
      <c r="A26" s="146"/>
      <c r="B26" s="128"/>
      <c r="C26" s="129"/>
      <c r="D26" s="129"/>
      <c r="E26" s="129"/>
      <c r="F26" s="129"/>
      <c r="G26" s="130"/>
      <c r="H26" s="128"/>
      <c r="I26" s="129"/>
      <c r="J26" s="129"/>
      <c r="K26" s="129"/>
      <c r="L26" s="129"/>
      <c r="M26" s="129"/>
      <c r="N26" s="130"/>
      <c r="O26" s="128"/>
      <c r="P26" s="129"/>
      <c r="Q26" s="129"/>
      <c r="R26" s="129"/>
      <c r="S26" s="177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9"/>
      <c r="AX26" s="180"/>
      <c r="AY26" s="180"/>
      <c r="AZ26" s="180"/>
      <c r="BA26" s="180"/>
      <c r="BB26" s="180"/>
      <c r="BC26" s="181"/>
      <c r="BD26" s="182"/>
      <c r="BE26" s="180"/>
      <c r="BF26" s="180"/>
      <c r="BG26" s="180"/>
      <c r="BH26" s="180"/>
      <c r="BI26" s="180"/>
      <c r="BJ26" s="181"/>
      <c r="BK26" s="147"/>
    </row>
    <row r="27" spans="1:63" ht="15" customHeight="1" x14ac:dyDescent="0.25">
      <c r="A27" s="146"/>
      <c r="B27" s="118"/>
      <c r="C27" s="116"/>
      <c r="D27" s="116"/>
      <c r="E27" s="116"/>
      <c r="F27" s="116"/>
      <c r="G27" s="117"/>
      <c r="H27" s="118"/>
      <c r="I27" s="116"/>
      <c r="J27" s="116"/>
      <c r="K27" s="116"/>
      <c r="L27" s="116"/>
      <c r="M27" s="116"/>
      <c r="N27" s="117"/>
      <c r="O27" s="118"/>
      <c r="P27" s="116"/>
      <c r="Q27" s="116"/>
      <c r="R27" s="116"/>
      <c r="S27" s="171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3"/>
      <c r="AX27" s="174"/>
      <c r="AY27" s="174"/>
      <c r="AZ27" s="174"/>
      <c r="BA27" s="174"/>
      <c r="BB27" s="174"/>
      <c r="BC27" s="175"/>
      <c r="BD27" s="176"/>
      <c r="BE27" s="174"/>
      <c r="BF27" s="174"/>
      <c r="BG27" s="174"/>
      <c r="BH27" s="174"/>
      <c r="BI27" s="174"/>
      <c r="BJ27" s="175"/>
      <c r="BK27" s="147"/>
    </row>
    <row r="28" spans="1:63" ht="15" customHeight="1" x14ac:dyDescent="0.25">
      <c r="A28" s="146"/>
      <c r="B28" s="128"/>
      <c r="C28" s="129"/>
      <c r="D28" s="129"/>
      <c r="E28" s="129"/>
      <c r="F28" s="129"/>
      <c r="G28" s="130"/>
      <c r="H28" s="128"/>
      <c r="I28" s="129"/>
      <c r="J28" s="129"/>
      <c r="K28" s="129"/>
      <c r="L28" s="129"/>
      <c r="M28" s="129"/>
      <c r="N28" s="130"/>
      <c r="O28" s="128"/>
      <c r="P28" s="129"/>
      <c r="Q28" s="129"/>
      <c r="R28" s="129"/>
      <c r="S28" s="177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9"/>
      <c r="AX28" s="180"/>
      <c r="AY28" s="180"/>
      <c r="AZ28" s="180"/>
      <c r="BA28" s="180"/>
      <c r="BB28" s="180"/>
      <c r="BC28" s="181"/>
      <c r="BD28" s="182"/>
      <c r="BE28" s="180"/>
      <c r="BF28" s="180"/>
      <c r="BG28" s="180"/>
      <c r="BH28" s="180"/>
      <c r="BI28" s="180"/>
      <c r="BJ28" s="181"/>
      <c r="BK28" s="147"/>
    </row>
    <row r="29" spans="1:63" ht="15" customHeight="1" x14ac:dyDescent="0.25">
      <c r="A29" s="146"/>
      <c r="B29" s="118"/>
      <c r="C29" s="116"/>
      <c r="D29" s="116"/>
      <c r="E29" s="116"/>
      <c r="F29" s="116"/>
      <c r="G29" s="117"/>
      <c r="H29" s="118"/>
      <c r="I29" s="116"/>
      <c r="J29" s="116"/>
      <c r="K29" s="116"/>
      <c r="L29" s="116"/>
      <c r="M29" s="116"/>
      <c r="N29" s="117"/>
      <c r="O29" s="118"/>
      <c r="P29" s="116"/>
      <c r="Q29" s="116"/>
      <c r="R29" s="116"/>
      <c r="S29" s="171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3"/>
      <c r="AX29" s="174"/>
      <c r="AY29" s="174"/>
      <c r="AZ29" s="174"/>
      <c r="BA29" s="174"/>
      <c r="BB29" s="174"/>
      <c r="BC29" s="175"/>
      <c r="BD29" s="176"/>
      <c r="BE29" s="174"/>
      <c r="BF29" s="174"/>
      <c r="BG29" s="174"/>
      <c r="BH29" s="174"/>
      <c r="BI29" s="174"/>
      <c r="BJ29" s="175"/>
      <c r="BK29" s="147"/>
    </row>
    <row r="30" spans="1:63" ht="15" customHeight="1" x14ac:dyDescent="0.25">
      <c r="A30" s="146"/>
      <c r="B30" s="128"/>
      <c r="C30" s="129"/>
      <c r="D30" s="129"/>
      <c r="E30" s="129"/>
      <c r="F30" s="129"/>
      <c r="G30" s="130"/>
      <c r="H30" s="128"/>
      <c r="I30" s="129"/>
      <c r="J30" s="129"/>
      <c r="K30" s="129"/>
      <c r="L30" s="129"/>
      <c r="M30" s="129"/>
      <c r="N30" s="130"/>
      <c r="O30" s="128"/>
      <c r="P30" s="129"/>
      <c r="Q30" s="129"/>
      <c r="R30" s="129"/>
      <c r="S30" s="177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9"/>
      <c r="AX30" s="180"/>
      <c r="AY30" s="180"/>
      <c r="AZ30" s="180"/>
      <c r="BA30" s="180"/>
      <c r="BB30" s="180"/>
      <c r="BC30" s="181"/>
      <c r="BD30" s="182"/>
      <c r="BE30" s="180"/>
      <c r="BF30" s="180"/>
      <c r="BG30" s="180"/>
      <c r="BH30" s="180"/>
      <c r="BI30" s="180"/>
      <c r="BJ30" s="181"/>
      <c r="BK30" s="147"/>
    </row>
    <row r="31" spans="1:63" ht="15" customHeight="1" x14ac:dyDescent="0.25">
      <c r="A31" s="146"/>
      <c r="B31" s="118"/>
      <c r="C31" s="116"/>
      <c r="D31" s="116"/>
      <c r="E31" s="116"/>
      <c r="F31" s="116"/>
      <c r="G31" s="117"/>
      <c r="H31" s="118"/>
      <c r="I31" s="116"/>
      <c r="J31" s="116"/>
      <c r="K31" s="116"/>
      <c r="L31" s="116"/>
      <c r="M31" s="116"/>
      <c r="N31" s="117"/>
      <c r="O31" s="118"/>
      <c r="P31" s="116"/>
      <c r="Q31" s="116"/>
      <c r="R31" s="116"/>
      <c r="S31" s="171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3"/>
      <c r="AX31" s="174"/>
      <c r="AY31" s="174"/>
      <c r="AZ31" s="174"/>
      <c r="BA31" s="174"/>
      <c r="BB31" s="174"/>
      <c r="BC31" s="175"/>
      <c r="BD31" s="176"/>
      <c r="BE31" s="174"/>
      <c r="BF31" s="174"/>
      <c r="BG31" s="174"/>
      <c r="BH31" s="174"/>
      <c r="BI31" s="174"/>
      <c r="BJ31" s="175"/>
      <c r="BK31" s="147"/>
    </row>
    <row r="32" spans="1:63" ht="15" customHeight="1" x14ac:dyDescent="0.25">
      <c r="A32" s="146"/>
      <c r="B32" s="128"/>
      <c r="C32" s="129"/>
      <c r="D32" s="129"/>
      <c r="E32" s="129"/>
      <c r="F32" s="129"/>
      <c r="G32" s="130"/>
      <c r="H32" s="128"/>
      <c r="I32" s="129"/>
      <c r="J32" s="129"/>
      <c r="K32" s="129"/>
      <c r="L32" s="129"/>
      <c r="M32" s="129"/>
      <c r="N32" s="130"/>
      <c r="O32" s="128"/>
      <c r="P32" s="129"/>
      <c r="Q32" s="129"/>
      <c r="R32" s="129"/>
      <c r="S32" s="177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9"/>
      <c r="AX32" s="180"/>
      <c r="AY32" s="180"/>
      <c r="AZ32" s="180"/>
      <c r="BA32" s="180"/>
      <c r="BB32" s="180"/>
      <c r="BC32" s="181"/>
      <c r="BD32" s="182"/>
      <c r="BE32" s="180"/>
      <c r="BF32" s="180"/>
      <c r="BG32" s="180"/>
      <c r="BH32" s="180"/>
      <c r="BI32" s="180"/>
      <c r="BJ32" s="181"/>
      <c r="BK32" s="147"/>
    </row>
    <row r="33" spans="1:63" ht="15" customHeight="1" x14ac:dyDescent="0.25">
      <c r="A33" s="146"/>
      <c r="B33" s="118"/>
      <c r="C33" s="116"/>
      <c r="D33" s="116"/>
      <c r="E33" s="116"/>
      <c r="F33" s="116"/>
      <c r="G33" s="117"/>
      <c r="H33" s="118"/>
      <c r="I33" s="116"/>
      <c r="J33" s="116"/>
      <c r="K33" s="116"/>
      <c r="L33" s="116"/>
      <c r="M33" s="116"/>
      <c r="N33" s="117"/>
      <c r="O33" s="118"/>
      <c r="P33" s="116"/>
      <c r="Q33" s="116"/>
      <c r="R33" s="116"/>
      <c r="S33" s="171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3"/>
      <c r="AX33" s="174"/>
      <c r="AY33" s="174"/>
      <c r="AZ33" s="174"/>
      <c r="BA33" s="174"/>
      <c r="BB33" s="174"/>
      <c r="BC33" s="175"/>
      <c r="BD33" s="176"/>
      <c r="BE33" s="174"/>
      <c r="BF33" s="174"/>
      <c r="BG33" s="174"/>
      <c r="BH33" s="174"/>
      <c r="BI33" s="174"/>
      <c r="BJ33" s="175"/>
      <c r="BK33" s="147"/>
    </row>
    <row r="34" spans="1:63" ht="15" customHeight="1" x14ac:dyDescent="0.25">
      <c r="A34" s="146"/>
      <c r="B34" s="128"/>
      <c r="C34" s="129"/>
      <c r="D34" s="129"/>
      <c r="E34" s="129"/>
      <c r="F34" s="129"/>
      <c r="G34" s="130"/>
      <c r="H34" s="128"/>
      <c r="I34" s="129"/>
      <c r="J34" s="129"/>
      <c r="K34" s="129"/>
      <c r="L34" s="129"/>
      <c r="M34" s="129"/>
      <c r="N34" s="130"/>
      <c r="O34" s="128"/>
      <c r="P34" s="129"/>
      <c r="Q34" s="129"/>
      <c r="R34" s="129"/>
      <c r="S34" s="177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9"/>
      <c r="AX34" s="180"/>
      <c r="AY34" s="180"/>
      <c r="AZ34" s="180"/>
      <c r="BA34" s="180"/>
      <c r="BB34" s="180"/>
      <c r="BC34" s="181"/>
      <c r="BD34" s="182"/>
      <c r="BE34" s="180"/>
      <c r="BF34" s="180"/>
      <c r="BG34" s="180"/>
      <c r="BH34" s="180"/>
      <c r="BI34" s="180"/>
      <c r="BJ34" s="181"/>
      <c r="BK34" s="147"/>
    </row>
    <row r="35" spans="1:63" ht="15" customHeight="1" x14ac:dyDescent="0.25">
      <c r="A35" s="146"/>
      <c r="B35" s="118"/>
      <c r="C35" s="116"/>
      <c r="D35" s="116"/>
      <c r="E35" s="116"/>
      <c r="F35" s="116"/>
      <c r="G35" s="117"/>
      <c r="H35" s="118"/>
      <c r="I35" s="116"/>
      <c r="J35" s="116"/>
      <c r="K35" s="116"/>
      <c r="L35" s="116"/>
      <c r="M35" s="116"/>
      <c r="N35" s="117"/>
      <c r="O35" s="118"/>
      <c r="P35" s="116"/>
      <c r="Q35" s="116"/>
      <c r="R35" s="116"/>
      <c r="S35" s="171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3"/>
      <c r="AX35" s="174"/>
      <c r="AY35" s="174"/>
      <c r="AZ35" s="174"/>
      <c r="BA35" s="174"/>
      <c r="BB35" s="174"/>
      <c r="BC35" s="175"/>
      <c r="BD35" s="176"/>
      <c r="BE35" s="174"/>
      <c r="BF35" s="174"/>
      <c r="BG35" s="174"/>
      <c r="BH35" s="174"/>
      <c r="BI35" s="174"/>
      <c r="BJ35" s="175"/>
      <c r="BK35" s="147"/>
    </row>
    <row r="36" spans="1:63" ht="15" customHeight="1" x14ac:dyDescent="0.25">
      <c r="A36" s="146"/>
      <c r="B36" s="128"/>
      <c r="C36" s="129"/>
      <c r="D36" s="129"/>
      <c r="E36" s="129"/>
      <c r="F36" s="129"/>
      <c r="G36" s="130"/>
      <c r="H36" s="128"/>
      <c r="I36" s="129"/>
      <c r="J36" s="129"/>
      <c r="K36" s="129"/>
      <c r="L36" s="129"/>
      <c r="M36" s="129"/>
      <c r="N36" s="130"/>
      <c r="O36" s="128"/>
      <c r="P36" s="129"/>
      <c r="Q36" s="129"/>
      <c r="R36" s="129"/>
      <c r="S36" s="177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9"/>
      <c r="AX36" s="180"/>
      <c r="AY36" s="180"/>
      <c r="AZ36" s="180"/>
      <c r="BA36" s="180"/>
      <c r="BB36" s="180"/>
      <c r="BC36" s="181"/>
      <c r="BD36" s="182"/>
      <c r="BE36" s="180"/>
      <c r="BF36" s="180"/>
      <c r="BG36" s="180"/>
      <c r="BH36" s="180"/>
      <c r="BI36" s="180"/>
      <c r="BJ36" s="181"/>
      <c r="BK36" s="147"/>
    </row>
    <row r="37" spans="1:63" ht="15" customHeight="1" x14ac:dyDescent="0.25">
      <c r="A37" s="146"/>
      <c r="B37" s="118"/>
      <c r="C37" s="116"/>
      <c r="D37" s="116"/>
      <c r="E37" s="116"/>
      <c r="F37" s="116"/>
      <c r="G37" s="117"/>
      <c r="H37" s="118"/>
      <c r="I37" s="116"/>
      <c r="J37" s="116"/>
      <c r="K37" s="116"/>
      <c r="L37" s="116"/>
      <c r="M37" s="116"/>
      <c r="N37" s="117"/>
      <c r="O37" s="118"/>
      <c r="P37" s="116"/>
      <c r="Q37" s="116"/>
      <c r="R37" s="116"/>
      <c r="S37" s="171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3"/>
      <c r="AX37" s="174"/>
      <c r="AY37" s="174"/>
      <c r="AZ37" s="174"/>
      <c r="BA37" s="174"/>
      <c r="BB37" s="174"/>
      <c r="BC37" s="175"/>
      <c r="BD37" s="176"/>
      <c r="BE37" s="174"/>
      <c r="BF37" s="174"/>
      <c r="BG37" s="174"/>
      <c r="BH37" s="174"/>
      <c r="BI37" s="174"/>
      <c r="BJ37" s="175"/>
      <c r="BK37" s="147"/>
    </row>
    <row r="38" spans="1:63" ht="15" customHeight="1" x14ac:dyDescent="0.25">
      <c r="A38" s="146"/>
      <c r="B38" s="128"/>
      <c r="C38" s="129"/>
      <c r="D38" s="129"/>
      <c r="E38" s="129"/>
      <c r="F38" s="129"/>
      <c r="G38" s="130"/>
      <c r="H38" s="128"/>
      <c r="I38" s="129"/>
      <c r="J38" s="129"/>
      <c r="K38" s="129"/>
      <c r="L38" s="129"/>
      <c r="M38" s="129"/>
      <c r="N38" s="130"/>
      <c r="O38" s="128"/>
      <c r="P38" s="129"/>
      <c r="Q38" s="129"/>
      <c r="R38" s="129"/>
      <c r="S38" s="177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9"/>
      <c r="AX38" s="180"/>
      <c r="AY38" s="180"/>
      <c r="AZ38" s="180"/>
      <c r="BA38" s="180"/>
      <c r="BB38" s="180"/>
      <c r="BC38" s="181"/>
      <c r="BD38" s="182"/>
      <c r="BE38" s="180"/>
      <c r="BF38" s="180"/>
      <c r="BG38" s="180"/>
      <c r="BH38" s="180"/>
      <c r="BI38" s="180"/>
      <c r="BJ38" s="181"/>
      <c r="BK38" s="147"/>
    </row>
    <row r="39" spans="1:63" ht="15" customHeight="1" x14ac:dyDescent="0.25">
      <c r="A39" s="146"/>
      <c r="B39" s="118"/>
      <c r="C39" s="116"/>
      <c r="D39" s="116"/>
      <c r="E39" s="116"/>
      <c r="F39" s="116"/>
      <c r="G39" s="117"/>
      <c r="H39" s="118"/>
      <c r="I39" s="116"/>
      <c r="J39" s="116"/>
      <c r="K39" s="116"/>
      <c r="L39" s="116"/>
      <c r="M39" s="116"/>
      <c r="N39" s="117"/>
      <c r="O39" s="118"/>
      <c r="P39" s="116"/>
      <c r="Q39" s="116"/>
      <c r="R39" s="116"/>
      <c r="S39" s="171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3"/>
      <c r="AX39" s="174"/>
      <c r="AY39" s="174"/>
      <c r="AZ39" s="174"/>
      <c r="BA39" s="174"/>
      <c r="BB39" s="174"/>
      <c r="BC39" s="175"/>
      <c r="BD39" s="176"/>
      <c r="BE39" s="174"/>
      <c r="BF39" s="174"/>
      <c r="BG39" s="174"/>
      <c r="BH39" s="174"/>
      <c r="BI39" s="174"/>
      <c r="BJ39" s="175"/>
      <c r="BK39" s="147"/>
    </row>
    <row r="40" spans="1:63" ht="15" customHeight="1" x14ac:dyDescent="0.25">
      <c r="A40" s="146"/>
      <c r="B40" s="128"/>
      <c r="C40" s="129"/>
      <c r="D40" s="129"/>
      <c r="E40" s="129"/>
      <c r="F40" s="129"/>
      <c r="G40" s="130"/>
      <c r="H40" s="128"/>
      <c r="I40" s="129"/>
      <c r="J40" s="129"/>
      <c r="K40" s="129"/>
      <c r="L40" s="129"/>
      <c r="M40" s="129"/>
      <c r="N40" s="130"/>
      <c r="O40" s="128"/>
      <c r="P40" s="129"/>
      <c r="Q40" s="129"/>
      <c r="R40" s="129"/>
      <c r="S40" s="177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9"/>
      <c r="AX40" s="180"/>
      <c r="AY40" s="180"/>
      <c r="AZ40" s="180"/>
      <c r="BA40" s="180"/>
      <c r="BB40" s="180"/>
      <c r="BC40" s="181"/>
      <c r="BD40" s="182"/>
      <c r="BE40" s="180"/>
      <c r="BF40" s="180"/>
      <c r="BG40" s="180"/>
      <c r="BH40" s="180"/>
      <c r="BI40" s="180"/>
      <c r="BJ40" s="181"/>
      <c r="BK40" s="147"/>
    </row>
    <row r="41" spans="1:63" ht="15" customHeight="1" x14ac:dyDescent="0.25">
      <c r="A41" s="146"/>
      <c r="B41" s="118"/>
      <c r="C41" s="116"/>
      <c r="D41" s="116"/>
      <c r="E41" s="116"/>
      <c r="F41" s="116"/>
      <c r="G41" s="117"/>
      <c r="H41" s="118"/>
      <c r="I41" s="116"/>
      <c r="J41" s="116"/>
      <c r="K41" s="116"/>
      <c r="L41" s="116"/>
      <c r="M41" s="116"/>
      <c r="N41" s="117"/>
      <c r="O41" s="118"/>
      <c r="P41" s="116"/>
      <c r="Q41" s="116"/>
      <c r="R41" s="116"/>
      <c r="S41" s="171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3"/>
      <c r="AX41" s="174"/>
      <c r="AY41" s="174"/>
      <c r="AZ41" s="174"/>
      <c r="BA41" s="174"/>
      <c r="BB41" s="174"/>
      <c r="BC41" s="175"/>
      <c r="BD41" s="176"/>
      <c r="BE41" s="174"/>
      <c r="BF41" s="174"/>
      <c r="BG41" s="174"/>
      <c r="BH41" s="174"/>
      <c r="BI41" s="174"/>
      <c r="BJ41" s="175"/>
      <c r="BK41" s="147"/>
    </row>
    <row r="42" spans="1:63" ht="15" customHeight="1" x14ac:dyDescent="0.25">
      <c r="A42" s="146"/>
      <c r="B42" s="128"/>
      <c r="C42" s="129"/>
      <c r="D42" s="129"/>
      <c r="E42" s="129"/>
      <c r="F42" s="129"/>
      <c r="G42" s="130"/>
      <c r="H42" s="128"/>
      <c r="I42" s="129"/>
      <c r="J42" s="129"/>
      <c r="K42" s="129"/>
      <c r="L42" s="129"/>
      <c r="M42" s="129"/>
      <c r="N42" s="130"/>
      <c r="O42" s="128"/>
      <c r="P42" s="129"/>
      <c r="Q42" s="129"/>
      <c r="R42" s="129"/>
      <c r="S42" s="177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9"/>
      <c r="AX42" s="180"/>
      <c r="AY42" s="180"/>
      <c r="AZ42" s="180"/>
      <c r="BA42" s="180"/>
      <c r="BB42" s="180"/>
      <c r="BC42" s="181"/>
      <c r="BD42" s="182"/>
      <c r="BE42" s="180"/>
      <c r="BF42" s="180"/>
      <c r="BG42" s="180"/>
      <c r="BH42" s="180"/>
      <c r="BI42" s="180"/>
      <c r="BJ42" s="181"/>
      <c r="BK42" s="147"/>
    </row>
    <row r="43" spans="1:63" ht="15" customHeight="1" x14ac:dyDescent="0.25">
      <c r="A43" s="146"/>
      <c r="B43" s="118"/>
      <c r="C43" s="116"/>
      <c r="D43" s="116"/>
      <c r="E43" s="116"/>
      <c r="F43" s="116"/>
      <c r="G43" s="117"/>
      <c r="H43" s="118"/>
      <c r="I43" s="116"/>
      <c r="J43" s="116"/>
      <c r="K43" s="116"/>
      <c r="L43" s="116"/>
      <c r="M43" s="116"/>
      <c r="N43" s="117"/>
      <c r="O43" s="118"/>
      <c r="P43" s="116"/>
      <c r="Q43" s="116"/>
      <c r="R43" s="116"/>
      <c r="S43" s="171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3"/>
      <c r="AX43" s="174"/>
      <c r="AY43" s="174"/>
      <c r="AZ43" s="174"/>
      <c r="BA43" s="174"/>
      <c r="BB43" s="174"/>
      <c r="BC43" s="175"/>
      <c r="BD43" s="176"/>
      <c r="BE43" s="174"/>
      <c r="BF43" s="174"/>
      <c r="BG43" s="174"/>
      <c r="BH43" s="174"/>
      <c r="BI43" s="174"/>
      <c r="BJ43" s="175"/>
      <c r="BK43" s="147"/>
    </row>
    <row r="44" spans="1:63" ht="15" customHeight="1" x14ac:dyDescent="0.25">
      <c r="A44" s="146"/>
      <c r="B44" s="128"/>
      <c r="C44" s="129"/>
      <c r="D44" s="129"/>
      <c r="E44" s="129"/>
      <c r="F44" s="129"/>
      <c r="G44" s="130"/>
      <c r="H44" s="128"/>
      <c r="I44" s="129"/>
      <c r="J44" s="129"/>
      <c r="K44" s="129"/>
      <c r="L44" s="129"/>
      <c r="M44" s="129"/>
      <c r="N44" s="130"/>
      <c r="O44" s="128"/>
      <c r="P44" s="129"/>
      <c r="Q44" s="129"/>
      <c r="R44" s="129"/>
      <c r="S44" s="177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9"/>
      <c r="AX44" s="180"/>
      <c r="AY44" s="180"/>
      <c r="AZ44" s="180"/>
      <c r="BA44" s="180"/>
      <c r="BB44" s="180"/>
      <c r="BC44" s="181"/>
      <c r="BD44" s="182"/>
      <c r="BE44" s="180"/>
      <c r="BF44" s="180"/>
      <c r="BG44" s="180"/>
      <c r="BH44" s="180"/>
      <c r="BI44" s="180"/>
      <c r="BJ44" s="181"/>
      <c r="BK44" s="147"/>
    </row>
    <row r="45" spans="1:63" ht="15" customHeight="1" x14ac:dyDescent="0.25">
      <c r="A45" s="146"/>
      <c r="B45" s="118"/>
      <c r="C45" s="116"/>
      <c r="D45" s="116"/>
      <c r="E45" s="116"/>
      <c r="F45" s="116"/>
      <c r="G45" s="117"/>
      <c r="H45" s="118"/>
      <c r="I45" s="116"/>
      <c r="J45" s="116"/>
      <c r="K45" s="116"/>
      <c r="L45" s="116"/>
      <c r="M45" s="116"/>
      <c r="N45" s="117"/>
      <c r="O45" s="118"/>
      <c r="P45" s="116"/>
      <c r="Q45" s="116"/>
      <c r="R45" s="116"/>
      <c r="S45" s="171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3"/>
      <c r="AX45" s="174"/>
      <c r="AY45" s="174"/>
      <c r="AZ45" s="174"/>
      <c r="BA45" s="174"/>
      <c r="BB45" s="174"/>
      <c r="BC45" s="175"/>
      <c r="BD45" s="176"/>
      <c r="BE45" s="174"/>
      <c r="BF45" s="174"/>
      <c r="BG45" s="174"/>
      <c r="BH45" s="174"/>
      <c r="BI45" s="174"/>
      <c r="BJ45" s="175"/>
      <c r="BK45" s="147"/>
    </row>
    <row r="46" spans="1:63" ht="15" customHeight="1" x14ac:dyDescent="0.25">
      <c r="A46" s="146"/>
      <c r="B46" s="128"/>
      <c r="C46" s="129"/>
      <c r="D46" s="129"/>
      <c r="E46" s="129"/>
      <c r="F46" s="129"/>
      <c r="G46" s="130"/>
      <c r="H46" s="128"/>
      <c r="I46" s="129"/>
      <c r="J46" s="129"/>
      <c r="K46" s="129"/>
      <c r="L46" s="129"/>
      <c r="M46" s="129"/>
      <c r="N46" s="130"/>
      <c r="O46" s="128"/>
      <c r="P46" s="129"/>
      <c r="Q46" s="129"/>
      <c r="R46" s="129"/>
      <c r="S46" s="177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9"/>
      <c r="AX46" s="180"/>
      <c r="AY46" s="180"/>
      <c r="AZ46" s="180"/>
      <c r="BA46" s="180"/>
      <c r="BB46" s="180"/>
      <c r="BC46" s="181"/>
      <c r="BD46" s="182"/>
      <c r="BE46" s="180"/>
      <c r="BF46" s="180"/>
      <c r="BG46" s="180"/>
      <c r="BH46" s="180"/>
      <c r="BI46" s="180"/>
      <c r="BJ46" s="181"/>
      <c r="BK46" s="147"/>
    </row>
    <row r="47" spans="1:63" ht="15" customHeight="1" x14ac:dyDescent="0.25">
      <c r="A47" s="146"/>
      <c r="B47" s="118"/>
      <c r="C47" s="116"/>
      <c r="D47" s="116"/>
      <c r="E47" s="116"/>
      <c r="F47" s="116"/>
      <c r="G47" s="117"/>
      <c r="H47" s="118"/>
      <c r="I47" s="116"/>
      <c r="J47" s="116"/>
      <c r="K47" s="116"/>
      <c r="L47" s="116"/>
      <c r="M47" s="116"/>
      <c r="N47" s="117"/>
      <c r="O47" s="118"/>
      <c r="P47" s="116"/>
      <c r="Q47" s="116"/>
      <c r="R47" s="116"/>
      <c r="S47" s="171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3"/>
      <c r="AX47" s="174"/>
      <c r="AY47" s="174"/>
      <c r="AZ47" s="174"/>
      <c r="BA47" s="174"/>
      <c r="BB47" s="174"/>
      <c r="BC47" s="175"/>
      <c r="BD47" s="176"/>
      <c r="BE47" s="174"/>
      <c r="BF47" s="174"/>
      <c r="BG47" s="174"/>
      <c r="BH47" s="174"/>
      <c r="BI47" s="174"/>
      <c r="BJ47" s="175"/>
      <c r="BK47" s="147"/>
    </row>
    <row r="48" spans="1:63" ht="15" customHeight="1" x14ac:dyDescent="0.25">
      <c r="A48" s="146"/>
      <c r="B48" s="128"/>
      <c r="C48" s="129"/>
      <c r="D48" s="129"/>
      <c r="E48" s="129"/>
      <c r="F48" s="129"/>
      <c r="G48" s="130"/>
      <c r="H48" s="128"/>
      <c r="I48" s="129"/>
      <c r="J48" s="129"/>
      <c r="K48" s="129"/>
      <c r="L48" s="129"/>
      <c r="M48" s="129"/>
      <c r="N48" s="130"/>
      <c r="O48" s="128"/>
      <c r="P48" s="129"/>
      <c r="Q48" s="129"/>
      <c r="R48" s="129"/>
      <c r="S48" s="177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9"/>
      <c r="AX48" s="180"/>
      <c r="AY48" s="180"/>
      <c r="AZ48" s="180"/>
      <c r="BA48" s="180"/>
      <c r="BB48" s="180"/>
      <c r="BC48" s="181"/>
      <c r="BD48" s="182"/>
      <c r="BE48" s="180"/>
      <c r="BF48" s="180"/>
      <c r="BG48" s="180"/>
      <c r="BH48" s="180"/>
      <c r="BI48" s="180"/>
      <c r="BJ48" s="181"/>
      <c r="BK48" s="147"/>
    </row>
    <row r="49" spans="1:63" ht="15" customHeight="1" x14ac:dyDescent="0.25">
      <c r="A49" s="146"/>
      <c r="B49" s="118"/>
      <c r="C49" s="116"/>
      <c r="D49" s="116"/>
      <c r="E49" s="116"/>
      <c r="F49" s="116"/>
      <c r="G49" s="117"/>
      <c r="H49" s="118"/>
      <c r="I49" s="116"/>
      <c r="J49" s="116"/>
      <c r="K49" s="116"/>
      <c r="L49" s="116"/>
      <c r="M49" s="116"/>
      <c r="N49" s="117"/>
      <c r="O49" s="118"/>
      <c r="P49" s="116"/>
      <c r="Q49" s="116"/>
      <c r="R49" s="116"/>
      <c r="S49" s="171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3"/>
      <c r="AX49" s="174"/>
      <c r="AY49" s="174"/>
      <c r="AZ49" s="174"/>
      <c r="BA49" s="174"/>
      <c r="BB49" s="174"/>
      <c r="BC49" s="175"/>
      <c r="BD49" s="176"/>
      <c r="BE49" s="174"/>
      <c r="BF49" s="174"/>
      <c r="BG49" s="174"/>
      <c r="BH49" s="174"/>
      <c r="BI49" s="174"/>
      <c r="BJ49" s="175"/>
      <c r="BK49" s="147"/>
    </row>
    <row r="50" spans="1:63" ht="15" customHeight="1" x14ac:dyDescent="0.25">
      <c r="A50" s="146"/>
      <c r="B50" s="128"/>
      <c r="C50" s="129"/>
      <c r="D50" s="129"/>
      <c r="E50" s="129"/>
      <c r="F50" s="129"/>
      <c r="G50" s="130"/>
      <c r="H50" s="128"/>
      <c r="I50" s="129"/>
      <c r="J50" s="129"/>
      <c r="K50" s="129"/>
      <c r="L50" s="129"/>
      <c r="M50" s="129"/>
      <c r="N50" s="130"/>
      <c r="O50" s="128"/>
      <c r="P50" s="129"/>
      <c r="Q50" s="129"/>
      <c r="R50" s="129"/>
      <c r="S50" s="177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9"/>
      <c r="AX50" s="180"/>
      <c r="AY50" s="180"/>
      <c r="AZ50" s="180"/>
      <c r="BA50" s="180"/>
      <c r="BB50" s="180"/>
      <c r="BC50" s="181"/>
      <c r="BD50" s="182"/>
      <c r="BE50" s="180"/>
      <c r="BF50" s="180"/>
      <c r="BG50" s="180"/>
      <c r="BH50" s="180"/>
      <c r="BI50" s="180"/>
      <c r="BJ50" s="181"/>
      <c r="BK50" s="147"/>
    </row>
    <row r="51" spans="1:63" ht="15" customHeight="1" x14ac:dyDescent="0.25">
      <c r="A51" s="146"/>
      <c r="B51" s="118"/>
      <c r="C51" s="116"/>
      <c r="D51" s="116"/>
      <c r="E51" s="116"/>
      <c r="F51" s="116"/>
      <c r="G51" s="117"/>
      <c r="H51" s="118"/>
      <c r="I51" s="116"/>
      <c r="J51" s="116"/>
      <c r="K51" s="116"/>
      <c r="L51" s="116"/>
      <c r="M51" s="116"/>
      <c r="N51" s="117"/>
      <c r="O51" s="118"/>
      <c r="P51" s="116"/>
      <c r="Q51" s="116"/>
      <c r="R51" s="116"/>
      <c r="S51" s="171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3"/>
      <c r="AX51" s="174"/>
      <c r="AY51" s="174"/>
      <c r="AZ51" s="174"/>
      <c r="BA51" s="174"/>
      <c r="BB51" s="174"/>
      <c r="BC51" s="175"/>
      <c r="BD51" s="176"/>
      <c r="BE51" s="174"/>
      <c r="BF51" s="174"/>
      <c r="BG51" s="174"/>
      <c r="BH51" s="174"/>
      <c r="BI51" s="174"/>
      <c r="BJ51" s="175"/>
      <c r="BK51" s="147"/>
    </row>
    <row r="52" spans="1:63" ht="15" customHeight="1" x14ac:dyDescent="0.25">
      <c r="A52" s="146"/>
      <c r="B52" s="128"/>
      <c r="C52" s="129"/>
      <c r="D52" s="129"/>
      <c r="E52" s="129"/>
      <c r="F52" s="129"/>
      <c r="G52" s="130"/>
      <c r="H52" s="128"/>
      <c r="I52" s="129"/>
      <c r="J52" s="129"/>
      <c r="K52" s="129"/>
      <c r="L52" s="129"/>
      <c r="M52" s="129"/>
      <c r="N52" s="130"/>
      <c r="O52" s="128"/>
      <c r="P52" s="129"/>
      <c r="Q52" s="129"/>
      <c r="R52" s="129"/>
      <c r="S52" s="177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9"/>
      <c r="AX52" s="180"/>
      <c r="AY52" s="180"/>
      <c r="AZ52" s="180"/>
      <c r="BA52" s="180"/>
      <c r="BB52" s="180"/>
      <c r="BC52" s="181"/>
      <c r="BD52" s="182"/>
      <c r="BE52" s="180"/>
      <c r="BF52" s="180"/>
      <c r="BG52" s="180"/>
      <c r="BH52" s="180"/>
      <c r="BI52" s="180"/>
      <c r="BJ52" s="181"/>
      <c r="BK52" s="147"/>
    </row>
    <row r="53" spans="1:63" ht="15" customHeight="1" x14ac:dyDescent="0.25">
      <c r="A53" s="146"/>
      <c r="B53" s="118"/>
      <c r="C53" s="116"/>
      <c r="D53" s="116"/>
      <c r="E53" s="116"/>
      <c r="F53" s="116"/>
      <c r="G53" s="117"/>
      <c r="H53" s="118"/>
      <c r="I53" s="116"/>
      <c r="J53" s="116"/>
      <c r="K53" s="116"/>
      <c r="L53" s="116"/>
      <c r="M53" s="116"/>
      <c r="N53" s="117"/>
      <c r="O53" s="118"/>
      <c r="P53" s="116"/>
      <c r="Q53" s="116"/>
      <c r="R53" s="116"/>
      <c r="S53" s="171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3"/>
      <c r="AX53" s="174"/>
      <c r="AY53" s="174"/>
      <c r="AZ53" s="174"/>
      <c r="BA53" s="174"/>
      <c r="BB53" s="174"/>
      <c r="BC53" s="175"/>
      <c r="BD53" s="176"/>
      <c r="BE53" s="174"/>
      <c r="BF53" s="174"/>
      <c r="BG53" s="174"/>
      <c r="BH53" s="174"/>
      <c r="BI53" s="174"/>
      <c r="BJ53" s="175"/>
      <c r="BK53" s="147"/>
    </row>
    <row r="54" spans="1:63" ht="15" customHeight="1" x14ac:dyDescent="0.25">
      <c r="A54" s="146"/>
      <c r="B54" s="128"/>
      <c r="C54" s="129"/>
      <c r="D54" s="129"/>
      <c r="E54" s="129"/>
      <c r="F54" s="129"/>
      <c r="G54" s="130"/>
      <c r="H54" s="128"/>
      <c r="I54" s="129"/>
      <c r="J54" s="129"/>
      <c r="K54" s="129"/>
      <c r="L54" s="129"/>
      <c r="M54" s="129"/>
      <c r="N54" s="130"/>
      <c r="O54" s="128"/>
      <c r="P54" s="129"/>
      <c r="Q54" s="129"/>
      <c r="R54" s="129"/>
      <c r="S54" s="177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9"/>
      <c r="AX54" s="180"/>
      <c r="AY54" s="180"/>
      <c r="AZ54" s="180"/>
      <c r="BA54" s="180"/>
      <c r="BB54" s="180"/>
      <c r="BC54" s="181"/>
      <c r="BD54" s="182"/>
      <c r="BE54" s="180"/>
      <c r="BF54" s="180"/>
      <c r="BG54" s="180"/>
      <c r="BH54" s="180"/>
      <c r="BI54" s="180"/>
      <c r="BJ54" s="181"/>
      <c r="BK54" s="147"/>
    </row>
    <row r="55" spans="1:63" ht="15" customHeight="1" x14ac:dyDescent="0.25">
      <c r="A55" s="143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3" t="s">
        <v>52</v>
      </c>
      <c r="B1" s="184"/>
      <c r="C1" s="184"/>
      <c r="D1" s="184"/>
      <c r="E1" s="184"/>
      <c r="F1" s="184"/>
      <c r="G1" s="184"/>
      <c r="H1" s="184"/>
      <c r="I1" s="184"/>
      <c r="J1" s="185"/>
      <c r="K1" s="183" t="s">
        <v>53</v>
      </c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5"/>
      <c r="W1" s="186" t="str">
        <f>IF(表紙!W1="","",表紙!W1)</f>
        <v>詳細設計書</v>
      </c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8"/>
      <c r="AP1" s="109" t="s">
        <v>55</v>
      </c>
      <c r="AQ1" s="110"/>
      <c r="AR1" s="110"/>
      <c r="AS1" s="111"/>
      <c r="AT1" s="109" t="s">
        <v>56</v>
      </c>
      <c r="AU1" s="110"/>
      <c r="AV1" s="110"/>
      <c r="AW1" s="110"/>
      <c r="AX1" s="111"/>
      <c r="AY1" s="109" t="s">
        <v>57</v>
      </c>
      <c r="AZ1" s="110"/>
      <c r="BA1" s="110"/>
      <c r="BB1" s="111"/>
      <c r="BC1" s="109" t="s">
        <v>58</v>
      </c>
      <c r="BD1" s="110"/>
      <c r="BE1" s="110"/>
      <c r="BF1" s="110"/>
      <c r="BG1" s="111"/>
      <c r="BH1" s="109" t="s">
        <v>59</v>
      </c>
      <c r="BI1" s="110"/>
      <c r="BJ1" s="110"/>
      <c r="BK1" s="111"/>
    </row>
    <row r="2" spans="1:63" ht="15" customHeight="1" x14ac:dyDescent="0.25">
      <c r="A2" s="63" t="str">
        <f>IF(表紙!A2="","",表紙!A2)</f>
        <v>POSサーバー</v>
      </c>
      <c r="B2" s="64"/>
      <c r="C2" s="64"/>
      <c r="D2" s="64"/>
      <c r="E2" s="64"/>
      <c r="F2" s="64"/>
      <c r="G2" s="64"/>
      <c r="H2" s="64"/>
      <c r="I2" s="64"/>
      <c r="J2" s="65"/>
      <c r="K2" s="63" t="str">
        <f>IF(表紙!K2="","",表紙!K2)</f>
        <v>POSサーバ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189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1"/>
      <c r="AP2" s="118" t="str">
        <f>IF(表紙!AP2="","",表紙!AP2)</f>
        <v>DuNT</v>
      </c>
      <c r="AQ2" s="116"/>
      <c r="AR2" s="116"/>
      <c r="AS2" s="117"/>
      <c r="AT2" s="122">
        <f>IF(表紙!AT2="","",表紙!AT2)</f>
        <v>45559</v>
      </c>
      <c r="AU2" s="123"/>
      <c r="AV2" s="123"/>
      <c r="AW2" s="123"/>
      <c r="AX2" s="124"/>
      <c r="AY2" s="118" t="str">
        <f>IF(表紙!AY2="","",表紙!AY2)</f>
        <v>DuNT</v>
      </c>
      <c r="AZ2" s="116"/>
      <c r="BA2" s="116"/>
      <c r="BB2" s="117"/>
      <c r="BC2" s="122">
        <f>IF(表紙!BC2="","",表紙!BC2)</f>
        <v>45624</v>
      </c>
      <c r="BD2" s="123"/>
      <c r="BE2" s="123"/>
      <c r="BF2" s="123"/>
      <c r="BG2" s="124"/>
      <c r="BH2" s="118">
        <f>IF(表紙!BH2="","",表紙!BH2)</f>
        <v>0.11</v>
      </c>
      <c r="BI2" s="116"/>
      <c r="BJ2" s="116"/>
      <c r="BK2" s="117"/>
    </row>
    <row r="3" spans="1:63" ht="15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8"/>
      <c r="K3" s="66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192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4"/>
      <c r="AP3" s="128"/>
      <c r="AQ3" s="129"/>
      <c r="AR3" s="129"/>
      <c r="AS3" s="130"/>
      <c r="AT3" s="134"/>
      <c r="AU3" s="135"/>
      <c r="AV3" s="135"/>
      <c r="AW3" s="135"/>
      <c r="AX3" s="136"/>
      <c r="AY3" s="128"/>
      <c r="AZ3" s="129"/>
      <c r="BA3" s="129"/>
      <c r="BB3" s="130"/>
      <c r="BC3" s="134"/>
      <c r="BD3" s="135"/>
      <c r="BE3" s="135"/>
      <c r="BF3" s="135"/>
      <c r="BG3" s="136"/>
      <c r="BH3" s="128"/>
      <c r="BI3" s="129"/>
      <c r="BJ3" s="129"/>
      <c r="BK3" s="130"/>
    </row>
    <row r="4" spans="1:63" ht="24.95" customHeight="1" x14ac:dyDescent="0.25">
      <c r="A4" s="183" t="s">
        <v>61</v>
      </c>
      <c r="B4" s="184"/>
      <c r="C4" s="184"/>
      <c r="D4" s="184"/>
      <c r="E4" s="184"/>
      <c r="F4" s="184"/>
      <c r="G4" s="185"/>
      <c r="H4" s="59" t="str">
        <f>IF(表紙!H4="","",表紙!H4)</f>
        <v>AP0602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83" t="s">
        <v>62</v>
      </c>
      <c r="V4" s="184"/>
      <c r="W4" s="184"/>
      <c r="X4" s="184"/>
      <c r="Y4" s="185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処理フロー凡例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15" customFormat="1" ht="15" customHeight="1" x14ac:dyDescent="0.25">
      <c r="A7" s="195"/>
      <c r="B7" s="196" t="s">
        <v>70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8"/>
      <c r="AF7" s="199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  <c r="AU7" s="197"/>
      <c r="AV7" s="197"/>
      <c r="AW7" s="197"/>
      <c r="AX7" s="197"/>
      <c r="AY7" s="197"/>
      <c r="AZ7" s="197"/>
      <c r="BA7" s="197"/>
      <c r="BB7" s="197"/>
      <c r="BC7" s="197"/>
      <c r="BD7" s="197"/>
      <c r="BE7" s="197"/>
      <c r="BF7" s="197"/>
      <c r="BG7" s="197"/>
      <c r="BH7" s="197"/>
      <c r="BI7" s="198"/>
      <c r="BJ7" s="197"/>
      <c r="BK7" s="200"/>
    </row>
    <row r="8" spans="1:63" s="201" customFormat="1" ht="15" customHeight="1" x14ac:dyDescent="0.25">
      <c r="BK8" s="200"/>
    </row>
    <row r="9" spans="1:63" s="201" customFormat="1" ht="15" customHeight="1" x14ac:dyDescent="0.25">
      <c r="BK9" s="200"/>
    </row>
    <row r="10" spans="1:63" s="201" customFormat="1" ht="15" customHeight="1" x14ac:dyDescent="0.25">
      <c r="BK10" s="200"/>
    </row>
    <row r="11" spans="1:63" s="201" customFormat="1" ht="15" customHeight="1" x14ac:dyDescent="0.25">
      <c r="BK11" s="200"/>
    </row>
    <row r="12" spans="1:63" s="201" customFormat="1" ht="15" customHeight="1" x14ac:dyDescent="0.25">
      <c r="BK12" s="200"/>
    </row>
    <row r="13" spans="1:63" s="201" customFormat="1" ht="15" customHeight="1" x14ac:dyDescent="0.25">
      <c r="BK13" s="200"/>
    </row>
    <row r="14" spans="1:63" s="201" customFormat="1" ht="15" customHeight="1" x14ac:dyDescent="0.25">
      <c r="BK14" s="200"/>
    </row>
    <row r="15" spans="1:63" s="201" customFormat="1" ht="15" customHeight="1" x14ac:dyDescent="0.25">
      <c r="BK15" s="200"/>
    </row>
    <row r="16" spans="1:63" s="201" customFormat="1" ht="15" customHeight="1" x14ac:dyDescent="0.25">
      <c r="BK16" s="200"/>
    </row>
    <row r="17" spans="63:63" s="201" customFormat="1" ht="15" customHeight="1" x14ac:dyDescent="0.25">
      <c r="BK17" s="200"/>
    </row>
    <row r="18" spans="63:63" s="201" customFormat="1" ht="15" customHeight="1" x14ac:dyDescent="0.25">
      <c r="BK18" s="200"/>
    </row>
    <row r="19" spans="63:63" s="201" customFormat="1" ht="15" customHeight="1" x14ac:dyDescent="0.25">
      <c r="BK19" s="200"/>
    </row>
    <row r="20" spans="63:63" s="201" customFormat="1" ht="15" customHeight="1" x14ac:dyDescent="0.25">
      <c r="BK20" s="200"/>
    </row>
    <row r="21" spans="63:63" s="201" customFormat="1" ht="15" customHeight="1" x14ac:dyDescent="0.25">
      <c r="BK21" s="200"/>
    </row>
    <row r="22" spans="63:63" s="201" customFormat="1" ht="15" customHeight="1" x14ac:dyDescent="0.25">
      <c r="BK22" s="200"/>
    </row>
    <row r="23" spans="63:63" s="201" customFormat="1" ht="15" customHeight="1" x14ac:dyDescent="0.25">
      <c r="BK23" s="200"/>
    </row>
    <row r="24" spans="63:63" s="201" customFormat="1" ht="15" customHeight="1" x14ac:dyDescent="0.25">
      <c r="BK24" s="200"/>
    </row>
    <row r="25" spans="63:63" s="201" customFormat="1" ht="15" customHeight="1" x14ac:dyDescent="0.25">
      <c r="BK25" s="200"/>
    </row>
    <row r="26" spans="63:63" s="201" customFormat="1" ht="15" customHeight="1" x14ac:dyDescent="0.25">
      <c r="BK26" s="200"/>
    </row>
    <row r="27" spans="63:63" s="201" customFormat="1" ht="15" customHeight="1" x14ac:dyDescent="0.25">
      <c r="BK27" s="200"/>
    </row>
    <row r="28" spans="63:63" s="201" customFormat="1" ht="15" customHeight="1" x14ac:dyDescent="0.25">
      <c r="BK28" s="200"/>
    </row>
    <row r="29" spans="63:63" s="201" customFormat="1" ht="15" customHeight="1" x14ac:dyDescent="0.25">
      <c r="BK29" s="200"/>
    </row>
    <row r="30" spans="63:63" s="201" customFormat="1" ht="15" customHeight="1" x14ac:dyDescent="0.25">
      <c r="BK30" s="200"/>
    </row>
    <row r="31" spans="63:63" s="201" customFormat="1" ht="15" customHeight="1" x14ac:dyDescent="0.25">
      <c r="BK31" s="200"/>
    </row>
    <row r="32" spans="63:63" s="201" customFormat="1" ht="15" customHeight="1" x14ac:dyDescent="0.25">
      <c r="BK32" s="200"/>
    </row>
    <row r="33" spans="63:63" s="201" customFormat="1" ht="15" customHeight="1" x14ac:dyDescent="0.25">
      <c r="BK33" s="200"/>
    </row>
    <row r="34" spans="63:63" s="201" customFormat="1" ht="15" customHeight="1" x14ac:dyDescent="0.25">
      <c r="BK34" s="200"/>
    </row>
    <row r="35" spans="63:63" s="201" customFormat="1" ht="15" customHeight="1" x14ac:dyDescent="0.25">
      <c r="BK35" s="200"/>
    </row>
    <row r="36" spans="63:63" s="201" customFormat="1" ht="15" customHeight="1" x14ac:dyDescent="0.25">
      <c r="BK36" s="200"/>
    </row>
    <row r="37" spans="63:63" s="201" customFormat="1" ht="15" customHeight="1" x14ac:dyDescent="0.25">
      <c r="BK37" s="200"/>
    </row>
    <row r="38" spans="63:63" s="201" customFormat="1" ht="15" customHeight="1" x14ac:dyDescent="0.25">
      <c r="BK38" s="200"/>
    </row>
    <row r="39" spans="63:63" s="201" customFormat="1" ht="15" customHeight="1" x14ac:dyDescent="0.25">
      <c r="BK39" s="200"/>
    </row>
    <row r="40" spans="63:63" s="201" customFormat="1" ht="15" customHeight="1" x14ac:dyDescent="0.25">
      <c r="BK40" s="200"/>
    </row>
    <row r="41" spans="63:63" s="201" customFormat="1" ht="15" customHeight="1" x14ac:dyDescent="0.25">
      <c r="BK41" s="200"/>
    </row>
    <row r="42" spans="63:63" s="201" customFormat="1" ht="15" customHeight="1" x14ac:dyDescent="0.25">
      <c r="BK42" s="200"/>
    </row>
    <row r="43" spans="63:63" s="201" customFormat="1" ht="15" customHeight="1" x14ac:dyDescent="0.25">
      <c r="BK43" s="200"/>
    </row>
    <row r="44" spans="63:63" s="201" customFormat="1" ht="15" customHeight="1" x14ac:dyDescent="0.25">
      <c r="BK44" s="200"/>
    </row>
    <row r="45" spans="63:63" s="201" customFormat="1" ht="15" customHeight="1" x14ac:dyDescent="0.25">
      <c r="BK45" s="200"/>
    </row>
    <row r="46" spans="63:63" s="201" customFormat="1" ht="15" customHeight="1" x14ac:dyDescent="0.25">
      <c r="BK46" s="200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2" t="s">
        <v>71</v>
      </c>
      <c r="B1" s="184"/>
      <c r="C1" s="184"/>
      <c r="D1" s="184"/>
      <c r="E1" s="184"/>
      <c r="F1" s="184"/>
      <c r="G1" s="184"/>
      <c r="H1" s="184"/>
      <c r="I1" s="184"/>
      <c r="J1" s="185"/>
      <c r="K1" s="183" t="s">
        <v>53</v>
      </c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5"/>
      <c r="W1" s="186" t="str">
        <f>IF(表紙!W1="","",表紙!W1)</f>
        <v>詳細設計書</v>
      </c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8"/>
      <c r="AP1" s="109" t="s">
        <v>55</v>
      </c>
      <c r="AQ1" s="110"/>
      <c r="AR1" s="110"/>
      <c r="AS1" s="111"/>
      <c r="AT1" s="109" t="s">
        <v>56</v>
      </c>
      <c r="AU1" s="110"/>
      <c r="AV1" s="110"/>
      <c r="AW1" s="110"/>
      <c r="AX1" s="111"/>
      <c r="AY1" s="109" t="s">
        <v>57</v>
      </c>
      <c r="AZ1" s="110"/>
      <c r="BA1" s="110"/>
      <c r="BB1" s="111"/>
      <c r="BC1" s="109" t="s">
        <v>58</v>
      </c>
      <c r="BD1" s="110"/>
      <c r="BE1" s="110"/>
      <c r="BF1" s="110"/>
      <c r="BG1" s="111"/>
      <c r="BH1" s="109" t="s">
        <v>59</v>
      </c>
      <c r="BI1" s="110"/>
      <c r="BJ1" s="110"/>
      <c r="BK1" s="111"/>
    </row>
    <row r="2" spans="1:63" ht="15" customHeight="1" x14ac:dyDescent="0.25">
      <c r="A2" s="63" t="str">
        <f>IF(表紙!A2="","",表紙!A2)</f>
        <v>POSサーバー</v>
      </c>
      <c r="B2" s="64"/>
      <c r="C2" s="64"/>
      <c r="D2" s="64"/>
      <c r="E2" s="64"/>
      <c r="F2" s="64"/>
      <c r="G2" s="64"/>
      <c r="H2" s="64"/>
      <c r="I2" s="64"/>
      <c r="J2" s="65"/>
      <c r="K2" s="63" t="str">
        <f>IF(表紙!K2="","",表紙!K2)</f>
        <v>POSサーバ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189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1"/>
      <c r="AP2" s="118" t="str">
        <f>IF(表紙!AP2="","",表紙!AP2)</f>
        <v>DuNT</v>
      </c>
      <c r="AQ2" s="116"/>
      <c r="AR2" s="116"/>
      <c r="AS2" s="117"/>
      <c r="AT2" s="122">
        <f>IF(表紙!AT2="","",表紙!AT2)</f>
        <v>45559</v>
      </c>
      <c r="AU2" s="123"/>
      <c r="AV2" s="123"/>
      <c r="AW2" s="123"/>
      <c r="AX2" s="124"/>
      <c r="AY2" s="118" t="str">
        <f>IF(表紙!AY2="","",表紙!AY2)</f>
        <v>DuNT</v>
      </c>
      <c r="AZ2" s="116"/>
      <c r="BA2" s="116"/>
      <c r="BB2" s="117"/>
      <c r="BC2" s="122">
        <f>IF(表紙!BC2="","",表紙!BC2)</f>
        <v>45624</v>
      </c>
      <c r="BD2" s="123"/>
      <c r="BE2" s="123"/>
      <c r="BF2" s="123"/>
      <c r="BG2" s="124"/>
      <c r="BH2" s="118">
        <f>IF(表紙!BH2="","",表紙!BH2)</f>
        <v>0.11</v>
      </c>
      <c r="BI2" s="116"/>
      <c r="BJ2" s="116"/>
      <c r="BK2" s="117"/>
    </row>
    <row r="3" spans="1:63" ht="15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8"/>
      <c r="K3" s="66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192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4"/>
      <c r="AP3" s="128"/>
      <c r="AQ3" s="129"/>
      <c r="AR3" s="129"/>
      <c r="AS3" s="130"/>
      <c r="AT3" s="134"/>
      <c r="AU3" s="135"/>
      <c r="AV3" s="135"/>
      <c r="AW3" s="135"/>
      <c r="AX3" s="136"/>
      <c r="AY3" s="128"/>
      <c r="AZ3" s="129"/>
      <c r="BA3" s="129"/>
      <c r="BB3" s="130"/>
      <c r="BC3" s="134"/>
      <c r="BD3" s="135"/>
      <c r="BE3" s="135"/>
      <c r="BF3" s="135"/>
      <c r="BG3" s="136"/>
      <c r="BH3" s="128"/>
      <c r="BI3" s="129"/>
      <c r="BJ3" s="129"/>
      <c r="BK3" s="130"/>
    </row>
    <row r="4" spans="1:63" ht="24.95" customHeight="1" x14ac:dyDescent="0.25">
      <c r="A4" s="183" t="s">
        <v>61</v>
      </c>
      <c r="B4" s="184"/>
      <c r="C4" s="184"/>
      <c r="D4" s="184"/>
      <c r="E4" s="184"/>
      <c r="F4" s="184"/>
      <c r="G4" s="185"/>
      <c r="H4" s="59" t="str">
        <f>IF(表紙!H4="","",表紙!H4)</f>
        <v>AP0602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83" t="s">
        <v>62</v>
      </c>
      <c r="V4" s="184"/>
      <c r="W4" s="184"/>
      <c r="X4" s="184"/>
      <c r="Y4" s="185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AP0602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7" customFormat="1" ht="15" customHeight="1" x14ac:dyDescent="0.25">
      <c r="A7" s="12"/>
      <c r="B7" s="13" t="s">
        <v>72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203"/>
      <c r="AQ7" s="203"/>
      <c r="AR7" s="203"/>
      <c r="AS7" s="203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5"/>
      <c r="BI7" s="15"/>
      <c r="BJ7" s="15"/>
      <c r="BK7" s="16"/>
    </row>
    <row r="8" spans="1:63" s="17" customFormat="1" ht="15" customHeight="1" x14ac:dyDescent="0.25">
      <c r="A8" s="12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204"/>
      <c r="AQ8" s="204"/>
      <c r="AR8" s="204"/>
      <c r="AS8" s="204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20"/>
      <c r="BI8" s="20"/>
      <c r="BJ8" s="20"/>
      <c r="BK8" s="16"/>
    </row>
    <row r="9" spans="1:63" s="17" customFormat="1" ht="15" customHeight="1" x14ac:dyDescent="0.25">
      <c r="A9" s="12"/>
      <c r="B9" s="18"/>
      <c r="C9" s="19" t="s">
        <v>31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204"/>
      <c r="AQ9" s="204"/>
      <c r="AR9" s="204"/>
      <c r="AS9" s="204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20"/>
      <c r="BI9" s="20"/>
      <c r="BJ9" s="20"/>
      <c r="BK9" s="16"/>
    </row>
    <row r="10" spans="1:63" s="17" customFormat="1" ht="15" customHeight="1" x14ac:dyDescent="0.25">
      <c r="A10" s="12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20"/>
      <c r="BI10" s="20"/>
      <c r="BJ10" s="20"/>
      <c r="BK10" s="16"/>
    </row>
    <row r="11" spans="1:63" s="17" customFormat="1" ht="15" customHeight="1" x14ac:dyDescent="0.25">
      <c r="A11" s="12"/>
      <c r="B11" s="21" t="s">
        <v>73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5"/>
      <c r="BI11" s="15"/>
      <c r="BJ11" s="15"/>
      <c r="BK11" s="16"/>
    </row>
    <row r="12" spans="1:63" s="17" customFormat="1" ht="15" customHeight="1" x14ac:dyDescent="0.25">
      <c r="A12" s="12"/>
      <c r="B12" s="19"/>
      <c r="C12" s="2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20"/>
      <c r="BI12" s="20"/>
      <c r="BJ12" s="20"/>
      <c r="BK12" s="16"/>
    </row>
    <row r="13" spans="1:63" s="17" customFormat="1" ht="15" customHeight="1" x14ac:dyDescent="0.25">
      <c r="A13" s="12"/>
      <c r="B13" s="19"/>
      <c r="C13" s="22" t="s">
        <v>74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20"/>
      <c r="BI13" s="20"/>
      <c r="BJ13" s="20"/>
      <c r="BK13" s="16"/>
    </row>
    <row r="14" spans="1:63" s="17" customFormat="1" ht="15" customHeight="1" x14ac:dyDescent="0.25">
      <c r="A14" s="12"/>
      <c r="B14" s="19"/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20"/>
      <c r="BI14" s="20"/>
      <c r="BJ14" s="20"/>
      <c r="BK14" s="16"/>
    </row>
    <row r="15" spans="1:63" s="17" customFormat="1" ht="15" customHeight="1" x14ac:dyDescent="0.25">
      <c r="A15" s="12"/>
      <c r="B15" s="19"/>
      <c r="C15" s="69" t="s">
        <v>12</v>
      </c>
      <c r="D15" s="70"/>
      <c r="E15" s="69" t="s">
        <v>13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0"/>
      <c r="AG15" s="69" t="s">
        <v>14</v>
      </c>
      <c r="AH15" s="74"/>
      <c r="AI15" s="74"/>
      <c r="AJ15" s="74"/>
      <c r="AK15" s="74"/>
      <c r="AL15" s="74"/>
      <c r="AM15" s="74"/>
      <c r="AN15" s="74"/>
      <c r="AO15" s="74"/>
      <c r="AP15" s="70"/>
      <c r="AQ15" s="69" t="s">
        <v>15</v>
      </c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0"/>
      <c r="BK15" s="16"/>
    </row>
    <row r="16" spans="1:63" s="17" customFormat="1" ht="15" customHeight="1" x14ac:dyDescent="0.25">
      <c r="A16" s="12"/>
      <c r="B16" s="19"/>
      <c r="C16" s="71">
        <v>1</v>
      </c>
      <c r="D16" s="73"/>
      <c r="E16" s="205" t="s">
        <v>41</v>
      </c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7"/>
      <c r="AG16" s="71" t="s">
        <v>32</v>
      </c>
      <c r="AH16" s="72"/>
      <c r="AI16" s="72"/>
      <c r="AJ16" s="72"/>
      <c r="AK16" s="72"/>
      <c r="AL16" s="72"/>
      <c r="AM16" s="72"/>
      <c r="AN16" s="72"/>
      <c r="AO16" s="72"/>
      <c r="AP16" s="73"/>
      <c r="AQ16" s="87" t="s">
        <v>6</v>
      </c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9"/>
      <c r="BK16" s="16"/>
    </row>
    <row r="17" spans="1:63" s="17" customFormat="1" ht="15" customHeight="1" x14ac:dyDescent="0.25">
      <c r="A17" s="12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20"/>
      <c r="BI17" s="20"/>
      <c r="BJ17" s="20"/>
      <c r="BK17" s="16"/>
    </row>
    <row r="18" spans="1:63" s="17" customFormat="1" ht="15" customHeight="1" x14ac:dyDescent="0.25">
      <c r="A18" s="12"/>
      <c r="B18" s="19"/>
      <c r="C18" s="22" t="s">
        <v>75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20"/>
      <c r="BI18" s="20"/>
      <c r="BJ18" s="20"/>
      <c r="BK18" s="16"/>
    </row>
    <row r="19" spans="1:63" s="17" customFormat="1" ht="15" customHeight="1" x14ac:dyDescent="0.25">
      <c r="A19" s="12"/>
      <c r="B19" s="19"/>
      <c r="C19" s="22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20"/>
      <c r="BI19" s="20"/>
      <c r="BJ19" s="20"/>
      <c r="BK19" s="16"/>
    </row>
    <row r="20" spans="1:63" s="17" customFormat="1" ht="15" customHeight="1" x14ac:dyDescent="0.25">
      <c r="A20" s="12"/>
      <c r="B20" s="19"/>
      <c r="C20" s="75" t="s">
        <v>76</v>
      </c>
      <c r="D20" s="77"/>
      <c r="E20" s="75" t="s">
        <v>77</v>
      </c>
      <c r="F20" s="76"/>
      <c r="G20" s="76"/>
      <c r="H20" s="76"/>
      <c r="I20" s="76"/>
      <c r="J20" s="76"/>
      <c r="K20" s="77"/>
      <c r="L20" s="69" t="s">
        <v>16</v>
      </c>
      <c r="M20" s="74"/>
      <c r="N20" s="70"/>
      <c r="O20" s="69" t="s">
        <v>17</v>
      </c>
      <c r="P20" s="74"/>
      <c r="Q20" s="74"/>
      <c r="R20" s="70"/>
      <c r="S20" s="69" t="s">
        <v>18</v>
      </c>
      <c r="T20" s="74"/>
      <c r="U20" s="74"/>
      <c r="V20" s="74"/>
      <c r="W20" s="74"/>
      <c r="X20" s="74"/>
      <c r="Y20" s="70"/>
      <c r="Z20" s="75" t="s">
        <v>78</v>
      </c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69" t="s">
        <v>15</v>
      </c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0"/>
      <c r="BK20" s="16"/>
    </row>
    <row r="21" spans="1:63" s="17" customFormat="1" ht="15" customHeight="1" x14ac:dyDescent="0.25">
      <c r="A21" s="12"/>
      <c r="B21" s="19"/>
      <c r="C21" s="78">
        <v>1</v>
      </c>
      <c r="D21" s="80"/>
      <c r="E21" s="208" t="s">
        <v>3</v>
      </c>
      <c r="F21" s="209"/>
      <c r="G21" s="209"/>
      <c r="H21" s="209"/>
      <c r="I21" s="209"/>
      <c r="J21" s="209"/>
      <c r="K21" s="210"/>
      <c r="L21" s="101" t="s">
        <v>4</v>
      </c>
      <c r="M21" s="102"/>
      <c r="N21" s="103"/>
      <c r="O21" s="78" t="s">
        <v>5</v>
      </c>
      <c r="P21" s="79"/>
      <c r="Q21" s="79"/>
      <c r="R21" s="80"/>
      <c r="S21" s="78" t="s">
        <v>6</v>
      </c>
      <c r="T21" s="79"/>
      <c r="U21" s="79"/>
      <c r="V21" s="79"/>
      <c r="W21" s="79"/>
      <c r="X21" s="79"/>
      <c r="Y21" s="80"/>
      <c r="Z21" s="208" t="s">
        <v>7</v>
      </c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10"/>
      <c r="AQ21" s="211" t="s">
        <v>79</v>
      </c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3"/>
      <c r="BK21" s="16"/>
    </row>
    <row r="22" spans="1:63" s="17" customFormat="1" ht="15" customHeight="1" x14ac:dyDescent="0.25">
      <c r="A22" s="12"/>
      <c r="B22" s="19"/>
      <c r="C22" s="81"/>
      <c r="D22" s="83"/>
      <c r="E22" s="214"/>
      <c r="F22" s="215"/>
      <c r="G22" s="215"/>
      <c r="H22" s="215"/>
      <c r="I22" s="215"/>
      <c r="J22" s="215"/>
      <c r="K22" s="216"/>
      <c r="L22" s="104"/>
      <c r="M22" s="105"/>
      <c r="N22" s="106"/>
      <c r="O22" s="81"/>
      <c r="P22" s="82"/>
      <c r="Q22" s="82"/>
      <c r="R22" s="83"/>
      <c r="S22" s="81"/>
      <c r="T22" s="82"/>
      <c r="U22" s="82"/>
      <c r="V22" s="82"/>
      <c r="W22" s="82"/>
      <c r="X22" s="82"/>
      <c r="Y22" s="83"/>
      <c r="Z22" s="214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6"/>
      <c r="AQ22" s="217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9"/>
      <c r="BK22" s="16"/>
    </row>
    <row r="23" spans="1:63" s="17" customFormat="1" ht="15" customHeight="1" x14ac:dyDescent="0.25">
      <c r="A23" s="12"/>
      <c r="B23" s="19"/>
      <c r="C23" s="71">
        <v>2</v>
      </c>
      <c r="D23" s="73"/>
      <c r="E23" s="220" t="s">
        <v>8</v>
      </c>
      <c r="F23" s="221"/>
      <c r="G23" s="221"/>
      <c r="H23" s="221"/>
      <c r="I23" s="221"/>
      <c r="J23" s="221"/>
      <c r="K23" s="222"/>
      <c r="L23" s="90" t="s">
        <v>6</v>
      </c>
      <c r="M23" s="91"/>
      <c r="N23" s="92"/>
      <c r="O23" s="71" t="s">
        <v>5</v>
      </c>
      <c r="P23" s="72"/>
      <c r="Q23" s="72"/>
      <c r="R23" s="73"/>
      <c r="S23" s="71" t="s">
        <v>6</v>
      </c>
      <c r="T23" s="72"/>
      <c r="U23" s="72"/>
      <c r="V23" s="72"/>
      <c r="W23" s="72"/>
      <c r="X23" s="72"/>
      <c r="Y23" s="73"/>
      <c r="Z23" s="220" t="s">
        <v>8</v>
      </c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2"/>
      <c r="AQ23" s="223"/>
      <c r="AR23" s="224"/>
      <c r="AS23" s="224"/>
      <c r="AT23" s="224"/>
      <c r="AU23" s="224"/>
      <c r="AV23" s="224"/>
      <c r="AW23" s="224"/>
      <c r="AX23" s="224"/>
      <c r="AY23" s="224"/>
      <c r="AZ23" s="224"/>
      <c r="BA23" s="224"/>
      <c r="BB23" s="224"/>
      <c r="BC23" s="224"/>
      <c r="BD23" s="224"/>
      <c r="BE23" s="224"/>
      <c r="BF23" s="224"/>
      <c r="BG23" s="224"/>
      <c r="BH23" s="224"/>
      <c r="BI23" s="224"/>
      <c r="BJ23" s="225"/>
      <c r="BK23" s="16"/>
    </row>
    <row r="24" spans="1:63" s="17" customFormat="1" ht="15" customHeight="1" x14ac:dyDescent="0.25">
      <c r="A24" s="12"/>
      <c r="B24" s="19"/>
      <c r="C24" s="71">
        <v>3</v>
      </c>
      <c r="D24" s="73"/>
      <c r="E24" s="220" t="s">
        <v>9</v>
      </c>
      <c r="F24" s="221"/>
      <c r="G24" s="221"/>
      <c r="H24" s="221"/>
      <c r="I24" s="221"/>
      <c r="J24" s="221"/>
      <c r="K24" s="222"/>
      <c r="L24" s="95" t="s">
        <v>4</v>
      </c>
      <c r="M24" s="91"/>
      <c r="N24" s="92"/>
      <c r="O24" s="71" t="s">
        <v>5</v>
      </c>
      <c r="P24" s="72"/>
      <c r="Q24" s="72"/>
      <c r="R24" s="73"/>
      <c r="S24" s="96" t="s">
        <v>25</v>
      </c>
      <c r="T24" s="72"/>
      <c r="U24" s="72"/>
      <c r="V24" s="72"/>
      <c r="W24" s="72"/>
      <c r="X24" s="72"/>
      <c r="Y24" s="73"/>
      <c r="Z24" s="220" t="s">
        <v>9</v>
      </c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221"/>
      <c r="AP24" s="222"/>
      <c r="AQ24" s="223"/>
      <c r="AR24" s="224"/>
      <c r="AS24" s="224"/>
      <c r="AT24" s="224"/>
      <c r="AU24" s="224"/>
      <c r="AV24" s="224"/>
      <c r="AW24" s="224"/>
      <c r="AX24" s="224"/>
      <c r="AY24" s="224"/>
      <c r="AZ24" s="224"/>
      <c r="BA24" s="224"/>
      <c r="BB24" s="224"/>
      <c r="BC24" s="224"/>
      <c r="BD24" s="224"/>
      <c r="BE24" s="224"/>
      <c r="BF24" s="224"/>
      <c r="BG24" s="224"/>
      <c r="BH24" s="224"/>
      <c r="BI24" s="224"/>
      <c r="BJ24" s="225"/>
      <c r="BK24" s="16"/>
    </row>
    <row r="25" spans="1:63" s="17" customFormat="1" ht="15" customHeight="1" x14ac:dyDescent="0.25">
      <c r="A25" s="12"/>
      <c r="B25" s="19"/>
      <c r="C25" s="71">
        <v>4</v>
      </c>
      <c r="D25" s="73"/>
      <c r="E25" s="220" t="s">
        <v>10</v>
      </c>
      <c r="F25" s="221"/>
      <c r="G25" s="221"/>
      <c r="H25" s="221"/>
      <c r="I25" s="221"/>
      <c r="J25" s="221"/>
      <c r="K25" s="222"/>
      <c r="L25" s="90" t="s">
        <v>6</v>
      </c>
      <c r="M25" s="91"/>
      <c r="N25" s="92"/>
      <c r="O25" s="71" t="s">
        <v>5</v>
      </c>
      <c r="P25" s="72"/>
      <c r="Q25" s="72"/>
      <c r="R25" s="73"/>
      <c r="S25" s="71" t="s">
        <v>6</v>
      </c>
      <c r="T25" s="72"/>
      <c r="U25" s="72"/>
      <c r="V25" s="72"/>
      <c r="W25" s="72"/>
      <c r="X25" s="72"/>
      <c r="Y25" s="73"/>
      <c r="Z25" s="220" t="s">
        <v>10</v>
      </c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2"/>
      <c r="AQ25" s="223"/>
      <c r="AR25" s="224"/>
      <c r="AS25" s="224"/>
      <c r="AT25" s="224"/>
      <c r="AU25" s="224"/>
      <c r="AV25" s="224"/>
      <c r="AW25" s="224"/>
      <c r="AX25" s="224"/>
      <c r="AY25" s="224"/>
      <c r="AZ25" s="224"/>
      <c r="BA25" s="224"/>
      <c r="BB25" s="224"/>
      <c r="BC25" s="224"/>
      <c r="BD25" s="224"/>
      <c r="BE25" s="224"/>
      <c r="BF25" s="224"/>
      <c r="BG25" s="224"/>
      <c r="BH25" s="224"/>
      <c r="BI25" s="224"/>
      <c r="BJ25" s="225"/>
      <c r="BK25" s="16"/>
    </row>
    <row r="26" spans="1:63" s="17" customFormat="1" ht="15" customHeight="1" x14ac:dyDescent="0.25">
      <c r="A26" s="12"/>
      <c r="B26" s="19"/>
      <c r="C26" s="71">
        <v>5</v>
      </c>
      <c r="D26" s="73"/>
      <c r="E26" s="220" t="s">
        <v>11</v>
      </c>
      <c r="F26" s="221"/>
      <c r="G26" s="221"/>
      <c r="H26" s="221"/>
      <c r="I26" s="221"/>
      <c r="J26" s="221"/>
      <c r="K26" s="222"/>
      <c r="L26" s="90" t="s">
        <v>6</v>
      </c>
      <c r="M26" s="91"/>
      <c r="N26" s="92"/>
      <c r="O26" s="71" t="s">
        <v>5</v>
      </c>
      <c r="P26" s="72"/>
      <c r="Q26" s="72"/>
      <c r="R26" s="73"/>
      <c r="S26" s="71" t="s">
        <v>6</v>
      </c>
      <c r="T26" s="72"/>
      <c r="U26" s="72"/>
      <c r="V26" s="72"/>
      <c r="W26" s="72"/>
      <c r="X26" s="72"/>
      <c r="Y26" s="73"/>
      <c r="Z26" s="220" t="s">
        <v>11</v>
      </c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  <c r="AN26" s="221"/>
      <c r="AO26" s="221"/>
      <c r="AP26" s="222"/>
      <c r="AQ26" s="223"/>
      <c r="AR26" s="224"/>
      <c r="AS26" s="224"/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4"/>
      <c r="BH26" s="224"/>
      <c r="BI26" s="224"/>
      <c r="BJ26" s="225"/>
      <c r="BK26" s="16"/>
    </row>
    <row r="27" spans="1:63" s="17" customFormat="1" ht="15" customHeight="1" x14ac:dyDescent="0.25">
      <c r="A27" s="12"/>
      <c r="B27" s="19"/>
      <c r="C27" s="19"/>
      <c r="D27" s="19"/>
      <c r="E27" s="204"/>
      <c r="F27" s="204"/>
      <c r="G27" s="204"/>
      <c r="H27" s="204"/>
      <c r="I27" s="19"/>
      <c r="J27" s="19"/>
      <c r="K27" s="19"/>
      <c r="L27" s="28"/>
      <c r="M27" s="204"/>
      <c r="N27" s="204"/>
      <c r="O27" s="204"/>
      <c r="P27" s="204"/>
      <c r="Q27" s="19"/>
      <c r="R27" s="19"/>
      <c r="S27" s="19"/>
      <c r="T27" s="19"/>
      <c r="U27" s="19"/>
      <c r="V27" s="19"/>
      <c r="W27" s="19"/>
      <c r="X27" s="19"/>
      <c r="Y27" s="19"/>
      <c r="Z27" s="26"/>
      <c r="AA27" s="19"/>
      <c r="AB27" s="19"/>
      <c r="AC27" s="19"/>
      <c r="AD27" s="19"/>
      <c r="AE27" s="19"/>
      <c r="AF27" s="19"/>
      <c r="AG27" s="204"/>
      <c r="AH27" s="204"/>
      <c r="AI27" s="204"/>
      <c r="AJ27" s="204"/>
      <c r="AK27" s="204"/>
      <c r="AL27" s="204"/>
      <c r="AM27" s="204"/>
      <c r="AN27" s="204"/>
      <c r="AO27" s="204"/>
      <c r="AP27" s="19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0"/>
      <c r="BI27" s="20"/>
      <c r="BJ27" s="20"/>
      <c r="BK27" s="16"/>
    </row>
    <row r="28" spans="1:63" s="17" customFormat="1" ht="15" customHeight="1" x14ac:dyDescent="0.25">
      <c r="A28" s="12"/>
      <c r="B28" s="19"/>
      <c r="C28" s="22" t="s">
        <v>80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20"/>
      <c r="BI28" s="20"/>
      <c r="BJ28" s="20"/>
      <c r="BK28" s="16"/>
    </row>
    <row r="29" spans="1:63" s="17" customFormat="1" ht="15" customHeight="1" x14ac:dyDescent="0.25">
      <c r="A29" s="12"/>
      <c r="B29" s="19"/>
      <c r="C29" s="18"/>
      <c r="D29" s="19" t="s">
        <v>27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20"/>
      <c r="BI29" s="20"/>
      <c r="BJ29" s="20"/>
      <c r="BK29" s="16"/>
    </row>
    <row r="30" spans="1:63" s="17" customFormat="1" ht="15" customHeight="1" x14ac:dyDescent="0.25">
      <c r="A30" s="12"/>
      <c r="B30" s="19"/>
      <c r="C30" s="19"/>
      <c r="D30" s="19"/>
      <c r="E30" s="204"/>
      <c r="F30" s="204"/>
      <c r="G30" s="204"/>
      <c r="H30" s="204"/>
      <c r="I30" s="204"/>
      <c r="J30" s="204"/>
      <c r="K30" s="204"/>
      <c r="L30" s="41"/>
      <c r="M30" s="41"/>
      <c r="N30" s="41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204"/>
      <c r="AA30" s="204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4"/>
      <c r="AM30" s="204"/>
      <c r="AN30" s="204"/>
      <c r="AO30" s="204"/>
      <c r="AP30" s="204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16"/>
    </row>
    <row r="31" spans="1:63" s="17" customFormat="1" ht="15" customHeight="1" x14ac:dyDescent="0.25">
      <c r="A31" s="12"/>
      <c r="B31" s="19"/>
      <c r="C31" s="22" t="s">
        <v>81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20"/>
      <c r="BI31" s="20"/>
      <c r="BJ31" s="20"/>
      <c r="BK31" s="16"/>
    </row>
    <row r="32" spans="1:63" s="17" customFormat="1" ht="15" customHeight="1" x14ac:dyDescent="0.25">
      <c r="A32" s="12"/>
      <c r="B32" s="19"/>
      <c r="C32" s="1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20"/>
      <c r="BI32" s="20"/>
      <c r="BJ32" s="20"/>
      <c r="BK32" s="16"/>
    </row>
    <row r="33" spans="1:63" s="17" customFormat="1" ht="15" customHeight="1" x14ac:dyDescent="0.25">
      <c r="A33" s="12"/>
      <c r="B33" s="19"/>
      <c r="C33" s="93" t="s">
        <v>12</v>
      </c>
      <c r="D33" s="94"/>
      <c r="E33" s="75" t="s">
        <v>82</v>
      </c>
      <c r="F33" s="226"/>
      <c r="G33" s="226"/>
      <c r="H33" s="226"/>
      <c r="I33" s="226"/>
      <c r="J33" s="226"/>
      <c r="K33" s="227"/>
      <c r="L33" s="69" t="s">
        <v>16</v>
      </c>
      <c r="M33" s="74"/>
      <c r="N33" s="70"/>
      <c r="O33" s="69" t="s">
        <v>17</v>
      </c>
      <c r="P33" s="74"/>
      <c r="Q33" s="74"/>
      <c r="R33" s="70"/>
      <c r="S33" s="69" t="s">
        <v>18</v>
      </c>
      <c r="T33" s="74"/>
      <c r="U33" s="74"/>
      <c r="V33" s="74"/>
      <c r="W33" s="74"/>
      <c r="X33" s="74"/>
      <c r="Y33" s="70"/>
      <c r="Z33" s="75" t="s">
        <v>78</v>
      </c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84" t="s">
        <v>15</v>
      </c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6"/>
      <c r="BK33" s="16"/>
    </row>
    <row r="34" spans="1:63" s="17" customFormat="1" x14ac:dyDescent="0.25">
      <c r="A34" s="12"/>
      <c r="B34" s="19"/>
      <c r="C34" s="71">
        <v>1</v>
      </c>
      <c r="D34" s="73"/>
      <c r="E34" s="220" t="s">
        <v>50</v>
      </c>
      <c r="F34" s="221"/>
      <c r="G34" s="221"/>
      <c r="H34" s="221"/>
      <c r="I34" s="221"/>
      <c r="J34" s="221"/>
      <c r="K34" s="222"/>
      <c r="L34" s="90" t="s">
        <v>4</v>
      </c>
      <c r="M34" s="91"/>
      <c r="N34" s="92"/>
      <c r="O34" s="71" t="s">
        <v>19</v>
      </c>
      <c r="P34" s="72"/>
      <c r="Q34" s="72"/>
      <c r="R34" s="73"/>
      <c r="S34" s="71" t="s">
        <v>6</v>
      </c>
      <c r="T34" s="72"/>
      <c r="U34" s="72"/>
      <c r="V34" s="72"/>
      <c r="W34" s="72"/>
      <c r="X34" s="72"/>
      <c r="Y34" s="73"/>
      <c r="Z34" s="220" t="s">
        <v>33</v>
      </c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2"/>
      <c r="AQ34" s="223"/>
      <c r="AR34" s="221"/>
      <c r="AS34" s="221"/>
      <c r="AT34" s="221"/>
      <c r="AU34" s="221"/>
      <c r="AV34" s="221"/>
      <c r="AW34" s="221"/>
      <c r="AX34" s="221"/>
      <c r="AY34" s="221"/>
      <c r="AZ34" s="221"/>
      <c r="BA34" s="221"/>
      <c r="BB34" s="221"/>
      <c r="BC34" s="221"/>
      <c r="BD34" s="221"/>
      <c r="BE34" s="221"/>
      <c r="BF34" s="221"/>
      <c r="BG34" s="221"/>
      <c r="BH34" s="221"/>
      <c r="BI34" s="221"/>
      <c r="BJ34" s="222"/>
      <c r="BK34" s="16"/>
    </row>
    <row r="35" spans="1:63" s="17" customFormat="1" ht="32.25" customHeight="1" x14ac:dyDescent="0.25">
      <c r="A35" s="12"/>
      <c r="B35" s="19"/>
      <c r="C35" s="71">
        <f t="shared" ref="C35:C36" si="0">C34+1</f>
        <v>2</v>
      </c>
      <c r="D35" s="73"/>
      <c r="E35" s="228" t="s">
        <v>34</v>
      </c>
      <c r="F35" s="229"/>
      <c r="G35" s="229"/>
      <c r="H35" s="229"/>
      <c r="I35" s="229"/>
      <c r="J35" s="229"/>
      <c r="K35" s="230"/>
      <c r="L35" s="90" t="s">
        <v>6</v>
      </c>
      <c r="M35" s="91"/>
      <c r="N35" s="92"/>
      <c r="O35" s="71" t="s">
        <v>35</v>
      </c>
      <c r="P35" s="72"/>
      <c r="Q35" s="72"/>
      <c r="R35" s="73"/>
      <c r="S35" s="71" t="s">
        <v>6</v>
      </c>
      <c r="T35" s="72"/>
      <c r="U35" s="72"/>
      <c r="V35" s="72"/>
      <c r="W35" s="72"/>
      <c r="X35" s="72"/>
      <c r="Y35" s="73"/>
      <c r="Z35" s="220" t="s">
        <v>44</v>
      </c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2"/>
      <c r="AQ35" s="97" t="s">
        <v>83</v>
      </c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8"/>
      <c r="BK35" s="16"/>
    </row>
    <row r="36" spans="1:63" s="17" customFormat="1" ht="60.75" customHeight="1" x14ac:dyDescent="0.25">
      <c r="A36" s="12"/>
      <c r="B36" s="19"/>
      <c r="C36" s="71">
        <f t="shared" si="0"/>
        <v>3</v>
      </c>
      <c r="D36" s="73"/>
      <c r="E36" s="228" t="s">
        <v>36</v>
      </c>
      <c r="F36" s="229"/>
      <c r="G36" s="229"/>
      <c r="H36" s="229"/>
      <c r="I36" s="229"/>
      <c r="J36" s="229"/>
      <c r="K36" s="230"/>
      <c r="L36" s="90" t="s">
        <v>6</v>
      </c>
      <c r="M36" s="91"/>
      <c r="N36" s="92"/>
      <c r="O36" s="71" t="s">
        <v>42</v>
      </c>
      <c r="P36" s="72"/>
      <c r="Q36" s="72"/>
      <c r="R36" s="73"/>
      <c r="S36" s="71" t="s">
        <v>6</v>
      </c>
      <c r="T36" s="72"/>
      <c r="U36" s="72"/>
      <c r="V36" s="72"/>
      <c r="W36" s="72"/>
      <c r="X36" s="72"/>
      <c r="Y36" s="73"/>
      <c r="Z36" s="220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2"/>
      <c r="AQ36" s="97" t="s">
        <v>84</v>
      </c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9"/>
      <c r="BK36" s="16"/>
    </row>
    <row r="37" spans="1:63" s="17" customFormat="1" ht="72" customHeight="1" x14ac:dyDescent="0.25">
      <c r="A37" s="12"/>
      <c r="B37" s="19"/>
      <c r="C37" s="71">
        <f t="shared" ref="C37:C41" si="1">C36+1</f>
        <v>4</v>
      </c>
      <c r="D37" s="73"/>
      <c r="E37" s="228" t="s">
        <v>28</v>
      </c>
      <c r="F37" s="229"/>
      <c r="G37" s="229"/>
      <c r="H37" s="229"/>
      <c r="I37" s="229"/>
      <c r="J37" s="229"/>
      <c r="K37" s="230"/>
      <c r="L37" s="90" t="s">
        <v>4</v>
      </c>
      <c r="M37" s="91"/>
      <c r="N37" s="92"/>
      <c r="O37" s="71" t="s">
        <v>5</v>
      </c>
      <c r="P37" s="72"/>
      <c r="Q37" s="72"/>
      <c r="R37" s="73"/>
      <c r="S37" s="71" t="s">
        <v>6</v>
      </c>
      <c r="T37" s="72"/>
      <c r="U37" s="72"/>
      <c r="V37" s="72"/>
      <c r="W37" s="72"/>
      <c r="X37" s="72"/>
      <c r="Y37" s="73"/>
      <c r="Z37" s="220" t="s">
        <v>45</v>
      </c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2"/>
      <c r="AQ37" s="97" t="s">
        <v>85</v>
      </c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9"/>
      <c r="BK37" s="16"/>
    </row>
    <row r="38" spans="1:63" s="17" customFormat="1" ht="138.75" customHeight="1" x14ac:dyDescent="0.25">
      <c r="A38" s="12"/>
      <c r="B38" s="19"/>
      <c r="C38" s="71">
        <f t="shared" si="1"/>
        <v>5</v>
      </c>
      <c r="D38" s="73"/>
      <c r="E38" s="228" t="s">
        <v>29</v>
      </c>
      <c r="F38" s="229"/>
      <c r="G38" s="229"/>
      <c r="H38" s="229"/>
      <c r="I38" s="229"/>
      <c r="J38" s="229"/>
      <c r="K38" s="230"/>
      <c r="L38" s="90" t="s">
        <v>4</v>
      </c>
      <c r="M38" s="91"/>
      <c r="N38" s="92"/>
      <c r="O38" s="71" t="s">
        <v>5</v>
      </c>
      <c r="P38" s="72"/>
      <c r="Q38" s="72"/>
      <c r="R38" s="73"/>
      <c r="S38" s="71" t="s">
        <v>6</v>
      </c>
      <c r="T38" s="72"/>
      <c r="U38" s="72"/>
      <c r="V38" s="72"/>
      <c r="W38" s="72"/>
      <c r="X38" s="72"/>
      <c r="Y38" s="73"/>
      <c r="Z38" s="220" t="s">
        <v>46</v>
      </c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2"/>
      <c r="AQ38" s="98" t="s">
        <v>86</v>
      </c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100"/>
      <c r="BK38" s="16"/>
    </row>
    <row r="39" spans="1:63" s="17" customFormat="1" ht="15" customHeight="1" x14ac:dyDescent="0.25">
      <c r="A39" s="12"/>
      <c r="B39" s="19"/>
      <c r="C39" s="71">
        <f t="shared" si="1"/>
        <v>6</v>
      </c>
      <c r="D39" s="73"/>
      <c r="E39" s="228" t="s">
        <v>26</v>
      </c>
      <c r="F39" s="229"/>
      <c r="G39" s="229"/>
      <c r="H39" s="229"/>
      <c r="I39" s="229"/>
      <c r="J39" s="229"/>
      <c r="K39" s="230"/>
      <c r="L39" s="90" t="s">
        <v>4</v>
      </c>
      <c r="M39" s="91"/>
      <c r="N39" s="92"/>
      <c r="O39" s="71" t="s">
        <v>5</v>
      </c>
      <c r="P39" s="72"/>
      <c r="Q39" s="72"/>
      <c r="R39" s="73"/>
      <c r="S39" s="71" t="s">
        <v>6</v>
      </c>
      <c r="T39" s="72"/>
      <c r="U39" s="72"/>
      <c r="V39" s="72"/>
      <c r="W39" s="72"/>
      <c r="X39" s="72"/>
      <c r="Y39" s="73"/>
      <c r="Z39" s="220" t="s">
        <v>47</v>
      </c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2"/>
      <c r="AQ39" s="205" t="s">
        <v>87</v>
      </c>
      <c r="AR39" s="221"/>
      <c r="AS39" s="221"/>
      <c r="AT39" s="221"/>
      <c r="AU39" s="221"/>
      <c r="AV39" s="221"/>
      <c r="AW39" s="221"/>
      <c r="AX39" s="221"/>
      <c r="AY39" s="221"/>
      <c r="AZ39" s="221"/>
      <c r="BA39" s="221"/>
      <c r="BB39" s="221"/>
      <c r="BC39" s="221"/>
      <c r="BD39" s="221"/>
      <c r="BE39" s="221"/>
      <c r="BF39" s="221"/>
      <c r="BG39" s="221"/>
      <c r="BH39" s="221"/>
      <c r="BI39" s="221"/>
      <c r="BJ39" s="222"/>
      <c r="BK39" s="16"/>
    </row>
    <row r="40" spans="1:63" s="17" customFormat="1" ht="75.75" customHeight="1" x14ac:dyDescent="0.25">
      <c r="A40" s="12"/>
      <c r="B40" s="19"/>
      <c r="C40" s="71">
        <f t="shared" si="1"/>
        <v>7</v>
      </c>
      <c r="D40" s="73"/>
      <c r="E40" s="228" t="s">
        <v>30</v>
      </c>
      <c r="F40" s="229"/>
      <c r="G40" s="229"/>
      <c r="H40" s="229"/>
      <c r="I40" s="229"/>
      <c r="J40" s="229"/>
      <c r="K40" s="230"/>
      <c r="L40" s="90" t="s">
        <v>4</v>
      </c>
      <c r="M40" s="91"/>
      <c r="N40" s="92"/>
      <c r="O40" s="71" t="s">
        <v>5</v>
      </c>
      <c r="P40" s="72"/>
      <c r="Q40" s="72"/>
      <c r="R40" s="73"/>
      <c r="S40" s="71" t="s">
        <v>6</v>
      </c>
      <c r="T40" s="72"/>
      <c r="U40" s="72"/>
      <c r="V40" s="72"/>
      <c r="W40" s="72"/>
      <c r="X40" s="72"/>
      <c r="Y40" s="73"/>
      <c r="Z40" s="220" t="s">
        <v>48</v>
      </c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2"/>
      <c r="AQ40" s="97" t="s">
        <v>88</v>
      </c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8"/>
      <c r="BK40" s="16"/>
    </row>
    <row r="41" spans="1:63" s="17" customFormat="1" ht="26.25" customHeight="1" x14ac:dyDescent="0.25">
      <c r="A41" s="12"/>
      <c r="B41" s="19"/>
      <c r="C41" s="71">
        <f t="shared" si="1"/>
        <v>8</v>
      </c>
      <c r="D41" s="73"/>
      <c r="E41" s="228" t="s">
        <v>37</v>
      </c>
      <c r="F41" s="229"/>
      <c r="G41" s="229"/>
      <c r="H41" s="229"/>
      <c r="I41" s="229"/>
      <c r="J41" s="229"/>
      <c r="K41" s="230"/>
      <c r="L41" s="90" t="s">
        <v>4</v>
      </c>
      <c r="M41" s="91"/>
      <c r="N41" s="92"/>
      <c r="O41" s="71" t="s">
        <v>43</v>
      </c>
      <c r="P41" s="72"/>
      <c r="Q41" s="72"/>
      <c r="R41" s="73"/>
      <c r="S41" s="71" t="s">
        <v>6</v>
      </c>
      <c r="T41" s="72"/>
      <c r="U41" s="72"/>
      <c r="V41" s="72"/>
      <c r="W41" s="72"/>
      <c r="X41" s="72"/>
      <c r="Y41" s="73"/>
      <c r="Z41" s="220" t="s">
        <v>49</v>
      </c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2"/>
      <c r="AQ41" s="87" t="s">
        <v>89</v>
      </c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9"/>
      <c r="BK41" s="16"/>
    </row>
    <row r="42" spans="1:63" s="17" customFormat="1" ht="15" customHeight="1" x14ac:dyDescent="0.25">
      <c r="A42" s="12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20"/>
      <c r="BI42" s="20"/>
      <c r="BJ42" s="20"/>
      <c r="BK42" s="16"/>
    </row>
    <row r="43" spans="1:63" s="17" customFormat="1" ht="15" customHeight="1" x14ac:dyDescent="0.25">
      <c r="A43" s="12"/>
      <c r="B43" s="19"/>
      <c r="C43" s="22" t="s">
        <v>90</v>
      </c>
      <c r="D43" s="19"/>
      <c r="E43" s="204"/>
      <c r="F43" s="19"/>
      <c r="G43" s="204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20"/>
      <c r="BI43" s="20"/>
      <c r="BJ43" s="20"/>
      <c r="BK43" s="16"/>
    </row>
    <row r="44" spans="1:63" s="17" customFormat="1" ht="15" customHeight="1" x14ac:dyDescent="0.25">
      <c r="A44" s="12"/>
      <c r="B44" s="19"/>
      <c r="C44" s="22"/>
      <c r="D44" s="204"/>
      <c r="E44" s="204"/>
      <c r="F44" s="19"/>
      <c r="G44" s="204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20"/>
      <c r="BI44" s="20"/>
      <c r="BJ44" s="20"/>
      <c r="BK44" s="16"/>
    </row>
    <row r="45" spans="1:63" s="17" customFormat="1" ht="15" customHeight="1" x14ac:dyDescent="0.25">
      <c r="A45" s="12"/>
      <c r="B45" s="19"/>
      <c r="C45" s="231" t="s">
        <v>20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23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20"/>
      <c r="BI45" s="20"/>
      <c r="BJ45" s="20"/>
      <c r="BK45" s="16"/>
    </row>
    <row r="46" spans="1:63" s="17" customFormat="1" ht="15" customHeight="1" x14ac:dyDescent="0.25">
      <c r="A46" s="12"/>
      <c r="B46" s="19"/>
      <c r="C46" s="232" t="s">
        <v>38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24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20"/>
      <c r="BI46" s="20"/>
      <c r="BJ46" s="20"/>
      <c r="BK46" s="16"/>
    </row>
    <row r="47" spans="1:63" s="17" customFormat="1" ht="15" customHeight="1" x14ac:dyDescent="0.25">
      <c r="A47" s="12"/>
      <c r="B47" s="19"/>
      <c r="C47" s="232" t="s">
        <v>22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24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20"/>
      <c r="BI47" s="20"/>
      <c r="BJ47" s="20"/>
      <c r="BK47" s="16"/>
    </row>
    <row r="48" spans="1:63" s="17" customFormat="1" ht="15" customHeight="1" x14ac:dyDescent="0.25">
      <c r="A48" s="12"/>
      <c r="B48" s="19"/>
      <c r="C48" s="232" t="s">
        <v>91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24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20"/>
      <c r="BI48" s="20"/>
      <c r="BJ48" s="20"/>
      <c r="BK48" s="16"/>
    </row>
    <row r="49" spans="1:63" s="17" customFormat="1" ht="15" customHeight="1" x14ac:dyDescent="0.25">
      <c r="A49" s="12"/>
      <c r="B49" s="19"/>
      <c r="C49" s="232" t="s">
        <v>92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24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20"/>
      <c r="BI49" s="20"/>
      <c r="BJ49" s="20"/>
      <c r="BK49" s="16"/>
    </row>
    <row r="50" spans="1:63" s="17" customFormat="1" ht="15" customHeight="1" x14ac:dyDescent="0.25">
      <c r="A50" s="12"/>
      <c r="B50" s="19"/>
      <c r="C50" s="232" t="s">
        <v>93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24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20"/>
      <c r="BI50" s="20"/>
      <c r="BJ50" s="20"/>
      <c r="BK50" s="16"/>
    </row>
    <row r="51" spans="1:63" s="17" customFormat="1" ht="15" customHeight="1" x14ac:dyDescent="0.25">
      <c r="A51" s="12"/>
      <c r="B51" s="19"/>
      <c r="C51" s="232" t="s">
        <v>94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24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20"/>
      <c r="BI51" s="20"/>
      <c r="BJ51" s="20"/>
      <c r="BK51" s="16"/>
    </row>
    <row r="52" spans="1:63" s="17" customFormat="1" ht="15" customHeight="1" x14ac:dyDescent="0.25">
      <c r="A52" s="12"/>
      <c r="B52" s="19"/>
      <c r="C52" s="232" t="s">
        <v>95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24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20"/>
      <c r="BI52" s="20"/>
      <c r="BJ52" s="20"/>
      <c r="BK52" s="16"/>
    </row>
    <row r="53" spans="1:63" s="17" customFormat="1" ht="15" customHeight="1" x14ac:dyDescent="0.25">
      <c r="A53" s="12"/>
      <c r="B53" s="19"/>
      <c r="C53" s="232" t="s">
        <v>96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24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20"/>
      <c r="BI53" s="20"/>
      <c r="BJ53" s="20"/>
      <c r="BK53" s="16"/>
    </row>
    <row r="54" spans="1:63" s="17" customFormat="1" ht="15" customHeight="1" x14ac:dyDescent="0.25">
      <c r="A54" s="12"/>
      <c r="B54" s="19"/>
      <c r="C54" s="232" t="s">
        <v>97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24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20"/>
      <c r="BI54" s="20"/>
      <c r="BJ54" s="20"/>
      <c r="BK54" s="16"/>
    </row>
    <row r="55" spans="1:63" s="17" customFormat="1" ht="15" customHeight="1" x14ac:dyDescent="0.25">
      <c r="A55" s="12"/>
      <c r="B55" s="19"/>
      <c r="C55" s="232" t="s">
        <v>23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24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20"/>
      <c r="BI55" s="20"/>
      <c r="BJ55" s="20"/>
      <c r="BK55" s="16"/>
    </row>
    <row r="56" spans="1:63" s="17" customFormat="1" ht="15" customHeight="1" x14ac:dyDescent="0.25">
      <c r="A56" s="12"/>
      <c r="B56" s="19"/>
      <c r="C56" s="232" t="s">
        <v>24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24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20"/>
      <c r="BI56" s="20"/>
      <c r="BJ56" s="20"/>
      <c r="BK56" s="16"/>
    </row>
    <row r="57" spans="1:63" s="17" customFormat="1" ht="15" customHeight="1" x14ac:dyDescent="0.25">
      <c r="A57" s="12"/>
      <c r="B57" s="19"/>
      <c r="C57" s="232" t="s">
        <v>21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24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20"/>
      <c r="BI57" s="20"/>
      <c r="BJ57" s="20"/>
      <c r="BK57" s="16"/>
    </row>
    <row r="58" spans="1:63" s="17" customFormat="1" ht="15" customHeight="1" x14ac:dyDescent="0.25">
      <c r="A58" s="12"/>
      <c r="B58" s="19"/>
      <c r="C58" s="233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25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20"/>
      <c r="BI58" s="20"/>
      <c r="BJ58" s="20"/>
      <c r="BK58" s="16"/>
    </row>
    <row r="59" spans="1:63" s="17" customFormat="1" ht="15" customHeight="1" x14ac:dyDescent="0.25">
      <c r="A59" s="12"/>
      <c r="B59" s="18"/>
      <c r="C59" s="22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20"/>
      <c r="BI59" s="20"/>
      <c r="BJ59" s="20"/>
      <c r="BK59" s="16"/>
    </row>
    <row r="60" spans="1:63" s="17" customFormat="1" ht="15" customHeight="1" x14ac:dyDescent="0.25">
      <c r="A60" s="12"/>
      <c r="B60" s="21" t="s">
        <v>98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5"/>
      <c r="BI60" s="15"/>
      <c r="BJ60" s="15"/>
      <c r="BK60" s="16"/>
    </row>
    <row r="61" spans="1:63" s="17" customFormat="1" ht="15" customHeight="1" x14ac:dyDescent="0.25">
      <c r="A61" s="12"/>
      <c r="B61" s="18"/>
      <c r="C61" s="22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20"/>
      <c r="BI61" s="20"/>
      <c r="BJ61" s="20"/>
      <c r="BK61" s="16"/>
    </row>
    <row r="62" spans="1:63" s="17" customFormat="1" ht="15" customHeight="1" x14ac:dyDescent="0.25">
      <c r="A62" s="12"/>
      <c r="B62" s="18"/>
      <c r="C62" s="22" t="s">
        <v>99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20"/>
      <c r="BI62" s="20"/>
      <c r="BJ62" s="20"/>
      <c r="BK62" s="16"/>
    </row>
    <row r="63" spans="1:63" s="17" customFormat="1" ht="15" customHeight="1" x14ac:dyDescent="0.25">
      <c r="A63" s="12"/>
      <c r="B63" s="18"/>
      <c r="C63" s="22"/>
      <c r="D63" s="19" t="s">
        <v>39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20"/>
      <c r="BI63" s="20"/>
      <c r="BJ63" s="20"/>
      <c r="BK63" s="16"/>
    </row>
    <row r="64" spans="1:63" s="17" customFormat="1" ht="15" customHeight="1" x14ac:dyDescent="0.25">
      <c r="A64" s="12"/>
      <c r="B64" s="19"/>
      <c r="C64" s="19"/>
      <c r="D64" s="204"/>
      <c r="E64" s="204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20"/>
      <c r="BI64" s="20"/>
      <c r="BJ64" s="20"/>
      <c r="BK64" s="16"/>
    </row>
    <row r="65" spans="1:63" s="17" customFormat="1" ht="15" customHeight="1" x14ac:dyDescent="0.25">
      <c r="A65" s="12"/>
      <c r="B65" s="19"/>
      <c r="C65" s="18" t="s">
        <v>100</v>
      </c>
      <c r="D65" s="19"/>
      <c r="E65" s="204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20"/>
      <c r="BI65" s="20"/>
      <c r="BJ65" s="20"/>
      <c r="BK65" s="16"/>
    </row>
    <row r="66" spans="1:63" s="17" customFormat="1" ht="15" customHeight="1" x14ac:dyDescent="0.25">
      <c r="A66" s="12"/>
      <c r="B66" s="19"/>
      <c r="C66" s="18"/>
      <c r="D66" s="19"/>
      <c r="E66" s="204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20"/>
      <c r="BI66" s="20"/>
      <c r="BJ66" s="20"/>
      <c r="BK66" s="16"/>
    </row>
    <row r="67" spans="1:63" s="17" customFormat="1" ht="15" customHeight="1" x14ac:dyDescent="0.25">
      <c r="A67" s="12"/>
      <c r="B67" s="19"/>
      <c r="C67" s="18"/>
      <c r="D67" s="19" t="s">
        <v>39</v>
      </c>
      <c r="E67" s="204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20"/>
      <c r="BI67" s="20"/>
      <c r="BJ67" s="20"/>
      <c r="BK67" s="16"/>
    </row>
    <row r="68" spans="1:63" s="39" customFormat="1" ht="15" customHeight="1" x14ac:dyDescent="0.25">
      <c r="A68" s="34"/>
      <c r="B68" s="35"/>
      <c r="C68" s="35"/>
      <c r="D68" s="35"/>
      <c r="E68" s="36"/>
      <c r="F68" s="36"/>
      <c r="G68" s="36"/>
      <c r="H68" s="36"/>
      <c r="I68" s="36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7"/>
      <c r="BI68" s="37"/>
      <c r="BJ68" s="37"/>
      <c r="BK68" s="38"/>
    </row>
  </sheetData>
  <mergeCells count="133">
    <mergeCell ref="C40:D40"/>
    <mergeCell ref="E40:K40"/>
    <mergeCell ref="L40:N40"/>
    <mergeCell ref="O40:R40"/>
    <mergeCell ref="S40:Y40"/>
    <mergeCell ref="Z40:AP40"/>
    <mergeCell ref="AQ40:BJ40"/>
    <mergeCell ref="C41:D41"/>
    <mergeCell ref="E41:K41"/>
    <mergeCell ref="L41:N41"/>
    <mergeCell ref="O41:R41"/>
    <mergeCell ref="S41:Y41"/>
    <mergeCell ref="Z41:AP41"/>
    <mergeCell ref="AQ41:BJ41"/>
    <mergeCell ref="C39:D39"/>
    <mergeCell ref="E39:K39"/>
    <mergeCell ref="L39:N39"/>
    <mergeCell ref="O39:R39"/>
    <mergeCell ref="S39:Y39"/>
    <mergeCell ref="Z39:AP39"/>
    <mergeCell ref="AQ39:BJ39"/>
    <mergeCell ref="C35:D35"/>
    <mergeCell ref="E35:K35"/>
    <mergeCell ref="L35:N35"/>
    <mergeCell ref="O35:R35"/>
    <mergeCell ref="S35:Y35"/>
    <mergeCell ref="Z35:AP35"/>
    <mergeCell ref="AQ35:BJ35"/>
    <mergeCell ref="C36:D36"/>
    <mergeCell ref="E36:K36"/>
    <mergeCell ref="L36:N36"/>
    <mergeCell ref="O36:R36"/>
    <mergeCell ref="S36:Y36"/>
    <mergeCell ref="Z36:AP36"/>
    <mergeCell ref="AQ36:BJ36"/>
    <mergeCell ref="C38:D38"/>
    <mergeCell ref="Z38:AP38"/>
    <mergeCell ref="L37:N37"/>
    <mergeCell ref="Z37:AP37"/>
    <mergeCell ref="AQ37:BJ37"/>
    <mergeCell ref="E38:K38"/>
    <mergeCell ref="L38:N38"/>
    <mergeCell ref="O38:R38"/>
    <mergeCell ref="AQ38:BJ38"/>
    <mergeCell ref="AQ21:BJ22"/>
    <mergeCell ref="O21:R22"/>
    <mergeCell ref="L21:N22"/>
    <mergeCell ref="E21:K22"/>
    <mergeCell ref="Z34:AP34"/>
    <mergeCell ref="AQ34:BJ34"/>
    <mergeCell ref="Z24:AP24"/>
    <mergeCell ref="AQ24:BJ24"/>
    <mergeCell ref="AQ26:BJ26"/>
    <mergeCell ref="Z23:AP23"/>
    <mergeCell ref="C37:D37"/>
    <mergeCell ref="E37:K37"/>
    <mergeCell ref="C34:D34"/>
    <mergeCell ref="E34:K34"/>
    <mergeCell ref="L34:N34"/>
    <mergeCell ref="O34:R34"/>
    <mergeCell ref="S34:Y34"/>
    <mergeCell ref="C24:D24"/>
    <mergeCell ref="E24:K24"/>
    <mergeCell ref="L24:N24"/>
    <mergeCell ref="O24:R24"/>
    <mergeCell ref="S24:Y24"/>
    <mergeCell ref="O37:R37"/>
    <mergeCell ref="S37:Y37"/>
    <mergeCell ref="E20:K20"/>
    <mergeCell ref="E33:K33"/>
    <mergeCell ref="C23:D23"/>
    <mergeCell ref="Z25:AP25"/>
    <mergeCell ref="C26:D26"/>
    <mergeCell ref="E26:K26"/>
    <mergeCell ref="L26:N26"/>
    <mergeCell ref="L20:N20"/>
    <mergeCell ref="S23:Y23"/>
    <mergeCell ref="S33:Y33"/>
    <mergeCell ref="E23:K23"/>
    <mergeCell ref="E25:K25"/>
    <mergeCell ref="O23:R23"/>
    <mergeCell ref="O25:R25"/>
    <mergeCell ref="L23:N23"/>
    <mergeCell ref="L25:N25"/>
    <mergeCell ref="C33:D33"/>
    <mergeCell ref="Z26:AP26"/>
    <mergeCell ref="C21:D22"/>
    <mergeCell ref="O26:R26"/>
    <mergeCell ref="S26:Y26"/>
    <mergeCell ref="C15:D15"/>
    <mergeCell ref="S38:Y38"/>
    <mergeCell ref="C16:D16"/>
    <mergeCell ref="E15:AF15"/>
    <mergeCell ref="AG15:AP15"/>
    <mergeCell ref="AQ15:BJ15"/>
    <mergeCell ref="E16:AF16"/>
    <mergeCell ref="AQ20:BJ20"/>
    <mergeCell ref="L33:N33"/>
    <mergeCell ref="O33:R33"/>
    <mergeCell ref="Z33:AP33"/>
    <mergeCell ref="O20:R20"/>
    <mergeCell ref="C20:D20"/>
    <mergeCell ref="S20:Y20"/>
    <mergeCell ref="Z20:AP20"/>
    <mergeCell ref="AG16:AP16"/>
    <mergeCell ref="Z21:AP22"/>
    <mergeCell ref="S21:Y22"/>
    <mergeCell ref="AQ25:BJ25"/>
    <mergeCell ref="AQ33:BJ33"/>
    <mergeCell ref="S25:Y25"/>
    <mergeCell ref="C25:D25"/>
    <mergeCell ref="AQ16:BJ16"/>
    <mergeCell ref="AQ23:BJ23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8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3" t="s">
        <v>52</v>
      </c>
      <c r="B1" s="184"/>
      <c r="C1" s="184"/>
      <c r="D1" s="184"/>
      <c r="E1" s="184"/>
      <c r="F1" s="184"/>
      <c r="G1" s="184"/>
      <c r="H1" s="184"/>
      <c r="I1" s="184"/>
      <c r="J1" s="185"/>
      <c r="K1" s="183" t="s">
        <v>53</v>
      </c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5"/>
      <c r="W1" s="186" t="str">
        <f>IF(表紙!W1="","",表紙!W1)</f>
        <v>詳細設計書</v>
      </c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8"/>
      <c r="AP1" s="109" t="s">
        <v>55</v>
      </c>
      <c r="AQ1" s="110"/>
      <c r="AR1" s="110"/>
      <c r="AS1" s="111"/>
      <c r="AT1" s="109" t="s">
        <v>56</v>
      </c>
      <c r="AU1" s="110"/>
      <c r="AV1" s="110"/>
      <c r="AW1" s="110"/>
      <c r="AX1" s="111"/>
      <c r="AY1" s="109" t="s">
        <v>57</v>
      </c>
      <c r="AZ1" s="110"/>
      <c r="BA1" s="110"/>
      <c r="BB1" s="111"/>
      <c r="BC1" s="109" t="s">
        <v>58</v>
      </c>
      <c r="BD1" s="110"/>
      <c r="BE1" s="110"/>
      <c r="BF1" s="110"/>
      <c r="BG1" s="111"/>
      <c r="BH1" s="109" t="s">
        <v>59</v>
      </c>
      <c r="BI1" s="110"/>
      <c r="BJ1" s="110"/>
      <c r="BK1" s="111"/>
    </row>
    <row r="2" spans="1:63" ht="15" customHeight="1" x14ac:dyDescent="0.25">
      <c r="A2" s="63" t="str">
        <f>IF(表紙!A2="","",表紙!A2)</f>
        <v>POSサーバー</v>
      </c>
      <c r="B2" s="64"/>
      <c r="C2" s="64"/>
      <c r="D2" s="64"/>
      <c r="E2" s="64"/>
      <c r="F2" s="64"/>
      <c r="G2" s="64"/>
      <c r="H2" s="64"/>
      <c r="I2" s="64"/>
      <c r="J2" s="65"/>
      <c r="K2" s="63" t="str">
        <f>IF(表紙!K2="","",表紙!K2)</f>
        <v>POSサーバ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189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1"/>
      <c r="AP2" s="118" t="str">
        <f>IF(表紙!AP2="","",表紙!AP2)</f>
        <v>DuNT</v>
      </c>
      <c r="AQ2" s="116"/>
      <c r="AR2" s="116"/>
      <c r="AS2" s="117"/>
      <c r="AT2" s="122">
        <f>IF(表紙!AT2="","",表紙!AT2)</f>
        <v>45559</v>
      </c>
      <c r="AU2" s="123"/>
      <c r="AV2" s="123"/>
      <c r="AW2" s="123"/>
      <c r="AX2" s="124"/>
      <c r="AY2" s="118" t="str">
        <f>IF(表紙!AY2="","",表紙!AY2)</f>
        <v>DuNT</v>
      </c>
      <c r="AZ2" s="116"/>
      <c r="BA2" s="116"/>
      <c r="BB2" s="117"/>
      <c r="BC2" s="122">
        <f>IF(表紙!BC2="","",表紙!BC2)</f>
        <v>45624</v>
      </c>
      <c r="BD2" s="123"/>
      <c r="BE2" s="123"/>
      <c r="BF2" s="123"/>
      <c r="BG2" s="124"/>
      <c r="BH2" s="118">
        <f>IF(表紙!BH2="","",表紙!BH2)</f>
        <v>0.11</v>
      </c>
      <c r="BI2" s="116"/>
      <c r="BJ2" s="116"/>
      <c r="BK2" s="117"/>
    </row>
    <row r="3" spans="1:63" ht="15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8"/>
      <c r="K3" s="66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192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4"/>
      <c r="AP3" s="128"/>
      <c r="AQ3" s="129"/>
      <c r="AR3" s="129"/>
      <c r="AS3" s="130"/>
      <c r="AT3" s="134"/>
      <c r="AU3" s="135"/>
      <c r="AV3" s="135"/>
      <c r="AW3" s="135"/>
      <c r="AX3" s="136"/>
      <c r="AY3" s="128"/>
      <c r="AZ3" s="129"/>
      <c r="BA3" s="129"/>
      <c r="BB3" s="130"/>
      <c r="BC3" s="134"/>
      <c r="BD3" s="135"/>
      <c r="BE3" s="135"/>
      <c r="BF3" s="135"/>
      <c r="BG3" s="136"/>
      <c r="BH3" s="128"/>
      <c r="BI3" s="129"/>
      <c r="BJ3" s="129"/>
      <c r="BK3" s="130"/>
    </row>
    <row r="4" spans="1:63" ht="24.95" customHeight="1" x14ac:dyDescent="0.25">
      <c r="A4" s="183" t="s">
        <v>61</v>
      </c>
      <c r="B4" s="184"/>
      <c r="C4" s="184"/>
      <c r="D4" s="184"/>
      <c r="E4" s="184"/>
      <c r="F4" s="184"/>
      <c r="G4" s="185"/>
      <c r="H4" s="59" t="str">
        <f>IF(表紙!H4="","",表紙!H4)</f>
        <v>AP0602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83" t="s">
        <v>62</v>
      </c>
      <c r="V4" s="184"/>
      <c r="W4" s="184"/>
      <c r="X4" s="184"/>
      <c r="Y4" s="185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処理フロー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01" customFormat="1" ht="15" customHeight="1" x14ac:dyDescent="0.25">
      <c r="B7" s="40"/>
      <c r="C7" s="20"/>
      <c r="D7" s="20"/>
      <c r="E7" s="20"/>
      <c r="F7" s="20"/>
      <c r="G7" s="20"/>
      <c r="AI7" s="234"/>
      <c r="BJ7" s="234"/>
      <c r="BK7" s="200"/>
    </row>
    <row r="8" spans="1:63" s="201" customFormat="1" ht="15" customHeight="1" x14ac:dyDescent="0.25">
      <c r="B8" s="40"/>
      <c r="C8" s="20"/>
      <c r="D8" s="20"/>
      <c r="E8" s="20"/>
      <c r="F8" s="20"/>
      <c r="G8" s="20"/>
      <c r="AI8" s="234"/>
      <c r="BJ8" s="234"/>
      <c r="BK8" s="200"/>
    </row>
    <row r="9" spans="1:63" s="201" customFormat="1" ht="15" customHeight="1" x14ac:dyDescent="0.25">
      <c r="B9" s="40"/>
      <c r="C9" s="20"/>
      <c r="D9" s="20"/>
      <c r="E9" s="20"/>
      <c r="F9" s="20"/>
      <c r="G9" s="20"/>
      <c r="AI9" s="234"/>
      <c r="BJ9" s="234"/>
      <c r="BK9" s="200"/>
    </row>
    <row r="10" spans="1:63" s="201" customFormat="1" ht="15" customHeight="1" x14ac:dyDescent="0.25">
      <c r="B10" s="40"/>
      <c r="C10" s="20"/>
      <c r="D10" s="20"/>
      <c r="E10" s="20"/>
      <c r="F10" s="20"/>
      <c r="G10" s="20"/>
      <c r="AI10" s="234"/>
      <c r="BJ10" s="234"/>
      <c r="BK10" s="200"/>
    </row>
    <row r="11" spans="1:63" s="201" customFormat="1" ht="15" customHeight="1" x14ac:dyDescent="0.25">
      <c r="B11" s="235"/>
      <c r="AI11" s="234"/>
      <c r="BJ11" s="234"/>
      <c r="BK11" s="200"/>
    </row>
    <row r="12" spans="1:63" s="201" customFormat="1" ht="15" customHeight="1" x14ac:dyDescent="0.25">
      <c r="B12" s="235"/>
      <c r="AI12" s="234"/>
      <c r="BJ12" s="234"/>
      <c r="BK12" s="200"/>
    </row>
    <row r="13" spans="1:63" s="201" customFormat="1" ht="15" customHeight="1" x14ac:dyDescent="0.25">
      <c r="B13" s="235"/>
      <c r="AI13" s="234"/>
      <c r="BJ13" s="234"/>
      <c r="BK13" s="200"/>
    </row>
    <row r="14" spans="1:63" s="201" customFormat="1" ht="15" customHeight="1" x14ac:dyDescent="0.25">
      <c r="B14" s="235"/>
      <c r="AI14" s="234"/>
      <c r="BJ14" s="234"/>
      <c r="BK14" s="200"/>
    </row>
    <row r="15" spans="1:63" s="201" customFormat="1" ht="15" customHeight="1" x14ac:dyDescent="0.25">
      <c r="B15" s="235"/>
      <c r="AI15" s="234"/>
      <c r="BJ15" s="234"/>
      <c r="BK15" s="200"/>
    </row>
    <row r="16" spans="1:63" s="201" customFormat="1" ht="15" customHeight="1" x14ac:dyDescent="0.25">
      <c r="B16" s="235"/>
      <c r="AI16" s="234"/>
      <c r="BJ16" s="234"/>
      <c r="BK16" s="200"/>
    </row>
    <row r="17" spans="2:63" s="201" customFormat="1" ht="15" customHeight="1" x14ac:dyDescent="0.25">
      <c r="B17" s="235"/>
      <c r="AI17" s="234"/>
      <c r="BJ17" s="234"/>
      <c r="BK17" s="200"/>
    </row>
    <row r="18" spans="2:63" s="201" customFormat="1" ht="15" customHeight="1" x14ac:dyDescent="0.25">
      <c r="B18" s="235"/>
      <c r="AI18" s="234"/>
      <c r="BJ18" s="234"/>
      <c r="BK18" s="200"/>
    </row>
    <row r="19" spans="2:63" s="201" customFormat="1" ht="15" customHeight="1" x14ac:dyDescent="0.25">
      <c r="B19" s="235"/>
      <c r="AI19" s="234"/>
      <c r="BJ19" s="234"/>
      <c r="BK19" s="200"/>
    </row>
    <row r="20" spans="2:63" s="201" customFormat="1" ht="15" customHeight="1" x14ac:dyDescent="0.25">
      <c r="B20" s="235"/>
      <c r="AI20" s="234"/>
      <c r="BJ20" s="234"/>
      <c r="BK20" s="200"/>
    </row>
    <row r="21" spans="2:63" s="201" customFormat="1" ht="15" customHeight="1" x14ac:dyDescent="0.25">
      <c r="B21" s="235"/>
      <c r="AI21" s="234"/>
      <c r="BJ21" s="234"/>
      <c r="BK21" s="200"/>
    </row>
    <row r="22" spans="2:63" s="201" customFormat="1" ht="15" customHeight="1" x14ac:dyDescent="0.25">
      <c r="B22" s="235"/>
      <c r="AI22" s="234"/>
      <c r="BJ22" s="234"/>
      <c r="BK22" s="200"/>
    </row>
    <row r="23" spans="2:63" s="201" customFormat="1" ht="15" customHeight="1" x14ac:dyDescent="0.25">
      <c r="B23" s="235"/>
      <c r="AI23" s="234"/>
      <c r="BJ23" s="234"/>
      <c r="BK23" s="200"/>
    </row>
    <row r="24" spans="2:63" s="201" customFormat="1" ht="15" customHeight="1" x14ac:dyDescent="0.25">
      <c r="B24" s="235"/>
      <c r="AI24" s="234"/>
      <c r="BJ24" s="234"/>
      <c r="BK24" s="200"/>
    </row>
    <row r="25" spans="2:63" s="201" customFormat="1" ht="15" customHeight="1" x14ac:dyDescent="0.25">
      <c r="B25" s="235"/>
      <c r="AI25" s="234"/>
      <c r="BJ25" s="234"/>
      <c r="BK25" s="200"/>
    </row>
    <row r="26" spans="2:63" s="201" customFormat="1" ht="15" customHeight="1" x14ac:dyDescent="0.25">
      <c r="B26" s="235"/>
      <c r="AI26" s="234"/>
      <c r="BJ26" s="234"/>
      <c r="BK26" s="200"/>
    </row>
    <row r="27" spans="2:63" s="201" customFormat="1" ht="15" customHeight="1" x14ac:dyDescent="0.25">
      <c r="B27" s="235"/>
      <c r="AI27" s="234"/>
      <c r="BJ27" s="234"/>
      <c r="BK27" s="200"/>
    </row>
    <row r="28" spans="2:63" s="201" customFormat="1" ht="15" customHeight="1" x14ac:dyDescent="0.25">
      <c r="B28" s="235"/>
      <c r="AI28" s="234"/>
      <c r="BJ28" s="234"/>
      <c r="BK28" s="200"/>
    </row>
    <row r="29" spans="2:63" s="201" customFormat="1" ht="15" customHeight="1" x14ac:dyDescent="0.25">
      <c r="B29" s="235"/>
      <c r="AI29" s="234"/>
      <c r="BJ29" s="234"/>
      <c r="BK29" s="200"/>
    </row>
    <row r="30" spans="2:63" s="201" customFormat="1" ht="15" customHeight="1" x14ac:dyDescent="0.25">
      <c r="B30" s="235"/>
      <c r="AI30" s="234"/>
      <c r="BJ30" s="234"/>
      <c r="BK30" s="200"/>
    </row>
    <row r="31" spans="2:63" s="201" customFormat="1" ht="15" customHeight="1" x14ac:dyDescent="0.25">
      <c r="B31" s="235"/>
      <c r="AI31" s="234"/>
      <c r="BJ31" s="234"/>
      <c r="BK31" s="200"/>
    </row>
    <row r="32" spans="2:63" s="201" customFormat="1" ht="15" customHeight="1" x14ac:dyDescent="0.25">
      <c r="B32" s="235"/>
      <c r="AI32" s="234"/>
      <c r="BJ32" s="234"/>
      <c r="BK32" s="200"/>
    </row>
    <row r="33" spans="2:63" s="201" customFormat="1" ht="15" customHeight="1" x14ac:dyDescent="0.25">
      <c r="B33" s="235"/>
      <c r="AI33" s="234"/>
      <c r="BJ33" s="234"/>
      <c r="BK33" s="200"/>
    </row>
    <row r="34" spans="2:63" s="201" customFormat="1" ht="15" customHeight="1" x14ac:dyDescent="0.25">
      <c r="B34" s="235"/>
      <c r="AI34" s="234"/>
      <c r="BJ34" s="234"/>
      <c r="BK34" s="200"/>
    </row>
    <row r="35" spans="2:63" s="201" customFormat="1" ht="15" customHeight="1" x14ac:dyDescent="0.25">
      <c r="B35" s="235"/>
      <c r="AI35" s="234"/>
      <c r="BJ35" s="234"/>
      <c r="BK35" s="200"/>
    </row>
    <row r="36" spans="2:63" s="201" customFormat="1" ht="15" customHeight="1" x14ac:dyDescent="0.25">
      <c r="B36" s="235"/>
      <c r="AI36" s="234"/>
      <c r="BJ36" s="234"/>
      <c r="BK36" s="200"/>
    </row>
    <row r="37" spans="2:63" s="201" customFormat="1" ht="15" customHeight="1" x14ac:dyDescent="0.25">
      <c r="B37" s="235"/>
      <c r="AI37" s="234"/>
      <c r="BJ37" s="234"/>
      <c r="BK37" s="200"/>
    </row>
    <row r="38" spans="2:63" s="201" customFormat="1" ht="15" customHeight="1" x14ac:dyDescent="0.25">
      <c r="B38" s="235"/>
      <c r="AI38" s="234"/>
      <c r="BJ38" s="234"/>
      <c r="BK38" s="200"/>
    </row>
    <row r="39" spans="2:63" s="201" customFormat="1" ht="15" customHeight="1" x14ac:dyDescent="0.25">
      <c r="B39" s="235"/>
      <c r="AI39" s="234"/>
      <c r="BJ39" s="234"/>
      <c r="BK39" s="200"/>
    </row>
    <row r="40" spans="2:63" s="201" customFormat="1" ht="15" customHeight="1" x14ac:dyDescent="0.25">
      <c r="B40" s="235"/>
      <c r="AI40" s="234"/>
      <c r="BJ40" s="234"/>
      <c r="BK40" s="200"/>
    </row>
    <row r="41" spans="2:63" s="201" customFormat="1" ht="15" customHeight="1" x14ac:dyDescent="0.25">
      <c r="B41" s="235"/>
      <c r="AI41" s="234"/>
      <c r="BJ41" s="234"/>
      <c r="BK41" s="200"/>
    </row>
    <row r="42" spans="2:63" s="201" customFormat="1" ht="15" customHeight="1" x14ac:dyDescent="0.25">
      <c r="B42" s="235"/>
      <c r="AI42" s="234"/>
      <c r="BJ42" s="234"/>
      <c r="BK42" s="200"/>
    </row>
    <row r="43" spans="2:63" s="201" customFormat="1" ht="15" customHeight="1" x14ac:dyDescent="0.25">
      <c r="B43" s="235"/>
      <c r="AI43" s="234"/>
      <c r="BJ43" s="234"/>
      <c r="BK43" s="200"/>
    </row>
    <row r="44" spans="2:63" s="201" customFormat="1" ht="15" customHeight="1" x14ac:dyDescent="0.25">
      <c r="B44" s="235"/>
      <c r="AI44" s="234"/>
      <c r="BJ44" s="234"/>
      <c r="BK44" s="200"/>
    </row>
    <row r="45" spans="2:63" s="201" customFormat="1" ht="15" customHeight="1" x14ac:dyDescent="0.25">
      <c r="B45" s="235"/>
      <c r="AI45" s="234"/>
      <c r="BJ45" s="234"/>
      <c r="BK45" s="200"/>
    </row>
    <row r="46" spans="2:63" s="201" customFormat="1" ht="15" customHeight="1" x14ac:dyDescent="0.25">
      <c r="B46" s="235"/>
      <c r="AI46" s="234"/>
      <c r="BJ46" s="234"/>
      <c r="BK46" s="200"/>
    </row>
    <row r="47" spans="2:63" s="201" customFormat="1" ht="15" customHeight="1" x14ac:dyDescent="0.25">
      <c r="B47" s="235"/>
      <c r="AI47" s="234"/>
      <c r="BJ47" s="234"/>
      <c r="BK47" s="200"/>
    </row>
    <row r="48" spans="2:63" s="201" customFormat="1" ht="15" customHeight="1" x14ac:dyDescent="0.25">
      <c r="B48" s="235"/>
      <c r="AI48" s="234"/>
      <c r="BJ48" s="234"/>
      <c r="BK48" s="200"/>
    </row>
    <row r="49" spans="2:63" s="201" customFormat="1" ht="15" customHeight="1" x14ac:dyDescent="0.25">
      <c r="B49" s="235"/>
      <c r="AI49" s="234"/>
      <c r="BJ49" s="234"/>
      <c r="BK49" s="200"/>
    </row>
    <row r="50" spans="2:63" s="201" customFormat="1" ht="15" customHeight="1" x14ac:dyDescent="0.25">
      <c r="B50" s="235"/>
      <c r="AI50" s="234"/>
      <c r="BJ50" s="234"/>
      <c r="BK50" s="200"/>
    </row>
    <row r="51" spans="2:63" s="201" customFormat="1" ht="15" customHeight="1" x14ac:dyDescent="0.25">
      <c r="B51" s="235"/>
      <c r="AI51" s="234"/>
      <c r="BJ51" s="234"/>
      <c r="BK51" s="200"/>
    </row>
    <row r="52" spans="2:63" s="201" customFormat="1" ht="15" customHeight="1" x14ac:dyDescent="0.25">
      <c r="B52" s="235"/>
      <c r="AI52" s="234"/>
      <c r="BJ52" s="234"/>
      <c r="BK52" s="200"/>
    </row>
    <row r="53" spans="2:63" s="201" customFormat="1" ht="15" customHeight="1" x14ac:dyDescent="0.25">
      <c r="B53" s="235"/>
      <c r="AI53" s="234"/>
      <c r="BJ53" s="234"/>
      <c r="BK53" s="200"/>
    </row>
    <row r="54" spans="2:63" s="201" customFormat="1" ht="15" customHeight="1" x14ac:dyDescent="0.25">
      <c r="B54" s="235"/>
      <c r="AI54" s="234"/>
      <c r="BJ54" s="234"/>
      <c r="BK54" s="200"/>
    </row>
    <row r="55" spans="2:63" s="201" customFormat="1" ht="15" customHeight="1" x14ac:dyDescent="0.25">
      <c r="B55" s="235"/>
      <c r="AI55" s="234"/>
      <c r="BJ55" s="234"/>
      <c r="BK55" s="200"/>
    </row>
    <row r="56" spans="2:63" s="201" customFormat="1" ht="15" customHeight="1" x14ac:dyDescent="0.25">
      <c r="B56" s="235"/>
      <c r="AI56" s="234"/>
      <c r="BJ56" s="234"/>
      <c r="BK56" s="200"/>
    </row>
    <row r="57" spans="2:63" s="201" customFormat="1" ht="15" customHeight="1" x14ac:dyDescent="0.25">
      <c r="B57" s="235"/>
      <c r="AI57" s="234"/>
      <c r="BJ57" s="234"/>
      <c r="BK57" s="200"/>
    </row>
    <row r="58" spans="2:63" s="201" customFormat="1" ht="15" customHeight="1" x14ac:dyDescent="0.25">
      <c r="B58" s="235"/>
      <c r="AI58" s="234"/>
      <c r="BJ58" s="234"/>
      <c r="BK58" s="200"/>
    </row>
    <row r="59" spans="2:63" s="201" customFormat="1" ht="15" customHeight="1" x14ac:dyDescent="0.25">
      <c r="B59" s="235"/>
      <c r="AI59" s="234"/>
      <c r="BJ59" s="234"/>
      <c r="BK59" s="200"/>
    </row>
    <row r="60" spans="2:63" s="201" customFormat="1" ht="15" customHeight="1" x14ac:dyDescent="0.25">
      <c r="B60" s="235"/>
      <c r="AI60" s="234"/>
      <c r="BJ60" s="234"/>
      <c r="BK60" s="200"/>
    </row>
    <row r="61" spans="2:63" s="201" customFormat="1" ht="15" customHeight="1" x14ac:dyDescent="0.25">
      <c r="B61" s="235"/>
      <c r="AI61" s="234"/>
      <c r="BJ61" s="234"/>
      <c r="BK61" s="200"/>
    </row>
    <row r="62" spans="2:63" s="201" customFormat="1" ht="15" customHeight="1" x14ac:dyDescent="0.25">
      <c r="B62" s="235"/>
      <c r="AI62" s="234"/>
      <c r="BJ62" s="234"/>
      <c r="BK62" s="200"/>
    </row>
    <row r="63" spans="2:63" s="201" customFormat="1" ht="15" customHeight="1" x14ac:dyDescent="0.25">
      <c r="B63" s="235"/>
      <c r="AI63" s="234"/>
      <c r="BJ63" s="234"/>
      <c r="BK63" s="200"/>
    </row>
    <row r="64" spans="2:63" s="201" customFormat="1" ht="15" customHeight="1" x14ac:dyDescent="0.25">
      <c r="B64" s="235"/>
      <c r="AI64" s="234"/>
      <c r="BJ64" s="234"/>
      <c r="BK64" s="200"/>
    </row>
    <row r="65" spans="2:63" s="201" customFormat="1" ht="15" customHeight="1" x14ac:dyDescent="0.25">
      <c r="B65" s="235"/>
      <c r="AI65" s="234"/>
      <c r="BJ65" s="234"/>
      <c r="BK65" s="200"/>
    </row>
    <row r="66" spans="2:63" s="201" customFormat="1" ht="15" customHeight="1" x14ac:dyDescent="0.25">
      <c r="B66" s="235"/>
      <c r="AI66" s="234"/>
      <c r="BJ66" s="234"/>
      <c r="BK66" s="200"/>
    </row>
    <row r="67" spans="2:63" s="201" customFormat="1" ht="15" customHeight="1" x14ac:dyDescent="0.25">
      <c r="B67" s="235"/>
      <c r="AI67" s="234"/>
      <c r="BJ67" s="234"/>
      <c r="BK67" s="200"/>
    </row>
    <row r="68" spans="2:63" s="201" customFormat="1" ht="15" customHeight="1" x14ac:dyDescent="0.25">
      <c r="B68" s="235"/>
      <c r="AB68" s="201" t="s">
        <v>40</v>
      </c>
      <c r="AI68" s="234"/>
      <c r="BJ68" s="234"/>
      <c r="BK68" s="200"/>
    </row>
    <row r="69" spans="2:63" s="201" customFormat="1" ht="15" customHeight="1" x14ac:dyDescent="0.25">
      <c r="B69" s="235"/>
      <c r="AI69" s="234"/>
      <c r="BJ69" s="234"/>
      <c r="BK69" s="200"/>
    </row>
    <row r="70" spans="2:63" s="201" customFormat="1" ht="15" customHeight="1" x14ac:dyDescent="0.25">
      <c r="B70" s="235"/>
      <c r="AI70" s="234"/>
      <c r="BJ70" s="234"/>
      <c r="BK70" s="200"/>
    </row>
    <row r="71" spans="2:63" s="201" customFormat="1" ht="15" customHeight="1" x14ac:dyDescent="0.25">
      <c r="B71" s="235"/>
      <c r="AI71" s="234"/>
      <c r="BJ71" s="234"/>
      <c r="BK71" s="200"/>
    </row>
    <row r="72" spans="2:63" s="201" customFormat="1" ht="15" customHeight="1" x14ac:dyDescent="0.25">
      <c r="B72" s="235"/>
      <c r="AI72" s="234"/>
      <c r="BJ72" s="234"/>
      <c r="BK72" s="200"/>
    </row>
    <row r="73" spans="2:63" s="201" customFormat="1" ht="15" customHeight="1" x14ac:dyDescent="0.25">
      <c r="B73" s="235"/>
      <c r="AI73" s="234"/>
      <c r="BJ73" s="234"/>
      <c r="BK73" s="200"/>
    </row>
    <row r="74" spans="2:63" s="201" customFormat="1" ht="15" customHeight="1" x14ac:dyDescent="0.25">
      <c r="B74" s="235"/>
      <c r="AI74" s="234"/>
      <c r="BJ74" s="234"/>
      <c r="BK74" s="200"/>
    </row>
    <row r="75" spans="2:63" ht="15" customHeight="1" x14ac:dyDescent="0.25">
      <c r="B75" s="43"/>
      <c r="AI75" s="44"/>
      <c r="BJ75" s="44"/>
      <c r="BK75" s="6"/>
    </row>
    <row r="76" spans="2:63" ht="15" customHeight="1" x14ac:dyDescent="0.25">
      <c r="B76" s="43"/>
      <c r="AI76" s="44"/>
      <c r="BJ76" s="44"/>
      <c r="BK76" s="6"/>
    </row>
    <row r="77" spans="2:63" ht="15" customHeight="1" x14ac:dyDescent="0.25">
      <c r="B77" s="43"/>
      <c r="AI77" s="44"/>
      <c r="BJ77" s="44"/>
      <c r="BK77" s="6"/>
    </row>
    <row r="78" spans="2:63" ht="15" customHeight="1" x14ac:dyDescent="0.25">
      <c r="B78" s="43"/>
      <c r="AI78" s="44"/>
      <c r="BJ78" s="44"/>
      <c r="BK78" s="6"/>
    </row>
    <row r="79" spans="2:63" s="201" customFormat="1" ht="15" customHeight="1" x14ac:dyDescent="0.25">
      <c r="B79" s="235"/>
      <c r="AI79" s="234"/>
      <c r="BJ79" s="234"/>
      <c r="BK79" s="200"/>
    </row>
    <row r="80" spans="2:63" s="201" customFormat="1" ht="15" customHeight="1" x14ac:dyDescent="0.25">
      <c r="B80" s="235"/>
      <c r="AI80" s="234"/>
      <c r="BJ80" s="234"/>
      <c r="BK80" s="200"/>
    </row>
    <row r="81" spans="1:63" s="201" customFormat="1" ht="15" customHeight="1" x14ac:dyDescent="0.25">
      <c r="B81" s="235"/>
      <c r="AI81" s="234"/>
      <c r="BJ81" s="234"/>
      <c r="BK81" s="200"/>
    </row>
    <row r="82" spans="1:63" s="201" customFormat="1" ht="15" customHeight="1" x14ac:dyDescent="0.25">
      <c r="B82" s="235"/>
      <c r="AI82" s="234"/>
      <c r="BJ82" s="234"/>
      <c r="BK82" s="200"/>
    </row>
    <row r="83" spans="1:63" s="201" customFormat="1" ht="15" customHeight="1" x14ac:dyDescent="0.25">
      <c r="B83" s="235"/>
      <c r="AI83" s="234"/>
      <c r="BJ83" s="234"/>
      <c r="BK83" s="200"/>
    </row>
    <row r="84" spans="1:63" s="201" customFormat="1" ht="15" customHeight="1" x14ac:dyDescent="0.25">
      <c r="B84" s="235"/>
      <c r="AI84" s="234"/>
      <c r="BJ84" s="234"/>
      <c r="BK84" s="200"/>
    </row>
    <row r="85" spans="1:63" s="201" customFormat="1" ht="15" customHeight="1" x14ac:dyDescent="0.25">
      <c r="B85" s="235"/>
      <c r="AI85" s="234"/>
      <c r="BJ85" s="234"/>
      <c r="BK85" s="200"/>
    </row>
    <row r="86" spans="1:63" s="201" customFormat="1" ht="15" customHeight="1" x14ac:dyDescent="0.25">
      <c r="B86" s="235"/>
      <c r="AI86" s="234"/>
      <c r="BJ86" s="234"/>
      <c r="BK86" s="200"/>
    </row>
    <row r="87" spans="1:63" ht="15" customHeight="1" x14ac:dyDescent="0.25">
      <c r="A87" s="4"/>
      <c r="B87" s="1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11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11"/>
      <c r="BK87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3" t="s">
        <v>52</v>
      </c>
      <c r="B1" s="184"/>
      <c r="C1" s="184"/>
      <c r="D1" s="184"/>
      <c r="E1" s="184"/>
      <c r="F1" s="184"/>
      <c r="G1" s="184"/>
      <c r="H1" s="184"/>
      <c r="I1" s="184"/>
      <c r="J1" s="185"/>
      <c r="K1" s="183" t="s">
        <v>53</v>
      </c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5"/>
      <c r="W1" s="186" t="str">
        <f>IF(表紙!W1="","",表紙!W1)</f>
        <v>詳細設計書</v>
      </c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8"/>
      <c r="AP1" s="109" t="s">
        <v>55</v>
      </c>
      <c r="AQ1" s="110"/>
      <c r="AR1" s="110"/>
      <c r="AS1" s="111"/>
      <c r="AT1" s="109" t="s">
        <v>56</v>
      </c>
      <c r="AU1" s="110"/>
      <c r="AV1" s="110"/>
      <c r="AW1" s="110"/>
      <c r="AX1" s="111"/>
      <c r="AY1" s="109" t="s">
        <v>57</v>
      </c>
      <c r="AZ1" s="110"/>
      <c r="BA1" s="110"/>
      <c r="BB1" s="111"/>
      <c r="BC1" s="109" t="s">
        <v>58</v>
      </c>
      <c r="BD1" s="110"/>
      <c r="BE1" s="110"/>
      <c r="BF1" s="110"/>
      <c r="BG1" s="111"/>
      <c r="BH1" s="109" t="s">
        <v>59</v>
      </c>
      <c r="BI1" s="110"/>
      <c r="BJ1" s="110"/>
      <c r="BK1" s="111"/>
    </row>
    <row r="2" spans="1:63" ht="15" customHeight="1" x14ac:dyDescent="0.25">
      <c r="A2" s="63" t="str">
        <f>IF(表紙!A2="","",表紙!A2)</f>
        <v>POSサーバー</v>
      </c>
      <c r="B2" s="64"/>
      <c r="C2" s="64"/>
      <c r="D2" s="64"/>
      <c r="E2" s="64"/>
      <c r="F2" s="64"/>
      <c r="G2" s="64"/>
      <c r="H2" s="64"/>
      <c r="I2" s="64"/>
      <c r="J2" s="65"/>
      <c r="K2" s="63" t="str">
        <f>IF(表紙!K2="","",表紙!K2)</f>
        <v>POSサーバ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189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1"/>
      <c r="AP2" s="118" t="str">
        <f>IF(表紙!AP2="","",表紙!AP2)</f>
        <v>DuNT</v>
      </c>
      <c r="AQ2" s="116"/>
      <c r="AR2" s="116"/>
      <c r="AS2" s="117"/>
      <c r="AT2" s="122">
        <f>IF(表紙!AT2="","",表紙!AT2)</f>
        <v>45559</v>
      </c>
      <c r="AU2" s="123"/>
      <c r="AV2" s="123"/>
      <c r="AW2" s="123"/>
      <c r="AX2" s="124"/>
      <c r="AY2" s="118" t="str">
        <f>IF(表紙!AY2="","",表紙!AY2)</f>
        <v>DuNT</v>
      </c>
      <c r="AZ2" s="116"/>
      <c r="BA2" s="116"/>
      <c r="BB2" s="117"/>
      <c r="BC2" s="122">
        <f>IF(表紙!BC2="","",表紙!BC2)</f>
        <v>45624</v>
      </c>
      <c r="BD2" s="123"/>
      <c r="BE2" s="123"/>
      <c r="BF2" s="123"/>
      <c r="BG2" s="124"/>
      <c r="BH2" s="118">
        <f>IF(表紙!BH2="","",表紙!BH2)</f>
        <v>0.11</v>
      </c>
      <c r="BI2" s="116"/>
      <c r="BJ2" s="116"/>
      <c r="BK2" s="117"/>
    </row>
    <row r="3" spans="1:63" ht="15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8"/>
      <c r="K3" s="66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192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4"/>
      <c r="AP3" s="128"/>
      <c r="AQ3" s="129"/>
      <c r="AR3" s="129"/>
      <c r="AS3" s="130"/>
      <c r="AT3" s="134"/>
      <c r="AU3" s="135"/>
      <c r="AV3" s="135"/>
      <c r="AW3" s="135"/>
      <c r="AX3" s="136"/>
      <c r="AY3" s="128"/>
      <c r="AZ3" s="129"/>
      <c r="BA3" s="129"/>
      <c r="BB3" s="130"/>
      <c r="BC3" s="134"/>
      <c r="BD3" s="135"/>
      <c r="BE3" s="135"/>
      <c r="BF3" s="135"/>
      <c r="BG3" s="136"/>
      <c r="BH3" s="128"/>
      <c r="BI3" s="129"/>
      <c r="BJ3" s="129"/>
      <c r="BK3" s="130"/>
    </row>
    <row r="4" spans="1:63" ht="24.95" customHeight="1" x14ac:dyDescent="0.25">
      <c r="A4" s="183" t="s">
        <v>61</v>
      </c>
      <c r="B4" s="184"/>
      <c r="C4" s="184"/>
      <c r="D4" s="184"/>
      <c r="E4" s="184"/>
      <c r="F4" s="184"/>
      <c r="G4" s="185"/>
      <c r="H4" s="59" t="str">
        <f>IF(表紙!H4="","",表紙!H4)</f>
        <v>AP0602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83" t="s">
        <v>62</v>
      </c>
      <c r="V4" s="184"/>
      <c r="W4" s="184"/>
      <c r="X4" s="184"/>
      <c r="Y4" s="185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テンプレート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01" customFormat="1" ht="15" customHeight="1" x14ac:dyDescent="0.25">
      <c r="BK7" s="200"/>
    </row>
    <row r="8" spans="1:63" s="201" customFormat="1" ht="15" customHeight="1" x14ac:dyDescent="0.25">
      <c r="BK8" s="200"/>
    </row>
    <row r="9" spans="1:63" s="201" customFormat="1" ht="15" customHeight="1" x14ac:dyDescent="0.25">
      <c r="BK9" s="200"/>
    </row>
    <row r="10" spans="1:63" s="201" customFormat="1" ht="15" customHeight="1" x14ac:dyDescent="0.25">
      <c r="BK10" s="200"/>
    </row>
    <row r="11" spans="1:63" s="201" customFormat="1" ht="15" customHeight="1" x14ac:dyDescent="0.25">
      <c r="BK11" s="200"/>
    </row>
    <row r="12" spans="1:63" s="201" customFormat="1" ht="15" customHeight="1" x14ac:dyDescent="0.25">
      <c r="BK12" s="200"/>
    </row>
    <row r="13" spans="1:63" s="201" customFormat="1" ht="15" customHeight="1" x14ac:dyDescent="0.25">
      <c r="BK13" s="200"/>
    </row>
    <row r="14" spans="1:63" s="201" customFormat="1" ht="15" customHeight="1" x14ac:dyDescent="0.25">
      <c r="BK14" s="200"/>
    </row>
    <row r="15" spans="1:63" s="201" customFormat="1" ht="15" customHeight="1" x14ac:dyDescent="0.25">
      <c r="BK15" s="200"/>
    </row>
    <row r="16" spans="1:63" s="201" customFormat="1" ht="15" customHeight="1" x14ac:dyDescent="0.25">
      <c r="BK16" s="200"/>
    </row>
    <row r="17" spans="63:63" s="201" customFormat="1" ht="15" customHeight="1" x14ac:dyDescent="0.25">
      <c r="BK17" s="200"/>
    </row>
    <row r="18" spans="63:63" s="201" customFormat="1" ht="15" customHeight="1" x14ac:dyDescent="0.25">
      <c r="BK18" s="200"/>
    </row>
    <row r="19" spans="63:63" s="201" customFormat="1" ht="15" customHeight="1" x14ac:dyDescent="0.25">
      <c r="BK19" s="200"/>
    </row>
    <row r="20" spans="63:63" s="201" customFormat="1" ht="15" customHeight="1" x14ac:dyDescent="0.25">
      <c r="BK20" s="200"/>
    </row>
    <row r="21" spans="63:63" s="201" customFormat="1" ht="15" customHeight="1" x14ac:dyDescent="0.25">
      <c r="BK21" s="200"/>
    </row>
    <row r="22" spans="63:63" s="201" customFormat="1" ht="15" customHeight="1" x14ac:dyDescent="0.25">
      <c r="BK22" s="200"/>
    </row>
    <row r="23" spans="63:63" s="201" customFormat="1" ht="15" customHeight="1" x14ac:dyDescent="0.25">
      <c r="BK23" s="200"/>
    </row>
    <row r="24" spans="63:63" s="201" customFormat="1" ht="15" customHeight="1" x14ac:dyDescent="0.25">
      <c r="BK24" s="200"/>
    </row>
    <row r="25" spans="63:63" s="201" customFormat="1" ht="15" customHeight="1" x14ac:dyDescent="0.25">
      <c r="BK25" s="200"/>
    </row>
    <row r="26" spans="63:63" s="201" customFormat="1" ht="15" customHeight="1" x14ac:dyDescent="0.25">
      <c r="BK26" s="200"/>
    </row>
    <row r="27" spans="63:63" s="201" customFormat="1" ht="15" customHeight="1" x14ac:dyDescent="0.25">
      <c r="BK27" s="200"/>
    </row>
    <row r="28" spans="63:63" s="201" customFormat="1" ht="15" customHeight="1" x14ac:dyDescent="0.25">
      <c r="BK28" s="200"/>
    </row>
    <row r="29" spans="63:63" s="201" customFormat="1" ht="15" customHeight="1" x14ac:dyDescent="0.25">
      <c r="BK29" s="200"/>
    </row>
    <row r="30" spans="63:63" s="201" customFormat="1" ht="15" customHeight="1" x14ac:dyDescent="0.25">
      <c r="BK30" s="200"/>
    </row>
    <row r="31" spans="63:63" s="201" customFormat="1" ht="15" customHeight="1" x14ac:dyDescent="0.25">
      <c r="BK31" s="200"/>
    </row>
    <row r="32" spans="63:63" s="201" customFormat="1" ht="15" customHeight="1" x14ac:dyDescent="0.25">
      <c r="BK32" s="200"/>
    </row>
    <row r="33" spans="63:63" s="201" customFormat="1" ht="15" customHeight="1" x14ac:dyDescent="0.25">
      <c r="BK33" s="200"/>
    </row>
    <row r="34" spans="63:63" s="201" customFormat="1" ht="15" customHeight="1" x14ac:dyDescent="0.25">
      <c r="BK34" s="200"/>
    </row>
    <row r="35" spans="63:63" s="201" customFormat="1" ht="15" customHeight="1" x14ac:dyDescent="0.25">
      <c r="BK35" s="200"/>
    </row>
    <row r="36" spans="63:63" s="201" customFormat="1" ht="15" customHeight="1" x14ac:dyDescent="0.25">
      <c r="BK36" s="200"/>
    </row>
    <row r="37" spans="63:63" s="201" customFormat="1" ht="15" customHeight="1" x14ac:dyDescent="0.25">
      <c r="BK37" s="200"/>
    </row>
    <row r="38" spans="63:63" s="201" customFormat="1" ht="15" customHeight="1" x14ac:dyDescent="0.25">
      <c r="BK38" s="200"/>
    </row>
    <row r="39" spans="63:63" s="201" customFormat="1" ht="15" customHeight="1" x14ac:dyDescent="0.25">
      <c r="BK39" s="200"/>
    </row>
    <row r="40" spans="63:63" s="201" customFormat="1" ht="15" customHeight="1" x14ac:dyDescent="0.25">
      <c r="BK40" s="200"/>
    </row>
    <row r="41" spans="63:63" s="201" customFormat="1" ht="15" customHeight="1" x14ac:dyDescent="0.25">
      <c r="BK41" s="200"/>
    </row>
    <row r="42" spans="63:63" s="201" customFormat="1" ht="15" customHeight="1" x14ac:dyDescent="0.25">
      <c r="BK42" s="200"/>
    </row>
    <row r="43" spans="63:63" s="201" customFormat="1" ht="15" customHeight="1" x14ac:dyDescent="0.25">
      <c r="BK43" s="200"/>
    </row>
    <row r="44" spans="63:63" s="201" customFormat="1" ht="15" customHeight="1" x14ac:dyDescent="0.25">
      <c r="BK44" s="200"/>
    </row>
    <row r="45" spans="63:63" s="201" customFormat="1" ht="15" customHeight="1" x14ac:dyDescent="0.25">
      <c r="BK45" s="200"/>
    </row>
    <row r="46" spans="63:63" s="201" customFormat="1" ht="15" customHeight="1" x14ac:dyDescent="0.25">
      <c r="BK46" s="200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7EDEC0-81AD-432F-A9BE-E6A2EF0DBF5E}"/>
</file>

<file path=customXml/itemProps2.xml><?xml version="1.0" encoding="utf-8"?>
<ds:datastoreItem xmlns:ds="http://schemas.openxmlformats.org/officeDocument/2006/customXml" ds:itemID="{9327733B-A853-4080-B7CE-DC1934DE8356}"/>
</file>

<file path=customXml/itemProps3.xml><?xml version="1.0" encoding="utf-8"?>
<ds:datastoreItem xmlns:ds="http://schemas.openxmlformats.org/officeDocument/2006/customXml" ds:itemID="{389D544B-BACE-41E5-B913-8C0D1727D41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AP0602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2024-12-31T04:29:25Z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