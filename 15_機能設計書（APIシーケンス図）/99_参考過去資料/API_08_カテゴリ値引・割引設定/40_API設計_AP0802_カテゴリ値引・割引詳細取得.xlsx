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E044C2BF-5B1E-4D50-A87A-8089C15F822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802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処理フロー!$A$1:$BK$37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<sst xmlns="http://schemas.openxmlformats.org/spreadsheetml/2006/main" count="288" uniqueCount="169">
  <si>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</si>
  <si>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</si>
  <si>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</si>
  <si>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</si>
  <si>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</si>
  <si>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</si>
  <si>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</si>
  <si>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</si>
  <si>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</si>
  <si>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</si>
  <si>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</si>
  <si>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</si>
  <si>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</si>
  <si>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</si>
  <si>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</si>
  <si>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</si>
  <si>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</si>
  <si>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</si>
  <si>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</si>
  <si>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</si>
  <si>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</si>
  <si>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t>{</t>
  </si>
  <si>
    <t>}</t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</si>
  <si>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</si>
  <si>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</si>
  <si>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</si>
  <si>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</si>
  <si>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</si>
  <si>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</si>
  <si>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</si>
  <si>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</si>
  <si>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</si>
  <si>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</si>
  <si>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</si>
  <si>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</si>
  <si>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</si>
  <si>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企業コード</t>
    </r>
  </si>
  <si>
    <r>
      <rPr>
        <sz val="11"/>
        <color rgb="FF000000"/>
        <rFont val="Meiryo UI"/>
        <family val="2"/>
      </rPr>
      <t>discount_value</t>
    </r>
  </si>
  <si>
    <r>
      <rPr>
        <sz val="11"/>
        <color rgb="FF000000"/>
        <rFont val="Meiryo UI"/>
        <family val="2"/>
      </rPr>
      <t>40_API設計_共通.xlsxをご参照ください。</t>
    </r>
  </si>
  <si>
    <r>
      <rPr>
        <sz val="11"/>
        <color rgb="FF000000"/>
        <rFont val="Meiryo UI"/>
        <family val="2"/>
      </rPr>
      <t>M_DiscountMDHierarchy.CompanyCode</t>
    </r>
  </si>
  <si>
    <r>
      <rPr>
        <sz val="11"/>
        <color rgb="FF000000"/>
        <rFont val="Meiryo UI"/>
        <family val="2"/>
      </rPr>
      <t>M_DiscountMDHierarchy.StoreCode</t>
    </r>
  </si>
  <si>
    <r>
      <rPr>
        <sz val="11"/>
        <color rgb="FF000000"/>
        <rFont val="Meiryo UI"/>
        <family val="2"/>
      </rPr>
      <t>discount_md_hierarchy_code</t>
    </r>
  </si>
  <si>
    <r>
      <rPr>
        <sz val="11"/>
        <color rgb="FF000000"/>
        <rFont val="Meiryo UI"/>
        <family val="2"/>
      </rPr>
      <t>割引コード</t>
    </r>
  </si>
  <si>
    <r>
      <rPr>
        <sz val="11"/>
        <color rgb="FF000000"/>
        <rFont val="Meiryo UI"/>
        <family val="2"/>
      </rPr>
      <t>M_MDHierarchy.Description</t>
    </r>
  </si>
  <si>
    <r>
      <rPr>
        <sz val="11"/>
        <color rgb="FF000000"/>
        <rFont val="Meiryo UI"/>
        <family val="2"/>
      </rPr>
      <t>DiscountMDHierarchyCode.StartDateTime</t>
    </r>
  </si>
  <si>
    <r>
      <rPr>
        <sz val="11"/>
        <color rgb="FF000000"/>
        <rFont val="Meiryo UI"/>
        <family val="2"/>
      </rPr>
      <t>DiscountMDHierarchyCode.StartServiceTime</t>
    </r>
  </si>
  <si>
    <r>
      <rPr>
        <sz val="11"/>
        <color rgb="FF000000"/>
        <rFont val="Meiryo UI"/>
        <family val="2"/>
      </rPr>
      <t>DiscountMDHierarchyCode.EndServiceTime</t>
    </r>
  </si>
  <si>
    <r>
      <rPr>
        <sz val="11"/>
        <color rgb="FF000000"/>
        <rFont val="Meiryo UI"/>
        <family val="2"/>
      </rPr>
      <t>start_service_time</t>
    </r>
  </si>
  <si>
    <r>
      <rPr>
        <sz val="11"/>
        <color rgb="FF000000"/>
        <rFont val="Meiryo UI"/>
        <family val="2"/>
      </rPr>
      <t>end_service_time</t>
    </r>
  </si>
  <si>
    <r>
      <rPr>
        <sz val="11"/>
        <color rgb="FF000000"/>
        <rFont val="Meiryo UI"/>
        <family val="2"/>
      </rPr>
      <t>DiscountMDHierarchyCode.TimeService</t>
    </r>
  </si>
  <si>
    <r>
      <rPr>
        <sz val="11"/>
        <color rgb="FF000000"/>
        <rFont val="Meiryo UI"/>
        <family val="2"/>
      </rPr>
      <t>DiscountTypeCode</t>
    </r>
  </si>
  <si>
    <r>
      <rPr>
        <sz val="11"/>
        <color rgb="FF000000"/>
        <rFont val="Meiryo UI"/>
        <family val="2"/>
      </rPr>
      <t>discount_type_code</t>
    </r>
  </si>
  <si>
    <r>
      <rPr>
        <sz val="11"/>
        <color rgb="FF000000"/>
        <rFont val="Meiryo UI"/>
        <family val="2"/>
      </rPr>
      <t>DiscountValue</t>
    </r>
  </si>
  <si>
    <r>
      <rPr>
        <sz val="11"/>
        <color rgb="FF000000"/>
        <rFont val="Meiryo UI"/>
        <family val="2"/>
      </rPr>
      <t>割引開始時間：hh:mm</t>
    </r>
  </si>
  <si>
    <r>
      <rPr>
        <sz val="11"/>
        <color rgb="FF000000"/>
        <rFont val="Meiryo UI"/>
        <family val="2"/>
      </rPr>
      <t>割引終了時間：hh:mm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</si>
  <si>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</si>
  <si>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000000"/>
        <rFont val="Meiryo UI"/>
        <family val="2"/>
      </rPr>
      <t>タイムサービス</t>
    </r>
  </si>
  <si>
    <r>
      <rPr>
        <sz val="11"/>
        <color rgb="FF000000"/>
        <rFont val="Meiryo UI"/>
        <family val="2"/>
      </rPr>
      <t>カテゴリ値引(割引率・値引金額)</t>
    </r>
  </si>
  <si>
    <r>
      <rPr>
        <sz val="11"/>
        <color rgb="FF000000"/>
        <rFont val="Meiryo UI"/>
        <family val="2"/>
      </rPr>
      <t>値引種類(割引率・値引金額)</t>
    </r>
  </si>
  <si>
    <r>
      <rPr>
        <sz val="11"/>
        <color rgb="FF000000"/>
        <rFont val="Meiryo UI"/>
        <family val="2"/>
      </rPr>
      <t>type_time_service</t>
    </r>
  </si>
  <si>
    <r>
      <rPr>
        <sz val="11"/>
        <color rgb="FF000000"/>
        <rFont val="Meiryo UI"/>
        <family val="2"/>
      </rPr>
      <t>M_DiscountMDHierarchy.RECORD_ID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</si>
  <si>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</si>
  <si>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</si>
  <si>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レコードID</t>
    </r>
  </si>
  <si>
    <r>
      <rPr>
        <sz val="11"/>
        <color rgb="FF000000"/>
        <rFont val="Meiryo UI"/>
        <family val="2"/>
      </rPr>
      <t>code_level_one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</si>
  <si>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</si>
  <si>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</si>
  <si>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level_one</t>
    </r>
  </si>
  <si>
    <r>
      <rPr>
        <sz val="11"/>
        <color rgb="FF000000"/>
        <rFont val="Meiryo UI"/>
        <family val="2"/>
      </rPr>
      <t>部門</t>
    </r>
  </si>
  <si>
    <r>
      <rPr>
        <sz val="11"/>
        <color rgb="FF000000"/>
        <rFont val="Meiryo UI"/>
        <family val="2"/>
      </rPr>
      <t>description_level_one</t>
    </r>
  </si>
  <si>
    <r>
      <rPr>
        <sz val="11"/>
        <color rgb="FF000000"/>
        <rFont val="Meiryo UI"/>
        <family val="2"/>
      </rPr>
      <t>部門名称</t>
    </r>
  </si>
  <si>
    <r>
      <rPr>
        <sz val="11"/>
        <color rgb="FF000000"/>
        <rFont val="Meiryo UI"/>
        <family val="2"/>
      </rPr>
      <t>code_level_two</t>
    </r>
  </si>
  <si>
    <r>
      <rPr>
        <sz val="11"/>
        <color rgb="FF000000"/>
        <rFont val="Meiryo UI"/>
        <family val="2"/>
      </rPr>
      <t>品群コード</t>
    </r>
  </si>
  <si>
    <r>
      <rPr>
        <sz val="11"/>
        <color rgb="FF000000"/>
        <rFont val="Meiryo UI"/>
        <family val="2"/>
      </rPr>
      <t>level_two</t>
    </r>
  </si>
  <si>
    <r>
      <rPr>
        <sz val="11"/>
        <color rgb="FF000000"/>
        <rFont val="Meiryo UI"/>
        <family val="2"/>
      </rPr>
      <t>品群</t>
    </r>
  </si>
  <si>
    <r>
      <rPr>
        <sz val="11"/>
        <color rgb="FF000000"/>
        <rFont val="Meiryo UI"/>
        <family val="2"/>
      </rPr>
      <t>description_level_two</t>
    </r>
  </si>
  <si>
    <r>
      <rPr>
        <sz val="11"/>
        <color rgb="FF000000"/>
        <rFont val="Meiryo UI"/>
        <family val="2"/>
      </rPr>
      <t>品群名称</t>
    </r>
  </si>
  <si>
    <r>
      <rPr>
        <sz val="11"/>
        <color rgb="FF000000"/>
        <rFont val="Meiryo UI"/>
        <family val="2"/>
      </rPr>
      <t>code_level_three</t>
    </r>
  </si>
  <si>
    <r>
      <rPr>
        <sz val="11"/>
        <color rgb="FF000000"/>
        <rFont val="Meiryo UI"/>
        <family val="2"/>
      </rPr>
      <t>品種コード</t>
    </r>
  </si>
  <si>
    <r>
      <rPr>
        <sz val="11"/>
        <color rgb="FF000000"/>
        <rFont val="Meiryo UI"/>
        <family val="2"/>
      </rPr>
      <t>level_three</t>
    </r>
  </si>
  <si>
    <r>
      <rPr>
        <sz val="11"/>
        <color rgb="FF000000"/>
        <rFont val="Meiryo UI"/>
        <family val="2"/>
      </rPr>
      <t>品種</t>
    </r>
  </si>
  <si>
    <r>
      <rPr>
        <sz val="11"/>
        <color rgb="FF000000"/>
        <rFont val="Meiryo UI"/>
        <family val="2"/>
      </rPr>
      <t>description_level_three</t>
    </r>
  </si>
  <si>
    <r>
      <rPr>
        <sz val="11"/>
        <color rgb="FF000000"/>
        <rFont val="Meiryo UI"/>
        <family val="2"/>
      </rPr>
      <t>品種名称</t>
    </r>
  </si>
  <si>
    <r>
      <rPr>
        <sz val="11"/>
        <color rgb="FF000000"/>
        <rFont val="Meiryo UI"/>
        <family val="2"/>
      </rPr>
      <t>code_level_four</t>
    </r>
  </si>
  <si>
    <r>
      <rPr>
        <sz val="11"/>
        <color rgb="FF000000"/>
        <rFont val="Meiryo UI"/>
        <family val="2"/>
      </rPr>
      <t>分類コード</t>
    </r>
  </si>
  <si>
    <r>
      <rPr>
        <sz val="11"/>
        <color rgb="FF000000"/>
        <rFont val="Meiryo UI"/>
        <family val="2"/>
      </rPr>
      <t>level_four</t>
    </r>
  </si>
  <si>
    <r>
      <rPr>
        <sz val="11"/>
        <color rgb="FF000000"/>
        <rFont val="Meiryo UI"/>
        <family val="2"/>
      </rPr>
      <t>分類</t>
    </r>
  </si>
  <si>
    <r>
      <rPr>
        <sz val="11"/>
        <color rgb="FF000000"/>
        <rFont val="Meiryo UI"/>
        <family val="2"/>
      </rPr>
      <t>description_level_four</t>
    </r>
  </si>
  <si>
    <r>
      <rPr>
        <sz val="11"/>
        <color rgb="FF000000"/>
        <rFont val="Meiryo UI"/>
        <family val="2"/>
      </rPr>
      <t>分類名称</t>
    </r>
  </si>
  <si>
    <r>
      <rPr>
        <sz val="11"/>
        <color rgb="FF000000"/>
        <rFont val="Meiryo UI"/>
        <family val="2"/>
      </rPr>
      <t>M_MDHierarchy.Code</t>
    </r>
  </si>
  <si>
    <r>
      <rPr>
        <sz val="11"/>
        <color rgb="FF000000"/>
        <rFont val="Meiryo UI"/>
        <family val="2"/>
      </rPr>
      <t>M_MDHierarchy.Level</t>
    </r>
  </si>
  <si>
    <r>
      <rPr>
        <sz val="11"/>
        <color rgb="FF000000"/>
        <rFont val="Meiryo UI"/>
        <family val="2"/>
      </rPr>
      <t>カテゴリ値引・割引詳細情報を取得する。</t>
    </r>
  </si>
  <si>
    <r>
      <rPr>
        <sz val="11"/>
        <color rgb="FF000000"/>
        <rFont val="Meiryo UI"/>
        <family val="2"/>
      </rPr>
      <t>api/v1/discount-category/detail</t>
    </r>
  </si>
  <si>
    <r>
      <rPr>
        <sz val="11"/>
        <color rgb="FF000000"/>
        <rFont val="Meiryo UI"/>
        <family val="2"/>
      </rPr>
      <t>AP0802</t>
    </r>
  </si>
  <si>
    <r>
      <rPr>
        <sz val="11"/>
        <color rgb="FF000000"/>
        <rFont val="Meiryo UI"/>
        <family val="2"/>
      </rPr>
      <t>M_DiscountMDHierarchy.DiscountMDHierarchyCode</t>
    </r>
  </si>
  <si>
    <r>
      <rPr>
        <sz val="11"/>
        <color rgb="FF000000"/>
        <rFont val="Meiryo UI"/>
        <family val="2"/>
      </rPr>
      <t>M_DiscountMDHierarchy.MDHierarchyCode</t>
    </r>
  </si>
  <si>
    <r>
      <rPr>
        <sz val="11"/>
        <color rgb="FF000000"/>
        <rFont val="Meiryo UI"/>
        <family val="2"/>
      </rPr>
      <t>M_DiscountMDHierarchy.MDHierarchyLevel</t>
    </r>
  </si>
  <si>
    <r>
      <rPr>
        <sz val="11"/>
        <color rgb="FF000000"/>
        <rFont val="Meiryo UI"/>
        <family val="2"/>
      </rPr>
      <t>割引が設定されている商品階層コード</t>
    </r>
  </si>
  <si>
    <r>
      <rPr>
        <sz val="11"/>
        <color rgb="FF000000"/>
        <rFont val="Meiryo UI"/>
        <family val="2"/>
      </rPr>
      <t>割引が設定されている商品階層</t>
    </r>
  </si>
  <si>
    <r>
      <rPr>
        <sz val="11"/>
        <color rgb="FF000000"/>
        <rFont val="Meiryo UI"/>
        <family val="2"/>
      </rPr>
      <t>md_hierarchy_code</t>
    </r>
  </si>
  <si>
    <r>
      <rPr>
        <sz val="11"/>
        <color rgb="FF000000"/>
        <rFont val="Meiryo UI"/>
        <family val="2"/>
      </rPr>
      <t>md_hierarchy_level</t>
    </r>
  </si>
  <si>
    <r>
      <rPr>
        <sz val="11"/>
        <color rgb="FF000000"/>
        <rFont val="Meiryo UI"/>
        <family val="2"/>
      </rPr>
      <t>apply_date_time</t>
    </r>
  </si>
  <si>
    <r>
      <rPr>
        <sz val="11"/>
        <color rgb="FF000000"/>
        <rFont val="Meiryo UI"/>
        <family val="2"/>
      </rPr>
      <t>M_DiscountMDHierarchy.ApplyDateTime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</si>
  <si>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</si>
  <si>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</si>
  <si>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</si>
  <si>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</si>
  <si>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</si>
  <si>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</si>
  <si>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</si>
  <si>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</si>
  <si>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</si>
  <si>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</si>
  <si>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</si>
  <si>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</si>
  <si>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</si>
  <si>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</si>
  <si>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</si>
  <si>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</si>
  <si>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</si>
  <si>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</si>
  <si>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</si>
  <si>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</si>
  <si>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</si>
  <si>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</si>
  <si>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</si>
  <si>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</si>
  <si>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</si>
  <si>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</si>
  <si>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</si>
  <si>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</si>
  <si>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</si>
  <si>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</si>
  <si>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2.4 Request Body</t>
  </si>
  <si>
    <t>※サンプル</t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</si>
  <si>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</si>
  <si>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</si>
  <si>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</si>
  <si>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適用日 形式：yyyy/MM/dd hh:mm:ss</t>
    </r>
  </si>
  <si>
    <r>
      <rPr>
        <sz val="11"/>
        <color rgb="FF000000"/>
        <rFont val="Meiryo UI"/>
        <family val="2"/>
      </rPr>
      <t xml:space="preserve">DiscountMDHierarchyCode.EndDateTime </t>
    </r>
  </si>
  <si>
    <r>
      <rPr>
        <sz val="11"/>
        <color rgb="FF000000"/>
        <rFont val="Meiryo UI"/>
        <family val="2"/>
      </rPr>
      <t xml:space="preserve">   "record_id":1,</t>
    </r>
  </si>
  <si>
    <r>
      <rPr>
        <sz val="11"/>
        <color rgb="FF000000"/>
        <rFont val="Meiryo UI"/>
        <family val="2"/>
      </rPr>
      <t xml:space="preserve">   "company_code:"100",</t>
    </r>
  </si>
  <si>
    <r>
      <rPr>
        <sz val="11"/>
        <color rgb="FF000000"/>
        <rFont val="Meiryo UI"/>
        <family val="2"/>
      </rPr>
      <t xml:space="preserve">   "store_code":"00002",</t>
    </r>
  </si>
  <si>
    <r>
      <rPr>
        <sz val="11"/>
        <color rgb="FF000000"/>
        <rFont val="Meiryo UI"/>
        <family val="2"/>
      </rPr>
      <t xml:space="preserve">   "discount_md_hierarchy_code": "1",</t>
    </r>
  </si>
  <si>
    <r>
      <rPr>
        <sz val="11"/>
        <color rgb="FF000000"/>
        <rFont val="Meiryo UI"/>
        <family val="2"/>
      </rPr>
      <t xml:space="preserve">   "md_hierarchy_code": "01",</t>
    </r>
  </si>
  <si>
    <r>
      <rPr>
        <sz val="11"/>
        <color rgb="FF000000"/>
        <rFont val="Meiryo UI"/>
        <family val="2"/>
      </rPr>
      <t xml:space="preserve">   "md_hierarchy_level": 1,</t>
    </r>
  </si>
  <si>
    <r>
      <rPr>
        <sz val="11"/>
        <color rgb="FF000000"/>
        <rFont val="Meiryo UI"/>
        <family val="2"/>
      </rPr>
      <t xml:space="preserve">   "apply_date_time": "2024/09/09 00:00:00",</t>
    </r>
  </si>
  <si>
    <r>
      <rPr>
        <sz val="11"/>
        <color rgb="FF000000"/>
        <rFont val="Meiryo UI"/>
        <family val="2"/>
      </rPr>
      <t xml:space="preserve">   "code_level_one": "01",</t>
    </r>
  </si>
  <si>
    <r>
      <rPr>
        <sz val="11"/>
        <color rgb="FF000000"/>
        <rFont val="Meiryo UI"/>
        <family val="2"/>
      </rPr>
      <t xml:space="preserve">   "level_one": 1,</t>
    </r>
  </si>
  <si>
    <r>
      <rPr>
        <sz val="11"/>
        <color rgb="FF000000"/>
        <rFont val="Meiryo UI"/>
        <family val="2"/>
      </rPr>
      <t xml:space="preserve">   "description_level_one": "ab",</t>
    </r>
  </si>
  <si>
    <r>
      <rPr>
        <sz val="11"/>
        <color rgb="FF000000"/>
        <rFont val="Meiryo UI"/>
        <family val="2"/>
      </rPr>
      <t xml:space="preserve">   "code_level_two": "0101",</t>
    </r>
  </si>
  <si>
    <r>
      <rPr>
        <sz val="11"/>
        <color rgb="FF000000"/>
        <rFont val="Meiryo UI"/>
        <family val="2"/>
      </rPr>
      <t xml:space="preserve">   "level_two": 2,</t>
    </r>
  </si>
  <si>
    <r>
      <rPr>
        <sz val="11"/>
        <color rgb="FF000000"/>
        <rFont val="Meiryo UI"/>
        <family val="2"/>
      </rPr>
      <t xml:space="preserve">   "description_level_two": "abc",</t>
    </r>
  </si>
  <si>
    <r>
      <rPr>
        <sz val="11"/>
        <color rgb="FF000000"/>
        <rFont val="Meiryo UI"/>
        <family val="2"/>
      </rPr>
      <t xml:space="preserve">   "code_level_three": "010101",</t>
    </r>
  </si>
  <si>
    <r>
      <rPr>
        <sz val="11"/>
        <color rgb="FF000000"/>
        <rFont val="Meiryo UI"/>
        <family val="2"/>
      </rPr>
      <t xml:space="preserve">   "level_three": 3,</t>
    </r>
  </si>
  <si>
    <r>
      <rPr>
        <sz val="11"/>
        <color rgb="FF000000"/>
        <rFont val="Meiryo UI"/>
        <family val="2"/>
      </rPr>
      <t xml:space="preserve">   "description_level_three": "abcd",</t>
    </r>
  </si>
  <si>
    <r>
      <rPr>
        <sz val="11"/>
        <color rgb="FF000000"/>
        <rFont val="Meiryo UI"/>
        <family val="2"/>
      </rPr>
      <t xml:space="preserve">   "code_level_four": "01010101",</t>
    </r>
  </si>
  <si>
    <r>
      <rPr>
        <sz val="11"/>
        <color rgb="FF000000"/>
        <rFont val="Meiryo UI"/>
        <family val="2"/>
      </rPr>
      <t xml:space="preserve">   "level_four": 4,</t>
    </r>
  </si>
  <si>
    <r>
      <rPr>
        <sz val="11"/>
        <color rgb="FF000000"/>
        <rFont val="Meiryo UI"/>
        <family val="2"/>
      </rPr>
      <t xml:space="preserve">      "description_level_four": "abcde",</t>
    </r>
  </si>
  <si>
    <r>
      <rPr>
        <sz val="11"/>
        <color rgb="FF000000"/>
        <rFont val="Meiryo UI"/>
        <family val="2"/>
      </rPr>
      <t xml:space="preserve">   "start_date_time":"2024/09/09",</t>
    </r>
  </si>
  <si>
    <r>
      <rPr>
        <sz val="11"/>
        <color rgb="FF000000"/>
        <rFont val="Meiryo UI"/>
        <family val="2"/>
      </rPr>
      <t xml:space="preserve">   "end_date_time":"2024/09/10"</t>
    </r>
  </si>
  <si>
    <r>
      <rPr>
        <sz val="11"/>
        <color rgb="FF000000"/>
        <rFont val="Meiryo UI"/>
        <family val="2"/>
      </rPr>
      <t xml:space="preserve">   "start_service_time":"07:00",</t>
    </r>
  </si>
  <si>
    <r>
      <rPr>
        <sz val="11"/>
        <color rgb="FF000000"/>
        <rFont val="Meiryo UI"/>
        <family val="2"/>
      </rPr>
      <t xml:space="preserve">   "end_service_time":"02:00"</t>
    </r>
  </si>
  <si>
    <r>
      <rPr>
        <sz val="11"/>
        <color rgb="FF000000"/>
        <rFont val="Meiryo UI"/>
        <family val="2"/>
      </rPr>
      <t xml:space="preserve">   "time_service":1,</t>
    </r>
  </si>
  <si>
    <r>
      <rPr>
        <sz val="11"/>
        <color rgb="FF000000"/>
        <rFont val="Meiryo UI"/>
        <family val="2"/>
      </rPr>
      <t xml:space="preserve">   "discount_type_code":"1"</t>
    </r>
  </si>
  <si>
    <r>
      <rPr>
        <sz val="11"/>
        <color rgb="FF000000"/>
        <rFont val="Meiryo UI"/>
        <family val="2"/>
      </rPr>
      <t xml:space="preserve">   "discount_value":99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</si>
  <si>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</si>
  <si>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割引開始日。フォーマット：yy/MM/dd</t>
  </si>
  <si>
    <t>割引終了日。フォーマット：yy/MM/dd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</si>
</sst>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310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3" borderId="17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 indent="2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indent="1"/>
    </xf>
    <xf numFmtId="0" fontId="7" fillId="3" borderId="4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 wrapText="1"/>
    </xf>
    <xf numFmtId="0" fontId="17" fillId="0" borderId="3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 wrapText="1"/>
    </xf>
    <xf numFmtId="0" fontId="17" fillId="0" borderId="25" xfId="0" quotePrefix="1" applyFont="1" applyBorder="1" applyAlignment="1">
      <alignment horizontal="left" vertical="center" wrapText="1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3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7" fillId="0" borderId="23" xfId="0" applyFont="1" applyBorder="1" applyAlignment="1">
      <alignment vertical="center" wrapText="1"/>
    </xf>
    <xf numFmtId="0" fontId="17" fillId="0" borderId="24" xfId="0" applyFont="1" applyBorder="1" applyAlignment="1">
      <alignment vertical="center" wrapText="1"/>
    </xf>
    <xf numFmtId="0" fontId="17" fillId="0" borderId="25" xfId="0" applyFont="1" applyBorder="1" applyAlignment="1">
      <alignment vertical="center" wrapText="1"/>
    </xf>
    <xf numFmtId="0" fontId="17" fillId="0" borderId="23" xfId="0" applyFont="1" applyBorder="1" applyAlignment="1">
      <alignment horizontal="left" vertical="center" wrapText="1"/>
    </xf>
    <xf numFmtId="0" fontId="17" fillId="3" borderId="16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 indent="2"/>
    </xf>
    <xf numFmtId="0" fontId="17" fillId="3" borderId="0" xfId="0" applyFont="1" applyFill="1" applyAlignment="1">
      <alignment horizontal="left" vertical="center"/>
    </xf>
    <xf numFmtId="0" fontId="17" fillId="0" borderId="1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/>
    </xf>
    <xf numFmtId="0" fontId="17" fillId="3" borderId="0" xfId="0" applyFont="1" applyFill="1" applyAlignment="1">
      <alignment horizontal="left" vertical="center" indent="2"/>
    </xf>
    <xf numFmtId="0" fontId="17" fillId="3" borderId="4" xfId="0" applyFont="1" applyFill="1" applyBorder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12</xdr:row>
      <xdr:rowOff>0</xdr:rowOff>
    </xdr:from>
    <xdr:to>
      <xdr:col>62</xdr:col>
      <xdr:colOff>0</xdr:colOff>
      <xdr:row>19</xdr:row>
      <xdr:rowOff>11206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400300"/>
          <a:ext cx="7200900" cy="1343025"/>
        </a:xfrm>
        <a:prstGeom prst="borderCallout1">
          <a:avLst>
            <a:gd name="adj1" fmla="val 56810"/>
            <a:gd name="adj2" fmla="val 117"/>
            <a:gd name="adj3" fmla="val 56324"/>
            <a:gd name="adj4" fmla="val -9654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M_DiscountMDHierarchyテーブルのカテゴリ値引・割引詳細情報を取得する。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▪M_MDHierarchyテーブルとのJOINを実施して、値引・割引があるグループの親レベルに関する情報を取得する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AND M_DiscountMDHierarchy.CompanyCode = User.CompanyCode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AND M_DiscountMDHierarchy.StoreCode = param {store_code}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AND M_DiscountMDHierarchy.RECORD_ID = param {record_id}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33</xdr:row>
      <xdr:rowOff>0</xdr:rowOff>
    </xdr:from>
    <xdr:to>
      <xdr:col>8</xdr:col>
      <xdr:colOff>0</xdr:colOff>
      <xdr:row>34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64008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21</xdr:row>
      <xdr:rowOff>190499</xdr:rowOff>
    </xdr:from>
    <xdr:to>
      <xdr:col>8</xdr:col>
      <xdr:colOff>235323</xdr:colOff>
      <xdr:row>26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3053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26</xdr:row>
      <xdr:rowOff>179293</xdr:rowOff>
    </xdr:from>
    <xdr:to>
      <xdr:col>6</xdr:col>
      <xdr:colOff>235323</xdr:colOff>
      <xdr:row>27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248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23</xdr:row>
      <xdr:rowOff>179293</xdr:rowOff>
    </xdr:from>
    <xdr:to>
      <xdr:col>10</xdr:col>
      <xdr:colOff>235323</xdr:colOff>
      <xdr:row>24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21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35337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カテゴリ値引・割引詳細情報取得</a:t>
          </a: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84043</xdr:rowOff>
    </xdr:from>
    <xdr:to>
      <xdr:col>10</xdr:col>
      <xdr:colOff>235323</xdr:colOff>
      <xdr:row>33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600200" y="4772025"/>
          <a:ext cx="1304925" cy="1628775"/>
        </a:xfrm>
        <a:prstGeom prst="bentConnector4">
          <a:avLst>
            <a:gd name="adj1" fmla="val -19429"/>
            <a:gd name="adj2" fmla="val 6529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21</xdr:row>
      <xdr:rowOff>0</xdr:rowOff>
    </xdr:from>
    <xdr:to>
      <xdr:col>62</xdr:col>
      <xdr:colOff>0</xdr:colOff>
      <xdr:row>24</xdr:row>
      <xdr:rowOff>179294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114800"/>
          <a:ext cx="7200900" cy="752475"/>
        </a:xfrm>
        <a:prstGeom prst="borderCallout1">
          <a:avLst>
            <a:gd name="adj1" fmla="val 51170"/>
            <a:gd name="adj2" fmla="val 117"/>
            <a:gd name="adj3" fmla="val 51134"/>
            <a:gd name="adj4" fmla="val -1041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▪レコードが存在している場合、ステップ1のカテゴリ値引・割引情報を返す。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レコードが存在していない場合、失敗レスポンス（status_code = 404）を返す。</a:t>
          </a:r>
        </a:p>
      </xdr:txBody>
    </xdr:sp>
    <xdr:clientData/>
  </xdr:twoCellAnchor>
  <xdr:twoCellAnchor>
    <xdr:from>
      <xdr:col>6</xdr:col>
      <xdr:colOff>0</xdr:colOff>
      <xdr:row>27</xdr:row>
      <xdr:rowOff>179293</xdr:rowOff>
    </xdr:from>
    <xdr:to>
      <xdr:col>6</xdr:col>
      <xdr:colOff>0</xdr:colOff>
      <xdr:row>33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8" idx="2"/>
          <a:endCxn id="4" idx="0"/>
        </xdr:cNvCxnSpPr>
      </xdr:nvCxnSpPr>
      <xdr:spPr>
        <a:xfrm>
          <a:off x="1600200" y="5438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27" customWidth="1"/>
    <col min="61" max="16384" width="2.77734375" style="127"/>
  </cols>
  <sheetData>
    <row r="1" spans="1:63" ht="24.95" customHeight="1" x14ac:dyDescent="0.25">
      <c r="A1" s="121" t="s">
        <v>103</v>
      </c>
      <c r="B1" s="122"/>
      <c r="C1" s="122"/>
      <c r="D1" s="122"/>
      <c r="E1" s="122"/>
      <c r="F1" s="122"/>
      <c r="G1" s="122"/>
      <c r="H1" s="122"/>
      <c r="I1" s="122"/>
      <c r="J1" s="123"/>
      <c r="K1" s="121" t="s">
        <v>104</v>
      </c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3"/>
      <c r="W1" s="124" t="s">
        <v>105</v>
      </c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6"/>
      <c r="AP1" s="121" t="s">
        <v>106</v>
      </c>
      <c r="AQ1" s="122"/>
      <c r="AR1" s="122"/>
      <c r="AS1" s="123"/>
      <c r="AT1" s="121" t="s">
        <v>107</v>
      </c>
      <c r="AU1" s="122"/>
      <c r="AV1" s="122"/>
      <c r="AW1" s="122"/>
      <c r="AX1" s="123"/>
      <c r="AY1" s="121" t="s">
        <v>108</v>
      </c>
      <c r="AZ1" s="122"/>
      <c r="BA1" s="122"/>
      <c r="BB1" s="123"/>
      <c r="BC1" s="121" t="s">
        <v>109</v>
      </c>
      <c r="BD1" s="122"/>
      <c r="BE1" s="122"/>
      <c r="BF1" s="122"/>
      <c r="BG1" s="123"/>
      <c r="BH1" s="121" t="s">
        <v>110</v>
      </c>
      <c r="BI1" s="122"/>
      <c r="BJ1" s="122"/>
      <c r="BK1" s="123"/>
    </row>
    <row r="2" spans="1:63" ht="15" customHeight="1" x14ac:dyDescent="0.25">
      <c r="A2" s="54" t="s">
        <v>111</v>
      </c>
      <c r="B2" s="128"/>
      <c r="C2" s="128"/>
      <c r="D2" s="128"/>
      <c r="E2" s="128"/>
      <c r="F2" s="128"/>
      <c r="G2" s="128"/>
      <c r="H2" s="128"/>
      <c r="I2" s="128"/>
      <c r="J2" s="129"/>
      <c r="K2" s="130" t="s">
        <v>1</v>
      </c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9"/>
      <c r="W2" s="131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3"/>
      <c r="AP2" s="130" t="str">
        <f>改訂履歴!$H$11</f>
        <v>TuyenNH</v>
      </c>
      <c r="AQ2" s="128"/>
      <c r="AR2" s="128"/>
      <c r="AS2" s="129"/>
      <c r="AT2" s="134">
        <f>改訂履歴!$B$11</f>
        <v>45642</v>
      </c>
      <c r="AU2" s="135"/>
      <c r="AV2" s="135"/>
      <c r="AW2" s="135"/>
      <c r="AX2" s="136"/>
      <c r="AY2" s="130" t="str">
        <f>LOOKUP(2,1/(改訂履歴!H11:H30000&lt;&gt;""),改訂履歴!H11:H30000)</f>
        <v>TuyenNH</v>
      </c>
      <c r="AZ2" s="128"/>
      <c r="BA2" s="128"/>
      <c r="BB2" s="129"/>
      <c r="BC2" s="134">
        <f>LOOKUP(2,1/(改訂履歴!B11:B30000&lt;&gt;""),改訂履歴!B11:B30000)</f>
        <v>45642</v>
      </c>
      <c r="BD2" s="135"/>
      <c r="BE2" s="135"/>
      <c r="BF2" s="135"/>
      <c r="BG2" s="136"/>
      <c r="BH2" s="137">
        <f>LOOKUP(2,1/(改訂履歴!O11:O30000&lt;&gt;""),改訂履歴!O11:O30000)</f>
        <v>0.1</v>
      </c>
      <c r="BI2" s="138"/>
      <c r="BJ2" s="138"/>
      <c r="BK2" s="139"/>
    </row>
    <row r="3" spans="1:63" ht="15" customHeight="1" x14ac:dyDescent="0.25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3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5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9"/>
      <c r="BI3" s="150"/>
      <c r="BJ3" s="150"/>
      <c r="BK3" s="151"/>
    </row>
    <row r="4" spans="1:63" ht="24.95" customHeight="1" x14ac:dyDescent="0.25">
      <c r="A4" s="121" t="s">
        <v>112</v>
      </c>
      <c r="B4" s="122"/>
      <c r="C4" s="122"/>
      <c r="D4" s="122"/>
      <c r="E4" s="122"/>
      <c r="F4" s="122"/>
      <c r="G4" s="123"/>
      <c r="H4" s="152" t="s">
        <v>93</v>
      </c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4"/>
      <c r="U4" s="121" t="s">
        <v>113</v>
      </c>
      <c r="V4" s="122"/>
      <c r="W4" s="122"/>
      <c r="X4" s="122"/>
      <c r="Y4" s="123"/>
      <c r="Z4" s="53" t="s">
        <v>114</v>
      </c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4"/>
      <c r="AP4" s="152" t="str">
        <f t="array" aca="1" ref="AP4" ca="1">RIGHT(CELL("filename",$A$1),LEN(CELL("filename",$A$1))-FIND("]",CELL("filename",$A$1)))</f>
        <v>表紙</v>
      </c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4"/>
    </row>
    <row r="5" spans="1:63" ht="5.0999999999999996" customHeight="1" x14ac:dyDescent="0.25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7"/>
    </row>
    <row r="6" spans="1:63" ht="15" customHeight="1" x14ac:dyDescent="0.25">
      <c r="A6" s="158"/>
      <c r="BK6" s="159"/>
    </row>
    <row r="7" spans="1:63" ht="15" customHeight="1" x14ac:dyDescent="0.25">
      <c r="A7" s="158"/>
      <c r="BK7" s="159"/>
    </row>
    <row r="8" spans="1:63" ht="15" customHeight="1" x14ac:dyDescent="0.25">
      <c r="A8" s="158"/>
      <c r="BK8" s="159"/>
    </row>
    <row r="9" spans="1:63" ht="15" customHeight="1" x14ac:dyDescent="0.25">
      <c r="A9" s="158"/>
      <c r="BK9" s="159"/>
    </row>
    <row r="10" spans="1:63" ht="15" customHeight="1" x14ac:dyDescent="0.25">
      <c r="A10" s="158"/>
      <c r="BK10" s="159"/>
    </row>
    <row r="11" spans="1:63" ht="15" customHeight="1" x14ac:dyDescent="0.25">
      <c r="A11" s="158"/>
      <c r="BK11" s="159"/>
    </row>
    <row r="12" spans="1:63" ht="15" customHeight="1" x14ac:dyDescent="0.25">
      <c r="A12" s="158"/>
      <c r="BK12" s="159"/>
    </row>
    <row r="13" spans="1:63" ht="15" customHeight="1" x14ac:dyDescent="0.25">
      <c r="A13" s="158"/>
      <c r="BK13" s="159"/>
    </row>
    <row r="14" spans="1:63" ht="15" customHeight="1" thickBot="1" x14ac:dyDescent="0.3">
      <c r="A14" s="158"/>
      <c r="BK14" s="159"/>
    </row>
    <row r="15" spans="1:63" ht="15" customHeight="1" thickTop="1" x14ac:dyDescent="0.25">
      <c r="A15" s="158"/>
      <c r="K15" s="160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2"/>
      <c r="BK15" s="159"/>
    </row>
    <row r="16" spans="1:63" ht="15" customHeight="1" x14ac:dyDescent="0.25">
      <c r="A16" s="158"/>
      <c r="K16" s="163"/>
      <c r="L16" s="164" t="s">
        <v>115</v>
      </c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6"/>
      <c r="BK16" s="159"/>
    </row>
    <row r="17" spans="1:63" ht="15" customHeight="1" x14ac:dyDescent="0.25">
      <c r="A17" s="158"/>
      <c r="K17" s="163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6"/>
      <c r="BK17" s="159"/>
    </row>
    <row r="18" spans="1:63" ht="15" customHeight="1" x14ac:dyDescent="0.25">
      <c r="A18" s="158"/>
      <c r="K18" s="163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6"/>
      <c r="BK18" s="159"/>
    </row>
    <row r="19" spans="1:63" ht="15" customHeight="1" x14ac:dyDescent="0.25">
      <c r="A19" s="158"/>
      <c r="K19" s="163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6"/>
      <c r="BK19" s="159"/>
    </row>
    <row r="20" spans="1:63" ht="15" customHeight="1" x14ac:dyDescent="0.25">
      <c r="A20" s="158"/>
      <c r="K20" s="163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6"/>
      <c r="BK20" s="159"/>
    </row>
    <row r="21" spans="1:63" ht="15" customHeight="1" x14ac:dyDescent="0.25">
      <c r="A21" s="158"/>
      <c r="K21" s="163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6"/>
      <c r="BK21" s="159"/>
    </row>
    <row r="22" spans="1:63" ht="15" customHeight="1" thickBot="1" x14ac:dyDescent="0.3">
      <c r="A22" s="158"/>
      <c r="K22" s="163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6"/>
      <c r="BK22" s="159"/>
    </row>
    <row r="23" spans="1:63" ht="15" customHeight="1" x14ac:dyDescent="0.25">
      <c r="A23" s="158"/>
      <c r="K23" s="163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6"/>
      <c r="BK23" s="159"/>
    </row>
    <row r="24" spans="1:63" ht="15" customHeight="1" x14ac:dyDescent="0.25">
      <c r="A24" s="158"/>
      <c r="K24" s="163"/>
      <c r="L24" s="165" t="str">
        <f>K2&amp;"/"&amp;H4&amp;"/"&amp;Z4</f>
        <v>POSサーバ/AP0802/API設計書</v>
      </c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6"/>
      <c r="BK24" s="159"/>
    </row>
    <row r="25" spans="1:63" ht="15" customHeight="1" x14ac:dyDescent="0.25">
      <c r="A25" s="158"/>
      <c r="K25" s="163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6"/>
      <c r="BK25" s="159"/>
    </row>
    <row r="26" spans="1:63" ht="15" customHeight="1" x14ac:dyDescent="0.25">
      <c r="A26" s="158"/>
      <c r="K26" s="163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6"/>
      <c r="BK26" s="159"/>
    </row>
    <row r="27" spans="1:63" ht="15" customHeight="1" x14ac:dyDescent="0.25">
      <c r="A27" s="158"/>
      <c r="K27" s="163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6"/>
      <c r="BK27" s="159"/>
    </row>
    <row r="28" spans="1:63" ht="15" customHeight="1" x14ac:dyDescent="0.25">
      <c r="A28" s="158"/>
      <c r="K28" s="163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6"/>
      <c r="BK28" s="159"/>
    </row>
    <row r="29" spans="1:63" ht="15" customHeight="1" x14ac:dyDescent="0.25">
      <c r="A29" s="158"/>
      <c r="K29" s="163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6"/>
      <c r="BK29" s="159"/>
    </row>
    <row r="30" spans="1:63" ht="15" customHeight="1" x14ac:dyDescent="0.25">
      <c r="A30" s="158"/>
      <c r="K30" s="163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6"/>
      <c r="BK30" s="159"/>
    </row>
    <row r="31" spans="1:63" ht="15" customHeight="1" x14ac:dyDescent="0.25">
      <c r="A31" s="158"/>
      <c r="K31" s="163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6"/>
      <c r="BK31" s="159"/>
    </row>
    <row r="32" spans="1:63" ht="15" customHeight="1" x14ac:dyDescent="0.25">
      <c r="A32" s="158"/>
      <c r="K32" s="163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6"/>
      <c r="BK32" s="159"/>
    </row>
    <row r="33" spans="1:63" ht="15" customHeight="1" x14ac:dyDescent="0.25">
      <c r="A33" s="158"/>
      <c r="K33" s="163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6"/>
      <c r="BK33" s="159"/>
    </row>
    <row r="34" spans="1:63" ht="15" customHeight="1" x14ac:dyDescent="0.25">
      <c r="A34" s="158"/>
      <c r="K34" s="163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6"/>
      <c r="BK34" s="159"/>
    </row>
    <row r="35" spans="1:63" ht="15" customHeight="1" x14ac:dyDescent="0.25">
      <c r="A35" s="158"/>
      <c r="K35" s="163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6"/>
      <c r="BK35" s="159"/>
    </row>
    <row r="36" spans="1:63" ht="15" customHeight="1" x14ac:dyDescent="0.25">
      <c r="A36" s="158"/>
      <c r="K36" s="163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6"/>
      <c r="BK36" s="159"/>
    </row>
    <row r="37" spans="1:63" ht="15" customHeight="1" thickBot="1" x14ac:dyDescent="0.3">
      <c r="A37" s="158"/>
      <c r="K37" s="169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171"/>
      <c r="BK37" s="159"/>
    </row>
    <row r="38" spans="1:63" ht="15" customHeight="1" thickTop="1" x14ac:dyDescent="0.25">
      <c r="A38" s="158"/>
      <c r="BK38" s="159"/>
    </row>
    <row r="39" spans="1:63" ht="15" customHeight="1" x14ac:dyDescent="0.25">
      <c r="A39" s="158"/>
      <c r="BK39" s="159"/>
    </row>
    <row r="40" spans="1:63" ht="15" customHeight="1" x14ac:dyDescent="0.25">
      <c r="A40" s="158"/>
      <c r="BK40" s="159"/>
    </row>
    <row r="41" spans="1:63" ht="15" customHeight="1" x14ac:dyDescent="0.25">
      <c r="A41" s="158"/>
      <c r="BK41" s="159"/>
    </row>
    <row r="42" spans="1:63" ht="15" customHeight="1" x14ac:dyDescent="0.25">
      <c r="A42" s="158"/>
      <c r="BK42" s="159"/>
    </row>
    <row r="43" spans="1:63" ht="15" customHeight="1" x14ac:dyDescent="0.25">
      <c r="A43" s="158"/>
      <c r="BK43" s="159"/>
    </row>
    <row r="44" spans="1:63" ht="15" customHeight="1" x14ac:dyDescent="0.25">
      <c r="A44" s="158"/>
      <c r="Q44" s="172" t="s">
        <v>116</v>
      </c>
      <c r="R44" s="173"/>
      <c r="S44" s="173"/>
      <c r="T44" s="173"/>
      <c r="U44" s="173"/>
      <c r="V44" s="173"/>
      <c r="W44" s="173"/>
      <c r="X44" s="173"/>
      <c r="Y44" s="173"/>
      <c r="Z44" s="174"/>
      <c r="AA44" s="172" t="s">
        <v>117</v>
      </c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4"/>
      <c r="AQ44" s="172" t="s">
        <v>110</v>
      </c>
      <c r="AR44" s="173"/>
      <c r="AS44" s="173"/>
      <c r="AT44" s="173"/>
      <c r="AU44" s="174"/>
      <c r="BK44" s="159"/>
    </row>
    <row r="45" spans="1:63" ht="15" customHeight="1" x14ac:dyDescent="0.25">
      <c r="A45" s="158"/>
      <c r="Q45" s="175"/>
      <c r="R45" s="176"/>
      <c r="S45" s="176"/>
      <c r="T45" s="176"/>
      <c r="U45" s="176"/>
      <c r="V45" s="176"/>
      <c r="W45" s="176"/>
      <c r="X45" s="176"/>
      <c r="Y45" s="176"/>
      <c r="Z45" s="177"/>
      <c r="AA45" s="175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7"/>
      <c r="AQ45" s="175"/>
      <c r="AR45" s="176"/>
      <c r="AS45" s="176"/>
      <c r="AT45" s="176"/>
      <c r="AU45" s="177"/>
      <c r="BK45" s="159"/>
    </row>
    <row r="46" spans="1:63" ht="15" customHeight="1" x14ac:dyDescent="0.25">
      <c r="A46" s="158"/>
      <c r="Q46" s="130"/>
      <c r="R46" s="128"/>
      <c r="S46" s="128"/>
      <c r="T46" s="128"/>
      <c r="U46" s="128"/>
      <c r="V46" s="128"/>
      <c r="W46" s="128"/>
      <c r="X46" s="128"/>
      <c r="Y46" s="128"/>
      <c r="Z46" s="129"/>
      <c r="AA46" s="130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9"/>
      <c r="AQ46" s="130"/>
      <c r="AR46" s="128"/>
      <c r="AS46" s="128"/>
      <c r="AT46" s="128"/>
      <c r="AU46" s="129"/>
      <c r="BK46" s="159"/>
    </row>
    <row r="47" spans="1:63" ht="15" customHeight="1" x14ac:dyDescent="0.25">
      <c r="A47" s="158"/>
      <c r="Q47" s="178"/>
      <c r="R47" s="179"/>
      <c r="S47" s="179"/>
      <c r="T47" s="179"/>
      <c r="U47" s="179"/>
      <c r="V47" s="179"/>
      <c r="W47" s="179"/>
      <c r="X47" s="179"/>
      <c r="Y47" s="179"/>
      <c r="Z47" s="180"/>
      <c r="AA47" s="178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80"/>
      <c r="AQ47" s="178"/>
      <c r="AR47" s="179"/>
      <c r="AS47" s="179"/>
      <c r="AT47" s="179"/>
      <c r="AU47" s="180"/>
      <c r="BK47" s="159"/>
    </row>
    <row r="48" spans="1:63" ht="15" customHeight="1" x14ac:dyDescent="0.25">
      <c r="A48" s="158"/>
      <c r="Q48" s="178"/>
      <c r="R48" s="179"/>
      <c r="S48" s="179"/>
      <c r="T48" s="179"/>
      <c r="U48" s="179"/>
      <c r="V48" s="179"/>
      <c r="W48" s="179"/>
      <c r="X48" s="179"/>
      <c r="Y48" s="179"/>
      <c r="Z48" s="180"/>
      <c r="AA48" s="178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80"/>
      <c r="AQ48" s="178"/>
      <c r="AR48" s="179"/>
      <c r="AS48" s="179"/>
      <c r="AT48" s="179"/>
      <c r="AU48" s="180"/>
      <c r="BK48" s="159"/>
    </row>
    <row r="49" spans="1:63" ht="15" customHeight="1" x14ac:dyDescent="0.25">
      <c r="A49" s="158"/>
      <c r="Q49" s="140"/>
      <c r="R49" s="141"/>
      <c r="S49" s="141"/>
      <c r="T49" s="141"/>
      <c r="U49" s="141"/>
      <c r="V49" s="141"/>
      <c r="W49" s="141"/>
      <c r="X49" s="141"/>
      <c r="Y49" s="141"/>
      <c r="Z49" s="142"/>
      <c r="AA49" s="140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2"/>
      <c r="AQ49" s="140"/>
      <c r="AR49" s="141"/>
      <c r="AS49" s="141"/>
      <c r="AT49" s="141"/>
      <c r="AU49" s="142"/>
      <c r="BK49" s="159"/>
    </row>
    <row r="50" spans="1:63" ht="15" customHeight="1" x14ac:dyDescent="0.25">
      <c r="A50" s="158"/>
      <c r="BK50" s="159"/>
    </row>
    <row r="51" spans="1:63" ht="15" customHeight="1" x14ac:dyDescent="0.25">
      <c r="A51" s="158"/>
      <c r="BK51" s="159"/>
    </row>
    <row r="52" spans="1:63" ht="15" customHeight="1" x14ac:dyDescent="0.25">
      <c r="A52" s="158"/>
      <c r="BK52" s="159"/>
    </row>
    <row r="53" spans="1:63" ht="15" customHeight="1" x14ac:dyDescent="0.25">
      <c r="A53" s="158"/>
      <c r="BK53" s="159"/>
    </row>
    <row r="54" spans="1:63" ht="15" customHeight="1" x14ac:dyDescent="0.25">
      <c r="A54" s="158"/>
      <c r="BK54" s="159"/>
    </row>
    <row r="55" spans="1:63" ht="15" customHeight="1" x14ac:dyDescent="0.25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27" customWidth="1"/>
    <col min="61" max="16384" width="2.77734375" style="127"/>
  </cols>
  <sheetData>
    <row r="1" spans="1:63" ht="24.95" customHeight="1" x14ac:dyDescent="0.25">
      <c r="A1" s="121" t="s">
        <v>103</v>
      </c>
      <c r="B1" s="122"/>
      <c r="C1" s="122"/>
      <c r="D1" s="122"/>
      <c r="E1" s="122"/>
      <c r="F1" s="122"/>
      <c r="G1" s="122"/>
      <c r="H1" s="122"/>
      <c r="I1" s="122"/>
      <c r="J1" s="123"/>
      <c r="K1" s="121" t="s">
        <v>104</v>
      </c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3"/>
      <c r="W1" s="181" t="str">
        <f>IF(表紙!W1="","",表紙!W1)</f>
        <v>詳細設計書</v>
      </c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6"/>
      <c r="AP1" s="121" t="s">
        <v>106</v>
      </c>
      <c r="AQ1" s="122"/>
      <c r="AR1" s="122"/>
      <c r="AS1" s="123"/>
      <c r="AT1" s="121" t="s">
        <v>107</v>
      </c>
      <c r="AU1" s="122"/>
      <c r="AV1" s="122"/>
      <c r="AW1" s="122"/>
      <c r="AX1" s="123"/>
      <c r="AY1" s="121" t="s">
        <v>108</v>
      </c>
      <c r="AZ1" s="122"/>
      <c r="BA1" s="122"/>
      <c r="BB1" s="123"/>
      <c r="BC1" s="121" t="s">
        <v>109</v>
      </c>
      <c r="BD1" s="122"/>
      <c r="BE1" s="122"/>
      <c r="BF1" s="122"/>
      <c r="BG1" s="123"/>
      <c r="BH1" s="121" t="s">
        <v>110</v>
      </c>
      <c r="BI1" s="122"/>
      <c r="BJ1" s="122"/>
      <c r="BK1" s="123"/>
    </row>
    <row r="2" spans="1:63" ht="15" customHeight="1" x14ac:dyDescent="0.25">
      <c r="A2" s="130" t="str">
        <f>IF(表紙!A2="","",表紙!A2)</f>
        <v>POSサーバー</v>
      </c>
      <c r="B2" s="128"/>
      <c r="C2" s="128"/>
      <c r="D2" s="128"/>
      <c r="E2" s="128"/>
      <c r="F2" s="128"/>
      <c r="G2" s="128"/>
      <c r="H2" s="128"/>
      <c r="I2" s="128"/>
      <c r="J2" s="129"/>
      <c r="K2" s="130" t="str">
        <f>IF(表紙!K2="","",表紙!K2)</f>
        <v>POSサーバ</v>
      </c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9"/>
      <c r="W2" s="131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3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140"/>
      <c r="B3" s="141"/>
      <c r="C3" s="141"/>
      <c r="D3" s="141"/>
      <c r="E3" s="141"/>
      <c r="F3" s="141"/>
      <c r="G3" s="141"/>
      <c r="H3" s="141"/>
      <c r="I3" s="141"/>
      <c r="J3" s="142"/>
      <c r="K3" s="140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3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5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121" t="s">
        <v>112</v>
      </c>
      <c r="B4" s="122"/>
      <c r="C4" s="122"/>
      <c r="D4" s="122"/>
      <c r="E4" s="122"/>
      <c r="F4" s="122"/>
      <c r="G4" s="123"/>
      <c r="H4" s="152" t="str">
        <f>IF(表紙!H4="","",表紙!H4)</f>
        <v>AP0802</v>
      </c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4"/>
      <c r="U4" s="121" t="s">
        <v>113</v>
      </c>
      <c r="V4" s="122"/>
      <c r="W4" s="122"/>
      <c r="X4" s="122"/>
      <c r="Y4" s="123"/>
      <c r="Z4" s="152" t="str">
        <f>IF(表紙!Z4="","",表紙!Z4)</f>
        <v>API設計書</v>
      </c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4"/>
      <c r="AP4" s="152" t="str">
        <f t="array" aca="1" ref="AP4" ca="1">RIGHT(CELL("filename",$A$1),LEN(CELL("filename",$A$1))-FIND("]",CELL("filename",$A$1)))</f>
        <v>改訂履歴</v>
      </c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4"/>
    </row>
    <row r="5" spans="1:63" ht="5.0999999999999996" customHeight="1" x14ac:dyDescent="0.25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7"/>
    </row>
    <row r="6" spans="1:63" ht="15" customHeight="1" x14ac:dyDescent="0.25">
      <c r="A6" s="158"/>
      <c r="BK6" s="159"/>
    </row>
    <row r="7" spans="1:63" ht="15" customHeight="1" x14ac:dyDescent="0.25">
      <c r="A7" s="158"/>
      <c r="BK7" s="159"/>
    </row>
    <row r="8" spans="1:63" ht="15" customHeight="1" x14ac:dyDescent="0.25">
      <c r="A8" s="158"/>
      <c r="B8" s="127" t="s">
        <v>0</v>
      </c>
      <c r="BK8" s="159"/>
    </row>
    <row r="9" spans="1:63" ht="15" customHeight="1" x14ac:dyDescent="0.25">
      <c r="A9" s="158"/>
      <c r="BK9" s="159"/>
    </row>
    <row r="10" spans="1:63" ht="15" customHeight="1" x14ac:dyDescent="0.25">
      <c r="A10" s="158"/>
      <c r="B10" s="182" t="s">
        <v>109</v>
      </c>
      <c r="C10" s="182"/>
      <c r="D10" s="182"/>
      <c r="E10" s="182"/>
      <c r="F10" s="182"/>
      <c r="G10" s="182"/>
      <c r="H10" s="182" t="s">
        <v>108</v>
      </c>
      <c r="I10" s="182"/>
      <c r="J10" s="182"/>
      <c r="K10" s="182"/>
      <c r="L10" s="182"/>
      <c r="M10" s="182"/>
      <c r="N10" s="182"/>
      <c r="O10" s="182" t="s">
        <v>110</v>
      </c>
      <c r="P10" s="182"/>
      <c r="Q10" s="182"/>
      <c r="R10" s="182"/>
      <c r="S10" s="182" t="s">
        <v>118</v>
      </c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 t="s">
        <v>116</v>
      </c>
      <c r="AY10" s="182"/>
      <c r="AZ10" s="182"/>
      <c r="BA10" s="182"/>
      <c r="BB10" s="182"/>
      <c r="BC10" s="182"/>
      <c r="BD10" s="182" t="s">
        <v>117</v>
      </c>
      <c r="BE10" s="182"/>
      <c r="BF10" s="182"/>
      <c r="BG10" s="182"/>
      <c r="BH10" s="182"/>
      <c r="BI10" s="182"/>
      <c r="BJ10" s="182"/>
      <c r="BK10" s="159"/>
    </row>
    <row r="11" spans="1:63" ht="15" customHeight="1" x14ac:dyDescent="0.25">
      <c r="A11" s="158"/>
      <c r="B11" s="134">
        <v>45642</v>
      </c>
      <c r="C11" s="128"/>
      <c r="D11" s="128"/>
      <c r="E11" s="128"/>
      <c r="F11" s="128"/>
      <c r="G11" s="129"/>
      <c r="H11" s="54" t="s">
        <v>119</v>
      </c>
      <c r="I11" s="128"/>
      <c r="J11" s="128"/>
      <c r="K11" s="128"/>
      <c r="L11" s="128"/>
      <c r="M11" s="128"/>
      <c r="N11" s="129"/>
      <c r="O11" s="130">
        <v>0.1</v>
      </c>
      <c r="P11" s="128"/>
      <c r="Q11" s="128"/>
      <c r="R11" s="128"/>
      <c r="S11" s="183" t="s">
        <v>2</v>
      </c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5"/>
      <c r="AX11" s="186"/>
      <c r="AY11" s="186"/>
      <c r="AZ11" s="186"/>
      <c r="BA11" s="186"/>
      <c r="BB11" s="186"/>
      <c r="BC11" s="187"/>
      <c r="BD11" s="188"/>
      <c r="BE11" s="186"/>
      <c r="BF11" s="186"/>
      <c r="BG11" s="186"/>
      <c r="BH11" s="186"/>
      <c r="BI11" s="186"/>
      <c r="BJ11" s="187"/>
      <c r="BK11" s="159"/>
    </row>
    <row r="12" spans="1:63" ht="15" customHeight="1" x14ac:dyDescent="0.25">
      <c r="A12" s="158"/>
      <c r="B12" s="140"/>
      <c r="C12" s="141"/>
      <c r="D12" s="141"/>
      <c r="E12" s="141"/>
      <c r="F12" s="141"/>
      <c r="G12" s="142"/>
      <c r="H12" s="140"/>
      <c r="I12" s="141"/>
      <c r="J12" s="141"/>
      <c r="K12" s="141"/>
      <c r="L12" s="141"/>
      <c r="M12" s="141"/>
      <c r="N12" s="142"/>
      <c r="O12" s="140"/>
      <c r="P12" s="141"/>
      <c r="Q12" s="141"/>
      <c r="R12" s="141"/>
      <c r="S12" s="189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1"/>
      <c r="AX12" s="192"/>
      <c r="AY12" s="192"/>
      <c r="AZ12" s="192"/>
      <c r="BA12" s="192"/>
      <c r="BB12" s="192"/>
      <c r="BC12" s="193"/>
      <c r="BD12" s="194"/>
      <c r="BE12" s="192"/>
      <c r="BF12" s="192"/>
      <c r="BG12" s="192"/>
      <c r="BH12" s="192"/>
      <c r="BI12" s="192"/>
      <c r="BJ12" s="193"/>
      <c r="BK12" s="159"/>
    </row>
    <row r="13" spans="1:63" ht="15" customHeight="1" x14ac:dyDescent="0.25">
      <c r="A13" s="158"/>
      <c r="B13" s="58"/>
      <c r="C13" s="59"/>
      <c r="D13" s="59"/>
      <c r="E13" s="59"/>
      <c r="F13" s="59"/>
      <c r="G13" s="60"/>
      <c r="H13" s="64"/>
      <c r="I13" s="59"/>
      <c r="J13" s="59"/>
      <c r="K13" s="59"/>
      <c r="L13" s="59"/>
      <c r="M13" s="59"/>
      <c r="N13" s="60"/>
      <c r="O13" s="64"/>
      <c r="P13" s="59"/>
      <c r="Q13" s="59"/>
      <c r="R13" s="59"/>
      <c r="S13" s="65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7"/>
      <c r="AX13" s="186"/>
      <c r="AY13" s="186"/>
      <c r="AZ13" s="186"/>
      <c r="BA13" s="186"/>
      <c r="BB13" s="186"/>
      <c r="BC13" s="187"/>
      <c r="BD13" s="188"/>
      <c r="BE13" s="186"/>
      <c r="BF13" s="186"/>
      <c r="BG13" s="186"/>
      <c r="BH13" s="186"/>
      <c r="BI13" s="186"/>
      <c r="BJ13" s="187"/>
      <c r="BK13" s="159"/>
    </row>
    <row r="14" spans="1:63" ht="15" customHeight="1" x14ac:dyDescent="0.25">
      <c r="A14" s="158"/>
      <c r="B14" s="61"/>
      <c r="C14" s="62"/>
      <c r="D14" s="62"/>
      <c r="E14" s="62"/>
      <c r="F14" s="62"/>
      <c r="G14" s="63"/>
      <c r="H14" s="61"/>
      <c r="I14" s="62"/>
      <c r="J14" s="62"/>
      <c r="K14" s="62"/>
      <c r="L14" s="62"/>
      <c r="M14" s="62"/>
      <c r="N14" s="63"/>
      <c r="O14" s="61"/>
      <c r="P14" s="62"/>
      <c r="Q14" s="62"/>
      <c r="R14" s="62"/>
      <c r="S14" s="55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7"/>
      <c r="AX14" s="192"/>
      <c r="AY14" s="192"/>
      <c r="AZ14" s="192"/>
      <c r="BA14" s="192"/>
      <c r="BB14" s="192"/>
      <c r="BC14" s="193"/>
      <c r="BD14" s="194"/>
      <c r="BE14" s="192"/>
      <c r="BF14" s="192"/>
      <c r="BG14" s="192"/>
      <c r="BH14" s="192"/>
      <c r="BI14" s="192"/>
      <c r="BJ14" s="193"/>
      <c r="BK14" s="159"/>
    </row>
    <row r="15" spans="1:63" ht="15" customHeight="1" x14ac:dyDescent="0.25">
      <c r="A15" s="158"/>
      <c r="B15" s="195"/>
      <c r="C15" s="196"/>
      <c r="D15" s="196"/>
      <c r="E15" s="196"/>
      <c r="F15" s="196"/>
      <c r="G15" s="197"/>
      <c r="H15" s="198"/>
      <c r="I15" s="196"/>
      <c r="J15" s="196"/>
      <c r="K15" s="196"/>
      <c r="L15" s="196"/>
      <c r="M15" s="196"/>
      <c r="N15" s="197"/>
      <c r="O15" s="198"/>
      <c r="P15" s="196"/>
      <c r="Q15" s="196"/>
      <c r="R15" s="196"/>
      <c r="S15" s="199"/>
      <c r="T15" s="200"/>
      <c r="U15" s="200"/>
      <c r="V15" s="200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0"/>
      <c r="AR15" s="200"/>
      <c r="AS15" s="200"/>
      <c r="AT15" s="200"/>
      <c r="AU15" s="200"/>
      <c r="AV15" s="200"/>
      <c r="AW15" s="201"/>
      <c r="AX15" s="186"/>
      <c r="AY15" s="186"/>
      <c r="AZ15" s="186"/>
      <c r="BA15" s="186"/>
      <c r="BB15" s="186"/>
      <c r="BC15" s="187"/>
      <c r="BD15" s="188"/>
      <c r="BE15" s="186"/>
      <c r="BF15" s="186"/>
      <c r="BG15" s="186"/>
      <c r="BH15" s="186"/>
      <c r="BI15" s="186"/>
      <c r="BJ15" s="187"/>
      <c r="BK15" s="159"/>
    </row>
    <row r="16" spans="1:63" ht="15" customHeight="1" x14ac:dyDescent="0.25">
      <c r="A16" s="158"/>
      <c r="B16" s="202"/>
      <c r="C16" s="203"/>
      <c r="D16" s="203"/>
      <c r="E16" s="203"/>
      <c r="F16" s="203"/>
      <c r="G16" s="204"/>
      <c r="H16" s="202"/>
      <c r="I16" s="203"/>
      <c r="J16" s="203"/>
      <c r="K16" s="203"/>
      <c r="L16" s="203"/>
      <c r="M16" s="203"/>
      <c r="N16" s="204"/>
      <c r="O16" s="202"/>
      <c r="P16" s="203"/>
      <c r="Q16" s="203"/>
      <c r="R16" s="203"/>
      <c r="S16" s="205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7"/>
      <c r="AX16" s="192"/>
      <c r="AY16" s="192"/>
      <c r="AZ16" s="192"/>
      <c r="BA16" s="192"/>
      <c r="BB16" s="192"/>
      <c r="BC16" s="193"/>
      <c r="BD16" s="194"/>
      <c r="BE16" s="192"/>
      <c r="BF16" s="192"/>
      <c r="BG16" s="192"/>
      <c r="BH16" s="192"/>
      <c r="BI16" s="192"/>
      <c r="BJ16" s="193"/>
      <c r="BK16" s="159"/>
    </row>
    <row r="17" spans="1:63" ht="15" customHeight="1" x14ac:dyDescent="0.25">
      <c r="A17" s="158"/>
      <c r="B17" s="130"/>
      <c r="C17" s="128"/>
      <c r="D17" s="128"/>
      <c r="E17" s="128"/>
      <c r="F17" s="128"/>
      <c r="G17" s="129"/>
      <c r="H17" s="130"/>
      <c r="I17" s="128"/>
      <c r="J17" s="128"/>
      <c r="K17" s="128"/>
      <c r="L17" s="128"/>
      <c r="M17" s="128"/>
      <c r="N17" s="129"/>
      <c r="O17" s="130"/>
      <c r="P17" s="128"/>
      <c r="Q17" s="128"/>
      <c r="R17" s="128"/>
      <c r="S17" s="183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5"/>
      <c r="AX17" s="186"/>
      <c r="AY17" s="186"/>
      <c r="AZ17" s="186"/>
      <c r="BA17" s="186"/>
      <c r="BB17" s="186"/>
      <c r="BC17" s="187"/>
      <c r="BD17" s="188"/>
      <c r="BE17" s="186"/>
      <c r="BF17" s="186"/>
      <c r="BG17" s="186"/>
      <c r="BH17" s="186"/>
      <c r="BI17" s="186"/>
      <c r="BJ17" s="187"/>
      <c r="BK17" s="159"/>
    </row>
    <row r="18" spans="1:63" ht="15" customHeight="1" x14ac:dyDescent="0.25">
      <c r="A18" s="158"/>
      <c r="B18" s="140"/>
      <c r="C18" s="141"/>
      <c r="D18" s="141"/>
      <c r="E18" s="141"/>
      <c r="F18" s="141"/>
      <c r="G18" s="142"/>
      <c r="H18" s="140"/>
      <c r="I18" s="141"/>
      <c r="J18" s="141"/>
      <c r="K18" s="141"/>
      <c r="L18" s="141"/>
      <c r="M18" s="141"/>
      <c r="N18" s="142"/>
      <c r="O18" s="140"/>
      <c r="P18" s="141"/>
      <c r="Q18" s="141"/>
      <c r="R18" s="141"/>
      <c r="S18" s="189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1"/>
      <c r="AX18" s="192"/>
      <c r="AY18" s="192"/>
      <c r="AZ18" s="192"/>
      <c r="BA18" s="192"/>
      <c r="BB18" s="192"/>
      <c r="BC18" s="193"/>
      <c r="BD18" s="194"/>
      <c r="BE18" s="192"/>
      <c r="BF18" s="192"/>
      <c r="BG18" s="192"/>
      <c r="BH18" s="192"/>
      <c r="BI18" s="192"/>
      <c r="BJ18" s="193"/>
      <c r="BK18" s="159"/>
    </row>
    <row r="19" spans="1:63" ht="15" customHeight="1" x14ac:dyDescent="0.25">
      <c r="A19" s="158"/>
      <c r="B19" s="130"/>
      <c r="C19" s="128"/>
      <c r="D19" s="128"/>
      <c r="E19" s="128"/>
      <c r="F19" s="128"/>
      <c r="G19" s="129"/>
      <c r="H19" s="130"/>
      <c r="I19" s="128"/>
      <c r="J19" s="128"/>
      <c r="K19" s="128"/>
      <c r="L19" s="128"/>
      <c r="M19" s="128"/>
      <c r="N19" s="129"/>
      <c r="O19" s="130"/>
      <c r="P19" s="128"/>
      <c r="Q19" s="128"/>
      <c r="R19" s="128"/>
      <c r="S19" s="183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5"/>
      <c r="AX19" s="186"/>
      <c r="AY19" s="186"/>
      <c r="AZ19" s="186"/>
      <c r="BA19" s="186"/>
      <c r="BB19" s="186"/>
      <c r="BC19" s="187"/>
      <c r="BD19" s="188"/>
      <c r="BE19" s="186"/>
      <c r="BF19" s="186"/>
      <c r="BG19" s="186"/>
      <c r="BH19" s="186"/>
      <c r="BI19" s="186"/>
      <c r="BJ19" s="187"/>
      <c r="BK19" s="159"/>
    </row>
    <row r="20" spans="1:63" ht="15" customHeight="1" x14ac:dyDescent="0.25">
      <c r="A20" s="158"/>
      <c r="B20" s="140"/>
      <c r="C20" s="141"/>
      <c r="D20" s="141"/>
      <c r="E20" s="141"/>
      <c r="F20" s="141"/>
      <c r="G20" s="142"/>
      <c r="H20" s="140"/>
      <c r="I20" s="141"/>
      <c r="J20" s="141"/>
      <c r="K20" s="141"/>
      <c r="L20" s="141"/>
      <c r="M20" s="141"/>
      <c r="N20" s="142"/>
      <c r="O20" s="140"/>
      <c r="P20" s="141"/>
      <c r="Q20" s="141"/>
      <c r="R20" s="141"/>
      <c r="S20" s="189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1"/>
      <c r="AX20" s="192"/>
      <c r="AY20" s="192"/>
      <c r="AZ20" s="192"/>
      <c r="BA20" s="192"/>
      <c r="BB20" s="192"/>
      <c r="BC20" s="193"/>
      <c r="BD20" s="194"/>
      <c r="BE20" s="192"/>
      <c r="BF20" s="192"/>
      <c r="BG20" s="192"/>
      <c r="BH20" s="192"/>
      <c r="BI20" s="192"/>
      <c r="BJ20" s="193"/>
      <c r="BK20" s="159"/>
    </row>
    <row r="21" spans="1:63" ht="15" customHeight="1" x14ac:dyDescent="0.25">
      <c r="A21" s="158"/>
      <c r="B21" s="130"/>
      <c r="C21" s="128"/>
      <c r="D21" s="128"/>
      <c r="E21" s="128"/>
      <c r="F21" s="128"/>
      <c r="G21" s="129"/>
      <c r="H21" s="130"/>
      <c r="I21" s="128"/>
      <c r="J21" s="128"/>
      <c r="K21" s="128"/>
      <c r="L21" s="128"/>
      <c r="M21" s="128"/>
      <c r="N21" s="129"/>
      <c r="O21" s="130"/>
      <c r="P21" s="128"/>
      <c r="Q21" s="128"/>
      <c r="R21" s="128"/>
      <c r="S21" s="183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5"/>
      <c r="AX21" s="186"/>
      <c r="AY21" s="186"/>
      <c r="AZ21" s="186"/>
      <c r="BA21" s="186"/>
      <c r="BB21" s="186"/>
      <c r="BC21" s="187"/>
      <c r="BD21" s="188"/>
      <c r="BE21" s="186"/>
      <c r="BF21" s="186"/>
      <c r="BG21" s="186"/>
      <c r="BH21" s="186"/>
      <c r="BI21" s="186"/>
      <c r="BJ21" s="187"/>
      <c r="BK21" s="159"/>
    </row>
    <row r="22" spans="1:63" ht="15" customHeight="1" x14ac:dyDescent="0.25">
      <c r="A22" s="158"/>
      <c r="B22" s="140"/>
      <c r="C22" s="141"/>
      <c r="D22" s="141"/>
      <c r="E22" s="141"/>
      <c r="F22" s="141"/>
      <c r="G22" s="142"/>
      <c r="H22" s="140"/>
      <c r="I22" s="141"/>
      <c r="J22" s="141"/>
      <c r="K22" s="141"/>
      <c r="L22" s="141"/>
      <c r="M22" s="141"/>
      <c r="N22" s="142"/>
      <c r="O22" s="140"/>
      <c r="P22" s="141"/>
      <c r="Q22" s="141"/>
      <c r="R22" s="141"/>
      <c r="S22" s="189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1"/>
      <c r="AX22" s="192"/>
      <c r="AY22" s="192"/>
      <c r="AZ22" s="192"/>
      <c r="BA22" s="192"/>
      <c r="BB22" s="192"/>
      <c r="BC22" s="193"/>
      <c r="BD22" s="194"/>
      <c r="BE22" s="192"/>
      <c r="BF22" s="192"/>
      <c r="BG22" s="192"/>
      <c r="BH22" s="192"/>
      <c r="BI22" s="192"/>
      <c r="BJ22" s="193"/>
      <c r="BK22" s="159"/>
    </row>
    <row r="23" spans="1:63" ht="15" customHeight="1" x14ac:dyDescent="0.25">
      <c r="A23" s="158"/>
      <c r="B23" s="130"/>
      <c r="C23" s="128"/>
      <c r="D23" s="128"/>
      <c r="E23" s="128"/>
      <c r="F23" s="128"/>
      <c r="G23" s="129"/>
      <c r="H23" s="130"/>
      <c r="I23" s="128"/>
      <c r="J23" s="128"/>
      <c r="K23" s="128"/>
      <c r="L23" s="128"/>
      <c r="M23" s="128"/>
      <c r="N23" s="129"/>
      <c r="O23" s="130"/>
      <c r="P23" s="128"/>
      <c r="Q23" s="128"/>
      <c r="R23" s="128"/>
      <c r="S23" s="183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5"/>
      <c r="AX23" s="186"/>
      <c r="AY23" s="186"/>
      <c r="AZ23" s="186"/>
      <c r="BA23" s="186"/>
      <c r="BB23" s="186"/>
      <c r="BC23" s="187"/>
      <c r="BD23" s="188"/>
      <c r="BE23" s="186"/>
      <c r="BF23" s="186"/>
      <c r="BG23" s="186"/>
      <c r="BH23" s="186"/>
      <c r="BI23" s="186"/>
      <c r="BJ23" s="187"/>
      <c r="BK23" s="159"/>
    </row>
    <row r="24" spans="1:63" ht="15" customHeight="1" x14ac:dyDescent="0.25">
      <c r="A24" s="158"/>
      <c r="B24" s="140"/>
      <c r="C24" s="141"/>
      <c r="D24" s="141"/>
      <c r="E24" s="141"/>
      <c r="F24" s="141"/>
      <c r="G24" s="142"/>
      <c r="H24" s="140"/>
      <c r="I24" s="141"/>
      <c r="J24" s="141"/>
      <c r="K24" s="141"/>
      <c r="L24" s="141"/>
      <c r="M24" s="141"/>
      <c r="N24" s="142"/>
      <c r="O24" s="140"/>
      <c r="P24" s="141"/>
      <c r="Q24" s="141"/>
      <c r="R24" s="141"/>
      <c r="S24" s="189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 s="191"/>
      <c r="AX24" s="192"/>
      <c r="AY24" s="192"/>
      <c r="AZ24" s="192"/>
      <c r="BA24" s="192"/>
      <c r="BB24" s="192"/>
      <c r="BC24" s="193"/>
      <c r="BD24" s="194"/>
      <c r="BE24" s="192"/>
      <c r="BF24" s="192"/>
      <c r="BG24" s="192"/>
      <c r="BH24" s="192"/>
      <c r="BI24" s="192"/>
      <c r="BJ24" s="193"/>
      <c r="BK24" s="159"/>
    </row>
    <row r="25" spans="1:63" ht="15" customHeight="1" x14ac:dyDescent="0.25">
      <c r="A25" s="158"/>
      <c r="B25" s="130"/>
      <c r="C25" s="128"/>
      <c r="D25" s="128"/>
      <c r="E25" s="128"/>
      <c r="F25" s="128"/>
      <c r="G25" s="129"/>
      <c r="H25" s="130"/>
      <c r="I25" s="128"/>
      <c r="J25" s="128"/>
      <c r="K25" s="128"/>
      <c r="L25" s="128"/>
      <c r="M25" s="128"/>
      <c r="N25" s="129"/>
      <c r="O25" s="130"/>
      <c r="P25" s="128"/>
      <c r="Q25" s="128"/>
      <c r="R25" s="128"/>
      <c r="S25" s="183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5"/>
      <c r="AX25" s="186"/>
      <c r="AY25" s="186"/>
      <c r="AZ25" s="186"/>
      <c r="BA25" s="186"/>
      <c r="BB25" s="186"/>
      <c r="BC25" s="187"/>
      <c r="BD25" s="188"/>
      <c r="BE25" s="186"/>
      <c r="BF25" s="186"/>
      <c r="BG25" s="186"/>
      <c r="BH25" s="186"/>
      <c r="BI25" s="186"/>
      <c r="BJ25" s="187"/>
      <c r="BK25" s="159"/>
    </row>
    <row r="26" spans="1:63" ht="15" customHeight="1" x14ac:dyDescent="0.25">
      <c r="A26" s="158"/>
      <c r="B26" s="140"/>
      <c r="C26" s="141"/>
      <c r="D26" s="141"/>
      <c r="E26" s="141"/>
      <c r="F26" s="141"/>
      <c r="G26" s="142"/>
      <c r="H26" s="140"/>
      <c r="I26" s="141"/>
      <c r="J26" s="141"/>
      <c r="K26" s="141"/>
      <c r="L26" s="141"/>
      <c r="M26" s="141"/>
      <c r="N26" s="142"/>
      <c r="O26" s="140"/>
      <c r="P26" s="141"/>
      <c r="Q26" s="141"/>
      <c r="R26" s="141"/>
      <c r="S26" s="189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1"/>
      <c r="AX26" s="192"/>
      <c r="AY26" s="192"/>
      <c r="AZ26" s="192"/>
      <c r="BA26" s="192"/>
      <c r="BB26" s="192"/>
      <c r="BC26" s="193"/>
      <c r="BD26" s="194"/>
      <c r="BE26" s="192"/>
      <c r="BF26" s="192"/>
      <c r="BG26" s="192"/>
      <c r="BH26" s="192"/>
      <c r="BI26" s="192"/>
      <c r="BJ26" s="193"/>
      <c r="BK26" s="159"/>
    </row>
    <row r="27" spans="1:63" ht="15" customHeight="1" x14ac:dyDescent="0.25">
      <c r="A27" s="158"/>
      <c r="B27" s="130"/>
      <c r="C27" s="128"/>
      <c r="D27" s="128"/>
      <c r="E27" s="128"/>
      <c r="F27" s="128"/>
      <c r="G27" s="129"/>
      <c r="H27" s="130"/>
      <c r="I27" s="128"/>
      <c r="J27" s="128"/>
      <c r="K27" s="128"/>
      <c r="L27" s="128"/>
      <c r="M27" s="128"/>
      <c r="N27" s="129"/>
      <c r="O27" s="130"/>
      <c r="P27" s="128"/>
      <c r="Q27" s="128"/>
      <c r="R27" s="128"/>
      <c r="S27" s="183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  <c r="AT27" s="184"/>
      <c r="AU27" s="184"/>
      <c r="AV27" s="184"/>
      <c r="AW27" s="185"/>
      <c r="AX27" s="186"/>
      <c r="AY27" s="186"/>
      <c r="AZ27" s="186"/>
      <c r="BA27" s="186"/>
      <c r="BB27" s="186"/>
      <c r="BC27" s="187"/>
      <c r="BD27" s="188"/>
      <c r="BE27" s="186"/>
      <c r="BF27" s="186"/>
      <c r="BG27" s="186"/>
      <c r="BH27" s="186"/>
      <c r="BI27" s="186"/>
      <c r="BJ27" s="187"/>
      <c r="BK27" s="159"/>
    </row>
    <row r="28" spans="1:63" ht="15" customHeight="1" x14ac:dyDescent="0.25">
      <c r="A28" s="158"/>
      <c r="B28" s="140"/>
      <c r="C28" s="141"/>
      <c r="D28" s="141"/>
      <c r="E28" s="141"/>
      <c r="F28" s="141"/>
      <c r="G28" s="142"/>
      <c r="H28" s="140"/>
      <c r="I28" s="141"/>
      <c r="J28" s="141"/>
      <c r="K28" s="141"/>
      <c r="L28" s="141"/>
      <c r="M28" s="141"/>
      <c r="N28" s="142"/>
      <c r="O28" s="140"/>
      <c r="P28" s="141"/>
      <c r="Q28" s="141"/>
      <c r="R28" s="141"/>
      <c r="S28" s="189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190"/>
      <c r="AV28" s="190"/>
      <c r="AW28" s="191"/>
      <c r="AX28" s="192"/>
      <c r="AY28" s="192"/>
      <c r="AZ28" s="192"/>
      <c r="BA28" s="192"/>
      <c r="BB28" s="192"/>
      <c r="BC28" s="193"/>
      <c r="BD28" s="194"/>
      <c r="BE28" s="192"/>
      <c r="BF28" s="192"/>
      <c r="BG28" s="192"/>
      <c r="BH28" s="192"/>
      <c r="BI28" s="192"/>
      <c r="BJ28" s="193"/>
      <c r="BK28" s="159"/>
    </row>
    <row r="29" spans="1:63" ht="15" customHeight="1" x14ac:dyDescent="0.25">
      <c r="A29" s="158"/>
      <c r="B29" s="130"/>
      <c r="C29" s="128"/>
      <c r="D29" s="128"/>
      <c r="E29" s="128"/>
      <c r="F29" s="128"/>
      <c r="G29" s="129"/>
      <c r="H29" s="130"/>
      <c r="I29" s="128"/>
      <c r="J29" s="128"/>
      <c r="K29" s="128"/>
      <c r="L29" s="128"/>
      <c r="M29" s="128"/>
      <c r="N29" s="129"/>
      <c r="O29" s="130"/>
      <c r="P29" s="128"/>
      <c r="Q29" s="128"/>
      <c r="R29" s="128"/>
      <c r="S29" s="183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5"/>
      <c r="AX29" s="186"/>
      <c r="AY29" s="186"/>
      <c r="AZ29" s="186"/>
      <c r="BA29" s="186"/>
      <c r="BB29" s="186"/>
      <c r="BC29" s="187"/>
      <c r="BD29" s="188"/>
      <c r="BE29" s="186"/>
      <c r="BF29" s="186"/>
      <c r="BG29" s="186"/>
      <c r="BH29" s="186"/>
      <c r="BI29" s="186"/>
      <c r="BJ29" s="187"/>
      <c r="BK29" s="159"/>
    </row>
    <row r="30" spans="1:63" ht="15" customHeight="1" x14ac:dyDescent="0.25">
      <c r="A30" s="158"/>
      <c r="B30" s="140"/>
      <c r="C30" s="141"/>
      <c r="D30" s="141"/>
      <c r="E30" s="141"/>
      <c r="F30" s="141"/>
      <c r="G30" s="142"/>
      <c r="H30" s="140"/>
      <c r="I30" s="141"/>
      <c r="J30" s="141"/>
      <c r="K30" s="141"/>
      <c r="L30" s="141"/>
      <c r="M30" s="141"/>
      <c r="N30" s="142"/>
      <c r="O30" s="140"/>
      <c r="P30" s="141"/>
      <c r="Q30" s="141"/>
      <c r="R30" s="141"/>
      <c r="S30" s="189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0"/>
      <c r="AU30" s="190"/>
      <c r="AV30" s="190"/>
      <c r="AW30" s="191"/>
      <c r="AX30" s="192"/>
      <c r="AY30" s="192"/>
      <c r="AZ30" s="192"/>
      <c r="BA30" s="192"/>
      <c r="BB30" s="192"/>
      <c r="BC30" s="193"/>
      <c r="BD30" s="194"/>
      <c r="BE30" s="192"/>
      <c r="BF30" s="192"/>
      <c r="BG30" s="192"/>
      <c r="BH30" s="192"/>
      <c r="BI30" s="192"/>
      <c r="BJ30" s="193"/>
      <c r="BK30" s="159"/>
    </row>
    <row r="31" spans="1:63" ht="15" customHeight="1" x14ac:dyDescent="0.25">
      <c r="A31" s="158"/>
      <c r="B31" s="130"/>
      <c r="C31" s="128"/>
      <c r="D31" s="128"/>
      <c r="E31" s="128"/>
      <c r="F31" s="128"/>
      <c r="G31" s="129"/>
      <c r="H31" s="130"/>
      <c r="I31" s="128"/>
      <c r="J31" s="128"/>
      <c r="K31" s="128"/>
      <c r="L31" s="128"/>
      <c r="M31" s="128"/>
      <c r="N31" s="129"/>
      <c r="O31" s="130"/>
      <c r="P31" s="128"/>
      <c r="Q31" s="128"/>
      <c r="R31" s="128"/>
      <c r="S31" s="183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5"/>
      <c r="AX31" s="186"/>
      <c r="AY31" s="186"/>
      <c r="AZ31" s="186"/>
      <c r="BA31" s="186"/>
      <c r="BB31" s="186"/>
      <c r="BC31" s="187"/>
      <c r="BD31" s="188"/>
      <c r="BE31" s="186"/>
      <c r="BF31" s="186"/>
      <c r="BG31" s="186"/>
      <c r="BH31" s="186"/>
      <c r="BI31" s="186"/>
      <c r="BJ31" s="187"/>
      <c r="BK31" s="159"/>
    </row>
    <row r="32" spans="1:63" ht="15" customHeight="1" x14ac:dyDescent="0.25">
      <c r="A32" s="158"/>
      <c r="B32" s="140"/>
      <c r="C32" s="141"/>
      <c r="D32" s="141"/>
      <c r="E32" s="141"/>
      <c r="F32" s="141"/>
      <c r="G32" s="142"/>
      <c r="H32" s="140"/>
      <c r="I32" s="141"/>
      <c r="J32" s="141"/>
      <c r="K32" s="141"/>
      <c r="L32" s="141"/>
      <c r="M32" s="141"/>
      <c r="N32" s="142"/>
      <c r="O32" s="140"/>
      <c r="P32" s="141"/>
      <c r="Q32" s="141"/>
      <c r="R32" s="141"/>
      <c r="S32" s="189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 s="191"/>
      <c r="AX32" s="192"/>
      <c r="AY32" s="192"/>
      <c r="AZ32" s="192"/>
      <c r="BA32" s="192"/>
      <c r="BB32" s="192"/>
      <c r="BC32" s="193"/>
      <c r="BD32" s="194"/>
      <c r="BE32" s="192"/>
      <c r="BF32" s="192"/>
      <c r="BG32" s="192"/>
      <c r="BH32" s="192"/>
      <c r="BI32" s="192"/>
      <c r="BJ32" s="193"/>
      <c r="BK32" s="159"/>
    </row>
    <row r="33" spans="1:63" ht="15" customHeight="1" x14ac:dyDescent="0.25">
      <c r="A33" s="158"/>
      <c r="B33" s="130"/>
      <c r="C33" s="128"/>
      <c r="D33" s="128"/>
      <c r="E33" s="128"/>
      <c r="F33" s="128"/>
      <c r="G33" s="129"/>
      <c r="H33" s="130"/>
      <c r="I33" s="128"/>
      <c r="J33" s="128"/>
      <c r="K33" s="128"/>
      <c r="L33" s="128"/>
      <c r="M33" s="128"/>
      <c r="N33" s="129"/>
      <c r="O33" s="130"/>
      <c r="P33" s="128"/>
      <c r="Q33" s="128"/>
      <c r="R33" s="128"/>
      <c r="S33" s="183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5"/>
      <c r="AX33" s="186"/>
      <c r="AY33" s="186"/>
      <c r="AZ33" s="186"/>
      <c r="BA33" s="186"/>
      <c r="BB33" s="186"/>
      <c r="BC33" s="187"/>
      <c r="BD33" s="188"/>
      <c r="BE33" s="186"/>
      <c r="BF33" s="186"/>
      <c r="BG33" s="186"/>
      <c r="BH33" s="186"/>
      <c r="BI33" s="186"/>
      <c r="BJ33" s="187"/>
      <c r="BK33" s="159"/>
    </row>
    <row r="34" spans="1:63" ht="15" customHeight="1" x14ac:dyDescent="0.25">
      <c r="A34" s="158"/>
      <c r="B34" s="140"/>
      <c r="C34" s="141"/>
      <c r="D34" s="141"/>
      <c r="E34" s="141"/>
      <c r="F34" s="141"/>
      <c r="G34" s="142"/>
      <c r="H34" s="140"/>
      <c r="I34" s="141"/>
      <c r="J34" s="141"/>
      <c r="K34" s="141"/>
      <c r="L34" s="141"/>
      <c r="M34" s="141"/>
      <c r="N34" s="142"/>
      <c r="O34" s="140"/>
      <c r="P34" s="141"/>
      <c r="Q34" s="141"/>
      <c r="R34" s="141"/>
      <c r="S34" s="189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1"/>
      <c r="AX34" s="192"/>
      <c r="AY34" s="192"/>
      <c r="AZ34" s="192"/>
      <c r="BA34" s="192"/>
      <c r="BB34" s="192"/>
      <c r="BC34" s="193"/>
      <c r="BD34" s="194"/>
      <c r="BE34" s="192"/>
      <c r="BF34" s="192"/>
      <c r="BG34" s="192"/>
      <c r="BH34" s="192"/>
      <c r="BI34" s="192"/>
      <c r="BJ34" s="193"/>
      <c r="BK34" s="159"/>
    </row>
    <row r="35" spans="1:63" ht="15" customHeight="1" x14ac:dyDescent="0.25">
      <c r="A35" s="158"/>
      <c r="B35" s="130"/>
      <c r="C35" s="128"/>
      <c r="D35" s="128"/>
      <c r="E35" s="128"/>
      <c r="F35" s="128"/>
      <c r="G35" s="129"/>
      <c r="H35" s="130"/>
      <c r="I35" s="128"/>
      <c r="J35" s="128"/>
      <c r="K35" s="128"/>
      <c r="L35" s="128"/>
      <c r="M35" s="128"/>
      <c r="N35" s="129"/>
      <c r="O35" s="130"/>
      <c r="P35" s="128"/>
      <c r="Q35" s="128"/>
      <c r="R35" s="128"/>
      <c r="S35" s="183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5"/>
      <c r="AX35" s="186"/>
      <c r="AY35" s="186"/>
      <c r="AZ35" s="186"/>
      <c r="BA35" s="186"/>
      <c r="BB35" s="186"/>
      <c r="BC35" s="187"/>
      <c r="BD35" s="188"/>
      <c r="BE35" s="186"/>
      <c r="BF35" s="186"/>
      <c r="BG35" s="186"/>
      <c r="BH35" s="186"/>
      <c r="BI35" s="186"/>
      <c r="BJ35" s="187"/>
      <c r="BK35" s="159"/>
    </row>
    <row r="36" spans="1:63" ht="15" customHeight="1" x14ac:dyDescent="0.25">
      <c r="A36" s="158"/>
      <c r="B36" s="140"/>
      <c r="C36" s="141"/>
      <c r="D36" s="141"/>
      <c r="E36" s="141"/>
      <c r="F36" s="141"/>
      <c r="G36" s="142"/>
      <c r="H36" s="140"/>
      <c r="I36" s="141"/>
      <c r="J36" s="141"/>
      <c r="K36" s="141"/>
      <c r="L36" s="141"/>
      <c r="M36" s="141"/>
      <c r="N36" s="142"/>
      <c r="O36" s="140"/>
      <c r="P36" s="141"/>
      <c r="Q36" s="141"/>
      <c r="R36" s="141"/>
      <c r="S36" s="189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0"/>
      <c r="AU36" s="190"/>
      <c r="AV36" s="190"/>
      <c r="AW36" s="191"/>
      <c r="AX36" s="192"/>
      <c r="AY36" s="192"/>
      <c r="AZ36" s="192"/>
      <c r="BA36" s="192"/>
      <c r="BB36" s="192"/>
      <c r="BC36" s="193"/>
      <c r="BD36" s="194"/>
      <c r="BE36" s="192"/>
      <c r="BF36" s="192"/>
      <c r="BG36" s="192"/>
      <c r="BH36" s="192"/>
      <c r="BI36" s="192"/>
      <c r="BJ36" s="193"/>
      <c r="BK36" s="159"/>
    </row>
    <row r="37" spans="1:63" ht="15" customHeight="1" x14ac:dyDescent="0.25">
      <c r="A37" s="158"/>
      <c r="B37" s="130"/>
      <c r="C37" s="128"/>
      <c r="D37" s="128"/>
      <c r="E37" s="128"/>
      <c r="F37" s="128"/>
      <c r="G37" s="129"/>
      <c r="H37" s="130"/>
      <c r="I37" s="128"/>
      <c r="J37" s="128"/>
      <c r="K37" s="128"/>
      <c r="L37" s="128"/>
      <c r="M37" s="128"/>
      <c r="N37" s="129"/>
      <c r="O37" s="130"/>
      <c r="P37" s="128"/>
      <c r="Q37" s="128"/>
      <c r="R37" s="128"/>
      <c r="S37" s="183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  <c r="AT37" s="184"/>
      <c r="AU37" s="184"/>
      <c r="AV37" s="184"/>
      <c r="AW37" s="185"/>
      <c r="AX37" s="186"/>
      <c r="AY37" s="186"/>
      <c r="AZ37" s="186"/>
      <c r="BA37" s="186"/>
      <c r="BB37" s="186"/>
      <c r="BC37" s="187"/>
      <c r="BD37" s="188"/>
      <c r="BE37" s="186"/>
      <c r="BF37" s="186"/>
      <c r="BG37" s="186"/>
      <c r="BH37" s="186"/>
      <c r="BI37" s="186"/>
      <c r="BJ37" s="187"/>
      <c r="BK37" s="159"/>
    </row>
    <row r="38" spans="1:63" ht="15" customHeight="1" x14ac:dyDescent="0.25">
      <c r="A38" s="158"/>
      <c r="B38" s="140"/>
      <c r="C38" s="141"/>
      <c r="D38" s="141"/>
      <c r="E38" s="141"/>
      <c r="F38" s="141"/>
      <c r="G38" s="142"/>
      <c r="H38" s="140"/>
      <c r="I38" s="141"/>
      <c r="J38" s="141"/>
      <c r="K38" s="141"/>
      <c r="L38" s="141"/>
      <c r="M38" s="141"/>
      <c r="N38" s="142"/>
      <c r="O38" s="140"/>
      <c r="P38" s="141"/>
      <c r="Q38" s="141"/>
      <c r="R38" s="141"/>
      <c r="S38" s="189"/>
      <c r="T38" s="190"/>
      <c r="U38" s="190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190"/>
      <c r="AI38" s="190"/>
      <c r="AJ38" s="190"/>
      <c r="AK38" s="190"/>
      <c r="AL38" s="190"/>
      <c r="AM38" s="190"/>
      <c r="AN38" s="190"/>
      <c r="AO38" s="190"/>
      <c r="AP38" s="190"/>
      <c r="AQ38" s="190"/>
      <c r="AR38" s="190"/>
      <c r="AS38" s="190"/>
      <c r="AT38" s="190"/>
      <c r="AU38" s="190"/>
      <c r="AV38" s="190"/>
      <c r="AW38" s="191"/>
      <c r="AX38" s="192"/>
      <c r="AY38" s="192"/>
      <c r="AZ38" s="192"/>
      <c r="BA38" s="192"/>
      <c r="BB38" s="192"/>
      <c r="BC38" s="193"/>
      <c r="BD38" s="194"/>
      <c r="BE38" s="192"/>
      <c r="BF38" s="192"/>
      <c r="BG38" s="192"/>
      <c r="BH38" s="192"/>
      <c r="BI38" s="192"/>
      <c r="BJ38" s="193"/>
      <c r="BK38" s="159"/>
    </row>
    <row r="39" spans="1:63" ht="15" customHeight="1" x14ac:dyDescent="0.25">
      <c r="A39" s="158"/>
      <c r="B39" s="130"/>
      <c r="C39" s="128"/>
      <c r="D39" s="128"/>
      <c r="E39" s="128"/>
      <c r="F39" s="128"/>
      <c r="G39" s="129"/>
      <c r="H39" s="130"/>
      <c r="I39" s="128"/>
      <c r="J39" s="128"/>
      <c r="K39" s="128"/>
      <c r="L39" s="128"/>
      <c r="M39" s="128"/>
      <c r="N39" s="129"/>
      <c r="O39" s="130"/>
      <c r="P39" s="128"/>
      <c r="Q39" s="128"/>
      <c r="R39" s="128"/>
      <c r="S39" s="183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5"/>
      <c r="AX39" s="186"/>
      <c r="AY39" s="186"/>
      <c r="AZ39" s="186"/>
      <c r="BA39" s="186"/>
      <c r="BB39" s="186"/>
      <c r="BC39" s="187"/>
      <c r="BD39" s="188"/>
      <c r="BE39" s="186"/>
      <c r="BF39" s="186"/>
      <c r="BG39" s="186"/>
      <c r="BH39" s="186"/>
      <c r="BI39" s="186"/>
      <c r="BJ39" s="187"/>
      <c r="BK39" s="159"/>
    </row>
    <row r="40" spans="1:63" ht="15" customHeight="1" x14ac:dyDescent="0.25">
      <c r="A40" s="158"/>
      <c r="B40" s="140"/>
      <c r="C40" s="141"/>
      <c r="D40" s="141"/>
      <c r="E40" s="141"/>
      <c r="F40" s="141"/>
      <c r="G40" s="142"/>
      <c r="H40" s="140"/>
      <c r="I40" s="141"/>
      <c r="J40" s="141"/>
      <c r="K40" s="141"/>
      <c r="L40" s="141"/>
      <c r="M40" s="141"/>
      <c r="N40" s="142"/>
      <c r="O40" s="140"/>
      <c r="P40" s="141"/>
      <c r="Q40" s="141"/>
      <c r="R40" s="141"/>
      <c r="S40" s="189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0"/>
      <c r="AU40" s="190"/>
      <c r="AV40" s="190"/>
      <c r="AW40" s="191"/>
      <c r="AX40" s="192"/>
      <c r="AY40" s="192"/>
      <c r="AZ40" s="192"/>
      <c r="BA40" s="192"/>
      <c r="BB40" s="192"/>
      <c r="BC40" s="193"/>
      <c r="BD40" s="194"/>
      <c r="BE40" s="192"/>
      <c r="BF40" s="192"/>
      <c r="BG40" s="192"/>
      <c r="BH40" s="192"/>
      <c r="BI40" s="192"/>
      <c r="BJ40" s="193"/>
      <c r="BK40" s="159"/>
    </row>
    <row r="41" spans="1:63" ht="15" customHeight="1" x14ac:dyDescent="0.25">
      <c r="A41" s="158"/>
      <c r="B41" s="130"/>
      <c r="C41" s="128"/>
      <c r="D41" s="128"/>
      <c r="E41" s="128"/>
      <c r="F41" s="128"/>
      <c r="G41" s="129"/>
      <c r="H41" s="130"/>
      <c r="I41" s="128"/>
      <c r="J41" s="128"/>
      <c r="K41" s="128"/>
      <c r="L41" s="128"/>
      <c r="M41" s="128"/>
      <c r="N41" s="129"/>
      <c r="O41" s="130"/>
      <c r="P41" s="128"/>
      <c r="Q41" s="128"/>
      <c r="R41" s="128"/>
      <c r="S41" s="183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5"/>
      <c r="AX41" s="186"/>
      <c r="AY41" s="186"/>
      <c r="AZ41" s="186"/>
      <c r="BA41" s="186"/>
      <c r="BB41" s="186"/>
      <c r="BC41" s="187"/>
      <c r="BD41" s="188"/>
      <c r="BE41" s="186"/>
      <c r="BF41" s="186"/>
      <c r="BG41" s="186"/>
      <c r="BH41" s="186"/>
      <c r="BI41" s="186"/>
      <c r="BJ41" s="187"/>
      <c r="BK41" s="159"/>
    </row>
    <row r="42" spans="1:63" ht="15" customHeight="1" x14ac:dyDescent="0.25">
      <c r="A42" s="158"/>
      <c r="B42" s="140"/>
      <c r="C42" s="141"/>
      <c r="D42" s="141"/>
      <c r="E42" s="141"/>
      <c r="F42" s="141"/>
      <c r="G42" s="142"/>
      <c r="H42" s="140"/>
      <c r="I42" s="141"/>
      <c r="J42" s="141"/>
      <c r="K42" s="141"/>
      <c r="L42" s="141"/>
      <c r="M42" s="141"/>
      <c r="N42" s="142"/>
      <c r="O42" s="140"/>
      <c r="P42" s="141"/>
      <c r="Q42" s="141"/>
      <c r="R42" s="141"/>
      <c r="S42" s="189"/>
      <c r="T42" s="190"/>
      <c r="U42" s="190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190"/>
      <c r="AI42" s="190"/>
      <c r="AJ42" s="190"/>
      <c r="AK42" s="190"/>
      <c r="AL42" s="190"/>
      <c r="AM42" s="190"/>
      <c r="AN42" s="190"/>
      <c r="AO42" s="190"/>
      <c r="AP42" s="190"/>
      <c r="AQ42" s="190"/>
      <c r="AR42" s="190"/>
      <c r="AS42" s="190"/>
      <c r="AT42" s="190"/>
      <c r="AU42" s="190"/>
      <c r="AV42" s="190"/>
      <c r="AW42" s="191"/>
      <c r="AX42" s="192"/>
      <c r="AY42" s="192"/>
      <c r="AZ42" s="192"/>
      <c r="BA42" s="192"/>
      <c r="BB42" s="192"/>
      <c r="BC42" s="193"/>
      <c r="BD42" s="194"/>
      <c r="BE42" s="192"/>
      <c r="BF42" s="192"/>
      <c r="BG42" s="192"/>
      <c r="BH42" s="192"/>
      <c r="BI42" s="192"/>
      <c r="BJ42" s="193"/>
      <c r="BK42" s="159"/>
    </row>
    <row r="43" spans="1:63" ht="15" customHeight="1" x14ac:dyDescent="0.25">
      <c r="A43" s="158"/>
      <c r="B43" s="130"/>
      <c r="C43" s="128"/>
      <c r="D43" s="128"/>
      <c r="E43" s="128"/>
      <c r="F43" s="128"/>
      <c r="G43" s="129"/>
      <c r="H43" s="130"/>
      <c r="I43" s="128"/>
      <c r="J43" s="128"/>
      <c r="K43" s="128"/>
      <c r="L43" s="128"/>
      <c r="M43" s="128"/>
      <c r="N43" s="129"/>
      <c r="O43" s="130"/>
      <c r="P43" s="128"/>
      <c r="Q43" s="128"/>
      <c r="R43" s="128"/>
      <c r="S43" s="183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  <c r="AT43" s="184"/>
      <c r="AU43" s="184"/>
      <c r="AV43" s="184"/>
      <c r="AW43" s="185"/>
      <c r="AX43" s="186"/>
      <c r="AY43" s="186"/>
      <c r="AZ43" s="186"/>
      <c r="BA43" s="186"/>
      <c r="BB43" s="186"/>
      <c r="BC43" s="187"/>
      <c r="BD43" s="188"/>
      <c r="BE43" s="186"/>
      <c r="BF43" s="186"/>
      <c r="BG43" s="186"/>
      <c r="BH43" s="186"/>
      <c r="BI43" s="186"/>
      <c r="BJ43" s="187"/>
      <c r="BK43" s="159"/>
    </row>
    <row r="44" spans="1:63" ht="15" customHeight="1" x14ac:dyDescent="0.25">
      <c r="A44" s="158"/>
      <c r="B44" s="140"/>
      <c r="C44" s="141"/>
      <c r="D44" s="141"/>
      <c r="E44" s="141"/>
      <c r="F44" s="141"/>
      <c r="G44" s="142"/>
      <c r="H44" s="140"/>
      <c r="I44" s="141"/>
      <c r="J44" s="141"/>
      <c r="K44" s="141"/>
      <c r="L44" s="141"/>
      <c r="M44" s="141"/>
      <c r="N44" s="142"/>
      <c r="O44" s="140"/>
      <c r="P44" s="141"/>
      <c r="Q44" s="141"/>
      <c r="R44" s="141"/>
      <c r="S44" s="189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1"/>
      <c r="AX44" s="192"/>
      <c r="AY44" s="192"/>
      <c r="AZ44" s="192"/>
      <c r="BA44" s="192"/>
      <c r="BB44" s="192"/>
      <c r="BC44" s="193"/>
      <c r="BD44" s="194"/>
      <c r="BE44" s="192"/>
      <c r="BF44" s="192"/>
      <c r="BG44" s="192"/>
      <c r="BH44" s="192"/>
      <c r="BI44" s="192"/>
      <c r="BJ44" s="193"/>
      <c r="BK44" s="159"/>
    </row>
    <row r="45" spans="1:63" ht="15" customHeight="1" x14ac:dyDescent="0.25">
      <c r="A45" s="158"/>
      <c r="B45" s="130"/>
      <c r="C45" s="128"/>
      <c r="D45" s="128"/>
      <c r="E45" s="128"/>
      <c r="F45" s="128"/>
      <c r="G45" s="129"/>
      <c r="H45" s="130"/>
      <c r="I45" s="128"/>
      <c r="J45" s="128"/>
      <c r="K45" s="128"/>
      <c r="L45" s="128"/>
      <c r="M45" s="128"/>
      <c r="N45" s="129"/>
      <c r="O45" s="130"/>
      <c r="P45" s="128"/>
      <c r="Q45" s="128"/>
      <c r="R45" s="128"/>
      <c r="S45" s="183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184"/>
      <c r="AR45" s="184"/>
      <c r="AS45" s="184"/>
      <c r="AT45" s="184"/>
      <c r="AU45" s="184"/>
      <c r="AV45" s="184"/>
      <c r="AW45" s="185"/>
      <c r="AX45" s="186"/>
      <c r="AY45" s="186"/>
      <c r="AZ45" s="186"/>
      <c r="BA45" s="186"/>
      <c r="BB45" s="186"/>
      <c r="BC45" s="187"/>
      <c r="BD45" s="188"/>
      <c r="BE45" s="186"/>
      <c r="BF45" s="186"/>
      <c r="BG45" s="186"/>
      <c r="BH45" s="186"/>
      <c r="BI45" s="186"/>
      <c r="BJ45" s="187"/>
      <c r="BK45" s="159"/>
    </row>
    <row r="46" spans="1:63" ht="15" customHeight="1" x14ac:dyDescent="0.25">
      <c r="A46" s="158"/>
      <c r="B46" s="140"/>
      <c r="C46" s="141"/>
      <c r="D46" s="141"/>
      <c r="E46" s="141"/>
      <c r="F46" s="141"/>
      <c r="G46" s="142"/>
      <c r="H46" s="140"/>
      <c r="I46" s="141"/>
      <c r="J46" s="141"/>
      <c r="K46" s="141"/>
      <c r="L46" s="141"/>
      <c r="M46" s="141"/>
      <c r="N46" s="142"/>
      <c r="O46" s="140"/>
      <c r="P46" s="141"/>
      <c r="Q46" s="141"/>
      <c r="R46" s="141"/>
      <c r="S46" s="189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0"/>
      <c r="AU46" s="190"/>
      <c r="AV46" s="190"/>
      <c r="AW46" s="191"/>
      <c r="AX46" s="192"/>
      <c r="AY46" s="192"/>
      <c r="AZ46" s="192"/>
      <c r="BA46" s="192"/>
      <c r="BB46" s="192"/>
      <c r="BC46" s="193"/>
      <c r="BD46" s="194"/>
      <c r="BE46" s="192"/>
      <c r="BF46" s="192"/>
      <c r="BG46" s="192"/>
      <c r="BH46" s="192"/>
      <c r="BI46" s="192"/>
      <c r="BJ46" s="193"/>
      <c r="BK46" s="159"/>
    </row>
    <row r="47" spans="1:63" ht="15" customHeight="1" x14ac:dyDescent="0.25">
      <c r="A47" s="158"/>
      <c r="B47" s="130"/>
      <c r="C47" s="128"/>
      <c r="D47" s="128"/>
      <c r="E47" s="128"/>
      <c r="F47" s="128"/>
      <c r="G47" s="129"/>
      <c r="H47" s="130"/>
      <c r="I47" s="128"/>
      <c r="J47" s="128"/>
      <c r="K47" s="128"/>
      <c r="L47" s="128"/>
      <c r="M47" s="128"/>
      <c r="N47" s="129"/>
      <c r="O47" s="130"/>
      <c r="P47" s="128"/>
      <c r="Q47" s="128"/>
      <c r="R47" s="128"/>
      <c r="S47" s="183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5"/>
      <c r="AX47" s="186"/>
      <c r="AY47" s="186"/>
      <c r="AZ47" s="186"/>
      <c r="BA47" s="186"/>
      <c r="BB47" s="186"/>
      <c r="BC47" s="187"/>
      <c r="BD47" s="188"/>
      <c r="BE47" s="186"/>
      <c r="BF47" s="186"/>
      <c r="BG47" s="186"/>
      <c r="BH47" s="186"/>
      <c r="BI47" s="186"/>
      <c r="BJ47" s="187"/>
      <c r="BK47" s="159"/>
    </row>
    <row r="48" spans="1:63" ht="15" customHeight="1" x14ac:dyDescent="0.25">
      <c r="A48" s="158"/>
      <c r="B48" s="140"/>
      <c r="C48" s="141"/>
      <c r="D48" s="141"/>
      <c r="E48" s="141"/>
      <c r="F48" s="141"/>
      <c r="G48" s="142"/>
      <c r="H48" s="140"/>
      <c r="I48" s="141"/>
      <c r="J48" s="141"/>
      <c r="K48" s="141"/>
      <c r="L48" s="141"/>
      <c r="M48" s="141"/>
      <c r="N48" s="142"/>
      <c r="O48" s="140"/>
      <c r="P48" s="141"/>
      <c r="Q48" s="141"/>
      <c r="R48" s="141"/>
      <c r="S48" s="189"/>
      <c r="T48" s="190"/>
      <c r="U48" s="190"/>
      <c r="V48" s="190"/>
      <c r="W48" s="190"/>
      <c r="X48" s="190"/>
      <c r="Y48" s="190"/>
      <c r="Z48" s="190"/>
      <c r="AA48" s="190"/>
      <c r="AB48" s="190"/>
      <c r="AC48" s="190"/>
      <c r="AD48" s="190"/>
      <c r="AE48" s="190"/>
      <c r="AF48" s="190"/>
      <c r="AG48" s="190"/>
      <c r="AH48" s="190"/>
      <c r="AI48" s="190"/>
      <c r="AJ48" s="190"/>
      <c r="AK48" s="190"/>
      <c r="AL48" s="190"/>
      <c r="AM48" s="190"/>
      <c r="AN48" s="190"/>
      <c r="AO48" s="190"/>
      <c r="AP48" s="190"/>
      <c r="AQ48" s="190"/>
      <c r="AR48" s="190"/>
      <c r="AS48" s="190"/>
      <c r="AT48" s="190"/>
      <c r="AU48" s="190"/>
      <c r="AV48" s="190"/>
      <c r="AW48" s="191"/>
      <c r="AX48" s="192"/>
      <c r="AY48" s="192"/>
      <c r="AZ48" s="192"/>
      <c r="BA48" s="192"/>
      <c r="BB48" s="192"/>
      <c r="BC48" s="193"/>
      <c r="BD48" s="194"/>
      <c r="BE48" s="192"/>
      <c r="BF48" s="192"/>
      <c r="BG48" s="192"/>
      <c r="BH48" s="192"/>
      <c r="BI48" s="192"/>
      <c r="BJ48" s="193"/>
      <c r="BK48" s="159"/>
    </row>
    <row r="49" spans="1:63" ht="15" customHeight="1" x14ac:dyDescent="0.25">
      <c r="A49" s="158"/>
      <c r="B49" s="130"/>
      <c r="C49" s="128"/>
      <c r="D49" s="128"/>
      <c r="E49" s="128"/>
      <c r="F49" s="128"/>
      <c r="G49" s="129"/>
      <c r="H49" s="130"/>
      <c r="I49" s="128"/>
      <c r="J49" s="128"/>
      <c r="K49" s="128"/>
      <c r="L49" s="128"/>
      <c r="M49" s="128"/>
      <c r="N49" s="129"/>
      <c r="O49" s="130"/>
      <c r="P49" s="128"/>
      <c r="Q49" s="128"/>
      <c r="R49" s="128"/>
      <c r="S49" s="183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5"/>
      <c r="AX49" s="186"/>
      <c r="AY49" s="186"/>
      <c r="AZ49" s="186"/>
      <c r="BA49" s="186"/>
      <c r="BB49" s="186"/>
      <c r="BC49" s="187"/>
      <c r="BD49" s="188"/>
      <c r="BE49" s="186"/>
      <c r="BF49" s="186"/>
      <c r="BG49" s="186"/>
      <c r="BH49" s="186"/>
      <c r="BI49" s="186"/>
      <c r="BJ49" s="187"/>
      <c r="BK49" s="159"/>
    </row>
    <row r="50" spans="1:63" ht="15" customHeight="1" x14ac:dyDescent="0.25">
      <c r="A50" s="158"/>
      <c r="B50" s="140"/>
      <c r="C50" s="141"/>
      <c r="D50" s="141"/>
      <c r="E50" s="141"/>
      <c r="F50" s="141"/>
      <c r="G50" s="142"/>
      <c r="H50" s="140"/>
      <c r="I50" s="141"/>
      <c r="J50" s="141"/>
      <c r="K50" s="141"/>
      <c r="L50" s="141"/>
      <c r="M50" s="141"/>
      <c r="N50" s="142"/>
      <c r="O50" s="140"/>
      <c r="P50" s="141"/>
      <c r="Q50" s="141"/>
      <c r="R50" s="141"/>
      <c r="S50" s="189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  <c r="AL50" s="190"/>
      <c r="AM50" s="190"/>
      <c r="AN50" s="190"/>
      <c r="AO50" s="190"/>
      <c r="AP50" s="190"/>
      <c r="AQ50" s="190"/>
      <c r="AR50" s="190"/>
      <c r="AS50" s="190"/>
      <c r="AT50" s="190"/>
      <c r="AU50" s="190"/>
      <c r="AV50" s="190"/>
      <c r="AW50" s="191"/>
      <c r="AX50" s="192"/>
      <c r="AY50" s="192"/>
      <c r="AZ50" s="192"/>
      <c r="BA50" s="192"/>
      <c r="BB50" s="192"/>
      <c r="BC50" s="193"/>
      <c r="BD50" s="194"/>
      <c r="BE50" s="192"/>
      <c r="BF50" s="192"/>
      <c r="BG50" s="192"/>
      <c r="BH50" s="192"/>
      <c r="BI50" s="192"/>
      <c r="BJ50" s="193"/>
      <c r="BK50" s="159"/>
    </row>
    <row r="51" spans="1:63" ht="15" customHeight="1" x14ac:dyDescent="0.25">
      <c r="A51" s="158"/>
      <c r="B51" s="130"/>
      <c r="C51" s="128"/>
      <c r="D51" s="128"/>
      <c r="E51" s="128"/>
      <c r="F51" s="128"/>
      <c r="G51" s="129"/>
      <c r="H51" s="130"/>
      <c r="I51" s="128"/>
      <c r="J51" s="128"/>
      <c r="K51" s="128"/>
      <c r="L51" s="128"/>
      <c r="M51" s="128"/>
      <c r="N51" s="129"/>
      <c r="O51" s="130"/>
      <c r="P51" s="128"/>
      <c r="Q51" s="128"/>
      <c r="R51" s="128"/>
      <c r="S51" s="183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5"/>
      <c r="AX51" s="186"/>
      <c r="AY51" s="186"/>
      <c r="AZ51" s="186"/>
      <c r="BA51" s="186"/>
      <c r="BB51" s="186"/>
      <c r="BC51" s="187"/>
      <c r="BD51" s="188"/>
      <c r="BE51" s="186"/>
      <c r="BF51" s="186"/>
      <c r="BG51" s="186"/>
      <c r="BH51" s="186"/>
      <c r="BI51" s="186"/>
      <c r="BJ51" s="187"/>
      <c r="BK51" s="159"/>
    </row>
    <row r="52" spans="1:63" ht="15" customHeight="1" x14ac:dyDescent="0.25">
      <c r="A52" s="158"/>
      <c r="B52" s="140"/>
      <c r="C52" s="141"/>
      <c r="D52" s="141"/>
      <c r="E52" s="141"/>
      <c r="F52" s="141"/>
      <c r="G52" s="142"/>
      <c r="H52" s="140"/>
      <c r="I52" s="141"/>
      <c r="J52" s="141"/>
      <c r="K52" s="141"/>
      <c r="L52" s="141"/>
      <c r="M52" s="141"/>
      <c r="N52" s="142"/>
      <c r="O52" s="140"/>
      <c r="P52" s="141"/>
      <c r="Q52" s="141"/>
      <c r="R52" s="141"/>
      <c r="S52" s="189"/>
      <c r="T52" s="190"/>
      <c r="U52" s="190"/>
      <c r="V52" s="190"/>
      <c r="W52" s="190"/>
      <c r="X52" s="190"/>
      <c r="Y52" s="190"/>
      <c r="Z52" s="190"/>
      <c r="AA52" s="190"/>
      <c r="AB52" s="190"/>
      <c r="AC52" s="190"/>
      <c r="AD52" s="190"/>
      <c r="AE52" s="190"/>
      <c r="AF52" s="190"/>
      <c r="AG52" s="190"/>
      <c r="AH52" s="190"/>
      <c r="AI52" s="190"/>
      <c r="AJ52" s="190"/>
      <c r="AK52" s="190"/>
      <c r="AL52" s="190"/>
      <c r="AM52" s="190"/>
      <c r="AN52" s="190"/>
      <c r="AO52" s="190"/>
      <c r="AP52" s="190"/>
      <c r="AQ52" s="190"/>
      <c r="AR52" s="190"/>
      <c r="AS52" s="190"/>
      <c r="AT52" s="190"/>
      <c r="AU52" s="190"/>
      <c r="AV52" s="190"/>
      <c r="AW52" s="191"/>
      <c r="AX52" s="192"/>
      <c r="AY52" s="192"/>
      <c r="AZ52" s="192"/>
      <c r="BA52" s="192"/>
      <c r="BB52" s="192"/>
      <c r="BC52" s="193"/>
      <c r="BD52" s="194"/>
      <c r="BE52" s="192"/>
      <c r="BF52" s="192"/>
      <c r="BG52" s="192"/>
      <c r="BH52" s="192"/>
      <c r="BI52" s="192"/>
      <c r="BJ52" s="193"/>
      <c r="BK52" s="159"/>
    </row>
    <row r="53" spans="1:63" ht="15" customHeight="1" x14ac:dyDescent="0.25">
      <c r="A53" s="158"/>
      <c r="B53" s="130"/>
      <c r="C53" s="128"/>
      <c r="D53" s="128"/>
      <c r="E53" s="128"/>
      <c r="F53" s="128"/>
      <c r="G53" s="129"/>
      <c r="H53" s="130"/>
      <c r="I53" s="128"/>
      <c r="J53" s="128"/>
      <c r="K53" s="128"/>
      <c r="L53" s="128"/>
      <c r="M53" s="128"/>
      <c r="N53" s="129"/>
      <c r="O53" s="130"/>
      <c r="P53" s="128"/>
      <c r="Q53" s="128"/>
      <c r="R53" s="128"/>
      <c r="S53" s="183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  <c r="AT53" s="184"/>
      <c r="AU53" s="184"/>
      <c r="AV53" s="184"/>
      <c r="AW53" s="185"/>
      <c r="AX53" s="186"/>
      <c r="AY53" s="186"/>
      <c r="AZ53" s="186"/>
      <c r="BA53" s="186"/>
      <c r="BB53" s="186"/>
      <c r="BC53" s="187"/>
      <c r="BD53" s="188"/>
      <c r="BE53" s="186"/>
      <c r="BF53" s="186"/>
      <c r="BG53" s="186"/>
      <c r="BH53" s="186"/>
      <c r="BI53" s="186"/>
      <c r="BJ53" s="187"/>
      <c r="BK53" s="159"/>
    </row>
    <row r="54" spans="1:63" ht="15" customHeight="1" x14ac:dyDescent="0.25">
      <c r="A54" s="158"/>
      <c r="B54" s="140"/>
      <c r="C54" s="141"/>
      <c r="D54" s="141"/>
      <c r="E54" s="141"/>
      <c r="F54" s="141"/>
      <c r="G54" s="142"/>
      <c r="H54" s="140"/>
      <c r="I54" s="141"/>
      <c r="J54" s="141"/>
      <c r="K54" s="141"/>
      <c r="L54" s="141"/>
      <c r="M54" s="141"/>
      <c r="N54" s="142"/>
      <c r="O54" s="140"/>
      <c r="P54" s="141"/>
      <c r="Q54" s="141"/>
      <c r="R54" s="141"/>
      <c r="S54" s="189"/>
      <c r="T54" s="190"/>
      <c r="U54" s="190"/>
      <c r="V54" s="190"/>
      <c r="W54" s="190"/>
      <c r="X54" s="190"/>
      <c r="Y54" s="190"/>
      <c r="Z54" s="190"/>
      <c r="AA54" s="190"/>
      <c r="AB54" s="190"/>
      <c r="AC54" s="190"/>
      <c r="AD54" s="190"/>
      <c r="AE54" s="190"/>
      <c r="AF54" s="190"/>
      <c r="AG54" s="190"/>
      <c r="AH54" s="190"/>
      <c r="AI54" s="190"/>
      <c r="AJ54" s="190"/>
      <c r="AK54" s="190"/>
      <c r="AL54" s="190"/>
      <c r="AM54" s="190"/>
      <c r="AN54" s="190"/>
      <c r="AO54" s="190"/>
      <c r="AP54" s="190"/>
      <c r="AQ54" s="190"/>
      <c r="AR54" s="190"/>
      <c r="AS54" s="190"/>
      <c r="AT54" s="190"/>
      <c r="AU54" s="190"/>
      <c r="AV54" s="190"/>
      <c r="AW54" s="191"/>
      <c r="AX54" s="192"/>
      <c r="AY54" s="192"/>
      <c r="AZ54" s="192"/>
      <c r="BA54" s="192"/>
      <c r="BB54" s="192"/>
      <c r="BC54" s="193"/>
      <c r="BD54" s="194"/>
      <c r="BE54" s="192"/>
      <c r="BF54" s="192"/>
      <c r="BG54" s="192"/>
      <c r="BH54" s="192"/>
      <c r="BI54" s="192"/>
      <c r="BJ54" s="193"/>
      <c r="BK54" s="159"/>
    </row>
    <row r="55" spans="1:63" ht="15" customHeight="1" x14ac:dyDescent="0.25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7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08" t="s">
        <v>103</v>
      </c>
      <c r="B1" s="209"/>
      <c r="C1" s="209"/>
      <c r="D1" s="209"/>
      <c r="E1" s="209"/>
      <c r="F1" s="209"/>
      <c r="G1" s="209"/>
      <c r="H1" s="209"/>
      <c r="I1" s="209"/>
      <c r="J1" s="210"/>
      <c r="K1" s="208" t="s">
        <v>104</v>
      </c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10"/>
      <c r="W1" s="211" t="str">
        <f>IF(表紙!W1="","",表紙!W1)</f>
        <v>詳細設計書</v>
      </c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3"/>
      <c r="AP1" s="121" t="s">
        <v>106</v>
      </c>
      <c r="AQ1" s="122"/>
      <c r="AR1" s="122"/>
      <c r="AS1" s="123"/>
      <c r="AT1" s="121" t="s">
        <v>107</v>
      </c>
      <c r="AU1" s="122"/>
      <c r="AV1" s="122"/>
      <c r="AW1" s="122"/>
      <c r="AX1" s="123"/>
      <c r="AY1" s="121" t="s">
        <v>108</v>
      </c>
      <c r="AZ1" s="122"/>
      <c r="BA1" s="122"/>
      <c r="BB1" s="123"/>
      <c r="BC1" s="121" t="s">
        <v>109</v>
      </c>
      <c r="BD1" s="122"/>
      <c r="BE1" s="122"/>
      <c r="BF1" s="122"/>
      <c r="BG1" s="123"/>
      <c r="BH1" s="121" t="s">
        <v>110</v>
      </c>
      <c r="BI1" s="122"/>
      <c r="BJ1" s="122"/>
      <c r="BK1" s="123"/>
    </row>
    <row r="2" spans="1:63" ht="15" customHeight="1" x14ac:dyDescent="0.25">
      <c r="A2" s="68" t="str">
        <f>IF(表紙!A2="","",表紙!A2)</f>
        <v>POSサーバー</v>
      </c>
      <c r="B2" s="69"/>
      <c r="C2" s="69"/>
      <c r="D2" s="69"/>
      <c r="E2" s="69"/>
      <c r="F2" s="69"/>
      <c r="G2" s="69"/>
      <c r="H2" s="69"/>
      <c r="I2" s="69"/>
      <c r="J2" s="70"/>
      <c r="K2" s="68" t="str">
        <f>IF(表紙!K2="","",表紙!K2)</f>
        <v>POSサーバ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214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6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3"/>
      <c r="K3" s="71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217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9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208" t="s">
        <v>112</v>
      </c>
      <c r="B4" s="209"/>
      <c r="C4" s="209"/>
      <c r="D4" s="209"/>
      <c r="E4" s="209"/>
      <c r="F4" s="209"/>
      <c r="G4" s="210"/>
      <c r="H4" s="74" t="str">
        <f>IF(表紙!H4="","",表紙!H4)</f>
        <v>AP0802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6"/>
      <c r="U4" s="208" t="s">
        <v>113</v>
      </c>
      <c r="V4" s="209"/>
      <c r="W4" s="209"/>
      <c r="X4" s="209"/>
      <c r="Y4" s="210"/>
      <c r="Z4" s="74" t="str">
        <f>IF(表紙!Z4="","",表紙!Z4)</f>
        <v>API設計書</v>
      </c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6"/>
      <c r="AP4" s="77" t="str">
        <f ca="1">MID(CELL("filename",A1),FIND("]",CELL("filename",A1))+1,255)</f>
        <v>処理フロー凡例</v>
      </c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6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27" customFormat="1" ht="15" customHeight="1" x14ac:dyDescent="0.25">
      <c r="A7" s="220"/>
      <c r="B7" s="221" t="s">
        <v>120</v>
      </c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3"/>
      <c r="AF7" s="224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3"/>
      <c r="BJ7" s="222"/>
      <c r="BK7" s="225"/>
    </row>
    <row r="8" spans="1:63" s="226" customFormat="1" ht="15" customHeight="1" x14ac:dyDescent="0.25">
      <c r="BK8" s="225"/>
    </row>
    <row r="9" spans="1:63" s="226" customFormat="1" ht="15" customHeight="1" x14ac:dyDescent="0.25">
      <c r="BK9" s="225"/>
    </row>
    <row r="10" spans="1:63" s="226" customFormat="1" ht="15" customHeight="1" x14ac:dyDescent="0.25">
      <c r="BK10" s="225"/>
    </row>
    <row r="11" spans="1:63" s="226" customFormat="1" ht="15" customHeight="1" x14ac:dyDescent="0.25">
      <c r="BK11" s="225"/>
    </row>
    <row r="12" spans="1:63" s="226" customFormat="1" ht="15" customHeight="1" x14ac:dyDescent="0.25">
      <c r="BK12" s="225"/>
    </row>
    <row r="13" spans="1:63" s="226" customFormat="1" ht="15" customHeight="1" x14ac:dyDescent="0.25">
      <c r="BK13" s="225"/>
    </row>
    <row r="14" spans="1:63" s="226" customFormat="1" ht="15" customHeight="1" x14ac:dyDescent="0.25">
      <c r="BK14" s="225"/>
    </row>
    <row r="15" spans="1:63" s="226" customFormat="1" ht="15" customHeight="1" x14ac:dyDescent="0.25">
      <c r="BK15" s="225"/>
    </row>
    <row r="16" spans="1:63" s="226" customFormat="1" ht="15" customHeight="1" x14ac:dyDescent="0.25">
      <c r="BK16" s="225"/>
    </row>
    <row r="17" spans="63:63" s="226" customFormat="1" ht="15" customHeight="1" x14ac:dyDescent="0.25">
      <c r="BK17" s="225"/>
    </row>
    <row r="18" spans="63:63" s="226" customFormat="1" ht="15" customHeight="1" x14ac:dyDescent="0.25">
      <c r="BK18" s="225"/>
    </row>
    <row r="19" spans="63:63" s="226" customFormat="1" ht="15" customHeight="1" x14ac:dyDescent="0.25">
      <c r="BK19" s="225"/>
    </row>
    <row r="20" spans="63:63" s="226" customFormat="1" ht="15" customHeight="1" x14ac:dyDescent="0.25">
      <c r="BK20" s="225"/>
    </row>
    <row r="21" spans="63:63" s="226" customFormat="1" ht="15" customHeight="1" x14ac:dyDescent="0.25">
      <c r="BK21" s="225"/>
    </row>
    <row r="22" spans="63:63" s="226" customFormat="1" ht="15" customHeight="1" x14ac:dyDescent="0.25">
      <c r="BK22" s="225"/>
    </row>
    <row r="23" spans="63:63" s="226" customFormat="1" ht="15" customHeight="1" x14ac:dyDescent="0.25">
      <c r="BK23" s="225"/>
    </row>
    <row r="24" spans="63:63" s="226" customFormat="1" ht="15" customHeight="1" x14ac:dyDescent="0.25">
      <c r="BK24" s="225"/>
    </row>
    <row r="25" spans="63:63" s="226" customFormat="1" ht="15" customHeight="1" x14ac:dyDescent="0.25">
      <c r="BK25" s="225"/>
    </row>
    <row r="26" spans="63:63" s="226" customFormat="1" ht="15" customHeight="1" x14ac:dyDescent="0.25">
      <c r="BK26" s="225"/>
    </row>
    <row r="27" spans="63:63" s="226" customFormat="1" ht="15" customHeight="1" x14ac:dyDescent="0.25">
      <c r="BK27" s="225"/>
    </row>
    <row r="28" spans="63:63" s="226" customFormat="1" ht="15" customHeight="1" x14ac:dyDescent="0.25">
      <c r="BK28" s="225"/>
    </row>
    <row r="29" spans="63:63" s="226" customFormat="1" ht="15" customHeight="1" x14ac:dyDescent="0.25">
      <c r="BK29" s="225"/>
    </row>
    <row r="30" spans="63:63" s="226" customFormat="1" ht="15" customHeight="1" x14ac:dyDescent="0.25">
      <c r="BK30" s="225"/>
    </row>
    <row r="31" spans="63:63" s="226" customFormat="1" ht="15" customHeight="1" x14ac:dyDescent="0.25">
      <c r="BK31" s="225"/>
    </row>
    <row r="32" spans="63:63" s="226" customFormat="1" ht="15" customHeight="1" x14ac:dyDescent="0.25">
      <c r="BK32" s="225"/>
    </row>
    <row r="33" spans="63:63" s="226" customFormat="1" ht="15" customHeight="1" x14ac:dyDescent="0.25">
      <c r="BK33" s="225"/>
    </row>
    <row r="34" spans="63:63" s="226" customFormat="1" ht="15" customHeight="1" x14ac:dyDescent="0.25">
      <c r="BK34" s="225"/>
    </row>
    <row r="35" spans="63:63" s="226" customFormat="1" ht="15" customHeight="1" x14ac:dyDescent="0.25">
      <c r="BK35" s="225"/>
    </row>
    <row r="36" spans="63:63" s="226" customFormat="1" ht="15" customHeight="1" x14ac:dyDescent="0.25">
      <c r="BK36" s="225"/>
    </row>
    <row r="37" spans="63:63" s="226" customFormat="1" ht="15" customHeight="1" x14ac:dyDescent="0.25">
      <c r="BK37" s="225"/>
    </row>
    <row r="38" spans="63:63" s="226" customFormat="1" ht="15" customHeight="1" x14ac:dyDescent="0.25">
      <c r="BK38" s="225"/>
    </row>
    <row r="39" spans="63:63" s="226" customFormat="1" ht="15" customHeight="1" x14ac:dyDescent="0.25">
      <c r="BK39" s="225"/>
    </row>
    <row r="40" spans="63:63" s="226" customFormat="1" ht="15" customHeight="1" x14ac:dyDescent="0.25">
      <c r="BK40" s="225"/>
    </row>
    <row r="41" spans="63:63" s="226" customFormat="1" ht="15" customHeight="1" x14ac:dyDescent="0.25">
      <c r="BK41" s="225"/>
    </row>
    <row r="42" spans="63:63" s="226" customFormat="1" ht="15" customHeight="1" x14ac:dyDescent="0.25">
      <c r="BK42" s="225"/>
    </row>
    <row r="43" spans="63:63" s="226" customFormat="1" ht="15" customHeight="1" x14ac:dyDescent="0.25">
      <c r="BK43" s="225"/>
    </row>
    <row r="44" spans="63:63" s="226" customFormat="1" ht="15" customHeight="1" x14ac:dyDescent="0.25">
      <c r="BK44" s="225"/>
    </row>
    <row r="45" spans="63:63" s="226" customFormat="1" ht="15" customHeight="1" x14ac:dyDescent="0.25">
      <c r="BK45" s="225"/>
    </row>
    <row r="46" spans="63:63" s="226" customFormat="1" ht="15" customHeight="1" x14ac:dyDescent="0.25">
      <c r="BK46" s="225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11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08" t="s">
        <v>103</v>
      </c>
      <c r="B1" s="209"/>
      <c r="C1" s="209"/>
      <c r="D1" s="209"/>
      <c r="E1" s="209"/>
      <c r="F1" s="209"/>
      <c r="G1" s="209"/>
      <c r="H1" s="209"/>
      <c r="I1" s="209"/>
      <c r="J1" s="210"/>
      <c r="K1" s="208" t="s">
        <v>104</v>
      </c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10"/>
      <c r="W1" s="211" t="str">
        <f>IF(表紙!W1="","",表紙!W1)</f>
        <v>詳細設計書</v>
      </c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3"/>
      <c r="AP1" s="121" t="s">
        <v>106</v>
      </c>
      <c r="AQ1" s="122"/>
      <c r="AR1" s="122"/>
      <c r="AS1" s="123"/>
      <c r="AT1" s="121" t="s">
        <v>107</v>
      </c>
      <c r="AU1" s="122"/>
      <c r="AV1" s="122"/>
      <c r="AW1" s="122"/>
      <c r="AX1" s="123"/>
      <c r="AY1" s="121" t="s">
        <v>108</v>
      </c>
      <c r="AZ1" s="122"/>
      <c r="BA1" s="122"/>
      <c r="BB1" s="123"/>
      <c r="BC1" s="121" t="s">
        <v>109</v>
      </c>
      <c r="BD1" s="122"/>
      <c r="BE1" s="122"/>
      <c r="BF1" s="122"/>
      <c r="BG1" s="123"/>
      <c r="BH1" s="121" t="s">
        <v>110</v>
      </c>
      <c r="BI1" s="122"/>
      <c r="BJ1" s="122"/>
      <c r="BK1" s="123"/>
    </row>
    <row r="2" spans="1:63" ht="15" customHeight="1" x14ac:dyDescent="0.25">
      <c r="A2" s="68" t="str">
        <f>IF(表紙!A2="","",表紙!A2)</f>
        <v>POSサーバー</v>
      </c>
      <c r="B2" s="69"/>
      <c r="C2" s="69"/>
      <c r="D2" s="69"/>
      <c r="E2" s="69"/>
      <c r="F2" s="69"/>
      <c r="G2" s="69"/>
      <c r="H2" s="69"/>
      <c r="I2" s="69"/>
      <c r="J2" s="70"/>
      <c r="K2" s="68" t="str">
        <f>IF(表紙!K2="","",表紙!K2)</f>
        <v>POSサーバ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214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6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3"/>
      <c r="K3" s="71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217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9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208" t="s">
        <v>112</v>
      </c>
      <c r="B4" s="209"/>
      <c r="C4" s="209"/>
      <c r="D4" s="209"/>
      <c r="E4" s="209"/>
      <c r="F4" s="209"/>
      <c r="G4" s="210"/>
      <c r="H4" s="74" t="str">
        <f>IF(表紙!H4="","",表紙!H4)</f>
        <v>AP0802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6"/>
      <c r="U4" s="208" t="s">
        <v>113</v>
      </c>
      <c r="V4" s="209"/>
      <c r="W4" s="209"/>
      <c r="X4" s="209"/>
      <c r="Y4" s="210"/>
      <c r="Z4" s="74" t="str">
        <f>IF(表紙!Z4="","",表紙!Z4)</f>
        <v>API設計書</v>
      </c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6"/>
      <c r="AP4" s="77" t="str">
        <f ca="1">MID(CELL("filename",A1),FIND("]",CELL("filename",A1))+1,255)</f>
        <v>AP0802</v>
      </c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6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6" customFormat="1" ht="15" customHeight="1" x14ac:dyDescent="0.25">
      <c r="A7" s="11"/>
      <c r="B7" s="12" t="s">
        <v>121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227"/>
      <c r="AQ7" s="227"/>
      <c r="AR7" s="227"/>
      <c r="AS7" s="227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5"/>
    </row>
    <row r="8" spans="1:63" s="16" customFormat="1" ht="15" customHeight="1" x14ac:dyDescent="0.25">
      <c r="A8" s="11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228"/>
      <c r="AQ8" s="228"/>
      <c r="AR8" s="228"/>
      <c r="AS8" s="22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9"/>
      <c r="BI8" s="19"/>
      <c r="BJ8" s="19"/>
      <c r="BK8" s="15"/>
    </row>
    <row r="9" spans="1:63" s="16" customFormat="1" ht="15" customHeight="1" x14ac:dyDescent="0.25">
      <c r="A9" s="11"/>
      <c r="B9" s="17"/>
      <c r="C9" s="18" t="s">
        <v>91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228"/>
      <c r="AQ9" s="228"/>
      <c r="AR9" s="228"/>
      <c r="AS9" s="22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  <c r="BI9" s="19"/>
      <c r="BJ9" s="19"/>
      <c r="BK9" s="15"/>
    </row>
    <row r="10" spans="1:63" s="16" customFormat="1" ht="15" customHeight="1" x14ac:dyDescent="0.25">
      <c r="A10" s="1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9"/>
      <c r="BI10" s="19"/>
      <c r="BJ10" s="19"/>
      <c r="BK10" s="15"/>
    </row>
    <row r="11" spans="1:63" s="16" customFormat="1" ht="15" customHeight="1" x14ac:dyDescent="0.25">
      <c r="A11" s="11"/>
      <c r="B11" s="20" t="s">
        <v>122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14"/>
      <c r="BJ11" s="14"/>
      <c r="BK11" s="15"/>
    </row>
    <row r="12" spans="1:63" s="16" customFormat="1" ht="15" customHeight="1" x14ac:dyDescent="0.25">
      <c r="A12" s="11"/>
      <c r="B12" s="18"/>
      <c r="C12" s="21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9"/>
      <c r="BI12" s="19"/>
      <c r="BJ12" s="19"/>
      <c r="BK12" s="15"/>
    </row>
    <row r="13" spans="1:63" s="16" customFormat="1" ht="15" customHeight="1" x14ac:dyDescent="0.25">
      <c r="A13" s="11"/>
      <c r="B13" s="18"/>
      <c r="C13" s="21" t="s">
        <v>123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9"/>
      <c r="BI13" s="19"/>
      <c r="BJ13" s="19"/>
      <c r="BK13" s="15"/>
    </row>
    <row r="14" spans="1:63" s="16" customFormat="1" ht="15" customHeight="1" x14ac:dyDescent="0.25">
      <c r="A14" s="11"/>
      <c r="B14" s="18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9"/>
      <c r="BI14" s="19"/>
      <c r="BJ14" s="19"/>
      <c r="BK14" s="15"/>
    </row>
    <row r="15" spans="1:63" s="16" customFormat="1" ht="15" customHeight="1" x14ac:dyDescent="0.25">
      <c r="A15" s="11"/>
      <c r="B15" s="18"/>
      <c r="C15" s="86" t="s">
        <v>14</v>
      </c>
      <c r="D15" s="88"/>
      <c r="E15" s="86" t="s">
        <v>15</v>
      </c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8"/>
      <c r="AG15" s="86" t="s">
        <v>16</v>
      </c>
      <c r="AH15" s="87"/>
      <c r="AI15" s="87"/>
      <c r="AJ15" s="87"/>
      <c r="AK15" s="87"/>
      <c r="AL15" s="87"/>
      <c r="AM15" s="87"/>
      <c r="AN15" s="87"/>
      <c r="AO15" s="87"/>
      <c r="AP15" s="88"/>
      <c r="AQ15" s="86" t="s">
        <v>17</v>
      </c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8"/>
      <c r="BK15" s="15"/>
    </row>
    <row r="16" spans="1:63" s="16" customFormat="1" ht="15" customHeight="1" x14ac:dyDescent="0.25">
      <c r="A16" s="11"/>
      <c r="B16" s="18"/>
      <c r="C16" s="78">
        <v>1</v>
      </c>
      <c r="D16" s="79"/>
      <c r="E16" s="229" t="s">
        <v>92</v>
      </c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1"/>
      <c r="AG16" s="78" t="s">
        <v>28</v>
      </c>
      <c r="AH16" s="83"/>
      <c r="AI16" s="83"/>
      <c r="AJ16" s="83"/>
      <c r="AK16" s="83"/>
      <c r="AL16" s="83"/>
      <c r="AM16" s="83"/>
      <c r="AN16" s="83"/>
      <c r="AO16" s="83"/>
      <c r="AP16" s="79"/>
      <c r="AQ16" s="106" t="s">
        <v>6</v>
      </c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8"/>
      <c r="BK16" s="15"/>
    </row>
    <row r="17" spans="1:63" s="16" customFormat="1" ht="15" customHeight="1" x14ac:dyDescent="0.25">
      <c r="A17" s="11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9"/>
      <c r="BI17" s="19"/>
      <c r="BJ17" s="19"/>
      <c r="BK17" s="15"/>
    </row>
    <row r="18" spans="1:63" s="16" customFormat="1" ht="15" customHeight="1" x14ac:dyDescent="0.25">
      <c r="A18" s="11"/>
      <c r="B18" s="18"/>
      <c r="C18" s="21" t="s">
        <v>124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9"/>
      <c r="BI18" s="19"/>
      <c r="BJ18" s="19"/>
      <c r="BK18" s="15"/>
    </row>
    <row r="19" spans="1:63" s="16" customFormat="1" ht="15" customHeight="1" x14ac:dyDescent="0.25">
      <c r="A19" s="11"/>
      <c r="B19" s="18"/>
      <c r="C19" s="21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5"/>
    </row>
    <row r="20" spans="1:63" s="16" customFormat="1" ht="15" customHeight="1" x14ac:dyDescent="0.25">
      <c r="A20" s="11"/>
      <c r="B20" s="18"/>
      <c r="C20" s="84" t="s">
        <v>125</v>
      </c>
      <c r="D20" s="85"/>
      <c r="E20" s="84" t="s">
        <v>126</v>
      </c>
      <c r="F20" s="89"/>
      <c r="G20" s="89"/>
      <c r="H20" s="89"/>
      <c r="I20" s="89"/>
      <c r="J20" s="89"/>
      <c r="K20" s="85"/>
      <c r="L20" s="86" t="s">
        <v>18</v>
      </c>
      <c r="M20" s="87"/>
      <c r="N20" s="88"/>
      <c r="O20" s="86" t="s">
        <v>19</v>
      </c>
      <c r="P20" s="87"/>
      <c r="Q20" s="87"/>
      <c r="R20" s="88"/>
      <c r="S20" s="86" t="s">
        <v>20</v>
      </c>
      <c r="T20" s="87"/>
      <c r="U20" s="87"/>
      <c r="V20" s="87"/>
      <c r="W20" s="87"/>
      <c r="X20" s="87"/>
      <c r="Y20" s="88"/>
      <c r="Z20" s="84" t="s">
        <v>127</v>
      </c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5"/>
      <c r="AQ20" s="86" t="s">
        <v>17</v>
      </c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8"/>
      <c r="BK20" s="15"/>
    </row>
    <row r="21" spans="1:63" s="16" customFormat="1" ht="15" customHeight="1" x14ac:dyDescent="0.25">
      <c r="A21" s="11"/>
      <c r="B21" s="18"/>
      <c r="C21" s="90">
        <v>1</v>
      </c>
      <c r="D21" s="92"/>
      <c r="E21" s="232" t="s">
        <v>3</v>
      </c>
      <c r="F21" s="233"/>
      <c r="G21" s="233"/>
      <c r="H21" s="233"/>
      <c r="I21" s="233"/>
      <c r="J21" s="233"/>
      <c r="K21" s="234"/>
      <c r="L21" s="98" t="s">
        <v>4</v>
      </c>
      <c r="M21" s="99"/>
      <c r="N21" s="100"/>
      <c r="O21" s="90" t="s">
        <v>5</v>
      </c>
      <c r="P21" s="91"/>
      <c r="Q21" s="91"/>
      <c r="R21" s="92"/>
      <c r="S21" s="90" t="s">
        <v>6</v>
      </c>
      <c r="T21" s="91"/>
      <c r="U21" s="91"/>
      <c r="V21" s="91"/>
      <c r="W21" s="91"/>
      <c r="X21" s="91"/>
      <c r="Y21" s="92"/>
      <c r="Z21" s="232" t="s">
        <v>7</v>
      </c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4"/>
      <c r="AQ21" s="235" t="s">
        <v>128</v>
      </c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  <c r="BC21" s="236"/>
      <c r="BD21" s="236"/>
      <c r="BE21" s="236"/>
      <c r="BF21" s="236"/>
      <c r="BG21" s="236"/>
      <c r="BH21" s="236"/>
      <c r="BI21" s="236"/>
      <c r="BJ21" s="237"/>
      <c r="BK21" s="15"/>
    </row>
    <row r="22" spans="1:63" s="16" customFormat="1" ht="15" customHeight="1" x14ac:dyDescent="0.25">
      <c r="A22" s="11"/>
      <c r="B22" s="18"/>
      <c r="C22" s="93"/>
      <c r="D22" s="95"/>
      <c r="E22" s="238"/>
      <c r="F22" s="239"/>
      <c r="G22" s="239"/>
      <c r="H22" s="239"/>
      <c r="I22" s="239"/>
      <c r="J22" s="239"/>
      <c r="K22" s="240"/>
      <c r="L22" s="101"/>
      <c r="M22" s="102"/>
      <c r="N22" s="103"/>
      <c r="O22" s="93"/>
      <c r="P22" s="94"/>
      <c r="Q22" s="94"/>
      <c r="R22" s="95"/>
      <c r="S22" s="93"/>
      <c r="T22" s="94"/>
      <c r="U22" s="94"/>
      <c r="V22" s="94"/>
      <c r="W22" s="94"/>
      <c r="X22" s="94"/>
      <c r="Y22" s="95"/>
      <c r="Z22" s="238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239"/>
      <c r="AN22" s="239"/>
      <c r="AO22" s="239"/>
      <c r="AP22" s="240"/>
      <c r="AQ22" s="241"/>
      <c r="AR22" s="242"/>
      <c r="AS22" s="242"/>
      <c r="AT22" s="242"/>
      <c r="AU22" s="242"/>
      <c r="AV22" s="242"/>
      <c r="AW22" s="242"/>
      <c r="AX22" s="242"/>
      <c r="AY22" s="242"/>
      <c r="AZ22" s="242"/>
      <c r="BA22" s="242"/>
      <c r="BB22" s="242"/>
      <c r="BC22" s="242"/>
      <c r="BD22" s="242"/>
      <c r="BE22" s="242"/>
      <c r="BF22" s="242"/>
      <c r="BG22" s="242"/>
      <c r="BH22" s="242"/>
      <c r="BI22" s="242"/>
      <c r="BJ22" s="243"/>
      <c r="BK22" s="15"/>
    </row>
    <row r="23" spans="1:63" s="16" customFormat="1" ht="15" customHeight="1" x14ac:dyDescent="0.25">
      <c r="A23" s="11"/>
      <c r="B23" s="18"/>
      <c r="C23" s="78">
        <v>2</v>
      </c>
      <c r="D23" s="79"/>
      <c r="E23" s="244" t="s">
        <v>8</v>
      </c>
      <c r="F23" s="245"/>
      <c r="G23" s="245"/>
      <c r="H23" s="245"/>
      <c r="I23" s="245"/>
      <c r="J23" s="245"/>
      <c r="K23" s="246"/>
      <c r="L23" s="80" t="s">
        <v>6</v>
      </c>
      <c r="M23" s="81"/>
      <c r="N23" s="82"/>
      <c r="O23" s="78" t="s">
        <v>5</v>
      </c>
      <c r="P23" s="83"/>
      <c r="Q23" s="83"/>
      <c r="R23" s="79"/>
      <c r="S23" s="78" t="s">
        <v>6</v>
      </c>
      <c r="T23" s="83"/>
      <c r="U23" s="83"/>
      <c r="V23" s="83"/>
      <c r="W23" s="83"/>
      <c r="X23" s="83"/>
      <c r="Y23" s="79"/>
      <c r="Z23" s="244" t="s">
        <v>8</v>
      </c>
      <c r="AA23" s="245"/>
      <c r="AB23" s="245"/>
      <c r="AC23" s="245"/>
      <c r="AD23" s="245"/>
      <c r="AE23" s="245"/>
      <c r="AF23" s="245"/>
      <c r="AG23" s="245"/>
      <c r="AH23" s="245"/>
      <c r="AI23" s="245"/>
      <c r="AJ23" s="245"/>
      <c r="AK23" s="245"/>
      <c r="AL23" s="245"/>
      <c r="AM23" s="245"/>
      <c r="AN23" s="245"/>
      <c r="AO23" s="245"/>
      <c r="AP23" s="246"/>
      <c r="AQ23" s="247" t="s">
        <v>9</v>
      </c>
      <c r="AR23" s="248"/>
      <c r="AS23" s="248"/>
      <c r="AT23" s="248"/>
      <c r="AU23" s="248"/>
      <c r="AV23" s="248"/>
      <c r="AW23" s="248"/>
      <c r="AX23" s="248"/>
      <c r="AY23" s="248"/>
      <c r="AZ23" s="248"/>
      <c r="BA23" s="248"/>
      <c r="BB23" s="248"/>
      <c r="BC23" s="248"/>
      <c r="BD23" s="248"/>
      <c r="BE23" s="248"/>
      <c r="BF23" s="248"/>
      <c r="BG23" s="248"/>
      <c r="BH23" s="248"/>
      <c r="BI23" s="248"/>
      <c r="BJ23" s="249"/>
      <c r="BK23" s="15"/>
    </row>
    <row r="24" spans="1:63" s="16" customFormat="1" ht="15" customHeight="1" x14ac:dyDescent="0.25">
      <c r="A24" s="11"/>
      <c r="B24" s="18"/>
      <c r="C24" s="90">
        <v>3</v>
      </c>
      <c r="D24" s="92"/>
      <c r="E24" s="232" t="s">
        <v>10</v>
      </c>
      <c r="F24" s="233"/>
      <c r="G24" s="233"/>
      <c r="H24" s="233"/>
      <c r="I24" s="233"/>
      <c r="J24" s="233"/>
      <c r="K24" s="234"/>
      <c r="L24" s="250" t="s">
        <v>4</v>
      </c>
      <c r="M24" s="251"/>
      <c r="N24" s="252"/>
      <c r="O24" s="253" t="s">
        <v>5</v>
      </c>
      <c r="P24" s="254"/>
      <c r="Q24" s="254"/>
      <c r="R24" s="255"/>
      <c r="S24" s="253" t="s">
        <v>26</v>
      </c>
      <c r="T24" s="254"/>
      <c r="U24" s="254"/>
      <c r="V24" s="254"/>
      <c r="W24" s="254"/>
      <c r="X24" s="254"/>
      <c r="Y24" s="255"/>
      <c r="Z24" s="256" t="s">
        <v>10</v>
      </c>
      <c r="AA24" s="257"/>
      <c r="AB24" s="257"/>
      <c r="AC24" s="257"/>
      <c r="AD24" s="257"/>
      <c r="AE24" s="257"/>
      <c r="AF24" s="257"/>
      <c r="AG24" s="257"/>
      <c r="AH24" s="257"/>
      <c r="AI24" s="257"/>
      <c r="AJ24" s="257"/>
      <c r="AK24" s="257"/>
      <c r="AL24" s="257"/>
      <c r="AM24" s="257"/>
      <c r="AN24" s="257"/>
      <c r="AO24" s="257"/>
      <c r="AP24" s="258"/>
      <c r="AQ24" s="259" t="s">
        <v>129</v>
      </c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60"/>
      <c r="BK24" s="15"/>
    </row>
    <row r="25" spans="1:63" s="16" customFormat="1" ht="15" customHeight="1" x14ac:dyDescent="0.25">
      <c r="A25" s="11"/>
      <c r="B25" s="18"/>
      <c r="C25" s="96"/>
      <c r="D25" s="97"/>
      <c r="E25" s="261"/>
      <c r="F25" s="262"/>
      <c r="G25" s="262"/>
      <c r="H25" s="262"/>
      <c r="I25" s="262"/>
      <c r="J25" s="262"/>
      <c r="K25" s="263"/>
      <c r="L25" s="264"/>
      <c r="M25" s="265"/>
      <c r="N25" s="266"/>
      <c r="O25" s="267"/>
      <c r="P25" s="268"/>
      <c r="Q25" s="268"/>
      <c r="R25" s="269"/>
      <c r="S25" s="267"/>
      <c r="T25" s="268"/>
      <c r="U25" s="268"/>
      <c r="V25" s="268"/>
      <c r="W25" s="268"/>
      <c r="X25" s="268"/>
      <c r="Y25" s="269"/>
      <c r="Z25" s="270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  <c r="AO25" s="271"/>
      <c r="AP25" s="272"/>
      <c r="AQ25" s="273"/>
      <c r="AR25" s="273"/>
      <c r="AS25" s="273"/>
      <c r="AT25" s="273"/>
      <c r="AU25" s="273"/>
      <c r="AV25" s="273"/>
      <c r="AW25" s="273"/>
      <c r="AX25" s="273"/>
      <c r="AY25" s="273"/>
      <c r="AZ25" s="273"/>
      <c r="BA25" s="273"/>
      <c r="BB25" s="273"/>
      <c r="BC25" s="273"/>
      <c r="BD25" s="273"/>
      <c r="BE25" s="273"/>
      <c r="BF25" s="273"/>
      <c r="BG25" s="273"/>
      <c r="BH25" s="273"/>
      <c r="BI25" s="273"/>
      <c r="BJ25" s="274"/>
      <c r="BK25" s="15"/>
    </row>
    <row r="26" spans="1:63" s="16" customFormat="1" ht="15" customHeight="1" x14ac:dyDescent="0.25">
      <c r="A26" s="11"/>
      <c r="B26" s="18"/>
      <c r="C26" s="96"/>
      <c r="D26" s="97"/>
      <c r="E26" s="261"/>
      <c r="F26" s="262"/>
      <c r="G26" s="262"/>
      <c r="H26" s="262"/>
      <c r="I26" s="262"/>
      <c r="J26" s="262"/>
      <c r="K26" s="263"/>
      <c r="L26" s="264"/>
      <c r="M26" s="265"/>
      <c r="N26" s="266"/>
      <c r="O26" s="267"/>
      <c r="P26" s="268"/>
      <c r="Q26" s="268"/>
      <c r="R26" s="269"/>
      <c r="S26" s="267"/>
      <c r="T26" s="268"/>
      <c r="U26" s="268"/>
      <c r="V26" s="268"/>
      <c r="W26" s="268"/>
      <c r="X26" s="268"/>
      <c r="Y26" s="269"/>
      <c r="Z26" s="270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271"/>
      <c r="AO26" s="271"/>
      <c r="AP26" s="272"/>
      <c r="AQ26" s="273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  <c r="BB26" s="273"/>
      <c r="BC26" s="273"/>
      <c r="BD26" s="273"/>
      <c r="BE26" s="273"/>
      <c r="BF26" s="273"/>
      <c r="BG26" s="273"/>
      <c r="BH26" s="273"/>
      <c r="BI26" s="273"/>
      <c r="BJ26" s="274"/>
      <c r="BK26" s="15"/>
    </row>
    <row r="27" spans="1:63" s="16" customFormat="1" ht="15" customHeight="1" x14ac:dyDescent="0.25">
      <c r="A27" s="11"/>
      <c r="B27" s="18"/>
      <c r="C27" s="96"/>
      <c r="D27" s="97"/>
      <c r="E27" s="261"/>
      <c r="F27" s="262"/>
      <c r="G27" s="262"/>
      <c r="H27" s="262"/>
      <c r="I27" s="262"/>
      <c r="J27" s="262"/>
      <c r="K27" s="263"/>
      <c r="L27" s="264"/>
      <c r="M27" s="265"/>
      <c r="N27" s="266"/>
      <c r="O27" s="267"/>
      <c r="P27" s="268"/>
      <c r="Q27" s="268"/>
      <c r="R27" s="269"/>
      <c r="S27" s="267"/>
      <c r="T27" s="268"/>
      <c r="U27" s="268"/>
      <c r="V27" s="268"/>
      <c r="W27" s="268"/>
      <c r="X27" s="268"/>
      <c r="Y27" s="269"/>
      <c r="Z27" s="270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2"/>
      <c r="AQ27" s="273"/>
      <c r="AR27" s="273"/>
      <c r="AS27" s="273"/>
      <c r="AT27" s="273"/>
      <c r="AU27" s="273"/>
      <c r="AV27" s="273"/>
      <c r="AW27" s="273"/>
      <c r="AX27" s="273"/>
      <c r="AY27" s="273"/>
      <c r="AZ27" s="273"/>
      <c r="BA27" s="273"/>
      <c r="BB27" s="273"/>
      <c r="BC27" s="273"/>
      <c r="BD27" s="273"/>
      <c r="BE27" s="273"/>
      <c r="BF27" s="273"/>
      <c r="BG27" s="273"/>
      <c r="BH27" s="273"/>
      <c r="BI27" s="273"/>
      <c r="BJ27" s="274"/>
      <c r="BK27" s="15"/>
    </row>
    <row r="28" spans="1:63" s="16" customFormat="1" ht="15" customHeight="1" x14ac:dyDescent="0.25">
      <c r="A28" s="11"/>
      <c r="B28" s="18"/>
      <c r="C28" s="96"/>
      <c r="D28" s="97"/>
      <c r="E28" s="261"/>
      <c r="F28" s="262"/>
      <c r="G28" s="262"/>
      <c r="H28" s="262"/>
      <c r="I28" s="262"/>
      <c r="J28" s="262"/>
      <c r="K28" s="263"/>
      <c r="L28" s="264"/>
      <c r="M28" s="265"/>
      <c r="N28" s="266"/>
      <c r="O28" s="267"/>
      <c r="P28" s="268"/>
      <c r="Q28" s="268"/>
      <c r="R28" s="269"/>
      <c r="S28" s="267"/>
      <c r="T28" s="268"/>
      <c r="U28" s="268"/>
      <c r="V28" s="268"/>
      <c r="W28" s="268"/>
      <c r="X28" s="268"/>
      <c r="Y28" s="269"/>
      <c r="Z28" s="270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  <c r="AP28" s="272"/>
      <c r="AQ28" s="273"/>
      <c r="AR28" s="273"/>
      <c r="AS28" s="273"/>
      <c r="AT28" s="273"/>
      <c r="AU28" s="273"/>
      <c r="AV28" s="273"/>
      <c r="AW28" s="273"/>
      <c r="AX28" s="273"/>
      <c r="AY28" s="273"/>
      <c r="AZ28" s="273"/>
      <c r="BA28" s="273"/>
      <c r="BB28" s="273"/>
      <c r="BC28" s="273"/>
      <c r="BD28" s="273"/>
      <c r="BE28" s="273"/>
      <c r="BF28" s="273"/>
      <c r="BG28" s="273"/>
      <c r="BH28" s="273"/>
      <c r="BI28" s="273"/>
      <c r="BJ28" s="274"/>
      <c r="BK28" s="15"/>
    </row>
    <row r="29" spans="1:63" s="16" customFormat="1" ht="15" customHeight="1" x14ac:dyDescent="0.25">
      <c r="A29" s="11"/>
      <c r="B29" s="18"/>
      <c r="C29" s="96"/>
      <c r="D29" s="97"/>
      <c r="E29" s="261"/>
      <c r="F29" s="262"/>
      <c r="G29" s="262"/>
      <c r="H29" s="262"/>
      <c r="I29" s="262"/>
      <c r="J29" s="262"/>
      <c r="K29" s="263"/>
      <c r="L29" s="264"/>
      <c r="M29" s="265"/>
      <c r="N29" s="266"/>
      <c r="O29" s="267"/>
      <c r="P29" s="268"/>
      <c r="Q29" s="268"/>
      <c r="R29" s="269"/>
      <c r="S29" s="267"/>
      <c r="T29" s="268"/>
      <c r="U29" s="268"/>
      <c r="V29" s="268"/>
      <c r="W29" s="268"/>
      <c r="X29" s="268"/>
      <c r="Y29" s="269"/>
      <c r="Z29" s="270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  <c r="AP29" s="272"/>
      <c r="AQ29" s="273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  <c r="BB29" s="273"/>
      <c r="BC29" s="273"/>
      <c r="BD29" s="273"/>
      <c r="BE29" s="273"/>
      <c r="BF29" s="273"/>
      <c r="BG29" s="273"/>
      <c r="BH29" s="273"/>
      <c r="BI29" s="273"/>
      <c r="BJ29" s="274"/>
      <c r="BK29" s="15"/>
    </row>
    <row r="30" spans="1:63" s="16" customFormat="1" ht="15" customHeight="1" x14ac:dyDescent="0.25">
      <c r="A30" s="11"/>
      <c r="B30" s="18"/>
      <c r="C30" s="93"/>
      <c r="D30" s="95"/>
      <c r="E30" s="238"/>
      <c r="F30" s="239"/>
      <c r="G30" s="239"/>
      <c r="H30" s="239"/>
      <c r="I30" s="239"/>
      <c r="J30" s="239"/>
      <c r="K30" s="240"/>
      <c r="L30" s="275"/>
      <c r="M30" s="276"/>
      <c r="N30" s="277"/>
      <c r="O30" s="278"/>
      <c r="P30" s="279"/>
      <c r="Q30" s="279"/>
      <c r="R30" s="280"/>
      <c r="S30" s="278"/>
      <c r="T30" s="279"/>
      <c r="U30" s="279"/>
      <c r="V30" s="279"/>
      <c r="W30" s="279"/>
      <c r="X30" s="279"/>
      <c r="Y30" s="280"/>
      <c r="Z30" s="281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  <c r="AK30" s="282"/>
      <c r="AL30" s="282"/>
      <c r="AM30" s="282"/>
      <c r="AN30" s="282"/>
      <c r="AO30" s="282"/>
      <c r="AP30" s="283"/>
      <c r="AQ30" s="284"/>
      <c r="AR30" s="284"/>
      <c r="AS30" s="284"/>
      <c r="AT30" s="284"/>
      <c r="AU30" s="284"/>
      <c r="AV30" s="284"/>
      <c r="AW30" s="284"/>
      <c r="AX30" s="284"/>
      <c r="AY30" s="284"/>
      <c r="AZ30" s="284"/>
      <c r="BA30" s="284"/>
      <c r="BB30" s="284"/>
      <c r="BC30" s="284"/>
      <c r="BD30" s="284"/>
      <c r="BE30" s="284"/>
      <c r="BF30" s="284"/>
      <c r="BG30" s="284"/>
      <c r="BH30" s="284"/>
      <c r="BI30" s="284"/>
      <c r="BJ30" s="285"/>
      <c r="BK30" s="15"/>
    </row>
    <row r="31" spans="1:63" s="16" customFormat="1" ht="15" customHeight="1" x14ac:dyDescent="0.25">
      <c r="A31" s="11"/>
      <c r="B31" s="18"/>
      <c r="C31" s="78">
        <v>4</v>
      </c>
      <c r="D31" s="79"/>
      <c r="E31" s="244" t="s">
        <v>11</v>
      </c>
      <c r="F31" s="245"/>
      <c r="G31" s="245"/>
      <c r="H31" s="245"/>
      <c r="I31" s="245"/>
      <c r="J31" s="245"/>
      <c r="K31" s="246"/>
      <c r="L31" s="80" t="s">
        <v>6</v>
      </c>
      <c r="M31" s="81"/>
      <c r="N31" s="82"/>
      <c r="O31" s="78" t="s">
        <v>5</v>
      </c>
      <c r="P31" s="83"/>
      <c r="Q31" s="83"/>
      <c r="R31" s="79"/>
      <c r="S31" s="78" t="s">
        <v>6</v>
      </c>
      <c r="T31" s="83"/>
      <c r="U31" s="83"/>
      <c r="V31" s="83"/>
      <c r="W31" s="83"/>
      <c r="X31" s="83"/>
      <c r="Y31" s="79"/>
      <c r="Z31" s="244" t="s">
        <v>11</v>
      </c>
      <c r="AA31" s="245"/>
      <c r="AB31" s="245"/>
      <c r="AC31" s="245"/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245"/>
      <c r="AP31" s="246"/>
      <c r="AQ31" s="247" t="s">
        <v>12</v>
      </c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8"/>
      <c r="BJ31" s="249"/>
      <c r="BK31" s="15"/>
    </row>
    <row r="32" spans="1:63" s="16" customFormat="1" ht="15" customHeight="1" x14ac:dyDescent="0.25">
      <c r="A32" s="11"/>
      <c r="B32" s="18"/>
      <c r="C32" s="78">
        <v>5</v>
      </c>
      <c r="D32" s="79"/>
      <c r="E32" s="244" t="s">
        <v>13</v>
      </c>
      <c r="F32" s="245"/>
      <c r="G32" s="245"/>
      <c r="H32" s="245"/>
      <c r="I32" s="245"/>
      <c r="J32" s="245"/>
      <c r="K32" s="246"/>
      <c r="L32" s="80" t="s">
        <v>6</v>
      </c>
      <c r="M32" s="81"/>
      <c r="N32" s="82"/>
      <c r="O32" s="78" t="s">
        <v>5</v>
      </c>
      <c r="P32" s="83"/>
      <c r="Q32" s="83"/>
      <c r="R32" s="79"/>
      <c r="S32" s="78" t="s">
        <v>6</v>
      </c>
      <c r="T32" s="83"/>
      <c r="U32" s="83"/>
      <c r="V32" s="83"/>
      <c r="W32" s="83"/>
      <c r="X32" s="83"/>
      <c r="Y32" s="79"/>
      <c r="Z32" s="244" t="s">
        <v>13</v>
      </c>
      <c r="AA32" s="245"/>
      <c r="AB32" s="245"/>
      <c r="AC32" s="245"/>
      <c r="AD32" s="245"/>
      <c r="AE32" s="245"/>
      <c r="AF32" s="245"/>
      <c r="AG32" s="245"/>
      <c r="AH32" s="245"/>
      <c r="AI32" s="245"/>
      <c r="AJ32" s="245"/>
      <c r="AK32" s="245"/>
      <c r="AL32" s="245"/>
      <c r="AM32" s="245"/>
      <c r="AN32" s="245"/>
      <c r="AO32" s="245"/>
      <c r="AP32" s="246"/>
      <c r="AQ32" s="247" t="s">
        <v>130</v>
      </c>
      <c r="AR32" s="248"/>
      <c r="AS32" s="248"/>
      <c r="AT32" s="248"/>
      <c r="AU32" s="248"/>
      <c r="AV32" s="248"/>
      <c r="AW32" s="248"/>
      <c r="AX32" s="248"/>
      <c r="AY32" s="248"/>
      <c r="AZ32" s="248"/>
      <c r="BA32" s="248"/>
      <c r="BB32" s="248"/>
      <c r="BC32" s="248"/>
      <c r="BD32" s="248"/>
      <c r="BE32" s="248"/>
      <c r="BF32" s="248"/>
      <c r="BG32" s="248"/>
      <c r="BH32" s="248"/>
      <c r="BI32" s="248"/>
      <c r="BJ32" s="249"/>
      <c r="BK32" s="15"/>
    </row>
    <row r="33" spans="1:63" s="16" customFormat="1" ht="15" customHeight="1" x14ac:dyDescent="0.25">
      <c r="A33" s="11"/>
      <c r="B33" s="18"/>
      <c r="C33" s="18"/>
      <c r="D33" s="18"/>
      <c r="E33" s="228"/>
      <c r="F33" s="228"/>
      <c r="G33" s="228"/>
      <c r="H33" s="228"/>
      <c r="I33" s="18"/>
      <c r="J33" s="18"/>
      <c r="K33" s="18"/>
      <c r="L33" s="24"/>
      <c r="M33" s="228"/>
      <c r="N33" s="228"/>
      <c r="O33" s="228"/>
      <c r="P33" s="228"/>
      <c r="Q33" s="18"/>
      <c r="R33" s="18"/>
      <c r="S33" s="18"/>
      <c r="T33" s="18"/>
      <c r="U33" s="18"/>
      <c r="V33" s="18"/>
      <c r="W33" s="18"/>
      <c r="X33" s="18"/>
      <c r="Y33" s="18"/>
      <c r="Z33" s="22"/>
      <c r="AA33" s="18"/>
      <c r="AB33" s="18"/>
      <c r="AC33" s="18"/>
      <c r="AD33" s="18"/>
      <c r="AE33" s="18"/>
      <c r="AF33" s="18"/>
      <c r="AG33" s="228"/>
      <c r="AH33" s="228"/>
      <c r="AI33" s="228"/>
      <c r="AJ33" s="228"/>
      <c r="AK33" s="228"/>
      <c r="AL33" s="228"/>
      <c r="AM33" s="228"/>
      <c r="AN33" s="228"/>
      <c r="AO33" s="228"/>
      <c r="AP33" s="18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19"/>
      <c r="BI33" s="19"/>
      <c r="BJ33" s="19"/>
      <c r="BK33" s="15"/>
    </row>
    <row r="34" spans="1:63" s="16" customFormat="1" ht="15" customHeight="1" x14ac:dyDescent="0.25">
      <c r="A34" s="11"/>
      <c r="B34" s="18"/>
      <c r="C34" s="21" t="s">
        <v>131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9"/>
      <c r="BI34" s="19"/>
      <c r="BJ34" s="19"/>
      <c r="BK34" s="15"/>
    </row>
    <row r="35" spans="1:63" s="16" customFormat="1" ht="15" customHeight="1" x14ac:dyDescent="0.25">
      <c r="A35" s="11"/>
      <c r="B35" s="18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9"/>
      <c r="BI35" s="19"/>
      <c r="BJ35" s="19"/>
      <c r="BK35" s="15"/>
    </row>
    <row r="36" spans="1:63" s="16" customFormat="1" ht="15" customHeight="1" x14ac:dyDescent="0.25">
      <c r="A36" s="11"/>
      <c r="B36" s="18"/>
      <c r="C36" s="104" t="s">
        <v>14</v>
      </c>
      <c r="D36" s="105"/>
      <c r="E36" s="84" t="s">
        <v>132</v>
      </c>
      <c r="F36" s="286"/>
      <c r="G36" s="286"/>
      <c r="H36" s="286"/>
      <c r="I36" s="286"/>
      <c r="J36" s="286"/>
      <c r="K36" s="287"/>
      <c r="L36" s="86" t="s">
        <v>18</v>
      </c>
      <c r="M36" s="87"/>
      <c r="N36" s="88"/>
      <c r="O36" s="86" t="s">
        <v>19</v>
      </c>
      <c r="P36" s="87"/>
      <c r="Q36" s="87"/>
      <c r="R36" s="88"/>
      <c r="S36" s="86" t="s">
        <v>20</v>
      </c>
      <c r="T36" s="87"/>
      <c r="U36" s="87"/>
      <c r="V36" s="87"/>
      <c r="W36" s="87"/>
      <c r="X36" s="87"/>
      <c r="Y36" s="88"/>
      <c r="Z36" s="84" t="s">
        <v>127</v>
      </c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5"/>
      <c r="AQ36" s="109" t="s">
        <v>17</v>
      </c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1"/>
      <c r="BK36" s="15"/>
    </row>
    <row r="37" spans="1:63" s="16" customFormat="1" ht="15" customHeight="1" x14ac:dyDescent="0.25">
      <c r="A37" s="11"/>
      <c r="B37" s="18"/>
      <c r="C37" s="78">
        <v>1</v>
      </c>
      <c r="D37" s="79"/>
      <c r="E37" s="244" t="s">
        <v>23</v>
      </c>
      <c r="F37" s="245"/>
      <c r="G37" s="245"/>
      <c r="H37" s="245"/>
      <c r="I37" s="245"/>
      <c r="J37" s="245"/>
      <c r="K37" s="246"/>
      <c r="L37" s="80" t="s">
        <v>4</v>
      </c>
      <c r="M37" s="81"/>
      <c r="N37" s="82"/>
      <c r="O37" s="78" t="s">
        <v>5</v>
      </c>
      <c r="P37" s="83"/>
      <c r="Q37" s="83"/>
      <c r="R37" s="79"/>
      <c r="S37" s="78" t="s">
        <v>6</v>
      </c>
      <c r="T37" s="83"/>
      <c r="U37" s="83"/>
      <c r="V37" s="83"/>
      <c r="W37" s="83"/>
      <c r="X37" s="83"/>
      <c r="Y37" s="79"/>
      <c r="Z37" s="244" t="s">
        <v>24</v>
      </c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245"/>
      <c r="AP37" s="246"/>
      <c r="AQ37" s="229" t="s">
        <v>27</v>
      </c>
      <c r="AR37" s="245"/>
      <c r="AS37" s="245"/>
      <c r="AT37" s="245"/>
      <c r="AU37" s="245"/>
      <c r="AV37" s="245"/>
      <c r="AW37" s="245"/>
      <c r="AX37" s="245"/>
      <c r="AY37" s="245"/>
      <c r="AZ37" s="245"/>
      <c r="BA37" s="245"/>
      <c r="BB37" s="245"/>
      <c r="BC37" s="245"/>
      <c r="BD37" s="245"/>
      <c r="BE37" s="245"/>
      <c r="BF37" s="245"/>
      <c r="BG37" s="245"/>
      <c r="BH37" s="245"/>
      <c r="BI37" s="245"/>
      <c r="BJ37" s="246"/>
      <c r="BK37" s="15"/>
    </row>
    <row r="38" spans="1:63" s="16" customFormat="1" ht="15" customHeight="1" x14ac:dyDescent="0.25">
      <c r="A38" s="11"/>
      <c r="B38" s="18"/>
      <c r="C38" s="78">
        <v>2</v>
      </c>
      <c r="D38" s="79"/>
      <c r="E38" s="244" t="s">
        <v>61</v>
      </c>
      <c r="F38" s="245"/>
      <c r="G38" s="245"/>
      <c r="H38" s="245"/>
      <c r="I38" s="245"/>
      <c r="J38" s="245"/>
      <c r="K38" s="246"/>
      <c r="L38" s="80" t="s">
        <v>4</v>
      </c>
      <c r="M38" s="81"/>
      <c r="N38" s="82"/>
      <c r="O38" s="78" t="s">
        <v>62</v>
      </c>
      <c r="P38" s="83"/>
      <c r="Q38" s="83"/>
      <c r="R38" s="79"/>
      <c r="S38" s="78" t="s">
        <v>6</v>
      </c>
      <c r="T38" s="83"/>
      <c r="U38" s="83"/>
      <c r="V38" s="83"/>
      <c r="W38" s="83"/>
      <c r="X38" s="83"/>
      <c r="Y38" s="79"/>
      <c r="Z38" s="244" t="s">
        <v>63</v>
      </c>
      <c r="AA38" s="245"/>
      <c r="AB38" s="245"/>
      <c r="AC38" s="245"/>
      <c r="AD38" s="245"/>
      <c r="AE38" s="245"/>
      <c r="AF38" s="245"/>
      <c r="AG38" s="245"/>
      <c r="AH38" s="245"/>
      <c r="AI38" s="245"/>
      <c r="AJ38" s="245"/>
      <c r="AK38" s="245"/>
      <c r="AL38" s="245"/>
      <c r="AM38" s="245"/>
      <c r="AN38" s="245"/>
      <c r="AO38" s="245"/>
      <c r="AP38" s="246"/>
      <c r="AQ38" s="229" t="s">
        <v>6</v>
      </c>
      <c r="AR38" s="245"/>
      <c r="AS38" s="245"/>
      <c r="AT38" s="245"/>
      <c r="AU38" s="245"/>
      <c r="AV38" s="245"/>
      <c r="AW38" s="245"/>
      <c r="AX38" s="245"/>
      <c r="AY38" s="245"/>
      <c r="AZ38" s="245"/>
      <c r="BA38" s="245"/>
      <c r="BB38" s="245"/>
      <c r="BC38" s="245"/>
      <c r="BD38" s="245"/>
      <c r="BE38" s="245"/>
      <c r="BF38" s="245"/>
      <c r="BG38" s="245"/>
      <c r="BH38" s="245"/>
      <c r="BI38" s="245"/>
      <c r="BJ38" s="246"/>
      <c r="BK38" s="15"/>
    </row>
    <row r="39" spans="1:63" s="16" customFormat="1" ht="15" customHeight="1" x14ac:dyDescent="0.25">
      <c r="A39" s="11"/>
      <c r="B39" s="18"/>
      <c r="C39" s="18"/>
      <c r="D39" s="18"/>
      <c r="E39" s="228"/>
      <c r="F39" s="228"/>
      <c r="G39" s="228"/>
      <c r="H39" s="228"/>
      <c r="I39" s="228"/>
      <c r="J39" s="228"/>
      <c r="K39" s="228"/>
      <c r="L39" s="33"/>
      <c r="M39" s="33"/>
      <c r="N39" s="33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15"/>
    </row>
    <row r="40" spans="1:63" s="16" customFormat="1" ht="15" customHeight="1" x14ac:dyDescent="0.25">
      <c r="A40" s="11"/>
      <c r="B40" s="18"/>
      <c r="C40" s="21" t="s">
        <v>133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9"/>
      <c r="BI40" s="19"/>
      <c r="BJ40" s="19"/>
      <c r="BK40" s="15"/>
    </row>
    <row r="41" spans="1:63" s="16" customFormat="1" ht="15" customHeight="1" x14ac:dyDescent="0.25">
      <c r="A41" s="11"/>
      <c r="B41" s="18"/>
      <c r="C41" s="17"/>
      <c r="D41" s="18"/>
      <c r="E41" s="18" t="s">
        <v>29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9"/>
      <c r="BI41" s="19"/>
      <c r="BJ41" s="19"/>
      <c r="BK41" s="15"/>
    </row>
    <row r="42" spans="1:63" s="16" customFormat="1" ht="15" customHeight="1" x14ac:dyDescent="0.25">
      <c r="A42" s="11"/>
      <c r="B42" s="18"/>
      <c r="C42" s="18"/>
      <c r="D42" s="18"/>
      <c r="E42" s="228"/>
      <c r="F42" s="228"/>
      <c r="G42" s="228"/>
      <c r="H42" s="228"/>
      <c r="I42" s="228"/>
      <c r="J42" s="228"/>
      <c r="K42" s="228"/>
      <c r="L42" s="33"/>
      <c r="M42" s="33"/>
      <c r="N42" s="33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15"/>
    </row>
    <row r="43" spans="1:63" s="16" customFormat="1" ht="15" customHeight="1" x14ac:dyDescent="0.25">
      <c r="A43" s="11"/>
      <c r="B43" s="18"/>
      <c r="C43" s="21" t="s">
        <v>134</v>
      </c>
      <c r="D43" s="18"/>
      <c r="E43" s="228"/>
      <c r="F43" s="18"/>
      <c r="G43" s="22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15"/>
    </row>
    <row r="44" spans="1:63" s="16" customFormat="1" ht="15" customHeight="1" x14ac:dyDescent="0.25">
      <c r="A44" s="11"/>
      <c r="B44" s="18"/>
      <c r="C44" s="21"/>
      <c r="D44" s="228" t="s">
        <v>25</v>
      </c>
      <c r="E44" s="228"/>
      <c r="F44" s="18"/>
      <c r="G44" s="22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15"/>
    </row>
    <row r="45" spans="1:63" s="16" customFormat="1" ht="15" customHeight="1" x14ac:dyDescent="0.25">
      <c r="A45" s="11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9"/>
      <c r="BI45" s="19"/>
      <c r="BJ45" s="19"/>
      <c r="BK45" s="15"/>
    </row>
    <row r="46" spans="1:63" s="16" customFormat="1" ht="15" customHeight="1" x14ac:dyDescent="0.25">
      <c r="A46" s="11"/>
      <c r="B46" s="20" t="s">
        <v>135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 s="14"/>
      <c r="BJ46" s="14"/>
      <c r="BK46" s="15"/>
    </row>
    <row r="47" spans="1:63" s="16" customFormat="1" ht="15" customHeight="1" x14ac:dyDescent="0.25">
      <c r="A47" s="11"/>
      <c r="B47" s="17"/>
      <c r="C47" s="21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9"/>
      <c r="BI47" s="19"/>
      <c r="BJ47" s="19"/>
      <c r="BK47" s="15"/>
    </row>
    <row r="48" spans="1:63" s="16" customFormat="1" ht="15" customHeight="1" x14ac:dyDescent="0.25">
      <c r="A48" s="11"/>
      <c r="B48" s="17"/>
      <c r="C48" s="21" t="s">
        <v>136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9"/>
      <c r="BI48" s="19"/>
      <c r="BJ48" s="19"/>
      <c r="BK48" s="15"/>
    </row>
    <row r="49" spans="1:63" s="16" customFormat="1" ht="15" customHeight="1" x14ac:dyDescent="0.25">
      <c r="A49" s="11"/>
      <c r="B49" s="17"/>
      <c r="C49" s="21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9"/>
      <c r="BI49" s="19"/>
      <c r="BJ49" s="19"/>
      <c r="BK49" s="15"/>
    </row>
    <row r="50" spans="1:63" s="16" customFormat="1" ht="15" customHeight="1" x14ac:dyDescent="0.25">
      <c r="A50" s="11"/>
      <c r="B50" s="18"/>
      <c r="C50" s="86" t="s">
        <v>14</v>
      </c>
      <c r="D50" s="88"/>
      <c r="E50" s="118" t="s">
        <v>137</v>
      </c>
      <c r="F50" s="119"/>
      <c r="G50" s="119"/>
      <c r="H50" s="119"/>
      <c r="I50" s="119"/>
      <c r="J50" s="119"/>
      <c r="K50" s="119"/>
      <c r="L50" s="119"/>
      <c r="M50" s="119"/>
      <c r="N50" s="120"/>
      <c r="O50" s="112" t="s">
        <v>19</v>
      </c>
      <c r="P50" s="113"/>
      <c r="Q50" s="113"/>
      <c r="R50" s="114"/>
      <c r="S50" s="115" t="s">
        <v>127</v>
      </c>
      <c r="T50" s="116"/>
      <c r="U50" s="116"/>
      <c r="V50" s="116"/>
      <c r="W50" s="116"/>
      <c r="X50" s="116"/>
      <c r="Y50" s="116"/>
      <c r="Z50" s="116"/>
      <c r="AA50" s="116"/>
      <c r="AB50" s="117"/>
      <c r="AC50" s="86" t="s">
        <v>17</v>
      </c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9"/>
      <c r="BI50" s="19"/>
      <c r="BJ50" s="19"/>
      <c r="BK50" s="15"/>
    </row>
    <row r="51" spans="1:63" s="16" customFormat="1" ht="15" customHeight="1" x14ac:dyDescent="0.25">
      <c r="A51" s="11"/>
      <c r="B51" s="18"/>
      <c r="C51" s="244">
        <v>1</v>
      </c>
      <c r="D51" s="246"/>
      <c r="E51" s="288" t="s">
        <v>61</v>
      </c>
      <c r="F51" s="289"/>
      <c r="G51" s="289"/>
      <c r="H51" s="289"/>
      <c r="I51" s="289"/>
      <c r="J51" s="289"/>
      <c r="K51" s="289"/>
      <c r="L51" s="289"/>
      <c r="M51" s="289"/>
      <c r="N51" s="290"/>
      <c r="O51" s="244" t="s">
        <v>62</v>
      </c>
      <c r="P51" s="245"/>
      <c r="Q51" s="245"/>
      <c r="R51" s="246"/>
      <c r="S51" s="291" t="s">
        <v>60</v>
      </c>
      <c r="T51" s="292"/>
      <c r="U51" s="292"/>
      <c r="V51" s="292"/>
      <c r="W51" s="292"/>
      <c r="X51" s="292"/>
      <c r="Y51" s="292"/>
      <c r="Z51" s="292"/>
      <c r="AA51" s="292"/>
      <c r="AB51" s="293"/>
      <c r="AC51" s="244" t="s">
        <v>6</v>
      </c>
      <c r="AD51" s="245"/>
      <c r="AE51" s="245"/>
      <c r="AF51" s="245"/>
      <c r="AG51" s="245"/>
      <c r="AH51" s="245"/>
      <c r="AI51" s="245"/>
      <c r="AJ51" s="245"/>
      <c r="AK51" s="245"/>
      <c r="AL51" s="245"/>
      <c r="AM51" s="245"/>
      <c r="AN51" s="245"/>
      <c r="AO51" s="245"/>
      <c r="AP51" s="245"/>
      <c r="AQ51" s="245"/>
      <c r="AR51" s="245"/>
      <c r="AS51" s="245"/>
      <c r="AT51" s="245"/>
      <c r="AU51" s="246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9"/>
      <c r="BI51" s="19"/>
      <c r="BJ51" s="19"/>
      <c r="BK51" s="15"/>
    </row>
    <row r="52" spans="1:63" s="16" customFormat="1" ht="15" customHeight="1" x14ac:dyDescent="0.25">
      <c r="A52" s="11"/>
      <c r="B52" s="18"/>
      <c r="C52" s="244">
        <v>2</v>
      </c>
      <c r="D52" s="246"/>
      <c r="E52" s="288" t="s">
        <v>35</v>
      </c>
      <c r="F52" s="289"/>
      <c r="G52" s="289"/>
      <c r="H52" s="289"/>
      <c r="I52" s="289"/>
      <c r="J52" s="289"/>
      <c r="K52" s="289"/>
      <c r="L52" s="289"/>
      <c r="M52" s="289"/>
      <c r="N52" s="290"/>
      <c r="O52" s="244" t="s">
        <v>5</v>
      </c>
      <c r="P52" s="245"/>
      <c r="Q52" s="245"/>
      <c r="R52" s="246"/>
      <c r="S52" s="291" t="s">
        <v>39</v>
      </c>
      <c r="T52" s="292"/>
      <c r="U52" s="292"/>
      <c r="V52" s="292"/>
      <c r="W52" s="292"/>
      <c r="X52" s="292"/>
      <c r="Y52" s="292"/>
      <c r="Z52" s="292"/>
      <c r="AA52" s="292"/>
      <c r="AB52" s="293"/>
      <c r="AC52" s="244" t="s">
        <v>36</v>
      </c>
      <c r="AD52" s="245"/>
      <c r="AE52" s="245"/>
      <c r="AF52" s="245"/>
      <c r="AG52" s="245"/>
      <c r="AH52" s="245"/>
      <c r="AI52" s="245"/>
      <c r="AJ52" s="245"/>
      <c r="AK52" s="245"/>
      <c r="AL52" s="245"/>
      <c r="AM52" s="245"/>
      <c r="AN52" s="245"/>
      <c r="AO52" s="245"/>
      <c r="AP52" s="245"/>
      <c r="AQ52" s="245"/>
      <c r="AR52" s="245"/>
      <c r="AS52" s="245"/>
      <c r="AT52" s="245"/>
      <c r="AU52" s="246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9"/>
      <c r="BI52" s="19"/>
      <c r="BJ52" s="19"/>
      <c r="BK52" s="15"/>
    </row>
    <row r="53" spans="1:63" s="16" customFormat="1" ht="15" customHeight="1" x14ac:dyDescent="0.25">
      <c r="A53" s="11"/>
      <c r="B53" s="18"/>
      <c r="C53" s="244">
        <v>3</v>
      </c>
      <c r="D53" s="246"/>
      <c r="E53" s="288" t="s">
        <v>30</v>
      </c>
      <c r="F53" s="289"/>
      <c r="G53" s="289"/>
      <c r="H53" s="289"/>
      <c r="I53" s="289"/>
      <c r="J53" s="289"/>
      <c r="K53" s="289"/>
      <c r="L53" s="289"/>
      <c r="M53" s="289"/>
      <c r="N53" s="290"/>
      <c r="O53" s="244" t="s">
        <v>5</v>
      </c>
      <c r="P53" s="245"/>
      <c r="Q53" s="245"/>
      <c r="R53" s="246"/>
      <c r="S53" s="291" t="s">
        <v>40</v>
      </c>
      <c r="T53" s="292"/>
      <c r="U53" s="292"/>
      <c r="V53" s="292"/>
      <c r="W53" s="292"/>
      <c r="X53" s="292"/>
      <c r="Y53" s="292"/>
      <c r="Z53" s="292"/>
      <c r="AA53" s="292"/>
      <c r="AB53" s="293"/>
      <c r="AC53" s="244" t="s">
        <v>31</v>
      </c>
      <c r="AD53" s="245"/>
      <c r="AE53" s="245"/>
      <c r="AF53" s="245"/>
      <c r="AG53" s="245"/>
      <c r="AH53" s="245"/>
      <c r="AI53" s="245"/>
      <c r="AJ53" s="245"/>
      <c r="AK53" s="245"/>
      <c r="AL53" s="245"/>
      <c r="AM53" s="245"/>
      <c r="AN53" s="245"/>
      <c r="AO53" s="245"/>
      <c r="AP53" s="245"/>
      <c r="AQ53" s="245"/>
      <c r="AR53" s="245"/>
      <c r="AS53" s="245"/>
      <c r="AT53" s="245"/>
      <c r="AU53" s="246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9"/>
      <c r="BI53" s="19"/>
      <c r="BJ53" s="19"/>
      <c r="BK53" s="15"/>
    </row>
    <row r="54" spans="1:63" s="16" customFormat="1" ht="15" customHeight="1" x14ac:dyDescent="0.25">
      <c r="A54" s="11"/>
      <c r="B54" s="18"/>
      <c r="C54" s="244">
        <v>4</v>
      </c>
      <c r="D54" s="246"/>
      <c r="E54" s="288" t="s">
        <v>41</v>
      </c>
      <c r="F54" s="289"/>
      <c r="G54" s="289"/>
      <c r="H54" s="289"/>
      <c r="I54" s="289"/>
      <c r="J54" s="289"/>
      <c r="K54" s="289"/>
      <c r="L54" s="289"/>
      <c r="M54" s="289"/>
      <c r="N54" s="290"/>
      <c r="O54" s="244" t="s">
        <v>5</v>
      </c>
      <c r="P54" s="245"/>
      <c r="Q54" s="245"/>
      <c r="R54" s="246"/>
      <c r="S54" s="291" t="s">
        <v>94</v>
      </c>
      <c r="T54" s="292"/>
      <c r="U54" s="292"/>
      <c r="V54" s="292"/>
      <c r="W54" s="292"/>
      <c r="X54" s="292"/>
      <c r="Y54" s="292"/>
      <c r="Z54" s="292"/>
      <c r="AA54" s="292"/>
      <c r="AB54" s="293"/>
      <c r="AC54" s="244" t="s">
        <v>42</v>
      </c>
      <c r="AD54" s="245"/>
      <c r="AE54" s="245"/>
      <c r="AF54" s="245"/>
      <c r="AG54" s="245"/>
      <c r="AH54" s="245"/>
      <c r="AI54" s="245"/>
      <c r="AJ54" s="245"/>
      <c r="AK54" s="245"/>
      <c r="AL54" s="245"/>
      <c r="AM54" s="245"/>
      <c r="AN54" s="245"/>
      <c r="AO54" s="245"/>
      <c r="AP54" s="245"/>
      <c r="AQ54" s="245"/>
      <c r="AR54" s="245"/>
      <c r="AS54" s="245"/>
      <c r="AT54" s="245"/>
      <c r="AU54" s="246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9"/>
      <c r="BI54" s="19"/>
      <c r="BJ54" s="19"/>
      <c r="BK54" s="15"/>
    </row>
    <row r="55" spans="1:63" s="16" customFormat="1" ht="15" customHeight="1" x14ac:dyDescent="0.25">
      <c r="A55" s="11"/>
      <c r="B55" s="18"/>
      <c r="C55" s="244">
        <v>5</v>
      </c>
      <c r="D55" s="246"/>
      <c r="E55" s="288" t="s">
        <v>99</v>
      </c>
      <c r="F55" s="289"/>
      <c r="G55" s="289"/>
      <c r="H55" s="289"/>
      <c r="I55" s="289"/>
      <c r="J55" s="289"/>
      <c r="K55" s="289"/>
      <c r="L55" s="289"/>
      <c r="M55" s="289"/>
      <c r="N55" s="290"/>
      <c r="O55" s="244" t="s">
        <v>5</v>
      </c>
      <c r="P55" s="245"/>
      <c r="Q55" s="245"/>
      <c r="R55" s="246"/>
      <c r="S55" s="291" t="s">
        <v>95</v>
      </c>
      <c r="T55" s="292"/>
      <c r="U55" s="292"/>
      <c r="V55" s="292"/>
      <c r="W55" s="292"/>
      <c r="X55" s="292"/>
      <c r="Y55" s="292"/>
      <c r="Z55" s="292"/>
      <c r="AA55" s="292"/>
      <c r="AB55" s="293"/>
      <c r="AC55" s="244" t="s">
        <v>97</v>
      </c>
      <c r="AD55" s="245"/>
      <c r="AE55" s="245"/>
      <c r="AF55" s="245"/>
      <c r="AG55" s="245"/>
      <c r="AH55" s="245"/>
      <c r="AI55" s="245"/>
      <c r="AJ55" s="245"/>
      <c r="AK55" s="245"/>
      <c r="AL55" s="245"/>
      <c r="AM55" s="245"/>
      <c r="AN55" s="245"/>
      <c r="AO55" s="245"/>
      <c r="AP55" s="245"/>
      <c r="AQ55" s="245"/>
      <c r="AR55" s="245"/>
      <c r="AS55" s="245"/>
      <c r="AT55" s="245"/>
      <c r="AU55" s="246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9"/>
      <c r="BI55" s="19"/>
      <c r="BJ55" s="19"/>
      <c r="BK55" s="15"/>
    </row>
    <row r="56" spans="1:63" s="16" customFormat="1" ht="15" customHeight="1" x14ac:dyDescent="0.25">
      <c r="A56" s="11"/>
      <c r="B56" s="18"/>
      <c r="C56" s="244">
        <v>6</v>
      </c>
      <c r="D56" s="246"/>
      <c r="E56" s="288" t="s">
        <v>100</v>
      </c>
      <c r="F56" s="289"/>
      <c r="G56" s="289"/>
      <c r="H56" s="289"/>
      <c r="I56" s="289"/>
      <c r="J56" s="289"/>
      <c r="K56" s="289"/>
      <c r="L56" s="289"/>
      <c r="M56" s="289"/>
      <c r="N56" s="290"/>
      <c r="O56" s="244" t="s">
        <v>32</v>
      </c>
      <c r="P56" s="245"/>
      <c r="Q56" s="245"/>
      <c r="R56" s="246"/>
      <c r="S56" s="291" t="s">
        <v>96</v>
      </c>
      <c r="T56" s="292"/>
      <c r="U56" s="292"/>
      <c r="V56" s="292"/>
      <c r="W56" s="292"/>
      <c r="X56" s="292"/>
      <c r="Y56" s="292"/>
      <c r="Z56" s="292"/>
      <c r="AA56" s="292"/>
      <c r="AB56" s="293"/>
      <c r="AC56" s="244" t="s">
        <v>98</v>
      </c>
      <c r="AD56" s="245"/>
      <c r="AE56" s="245"/>
      <c r="AF56" s="245"/>
      <c r="AG56" s="245"/>
      <c r="AH56" s="245"/>
      <c r="AI56" s="245"/>
      <c r="AJ56" s="245"/>
      <c r="AK56" s="245"/>
      <c r="AL56" s="245"/>
      <c r="AM56" s="245"/>
      <c r="AN56" s="245"/>
      <c r="AO56" s="245"/>
      <c r="AP56" s="245"/>
      <c r="AQ56" s="245"/>
      <c r="AR56" s="245"/>
      <c r="AS56" s="245"/>
      <c r="AT56" s="245"/>
      <c r="AU56" s="246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9"/>
      <c r="BI56" s="19"/>
      <c r="BJ56" s="19"/>
      <c r="BK56" s="15"/>
    </row>
    <row r="57" spans="1:63" s="16" customFormat="1" ht="15" customHeight="1" x14ac:dyDescent="0.25">
      <c r="A57" s="11"/>
      <c r="B57" s="18"/>
      <c r="C57" s="244">
        <v>7</v>
      </c>
      <c r="D57" s="246"/>
      <c r="E57" s="288" t="s">
        <v>101</v>
      </c>
      <c r="F57" s="289"/>
      <c r="G57" s="289"/>
      <c r="H57" s="289"/>
      <c r="I57" s="289"/>
      <c r="J57" s="289"/>
      <c r="K57" s="289"/>
      <c r="L57" s="289"/>
      <c r="M57" s="289"/>
      <c r="N57" s="290"/>
      <c r="O57" s="244" t="s">
        <v>5</v>
      </c>
      <c r="P57" s="245"/>
      <c r="Q57" s="245"/>
      <c r="R57" s="246"/>
      <c r="S57" s="291" t="s">
        <v>102</v>
      </c>
      <c r="T57" s="292"/>
      <c r="U57" s="292"/>
      <c r="V57" s="292"/>
      <c r="W57" s="292"/>
      <c r="X57" s="292"/>
      <c r="Y57" s="292"/>
      <c r="Z57" s="292"/>
      <c r="AA57" s="292"/>
      <c r="AB57" s="293"/>
      <c r="AC57" s="244" t="s">
        <v>138</v>
      </c>
      <c r="AD57" s="245"/>
      <c r="AE57" s="245"/>
      <c r="AF57" s="245"/>
      <c r="AG57" s="245"/>
      <c r="AH57" s="245"/>
      <c r="AI57" s="245"/>
      <c r="AJ57" s="245"/>
      <c r="AK57" s="245"/>
      <c r="AL57" s="245"/>
      <c r="AM57" s="245"/>
      <c r="AN57" s="245"/>
      <c r="AO57" s="245"/>
      <c r="AP57" s="245"/>
      <c r="AQ57" s="245"/>
      <c r="AR57" s="245"/>
      <c r="AS57" s="245"/>
      <c r="AT57" s="245"/>
      <c r="AU57" s="246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9"/>
      <c r="BI57" s="19"/>
      <c r="BJ57" s="19"/>
      <c r="BK57" s="15"/>
    </row>
    <row r="58" spans="1:63" s="16" customFormat="1" ht="15" customHeight="1" x14ac:dyDescent="0.25">
      <c r="A58" s="11"/>
      <c r="B58" s="18"/>
      <c r="C58" s="244">
        <v>8</v>
      </c>
      <c r="D58" s="246"/>
      <c r="E58" s="288" t="s">
        <v>64</v>
      </c>
      <c r="F58" s="289"/>
      <c r="G58" s="289"/>
      <c r="H58" s="289"/>
      <c r="I58" s="289"/>
      <c r="J58" s="289"/>
      <c r="K58" s="289"/>
      <c r="L58" s="289"/>
      <c r="M58" s="289"/>
      <c r="N58" s="290"/>
      <c r="O58" s="244" t="s">
        <v>65</v>
      </c>
      <c r="P58" s="245"/>
      <c r="Q58" s="245"/>
      <c r="R58" s="246"/>
      <c r="S58" s="291" t="s">
        <v>89</v>
      </c>
      <c r="T58" s="292"/>
      <c r="U58" s="292"/>
      <c r="V58" s="292"/>
      <c r="W58" s="292"/>
      <c r="X58" s="292"/>
      <c r="Y58" s="292"/>
      <c r="Z58" s="292"/>
      <c r="AA58" s="292"/>
      <c r="AB58" s="293"/>
      <c r="AC58" s="244" t="s">
        <v>66</v>
      </c>
      <c r="AD58" s="245"/>
      <c r="AE58" s="245"/>
      <c r="AF58" s="245"/>
      <c r="AG58" s="245"/>
      <c r="AH58" s="245"/>
      <c r="AI58" s="245"/>
      <c r="AJ58" s="245"/>
      <c r="AK58" s="245"/>
      <c r="AL58" s="245"/>
      <c r="AM58" s="245"/>
      <c r="AN58" s="245"/>
      <c r="AO58" s="245"/>
      <c r="AP58" s="245"/>
      <c r="AQ58" s="245"/>
      <c r="AR58" s="245"/>
      <c r="AS58" s="245"/>
      <c r="AT58" s="245"/>
      <c r="AU58" s="246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9"/>
      <c r="BI58" s="19"/>
      <c r="BJ58" s="19"/>
      <c r="BK58" s="15"/>
    </row>
    <row r="59" spans="1:63" s="16" customFormat="1" ht="15" customHeight="1" x14ac:dyDescent="0.25">
      <c r="A59" s="11"/>
      <c r="B59" s="18"/>
      <c r="C59" s="244">
        <v>9</v>
      </c>
      <c r="D59" s="246"/>
      <c r="E59" s="288" t="s">
        <v>67</v>
      </c>
      <c r="F59" s="289"/>
      <c r="G59" s="289"/>
      <c r="H59" s="289"/>
      <c r="I59" s="289"/>
      <c r="J59" s="289"/>
      <c r="K59" s="289"/>
      <c r="L59" s="289"/>
      <c r="M59" s="289"/>
      <c r="N59" s="290"/>
      <c r="O59" s="244" t="s">
        <v>32</v>
      </c>
      <c r="P59" s="245"/>
      <c r="Q59" s="245"/>
      <c r="R59" s="246"/>
      <c r="S59" s="291" t="s">
        <v>90</v>
      </c>
      <c r="T59" s="292"/>
      <c r="U59" s="292"/>
      <c r="V59" s="292"/>
      <c r="W59" s="292"/>
      <c r="X59" s="292"/>
      <c r="Y59" s="292"/>
      <c r="Z59" s="292"/>
      <c r="AA59" s="292"/>
      <c r="AB59" s="293"/>
      <c r="AC59" s="244" t="s">
        <v>68</v>
      </c>
      <c r="AD59" s="245"/>
      <c r="AE59" s="245"/>
      <c r="AF59" s="245"/>
      <c r="AG59" s="245"/>
      <c r="AH59" s="245"/>
      <c r="AI59" s="245"/>
      <c r="AJ59" s="245"/>
      <c r="AK59" s="245"/>
      <c r="AL59" s="245"/>
      <c r="AM59" s="245"/>
      <c r="AN59" s="245"/>
      <c r="AO59" s="245"/>
      <c r="AP59" s="245"/>
      <c r="AQ59" s="245"/>
      <c r="AR59" s="245"/>
      <c r="AS59" s="245"/>
      <c r="AT59" s="245"/>
      <c r="AU59" s="246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9"/>
      <c r="BI59" s="19"/>
      <c r="BJ59" s="19"/>
      <c r="BK59" s="15"/>
    </row>
    <row r="60" spans="1:63" s="16" customFormat="1" ht="15" customHeight="1" x14ac:dyDescent="0.25">
      <c r="A60" s="11"/>
      <c r="B60" s="18"/>
      <c r="C60" s="244">
        <v>10</v>
      </c>
      <c r="D60" s="246"/>
      <c r="E60" s="288" t="s">
        <v>69</v>
      </c>
      <c r="F60" s="289"/>
      <c r="G60" s="289"/>
      <c r="H60" s="289"/>
      <c r="I60" s="289"/>
      <c r="J60" s="289"/>
      <c r="K60" s="289"/>
      <c r="L60" s="289"/>
      <c r="M60" s="289"/>
      <c r="N60" s="290"/>
      <c r="O60" s="244" t="s">
        <v>65</v>
      </c>
      <c r="P60" s="245"/>
      <c r="Q60" s="245"/>
      <c r="R60" s="246"/>
      <c r="S60" s="291" t="s">
        <v>43</v>
      </c>
      <c r="T60" s="292"/>
      <c r="U60" s="292"/>
      <c r="V60" s="292"/>
      <c r="W60" s="292"/>
      <c r="X60" s="292"/>
      <c r="Y60" s="292"/>
      <c r="Z60" s="292"/>
      <c r="AA60" s="292"/>
      <c r="AB60" s="293"/>
      <c r="AC60" s="244" t="s">
        <v>70</v>
      </c>
      <c r="AD60" s="245"/>
      <c r="AE60" s="245"/>
      <c r="AF60" s="245"/>
      <c r="AG60" s="245"/>
      <c r="AH60" s="245"/>
      <c r="AI60" s="245"/>
      <c r="AJ60" s="245"/>
      <c r="AK60" s="245"/>
      <c r="AL60" s="245"/>
      <c r="AM60" s="245"/>
      <c r="AN60" s="245"/>
      <c r="AO60" s="245"/>
      <c r="AP60" s="245"/>
      <c r="AQ60" s="245"/>
      <c r="AR60" s="245"/>
      <c r="AS60" s="245"/>
      <c r="AT60" s="245"/>
      <c r="AU60" s="246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9"/>
      <c r="BI60" s="19"/>
      <c r="BJ60" s="19"/>
      <c r="BK60" s="15"/>
    </row>
    <row r="61" spans="1:63" s="16" customFormat="1" ht="15" customHeight="1" x14ac:dyDescent="0.25">
      <c r="A61" s="11"/>
      <c r="B61" s="18"/>
      <c r="C61" s="244">
        <v>11</v>
      </c>
      <c r="D61" s="246"/>
      <c r="E61" s="288" t="s">
        <v>71</v>
      </c>
      <c r="F61" s="289"/>
      <c r="G61" s="289"/>
      <c r="H61" s="289"/>
      <c r="I61" s="289"/>
      <c r="J61" s="289"/>
      <c r="K61" s="289"/>
      <c r="L61" s="289"/>
      <c r="M61" s="289"/>
      <c r="N61" s="290"/>
      <c r="O61" s="244" t="s">
        <v>65</v>
      </c>
      <c r="P61" s="245"/>
      <c r="Q61" s="245"/>
      <c r="R61" s="246"/>
      <c r="S61" s="291" t="s">
        <v>89</v>
      </c>
      <c r="T61" s="292"/>
      <c r="U61" s="292"/>
      <c r="V61" s="292"/>
      <c r="W61" s="292"/>
      <c r="X61" s="292"/>
      <c r="Y61" s="292"/>
      <c r="Z61" s="292"/>
      <c r="AA61" s="292"/>
      <c r="AB61" s="293"/>
      <c r="AC61" s="244" t="s">
        <v>72</v>
      </c>
      <c r="AD61" s="245"/>
      <c r="AE61" s="245"/>
      <c r="AF61" s="245"/>
      <c r="AG61" s="245"/>
      <c r="AH61" s="245"/>
      <c r="AI61" s="245"/>
      <c r="AJ61" s="245"/>
      <c r="AK61" s="245"/>
      <c r="AL61" s="245"/>
      <c r="AM61" s="245"/>
      <c r="AN61" s="245"/>
      <c r="AO61" s="245"/>
      <c r="AP61" s="245"/>
      <c r="AQ61" s="245"/>
      <c r="AR61" s="245"/>
      <c r="AS61" s="245"/>
      <c r="AT61" s="245"/>
      <c r="AU61" s="246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9"/>
      <c r="BI61" s="19"/>
      <c r="BJ61" s="19"/>
      <c r="BK61" s="15"/>
    </row>
    <row r="62" spans="1:63" s="16" customFormat="1" ht="15" customHeight="1" x14ac:dyDescent="0.25">
      <c r="A62" s="11"/>
      <c r="B62" s="18"/>
      <c r="C62" s="244">
        <v>12</v>
      </c>
      <c r="D62" s="246"/>
      <c r="E62" s="288" t="s">
        <v>73</v>
      </c>
      <c r="F62" s="289"/>
      <c r="G62" s="289"/>
      <c r="H62" s="289"/>
      <c r="I62" s="289"/>
      <c r="J62" s="289"/>
      <c r="K62" s="289"/>
      <c r="L62" s="289"/>
      <c r="M62" s="289"/>
      <c r="N62" s="290"/>
      <c r="O62" s="244" t="s">
        <v>32</v>
      </c>
      <c r="P62" s="245"/>
      <c r="Q62" s="245"/>
      <c r="R62" s="246"/>
      <c r="S62" s="291" t="s">
        <v>90</v>
      </c>
      <c r="T62" s="292"/>
      <c r="U62" s="292"/>
      <c r="V62" s="292"/>
      <c r="W62" s="292"/>
      <c r="X62" s="292"/>
      <c r="Y62" s="292"/>
      <c r="Z62" s="292"/>
      <c r="AA62" s="292"/>
      <c r="AB62" s="293"/>
      <c r="AC62" s="244" t="s">
        <v>74</v>
      </c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6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9"/>
      <c r="BI62" s="19"/>
      <c r="BJ62" s="19"/>
      <c r="BK62" s="15"/>
    </row>
    <row r="63" spans="1:63" s="16" customFormat="1" ht="15" customHeight="1" x14ac:dyDescent="0.25">
      <c r="A63" s="11"/>
      <c r="B63" s="18"/>
      <c r="C63" s="244">
        <v>13</v>
      </c>
      <c r="D63" s="246"/>
      <c r="E63" s="288" t="s">
        <v>75</v>
      </c>
      <c r="F63" s="289"/>
      <c r="G63" s="289"/>
      <c r="H63" s="289"/>
      <c r="I63" s="289"/>
      <c r="J63" s="289"/>
      <c r="K63" s="289"/>
      <c r="L63" s="289"/>
      <c r="M63" s="289"/>
      <c r="N63" s="290"/>
      <c r="O63" s="244" t="s">
        <v>65</v>
      </c>
      <c r="P63" s="245"/>
      <c r="Q63" s="245"/>
      <c r="R63" s="246"/>
      <c r="S63" s="291" t="s">
        <v>43</v>
      </c>
      <c r="T63" s="292"/>
      <c r="U63" s="292"/>
      <c r="V63" s="292"/>
      <c r="W63" s="292"/>
      <c r="X63" s="292"/>
      <c r="Y63" s="292"/>
      <c r="Z63" s="292"/>
      <c r="AA63" s="292"/>
      <c r="AB63" s="293"/>
      <c r="AC63" s="244" t="s">
        <v>76</v>
      </c>
      <c r="AD63" s="245"/>
      <c r="AE63" s="245"/>
      <c r="AF63" s="245"/>
      <c r="AG63" s="245"/>
      <c r="AH63" s="245"/>
      <c r="AI63" s="245"/>
      <c r="AJ63" s="245"/>
      <c r="AK63" s="245"/>
      <c r="AL63" s="245"/>
      <c r="AM63" s="245"/>
      <c r="AN63" s="245"/>
      <c r="AO63" s="245"/>
      <c r="AP63" s="245"/>
      <c r="AQ63" s="245"/>
      <c r="AR63" s="245"/>
      <c r="AS63" s="245"/>
      <c r="AT63" s="245"/>
      <c r="AU63" s="246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9"/>
      <c r="BI63" s="19"/>
      <c r="BJ63" s="19"/>
      <c r="BK63" s="15"/>
    </row>
    <row r="64" spans="1:63" s="16" customFormat="1" ht="15" customHeight="1" x14ac:dyDescent="0.25">
      <c r="A64" s="11"/>
      <c r="B64" s="18"/>
      <c r="C64" s="244">
        <v>14</v>
      </c>
      <c r="D64" s="246"/>
      <c r="E64" s="288" t="s">
        <v>77</v>
      </c>
      <c r="F64" s="289"/>
      <c r="G64" s="289"/>
      <c r="H64" s="289"/>
      <c r="I64" s="289"/>
      <c r="J64" s="289"/>
      <c r="K64" s="289"/>
      <c r="L64" s="289"/>
      <c r="M64" s="289"/>
      <c r="N64" s="290"/>
      <c r="O64" s="244" t="s">
        <v>65</v>
      </c>
      <c r="P64" s="245"/>
      <c r="Q64" s="245"/>
      <c r="R64" s="246"/>
      <c r="S64" s="291" t="s">
        <v>89</v>
      </c>
      <c r="T64" s="292"/>
      <c r="U64" s="292"/>
      <c r="V64" s="292"/>
      <c r="W64" s="292"/>
      <c r="X64" s="292"/>
      <c r="Y64" s="292"/>
      <c r="Z64" s="292"/>
      <c r="AA64" s="292"/>
      <c r="AB64" s="293"/>
      <c r="AC64" s="244" t="s">
        <v>78</v>
      </c>
      <c r="AD64" s="245"/>
      <c r="AE64" s="245"/>
      <c r="AF64" s="245"/>
      <c r="AG64" s="245"/>
      <c r="AH64" s="245"/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6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9"/>
      <c r="BI64" s="19"/>
      <c r="BJ64" s="19"/>
      <c r="BK64" s="15"/>
    </row>
    <row r="65" spans="1:63" s="16" customFormat="1" ht="15" customHeight="1" x14ac:dyDescent="0.25">
      <c r="A65" s="11"/>
      <c r="B65" s="18"/>
      <c r="C65" s="244">
        <v>15</v>
      </c>
      <c r="D65" s="246"/>
      <c r="E65" s="288" t="s">
        <v>79</v>
      </c>
      <c r="F65" s="289"/>
      <c r="G65" s="289"/>
      <c r="H65" s="289"/>
      <c r="I65" s="289"/>
      <c r="J65" s="289"/>
      <c r="K65" s="289"/>
      <c r="L65" s="289"/>
      <c r="M65" s="289"/>
      <c r="N65" s="290"/>
      <c r="O65" s="244" t="s">
        <v>32</v>
      </c>
      <c r="P65" s="245"/>
      <c r="Q65" s="245"/>
      <c r="R65" s="246"/>
      <c r="S65" s="291" t="s">
        <v>90</v>
      </c>
      <c r="T65" s="292"/>
      <c r="U65" s="292"/>
      <c r="V65" s="292"/>
      <c r="W65" s="292"/>
      <c r="X65" s="292"/>
      <c r="Y65" s="292"/>
      <c r="Z65" s="292"/>
      <c r="AA65" s="292"/>
      <c r="AB65" s="293"/>
      <c r="AC65" s="244" t="s">
        <v>80</v>
      </c>
      <c r="AD65" s="245"/>
      <c r="AE65" s="245"/>
      <c r="AF65" s="245"/>
      <c r="AG65" s="245"/>
      <c r="AH65" s="245"/>
      <c r="AI65" s="245"/>
      <c r="AJ65" s="245"/>
      <c r="AK65" s="245"/>
      <c r="AL65" s="245"/>
      <c r="AM65" s="245"/>
      <c r="AN65" s="245"/>
      <c r="AO65" s="245"/>
      <c r="AP65" s="245"/>
      <c r="AQ65" s="245"/>
      <c r="AR65" s="245"/>
      <c r="AS65" s="245"/>
      <c r="AT65" s="245"/>
      <c r="AU65" s="246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9"/>
      <c r="BI65" s="19"/>
      <c r="BJ65" s="19"/>
      <c r="BK65" s="15"/>
    </row>
    <row r="66" spans="1:63" s="16" customFormat="1" ht="15" customHeight="1" x14ac:dyDescent="0.25">
      <c r="A66" s="11"/>
      <c r="B66" s="18"/>
      <c r="C66" s="244">
        <v>16</v>
      </c>
      <c r="D66" s="246"/>
      <c r="E66" s="288" t="s">
        <v>81</v>
      </c>
      <c r="F66" s="289"/>
      <c r="G66" s="289"/>
      <c r="H66" s="289"/>
      <c r="I66" s="289"/>
      <c r="J66" s="289"/>
      <c r="K66" s="289"/>
      <c r="L66" s="289"/>
      <c r="M66" s="289"/>
      <c r="N66" s="290"/>
      <c r="O66" s="244" t="s">
        <v>65</v>
      </c>
      <c r="P66" s="245"/>
      <c r="Q66" s="245"/>
      <c r="R66" s="246"/>
      <c r="S66" s="291" t="s">
        <v>43</v>
      </c>
      <c r="T66" s="292"/>
      <c r="U66" s="292"/>
      <c r="V66" s="292"/>
      <c r="W66" s="292"/>
      <c r="X66" s="292"/>
      <c r="Y66" s="292"/>
      <c r="Z66" s="292"/>
      <c r="AA66" s="292"/>
      <c r="AB66" s="293"/>
      <c r="AC66" s="244" t="s">
        <v>82</v>
      </c>
      <c r="AD66" s="245"/>
      <c r="AE66" s="245"/>
      <c r="AF66" s="245"/>
      <c r="AG66" s="245"/>
      <c r="AH66" s="245"/>
      <c r="AI66" s="245"/>
      <c r="AJ66" s="245"/>
      <c r="AK66" s="245"/>
      <c r="AL66" s="245"/>
      <c r="AM66" s="245"/>
      <c r="AN66" s="245"/>
      <c r="AO66" s="245"/>
      <c r="AP66" s="245"/>
      <c r="AQ66" s="245"/>
      <c r="AR66" s="245"/>
      <c r="AS66" s="245"/>
      <c r="AT66" s="245"/>
      <c r="AU66" s="246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9"/>
      <c r="BI66" s="19"/>
      <c r="BJ66" s="19"/>
      <c r="BK66" s="15"/>
    </row>
    <row r="67" spans="1:63" s="16" customFormat="1" ht="15" customHeight="1" x14ac:dyDescent="0.25">
      <c r="A67" s="11"/>
      <c r="B67" s="18"/>
      <c r="C67" s="244">
        <v>17</v>
      </c>
      <c r="D67" s="246"/>
      <c r="E67" s="288" t="s">
        <v>83</v>
      </c>
      <c r="F67" s="289"/>
      <c r="G67" s="289"/>
      <c r="H67" s="289"/>
      <c r="I67" s="289"/>
      <c r="J67" s="289"/>
      <c r="K67" s="289"/>
      <c r="L67" s="289"/>
      <c r="M67" s="289"/>
      <c r="N67" s="290"/>
      <c r="O67" s="244" t="s">
        <v>65</v>
      </c>
      <c r="P67" s="245"/>
      <c r="Q67" s="245"/>
      <c r="R67" s="246"/>
      <c r="S67" s="291" t="s">
        <v>89</v>
      </c>
      <c r="T67" s="292"/>
      <c r="U67" s="292"/>
      <c r="V67" s="292"/>
      <c r="W67" s="292"/>
      <c r="X67" s="292"/>
      <c r="Y67" s="292"/>
      <c r="Z67" s="292"/>
      <c r="AA67" s="292"/>
      <c r="AB67" s="293"/>
      <c r="AC67" s="244" t="s">
        <v>84</v>
      </c>
      <c r="AD67" s="245"/>
      <c r="AE67" s="245"/>
      <c r="AF67" s="245"/>
      <c r="AG67" s="245"/>
      <c r="AH67" s="245"/>
      <c r="AI67" s="245"/>
      <c r="AJ67" s="245"/>
      <c r="AK67" s="245"/>
      <c r="AL67" s="245"/>
      <c r="AM67" s="245"/>
      <c r="AN67" s="245"/>
      <c r="AO67" s="245"/>
      <c r="AP67" s="245"/>
      <c r="AQ67" s="245"/>
      <c r="AR67" s="245"/>
      <c r="AS67" s="245"/>
      <c r="AT67" s="245"/>
      <c r="AU67" s="246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9"/>
      <c r="BI67" s="19"/>
      <c r="BJ67" s="19"/>
      <c r="BK67" s="15"/>
    </row>
    <row r="68" spans="1:63" s="16" customFormat="1" ht="15" customHeight="1" x14ac:dyDescent="0.25">
      <c r="A68" s="11"/>
      <c r="B68" s="18"/>
      <c r="C68" s="244">
        <v>18</v>
      </c>
      <c r="D68" s="246"/>
      <c r="E68" s="288" t="s">
        <v>85</v>
      </c>
      <c r="F68" s="289"/>
      <c r="G68" s="289"/>
      <c r="H68" s="289"/>
      <c r="I68" s="289"/>
      <c r="J68" s="289"/>
      <c r="K68" s="289"/>
      <c r="L68" s="289"/>
      <c r="M68" s="289"/>
      <c r="N68" s="290"/>
      <c r="O68" s="244" t="s">
        <v>32</v>
      </c>
      <c r="P68" s="245"/>
      <c r="Q68" s="245"/>
      <c r="R68" s="246"/>
      <c r="S68" s="291" t="s">
        <v>90</v>
      </c>
      <c r="T68" s="292"/>
      <c r="U68" s="292"/>
      <c r="V68" s="292"/>
      <c r="W68" s="292"/>
      <c r="X68" s="292"/>
      <c r="Y68" s="292"/>
      <c r="Z68" s="292"/>
      <c r="AA68" s="292"/>
      <c r="AB68" s="293"/>
      <c r="AC68" s="244" t="s">
        <v>86</v>
      </c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  <c r="AR68" s="245"/>
      <c r="AS68" s="245"/>
      <c r="AT68" s="245"/>
      <c r="AU68" s="246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9"/>
      <c r="BI68" s="19"/>
      <c r="BJ68" s="19"/>
      <c r="BK68" s="15"/>
    </row>
    <row r="69" spans="1:63" s="16" customFormat="1" ht="15" customHeight="1" x14ac:dyDescent="0.25">
      <c r="A69" s="11"/>
      <c r="B69" s="18"/>
      <c r="C69" s="244">
        <v>19</v>
      </c>
      <c r="D69" s="246"/>
      <c r="E69" s="288" t="s">
        <v>87</v>
      </c>
      <c r="F69" s="289"/>
      <c r="G69" s="289"/>
      <c r="H69" s="289"/>
      <c r="I69" s="289"/>
      <c r="J69" s="289"/>
      <c r="K69" s="289"/>
      <c r="L69" s="289"/>
      <c r="M69" s="289"/>
      <c r="N69" s="290"/>
      <c r="O69" s="244" t="s">
        <v>65</v>
      </c>
      <c r="P69" s="245"/>
      <c r="Q69" s="245"/>
      <c r="R69" s="246"/>
      <c r="S69" s="291" t="s">
        <v>43</v>
      </c>
      <c r="T69" s="292"/>
      <c r="U69" s="292"/>
      <c r="V69" s="292"/>
      <c r="W69" s="292"/>
      <c r="X69" s="292"/>
      <c r="Y69" s="292"/>
      <c r="Z69" s="292"/>
      <c r="AA69" s="292"/>
      <c r="AB69" s="293"/>
      <c r="AC69" s="244" t="s">
        <v>88</v>
      </c>
      <c r="AD69" s="245"/>
      <c r="AE69" s="245"/>
      <c r="AF69" s="245"/>
      <c r="AG69" s="245"/>
      <c r="AH69" s="245"/>
      <c r="AI69" s="245"/>
      <c r="AJ69" s="245"/>
      <c r="AK69" s="245"/>
      <c r="AL69" s="245"/>
      <c r="AM69" s="245"/>
      <c r="AN69" s="245"/>
      <c r="AO69" s="245"/>
      <c r="AP69" s="245"/>
      <c r="AQ69" s="245"/>
      <c r="AR69" s="245"/>
      <c r="AS69" s="245"/>
      <c r="AT69" s="245"/>
      <c r="AU69" s="246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9"/>
      <c r="BI69" s="19"/>
      <c r="BJ69" s="19"/>
      <c r="BK69" s="15"/>
    </row>
    <row r="70" spans="1:63" s="16" customFormat="1" ht="30.75" customHeight="1" x14ac:dyDescent="0.25">
      <c r="A70" s="11"/>
      <c r="B70" s="18"/>
      <c r="C70" s="244">
        <v>20</v>
      </c>
      <c r="D70" s="246"/>
      <c r="E70" s="288" t="s">
        <v>33</v>
      </c>
      <c r="F70" s="289"/>
      <c r="G70" s="289"/>
      <c r="H70" s="289"/>
      <c r="I70" s="289"/>
      <c r="J70" s="289"/>
      <c r="K70" s="289"/>
      <c r="L70" s="289"/>
      <c r="M70" s="289"/>
      <c r="N70" s="290"/>
      <c r="O70" s="244" t="s">
        <v>5</v>
      </c>
      <c r="P70" s="245"/>
      <c r="Q70" s="245"/>
      <c r="R70" s="246"/>
      <c r="S70" s="294" t="s">
        <v>44</v>
      </c>
      <c r="T70" s="292"/>
      <c r="U70" s="292"/>
      <c r="V70" s="292"/>
      <c r="W70" s="292"/>
      <c r="X70" s="292"/>
      <c r="Y70" s="292"/>
      <c r="Z70" s="292"/>
      <c r="AA70" s="292"/>
      <c r="AB70" s="293"/>
      <c r="AC70" s="106" t="s">
        <v>167</v>
      </c>
      <c r="AD70" s="245"/>
      <c r="AE70" s="245"/>
      <c r="AF70" s="245"/>
      <c r="AG70" s="245"/>
      <c r="AH70" s="245"/>
      <c r="AI70" s="245"/>
      <c r="AJ70" s="245"/>
      <c r="AK70" s="245"/>
      <c r="AL70" s="245"/>
      <c r="AM70" s="245"/>
      <c r="AN70" s="245"/>
      <c r="AO70" s="245"/>
      <c r="AP70" s="245"/>
      <c r="AQ70" s="245"/>
      <c r="AR70" s="245"/>
      <c r="AS70" s="245"/>
      <c r="AT70" s="245"/>
      <c r="AU70" s="246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9"/>
      <c r="BI70" s="19"/>
      <c r="BJ70" s="19"/>
      <c r="BK70" s="15"/>
    </row>
    <row r="71" spans="1:63" s="16" customFormat="1" ht="30" customHeight="1" x14ac:dyDescent="0.25">
      <c r="A71" s="11"/>
      <c r="B71" s="18"/>
      <c r="C71" s="244">
        <v>21</v>
      </c>
      <c r="D71" s="246"/>
      <c r="E71" s="288" t="s">
        <v>34</v>
      </c>
      <c r="F71" s="289"/>
      <c r="G71" s="289"/>
      <c r="H71" s="289"/>
      <c r="I71" s="289"/>
      <c r="J71" s="289"/>
      <c r="K71" s="289"/>
      <c r="L71" s="289"/>
      <c r="M71" s="289"/>
      <c r="N71" s="290"/>
      <c r="O71" s="244" t="s">
        <v>5</v>
      </c>
      <c r="P71" s="245"/>
      <c r="Q71" s="245"/>
      <c r="R71" s="246"/>
      <c r="S71" s="294" t="s">
        <v>139</v>
      </c>
      <c r="T71" s="292"/>
      <c r="U71" s="292"/>
      <c r="V71" s="292"/>
      <c r="W71" s="292"/>
      <c r="X71" s="292"/>
      <c r="Y71" s="292"/>
      <c r="Z71" s="292"/>
      <c r="AA71" s="292"/>
      <c r="AB71" s="293"/>
      <c r="AC71" s="106" t="s">
        <v>168</v>
      </c>
      <c r="AD71" s="245"/>
      <c r="AE71" s="245"/>
      <c r="AF71" s="245"/>
      <c r="AG71" s="245"/>
      <c r="AH71" s="245"/>
      <c r="AI71" s="245"/>
      <c r="AJ71" s="245"/>
      <c r="AK71" s="245"/>
      <c r="AL71" s="245"/>
      <c r="AM71" s="245"/>
      <c r="AN71" s="245"/>
      <c r="AO71" s="245"/>
      <c r="AP71" s="245"/>
      <c r="AQ71" s="245"/>
      <c r="AR71" s="245"/>
      <c r="AS71" s="245"/>
      <c r="AT71" s="245"/>
      <c r="AU71" s="246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9"/>
      <c r="BI71" s="19"/>
      <c r="BJ71" s="19"/>
      <c r="BK71" s="15"/>
    </row>
    <row r="72" spans="1:63" s="16" customFormat="1" ht="30.75" customHeight="1" x14ac:dyDescent="0.25">
      <c r="A72" s="11"/>
      <c r="B72" s="18"/>
      <c r="C72" s="244">
        <v>22</v>
      </c>
      <c r="D72" s="246"/>
      <c r="E72" s="288" t="s">
        <v>47</v>
      </c>
      <c r="F72" s="289"/>
      <c r="G72" s="289"/>
      <c r="H72" s="289"/>
      <c r="I72" s="289"/>
      <c r="J72" s="289"/>
      <c r="K72" s="289"/>
      <c r="L72" s="289"/>
      <c r="M72" s="289"/>
      <c r="N72" s="290"/>
      <c r="O72" s="244" t="s">
        <v>5</v>
      </c>
      <c r="P72" s="245"/>
      <c r="Q72" s="245"/>
      <c r="R72" s="246"/>
      <c r="S72" s="294" t="s">
        <v>45</v>
      </c>
      <c r="T72" s="292"/>
      <c r="U72" s="292"/>
      <c r="V72" s="292"/>
      <c r="W72" s="292"/>
      <c r="X72" s="292"/>
      <c r="Y72" s="292"/>
      <c r="Z72" s="292"/>
      <c r="AA72" s="292"/>
      <c r="AB72" s="293"/>
      <c r="AC72" s="244" t="s">
        <v>53</v>
      </c>
      <c r="AD72" s="245"/>
      <c r="AE72" s="245"/>
      <c r="AF72" s="245"/>
      <c r="AG72" s="245"/>
      <c r="AH72" s="245"/>
      <c r="AI72" s="245"/>
      <c r="AJ72" s="245"/>
      <c r="AK72" s="245"/>
      <c r="AL72" s="245"/>
      <c r="AM72" s="245"/>
      <c r="AN72" s="245"/>
      <c r="AO72" s="245"/>
      <c r="AP72" s="245"/>
      <c r="AQ72" s="245"/>
      <c r="AR72" s="245"/>
      <c r="AS72" s="245"/>
      <c r="AT72" s="245"/>
      <c r="AU72" s="246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9"/>
      <c r="BI72" s="19"/>
      <c r="BJ72" s="19"/>
      <c r="BK72" s="15"/>
    </row>
    <row r="73" spans="1:63" s="16" customFormat="1" ht="30" customHeight="1" x14ac:dyDescent="0.25">
      <c r="A73" s="11"/>
      <c r="B73" s="18"/>
      <c r="C73" s="244">
        <v>23</v>
      </c>
      <c r="D73" s="246"/>
      <c r="E73" s="288" t="s">
        <v>48</v>
      </c>
      <c r="F73" s="289"/>
      <c r="G73" s="289"/>
      <c r="H73" s="289"/>
      <c r="I73" s="289"/>
      <c r="J73" s="289"/>
      <c r="K73" s="289"/>
      <c r="L73" s="289"/>
      <c r="M73" s="289"/>
      <c r="N73" s="290"/>
      <c r="O73" s="244" t="s">
        <v>5</v>
      </c>
      <c r="P73" s="245"/>
      <c r="Q73" s="245"/>
      <c r="R73" s="246"/>
      <c r="S73" s="294" t="s">
        <v>46</v>
      </c>
      <c r="T73" s="292"/>
      <c r="U73" s="292"/>
      <c r="V73" s="292"/>
      <c r="W73" s="292"/>
      <c r="X73" s="292"/>
      <c r="Y73" s="292"/>
      <c r="Z73" s="292"/>
      <c r="AA73" s="292"/>
      <c r="AB73" s="293"/>
      <c r="AC73" s="244" t="s">
        <v>54</v>
      </c>
      <c r="AD73" s="245"/>
      <c r="AE73" s="245"/>
      <c r="AF73" s="245"/>
      <c r="AG73" s="245"/>
      <c r="AH73" s="245"/>
      <c r="AI73" s="245"/>
      <c r="AJ73" s="245"/>
      <c r="AK73" s="245"/>
      <c r="AL73" s="245"/>
      <c r="AM73" s="245"/>
      <c r="AN73" s="245"/>
      <c r="AO73" s="245"/>
      <c r="AP73" s="245"/>
      <c r="AQ73" s="245"/>
      <c r="AR73" s="245"/>
      <c r="AS73" s="245"/>
      <c r="AT73" s="245"/>
      <c r="AU73" s="246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9"/>
      <c r="BI73" s="19"/>
      <c r="BJ73" s="19"/>
      <c r="BK73" s="15"/>
    </row>
    <row r="74" spans="1:63" s="49" customFormat="1" ht="30.75" customHeight="1" x14ac:dyDescent="0.25">
      <c r="A74" s="45"/>
      <c r="B74" s="46"/>
      <c r="C74" s="244">
        <v>24</v>
      </c>
      <c r="D74" s="246"/>
      <c r="E74" s="288" t="s">
        <v>59</v>
      </c>
      <c r="F74" s="289"/>
      <c r="G74" s="289"/>
      <c r="H74" s="289"/>
      <c r="I74" s="289"/>
      <c r="J74" s="289"/>
      <c r="K74" s="289"/>
      <c r="L74" s="289"/>
      <c r="M74" s="289"/>
      <c r="N74" s="290"/>
      <c r="O74" s="244" t="s">
        <v>5</v>
      </c>
      <c r="P74" s="245"/>
      <c r="Q74" s="245"/>
      <c r="R74" s="246"/>
      <c r="S74" s="294" t="s">
        <v>49</v>
      </c>
      <c r="T74" s="292"/>
      <c r="U74" s="292"/>
      <c r="V74" s="292"/>
      <c r="W74" s="292"/>
      <c r="X74" s="292"/>
      <c r="Y74" s="292"/>
      <c r="Z74" s="292"/>
      <c r="AA74" s="292"/>
      <c r="AB74" s="293"/>
      <c r="AC74" s="244" t="s">
        <v>56</v>
      </c>
      <c r="AD74" s="245"/>
      <c r="AE74" s="245"/>
      <c r="AF74" s="245"/>
      <c r="AG74" s="245"/>
      <c r="AH74" s="245"/>
      <c r="AI74" s="245"/>
      <c r="AJ74" s="245"/>
      <c r="AK74" s="245"/>
      <c r="AL74" s="245"/>
      <c r="AM74" s="245"/>
      <c r="AN74" s="245"/>
      <c r="AO74" s="245"/>
      <c r="AP74" s="245"/>
      <c r="AQ74" s="245"/>
      <c r="AR74" s="245"/>
      <c r="AS74" s="245"/>
      <c r="AT74" s="245"/>
      <c r="AU74" s="2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7"/>
      <c r="BI74" s="47"/>
      <c r="BJ74" s="47"/>
      <c r="BK74" s="48"/>
    </row>
    <row r="75" spans="1:63" s="16" customFormat="1" ht="15" customHeight="1" x14ac:dyDescent="0.25">
      <c r="A75" s="11"/>
      <c r="B75" s="18"/>
      <c r="C75" s="244">
        <v>25</v>
      </c>
      <c r="D75" s="246"/>
      <c r="E75" s="288" t="s">
        <v>51</v>
      </c>
      <c r="F75" s="289"/>
      <c r="G75" s="289"/>
      <c r="H75" s="289"/>
      <c r="I75" s="289"/>
      <c r="J75" s="289"/>
      <c r="K75" s="289"/>
      <c r="L75" s="289"/>
      <c r="M75" s="289"/>
      <c r="N75" s="290"/>
      <c r="O75" s="244" t="s">
        <v>5</v>
      </c>
      <c r="P75" s="245"/>
      <c r="Q75" s="245"/>
      <c r="R75" s="246"/>
      <c r="S75" s="291" t="s">
        <v>50</v>
      </c>
      <c r="T75" s="292"/>
      <c r="U75" s="292"/>
      <c r="V75" s="292"/>
      <c r="W75" s="292"/>
      <c r="X75" s="292"/>
      <c r="Y75" s="292"/>
      <c r="Z75" s="292"/>
      <c r="AA75" s="292"/>
      <c r="AB75" s="293"/>
      <c r="AC75" s="244" t="s">
        <v>58</v>
      </c>
      <c r="AD75" s="245"/>
      <c r="AE75" s="245"/>
      <c r="AF75" s="245"/>
      <c r="AG75" s="245"/>
      <c r="AH75" s="245"/>
      <c r="AI75" s="245"/>
      <c r="AJ75" s="245"/>
      <c r="AK75" s="245"/>
      <c r="AL75" s="245"/>
      <c r="AM75" s="245"/>
      <c r="AN75" s="245"/>
      <c r="AO75" s="245"/>
      <c r="AP75" s="245"/>
      <c r="AQ75" s="245"/>
      <c r="AR75" s="245"/>
      <c r="AS75" s="245"/>
      <c r="AT75" s="245"/>
      <c r="AU75" s="246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9"/>
      <c r="BI75" s="19"/>
      <c r="BJ75" s="19"/>
      <c r="BK75" s="15"/>
    </row>
    <row r="76" spans="1:63" s="16" customFormat="1" x14ac:dyDescent="0.25">
      <c r="A76" s="11"/>
      <c r="B76" s="18"/>
      <c r="C76" s="244">
        <v>26</v>
      </c>
      <c r="D76" s="246"/>
      <c r="E76" s="288" t="s">
        <v>37</v>
      </c>
      <c r="F76" s="289"/>
      <c r="G76" s="289"/>
      <c r="H76" s="289"/>
      <c r="I76" s="289"/>
      <c r="J76" s="289"/>
      <c r="K76" s="289"/>
      <c r="L76" s="289"/>
      <c r="M76" s="289"/>
      <c r="N76" s="290"/>
      <c r="O76" s="244" t="s">
        <v>55</v>
      </c>
      <c r="P76" s="245"/>
      <c r="Q76" s="245"/>
      <c r="R76" s="246"/>
      <c r="S76" s="294" t="s">
        <v>52</v>
      </c>
      <c r="T76" s="295"/>
      <c r="U76" s="295"/>
      <c r="V76" s="295"/>
      <c r="W76" s="295"/>
      <c r="X76" s="295"/>
      <c r="Y76" s="295"/>
      <c r="Z76" s="295"/>
      <c r="AA76" s="295"/>
      <c r="AB76" s="296"/>
      <c r="AC76" s="297" t="s">
        <v>57</v>
      </c>
      <c r="AD76" s="245"/>
      <c r="AE76" s="245"/>
      <c r="AF76" s="245"/>
      <c r="AG76" s="245"/>
      <c r="AH76" s="245"/>
      <c r="AI76" s="245"/>
      <c r="AJ76" s="245"/>
      <c r="AK76" s="245"/>
      <c r="AL76" s="245"/>
      <c r="AM76" s="245"/>
      <c r="AN76" s="245"/>
      <c r="AO76" s="245"/>
      <c r="AP76" s="245"/>
      <c r="AQ76" s="245"/>
      <c r="AR76" s="245"/>
      <c r="AS76" s="245"/>
      <c r="AT76" s="245"/>
      <c r="AU76" s="246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9"/>
      <c r="BI76" s="19"/>
      <c r="BJ76" s="19"/>
      <c r="BK76" s="15"/>
    </row>
    <row r="77" spans="1:63" s="16" customFormat="1" ht="15" customHeight="1" x14ac:dyDescent="0.25">
      <c r="A77" s="11"/>
      <c r="B77" s="18"/>
      <c r="C77" s="18"/>
      <c r="D77" s="18"/>
      <c r="E77" s="228"/>
      <c r="F77" s="228"/>
      <c r="G77" s="228"/>
      <c r="H77" s="22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228"/>
      <c r="T77" s="228"/>
      <c r="U77" s="228"/>
      <c r="V77" s="228"/>
      <c r="W77" s="228"/>
      <c r="X77" s="228"/>
      <c r="Y77" s="228"/>
      <c r="Z77" s="228"/>
      <c r="AA77" s="228"/>
      <c r="AB77" s="1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9"/>
      <c r="BI77" s="19"/>
      <c r="BJ77" s="19"/>
      <c r="BK77" s="15"/>
    </row>
    <row r="78" spans="1:63" s="16" customFormat="1" ht="15" customHeight="1" x14ac:dyDescent="0.25">
      <c r="A78" s="11"/>
      <c r="B78" s="18"/>
      <c r="C78" s="21" t="s">
        <v>134</v>
      </c>
      <c r="D78" s="18"/>
      <c r="E78" s="228"/>
      <c r="F78" s="18"/>
      <c r="G78" s="22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9"/>
      <c r="BI78" s="19"/>
      <c r="BJ78" s="19"/>
      <c r="BK78" s="15"/>
    </row>
    <row r="79" spans="1:63" s="16" customFormat="1" ht="15" customHeight="1" x14ac:dyDescent="0.25">
      <c r="A79" s="11"/>
      <c r="B79" s="18"/>
      <c r="C79" s="21"/>
      <c r="D79" s="228"/>
      <c r="E79" s="228"/>
      <c r="F79" s="18"/>
      <c r="G79" s="22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9"/>
      <c r="BI79" s="19"/>
      <c r="BJ79" s="19"/>
      <c r="BK79" s="15"/>
    </row>
    <row r="80" spans="1:63" s="16" customFormat="1" ht="15" customHeight="1" x14ac:dyDescent="0.25">
      <c r="A80" s="11"/>
      <c r="B80" s="18"/>
      <c r="C80" s="298" t="s">
        <v>21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7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9"/>
      <c r="BI80" s="19"/>
      <c r="BJ80" s="19"/>
      <c r="BK80" s="15"/>
    </row>
    <row r="81" spans="1:63" s="49" customFormat="1" ht="15" customHeight="1" x14ac:dyDescent="0.25">
      <c r="A81" s="45"/>
      <c r="B81" s="46"/>
      <c r="C81" s="299" t="s">
        <v>140</v>
      </c>
      <c r="D81" s="300"/>
      <c r="E81" s="51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2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7"/>
      <c r="BI81" s="47"/>
      <c r="BJ81" s="47"/>
      <c r="BK81" s="48"/>
    </row>
    <row r="82" spans="1:63" s="16" customFormat="1" ht="15" customHeight="1" x14ac:dyDescent="0.25">
      <c r="A82" s="11"/>
      <c r="B82" s="18"/>
      <c r="C82" s="299" t="s">
        <v>141</v>
      </c>
      <c r="D82" s="44"/>
      <c r="E82" s="44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40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9"/>
      <c r="BI82" s="19"/>
      <c r="BJ82" s="19"/>
      <c r="BK82" s="15"/>
    </row>
    <row r="83" spans="1:63" s="16" customFormat="1" ht="15" customHeight="1" x14ac:dyDescent="0.25">
      <c r="A83" s="11"/>
      <c r="B83" s="18"/>
      <c r="C83" s="299" t="s">
        <v>142</v>
      </c>
      <c r="D83" s="44"/>
      <c r="E83" s="44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40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9"/>
      <c r="BI83" s="19"/>
      <c r="BJ83" s="19"/>
      <c r="BK83" s="15"/>
    </row>
    <row r="84" spans="1:63" s="16" customFormat="1" ht="15" customHeight="1" x14ac:dyDescent="0.25">
      <c r="A84" s="11"/>
      <c r="B84" s="18"/>
      <c r="C84" s="299" t="s">
        <v>143</v>
      </c>
      <c r="D84" s="44"/>
      <c r="E84" s="44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40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9"/>
      <c r="BI84" s="19"/>
      <c r="BJ84" s="19"/>
      <c r="BK84" s="15"/>
    </row>
    <row r="85" spans="1:63" s="16" customFormat="1" ht="15" customHeight="1" x14ac:dyDescent="0.25">
      <c r="A85" s="11"/>
      <c r="B85" s="18"/>
      <c r="C85" s="299" t="s">
        <v>144</v>
      </c>
      <c r="D85" s="44"/>
      <c r="E85" s="44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40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9"/>
      <c r="BI85" s="19"/>
      <c r="BJ85" s="19"/>
      <c r="BK85" s="15"/>
    </row>
    <row r="86" spans="1:63" s="16" customFormat="1" ht="15" customHeight="1" x14ac:dyDescent="0.25">
      <c r="A86" s="11"/>
      <c r="B86" s="18"/>
      <c r="C86" s="299" t="s">
        <v>145</v>
      </c>
      <c r="D86" s="44"/>
      <c r="E86" s="4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40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9"/>
      <c r="BI86" s="19"/>
      <c r="BJ86" s="19"/>
      <c r="BK86" s="15"/>
    </row>
    <row r="87" spans="1:63" s="16" customFormat="1" ht="15" customHeight="1" x14ac:dyDescent="0.25">
      <c r="A87" s="11"/>
      <c r="B87" s="18"/>
      <c r="C87" s="299" t="s">
        <v>146</v>
      </c>
      <c r="D87" s="44"/>
      <c r="E87" s="44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40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9"/>
      <c r="BI87" s="19"/>
      <c r="BJ87" s="19"/>
      <c r="BK87" s="15"/>
    </row>
    <row r="88" spans="1:63" s="16" customFormat="1" ht="15" customHeight="1" x14ac:dyDescent="0.25">
      <c r="A88" s="11"/>
      <c r="B88" s="18"/>
      <c r="C88" s="299" t="s">
        <v>147</v>
      </c>
      <c r="D88" s="44"/>
      <c r="E88" s="44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40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9"/>
      <c r="BI88" s="19"/>
      <c r="BJ88" s="19"/>
      <c r="BK88" s="15"/>
    </row>
    <row r="89" spans="1:63" s="16" customFormat="1" ht="15" customHeight="1" x14ac:dyDescent="0.25">
      <c r="A89" s="11"/>
      <c r="B89" s="18"/>
      <c r="C89" s="299" t="s">
        <v>148</v>
      </c>
      <c r="D89" s="44"/>
      <c r="E89" s="44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40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9"/>
      <c r="BI89" s="19"/>
      <c r="BJ89" s="19"/>
      <c r="BK89" s="15"/>
    </row>
    <row r="90" spans="1:63" s="16" customFormat="1" ht="15" customHeight="1" x14ac:dyDescent="0.25">
      <c r="A90" s="11"/>
      <c r="B90" s="18"/>
      <c r="C90" s="299" t="s">
        <v>149</v>
      </c>
      <c r="D90" s="44"/>
      <c r="E90" s="44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40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9"/>
      <c r="BI90" s="19"/>
      <c r="BJ90" s="19"/>
      <c r="BK90" s="15"/>
    </row>
    <row r="91" spans="1:63" s="16" customFormat="1" ht="15" customHeight="1" x14ac:dyDescent="0.25">
      <c r="A91" s="11"/>
      <c r="B91" s="18"/>
      <c r="C91" s="299" t="s">
        <v>150</v>
      </c>
      <c r="D91" s="44"/>
      <c r="E91" s="44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40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9"/>
      <c r="BI91" s="19"/>
      <c r="BJ91" s="19"/>
      <c r="BK91" s="15"/>
    </row>
    <row r="92" spans="1:63" s="16" customFormat="1" ht="15" customHeight="1" x14ac:dyDescent="0.25">
      <c r="A92" s="11"/>
      <c r="B92" s="18"/>
      <c r="C92" s="299" t="s">
        <v>151</v>
      </c>
      <c r="D92" s="44"/>
      <c r="E92" s="44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40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9"/>
      <c r="BI92" s="19"/>
      <c r="BJ92" s="19"/>
      <c r="BK92" s="15"/>
    </row>
    <row r="93" spans="1:63" s="16" customFormat="1" ht="15" customHeight="1" x14ac:dyDescent="0.25">
      <c r="A93" s="11"/>
      <c r="B93" s="18"/>
      <c r="C93" s="299" t="s">
        <v>152</v>
      </c>
      <c r="D93" s="44"/>
      <c r="E93" s="44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40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9"/>
      <c r="BI93" s="19"/>
      <c r="BJ93" s="19"/>
      <c r="BK93" s="15"/>
    </row>
    <row r="94" spans="1:63" s="16" customFormat="1" ht="15" customHeight="1" x14ac:dyDescent="0.25">
      <c r="A94" s="11"/>
      <c r="B94" s="18"/>
      <c r="C94" s="299" t="s">
        <v>153</v>
      </c>
      <c r="D94" s="44"/>
      <c r="E94" s="44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40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9"/>
      <c r="BI94" s="19"/>
      <c r="BJ94" s="19"/>
      <c r="BK94" s="15"/>
    </row>
    <row r="95" spans="1:63" s="16" customFormat="1" ht="15" customHeight="1" x14ac:dyDescent="0.25">
      <c r="A95" s="11"/>
      <c r="B95" s="18"/>
      <c r="C95" s="299" t="s">
        <v>154</v>
      </c>
      <c r="D95" s="44"/>
      <c r="E95" s="44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40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9"/>
      <c r="BI95" s="19"/>
      <c r="BJ95" s="19"/>
      <c r="BK95" s="15"/>
    </row>
    <row r="96" spans="1:63" s="16" customFormat="1" ht="15" customHeight="1" x14ac:dyDescent="0.25">
      <c r="A96" s="11"/>
      <c r="B96" s="18"/>
      <c r="C96" s="299" t="s">
        <v>155</v>
      </c>
      <c r="D96" s="44"/>
      <c r="E96" s="44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40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9"/>
      <c r="BI96" s="19"/>
      <c r="BJ96" s="19"/>
      <c r="BK96" s="15"/>
    </row>
    <row r="97" spans="1:63" s="16" customFormat="1" ht="15" customHeight="1" x14ac:dyDescent="0.25">
      <c r="A97" s="11"/>
      <c r="B97" s="18"/>
      <c r="C97" s="299" t="s">
        <v>156</v>
      </c>
      <c r="D97" s="44"/>
      <c r="E97" s="44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40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9"/>
      <c r="BI97" s="19"/>
      <c r="BJ97" s="19"/>
      <c r="BK97" s="15"/>
    </row>
    <row r="98" spans="1:63" s="16" customFormat="1" ht="15" customHeight="1" x14ac:dyDescent="0.25">
      <c r="A98" s="11"/>
      <c r="B98" s="18"/>
      <c r="C98" s="299" t="s">
        <v>157</v>
      </c>
      <c r="D98" s="44"/>
      <c r="E98" s="44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40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9"/>
      <c r="BI98" s="19"/>
      <c r="BJ98" s="19"/>
      <c r="BK98" s="15"/>
    </row>
    <row r="99" spans="1:63" s="16" customFormat="1" ht="15" customHeight="1" x14ac:dyDescent="0.25">
      <c r="A99" s="11"/>
      <c r="B99" s="18"/>
      <c r="C99" s="301" t="s">
        <v>158</v>
      </c>
      <c r="D99" s="44"/>
      <c r="E99" s="44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40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9"/>
      <c r="BI99" s="19"/>
      <c r="BJ99" s="19"/>
      <c r="BK99" s="15"/>
    </row>
    <row r="100" spans="1:63" s="16" customFormat="1" ht="15" customHeight="1" x14ac:dyDescent="0.25">
      <c r="A100" s="11"/>
      <c r="B100" s="18"/>
      <c r="C100" s="299" t="s">
        <v>159</v>
      </c>
      <c r="D100" s="44"/>
      <c r="E100" s="44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40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9"/>
      <c r="BI100" s="19"/>
      <c r="BJ100" s="19"/>
      <c r="BK100" s="15"/>
    </row>
    <row r="101" spans="1:63" s="16" customFormat="1" ht="15" customHeight="1" x14ac:dyDescent="0.25">
      <c r="A101" s="11"/>
      <c r="B101" s="18"/>
      <c r="C101" s="299" t="s">
        <v>160</v>
      </c>
      <c r="D101" s="44"/>
      <c r="E101" s="44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40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9"/>
      <c r="BI101" s="19"/>
      <c r="BJ101" s="19"/>
      <c r="BK101" s="15"/>
    </row>
    <row r="102" spans="1:63" s="16" customFormat="1" ht="15" customHeight="1" x14ac:dyDescent="0.25">
      <c r="A102" s="11"/>
      <c r="B102" s="18"/>
      <c r="C102" s="299" t="s">
        <v>161</v>
      </c>
      <c r="D102" s="44"/>
      <c r="E102" s="44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40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9"/>
      <c r="BI102" s="19"/>
      <c r="BJ102" s="19"/>
      <c r="BK102" s="15"/>
    </row>
    <row r="103" spans="1:63" s="305" customFormat="1" ht="15" customHeight="1" x14ac:dyDescent="0.25">
      <c r="A103" s="302"/>
      <c r="B103" s="228"/>
      <c r="C103" s="299" t="s">
        <v>162</v>
      </c>
      <c r="D103" s="303"/>
      <c r="E103" s="303"/>
      <c r="F103" s="300"/>
      <c r="G103" s="300"/>
      <c r="H103" s="300"/>
      <c r="I103" s="300"/>
      <c r="J103" s="300"/>
      <c r="K103" s="300"/>
      <c r="L103" s="300"/>
      <c r="M103" s="300"/>
      <c r="N103" s="300"/>
      <c r="O103" s="300"/>
      <c r="P103" s="300"/>
      <c r="Q103" s="300"/>
      <c r="R103" s="300"/>
      <c r="S103" s="300"/>
      <c r="T103" s="300"/>
      <c r="U103" s="300"/>
      <c r="V103" s="300"/>
      <c r="W103" s="300"/>
      <c r="X103" s="300"/>
      <c r="Y103" s="300"/>
      <c r="Z103" s="300"/>
      <c r="AA103" s="300"/>
      <c r="AB103" s="300"/>
      <c r="AC103" s="300"/>
      <c r="AD103" s="300"/>
      <c r="AE103" s="300"/>
      <c r="AF103" s="300"/>
      <c r="AG103" s="300"/>
      <c r="AH103" s="300"/>
      <c r="AI103" s="300"/>
      <c r="AJ103" s="300"/>
      <c r="AK103" s="300"/>
      <c r="AL103" s="300"/>
      <c r="AM103" s="300"/>
      <c r="AN103" s="300"/>
      <c r="AO103" s="300"/>
      <c r="AP103" s="300"/>
      <c r="AQ103" s="300"/>
      <c r="AR103" s="300"/>
      <c r="AS103" s="300"/>
      <c r="AT103" s="300"/>
      <c r="AU103" s="304"/>
      <c r="AV103" s="228"/>
      <c r="AW103" s="228"/>
      <c r="AX103" s="228"/>
      <c r="AY103" s="228"/>
      <c r="AZ103" s="228"/>
      <c r="BA103" s="228"/>
      <c r="BB103" s="228"/>
      <c r="BC103" s="228"/>
      <c r="BD103" s="228"/>
      <c r="BE103" s="228"/>
      <c r="BF103" s="228"/>
      <c r="BG103" s="228"/>
      <c r="BH103" s="226"/>
      <c r="BI103" s="226"/>
      <c r="BJ103" s="226"/>
      <c r="BK103" s="225"/>
    </row>
    <row r="104" spans="1:63" s="305" customFormat="1" ht="15" customHeight="1" x14ac:dyDescent="0.25">
      <c r="A104" s="302"/>
      <c r="B104" s="228"/>
      <c r="C104" s="299" t="s">
        <v>163</v>
      </c>
      <c r="D104" s="303"/>
      <c r="E104" s="303"/>
      <c r="F104" s="300"/>
      <c r="G104" s="300"/>
      <c r="H104" s="300"/>
      <c r="I104" s="300"/>
      <c r="J104" s="300"/>
      <c r="K104" s="300"/>
      <c r="L104" s="300"/>
      <c r="M104" s="300"/>
      <c r="N104" s="300"/>
      <c r="O104" s="300"/>
      <c r="P104" s="300"/>
      <c r="Q104" s="300"/>
      <c r="R104" s="300"/>
      <c r="S104" s="300"/>
      <c r="T104" s="300"/>
      <c r="U104" s="300"/>
      <c r="V104" s="300"/>
      <c r="W104" s="300"/>
      <c r="X104" s="300"/>
      <c r="Y104" s="300"/>
      <c r="Z104" s="300"/>
      <c r="AA104" s="300"/>
      <c r="AB104" s="300"/>
      <c r="AC104" s="300"/>
      <c r="AD104" s="300"/>
      <c r="AE104" s="300"/>
      <c r="AF104" s="300"/>
      <c r="AG104" s="300"/>
      <c r="AH104" s="300"/>
      <c r="AI104" s="300"/>
      <c r="AJ104" s="300"/>
      <c r="AK104" s="300"/>
      <c r="AL104" s="300"/>
      <c r="AM104" s="300"/>
      <c r="AN104" s="300"/>
      <c r="AO104" s="300"/>
      <c r="AP104" s="300"/>
      <c r="AQ104" s="300"/>
      <c r="AR104" s="300"/>
      <c r="AS104" s="300"/>
      <c r="AT104" s="300"/>
      <c r="AU104" s="304"/>
      <c r="AV104" s="228"/>
      <c r="AW104" s="228"/>
      <c r="AX104" s="228"/>
      <c r="AY104" s="228"/>
      <c r="AZ104" s="228"/>
      <c r="BA104" s="228"/>
      <c r="BB104" s="228"/>
      <c r="BC104" s="228"/>
      <c r="BD104" s="228"/>
      <c r="BE104" s="228"/>
      <c r="BF104" s="228"/>
      <c r="BG104" s="228"/>
      <c r="BH104" s="226"/>
      <c r="BI104" s="226"/>
      <c r="BJ104" s="226"/>
      <c r="BK104" s="225"/>
    </row>
    <row r="105" spans="1:63" s="305" customFormat="1" ht="15" customHeight="1" x14ac:dyDescent="0.25">
      <c r="A105" s="302"/>
      <c r="B105" s="228"/>
      <c r="C105" s="299" t="s">
        <v>164</v>
      </c>
      <c r="D105" s="303"/>
      <c r="E105" s="303"/>
      <c r="F105" s="300"/>
      <c r="G105" s="300"/>
      <c r="H105" s="300"/>
      <c r="I105" s="300"/>
      <c r="J105" s="300"/>
      <c r="K105" s="300"/>
      <c r="L105" s="300"/>
      <c r="M105" s="300"/>
      <c r="N105" s="300"/>
      <c r="O105" s="300"/>
      <c r="P105" s="300"/>
      <c r="Q105" s="300"/>
      <c r="R105" s="300"/>
      <c r="S105" s="300"/>
      <c r="T105" s="300"/>
      <c r="U105" s="300"/>
      <c r="V105" s="300"/>
      <c r="W105" s="300"/>
      <c r="X105" s="300"/>
      <c r="Y105" s="300"/>
      <c r="Z105" s="300"/>
      <c r="AA105" s="300"/>
      <c r="AB105" s="300"/>
      <c r="AC105" s="300"/>
      <c r="AD105" s="300"/>
      <c r="AE105" s="300"/>
      <c r="AF105" s="300"/>
      <c r="AG105" s="300"/>
      <c r="AH105" s="300"/>
      <c r="AI105" s="300"/>
      <c r="AJ105" s="300"/>
      <c r="AK105" s="300"/>
      <c r="AL105" s="300"/>
      <c r="AM105" s="300"/>
      <c r="AN105" s="300"/>
      <c r="AO105" s="300"/>
      <c r="AP105" s="300"/>
      <c r="AQ105" s="300"/>
      <c r="AR105" s="300"/>
      <c r="AS105" s="300"/>
      <c r="AT105" s="300"/>
      <c r="AU105" s="304"/>
      <c r="AV105" s="228"/>
      <c r="AW105" s="228"/>
      <c r="AX105" s="228"/>
      <c r="AY105" s="228"/>
      <c r="AZ105" s="228"/>
      <c r="BA105" s="228"/>
      <c r="BB105" s="228"/>
      <c r="BC105" s="228"/>
      <c r="BD105" s="228"/>
      <c r="BE105" s="228"/>
      <c r="BF105" s="228"/>
      <c r="BG105" s="228"/>
      <c r="BH105" s="226"/>
      <c r="BI105" s="226"/>
      <c r="BJ105" s="226"/>
      <c r="BK105" s="225"/>
    </row>
    <row r="106" spans="1:63" s="305" customFormat="1" ht="15" customHeight="1" x14ac:dyDescent="0.25">
      <c r="A106" s="302"/>
      <c r="B106" s="228"/>
      <c r="C106" s="299" t="s">
        <v>165</v>
      </c>
      <c r="D106" s="303"/>
      <c r="E106" s="303"/>
      <c r="F106" s="300"/>
      <c r="G106" s="300"/>
      <c r="H106" s="300"/>
      <c r="I106" s="300"/>
      <c r="J106" s="300"/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300"/>
      <c r="AA106" s="300"/>
      <c r="AB106" s="300"/>
      <c r="AC106" s="300"/>
      <c r="AD106" s="300"/>
      <c r="AE106" s="300"/>
      <c r="AF106" s="300"/>
      <c r="AG106" s="300"/>
      <c r="AH106" s="300"/>
      <c r="AI106" s="300"/>
      <c r="AJ106" s="300"/>
      <c r="AK106" s="300"/>
      <c r="AL106" s="300"/>
      <c r="AM106" s="300"/>
      <c r="AN106" s="300"/>
      <c r="AO106" s="300"/>
      <c r="AP106" s="300"/>
      <c r="AQ106" s="300"/>
      <c r="AR106" s="300"/>
      <c r="AS106" s="300"/>
      <c r="AT106" s="300"/>
      <c r="AU106" s="304"/>
      <c r="AV106" s="228"/>
      <c r="AW106" s="228"/>
      <c r="AX106" s="228"/>
      <c r="AY106" s="228"/>
      <c r="AZ106" s="228"/>
      <c r="BA106" s="228"/>
      <c r="BB106" s="228"/>
      <c r="BC106" s="228"/>
      <c r="BD106" s="228"/>
      <c r="BE106" s="228"/>
      <c r="BF106" s="228"/>
      <c r="BG106" s="228"/>
      <c r="BH106" s="226"/>
      <c r="BI106" s="226"/>
      <c r="BJ106" s="226"/>
      <c r="BK106" s="225"/>
    </row>
    <row r="107" spans="1:63" s="16" customFormat="1" ht="15" customHeight="1" x14ac:dyDescent="0.25">
      <c r="A107" s="11"/>
      <c r="B107" s="18"/>
      <c r="C107" s="306" t="s">
        <v>22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40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9"/>
      <c r="BI107" s="19"/>
      <c r="BJ107" s="19"/>
      <c r="BK107" s="15"/>
    </row>
    <row r="108" spans="1:63" s="16" customFormat="1" ht="15" customHeight="1" x14ac:dyDescent="0.25">
      <c r="A108" s="11"/>
      <c r="B108" s="18"/>
      <c r="C108" s="307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3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9"/>
      <c r="BI108" s="19"/>
      <c r="BJ108" s="19"/>
      <c r="BK108" s="15"/>
    </row>
    <row r="109" spans="1:63" s="16" customFormat="1" ht="15" customHeight="1" x14ac:dyDescent="0.25">
      <c r="A109" s="11"/>
      <c r="B109" s="18"/>
      <c r="C109" s="18"/>
      <c r="D109" s="228"/>
      <c r="E109" s="228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9"/>
      <c r="BI109" s="19"/>
      <c r="BJ109" s="19"/>
      <c r="BK109" s="15"/>
    </row>
    <row r="110" spans="1:63" s="16" customFormat="1" ht="15" customHeight="1" x14ac:dyDescent="0.25">
      <c r="A110" s="11"/>
      <c r="B110" s="18"/>
      <c r="C110" s="17" t="s">
        <v>166</v>
      </c>
      <c r="D110" s="18"/>
      <c r="E110" s="228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9"/>
      <c r="BI110" s="19"/>
      <c r="BJ110" s="19"/>
      <c r="BK110" s="15"/>
    </row>
    <row r="111" spans="1:63" s="16" customFormat="1" ht="15" customHeight="1" x14ac:dyDescent="0.25">
      <c r="A111" s="11"/>
      <c r="B111" s="18"/>
      <c r="C111" s="17"/>
      <c r="D111" s="18"/>
      <c r="E111" s="228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9"/>
      <c r="BI111" s="19"/>
      <c r="BJ111" s="19"/>
      <c r="BK111" s="15"/>
    </row>
    <row r="112" spans="1:63" s="16" customFormat="1" ht="15" customHeight="1" x14ac:dyDescent="0.25">
      <c r="A112" s="11"/>
      <c r="B112" s="18"/>
      <c r="C112" s="17"/>
      <c r="D112" s="18" t="s">
        <v>38</v>
      </c>
      <c r="E112" s="228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9"/>
      <c r="BI112" s="19"/>
      <c r="BJ112" s="19"/>
      <c r="BK112" s="15"/>
    </row>
    <row r="113" spans="1:63" s="31" customFormat="1" ht="15" customHeight="1" x14ac:dyDescent="0.25">
      <c r="A113" s="26"/>
      <c r="B113" s="27"/>
      <c r="C113" s="27"/>
      <c r="D113" s="27"/>
      <c r="E113" s="28"/>
      <c r="F113" s="28"/>
      <c r="G113" s="28"/>
      <c r="H113" s="28"/>
      <c r="I113" s="28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9"/>
      <c r="BI113" s="29"/>
      <c r="BJ113" s="29"/>
      <c r="BK113" s="30"/>
    </row>
  </sheetData>
  <mergeCells count="226">
    <mergeCell ref="AC74:AU74"/>
    <mergeCell ref="C53:D53"/>
    <mergeCell ref="E53:N53"/>
    <mergeCell ref="O53:R53"/>
    <mergeCell ref="S53:AB53"/>
    <mergeCell ref="AC53:AU53"/>
    <mergeCell ref="E58:N58"/>
    <mergeCell ref="C58:D58"/>
    <mergeCell ref="E70:N70"/>
    <mergeCell ref="C54:D54"/>
    <mergeCell ref="E54:N54"/>
    <mergeCell ref="C55:D55"/>
    <mergeCell ref="E55:N55"/>
    <mergeCell ref="O55:R55"/>
    <mergeCell ref="S55:AB55"/>
    <mergeCell ref="AC55:AU55"/>
    <mergeCell ref="C56:D56"/>
    <mergeCell ref="E56:N56"/>
    <mergeCell ref="O56:R56"/>
    <mergeCell ref="S56:AB56"/>
    <mergeCell ref="AC56:AU56"/>
    <mergeCell ref="C57:D57"/>
    <mergeCell ref="E57:N57"/>
    <mergeCell ref="O57:R57"/>
    <mergeCell ref="E74:N74"/>
    <mergeCell ref="C50:D50"/>
    <mergeCell ref="O71:R71"/>
    <mergeCell ref="E71:N71"/>
    <mergeCell ref="S71:AB71"/>
    <mergeCell ref="C74:D74"/>
    <mergeCell ref="C51:D51"/>
    <mergeCell ref="E51:N51"/>
    <mergeCell ref="O51:R51"/>
    <mergeCell ref="S51:AB51"/>
    <mergeCell ref="S57:AB57"/>
    <mergeCell ref="O74:R74"/>
    <mergeCell ref="S74:AB74"/>
    <mergeCell ref="O70:R70"/>
    <mergeCell ref="S73:AB73"/>
    <mergeCell ref="C63:D63"/>
    <mergeCell ref="E63:N63"/>
    <mergeCell ref="O63:R63"/>
    <mergeCell ref="S63:AB63"/>
    <mergeCell ref="C69:D69"/>
    <mergeCell ref="E69:N69"/>
    <mergeCell ref="O69:R69"/>
    <mergeCell ref="S69:AB69"/>
    <mergeCell ref="C65:D65"/>
    <mergeCell ref="C76:D76"/>
    <mergeCell ref="S76:AB76"/>
    <mergeCell ref="AC76:AU76"/>
    <mergeCell ref="S58:AB58"/>
    <mergeCell ref="C52:D52"/>
    <mergeCell ref="E52:N52"/>
    <mergeCell ref="O52:R52"/>
    <mergeCell ref="S52:AB52"/>
    <mergeCell ref="AC52:AU52"/>
    <mergeCell ref="AC71:AU71"/>
    <mergeCell ref="C71:D71"/>
    <mergeCell ref="E76:N76"/>
    <mergeCell ref="O76:R76"/>
    <mergeCell ref="C75:D75"/>
    <mergeCell ref="E75:N75"/>
    <mergeCell ref="O75:R75"/>
    <mergeCell ref="S75:AB75"/>
    <mergeCell ref="AC75:AU75"/>
    <mergeCell ref="C59:D59"/>
    <mergeCell ref="E59:N59"/>
    <mergeCell ref="O59:R59"/>
    <mergeCell ref="C73:D73"/>
    <mergeCell ref="E73:N73"/>
    <mergeCell ref="O73:R73"/>
    <mergeCell ref="O20:R20"/>
    <mergeCell ref="Z24:AP30"/>
    <mergeCell ref="S36:Y36"/>
    <mergeCell ref="E23:K23"/>
    <mergeCell ref="Z32:AP32"/>
    <mergeCell ref="O24:R30"/>
    <mergeCell ref="S31:Y31"/>
    <mergeCell ref="E24:K30"/>
    <mergeCell ref="E31:K31"/>
    <mergeCell ref="O23:R23"/>
    <mergeCell ref="O31:R31"/>
    <mergeCell ref="S23:Y23"/>
    <mergeCell ref="S32:Y32"/>
    <mergeCell ref="AQ32:BJ32"/>
    <mergeCell ref="AQ31:BJ31"/>
    <mergeCell ref="AQ36:BJ36"/>
    <mergeCell ref="S70:AB70"/>
    <mergeCell ref="C37:D37"/>
    <mergeCell ref="E37:K37"/>
    <mergeCell ref="E36:K36"/>
    <mergeCell ref="L36:N36"/>
    <mergeCell ref="Z36:AP36"/>
    <mergeCell ref="O50:R50"/>
    <mergeCell ref="O54:R54"/>
    <mergeCell ref="S54:AB54"/>
    <mergeCell ref="AC54:AU54"/>
    <mergeCell ref="AC58:AU58"/>
    <mergeCell ref="AC70:AU70"/>
    <mergeCell ref="O58:R58"/>
    <mergeCell ref="S59:AB59"/>
    <mergeCell ref="AC59:AU59"/>
    <mergeCell ref="AC51:AU51"/>
    <mergeCell ref="AC57:AU57"/>
    <mergeCell ref="AC60:AU60"/>
    <mergeCell ref="S50:AB50"/>
    <mergeCell ref="AC50:AU50"/>
    <mergeCell ref="E50:N50"/>
    <mergeCell ref="A4:G4"/>
    <mergeCell ref="H4:T4"/>
    <mergeCell ref="U4:Y4"/>
    <mergeCell ref="Z4:AO4"/>
    <mergeCell ref="AP4:BK4"/>
    <mergeCell ref="C15:D15"/>
    <mergeCell ref="C16:D16"/>
    <mergeCell ref="C36:D36"/>
    <mergeCell ref="AQ21:BJ22"/>
    <mergeCell ref="C21:D22"/>
    <mergeCell ref="AQ20:BJ20"/>
    <mergeCell ref="E15:AF15"/>
    <mergeCell ref="AG15:AP15"/>
    <mergeCell ref="AQ15:BJ15"/>
    <mergeCell ref="AQ16:BJ16"/>
    <mergeCell ref="AQ23:BJ23"/>
    <mergeCell ref="AQ24:BJ30"/>
    <mergeCell ref="Z23:AP23"/>
    <mergeCell ref="E20:K20"/>
    <mergeCell ref="AG16:AP16"/>
    <mergeCell ref="L20:N20"/>
    <mergeCell ref="S24:Y30"/>
    <mergeCell ref="L23:N23"/>
    <mergeCell ref="L24:N3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E16:AF16"/>
    <mergeCell ref="C20:D20"/>
    <mergeCell ref="S20:Y20"/>
    <mergeCell ref="Z20:AP20"/>
    <mergeCell ref="Z21:AP22"/>
    <mergeCell ref="S21:Y22"/>
    <mergeCell ref="C23:D23"/>
    <mergeCell ref="Z37:AP37"/>
    <mergeCell ref="AQ37:BJ37"/>
    <mergeCell ref="L37:N37"/>
    <mergeCell ref="O37:R37"/>
    <mergeCell ref="S37:Y37"/>
    <mergeCell ref="O36:R36"/>
    <mergeCell ref="Z31:AP31"/>
    <mergeCell ref="C32:D32"/>
    <mergeCell ref="E32:K32"/>
    <mergeCell ref="L32:N32"/>
    <mergeCell ref="C31:D31"/>
    <mergeCell ref="L31:N31"/>
    <mergeCell ref="C24:D30"/>
    <mergeCell ref="O21:R22"/>
    <mergeCell ref="L21:N22"/>
    <mergeCell ref="E21:K22"/>
    <mergeCell ref="O32:R32"/>
    <mergeCell ref="AC73:AU73"/>
    <mergeCell ref="C70:D70"/>
    <mergeCell ref="C72:D72"/>
    <mergeCell ref="E72:N72"/>
    <mergeCell ref="O72:R72"/>
    <mergeCell ref="S72:AB72"/>
    <mergeCell ref="AC72:AU72"/>
    <mergeCell ref="C38:D38"/>
    <mergeCell ref="E38:K38"/>
    <mergeCell ref="L38:N38"/>
    <mergeCell ref="O38:R38"/>
    <mergeCell ref="S38:Y38"/>
    <mergeCell ref="Z38:AP38"/>
    <mergeCell ref="AQ38:BJ38"/>
    <mergeCell ref="AC63:AU63"/>
    <mergeCell ref="C64:D64"/>
    <mergeCell ref="E64:N64"/>
    <mergeCell ref="O64:R64"/>
    <mergeCell ref="S64:AB64"/>
    <mergeCell ref="AC64:AU64"/>
    <mergeCell ref="C60:D60"/>
    <mergeCell ref="E60:N60"/>
    <mergeCell ref="O60:R60"/>
    <mergeCell ref="S60:AB60"/>
    <mergeCell ref="AC69:AU69"/>
    <mergeCell ref="C67:D67"/>
    <mergeCell ref="E67:N67"/>
    <mergeCell ref="O67:R67"/>
    <mergeCell ref="S67:AB67"/>
    <mergeCell ref="AC67:AU67"/>
    <mergeCell ref="C68:D68"/>
    <mergeCell ref="E68:N68"/>
    <mergeCell ref="O68:R68"/>
    <mergeCell ref="S68:AB68"/>
    <mergeCell ref="AC68:AU68"/>
    <mergeCell ref="C61:D61"/>
    <mergeCell ref="E61:N61"/>
    <mergeCell ref="O61:R61"/>
    <mergeCell ref="S61:AB61"/>
    <mergeCell ref="AC61:AU61"/>
    <mergeCell ref="C62:D62"/>
    <mergeCell ref="E62:N62"/>
    <mergeCell ref="O62:R62"/>
    <mergeCell ref="S62:AB62"/>
    <mergeCell ref="AC62:AU62"/>
    <mergeCell ref="E65:N65"/>
    <mergeCell ref="O65:R65"/>
    <mergeCell ref="S65:AB65"/>
    <mergeCell ref="AC65:AU65"/>
    <mergeCell ref="C66:D66"/>
    <mergeCell ref="E66:N66"/>
    <mergeCell ref="O66:R66"/>
    <mergeCell ref="S66:AB66"/>
    <mergeCell ref="AC66:AU66"/>
  </mergeCells>
  <pageMargins left="0.7" right="0.7" top="0.75" bottom="0.75" header="0.3" footer="0.3"/>
  <pageSetup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3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08" t="s">
        <v>103</v>
      </c>
      <c r="B1" s="209"/>
      <c r="C1" s="209"/>
      <c r="D1" s="209"/>
      <c r="E1" s="209"/>
      <c r="F1" s="209"/>
      <c r="G1" s="209"/>
      <c r="H1" s="209"/>
      <c r="I1" s="209"/>
      <c r="J1" s="210"/>
      <c r="K1" s="208" t="s">
        <v>104</v>
      </c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10"/>
      <c r="W1" s="211" t="str">
        <f>IF(表紙!W1="","",表紙!W1)</f>
        <v>詳細設計書</v>
      </c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3"/>
      <c r="AP1" s="121" t="s">
        <v>106</v>
      </c>
      <c r="AQ1" s="122"/>
      <c r="AR1" s="122"/>
      <c r="AS1" s="123"/>
      <c r="AT1" s="121" t="s">
        <v>107</v>
      </c>
      <c r="AU1" s="122"/>
      <c r="AV1" s="122"/>
      <c r="AW1" s="122"/>
      <c r="AX1" s="123"/>
      <c r="AY1" s="121" t="s">
        <v>108</v>
      </c>
      <c r="AZ1" s="122"/>
      <c r="BA1" s="122"/>
      <c r="BB1" s="123"/>
      <c r="BC1" s="121" t="s">
        <v>109</v>
      </c>
      <c r="BD1" s="122"/>
      <c r="BE1" s="122"/>
      <c r="BF1" s="122"/>
      <c r="BG1" s="123"/>
      <c r="BH1" s="121" t="s">
        <v>110</v>
      </c>
      <c r="BI1" s="122"/>
      <c r="BJ1" s="122"/>
      <c r="BK1" s="123"/>
    </row>
    <row r="2" spans="1:63" ht="15" customHeight="1" x14ac:dyDescent="0.25">
      <c r="A2" s="68" t="str">
        <f>IF(表紙!A2="","",表紙!A2)</f>
        <v>POSサーバー</v>
      </c>
      <c r="B2" s="69"/>
      <c r="C2" s="69"/>
      <c r="D2" s="69"/>
      <c r="E2" s="69"/>
      <c r="F2" s="69"/>
      <c r="G2" s="69"/>
      <c r="H2" s="69"/>
      <c r="I2" s="69"/>
      <c r="J2" s="70"/>
      <c r="K2" s="68" t="str">
        <f>IF(表紙!K2="","",表紙!K2)</f>
        <v>POSサーバ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214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6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3"/>
      <c r="K3" s="71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217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9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208" t="s">
        <v>112</v>
      </c>
      <c r="B4" s="209"/>
      <c r="C4" s="209"/>
      <c r="D4" s="209"/>
      <c r="E4" s="209"/>
      <c r="F4" s="209"/>
      <c r="G4" s="210"/>
      <c r="H4" s="74" t="str">
        <f>IF(表紙!H4="","",表紙!H4)</f>
        <v>AP0802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6"/>
      <c r="U4" s="208" t="s">
        <v>113</v>
      </c>
      <c r="V4" s="209"/>
      <c r="W4" s="209"/>
      <c r="X4" s="209"/>
      <c r="Y4" s="210"/>
      <c r="Z4" s="74" t="str">
        <f>IF(表紙!Z4="","",表紙!Z4)</f>
        <v>API設計書</v>
      </c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6"/>
      <c r="AP4" s="77" t="str">
        <f ca="1">MID(CELL("filename",A1),FIND("]",CELL("filename",A1))+1,255)</f>
        <v>処理フロー</v>
      </c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6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26" customFormat="1" ht="15" customHeight="1" x14ac:dyDescent="0.25">
      <c r="B7" s="32"/>
      <c r="C7" s="19"/>
      <c r="D7" s="19"/>
      <c r="E7" s="19"/>
      <c r="F7" s="19"/>
      <c r="G7" s="19"/>
      <c r="AI7" s="308"/>
      <c r="BJ7" s="308"/>
      <c r="BK7" s="225"/>
    </row>
    <row r="8" spans="1:63" s="226" customFormat="1" ht="15" customHeight="1" x14ac:dyDescent="0.25">
      <c r="B8" s="32"/>
      <c r="C8" s="19"/>
      <c r="D8" s="19"/>
      <c r="E8" s="19"/>
      <c r="F8" s="19"/>
      <c r="G8" s="19"/>
      <c r="AI8" s="308"/>
      <c r="BJ8" s="308"/>
      <c r="BK8" s="225"/>
    </row>
    <row r="9" spans="1:63" s="226" customFormat="1" ht="15" customHeight="1" x14ac:dyDescent="0.25">
      <c r="B9" s="32"/>
      <c r="C9" s="19"/>
      <c r="D9" s="19"/>
      <c r="E9" s="19"/>
      <c r="F9" s="19"/>
      <c r="G9" s="19"/>
      <c r="AI9" s="308"/>
      <c r="BJ9" s="308"/>
      <c r="BK9" s="225"/>
    </row>
    <row r="10" spans="1:63" s="226" customFormat="1" ht="15" customHeight="1" x14ac:dyDescent="0.25">
      <c r="B10" s="32"/>
      <c r="C10" s="19"/>
      <c r="D10" s="19"/>
      <c r="E10" s="19"/>
      <c r="F10" s="19"/>
      <c r="G10" s="19"/>
      <c r="AI10" s="308"/>
      <c r="BJ10" s="308"/>
      <c r="BK10" s="225"/>
    </row>
    <row r="11" spans="1:63" s="226" customFormat="1" ht="15" customHeight="1" x14ac:dyDescent="0.25">
      <c r="B11" s="309"/>
      <c r="AI11" s="308"/>
      <c r="BJ11" s="308"/>
      <c r="BK11" s="225"/>
    </row>
    <row r="12" spans="1:63" s="226" customFormat="1" ht="15" customHeight="1" x14ac:dyDescent="0.25">
      <c r="B12" s="309"/>
      <c r="AI12" s="308"/>
      <c r="BJ12" s="308"/>
      <c r="BK12" s="225"/>
    </row>
    <row r="13" spans="1:63" s="226" customFormat="1" ht="15" customHeight="1" x14ac:dyDescent="0.25">
      <c r="B13" s="309"/>
      <c r="AI13" s="308"/>
      <c r="BJ13" s="308"/>
      <c r="BK13" s="225"/>
    </row>
    <row r="14" spans="1:63" s="226" customFormat="1" ht="15" customHeight="1" x14ac:dyDescent="0.25">
      <c r="B14" s="309"/>
      <c r="AI14" s="308"/>
      <c r="BJ14" s="308"/>
      <c r="BK14" s="225"/>
    </row>
    <row r="15" spans="1:63" s="226" customFormat="1" ht="15" customHeight="1" x14ac:dyDescent="0.25">
      <c r="B15" s="309"/>
      <c r="AI15" s="308"/>
      <c r="BJ15" s="308"/>
      <c r="BK15" s="225"/>
    </row>
    <row r="16" spans="1:63" s="226" customFormat="1" ht="15" customHeight="1" x14ac:dyDescent="0.25">
      <c r="B16" s="309"/>
      <c r="AI16" s="308"/>
      <c r="BJ16" s="308"/>
      <c r="BK16" s="225"/>
    </row>
    <row r="17" spans="2:63" s="226" customFormat="1" ht="15" customHeight="1" x14ac:dyDescent="0.25">
      <c r="B17" s="309"/>
      <c r="AI17" s="308"/>
      <c r="BJ17" s="308"/>
      <c r="BK17" s="225"/>
    </row>
    <row r="18" spans="2:63" s="226" customFormat="1" ht="15" customHeight="1" x14ac:dyDescent="0.25">
      <c r="B18" s="309"/>
      <c r="AI18" s="308"/>
      <c r="BJ18" s="308"/>
      <c r="BK18" s="225"/>
    </row>
    <row r="19" spans="2:63" s="226" customFormat="1" ht="15" customHeight="1" x14ac:dyDescent="0.25">
      <c r="B19" s="309"/>
      <c r="AI19" s="308"/>
      <c r="BJ19" s="308"/>
      <c r="BK19" s="225"/>
    </row>
    <row r="20" spans="2:63" s="226" customFormat="1" ht="15" customHeight="1" x14ac:dyDescent="0.25">
      <c r="B20" s="309"/>
      <c r="AI20" s="308"/>
      <c r="BJ20" s="308"/>
      <c r="BK20" s="225"/>
    </row>
    <row r="21" spans="2:63" s="226" customFormat="1" ht="15" customHeight="1" x14ac:dyDescent="0.25">
      <c r="B21" s="309"/>
      <c r="AI21" s="308"/>
      <c r="BJ21" s="308"/>
      <c r="BK21" s="225"/>
    </row>
    <row r="22" spans="2:63" s="226" customFormat="1" ht="15" customHeight="1" x14ac:dyDescent="0.25">
      <c r="B22" s="309"/>
      <c r="AI22" s="308"/>
      <c r="BJ22" s="308"/>
      <c r="BK22" s="225"/>
    </row>
    <row r="23" spans="2:63" s="226" customFormat="1" ht="15" customHeight="1" x14ac:dyDescent="0.25">
      <c r="B23" s="309"/>
      <c r="AI23" s="308"/>
      <c r="BJ23" s="308"/>
      <c r="BK23" s="225"/>
    </row>
    <row r="24" spans="2:63" s="226" customFormat="1" ht="15" customHeight="1" x14ac:dyDescent="0.25">
      <c r="B24" s="309"/>
      <c r="AI24" s="308"/>
      <c r="BJ24" s="308"/>
      <c r="BK24" s="225"/>
    </row>
    <row r="25" spans="2:63" s="226" customFormat="1" ht="15" customHeight="1" x14ac:dyDescent="0.25">
      <c r="B25" s="309"/>
      <c r="AI25" s="308"/>
      <c r="BJ25" s="308"/>
      <c r="BK25" s="225"/>
    </row>
    <row r="26" spans="2:63" s="226" customFormat="1" ht="15" customHeight="1" x14ac:dyDescent="0.25">
      <c r="B26" s="309"/>
      <c r="AI26" s="308"/>
      <c r="BJ26" s="308"/>
      <c r="BK26" s="225"/>
    </row>
    <row r="27" spans="2:63" s="226" customFormat="1" ht="15" customHeight="1" x14ac:dyDescent="0.25">
      <c r="B27" s="309"/>
      <c r="AI27" s="308"/>
      <c r="BJ27" s="308"/>
      <c r="BK27" s="225"/>
    </row>
    <row r="28" spans="2:63" s="226" customFormat="1" ht="15" customHeight="1" x14ac:dyDescent="0.25">
      <c r="B28" s="309"/>
      <c r="AI28" s="308"/>
      <c r="BJ28" s="308"/>
      <c r="BK28" s="225"/>
    </row>
    <row r="29" spans="2:63" s="226" customFormat="1" ht="15" customHeight="1" x14ac:dyDescent="0.25">
      <c r="B29" s="309"/>
      <c r="AI29" s="308"/>
      <c r="BJ29" s="308"/>
      <c r="BK29" s="225"/>
    </row>
    <row r="30" spans="2:63" s="226" customFormat="1" ht="15" customHeight="1" x14ac:dyDescent="0.25">
      <c r="B30" s="309"/>
      <c r="AI30" s="308"/>
      <c r="BJ30" s="308"/>
      <c r="BK30" s="225"/>
    </row>
    <row r="31" spans="2:63" s="226" customFormat="1" ht="15" customHeight="1" x14ac:dyDescent="0.25">
      <c r="B31" s="309"/>
      <c r="AI31" s="308"/>
      <c r="BJ31" s="308"/>
      <c r="BK31" s="225"/>
    </row>
    <row r="32" spans="2:63" s="226" customFormat="1" ht="15" customHeight="1" x14ac:dyDescent="0.25">
      <c r="B32" s="309"/>
      <c r="AI32" s="308"/>
      <c r="BJ32" s="308"/>
      <c r="BK32" s="225"/>
    </row>
    <row r="33" spans="1:63" s="226" customFormat="1" ht="15" customHeight="1" x14ac:dyDescent="0.25">
      <c r="B33" s="309"/>
      <c r="AI33" s="308"/>
      <c r="BJ33" s="308"/>
      <c r="BK33" s="225"/>
    </row>
    <row r="34" spans="1:63" s="226" customFormat="1" ht="15" customHeight="1" x14ac:dyDescent="0.25">
      <c r="B34" s="309"/>
      <c r="AI34" s="308"/>
      <c r="BJ34" s="308"/>
      <c r="BK34" s="225"/>
    </row>
    <row r="35" spans="1:63" s="226" customFormat="1" ht="15" customHeight="1" x14ac:dyDescent="0.25">
      <c r="B35" s="309"/>
      <c r="AI35" s="308"/>
      <c r="BJ35" s="308"/>
      <c r="BK35" s="225"/>
    </row>
    <row r="36" spans="1:63" s="226" customFormat="1" ht="15" customHeight="1" x14ac:dyDescent="0.25">
      <c r="B36" s="309"/>
      <c r="AI36" s="308"/>
      <c r="BJ36" s="308"/>
      <c r="BK36" s="225"/>
    </row>
    <row r="37" spans="1:63" ht="15" customHeight="1" x14ac:dyDescent="0.25">
      <c r="A37" s="3"/>
      <c r="B37" s="9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10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10"/>
      <c r="BK37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08" t="s">
        <v>103</v>
      </c>
      <c r="B1" s="209"/>
      <c r="C1" s="209"/>
      <c r="D1" s="209"/>
      <c r="E1" s="209"/>
      <c r="F1" s="209"/>
      <c r="G1" s="209"/>
      <c r="H1" s="209"/>
      <c r="I1" s="209"/>
      <c r="J1" s="210"/>
      <c r="K1" s="208" t="s">
        <v>104</v>
      </c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10"/>
      <c r="W1" s="211" t="str">
        <f>IF(表紙!W1="","",表紙!W1)</f>
        <v>詳細設計書</v>
      </c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3"/>
      <c r="AP1" s="121" t="s">
        <v>106</v>
      </c>
      <c r="AQ1" s="122"/>
      <c r="AR1" s="122"/>
      <c r="AS1" s="123"/>
      <c r="AT1" s="121" t="s">
        <v>107</v>
      </c>
      <c r="AU1" s="122"/>
      <c r="AV1" s="122"/>
      <c r="AW1" s="122"/>
      <c r="AX1" s="123"/>
      <c r="AY1" s="121" t="s">
        <v>108</v>
      </c>
      <c r="AZ1" s="122"/>
      <c r="BA1" s="122"/>
      <c r="BB1" s="123"/>
      <c r="BC1" s="121" t="s">
        <v>109</v>
      </c>
      <c r="BD1" s="122"/>
      <c r="BE1" s="122"/>
      <c r="BF1" s="122"/>
      <c r="BG1" s="123"/>
      <c r="BH1" s="121" t="s">
        <v>110</v>
      </c>
      <c r="BI1" s="122"/>
      <c r="BJ1" s="122"/>
      <c r="BK1" s="123"/>
    </row>
    <row r="2" spans="1:63" ht="15" customHeight="1" x14ac:dyDescent="0.25">
      <c r="A2" s="68" t="str">
        <f>IF(表紙!A2="","",表紙!A2)</f>
        <v>POSサーバー</v>
      </c>
      <c r="B2" s="69"/>
      <c r="C2" s="69"/>
      <c r="D2" s="69"/>
      <c r="E2" s="69"/>
      <c r="F2" s="69"/>
      <c r="G2" s="69"/>
      <c r="H2" s="69"/>
      <c r="I2" s="69"/>
      <c r="J2" s="70"/>
      <c r="K2" s="68" t="str">
        <f>IF(表紙!K2="","",表紙!K2)</f>
        <v>POSサーバ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214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6"/>
      <c r="AP2" s="130" t="str">
        <f>IF(表紙!AP2="","",表紙!AP2)</f>
        <v>TuyenNH</v>
      </c>
      <c r="AQ2" s="128"/>
      <c r="AR2" s="128"/>
      <c r="AS2" s="129"/>
      <c r="AT2" s="134">
        <f>IF(表紙!AT2="","",表紙!AT2)</f>
        <v>45642</v>
      </c>
      <c r="AU2" s="135"/>
      <c r="AV2" s="135"/>
      <c r="AW2" s="135"/>
      <c r="AX2" s="136"/>
      <c r="AY2" s="130" t="str">
        <f>IF(表紙!AY2="","",表紙!AY2)</f>
        <v>TuyenNH</v>
      </c>
      <c r="AZ2" s="128"/>
      <c r="BA2" s="128"/>
      <c r="BB2" s="129"/>
      <c r="BC2" s="134">
        <f>IF(表紙!BC2="","",表紙!BC2)</f>
        <v>45642</v>
      </c>
      <c r="BD2" s="135"/>
      <c r="BE2" s="135"/>
      <c r="BF2" s="135"/>
      <c r="BG2" s="136"/>
      <c r="BH2" s="130">
        <f>IF(表紙!BH2="","",表紙!BH2)</f>
        <v>0.1</v>
      </c>
      <c r="BI2" s="128"/>
      <c r="BJ2" s="128"/>
      <c r="BK2" s="129"/>
    </row>
    <row r="3" spans="1:63" ht="1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3"/>
      <c r="K3" s="71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217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9"/>
      <c r="AP3" s="140"/>
      <c r="AQ3" s="141"/>
      <c r="AR3" s="141"/>
      <c r="AS3" s="142"/>
      <c r="AT3" s="146"/>
      <c r="AU3" s="147"/>
      <c r="AV3" s="147"/>
      <c r="AW3" s="147"/>
      <c r="AX3" s="148"/>
      <c r="AY3" s="140"/>
      <c r="AZ3" s="141"/>
      <c r="BA3" s="141"/>
      <c r="BB3" s="142"/>
      <c r="BC3" s="146"/>
      <c r="BD3" s="147"/>
      <c r="BE3" s="147"/>
      <c r="BF3" s="147"/>
      <c r="BG3" s="148"/>
      <c r="BH3" s="140"/>
      <c r="BI3" s="141"/>
      <c r="BJ3" s="141"/>
      <c r="BK3" s="142"/>
    </row>
    <row r="4" spans="1:63" ht="24.95" customHeight="1" x14ac:dyDescent="0.25">
      <c r="A4" s="208" t="s">
        <v>112</v>
      </c>
      <c r="B4" s="209"/>
      <c r="C4" s="209"/>
      <c r="D4" s="209"/>
      <c r="E4" s="209"/>
      <c r="F4" s="209"/>
      <c r="G4" s="210"/>
      <c r="H4" s="74" t="str">
        <f>IF(表紙!H4="","",表紙!H4)</f>
        <v>AP0802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6"/>
      <c r="U4" s="208" t="s">
        <v>113</v>
      </c>
      <c r="V4" s="209"/>
      <c r="W4" s="209"/>
      <c r="X4" s="209"/>
      <c r="Y4" s="210"/>
      <c r="Z4" s="74" t="str">
        <f>IF(表紙!Z4="","",表紙!Z4)</f>
        <v>API設計書</v>
      </c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6"/>
      <c r="AP4" s="77" t="str">
        <f ca="1">MID(CELL("filename",A1),FIND("]",CELL("filename",A1))+1,255)</f>
        <v>テンプレート</v>
      </c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6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26" customFormat="1" ht="15" customHeight="1" x14ac:dyDescent="0.25">
      <c r="BK7" s="225"/>
    </row>
    <row r="8" spans="1:63" s="226" customFormat="1" ht="15" customHeight="1" x14ac:dyDescent="0.25">
      <c r="BK8" s="225"/>
    </row>
    <row r="9" spans="1:63" s="226" customFormat="1" ht="15" customHeight="1" x14ac:dyDescent="0.25">
      <c r="BK9" s="225"/>
    </row>
    <row r="10" spans="1:63" s="226" customFormat="1" ht="15" customHeight="1" x14ac:dyDescent="0.25">
      <c r="BK10" s="225"/>
    </row>
    <row r="11" spans="1:63" s="226" customFormat="1" ht="15" customHeight="1" x14ac:dyDescent="0.25">
      <c r="BK11" s="225"/>
    </row>
    <row r="12" spans="1:63" s="226" customFormat="1" ht="15" customHeight="1" x14ac:dyDescent="0.25">
      <c r="BK12" s="225"/>
    </row>
    <row r="13" spans="1:63" s="226" customFormat="1" ht="15" customHeight="1" x14ac:dyDescent="0.25">
      <c r="BK13" s="225"/>
    </row>
    <row r="14" spans="1:63" s="226" customFormat="1" ht="15" customHeight="1" x14ac:dyDescent="0.25">
      <c r="BK14" s="225"/>
    </row>
    <row r="15" spans="1:63" s="226" customFormat="1" ht="15" customHeight="1" x14ac:dyDescent="0.25">
      <c r="BK15" s="225"/>
    </row>
    <row r="16" spans="1:63" s="226" customFormat="1" ht="15" customHeight="1" x14ac:dyDescent="0.25">
      <c r="BK16" s="225"/>
    </row>
    <row r="17" spans="63:63" s="226" customFormat="1" ht="15" customHeight="1" x14ac:dyDescent="0.25">
      <c r="BK17" s="225"/>
    </row>
    <row r="18" spans="63:63" s="226" customFormat="1" ht="15" customHeight="1" x14ac:dyDescent="0.25">
      <c r="BK18" s="225"/>
    </row>
    <row r="19" spans="63:63" s="226" customFormat="1" ht="15" customHeight="1" x14ac:dyDescent="0.25">
      <c r="BK19" s="225"/>
    </row>
    <row r="20" spans="63:63" s="226" customFormat="1" ht="15" customHeight="1" x14ac:dyDescent="0.25">
      <c r="BK20" s="225"/>
    </row>
    <row r="21" spans="63:63" s="226" customFormat="1" ht="15" customHeight="1" x14ac:dyDescent="0.25">
      <c r="BK21" s="225"/>
    </row>
    <row r="22" spans="63:63" s="226" customFormat="1" ht="15" customHeight="1" x14ac:dyDescent="0.25">
      <c r="BK22" s="225"/>
    </row>
    <row r="23" spans="63:63" s="226" customFormat="1" ht="15" customHeight="1" x14ac:dyDescent="0.25">
      <c r="BK23" s="225"/>
    </row>
    <row r="24" spans="63:63" s="226" customFormat="1" ht="15" customHeight="1" x14ac:dyDescent="0.25">
      <c r="BK24" s="225"/>
    </row>
    <row r="25" spans="63:63" s="226" customFormat="1" ht="15" customHeight="1" x14ac:dyDescent="0.25">
      <c r="BK25" s="225"/>
    </row>
    <row r="26" spans="63:63" s="226" customFormat="1" ht="15" customHeight="1" x14ac:dyDescent="0.25">
      <c r="BK26" s="225"/>
    </row>
    <row r="27" spans="63:63" s="226" customFormat="1" ht="15" customHeight="1" x14ac:dyDescent="0.25">
      <c r="BK27" s="225"/>
    </row>
    <row r="28" spans="63:63" s="226" customFormat="1" ht="15" customHeight="1" x14ac:dyDescent="0.25">
      <c r="BK28" s="225"/>
    </row>
    <row r="29" spans="63:63" s="226" customFormat="1" ht="15" customHeight="1" x14ac:dyDescent="0.25">
      <c r="BK29" s="225"/>
    </row>
    <row r="30" spans="63:63" s="226" customFormat="1" ht="15" customHeight="1" x14ac:dyDescent="0.25">
      <c r="BK30" s="225"/>
    </row>
    <row r="31" spans="63:63" s="226" customFormat="1" ht="15" customHeight="1" x14ac:dyDescent="0.25">
      <c r="BK31" s="225"/>
    </row>
    <row r="32" spans="63:63" s="226" customFormat="1" ht="15" customHeight="1" x14ac:dyDescent="0.25">
      <c r="BK32" s="225"/>
    </row>
    <row r="33" spans="63:63" s="226" customFormat="1" ht="15" customHeight="1" x14ac:dyDescent="0.25">
      <c r="BK33" s="225"/>
    </row>
    <row r="34" spans="63:63" s="226" customFormat="1" ht="15" customHeight="1" x14ac:dyDescent="0.25">
      <c r="BK34" s="225"/>
    </row>
    <row r="35" spans="63:63" s="226" customFormat="1" ht="15" customHeight="1" x14ac:dyDescent="0.25">
      <c r="BK35" s="225"/>
    </row>
    <row r="36" spans="63:63" s="226" customFormat="1" ht="15" customHeight="1" x14ac:dyDescent="0.25">
      <c r="BK36" s="225"/>
    </row>
    <row r="37" spans="63:63" s="226" customFormat="1" ht="15" customHeight="1" x14ac:dyDescent="0.25">
      <c r="BK37" s="225"/>
    </row>
    <row r="38" spans="63:63" s="226" customFormat="1" ht="15" customHeight="1" x14ac:dyDescent="0.25">
      <c r="BK38" s="225"/>
    </row>
    <row r="39" spans="63:63" s="226" customFormat="1" ht="15" customHeight="1" x14ac:dyDescent="0.25">
      <c r="BK39" s="225"/>
    </row>
    <row r="40" spans="63:63" s="226" customFormat="1" ht="15" customHeight="1" x14ac:dyDescent="0.25">
      <c r="BK40" s="225"/>
    </row>
    <row r="41" spans="63:63" s="226" customFormat="1" ht="15" customHeight="1" x14ac:dyDescent="0.25">
      <c r="BK41" s="225"/>
    </row>
    <row r="42" spans="63:63" s="226" customFormat="1" ht="15" customHeight="1" x14ac:dyDescent="0.25">
      <c r="BK42" s="225"/>
    </row>
    <row r="43" spans="63:63" s="226" customFormat="1" ht="15" customHeight="1" x14ac:dyDescent="0.25">
      <c r="BK43" s="225"/>
    </row>
    <row r="44" spans="63:63" s="226" customFormat="1" ht="15" customHeight="1" x14ac:dyDescent="0.25">
      <c r="BK44" s="225"/>
    </row>
    <row r="45" spans="63:63" s="226" customFormat="1" ht="15" customHeight="1" x14ac:dyDescent="0.25">
      <c r="BK45" s="225"/>
    </row>
    <row r="46" spans="63:63" s="226" customFormat="1" ht="15" customHeight="1" x14ac:dyDescent="0.25">
      <c r="BK46" s="225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B1B50F-151A-4E12-8CDC-7E8F0C146531}"/>
</file>

<file path=customXml/itemProps2.xml><?xml version="1.0" encoding="utf-8"?>
<ds:datastoreItem xmlns:ds="http://schemas.openxmlformats.org/officeDocument/2006/customXml" ds:itemID="{5ABF9DC7-A8FF-4597-BB92-EA4600EF23F0}"/>
</file>

<file path=customXml/itemProps3.xml><?xml version="1.0" encoding="utf-8"?>
<ds:datastoreItem xmlns:ds="http://schemas.openxmlformats.org/officeDocument/2006/customXml" ds:itemID="{0D0BE991-AF7F-4A49-B01B-D4E7D603CA3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AP0802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2024-12-26T04:36:40Z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