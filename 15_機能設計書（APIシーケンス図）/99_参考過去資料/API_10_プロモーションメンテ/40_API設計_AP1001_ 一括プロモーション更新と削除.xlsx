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os system\40_API設計\API_10_プロモーションメンテ\"/>
    </mc:Choice>
  </mc:AlternateContent>
  <xr:revisionPtr revIDLastSave="0" documentId="13_ncr:1_{3C86DC6F-AFB3-4366-A07B-216A683F82C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001" sheetId="8" r:id="rId4"/>
    <sheet name="処理フロー" sheetId="9" r:id="rId5"/>
    <sheet name="テンプレート" sheetId="7" r:id="rId6"/>
  </sheets>
  <definedNames>
    <definedName name="_xlnm.Print_Area" localSheetId="3">'AP1001'!$A$1:$BK$72</definedName>
    <definedName name="_xlnm.Print_Area" localSheetId="5">テンプレート!$A$1:$BK$54</definedName>
    <definedName name="_xlnm.Print_Area" localSheetId="4">処理フロー!$A$1:$BK$83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<sst xmlns="http://schemas.openxmlformats.org/spreadsheetml/2006/main" count="211" uniqueCount="103">
  <si>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</si>
  <si>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</si>
  <si>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</si>
  <si>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</si>
  <si>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</si>
  <si>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</si>
  <si>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</si>
  <si>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</si>
  <si>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</si>
  <si>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</si>
  <si>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</si>
  <si>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</si>
  <si>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</si>
  <si>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</si>
  <si>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</si>
  <si>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</si>
  <si>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</si>
  <si>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</si>
  <si>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</si>
  <si>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</si>
  <si>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</si>
  <si>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</si>
  <si>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</si>
  <si>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promotions</t>
    </r>
  </si>
  <si>
    <r>
      <rPr>
        <sz val="11"/>
        <color rgb="FF000000"/>
        <rFont val="Meiryo UI"/>
        <family val="2"/>
      </rPr>
      <t>Array</t>
    </r>
  </si>
  <si>
    <r>
      <rPr>
        <sz val="11"/>
        <color rgb="FF000000"/>
        <rFont val="Meiryo UI"/>
        <family val="2"/>
      </rPr>
      <t>なし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</si>
  <si>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</si>
  <si>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</si>
  <si>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</si>
  <si>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start_time</t>
    </r>
  </si>
  <si>
    <r>
      <rPr>
        <sz val="11"/>
        <color rgb="FF000000"/>
        <rFont val="Meiryo UI"/>
        <family val="2"/>
      </rPr>
      <t>end_time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</si>
  <si>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</si>
  <si>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</si>
  <si>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promotion_master.store_code</t>
    </r>
  </si>
  <si>
    <r>
      <rPr>
        <sz val="11"/>
        <color rgb="FF000000"/>
        <rFont val="Meiryo UI"/>
        <family val="2"/>
      </rPr>
      <t>promotion_master.code</t>
    </r>
  </si>
  <si>
    <r>
      <rPr>
        <sz val="11"/>
        <color rgb="FF000000"/>
        <rFont val="Meiryo UI"/>
        <family val="2"/>
      </rPr>
      <t>promotion_master.name</t>
    </r>
  </si>
  <si>
    <r>
      <rPr>
        <sz val="11"/>
        <color rgb="FF000000"/>
        <rFont val="Meiryo UI"/>
        <family val="2"/>
      </rPr>
      <t>promotion_master.start_date_time</t>
    </r>
  </si>
  <si>
    <r>
      <rPr>
        <sz val="11"/>
        <color rgb="FF000000"/>
        <rFont val="Meiryo UI"/>
        <family val="2"/>
      </rPr>
      <t>promotion_master.end_date_time</t>
    </r>
  </si>
  <si>
    <r>
      <rPr>
        <sz val="11"/>
        <color rgb="FF000000"/>
        <rFont val="Meiryo UI"/>
        <family val="2"/>
      </rPr>
      <t>promotion_master.start_time</t>
    </r>
  </si>
  <si>
    <r>
      <rPr>
        <sz val="11"/>
        <color rgb="FF000000"/>
        <rFont val="Meiryo UI"/>
        <family val="2"/>
      </rPr>
      <t>promotion_master.end_time</t>
    </r>
  </si>
  <si>
    <t>{</t>
  </si>
  <si>
    <t>}</t>
  </si>
  <si>
    <r>
      <rPr>
        <sz val="11"/>
        <color rgb="FF000000"/>
        <rFont val="Meiryo UI"/>
        <family val="2"/>
      </rPr>
      <t>Smallint</t>
    </r>
  </si>
  <si>
    <t xml:space="preserve">    {</t>
  </si>
  <si>
    <t xml:space="preserve">    }</t>
  </si>
  <si>
    <t xml:space="preserve">  ]</t>
  </si>
  <si>
    <r>
      <rPr>
        <sz val="11"/>
        <color rgb="FF000000"/>
        <rFont val="Meiryo UI"/>
        <family val="2"/>
      </rPr>
      <t>1つの店舗の一括プロモーション情報設定機能を実行する。</t>
    </r>
  </si>
  <si>
    <r>
      <rPr>
        <sz val="11"/>
        <color rgb="FF000000"/>
        <rFont val="Meiryo UI"/>
        <family val="2"/>
      </rPr>
      <t>AP1001</t>
    </r>
  </si>
  <si>
    <r>
      <rPr>
        <sz val="11"/>
        <color rgb="FF000000"/>
        <rFont val="Meiryo UI"/>
        <family val="2"/>
      </rPr>
      <t>api/v1/promotion_master/maintenance_promotion</t>
    </r>
  </si>
  <si>
    <r>
      <rPr>
        <sz val="11"/>
        <color rgb="FF000000"/>
        <rFont val="Meiryo UI"/>
        <family val="2"/>
      </rPr>
      <t>operation_type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</si>
  <si>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</si>
  <si>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</si>
  <si>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</si>
  <si>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</si>
  <si>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</si>
  <si>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</si>
  <si>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</si>
  <si>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</si>
  <si>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</si>
  <si>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</si>
  <si>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</si>
  <si>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</si>
  <si>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</si>
  <si>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</si>
  <si>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</si>
  <si>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</si>
  <si>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</si>
  <si>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</si>
  <si>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SonMNT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</si>
  <si>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</si>
  <si>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</si>
  <si>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</si>
  <si>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</si>
  <si>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</si>
  <si>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</si>
  <si>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</si>
  <si>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</si>
  <si>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フォーマット: 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</si>
  <si>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</si>
  <si>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</si>
  <si>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</si>
  <si>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2.4 Request Body</t>
  </si>
  <si>
    <t>・メッセージ = MSG_VAL_001で入力必須のバリデーションチェック。その中 ：{0}が店舗である。</t>
  </si>
  <si>
    <t>プロモーションレコード一覧</t>
  </si>
  <si>
    <t>・メッセージ = MSG_VAL_001で入力必須のバリデーションチェック。その中 ：{0}がプロモーションである。
・メッセージ = MSG_VAL_006でバリデーションチェック：数字。その中： {0} がプロモーションである。
・メッセージ = MSG_VAL_004でバリデーションチェック： 最大5文字。その中：{0}がプロモーションであり、{1}が{5}である。</t>
  </si>
  <si>
    <t>・3: 削除
・2: 新規または更新</t>
  </si>
  <si>
    <t>・メッセージ = MSG_VAL_001で入力必須のバリデーションチェック。その中 ：{0}が名称である。
・メッセージ = MSG_VAL_004でバリデーションチェック： 最大12文字。その中：{0}が名称であり、{1}が{12}である。
・メッセージ = MSG_VAL_024でバリデーションチェック：全角文字。その中：{0}が名称である。</t>
  </si>
  <si>
    <t>・フォーマット: yyyy/mm/dd
・メッセージ = MSG_VAL_001で入力必須のバリデーションチェック。その中 ：{0}が開始日である。
・不正な形式の日付のバリデーションチェック: エラーメッセージ：MSG_VAL_003（{0}が開始日である。）</t>
  </si>
  <si>
    <t>・フォーマット: yyyy/mm/dd
・メッセージ = MSG_VAL_001で入力必須のバリデーションチェック。その中 ：{0}が终了日である。
・不正な形式の日付のバリデーションチェック: エラーメッセージ：MSG_VAL_003（{0}が终了日である。）
・ 開始日 &gt; 终了日のバリデーションチェック：メッセージ = MSG_VAL_004（{0}：開始日, {1}：终了日）</t>
  </si>
  <si>
    <t>・形式： hh:ss
・メッセージ = MSG_VAL_001で入力必須のバリデーションチェック。その中 ：{0}が開始時刻である。
・不正な形式の日付のバリデーションチェック: エラーメッセージ：MSG_VAL_003（{0}が開始時刻である。）</t>
  </si>
  <si>
    <t>・形式： hh:ss
・メッセージ = MSG_VAL_001で入力必須のバリデーションチェック。その中 ：{0}が終了時刻である。
・不正な形式の日付のバリデーションチェック: エラーメッセージ：MSG_VAL_003（{0}が終了時刻である。）
・開始日 = 终了日の場合、開始時刻 &gt; 終了時刻のバリデーションチェックを行う。メッセージ = MSG_VAL_004（{0}が開始時刻であり、{1}が終了時刻である。）</t>
  </si>
  <si>
    <t>※サンプル</t>
  </si>
  <si>
    <r>
      <rPr>
        <sz val="11"/>
        <color rgb="FF000000"/>
        <rFont val="Meiryo UI"/>
        <family val="2"/>
      </rPr>
      <t xml:space="preserve">  "store_code": "00090",</t>
    </r>
  </si>
  <si>
    <r>
      <rPr>
        <sz val="11"/>
        <color rgb="FF000000"/>
        <rFont val="Meiryo UI"/>
        <family val="2"/>
      </rPr>
      <t xml:space="preserve">  "promotions": [</t>
    </r>
  </si>
  <si>
    <r>
      <rPr>
        <sz val="11"/>
        <color rgb="FF000000"/>
        <rFont val="Meiryo UI"/>
        <family val="2"/>
      </rPr>
      <t xml:space="preserve">      "code": "12345",</t>
    </r>
  </si>
  <si>
    <r>
      <rPr>
        <sz val="11"/>
        <color rgb="FF000000"/>
        <rFont val="Meiryo UI"/>
        <family val="2"/>
      </rPr>
      <t xml:space="preserve">      "operation_type": 2,</t>
    </r>
  </si>
  <si>
    <r>
      <rPr>
        <sz val="11"/>
        <color rgb="FF000000"/>
        <rFont val="Meiryo UI"/>
        <family val="2"/>
      </rPr>
      <t xml:space="preserve">      "name": "Ｈｅｌｌｏ",</t>
    </r>
  </si>
  <si>
    <r>
      <rPr>
        <sz val="11"/>
        <color rgb="FF000000"/>
        <rFont val="Meiryo UI"/>
        <family val="2"/>
      </rPr>
      <t xml:space="preserve">      "type": 1,</t>
    </r>
  </si>
  <si>
    <r>
      <rPr>
        <sz val="11"/>
        <color rgb="FF000000"/>
        <rFont val="Meiryo UI"/>
        <family val="2"/>
      </rPr>
      <t xml:space="preserve">      "start_date_time": "2024/06/29",</t>
    </r>
  </si>
  <si>
    <r>
      <rPr>
        <sz val="11"/>
        <color rgb="FF000000"/>
        <rFont val="Meiryo UI"/>
        <family val="2"/>
      </rPr>
      <t xml:space="preserve">      "end_date_time": "2024/06/29",</t>
    </r>
  </si>
  <si>
    <r>
      <rPr>
        <sz val="11"/>
        <color rgb="FF000000"/>
        <rFont val="Meiryo UI"/>
        <family val="2"/>
      </rPr>
      <t xml:space="preserve">      "start_time": "08:00",</t>
    </r>
  </si>
  <si>
    <r>
      <rPr>
        <sz val="11"/>
        <color rgb="FF000000"/>
        <rFont val="Meiryo UI"/>
        <family val="2"/>
      </rPr>
      <t xml:space="preserve">      "end_time": "12:00"</t>
    </r>
  </si>
  <si>
    <r>
      <rPr>
        <b/>
        <sz val="11"/>
        <color rgb="FF000000"/>
        <rFont val="Meiryo UI"/>
        <family val="2"/>
      </rPr>
      <t>3. レスポンス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</si>
</sst>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46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17" fillId="0" borderId="0" xfId="0" applyFont="1"/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6" xfId="0" applyFont="1" applyBorder="1"/>
    <xf numFmtId="0" fontId="17" fillId="0" borderId="2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3" fillId="4" borderId="0" xfId="0" applyFont="1" applyFill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7" fillId="0" borderId="23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5" borderId="23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6722</xdr:colOff>
      <xdr:row>6</xdr:row>
      <xdr:rowOff>0</xdr:rowOff>
    </xdr:from>
    <xdr:to>
      <xdr:col>11</xdr:col>
      <xdr:colOff>6722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876425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9</xdr:col>
      <xdr:colOff>6722</xdr:colOff>
      <xdr:row>7</xdr:row>
      <xdr:rowOff>179294</xdr:rowOff>
    </xdr:from>
    <xdr:to>
      <xdr:col>9</xdr:col>
      <xdr:colOff>6722</xdr:colOff>
      <xdr:row>10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4"/>
          <a:endCxn id="5" idx="0"/>
        </xdr:cNvCxnSpPr>
      </xdr:nvCxnSpPr>
      <xdr:spPr>
        <a:xfrm>
          <a:off x="2409825" y="16287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</xdr:row>
      <xdr:rowOff>0</xdr:rowOff>
    </xdr:from>
    <xdr:to>
      <xdr:col>11</xdr:col>
      <xdr:colOff>0</xdr:colOff>
      <xdr:row>10</xdr:row>
      <xdr:rowOff>179294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866900" y="2019300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34</xdr:col>
      <xdr:colOff>224118</xdr:colOff>
      <xdr:row>7</xdr:row>
      <xdr:rowOff>0</xdr:rowOff>
    </xdr:from>
    <xdr:to>
      <xdr:col>61</xdr:col>
      <xdr:colOff>224118</xdr:colOff>
      <xdr:row>9</xdr:row>
      <xdr:rowOff>0</xdr:rowOff>
    </xdr:to>
    <xdr:sp macro="" textlink="" fLocksText="0">
      <xdr:nvSpPr>
        <xdr:cNvPr id="6" name="吹き出し: 線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296400" y="1447800"/>
          <a:ext cx="7200900" cy="381000"/>
        </a:xfrm>
        <a:prstGeom prst="borderCallout1">
          <a:avLst>
            <a:gd name="adj1" fmla="val 46004"/>
            <a:gd name="adj2" fmla="val 117"/>
            <a:gd name="adj3" fmla="val 186759"/>
            <a:gd name="adj4" fmla="val -8913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10</xdr:row>
      <xdr:rowOff>179294</xdr:rowOff>
    </xdr:from>
    <xdr:to>
      <xdr:col>9</xdr:col>
      <xdr:colOff>0</xdr:colOff>
      <xdr:row>13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>
          <a:stCxn id="5" idx="2"/>
          <a:endCxn id="10" idx="0"/>
        </xdr:cNvCxnSpPr>
      </xdr:nvCxnSpPr>
      <xdr:spPr>
        <a:xfrm>
          <a:off x="2400300" y="22002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0</xdr:colOff>
      <xdr:row>17</xdr:row>
      <xdr:rowOff>0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16002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プロモーションデータ配列ループ</a:t>
          </a:r>
        </a:p>
      </xdr:txBody>
    </xdr:sp>
    <xdr:clientData/>
  </xdr:twoCellAnchor>
  <xdr:twoCellAnchor>
    <xdr:from>
      <xdr:col>9</xdr:col>
      <xdr:colOff>0</xdr:colOff>
      <xdr:row>17</xdr:row>
      <xdr:rowOff>0</xdr:rowOff>
    </xdr:from>
    <xdr:to>
      <xdr:col>9</xdr:col>
      <xdr:colOff>0</xdr:colOff>
      <xdr:row>20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10" idx="2"/>
          <a:endCxn id="26" idx="0"/>
        </xdr:cNvCxnSpPr>
      </xdr:nvCxnSpPr>
      <xdr:spPr>
        <a:xfrm>
          <a:off x="2400300" y="3352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20</xdr:row>
      <xdr:rowOff>0</xdr:rowOff>
    </xdr:from>
    <xdr:to>
      <xdr:col>12</xdr:col>
      <xdr:colOff>0</xdr:colOff>
      <xdr:row>24</xdr:row>
      <xdr:rowOff>0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1600200" y="3924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入力バリデーションチェック</a:t>
          </a:r>
        </a:p>
      </xdr:txBody>
    </xdr:sp>
    <xdr:clientData/>
  </xdr:twoCellAnchor>
  <xdr:twoCellAnchor>
    <xdr:from>
      <xdr:col>35</xdr:col>
      <xdr:colOff>0</xdr:colOff>
      <xdr:row>10</xdr:row>
      <xdr:rowOff>0</xdr:rowOff>
    </xdr:from>
    <xdr:to>
      <xdr:col>62</xdr:col>
      <xdr:colOff>0</xdr:colOff>
      <xdr:row>40</xdr:row>
      <xdr:rowOff>0</xdr:rowOff>
    </xdr:to>
    <xdr:sp macro="" textlink="" fLocksText="0">
      <xdr:nvSpPr>
        <xdr:cNvPr id="36" name="吹き出し: 線 2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9334500" y="2019300"/>
          <a:ext cx="7200900" cy="5715000"/>
        </a:xfrm>
        <a:prstGeom prst="borderCallout1">
          <a:avLst>
            <a:gd name="adj1" fmla="val 39926"/>
            <a:gd name="adj2" fmla="val -59"/>
            <a:gd name="adj3" fmla="val 40144"/>
            <a:gd name="adj4" fmla="val -8543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入力バリデーションチェック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以下のようにチェックする。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・開始時刻 &lt;= 終了時刻。その中、開始時刻がparam {start_date_time}とparam {start_time}で計算され、終了時刻がparam {end_date_time} とparam {endt_time}で計算される。エラーがMSG_VAL_004メッセージを返す。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・アカウントがシステム権限以外の場合、99から始まるプロモーションコードのみ入力可能。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アカウントはシステム権限の場合、99または01から12 (1月から12 月) で始まるプロモーションコードのバリデーションチェックを行う。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・バリデーションチェックのエラーが発生した場合：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+このレコードのエラー情報を保存する。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データを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コールバックして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フロントエンドに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エラーを返す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▪プロモーションの相関を確認:  クエリを実行する。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promotion_master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left join combination_master on (promotion_master.code = combination_master.promotion_code and combination_item_master.status = 0)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left join special_price_master on (promotion_master.code = special_price_master.promotion_code and special_price_master.status = 0)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where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promotion_master.code = param {code} and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(( combination_master.start_date_time &gt;=  promotion_master.start_date_time and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combination_master.end_date_time &lt;=  promotion_master.end_date_time 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( special_price_master.start_date_time &gt;=  promotion_master.start_date_time and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special_price_master.end_date_time &lt;=  promotion_master.end_date_time ))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=&gt; レコードが存在している場合、データをロールバックし、MSG_VAL_023を返す。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24</xdr:row>
      <xdr:rowOff>0</xdr:rowOff>
    </xdr:from>
    <xdr:to>
      <xdr:col>9</xdr:col>
      <xdr:colOff>1</xdr:colOff>
      <xdr:row>27</xdr:row>
      <xdr:rowOff>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>
          <a:stCxn id="26" idx="2"/>
          <a:endCxn id="163" idx="0"/>
        </xdr:cNvCxnSpPr>
      </xdr:nvCxnSpPr>
      <xdr:spPr>
        <a:xfrm>
          <a:off x="2400300" y="4686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64</xdr:row>
      <xdr:rowOff>0</xdr:rowOff>
    </xdr:from>
    <xdr:to>
      <xdr:col>13</xdr:col>
      <xdr:colOff>0</xdr:colOff>
      <xdr:row>71</xdr:row>
      <xdr:rowOff>0</xdr:rowOff>
    </xdr:to>
    <xdr:sp macro="" textlink="" fLocksText="0">
      <xdr:nvSpPr>
        <xdr:cNvPr id="50" name="Flowchart: Decision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1333500" y="12306300"/>
          <a:ext cx="2133600" cy="1333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[9.配列の最後の要素であるかを確認する]</a:t>
          </a:r>
        </a:p>
      </xdr:txBody>
    </xdr:sp>
    <xdr:clientData/>
  </xdr:twoCellAnchor>
  <xdr:twoCellAnchor>
    <xdr:from>
      <xdr:col>6</xdr:col>
      <xdr:colOff>0</xdr:colOff>
      <xdr:row>44</xdr:row>
      <xdr:rowOff>0</xdr:rowOff>
    </xdr:from>
    <xdr:to>
      <xdr:col>12</xdr:col>
      <xdr:colOff>0</xdr:colOff>
      <xdr:row>48</xdr:row>
      <xdr:rowOff>0</xdr:rowOff>
    </xdr:to>
    <xdr:sp macro="" textlink="" fLocksText="0">
      <xdr:nvSpPr>
        <xdr:cNvPr id="56" name="Rectangle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1600200" y="8496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プロモーション挿入・更新・削除する。</a:t>
          </a:r>
          <a:endParaRPr lang="en-US" sz="900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42</xdr:row>
      <xdr:rowOff>0</xdr:rowOff>
    </xdr:from>
    <xdr:to>
      <xdr:col>62</xdr:col>
      <xdr:colOff>0</xdr:colOff>
      <xdr:row>50</xdr:row>
      <xdr:rowOff>0</xdr:rowOff>
    </xdr:to>
    <xdr:sp macro="" textlink="" fLocksText="0">
      <xdr:nvSpPr>
        <xdr:cNvPr id="68" name="吹き出し: 線 2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9334500" y="8115300"/>
          <a:ext cx="7200900" cy="1524000"/>
        </a:xfrm>
        <a:prstGeom prst="borderCallout1">
          <a:avLst>
            <a:gd name="adj1" fmla="val 50020"/>
            <a:gd name="adj2" fmla="val -236"/>
            <a:gd name="adj3" fmla="val 50126"/>
            <a:gd name="adj4" fmla="val -8525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4. プロモーション挿入・更新・削除する。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▪operation_typeの値が「3」の場合、プロモーションを削除する。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▪operation_typeの値が「2」の場合、[promotion_master.code] = param {code}の条件で対象プロモーションの存在チェックを実行する。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・レコードが存在している場合、更新フローを実行する。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・レコードが存在していない場合、挿入を実行する。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FF0000"/>
              </a:solidFill>
              <a:latin typeface="Meiryo UI"/>
              <a:ea typeface="Meiryo UI" panose="020B0604030504040204" pitchFamily="34" charset="-128"/>
            </a:rPr>
            <a:t>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62</xdr:row>
      <xdr:rowOff>0</xdr:rowOff>
    </xdr:from>
    <xdr:to>
      <xdr:col>9</xdr:col>
      <xdr:colOff>1</xdr:colOff>
      <xdr:row>64</xdr:row>
      <xdr:rowOff>0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CxnSpPr>
          <a:stCxn id="34" idx="2"/>
          <a:endCxn id="50" idx="0"/>
        </xdr:cNvCxnSpPr>
      </xdr:nvCxnSpPr>
      <xdr:spPr>
        <a:xfrm flipH="1">
          <a:off x="2400300" y="11925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67</xdr:row>
      <xdr:rowOff>0</xdr:rowOff>
    </xdr:from>
    <xdr:to>
      <xdr:col>5</xdr:col>
      <xdr:colOff>0</xdr:colOff>
      <xdr:row>68</xdr:row>
      <xdr:rowOff>0</xdr:rowOff>
    </xdr:to>
    <xdr:sp macro="" textlink="" fLocksText="0">
      <xdr:nvSpPr>
        <xdr:cNvPr id="146" name="Flowchart: Process 145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/>
      </xdr:nvSpPr>
      <xdr:spPr>
        <a:xfrm>
          <a:off x="800100" y="12877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8</xdr:col>
      <xdr:colOff>0</xdr:colOff>
      <xdr:row>71</xdr:row>
      <xdr:rowOff>0</xdr:rowOff>
    </xdr:from>
    <xdr:to>
      <xdr:col>10</xdr:col>
      <xdr:colOff>0</xdr:colOff>
      <xdr:row>72</xdr:row>
      <xdr:rowOff>0</xdr:rowOff>
    </xdr:to>
    <xdr:sp macro="" textlink="" fLocksText="0">
      <xdr:nvSpPr>
        <xdr:cNvPr id="147" name="Flowchart: Process 146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/>
      </xdr:nvSpPr>
      <xdr:spPr>
        <a:xfrm>
          <a:off x="2133600" y="13639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15</xdr:row>
      <xdr:rowOff>0</xdr:rowOff>
    </xdr:from>
    <xdr:to>
      <xdr:col>6</xdr:col>
      <xdr:colOff>0</xdr:colOff>
      <xdr:row>67</xdr:row>
      <xdr:rowOff>95250</xdr:rowOff>
    </xdr:to>
    <xdr:cxnSp macro="">
      <xdr:nvCxnSpPr>
        <xdr:cNvPr id="148" name="Connector: Elbow 147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CxnSpPr>
          <a:stCxn id="146" idx="1"/>
          <a:endCxn id="10" idx="1"/>
        </xdr:cNvCxnSpPr>
      </xdr:nvCxnSpPr>
      <xdr:spPr>
        <a:xfrm rot="10800000" flipH="1">
          <a:off x="800100" y="2971800"/>
          <a:ext cx="800100" cy="10001250"/>
        </a:xfrm>
        <a:prstGeom prst="bentConnector3">
          <a:avLst>
            <a:gd name="adj1" fmla="val -3396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75</xdr:row>
      <xdr:rowOff>190499</xdr:rowOff>
    </xdr:to>
    <xdr:cxnSp macro="">
      <xdr:nvCxnSpPr>
        <xdr:cNvPr id="154" name="Straight Arrow Connector 153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CxnSpPr>
          <a:stCxn id="147" idx="2"/>
          <a:endCxn id="157" idx="0"/>
        </xdr:cNvCxnSpPr>
      </xdr:nvCxnSpPr>
      <xdr:spPr>
        <a:xfrm>
          <a:off x="2400300" y="13830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75</xdr:row>
      <xdr:rowOff>190499</xdr:rowOff>
    </xdr:from>
    <xdr:to>
      <xdr:col>11</xdr:col>
      <xdr:colOff>0</xdr:colOff>
      <xdr:row>76</xdr:row>
      <xdr:rowOff>179293</xdr:rowOff>
    </xdr:to>
    <xdr:sp macro="" textlink="" fLocksText="0">
      <xdr:nvSpPr>
        <xdr:cNvPr id="157" name="Rectangle 156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SpPr/>
      </xdr:nvSpPr>
      <xdr:spPr>
        <a:xfrm>
          <a:off x="1866900" y="14592300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35</xdr:col>
      <xdr:colOff>0</xdr:colOff>
      <xdr:row>75</xdr:row>
      <xdr:rowOff>0</xdr:rowOff>
    </xdr:from>
    <xdr:to>
      <xdr:col>62</xdr:col>
      <xdr:colOff>0</xdr:colOff>
      <xdr:row>77</xdr:row>
      <xdr:rowOff>0</xdr:rowOff>
    </xdr:to>
    <xdr:sp macro="" textlink="" fLocksText="0">
      <xdr:nvSpPr>
        <xdr:cNvPr id="158" name="吹き出し: 線 2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/>
      </xdr:nvSpPr>
      <xdr:spPr>
        <a:xfrm>
          <a:off x="9334500" y="14401800"/>
          <a:ext cx="7200900" cy="381000"/>
        </a:xfrm>
        <a:prstGeom prst="borderCallout1">
          <a:avLst>
            <a:gd name="adj1" fmla="val 46004"/>
            <a:gd name="adj2" fmla="val 117"/>
            <a:gd name="adj3" fmla="val 74994"/>
            <a:gd name="adj4" fmla="val -889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79</xdr:row>
      <xdr:rowOff>0</xdr:rowOff>
    </xdr:from>
    <xdr:to>
      <xdr:col>11</xdr:col>
      <xdr:colOff>0</xdr:colOff>
      <xdr:row>80</xdr:row>
      <xdr:rowOff>168088</xdr:rowOff>
    </xdr:to>
    <xdr:sp macro="" textlink="" fLocksText="0">
      <xdr:nvSpPr>
        <xdr:cNvPr id="160" name="Oval 159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SpPr/>
      </xdr:nvSpPr>
      <xdr:spPr>
        <a:xfrm>
          <a:off x="1866900" y="151638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76</xdr:row>
      <xdr:rowOff>179293</xdr:rowOff>
    </xdr:from>
    <xdr:to>
      <xdr:col>9</xdr:col>
      <xdr:colOff>0</xdr:colOff>
      <xdr:row>79</xdr:row>
      <xdr:rowOff>0</xdr:rowOff>
    </xdr:to>
    <xdr:cxnSp macro="">
      <xdr:nvCxnSpPr>
        <xdr:cNvPr id="161" name="Straight Arrow Connector 160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CxnSpPr>
          <a:stCxn id="157" idx="2"/>
          <a:endCxn id="160" idx="0"/>
        </xdr:cNvCxnSpPr>
      </xdr:nvCxnSpPr>
      <xdr:spPr>
        <a:xfrm>
          <a:off x="2400300" y="147732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27</xdr:row>
      <xdr:rowOff>0</xdr:rowOff>
    </xdr:from>
    <xdr:to>
      <xdr:col>13</xdr:col>
      <xdr:colOff>1</xdr:colOff>
      <xdr:row>34</xdr:row>
      <xdr:rowOff>0</xdr:rowOff>
    </xdr:to>
    <xdr:sp macro="" textlink="" fLocksText="0">
      <xdr:nvSpPr>
        <xdr:cNvPr id="163" name="Flowchart: Decision 162"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SpPr/>
      </xdr:nvSpPr>
      <xdr:spPr>
        <a:xfrm>
          <a:off x="1333500" y="5257800"/>
          <a:ext cx="2133600" cy="1333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3.isValid?</a:t>
          </a:r>
        </a:p>
      </xdr:txBody>
    </xdr:sp>
    <xdr:clientData/>
  </xdr:twoCellAnchor>
  <xdr:twoCellAnchor>
    <xdr:from>
      <xdr:col>8</xdr:col>
      <xdr:colOff>1</xdr:colOff>
      <xdr:row>34</xdr:row>
      <xdr:rowOff>0</xdr:rowOff>
    </xdr:from>
    <xdr:to>
      <xdr:col>10</xdr:col>
      <xdr:colOff>1</xdr:colOff>
      <xdr:row>35</xdr:row>
      <xdr:rowOff>0</xdr:rowOff>
    </xdr:to>
    <xdr:sp macro="" textlink="" fLocksText="0">
      <xdr:nvSpPr>
        <xdr:cNvPr id="164" name="Flowchart: Process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SpPr/>
      </xdr:nvSpPr>
      <xdr:spPr>
        <a:xfrm>
          <a:off x="2133600" y="6591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13</xdr:col>
      <xdr:colOff>1</xdr:colOff>
      <xdr:row>30</xdr:row>
      <xdr:rowOff>0</xdr:rowOff>
    </xdr:from>
    <xdr:to>
      <xdr:col>15</xdr:col>
      <xdr:colOff>1</xdr:colOff>
      <xdr:row>31</xdr:row>
      <xdr:rowOff>0</xdr:rowOff>
    </xdr:to>
    <xdr:sp macro="" textlink="" fLocksText="0">
      <xdr:nvSpPr>
        <xdr:cNvPr id="165" name="Flowchart: Process 164"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SpPr/>
      </xdr:nvSpPr>
      <xdr:spPr>
        <a:xfrm>
          <a:off x="3467100" y="5829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9</xdr:col>
      <xdr:colOff>0</xdr:colOff>
      <xdr:row>35</xdr:row>
      <xdr:rowOff>0</xdr:rowOff>
    </xdr:from>
    <xdr:to>
      <xdr:col>9</xdr:col>
      <xdr:colOff>1</xdr:colOff>
      <xdr:row>44</xdr:row>
      <xdr:rowOff>0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00000000-0008-0000-0400-0000A7000000}"/>
            </a:ext>
          </a:extLst>
        </xdr:cNvPr>
        <xdr:cNvCxnSpPr>
          <a:stCxn id="164" idx="2"/>
          <a:endCxn id="56" idx="0"/>
        </xdr:cNvCxnSpPr>
      </xdr:nvCxnSpPr>
      <xdr:spPr>
        <a:xfrm flipH="1">
          <a:off x="2400300" y="6781800"/>
          <a:ext cx="0" cy="1714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30</xdr:row>
      <xdr:rowOff>95250</xdr:rowOff>
    </xdr:from>
    <xdr:to>
      <xdr:col>15</xdr:col>
      <xdr:colOff>1</xdr:colOff>
      <xdr:row>76</xdr:row>
      <xdr:rowOff>0</xdr:rowOff>
    </xdr:to>
    <xdr:cxnSp macro="">
      <xdr:nvCxnSpPr>
        <xdr:cNvPr id="183" name="Connector: Elbow 182"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CxnSpPr>
          <a:stCxn id="165" idx="3"/>
        </xdr:cNvCxnSpPr>
      </xdr:nvCxnSpPr>
      <xdr:spPr>
        <a:xfrm flipH="1">
          <a:off x="2400300" y="5924550"/>
          <a:ext cx="1600200" cy="8667750"/>
        </a:xfrm>
        <a:prstGeom prst="bentConnector4">
          <a:avLst>
            <a:gd name="adj1" fmla="val -66984"/>
            <a:gd name="adj2" fmla="val 95573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54</xdr:row>
      <xdr:rowOff>22412</xdr:rowOff>
    </xdr:from>
    <xdr:to>
      <xdr:col>13</xdr:col>
      <xdr:colOff>0</xdr:colOff>
      <xdr:row>61</xdr:row>
      <xdr:rowOff>22412</xdr:rowOff>
    </xdr:to>
    <xdr:sp macro="" textlink="" fLocksText="0">
      <xdr:nvSpPr>
        <xdr:cNvPr id="33" name="Flowchart: Decision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1333500" y="10420350"/>
          <a:ext cx="2133600" cy="1333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成功?</a:t>
          </a:r>
        </a:p>
      </xdr:txBody>
    </xdr:sp>
    <xdr:clientData/>
  </xdr:twoCellAnchor>
  <xdr:twoCellAnchor>
    <xdr:from>
      <xdr:col>8</xdr:col>
      <xdr:colOff>1</xdr:colOff>
      <xdr:row>61</xdr:row>
      <xdr:rowOff>0</xdr:rowOff>
    </xdr:from>
    <xdr:to>
      <xdr:col>10</xdr:col>
      <xdr:colOff>1</xdr:colOff>
      <xdr:row>62</xdr:row>
      <xdr:rowOff>0</xdr:rowOff>
    </xdr:to>
    <xdr:sp macro="" textlink="" fLocksText="0">
      <xdr:nvSpPr>
        <xdr:cNvPr id="34" name="Flowchart: Process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2133600" y="11734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13</xdr:col>
      <xdr:colOff>0</xdr:colOff>
      <xdr:row>57</xdr:row>
      <xdr:rowOff>0</xdr:rowOff>
    </xdr:from>
    <xdr:to>
      <xdr:col>15</xdr:col>
      <xdr:colOff>0</xdr:colOff>
      <xdr:row>58</xdr:row>
      <xdr:rowOff>0</xdr:rowOff>
    </xdr:to>
    <xdr:sp macro="" textlink="" fLocksText="0">
      <xdr:nvSpPr>
        <xdr:cNvPr id="35" name="Flowchart: Process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3467100" y="10972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9</xdr:col>
      <xdr:colOff>0</xdr:colOff>
      <xdr:row>57</xdr:row>
      <xdr:rowOff>95250</xdr:rowOff>
    </xdr:from>
    <xdr:to>
      <xdr:col>15</xdr:col>
      <xdr:colOff>0</xdr:colOff>
      <xdr:row>75</xdr:row>
      <xdr:rowOff>190499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35" idx="3"/>
          <a:endCxn id="157" idx="0"/>
        </xdr:cNvCxnSpPr>
      </xdr:nvCxnSpPr>
      <xdr:spPr>
        <a:xfrm flipH="1">
          <a:off x="2400300" y="11068050"/>
          <a:ext cx="1600200" cy="3524250"/>
        </a:xfrm>
        <a:prstGeom prst="bentConnector4">
          <a:avLst>
            <a:gd name="adj1" fmla="val -66984"/>
            <a:gd name="adj2" fmla="val 8895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48</xdr:row>
      <xdr:rowOff>0</xdr:rowOff>
    </xdr:from>
    <xdr:to>
      <xdr:col>9</xdr:col>
      <xdr:colOff>0</xdr:colOff>
      <xdr:row>54</xdr:row>
      <xdr:rowOff>22412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CxnSpPr>
          <a:stCxn id="56" idx="2"/>
          <a:endCxn id="33" idx="0"/>
        </xdr:cNvCxnSpPr>
      </xdr:nvCxnSpPr>
      <xdr:spPr>
        <a:xfrm>
          <a:off x="2400300" y="9258300"/>
          <a:ext cx="0" cy="1162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55</xdr:row>
      <xdr:rowOff>0</xdr:rowOff>
    </xdr:from>
    <xdr:to>
      <xdr:col>62</xdr:col>
      <xdr:colOff>0</xdr:colOff>
      <xdr:row>60</xdr:row>
      <xdr:rowOff>0</xdr:rowOff>
    </xdr:to>
    <xdr:sp macro="" textlink="" fLocksText="0">
      <xdr:nvSpPr>
        <xdr:cNvPr id="15" name="吹き出し: 線 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9334500" y="10591800"/>
          <a:ext cx="7200900" cy="952500"/>
        </a:xfrm>
        <a:prstGeom prst="borderCallout1">
          <a:avLst>
            <a:gd name="adj1" fmla="val 20319"/>
            <a:gd name="adj2" fmla="val -58"/>
            <a:gd name="adj3" fmla="val 20673"/>
            <a:gd name="adj4" fmla="val -8789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プロモーション新規作成状態を確認する。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▪成功した場合：次のステップを実行する。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62</xdr:col>
      <xdr:colOff>0</xdr:colOff>
      <xdr:row>70</xdr:row>
      <xdr:rowOff>0</xdr:rowOff>
    </xdr:to>
    <xdr:sp macro="" textlink="" fLocksText="0">
      <xdr:nvSpPr>
        <xdr:cNvPr id="16" name="吹き出し: 線 2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9334500" y="12687300"/>
          <a:ext cx="7200900" cy="762000"/>
        </a:xfrm>
        <a:prstGeom prst="borderCallout1">
          <a:avLst>
            <a:gd name="adj1" fmla="val 51201"/>
            <a:gd name="adj2" fmla="val -58"/>
            <a:gd name="adj3" fmla="val 50085"/>
            <a:gd name="adj4" fmla="val -8330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画面から渡されたプロモーションデータ配列の最後の要素であるかを確認する。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最後の要素でない場合は、次の要素をループする。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最後の要素の場合は、ログを記録してプログラムを終了する。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4" customWidth="1"/>
    <col min="61" max="16384" width="2.77734375" style="44"/>
  </cols>
  <sheetData>
    <row r="1" spans="1:63" ht="24.95" customHeight="1" x14ac:dyDescent="0.25">
      <c r="A1" s="75" t="s">
        <v>51</v>
      </c>
      <c r="B1" s="76"/>
      <c r="C1" s="76"/>
      <c r="D1" s="76"/>
      <c r="E1" s="76"/>
      <c r="F1" s="76"/>
      <c r="G1" s="76"/>
      <c r="H1" s="76"/>
      <c r="I1" s="76"/>
      <c r="J1" s="77"/>
      <c r="K1" s="75" t="s">
        <v>52</v>
      </c>
      <c r="L1" s="76"/>
      <c r="M1" s="76"/>
      <c r="N1" s="76"/>
      <c r="O1" s="76"/>
      <c r="P1" s="76"/>
      <c r="Q1" s="76"/>
      <c r="R1" s="76"/>
      <c r="S1" s="76"/>
      <c r="T1" s="76"/>
      <c r="U1" s="76"/>
      <c r="V1" s="77"/>
      <c r="W1" s="85" t="s">
        <v>53</v>
      </c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7"/>
      <c r="AP1" s="75" t="s">
        <v>54</v>
      </c>
      <c r="AQ1" s="76"/>
      <c r="AR1" s="76"/>
      <c r="AS1" s="77"/>
      <c r="AT1" s="75" t="s">
        <v>55</v>
      </c>
      <c r="AU1" s="76"/>
      <c r="AV1" s="76"/>
      <c r="AW1" s="76"/>
      <c r="AX1" s="77"/>
      <c r="AY1" s="75" t="s">
        <v>56</v>
      </c>
      <c r="AZ1" s="76"/>
      <c r="BA1" s="76"/>
      <c r="BB1" s="77"/>
      <c r="BC1" s="75" t="s">
        <v>57</v>
      </c>
      <c r="BD1" s="76"/>
      <c r="BE1" s="76"/>
      <c r="BF1" s="76"/>
      <c r="BG1" s="77"/>
      <c r="BH1" s="75" t="s">
        <v>58</v>
      </c>
      <c r="BI1" s="76"/>
      <c r="BJ1" s="76"/>
      <c r="BK1" s="77"/>
    </row>
    <row r="2" spans="1:63" ht="15" customHeight="1" x14ac:dyDescent="0.25">
      <c r="A2" s="84" t="s">
        <v>59</v>
      </c>
      <c r="B2" s="79"/>
      <c r="C2" s="79"/>
      <c r="D2" s="79"/>
      <c r="E2" s="79"/>
      <c r="F2" s="79"/>
      <c r="G2" s="79"/>
      <c r="H2" s="79"/>
      <c r="I2" s="79"/>
      <c r="J2" s="80"/>
      <c r="K2" s="78" t="s">
        <v>1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80"/>
      <c r="W2" s="88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90"/>
      <c r="AP2" s="78" t="str">
        <f>改訂履歴!$H$11</f>
        <v>SonMNT</v>
      </c>
      <c r="AQ2" s="79"/>
      <c r="AR2" s="79"/>
      <c r="AS2" s="80"/>
      <c r="AT2" s="106">
        <f>改訂履歴!$B$11</f>
        <v>45462</v>
      </c>
      <c r="AU2" s="107"/>
      <c r="AV2" s="107"/>
      <c r="AW2" s="107"/>
      <c r="AX2" s="108"/>
      <c r="AY2" s="78" t="str">
        <f>LOOKUP(2,1/(改訂履歴!H11:H30000&lt;&gt;""),改訂履歴!H11:H30000)</f>
        <v>SonMNT</v>
      </c>
      <c r="AZ2" s="79"/>
      <c r="BA2" s="79"/>
      <c r="BB2" s="80"/>
      <c r="BC2" s="106">
        <f>LOOKUP(2,1/(改訂履歴!B11:B30000&lt;&gt;""),改訂履歴!B11:B30000)</f>
        <v>45462</v>
      </c>
      <c r="BD2" s="107"/>
      <c r="BE2" s="107"/>
      <c r="BF2" s="107"/>
      <c r="BG2" s="108"/>
      <c r="BH2" s="100">
        <f>LOOKUP(2,1/(改訂履歴!O11:O30000&lt;&gt;""),改訂履歴!O11:O30000)</f>
        <v>0.1</v>
      </c>
      <c r="BI2" s="101"/>
      <c r="BJ2" s="101"/>
      <c r="BK2" s="102"/>
    </row>
    <row r="3" spans="1:63" ht="15" customHeight="1" x14ac:dyDescent="0.25">
      <c r="A3" s="81"/>
      <c r="B3" s="82"/>
      <c r="C3" s="82"/>
      <c r="D3" s="82"/>
      <c r="E3" s="82"/>
      <c r="F3" s="82"/>
      <c r="G3" s="82"/>
      <c r="H3" s="82"/>
      <c r="I3" s="82"/>
      <c r="J3" s="83"/>
      <c r="K3" s="81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  <c r="W3" s="91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3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103"/>
      <c r="BI3" s="104"/>
      <c r="BJ3" s="104"/>
      <c r="BK3" s="105"/>
    </row>
    <row r="4" spans="1:63" ht="24.95" customHeight="1" x14ac:dyDescent="0.25">
      <c r="A4" s="75" t="s">
        <v>60</v>
      </c>
      <c r="B4" s="76"/>
      <c r="C4" s="76"/>
      <c r="D4" s="76"/>
      <c r="E4" s="76"/>
      <c r="F4" s="76"/>
      <c r="G4" s="77"/>
      <c r="H4" s="96" t="s">
        <v>47</v>
      </c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8"/>
      <c r="U4" s="75" t="s">
        <v>61</v>
      </c>
      <c r="V4" s="76"/>
      <c r="W4" s="76"/>
      <c r="X4" s="76"/>
      <c r="Y4" s="77"/>
      <c r="Z4" s="99" t="s">
        <v>62</v>
      </c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8"/>
      <c r="AP4" s="96" t="str">
        <f t="array" aca="1" ref="AP4" ca="1">RIGHT(CELL("filename",$A$1),LEN(CELL("filename",$A$1))-FIND("]",CELL("filename",$A$1)))</f>
        <v>表紙</v>
      </c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8"/>
    </row>
    <row r="5" spans="1:63" ht="5.0999999999999996" customHeight="1" x14ac:dyDescent="0.25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7"/>
    </row>
    <row r="6" spans="1:63" ht="15" customHeight="1" x14ac:dyDescent="0.25">
      <c r="A6" s="48"/>
      <c r="BK6" s="49"/>
    </row>
    <row r="7" spans="1:63" ht="15" customHeight="1" x14ac:dyDescent="0.25">
      <c r="A7" s="48"/>
      <c r="BK7" s="49"/>
    </row>
    <row r="8" spans="1:63" ht="15" customHeight="1" x14ac:dyDescent="0.25">
      <c r="A8" s="48"/>
      <c r="BK8" s="49"/>
    </row>
    <row r="9" spans="1:63" ht="15" customHeight="1" x14ac:dyDescent="0.25">
      <c r="A9" s="48"/>
      <c r="BK9" s="49"/>
    </row>
    <row r="10" spans="1:63" ht="15" customHeight="1" x14ac:dyDescent="0.25">
      <c r="A10" s="48"/>
      <c r="BK10" s="49"/>
    </row>
    <row r="11" spans="1:63" ht="15" customHeight="1" x14ac:dyDescent="0.25">
      <c r="A11" s="48"/>
      <c r="BK11" s="49"/>
    </row>
    <row r="12" spans="1:63" ht="15" customHeight="1" x14ac:dyDescent="0.25">
      <c r="A12" s="48"/>
      <c r="BK12" s="49"/>
    </row>
    <row r="13" spans="1:63" ht="15" customHeight="1" x14ac:dyDescent="0.25">
      <c r="A13" s="48"/>
      <c r="BK13" s="49"/>
    </row>
    <row r="14" spans="1:63" ht="15" customHeight="1" thickBot="1" x14ac:dyDescent="0.3">
      <c r="A14" s="48"/>
      <c r="BK14" s="49"/>
    </row>
    <row r="15" spans="1:63" ht="15" customHeight="1" thickTop="1" x14ac:dyDescent="0.25">
      <c r="A15" s="48"/>
      <c r="K15" s="50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2"/>
      <c r="BK15" s="49"/>
    </row>
    <row r="16" spans="1:63" ht="15" customHeight="1" x14ac:dyDescent="0.25">
      <c r="A16" s="48"/>
      <c r="K16" s="53"/>
      <c r="L16" s="94" t="s">
        <v>63</v>
      </c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54"/>
      <c r="BK16" s="49"/>
    </row>
    <row r="17" spans="1:63" ht="15" customHeight="1" x14ac:dyDescent="0.25">
      <c r="A17" s="48"/>
      <c r="K17" s="53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54"/>
      <c r="BK17" s="49"/>
    </row>
    <row r="18" spans="1:63" ht="15" customHeight="1" x14ac:dyDescent="0.25">
      <c r="A18" s="48"/>
      <c r="K18" s="53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54"/>
      <c r="BK18" s="49"/>
    </row>
    <row r="19" spans="1:63" ht="15" customHeight="1" x14ac:dyDescent="0.25">
      <c r="A19" s="48"/>
      <c r="K19" s="53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54"/>
      <c r="BK19" s="49"/>
    </row>
    <row r="20" spans="1:63" ht="15" customHeight="1" x14ac:dyDescent="0.25">
      <c r="A20" s="48"/>
      <c r="K20" s="53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54"/>
      <c r="BK20" s="49"/>
    </row>
    <row r="21" spans="1:63" ht="15" customHeight="1" x14ac:dyDescent="0.25">
      <c r="A21" s="48"/>
      <c r="K21" s="53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54"/>
      <c r="BK21" s="49"/>
    </row>
    <row r="22" spans="1:63" ht="15" customHeight="1" thickBot="1" x14ac:dyDescent="0.3">
      <c r="A22" s="48"/>
      <c r="K22" s="53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4"/>
      <c r="BK22" s="49"/>
    </row>
    <row r="23" spans="1:63" ht="15" customHeight="1" x14ac:dyDescent="0.25">
      <c r="A23" s="48"/>
      <c r="K23" s="53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4"/>
      <c r="BK23" s="49"/>
    </row>
    <row r="24" spans="1:63" ht="15" customHeight="1" x14ac:dyDescent="0.25">
      <c r="A24" s="48"/>
      <c r="K24" s="53"/>
      <c r="L24" s="95" t="str">
        <f>K2&amp;"/"&amp;H4&amp;"/"&amp;Z4</f>
        <v>POSサーバー/AP1001/API設計書</v>
      </c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54"/>
      <c r="BK24" s="49"/>
    </row>
    <row r="25" spans="1:63" ht="15" customHeight="1" x14ac:dyDescent="0.25">
      <c r="A25" s="48"/>
      <c r="K25" s="53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54"/>
      <c r="BK25" s="49"/>
    </row>
    <row r="26" spans="1:63" ht="15" customHeight="1" x14ac:dyDescent="0.25">
      <c r="A26" s="48"/>
      <c r="K26" s="53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54"/>
      <c r="BK26" s="49"/>
    </row>
    <row r="27" spans="1:63" ht="15" customHeight="1" x14ac:dyDescent="0.25">
      <c r="A27" s="48"/>
      <c r="K27" s="53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54"/>
      <c r="BK27" s="49"/>
    </row>
    <row r="28" spans="1:63" ht="15" customHeight="1" x14ac:dyDescent="0.25">
      <c r="A28" s="48"/>
      <c r="K28" s="53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54"/>
      <c r="BK28" s="49"/>
    </row>
    <row r="29" spans="1:63" ht="15" customHeight="1" x14ac:dyDescent="0.25">
      <c r="A29" s="48"/>
      <c r="K29" s="53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54"/>
      <c r="BK29" s="49"/>
    </row>
    <row r="30" spans="1:63" ht="15" customHeight="1" x14ac:dyDescent="0.25">
      <c r="A30" s="48"/>
      <c r="K30" s="53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54"/>
      <c r="BK30" s="49"/>
    </row>
    <row r="31" spans="1:63" ht="15" customHeight="1" x14ac:dyDescent="0.25">
      <c r="A31" s="48"/>
      <c r="K31" s="53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54"/>
      <c r="BK31" s="49"/>
    </row>
    <row r="32" spans="1:63" ht="15" customHeight="1" x14ac:dyDescent="0.25">
      <c r="A32" s="48"/>
      <c r="K32" s="53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54"/>
      <c r="BK32" s="49"/>
    </row>
    <row r="33" spans="1:63" ht="15" customHeight="1" x14ac:dyDescent="0.25">
      <c r="A33" s="48"/>
      <c r="K33" s="53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54"/>
      <c r="BK33" s="49"/>
    </row>
    <row r="34" spans="1:63" ht="15" customHeight="1" x14ac:dyDescent="0.25">
      <c r="A34" s="48"/>
      <c r="K34" s="53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54"/>
      <c r="BK34" s="49"/>
    </row>
    <row r="35" spans="1:63" ht="15" customHeight="1" x14ac:dyDescent="0.25">
      <c r="A35" s="48"/>
      <c r="K35" s="53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54"/>
      <c r="BK35" s="49"/>
    </row>
    <row r="36" spans="1:63" ht="15" customHeight="1" x14ac:dyDescent="0.25">
      <c r="A36" s="48"/>
      <c r="K36" s="53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54"/>
      <c r="BK36" s="49"/>
    </row>
    <row r="37" spans="1:63" ht="15" customHeight="1" thickBot="1" x14ac:dyDescent="0.3">
      <c r="A37" s="48"/>
      <c r="K37" s="57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9"/>
      <c r="BK37" s="49"/>
    </row>
    <row r="38" spans="1:63" ht="15" customHeight="1" thickTop="1" x14ac:dyDescent="0.25">
      <c r="A38" s="48"/>
      <c r="BK38" s="49"/>
    </row>
    <row r="39" spans="1:63" ht="15" customHeight="1" x14ac:dyDescent="0.25">
      <c r="A39" s="48"/>
      <c r="BK39" s="49"/>
    </row>
    <row r="40" spans="1:63" ht="15" customHeight="1" x14ac:dyDescent="0.25">
      <c r="A40" s="48"/>
      <c r="BK40" s="49"/>
    </row>
    <row r="41" spans="1:63" ht="15" customHeight="1" x14ac:dyDescent="0.25">
      <c r="A41" s="48"/>
      <c r="BK41" s="49"/>
    </row>
    <row r="42" spans="1:63" ht="15" customHeight="1" x14ac:dyDescent="0.25">
      <c r="A42" s="48"/>
      <c r="BK42" s="49"/>
    </row>
    <row r="43" spans="1:63" ht="15" customHeight="1" x14ac:dyDescent="0.25">
      <c r="A43" s="48"/>
      <c r="BK43" s="49"/>
    </row>
    <row r="44" spans="1:63" ht="15" customHeight="1" x14ac:dyDescent="0.25">
      <c r="A44" s="48"/>
      <c r="Q44" s="115" t="s">
        <v>64</v>
      </c>
      <c r="R44" s="116"/>
      <c r="S44" s="116"/>
      <c r="T44" s="116"/>
      <c r="U44" s="116"/>
      <c r="V44" s="116"/>
      <c r="W44" s="116"/>
      <c r="X44" s="116"/>
      <c r="Y44" s="116"/>
      <c r="Z44" s="117"/>
      <c r="AA44" s="115" t="s">
        <v>65</v>
      </c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7"/>
      <c r="AQ44" s="115" t="s">
        <v>58</v>
      </c>
      <c r="AR44" s="116"/>
      <c r="AS44" s="116"/>
      <c r="AT44" s="116"/>
      <c r="AU44" s="117"/>
      <c r="BK44" s="49"/>
    </row>
    <row r="45" spans="1:63" ht="15" customHeight="1" x14ac:dyDescent="0.25">
      <c r="A45" s="48"/>
      <c r="Q45" s="118"/>
      <c r="R45" s="119"/>
      <c r="S45" s="119"/>
      <c r="T45" s="119"/>
      <c r="U45" s="119"/>
      <c r="V45" s="119"/>
      <c r="W45" s="119"/>
      <c r="X45" s="119"/>
      <c r="Y45" s="119"/>
      <c r="Z45" s="120"/>
      <c r="AA45" s="118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20"/>
      <c r="AQ45" s="118"/>
      <c r="AR45" s="119"/>
      <c r="AS45" s="119"/>
      <c r="AT45" s="119"/>
      <c r="AU45" s="120"/>
      <c r="BK45" s="49"/>
    </row>
    <row r="46" spans="1:63" ht="15" customHeight="1" x14ac:dyDescent="0.25">
      <c r="A46" s="48"/>
      <c r="Q46" s="78"/>
      <c r="R46" s="79"/>
      <c r="S46" s="79"/>
      <c r="T46" s="79"/>
      <c r="U46" s="79"/>
      <c r="V46" s="79"/>
      <c r="W46" s="79"/>
      <c r="X46" s="79"/>
      <c r="Y46" s="79"/>
      <c r="Z46" s="80"/>
      <c r="AA46" s="78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80"/>
      <c r="AQ46" s="78"/>
      <c r="AR46" s="79"/>
      <c r="AS46" s="79"/>
      <c r="AT46" s="79"/>
      <c r="AU46" s="80"/>
      <c r="BK46" s="49"/>
    </row>
    <row r="47" spans="1:63" ht="15" customHeight="1" x14ac:dyDescent="0.25">
      <c r="A47" s="48"/>
      <c r="Q47" s="112"/>
      <c r="R47" s="113"/>
      <c r="S47" s="113"/>
      <c r="T47" s="113"/>
      <c r="U47" s="113"/>
      <c r="V47" s="113"/>
      <c r="W47" s="113"/>
      <c r="X47" s="113"/>
      <c r="Y47" s="113"/>
      <c r="Z47" s="114"/>
      <c r="AA47" s="112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4"/>
      <c r="AQ47" s="112"/>
      <c r="AR47" s="113"/>
      <c r="AS47" s="113"/>
      <c r="AT47" s="113"/>
      <c r="AU47" s="114"/>
      <c r="BK47" s="49"/>
    </row>
    <row r="48" spans="1:63" ht="15" customHeight="1" x14ac:dyDescent="0.25">
      <c r="A48" s="48"/>
      <c r="Q48" s="112"/>
      <c r="R48" s="113"/>
      <c r="S48" s="113"/>
      <c r="T48" s="113"/>
      <c r="U48" s="113"/>
      <c r="V48" s="113"/>
      <c r="W48" s="113"/>
      <c r="X48" s="113"/>
      <c r="Y48" s="113"/>
      <c r="Z48" s="114"/>
      <c r="AA48" s="112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4"/>
      <c r="AQ48" s="112"/>
      <c r="AR48" s="113"/>
      <c r="AS48" s="113"/>
      <c r="AT48" s="113"/>
      <c r="AU48" s="114"/>
      <c r="BK48" s="49"/>
    </row>
    <row r="49" spans="1:63" ht="15" customHeight="1" x14ac:dyDescent="0.25">
      <c r="A49" s="48"/>
      <c r="Q49" s="81"/>
      <c r="R49" s="82"/>
      <c r="S49" s="82"/>
      <c r="T49" s="82"/>
      <c r="U49" s="82"/>
      <c r="V49" s="82"/>
      <c r="W49" s="82"/>
      <c r="X49" s="82"/>
      <c r="Y49" s="82"/>
      <c r="Z49" s="83"/>
      <c r="AA49" s="81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3"/>
      <c r="AQ49" s="81"/>
      <c r="AR49" s="82"/>
      <c r="AS49" s="82"/>
      <c r="AT49" s="82"/>
      <c r="AU49" s="83"/>
      <c r="BK49" s="49"/>
    </row>
    <row r="50" spans="1:63" ht="15" customHeight="1" x14ac:dyDescent="0.25">
      <c r="A50" s="48"/>
      <c r="BK50" s="49"/>
    </row>
    <row r="51" spans="1:63" ht="15" customHeight="1" x14ac:dyDescent="0.25">
      <c r="A51" s="48"/>
      <c r="BK51" s="49"/>
    </row>
    <row r="52" spans="1:63" ht="15" customHeight="1" x14ac:dyDescent="0.25">
      <c r="A52" s="48"/>
      <c r="BK52" s="49"/>
    </row>
    <row r="53" spans="1:63" ht="15" customHeight="1" x14ac:dyDescent="0.25">
      <c r="A53" s="48"/>
      <c r="BK53" s="49"/>
    </row>
    <row r="54" spans="1:63" ht="15" customHeight="1" x14ac:dyDescent="0.25">
      <c r="A54" s="48"/>
      <c r="BK54" s="49"/>
    </row>
    <row r="55" spans="1:63" ht="15" customHeight="1" x14ac:dyDescent="0.25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7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4" customWidth="1"/>
    <col min="61" max="16384" width="2.77734375" style="44"/>
  </cols>
  <sheetData>
    <row r="1" spans="1:63" ht="24.95" customHeight="1" x14ac:dyDescent="0.25">
      <c r="A1" s="75" t="s">
        <v>51</v>
      </c>
      <c r="B1" s="76"/>
      <c r="C1" s="76"/>
      <c r="D1" s="76"/>
      <c r="E1" s="76"/>
      <c r="F1" s="76"/>
      <c r="G1" s="76"/>
      <c r="H1" s="76"/>
      <c r="I1" s="76"/>
      <c r="J1" s="77"/>
      <c r="K1" s="75" t="s">
        <v>52</v>
      </c>
      <c r="L1" s="76"/>
      <c r="M1" s="76"/>
      <c r="N1" s="76"/>
      <c r="O1" s="76"/>
      <c r="P1" s="76"/>
      <c r="Q1" s="76"/>
      <c r="R1" s="76"/>
      <c r="S1" s="76"/>
      <c r="T1" s="76"/>
      <c r="U1" s="76"/>
      <c r="V1" s="77"/>
      <c r="W1" s="121" t="str">
        <f>IF(表紙!W1="","",表紙!W1)</f>
        <v>詳細設計書</v>
      </c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7"/>
      <c r="AP1" s="75" t="s">
        <v>54</v>
      </c>
      <c r="AQ1" s="76"/>
      <c r="AR1" s="76"/>
      <c r="AS1" s="77"/>
      <c r="AT1" s="75" t="s">
        <v>55</v>
      </c>
      <c r="AU1" s="76"/>
      <c r="AV1" s="76"/>
      <c r="AW1" s="76"/>
      <c r="AX1" s="77"/>
      <c r="AY1" s="75" t="s">
        <v>56</v>
      </c>
      <c r="AZ1" s="76"/>
      <c r="BA1" s="76"/>
      <c r="BB1" s="77"/>
      <c r="BC1" s="75" t="s">
        <v>57</v>
      </c>
      <c r="BD1" s="76"/>
      <c r="BE1" s="76"/>
      <c r="BF1" s="76"/>
      <c r="BG1" s="77"/>
      <c r="BH1" s="75" t="s">
        <v>58</v>
      </c>
      <c r="BI1" s="76"/>
      <c r="BJ1" s="76"/>
      <c r="BK1" s="77"/>
    </row>
    <row r="2" spans="1:63" ht="15" customHeight="1" x14ac:dyDescent="0.25">
      <c r="A2" s="78" t="str">
        <f>IF(表紙!A2="","",表紙!A2)</f>
        <v>POSサーバー</v>
      </c>
      <c r="B2" s="79"/>
      <c r="C2" s="79"/>
      <c r="D2" s="79"/>
      <c r="E2" s="79"/>
      <c r="F2" s="79"/>
      <c r="G2" s="79"/>
      <c r="H2" s="79"/>
      <c r="I2" s="79"/>
      <c r="J2" s="80"/>
      <c r="K2" s="78" t="str">
        <f>IF(表紙!K2="","",表紙!K2)</f>
        <v>POSサーバー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80"/>
      <c r="W2" s="88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90"/>
      <c r="AP2" s="78" t="str">
        <f>IF(表紙!AP2="","",表紙!AP2)</f>
        <v>SonMNT</v>
      </c>
      <c r="AQ2" s="79"/>
      <c r="AR2" s="79"/>
      <c r="AS2" s="80"/>
      <c r="AT2" s="106">
        <f>IF(表紙!AT2="","",表紙!AT2)</f>
        <v>45462</v>
      </c>
      <c r="AU2" s="107"/>
      <c r="AV2" s="107"/>
      <c r="AW2" s="107"/>
      <c r="AX2" s="108"/>
      <c r="AY2" s="78" t="str">
        <f>IF(表紙!AY2="","",表紙!AY2)</f>
        <v>SonMNT</v>
      </c>
      <c r="AZ2" s="79"/>
      <c r="BA2" s="79"/>
      <c r="BB2" s="80"/>
      <c r="BC2" s="106">
        <f>IF(表紙!BC2="","",表紙!BC2)</f>
        <v>45462</v>
      </c>
      <c r="BD2" s="107"/>
      <c r="BE2" s="107"/>
      <c r="BF2" s="107"/>
      <c r="BG2" s="108"/>
      <c r="BH2" s="78">
        <f>IF(表紙!BH2="","",表紙!BH2)</f>
        <v>0.1</v>
      </c>
      <c r="BI2" s="79"/>
      <c r="BJ2" s="79"/>
      <c r="BK2" s="80"/>
    </row>
    <row r="3" spans="1:63" ht="15" customHeight="1" x14ac:dyDescent="0.25">
      <c r="A3" s="81"/>
      <c r="B3" s="82"/>
      <c r="C3" s="82"/>
      <c r="D3" s="82"/>
      <c r="E3" s="82"/>
      <c r="F3" s="82"/>
      <c r="G3" s="82"/>
      <c r="H3" s="82"/>
      <c r="I3" s="82"/>
      <c r="J3" s="83"/>
      <c r="K3" s="81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  <c r="W3" s="91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3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81"/>
      <c r="BI3" s="82"/>
      <c r="BJ3" s="82"/>
      <c r="BK3" s="83"/>
    </row>
    <row r="4" spans="1:63" ht="24.95" customHeight="1" x14ac:dyDescent="0.25">
      <c r="A4" s="75" t="s">
        <v>66</v>
      </c>
      <c r="B4" s="76"/>
      <c r="C4" s="76"/>
      <c r="D4" s="76"/>
      <c r="E4" s="76"/>
      <c r="F4" s="76"/>
      <c r="G4" s="77"/>
      <c r="H4" s="96" t="str">
        <f>IF(表紙!H4="","",表紙!H4)</f>
        <v>AP1001</v>
      </c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8"/>
      <c r="U4" s="75" t="s">
        <v>61</v>
      </c>
      <c r="V4" s="76"/>
      <c r="W4" s="76"/>
      <c r="X4" s="76"/>
      <c r="Y4" s="77"/>
      <c r="Z4" s="96" t="str">
        <f>IF(表紙!Z4="","",表紙!Z4)</f>
        <v>API設計書</v>
      </c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8"/>
      <c r="AP4" s="96" t="str">
        <f t="array" aca="1" ref="AP4" ca="1">RIGHT(CELL("filename",$A$1),LEN(CELL("filename",$A$1))-FIND("]",CELL("filename",$A$1)))</f>
        <v>改訂履歴</v>
      </c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8"/>
    </row>
    <row r="5" spans="1:63" ht="5.0999999999999996" customHeight="1" x14ac:dyDescent="0.25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7"/>
    </row>
    <row r="6" spans="1:63" ht="15" customHeight="1" x14ac:dyDescent="0.25">
      <c r="A6" s="48"/>
      <c r="BK6" s="49"/>
    </row>
    <row r="7" spans="1:63" ht="15" customHeight="1" x14ac:dyDescent="0.25">
      <c r="A7" s="48"/>
      <c r="BK7" s="49"/>
    </row>
    <row r="8" spans="1:63" ht="15" customHeight="1" x14ac:dyDescent="0.25">
      <c r="A8" s="48"/>
      <c r="B8" s="44" t="s">
        <v>0</v>
      </c>
      <c r="BK8" s="49"/>
    </row>
    <row r="9" spans="1:63" ht="15" customHeight="1" x14ac:dyDescent="0.25">
      <c r="A9" s="48"/>
      <c r="BK9" s="49"/>
    </row>
    <row r="10" spans="1:63" ht="15" customHeight="1" x14ac:dyDescent="0.25">
      <c r="A10" s="48"/>
      <c r="B10" s="134" t="s">
        <v>57</v>
      </c>
      <c r="C10" s="134"/>
      <c r="D10" s="134"/>
      <c r="E10" s="134"/>
      <c r="F10" s="134"/>
      <c r="G10" s="134"/>
      <c r="H10" s="134" t="s">
        <v>56</v>
      </c>
      <c r="I10" s="134"/>
      <c r="J10" s="134"/>
      <c r="K10" s="134"/>
      <c r="L10" s="134"/>
      <c r="M10" s="134"/>
      <c r="N10" s="134"/>
      <c r="O10" s="134" t="s">
        <v>58</v>
      </c>
      <c r="P10" s="134"/>
      <c r="Q10" s="134"/>
      <c r="R10" s="134"/>
      <c r="S10" s="134" t="s">
        <v>67</v>
      </c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 t="s">
        <v>64</v>
      </c>
      <c r="AY10" s="134"/>
      <c r="AZ10" s="134"/>
      <c r="BA10" s="134"/>
      <c r="BB10" s="134"/>
      <c r="BC10" s="134"/>
      <c r="BD10" s="134" t="s">
        <v>65</v>
      </c>
      <c r="BE10" s="134"/>
      <c r="BF10" s="134"/>
      <c r="BG10" s="134"/>
      <c r="BH10" s="134"/>
      <c r="BI10" s="134"/>
      <c r="BJ10" s="134"/>
      <c r="BK10" s="49"/>
    </row>
    <row r="11" spans="1:63" ht="15" customHeight="1" x14ac:dyDescent="0.25">
      <c r="A11" s="48"/>
      <c r="B11" s="106">
        <v>45462</v>
      </c>
      <c r="C11" s="79"/>
      <c r="D11" s="79"/>
      <c r="E11" s="79"/>
      <c r="F11" s="79"/>
      <c r="G11" s="80"/>
      <c r="H11" s="84" t="s">
        <v>68</v>
      </c>
      <c r="I11" s="79"/>
      <c r="J11" s="79"/>
      <c r="K11" s="79"/>
      <c r="L11" s="79"/>
      <c r="M11" s="79"/>
      <c r="N11" s="80"/>
      <c r="O11" s="78">
        <v>0.1</v>
      </c>
      <c r="P11" s="79"/>
      <c r="Q11" s="79"/>
      <c r="R11" s="79"/>
      <c r="S11" s="122" t="s">
        <v>2</v>
      </c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4"/>
      <c r="AX11" s="125"/>
      <c r="AY11" s="125"/>
      <c r="AZ11" s="125"/>
      <c r="BA11" s="125"/>
      <c r="BB11" s="125"/>
      <c r="BC11" s="126"/>
      <c r="BD11" s="129"/>
      <c r="BE11" s="125"/>
      <c r="BF11" s="125"/>
      <c r="BG11" s="125"/>
      <c r="BH11" s="125"/>
      <c r="BI11" s="125"/>
      <c r="BJ11" s="126"/>
      <c r="BK11" s="49"/>
    </row>
    <row r="12" spans="1:63" ht="15" customHeight="1" x14ac:dyDescent="0.25">
      <c r="A12" s="48"/>
      <c r="B12" s="81"/>
      <c r="C12" s="82"/>
      <c r="D12" s="82"/>
      <c r="E12" s="82"/>
      <c r="F12" s="82"/>
      <c r="G12" s="83"/>
      <c r="H12" s="81"/>
      <c r="I12" s="82"/>
      <c r="J12" s="82"/>
      <c r="K12" s="82"/>
      <c r="L12" s="82"/>
      <c r="M12" s="82"/>
      <c r="N12" s="83"/>
      <c r="O12" s="81"/>
      <c r="P12" s="82"/>
      <c r="Q12" s="82"/>
      <c r="R12" s="82"/>
      <c r="S12" s="131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3"/>
      <c r="AX12" s="127"/>
      <c r="AY12" s="127"/>
      <c r="AZ12" s="127"/>
      <c r="BA12" s="127"/>
      <c r="BB12" s="127"/>
      <c r="BC12" s="128"/>
      <c r="BD12" s="130"/>
      <c r="BE12" s="127"/>
      <c r="BF12" s="127"/>
      <c r="BG12" s="127"/>
      <c r="BH12" s="127"/>
      <c r="BI12" s="127"/>
      <c r="BJ12" s="128"/>
      <c r="BK12" s="49"/>
    </row>
    <row r="13" spans="1:63" ht="15" customHeight="1" x14ac:dyDescent="0.25">
      <c r="A13" s="48"/>
      <c r="B13" s="106"/>
      <c r="C13" s="79"/>
      <c r="D13" s="79"/>
      <c r="E13" s="79"/>
      <c r="F13" s="79"/>
      <c r="G13" s="80"/>
      <c r="H13" s="78"/>
      <c r="I13" s="79"/>
      <c r="J13" s="79"/>
      <c r="K13" s="79"/>
      <c r="L13" s="79"/>
      <c r="M13" s="79"/>
      <c r="N13" s="80"/>
      <c r="O13" s="78"/>
      <c r="P13" s="79"/>
      <c r="Q13" s="79"/>
      <c r="R13" s="79"/>
      <c r="S13" s="122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4"/>
      <c r="AX13" s="125"/>
      <c r="AY13" s="125"/>
      <c r="AZ13" s="125"/>
      <c r="BA13" s="125"/>
      <c r="BB13" s="125"/>
      <c r="BC13" s="126"/>
      <c r="BD13" s="129"/>
      <c r="BE13" s="125"/>
      <c r="BF13" s="125"/>
      <c r="BG13" s="125"/>
      <c r="BH13" s="125"/>
      <c r="BI13" s="125"/>
      <c r="BJ13" s="126"/>
      <c r="BK13" s="49"/>
    </row>
    <row r="14" spans="1:63" ht="15" customHeight="1" x14ac:dyDescent="0.25">
      <c r="A14" s="48"/>
      <c r="B14" s="81"/>
      <c r="C14" s="82"/>
      <c r="D14" s="82"/>
      <c r="E14" s="82"/>
      <c r="F14" s="82"/>
      <c r="G14" s="83"/>
      <c r="H14" s="81"/>
      <c r="I14" s="82"/>
      <c r="J14" s="82"/>
      <c r="K14" s="82"/>
      <c r="L14" s="82"/>
      <c r="M14" s="82"/>
      <c r="N14" s="83"/>
      <c r="O14" s="81"/>
      <c r="P14" s="82"/>
      <c r="Q14" s="82"/>
      <c r="R14" s="82"/>
      <c r="S14" s="131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3"/>
      <c r="AX14" s="127"/>
      <c r="AY14" s="127"/>
      <c r="AZ14" s="127"/>
      <c r="BA14" s="127"/>
      <c r="BB14" s="127"/>
      <c r="BC14" s="128"/>
      <c r="BD14" s="130"/>
      <c r="BE14" s="127"/>
      <c r="BF14" s="127"/>
      <c r="BG14" s="127"/>
      <c r="BH14" s="127"/>
      <c r="BI14" s="127"/>
      <c r="BJ14" s="128"/>
      <c r="BK14" s="49"/>
    </row>
    <row r="15" spans="1:63" ht="15" customHeight="1" x14ac:dyDescent="0.25">
      <c r="A15" s="48"/>
      <c r="B15" s="78"/>
      <c r="C15" s="79"/>
      <c r="D15" s="79"/>
      <c r="E15" s="79"/>
      <c r="F15" s="79"/>
      <c r="G15" s="80"/>
      <c r="H15" s="78"/>
      <c r="I15" s="79"/>
      <c r="J15" s="79"/>
      <c r="K15" s="79"/>
      <c r="L15" s="79"/>
      <c r="M15" s="79"/>
      <c r="N15" s="80"/>
      <c r="O15" s="78"/>
      <c r="P15" s="79"/>
      <c r="Q15" s="79"/>
      <c r="R15" s="79"/>
      <c r="S15" s="122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4"/>
      <c r="AX15" s="125"/>
      <c r="AY15" s="125"/>
      <c r="AZ15" s="125"/>
      <c r="BA15" s="125"/>
      <c r="BB15" s="125"/>
      <c r="BC15" s="126"/>
      <c r="BD15" s="129"/>
      <c r="BE15" s="125"/>
      <c r="BF15" s="125"/>
      <c r="BG15" s="125"/>
      <c r="BH15" s="125"/>
      <c r="BI15" s="125"/>
      <c r="BJ15" s="126"/>
      <c r="BK15" s="49"/>
    </row>
    <row r="16" spans="1:63" ht="15" customHeight="1" x14ac:dyDescent="0.25">
      <c r="A16" s="48"/>
      <c r="B16" s="81"/>
      <c r="C16" s="82"/>
      <c r="D16" s="82"/>
      <c r="E16" s="82"/>
      <c r="F16" s="82"/>
      <c r="G16" s="83"/>
      <c r="H16" s="81"/>
      <c r="I16" s="82"/>
      <c r="J16" s="82"/>
      <c r="K16" s="82"/>
      <c r="L16" s="82"/>
      <c r="M16" s="82"/>
      <c r="N16" s="83"/>
      <c r="O16" s="81"/>
      <c r="P16" s="82"/>
      <c r="Q16" s="82"/>
      <c r="R16" s="82"/>
      <c r="S16" s="131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3"/>
      <c r="AX16" s="127"/>
      <c r="AY16" s="127"/>
      <c r="AZ16" s="127"/>
      <c r="BA16" s="127"/>
      <c r="BB16" s="127"/>
      <c r="BC16" s="128"/>
      <c r="BD16" s="130"/>
      <c r="BE16" s="127"/>
      <c r="BF16" s="127"/>
      <c r="BG16" s="127"/>
      <c r="BH16" s="127"/>
      <c r="BI16" s="127"/>
      <c r="BJ16" s="128"/>
      <c r="BK16" s="49"/>
    </row>
    <row r="17" spans="1:63" ht="15" customHeight="1" x14ac:dyDescent="0.25">
      <c r="A17" s="48"/>
      <c r="B17" s="78"/>
      <c r="C17" s="79"/>
      <c r="D17" s="79"/>
      <c r="E17" s="79"/>
      <c r="F17" s="79"/>
      <c r="G17" s="80"/>
      <c r="H17" s="78"/>
      <c r="I17" s="79"/>
      <c r="J17" s="79"/>
      <c r="K17" s="79"/>
      <c r="L17" s="79"/>
      <c r="M17" s="79"/>
      <c r="N17" s="80"/>
      <c r="O17" s="78"/>
      <c r="P17" s="79"/>
      <c r="Q17" s="79"/>
      <c r="R17" s="79"/>
      <c r="S17" s="122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4"/>
      <c r="AX17" s="125"/>
      <c r="AY17" s="125"/>
      <c r="AZ17" s="125"/>
      <c r="BA17" s="125"/>
      <c r="BB17" s="125"/>
      <c r="BC17" s="126"/>
      <c r="BD17" s="129"/>
      <c r="BE17" s="125"/>
      <c r="BF17" s="125"/>
      <c r="BG17" s="125"/>
      <c r="BH17" s="125"/>
      <c r="BI17" s="125"/>
      <c r="BJ17" s="126"/>
      <c r="BK17" s="49"/>
    </row>
    <row r="18" spans="1:63" ht="15" customHeight="1" x14ac:dyDescent="0.25">
      <c r="A18" s="48"/>
      <c r="B18" s="81"/>
      <c r="C18" s="82"/>
      <c r="D18" s="82"/>
      <c r="E18" s="82"/>
      <c r="F18" s="82"/>
      <c r="G18" s="83"/>
      <c r="H18" s="81"/>
      <c r="I18" s="82"/>
      <c r="J18" s="82"/>
      <c r="K18" s="82"/>
      <c r="L18" s="82"/>
      <c r="M18" s="82"/>
      <c r="N18" s="83"/>
      <c r="O18" s="81"/>
      <c r="P18" s="82"/>
      <c r="Q18" s="82"/>
      <c r="R18" s="82"/>
      <c r="S18" s="131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3"/>
      <c r="AX18" s="127"/>
      <c r="AY18" s="127"/>
      <c r="AZ18" s="127"/>
      <c r="BA18" s="127"/>
      <c r="BB18" s="127"/>
      <c r="BC18" s="128"/>
      <c r="BD18" s="130"/>
      <c r="BE18" s="127"/>
      <c r="BF18" s="127"/>
      <c r="BG18" s="127"/>
      <c r="BH18" s="127"/>
      <c r="BI18" s="127"/>
      <c r="BJ18" s="128"/>
      <c r="BK18" s="49"/>
    </row>
    <row r="19" spans="1:63" ht="15" customHeight="1" x14ac:dyDescent="0.25">
      <c r="A19" s="48"/>
      <c r="B19" s="78"/>
      <c r="C19" s="79"/>
      <c r="D19" s="79"/>
      <c r="E19" s="79"/>
      <c r="F19" s="79"/>
      <c r="G19" s="80"/>
      <c r="H19" s="78"/>
      <c r="I19" s="79"/>
      <c r="J19" s="79"/>
      <c r="K19" s="79"/>
      <c r="L19" s="79"/>
      <c r="M19" s="79"/>
      <c r="N19" s="80"/>
      <c r="O19" s="78"/>
      <c r="P19" s="79"/>
      <c r="Q19" s="79"/>
      <c r="R19" s="79"/>
      <c r="S19" s="122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4"/>
      <c r="AX19" s="125"/>
      <c r="AY19" s="125"/>
      <c r="AZ19" s="125"/>
      <c r="BA19" s="125"/>
      <c r="BB19" s="125"/>
      <c r="BC19" s="126"/>
      <c r="BD19" s="129"/>
      <c r="BE19" s="125"/>
      <c r="BF19" s="125"/>
      <c r="BG19" s="125"/>
      <c r="BH19" s="125"/>
      <c r="BI19" s="125"/>
      <c r="BJ19" s="126"/>
      <c r="BK19" s="49"/>
    </row>
    <row r="20" spans="1:63" ht="15" customHeight="1" x14ac:dyDescent="0.25">
      <c r="A20" s="48"/>
      <c r="B20" s="81"/>
      <c r="C20" s="82"/>
      <c r="D20" s="82"/>
      <c r="E20" s="82"/>
      <c r="F20" s="82"/>
      <c r="G20" s="83"/>
      <c r="H20" s="81"/>
      <c r="I20" s="82"/>
      <c r="J20" s="82"/>
      <c r="K20" s="82"/>
      <c r="L20" s="82"/>
      <c r="M20" s="82"/>
      <c r="N20" s="83"/>
      <c r="O20" s="81"/>
      <c r="P20" s="82"/>
      <c r="Q20" s="82"/>
      <c r="R20" s="82"/>
      <c r="S20" s="131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3"/>
      <c r="AX20" s="127"/>
      <c r="AY20" s="127"/>
      <c r="AZ20" s="127"/>
      <c r="BA20" s="127"/>
      <c r="BB20" s="127"/>
      <c r="BC20" s="128"/>
      <c r="BD20" s="130"/>
      <c r="BE20" s="127"/>
      <c r="BF20" s="127"/>
      <c r="BG20" s="127"/>
      <c r="BH20" s="127"/>
      <c r="BI20" s="127"/>
      <c r="BJ20" s="128"/>
      <c r="BK20" s="49"/>
    </row>
    <row r="21" spans="1:63" ht="15" customHeight="1" x14ac:dyDescent="0.25">
      <c r="A21" s="48"/>
      <c r="B21" s="78"/>
      <c r="C21" s="79"/>
      <c r="D21" s="79"/>
      <c r="E21" s="79"/>
      <c r="F21" s="79"/>
      <c r="G21" s="80"/>
      <c r="H21" s="78"/>
      <c r="I21" s="79"/>
      <c r="J21" s="79"/>
      <c r="K21" s="79"/>
      <c r="L21" s="79"/>
      <c r="M21" s="79"/>
      <c r="N21" s="80"/>
      <c r="O21" s="78"/>
      <c r="P21" s="79"/>
      <c r="Q21" s="79"/>
      <c r="R21" s="79"/>
      <c r="S21" s="122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4"/>
      <c r="AX21" s="125"/>
      <c r="AY21" s="125"/>
      <c r="AZ21" s="125"/>
      <c r="BA21" s="125"/>
      <c r="BB21" s="125"/>
      <c r="BC21" s="126"/>
      <c r="BD21" s="129"/>
      <c r="BE21" s="125"/>
      <c r="BF21" s="125"/>
      <c r="BG21" s="125"/>
      <c r="BH21" s="125"/>
      <c r="BI21" s="125"/>
      <c r="BJ21" s="126"/>
      <c r="BK21" s="49"/>
    </row>
    <row r="22" spans="1:63" ht="15" customHeight="1" x14ac:dyDescent="0.25">
      <c r="A22" s="48"/>
      <c r="B22" s="81"/>
      <c r="C22" s="82"/>
      <c r="D22" s="82"/>
      <c r="E22" s="82"/>
      <c r="F22" s="82"/>
      <c r="G22" s="83"/>
      <c r="H22" s="81"/>
      <c r="I22" s="82"/>
      <c r="J22" s="82"/>
      <c r="K22" s="82"/>
      <c r="L22" s="82"/>
      <c r="M22" s="82"/>
      <c r="N22" s="83"/>
      <c r="O22" s="81"/>
      <c r="P22" s="82"/>
      <c r="Q22" s="82"/>
      <c r="R22" s="82"/>
      <c r="S22" s="131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3"/>
      <c r="AX22" s="127"/>
      <c r="AY22" s="127"/>
      <c r="AZ22" s="127"/>
      <c r="BA22" s="127"/>
      <c r="BB22" s="127"/>
      <c r="BC22" s="128"/>
      <c r="BD22" s="130"/>
      <c r="BE22" s="127"/>
      <c r="BF22" s="127"/>
      <c r="BG22" s="127"/>
      <c r="BH22" s="127"/>
      <c r="BI22" s="127"/>
      <c r="BJ22" s="128"/>
      <c r="BK22" s="49"/>
    </row>
    <row r="23" spans="1:63" ht="15" customHeight="1" x14ac:dyDescent="0.25">
      <c r="A23" s="48"/>
      <c r="B23" s="78"/>
      <c r="C23" s="79"/>
      <c r="D23" s="79"/>
      <c r="E23" s="79"/>
      <c r="F23" s="79"/>
      <c r="G23" s="80"/>
      <c r="H23" s="78"/>
      <c r="I23" s="79"/>
      <c r="J23" s="79"/>
      <c r="K23" s="79"/>
      <c r="L23" s="79"/>
      <c r="M23" s="79"/>
      <c r="N23" s="80"/>
      <c r="O23" s="78"/>
      <c r="P23" s="79"/>
      <c r="Q23" s="79"/>
      <c r="R23" s="79"/>
      <c r="S23" s="122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4"/>
      <c r="AX23" s="125"/>
      <c r="AY23" s="125"/>
      <c r="AZ23" s="125"/>
      <c r="BA23" s="125"/>
      <c r="BB23" s="125"/>
      <c r="BC23" s="126"/>
      <c r="BD23" s="129"/>
      <c r="BE23" s="125"/>
      <c r="BF23" s="125"/>
      <c r="BG23" s="125"/>
      <c r="BH23" s="125"/>
      <c r="BI23" s="125"/>
      <c r="BJ23" s="126"/>
      <c r="BK23" s="49"/>
    </row>
    <row r="24" spans="1:63" ht="15" customHeight="1" x14ac:dyDescent="0.25">
      <c r="A24" s="48"/>
      <c r="B24" s="81"/>
      <c r="C24" s="82"/>
      <c r="D24" s="82"/>
      <c r="E24" s="82"/>
      <c r="F24" s="82"/>
      <c r="G24" s="83"/>
      <c r="H24" s="81"/>
      <c r="I24" s="82"/>
      <c r="J24" s="82"/>
      <c r="K24" s="82"/>
      <c r="L24" s="82"/>
      <c r="M24" s="82"/>
      <c r="N24" s="83"/>
      <c r="O24" s="81"/>
      <c r="P24" s="82"/>
      <c r="Q24" s="82"/>
      <c r="R24" s="82"/>
      <c r="S24" s="131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3"/>
      <c r="AX24" s="127"/>
      <c r="AY24" s="127"/>
      <c r="AZ24" s="127"/>
      <c r="BA24" s="127"/>
      <c r="BB24" s="127"/>
      <c r="BC24" s="128"/>
      <c r="BD24" s="130"/>
      <c r="BE24" s="127"/>
      <c r="BF24" s="127"/>
      <c r="BG24" s="127"/>
      <c r="BH24" s="127"/>
      <c r="BI24" s="127"/>
      <c r="BJ24" s="128"/>
      <c r="BK24" s="49"/>
    </row>
    <row r="25" spans="1:63" ht="15" customHeight="1" x14ac:dyDescent="0.25">
      <c r="A25" s="48"/>
      <c r="B25" s="78"/>
      <c r="C25" s="79"/>
      <c r="D25" s="79"/>
      <c r="E25" s="79"/>
      <c r="F25" s="79"/>
      <c r="G25" s="80"/>
      <c r="H25" s="78"/>
      <c r="I25" s="79"/>
      <c r="J25" s="79"/>
      <c r="K25" s="79"/>
      <c r="L25" s="79"/>
      <c r="M25" s="79"/>
      <c r="N25" s="80"/>
      <c r="O25" s="78"/>
      <c r="P25" s="79"/>
      <c r="Q25" s="79"/>
      <c r="R25" s="79"/>
      <c r="S25" s="122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4"/>
      <c r="AX25" s="125"/>
      <c r="AY25" s="125"/>
      <c r="AZ25" s="125"/>
      <c r="BA25" s="125"/>
      <c r="BB25" s="125"/>
      <c r="BC25" s="126"/>
      <c r="BD25" s="129"/>
      <c r="BE25" s="125"/>
      <c r="BF25" s="125"/>
      <c r="BG25" s="125"/>
      <c r="BH25" s="125"/>
      <c r="BI25" s="125"/>
      <c r="BJ25" s="126"/>
      <c r="BK25" s="49"/>
    </row>
    <row r="26" spans="1:63" ht="15" customHeight="1" x14ac:dyDescent="0.25">
      <c r="A26" s="48"/>
      <c r="B26" s="81"/>
      <c r="C26" s="82"/>
      <c r="D26" s="82"/>
      <c r="E26" s="82"/>
      <c r="F26" s="82"/>
      <c r="G26" s="83"/>
      <c r="H26" s="81"/>
      <c r="I26" s="82"/>
      <c r="J26" s="82"/>
      <c r="K26" s="82"/>
      <c r="L26" s="82"/>
      <c r="M26" s="82"/>
      <c r="N26" s="83"/>
      <c r="O26" s="81"/>
      <c r="P26" s="82"/>
      <c r="Q26" s="82"/>
      <c r="R26" s="82"/>
      <c r="S26" s="131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3"/>
      <c r="AX26" s="127"/>
      <c r="AY26" s="127"/>
      <c r="AZ26" s="127"/>
      <c r="BA26" s="127"/>
      <c r="BB26" s="127"/>
      <c r="BC26" s="128"/>
      <c r="BD26" s="130"/>
      <c r="BE26" s="127"/>
      <c r="BF26" s="127"/>
      <c r="BG26" s="127"/>
      <c r="BH26" s="127"/>
      <c r="BI26" s="127"/>
      <c r="BJ26" s="128"/>
      <c r="BK26" s="49"/>
    </row>
    <row r="27" spans="1:63" ht="15" customHeight="1" x14ac:dyDescent="0.25">
      <c r="A27" s="48"/>
      <c r="B27" s="78"/>
      <c r="C27" s="79"/>
      <c r="D27" s="79"/>
      <c r="E27" s="79"/>
      <c r="F27" s="79"/>
      <c r="G27" s="80"/>
      <c r="H27" s="78"/>
      <c r="I27" s="79"/>
      <c r="J27" s="79"/>
      <c r="K27" s="79"/>
      <c r="L27" s="79"/>
      <c r="M27" s="79"/>
      <c r="N27" s="80"/>
      <c r="O27" s="78"/>
      <c r="P27" s="79"/>
      <c r="Q27" s="79"/>
      <c r="R27" s="79"/>
      <c r="S27" s="122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4"/>
      <c r="AX27" s="125"/>
      <c r="AY27" s="125"/>
      <c r="AZ27" s="125"/>
      <c r="BA27" s="125"/>
      <c r="BB27" s="125"/>
      <c r="BC27" s="126"/>
      <c r="BD27" s="129"/>
      <c r="BE27" s="125"/>
      <c r="BF27" s="125"/>
      <c r="BG27" s="125"/>
      <c r="BH27" s="125"/>
      <c r="BI27" s="125"/>
      <c r="BJ27" s="126"/>
      <c r="BK27" s="49"/>
    </row>
    <row r="28" spans="1:63" ht="15" customHeight="1" x14ac:dyDescent="0.25">
      <c r="A28" s="48"/>
      <c r="B28" s="81"/>
      <c r="C28" s="82"/>
      <c r="D28" s="82"/>
      <c r="E28" s="82"/>
      <c r="F28" s="82"/>
      <c r="G28" s="83"/>
      <c r="H28" s="81"/>
      <c r="I28" s="82"/>
      <c r="J28" s="82"/>
      <c r="K28" s="82"/>
      <c r="L28" s="82"/>
      <c r="M28" s="82"/>
      <c r="N28" s="83"/>
      <c r="O28" s="81"/>
      <c r="P28" s="82"/>
      <c r="Q28" s="82"/>
      <c r="R28" s="82"/>
      <c r="S28" s="131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3"/>
      <c r="AX28" s="127"/>
      <c r="AY28" s="127"/>
      <c r="AZ28" s="127"/>
      <c r="BA28" s="127"/>
      <c r="BB28" s="127"/>
      <c r="BC28" s="128"/>
      <c r="BD28" s="130"/>
      <c r="BE28" s="127"/>
      <c r="BF28" s="127"/>
      <c r="BG28" s="127"/>
      <c r="BH28" s="127"/>
      <c r="BI28" s="127"/>
      <c r="BJ28" s="128"/>
      <c r="BK28" s="49"/>
    </row>
    <row r="29" spans="1:63" ht="15" customHeight="1" x14ac:dyDescent="0.25">
      <c r="A29" s="48"/>
      <c r="B29" s="78"/>
      <c r="C29" s="79"/>
      <c r="D29" s="79"/>
      <c r="E29" s="79"/>
      <c r="F29" s="79"/>
      <c r="G29" s="80"/>
      <c r="H29" s="78"/>
      <c r="I29" s="79"/>
      <c r="J29" s="79"/>
      <c r="K29" s="79"/>
      <c r="L29" s="79"/>
      <c r="M29" s="79"/>
      <c r="N29" s="80"/>
      <c r="O29" s="78"/>
      <c r="P29" s="79"/>
      <c r="Q29" s="79"/>
      <c r="R29" s="79"/>
      <c r="S29" s="122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4"/>
      <c r="AX29" s="125"/>
      <c r="AY29" s="125"/>
      <c r="AZ29" s="125"/>
      <c r="BA29" s="125"/>
      <c r="BB29" s="125"/>
      <c r="BC29" s="126"/>
      <c r="BD29" s="129"/>
      <c r="BE29" s="125"/>
      <c r="BF29" s="125"/>
      <c r="BG29" s="125"/>
      <c r="BH29" s="125"/>
      <c r="BI29" s="125"/>
      <c r="BJ29" s="126"/>
      <c r="BK29" s="49"/>
    </row>
    <row r="30" spans="1:63" ht="15" customHeight="1" x14ac:dyDescent="0.25">
      <c r="A30" s="48"/>
      <c r="B30" s="81"/>
      <c r="C30" s="82"/>
      <c r="D30" s="82"/>
      <c r="E30" s="82"/>
      <c r="F30" s="82"/>
      <c r="G30" s="83"/>
      <c r="H30" s="81"/>
      <c r="I30" s="82"/>
      <c r="J30" s="82"/>
      <c r="K30" s="82"/>
      <c r="L30" s="82"/>
      <c r="M30" s="82"/>
      <c r="N30" s="83"/>
      <c r="O30" s="81"/>
      <c r="P30" s="82"/>
      <c r="Q30" s="82"/>
      <c r="R30" s="82"/>
      <c r="S30" s="131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3"/>
      <c r="AX30" s="127"/>
      <c r="AY30" s="127"/>
      <c r="AZ30" s="127"/>
      <c r="BA30" s="127"/>
      <c r="BB30" s="127"/>
      <c r="BC30" s="128"/>
      <c r="BD30" s="130"/>
      <c r="BE30" s="127"/>
      <c r="BF30" s="127"/>
      <c r="BG30" s="127"/>
      <c r="BH30" s="127"/>
      <c r="BI30" s="127"/>
      <c r="BJ30" s="128"/>
      <c r="BK30" s="49"/>
    </row>
    <row r="31" spans="1:63" ht="15" customHeight="1" x14ac:dyDescent="0.25">
      <c r="A31" s="48"/>
      <c r="B31" s="78"/>
      <c r="C31" s="79"/>
      <c r="D31" s="79"/>
      <c r="E31" s="79"/>
      <c r="F31" s="79"/>
      <c r="G31" s="80"/>
      <c r="H31" s="78"/>
      <c r="I31" s="79"/>
      <c r="J31" s="79"/>
      <c r="K31" s="79"/>
      <c r="L31" s="79"/>
      <c r="M31" s="79"/>
      <c r="N31" s="80"/>
      <c r="O31" s="78"/>
      <c r="P31" s="79"/>
      <c r="Q31" s="79"/>
      <c r="R31" s="79"/>
      <c r="S31" s="122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4"/>
      <c r="AX31" s="125"/>
      <c r="AY31" s="125"/>
      <c r="AZ31" s="125"/>
      <c r="BA31" s="125"/>
      <c r="BB31" s="125"/>
      <c r="BC31" s="126"/>
      <c r="BD31" s="129"/>
      <c r="BE31" s="125"/>
      <c r="BF31" s="125"/>
      <c r="BG31" s="125"/>
      <c r="BH31" s="125"/>
      <c r="BI31" s="125"/>
      <c r="BJ31" s="126"/>
      <c r="BK31" s="49"/>
    </row>
    <row r="32" spans="1:63" ht="15" customHeight="1" x14ac:dyDescent="0.25">
      <c r="A32" s="48"/>
      <c r="B32" s="81"/>
      <c r="C32" s="82"/>
      <c r="D32" s="82"/>
      <c r="E32" s="82"/>
      <c r="F32" s="82"/>
      <c r="G32" s="83"/>
      <c r="H32" s="81"/>
      <c r="I32" s="82"/>
      <c r="J32" s="82"/>
      <c r="K32" s="82"/>
      <c r="L32" s="82"/>
      <c r="M32" s="82"/>
      <c r="N32" s="83"/>
      <c r="O32" s="81"/>
      <c r="P32" s="82"/>
      <c r="Q32" s="82"/>
      <c r="R32" s="82"/>
      <c r="S32" s="131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3"/>
      <c r="AX32" s="127"/>
      <c r="AY32" s="127"/>
      <c r="AZ32" s="127"/>
      <c r="BA32" s="127"/>
      <c r="BB32" s="127"/>
      <c r="BC32" s="128"/>
      <c r="BD32" s="130"/>
      <c r="BE32" s="127"/>
      <c r="BF32" s="127"/>
      <c r="BG32" s="127"/>
      <c r="BH32" s="127"/>
      <c r="BI32" s="127"/>
      <c r="BJ32" s="128"/>
      <c r="BK32" s="49"/>
    </row>
    <row r="33" spans="1:63" ht="15" customHeight="1" x14ac:dyDescent="0.25">
      <c r="A33" s="48"/>
      <c r="B33" s="78"/>
      <c r="C33" s="79"/>
      <c r="D33" s="79"/>
      <c r="E33" s="79"/>
      <c r="F33" s="79"/>
      <c r="G33" s="80"/>
      <c r="H33" s="78"/>
      <c r="I33" s="79"/>
      <c r="J33" s="79"/>
      <c r="K33" s="79"/>
      <c r="L33" s="79"/>
      <c r="M33" s="79"/>
      <c r="N33" s="80"/>
      <c r="O33" s="78"/>
      <c r="P33" s="79"/>
      <c r="Q33" s="79"/>
      <c r="R33" s="79"/>
      <c r="S33" s="122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123"/>
      <c r="AW33" s="124"/>
      <c r="AX33" s="125"/>
      <c r="AY33" s="125"/>
      <c r="AZ33" s="125"/>
      <c r="BA33" s="125"/>
      <c r="BB33" s="125"/>
      <c r="BC33" s="126"/>
      <c r="BD33" s="129"/>
      <c r="BE33" s="125"/>
      <c r="BF33" s="125"/>
      <c r="BG33" s="125"/>
      <c r="BH33" s="125"/>
      <c r="BI33" s="125"/>
      <c r="BJ33" s="126"/>
      <c r="BK33" s="49"/>
    </row>
    <row r="34" spans="1:63" ht="15" customHeight="1" x14ac:dyDescent="0.25">
      <c r="A34" s="48"/>
      <c r="B34" s="81"/>
      <c r="C34" s="82"/>
      <c r="D34" s="82"/>
      <c r="E34" s="82"/>
      <c r="F34" s="82"/>
      <c r="G34" s="83"/>
      <c r="H34" s="81"/>
      <c r="I34" s="82"/>
      <c r="J34" s="82"/>
      <c r="K34" s="82"/>
      <c r="L34" s="82"/>
      <c r="M34" s="82"/>
      <c r="N34" s="83"/>
      <c r="O34" s="81"/>
      <c r="P34" s="82"/>
      <c r="Q34" s="82"/>
      <c r="R34" s="82"/>
      <c r="S34" s="131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3"/>
      <c r="AX34" s="127"/>
      <c r="AY34" s="127"/>
      <c r="AZ34" s="127"/>
      <c r="BA34" s="127"/>
      <c r="BB34" s="127"/>
      <c r="BC34" s="128"/>
      <c r="BD34" s="130"/>
      <c r="BE34" s="127"/>
      <c r="BF34" s="127"/>
      <c r="BG34" s="127"/>
      <c r="BH34" s="127"/>
      <c r="BI34" s="127"/>
      <c r="BJ34" s="128"/>
      <c r="BK34" s="49"/>
    </row>
    <row r="35" spans="1:63" ht="15" customHeight="1" x14ac:dyDescent="0.25">
      <c r="A35" s="48"/>
      <c r="B35" s="78"/>
      <c r="C35" s="79"/>
      <c r="D35" s="79"/>
      <c r="E35" s="79"/>
      <c r="F35" s="79"/>
      <c r="G35" s="80"/>
      <c r="H35" s="78"/>
      <c r="I35" s="79"/>
      <c r="J35" s="79"/>
      <c r="K35" s="79"/>
      <c r="L35" s="79"/>
      <c r="M35" s="79"/>
      <c r="N35" s="80"/>
      <c r="O35" s="78"/>
      <c r="P35" s="79"/>
      <c r="Q35" s="79"/>
      <c r="R35" s="79"/>
      <c r="S35" s="122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4"/>
      <c r="AX35" s="125"/>
      <c r="AY35" s="125"/>
      <c r="AZ35" s="125"/>
      <c r="BA35" s="125"/>
      <c r="BB35" s="125"/>
      <c r="BC35" s="126"/>
      <c r="BD35" s="129"/>
      <c r="BE35" s="125"/>
      <c r="BF35" s="125"/>
      <c r="BG35" s="125"/>
      <c r="BH35" s="125"/>
      <c r="BI35" s="125"/>
      <c r="BJ35" s="126"/>
      <c r="BK35" s="49"/>
    </row>
    <row r="36" spans="1:63" ht="15" customHeight="1" x14ac:dyDescent="0.25">
      <c r="A36" s="48"/>
      <c r="B36" s="81"/>
      <c r="C36" s="82"/>
      <c r="D36" s="82"/>
      <c r="E36" s="82"/>
      <c r="F36" s="82"/>
      <c r="G36" s="83"/>
      <c r="H36" s="81"/>
      <c r="I36" s="82"/>
      <c r="J36" s="82"/>
      <c r="K36" s="82"/>
      <c r="L36" s="82"/>
      <c r="M36" s="82"/>
      <c r="N36" s="83"/>
      <c r="O36" s="81"/>
      <c r="P36" s="82"/>
      <c r="Q36" s="82"/>
      <c r="R36" s="82"/>
      <c r="S36" s="131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3"/>
      <c r="AX36" s="127"/>
      <c r="AY36" s="127"/>
      <c r="AZ36" s="127"/>
      <c r="BA36" s="127"/>
      <c r="BB36" s="127"/>
      <c r="BC36" s="128"/>
      <c r="BD36" s="130"/>
      <c r="BE36" s="127"/>
      <c r="BF36" s="127"/>
      <c r="BG36" s="127"/>
      <c r="BH36" s="127"/>
      <c r="BI36" s="127"/>
      <c r="BJ36" s="128"/>
      <c r="BK36" s="49"/>
    </row>
    <row r="37" spans="1:63" ht="15" customHeight="1" x14ac:dyDescent="0.25">
      <c r="A37" s="48"/>
      <c r="B37" s="78"/>
      <c r="C37" s="79"/>
      <c r="D37" s="79"/>
      <c r="E37" s="79"/>
      <c r="F37" s="79"/>
      <c r="G37" s="80"/>
      <c r="H37" s="78"/>
      <c r="I37" s="79"/>
      <c r="J37" s="79"/>
      <c r="K37" s="79"/>
      <c r="L37" s="79"/>
      <c r="M37" s="79"/>
      <c r="N37" s="80"/>
      <c r="O37" s="78"/>
      <c r="P37" s="79"/>
      <c r="Q37" s="79"/>
      <c r="R37" s="79"/>
      <c r="S37" s="122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4"/>
      <c r="AX37" s="125"/>
      <c r="AY37" s="125"/>
      <c r="AZ37" s="125"/>
      <c r="BA37" s="125"/>
      <c r="BB37" s="125"/>
      <c r="BC37" s="126"/>
      <c r="BD37" s="129"/>
      <c r="BE37" s="125"/>
      <c r="BF37" s="125"/>
      <c r="BG37" s="125"/>
      <c r="BH37" s="125"/>
      <c r="BI37" s="125"/>
      <c r="BJ37" s="126"/>
      <c r="BK37" s="49"/>
    </row>
    <row r="38" spans="1:63" ht="15" customHeight="1" x14ac:dyDescent="0.25">
      <c r="A38" s="48"/>
      <c r="B38" s="81"/>
      <c r="C38" s="82"/>
      <c r="D38" s="82"/>
      <c r="E38" s="82"/>
      <c r="F38" s="82"/>
      <c r="G38" s="83"/>
      <c r="H38" s="81"/>
      <c r="I38" s="82"/>
      <c r="J38" s="82"/>
      <c r="K38" s="82"/>
      <c r="L38" s="82"/>
      <c r="M38" s="82"/>
      <c r="N38" s="83"/>
      <c r="O38" s="81"/>
      <c r="P38" s="82"/>
      <c r="Q38" s="82"/>
      <c r="R38" s="82"/>
      <c r="S38" s="131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3"/>
      <c r="AX38" s="127"/>
      <c r="AY38" s="127"/>
      <c r="AZ38" s="127"/>
      <c r="BA38" s="127"/>
      <c r="BB38" s="127"/>
      <c r="BC38" s="128"/>
      <c r="BD38" s="130"/>
      <c r="BE38" s="127"/>
      <c r="BF38" s="127"/>
      <c r="BG38" s="127"/>
      <c r="BH38" s="127"/>
      <c r="BI38" s="127"/>
      <c r="BJ38" s="128"/>
      <c r="BK38" s="49"/>
    </row>
    <row r="39" spans="1:63" ht="15" customHeight="1" x14ac:dyDescent="0.25">
      <c r="A39" s="48"/>
      <c r="B39" s="78"/>
      <c r="C39" s="79"/>
      <c r="D39" s="79"/>
      <c r="E39" s="79"/>
      <c r="F39" s="79"/>
      <c r="G39" s="80"/>
      <c r="H39" s="78"/>
      <c r="I39" s="79"/>
      <c r="J39" s="79"/>
      <c r="K39" s="79"/>
      <c r="L39" s="79"/>
      <c r="M39" s="79"/>
      <c r="N39" s="80"/>
      <c r="O39" s="78"/>
      <c r="P39" s="79"/>
      <c r="Q39" s="79"/>
      <c r="R39" s="79"/>
      <c r="S39" s="122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4"/>
      <c r="AX39" s="125"/>
      <c r="AY39" s="125"/>
      <c r="AZ39" s="125"/>
      <c r="BA39" s="125"/>
      <c r="BB39" s="125"/>
      <c r="BC39" s="126"/>
      <c r="BD39" s="129"/>
      <c r="BE39" s="125"/>
      <c r="BF39" s="125"/>
      <c r="BG39" s="125"/>
      <c r="BH39" s="125"/>
      <c r="BI39" s="125"/>
      <c r="BJ39" s="126"/>
      <c r="BK39" s="49"/>
    </row>
    <row r="40" spans="1:63" ht="15" customHeight="1" x14ac:dyDescent="0.25">
      <c r="A40" s="48"/>
      <c r="B40" s="81"/>
      <c r="C40" s="82"/>
      <c r="D40" s="82"/>
      <c r="E40" s="82"/>
      <c r="F40" s="82"/>
      <c r="G40" s="83"/>
      <c r="H40" s="81"/>
      <c r="I40" s="82"/>
      <c r="J40" s="82"/>
      <c r="K40" s="82"/>
      <c r="L40" s="82"/>
      <c r="M40" s="82"/>
      <c r="N40" s="83"/>
      <c r="O40" s="81"/>
      <c r="P40" s="82"/>
      <c r="Q40" s="82"/>
      <c r="R40" s="82"/>
      <c r="S40" s="131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3"/>
      <c r="AX40" s="127"/>
      <c r="AY40" s="127"/>
      <c r="AZ40" s="127"/>
      <c r="BA40" s="127"/>
      <c r="BB40" s="127"/>
      <c r="BC40" s="128"/>
      <c r="BD40" s="130"/>
      <c r="BE40" s="127"/>
      <c r="BF40" s="127"/>
      <c r="BG40" s="127"/>
      <c r="BH40" s="127"/>
      <c r="BI40" s="127"/>
      <c r="BJ40" s="128"/>
      <c r="BK40" s="49"/>
    </row>
    <row r="41" spans="1:63" ht="15" customHeight="1" x14ac:dyDescent="0.25">
      <c r="A41" s="48"/>
      <c r="B41" s="78"/>
      <c r="C41" s="79"/>
      <c r="D41" s="79"/>
      <c r="E41" s="79"/>
      <c r="F41" s="79"/>
      <c r="G41" s="80"/>
      <c r="H41" s="78"/>
      <c r="I41" s="79"/>
      <c r="J41" s="79"/>
      <c r="K41" s="79"/>
      <c r="L41" s="79"/>
      <c r="M41" s="79"/>
      <c r="N41" s="80"/>
      <c r="O41" s="78"/>
      <c r="P41" s="79"/>
      <c r="Q41" s="79"/>
      <c r="R41" s="79"/>
      <c r="S41" s="122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4"/>
      <c r="AX41" s="125"/>
      <c r="AY41" s="125"/>
      <c r="AZ41" s="125"/>
      <c r="BA41" s="125"/>
      <c r="BB41" s="125"/>
      <c r="BC41" s="126"/>
      <c r="BD41" s="129"/>
      <c r="BE41" s="125"/>
      <c r="BF41" s="125"/>
      <c r="BG41" s="125"/>
      <c r="BH41" s="125"/>
      <c r="BI41" s="125"/>
      <c r="BJ41" s="126"/>
      <c r="BK41" s="49"/>
    </row>
    <row r="42" spans="1:63" ht="15" customHeight="1" x14ac:dyDescent="0.25">
      <c r="A42" s="48"/>
      <c r="B42" s="81"/>
      <c r="C42" s="82"/>
      <c r="D42" s="82"/>
      <c r="E42" s="82"/>
      <c r="F42" s="82"/>
      <c r="G42" s="83"/>
      <c r="H42" s="81"/>
      <c r="I42" s="82"/>
      <c r="J42" s="82"/>
      <c r="K42" s="82"/>
      <c r="L42" s="82"/>
      <c r="M42" s="82"/>
      <c r="N42" s="83"/>
      <c r="O42" s="81"/>
      <c r="P42" s="82"/>
      <c r="Q42" s="82"/>
      <c r="R42" s="82"/>
      <c r="S42" s="131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32"/>
      <c r="AH42" s="132"/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3"/>
      <c r="AX42" s="127"/>
      <c r="AY42" s="127"/>
      <c r="AZ42" s="127"/>
      <c r="BA42" s="127"/>
      <c r="BB42" s="127"/>
      <c r="BC42" s="128"/>
      <c r="BD42" s="130"/>
      <c r="BE42" s="127"/>
      <c r="BF42" s="127"/>
      <c r="BG42" s="127"/>
      <c r="BH42" s="127"/>
      <c r="BI42" s="127"/>
      <c r="BJ42" s="128"/>
      <c r="BK42" s="49"/>
    </row>
    <row r="43" spans="1:63" ht="15" customHeight="1" x14ac:dyDescent="0.25">
      <c r="A43" s="48"/>
      <c r="B43" s="78"/>
      <c r="C43" s="79"/>
      <c r="D43" s="79"/>
      <c r="E43" s="79"/>
      <c r="F43" s="79"/>
      <c r="G43" s="80"/>
      <c r="H43" s="78"/>
      <c r="I43" s="79"/>
      <c r="J43" s="79"/>
      <c r="K43" s="79"/>
      <c r="L43" s="79"/>
      <c r="M43" s="79"/>
      <c r="N43" s="80"/>
      <c r="O43" s="78"/>
      <c r="P43" s="79"/>
      <c r="Q43" s="79"/>
      <c r="R43" s="79"/>
      <c r="S43" s="122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4"/>
      <c r="AX43" s="125"/>
      <c r="AY43" s="125"/>
      <c r="AZ43" s="125"/>
      <c r="BA43" s="125"/>
      <c r="BB43" s="125"/>
      <c r="BC43" s="126"/>
      <c r="BD43" s="129"/>
      <c r="BE43" s="125"/>
      <c r="BF43" s="125"/>
      <c r="BG43" s="125"/>
      <c r="BH43" s="125"/>
      <c r="BI43" s="125"/>
      <c r="BJ43" s="126"/>
      <c r="BK43" s="49"/>
    </row>
    <row r="44" spans="1:63" ht="15" customHeight="1" x14ac:dyDescent="0.25">
      <c r="A44" s="48"/>
      <c r="B44" s="81"/>
      <c r="C44" s="82"/>
      <c r="D44" s="82"/>
      <c r="E44" s="82"/>
      <c r="F44" s="82"/>
      <c r="G44" s="83"/>
      <c r="H44" s="81"/>
      <c r="I44" s="82"/>
      <c r="J44" s="82"/>
      <c r="K44" s="82"/>
      <c r="L44" s="82"/>
      <c r="M44" s="82"/>
      <c r="N44" s="83"/>
      <c r="O44" s="81"/>
      <c r="P44" s="82"/>
      <c r="Q44" s="82"/>
      <c r="R44" s="82"/>
      <c r="S44" s="131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32"/>
      <c r="AU44" s="132"/>
      <c r="AV44" s="132"/>
      <c r="AW44" s="133"/>
      <c r="AX44" s="127"/>
      <c r="AY44" s="127"/>
      <c r="AZ44" s="127"/>
      <c r="BA44" s="127"/>
      <c r="BB44" s="127"/>
      <c r="BC44" s="128"/>
      <c r="BD44" s="130"/>
      <c r="BE44" s="127"/>
      <c r="BF44" s="127"/>
      <c r="BG44" s="127"/>
      <c r="BH44" s="127"/>
      <c r="BI44" s="127"/>
      <c r="BJ44" s="128"/>
      <c r="BK44" s="49"/>
    </row>
    <row r="45" spans="1:63" ht="15" customHeight="1" x14ac:dyDescent="0.25">
      <c r="A45" s="48"/>
      <c r="B45" s="78"/>
      <c r="C45" s="79"/>
      <c r="D45" s="79"/>
      <c r="E45" s="79"/>
      <c r="F45" s="79"/>
      <c r="G45" s="80"/>
      <c r="H45" s="78"/>
      <c r="I45" s="79"/>
      <c r="J45" s="79"/>
      <c r="K45" s="79"/>
      <c r="L45" s="79"/>
      <c r="M45" s="79"/>
      <c r="N45" s="80"/>
      <c r="O45" s="78"/>
      <c r="P45" s="79"/>
      <c r="Q45" s="79"/>
      <c r="R45" s="79"/>
      <c r="S45" s="122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4"/>
      <c r="AX45" s="125"/>
      <c r="AY45" s="125"/>
      <c r="AZ45" s="125"/>
      <c r="BA45" s="125"/>
      <c r="BB45" s="125"/>
      <c r="BC45" s="126"/>
      <c r="BD45" s="129"/>
      <c r="BE45" s="125"/>
      <c r="BF45" s="125"/>
      <c r="BG45" s="125"/>
      <c r="BH45" s="125"/>
      <c r="BI45" s="125"/>
      <c r="BJ45" s="126"/>
      <c r="BK45" s="49"/>
    </row>
    <row r="46" spans="1:63" ht="15" customHeight="1" x14ac:dyDescent="0.25">
      <c r="A46" s="48"/>
      <c r="B46" s="81"/>
      <c r="C46" s="82"/>
      <c r="D46" s="82"/>
      <c r="E46" s="82"/>
      <c r="F46" s="82"/>
      <c r="G46" s="83"/>
      <c r="H46" s="81"/>
      <c r="I46" s="82"/>
      <c r="J46" s="82"/>
      <c r="K46" s="82"/>
      <c r="L46" s="82"/>
      <c r="M46" s="82"/>
      <c r="N46" s="83"/>
      <c r="O46" s="81"/>
      <c r="P46" s="82"/>
      <c r="Q46" s="82"/>
      <c r="R46" s="82"/>
      <c r="S46" s="131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3"/>
      <c r="AX46" s="127"/>
      <c r="AY46" s="127"/>
      <c r="AZ46" s="127"/>
      <c r="BA46" s="127"/>
      <c r="BB46" s="127"/>
      <c r="BC46" s="128"/>
      <c r="BD46" s="130"/>
      <c r="BE46" s="127"/>
      <c r="BF46" s="127"/>
      <c r="BG46" s="127"/>
      <c r="BH46" s="127"/>
      <c r="BI46" s="127"/>
      <c r="BJ46" s="128"/>
      <c r="BK46" s="49"/>
    </row>
    <row r="47" spans="1:63" ht="15" customHeight="1" x14ac:dyDescent="0.25">
      <c r="A47" s="48"/>
      <c r="B47" s="78"/>
      <c r="C47" s="79"/>
      <c r="D47" s="79"/>
      <c r="E47" s="79"/>
      <c r="F47" s="79"/>
      <c r="G47" s="80"/>
      <c r="H47" s="78"/>
      <c r="I47" s="79"/>
      <c r="J47" s="79"/>
      <c r="K47" s="79"/>
      <c r="L47" s="79"/>
      <c r="M47" s="79"/>
      <c r="N47" s="80"/>
      <c r="O47" s="78"/>
      <c r="P47" s="79"/>
      <c r="Q47" s="79"/>
      <c r="R47" s="79"/>
      <c r="S47" s="122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4"/>
      <c r="AX47" s="125"/>
      <c r="AY47" s="125"/>
      <c r="AZ47" s="125"/>
      <c r="BA47" s="125"/>
      <c r="BB47" s="125"/>
      <c r="BC47" s="126"/>
      <c r="BD47" s="129"/>
      <c r="BE47" s="125"/>
      <c r="BF47" s="125"/>
      <c r="BG47" s="125"/>
      <c r="BH47" s="125"/>
      <c r="BI47" s="125"/>
      <c r="BJ47" s="126"/>
      <c r="BK47" s="49"/>
    </row>
    <row r="48" spans="1:63" ht="15" customHeight="1" x14ac:dyDescent="0.25">
      <c r="A48" s="48"/>
      <c r="B48" s="81"/>
      <c r="C48" s="82"/>
      <c r="D48" s="82"/>
      <c r="E48" s="82"/>
      <c r="F48" s="82"/>
      <c r="G48" s="83"/>
      <c r="H48" s="81"/>
      <c r="I48" s="82"/>
      <c r="J48" s="82"/>
      <c r="K48" s="82"/>
      <c r="L48" s="82"/>
      <c r="M48" s="82"/>
      <c r="N48" s="83"/>
      <c r="O48" s="81"/>
      <c r="P48" s="82"/>
      <c r="Q48" s="82"/>
      <c r="R48" s="82"/>
      <c r="S48" s="131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3"/>
      <c r="AX48" s="127"/>
      <c r="AY48" s="127"/>
      <c r="AZ48" s="127"/>
      <c r="BA48" s="127"/>
      <c r="BB48" s="127"/>
      <c r="BC48" s="128"/>
      <c r="BD48" s="130"/>
      <c r="BE48" s="127"/>
      <c r="BF48" s="127"/>
      <c r="BG48" s="127"/>
      <c r="BH48" s="127"/>
      <c r="BI48" s="127"/>
      <c r="BJ48" s="128"/>
      <c r="BK48" s="49"/>
    </row>
    <row r="49" spans="1:63" ht="15" customHeight="1" x14ac:dyDescent="0.25">
      <c r="A49" s="48"/>
      <c r="B49" s="78"/>
      <c r="C49" s="79"/>
      <c r="D49" s="79"/>
      <c r="E49" s="79"/>
      <c r="F49" s="79"/>
      <c r="G49" s="80"/>
      <c r="H49" s="78"/>
      <c r="I49" s="79"/>
      <c r="J49" s="79"/>
      <c r="K49" s="79"/>
      <c r="L49" s="79"/>
      <c r="M49" s="79"/>
      <c r="N49" s="80"/>
      <c r="O49" s="78"/>
      <c r="P49" s="79"/>
      <c r="Q49" s="79"/>
      <c r="R49" s="79"/>
      <c r="S49" s="122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4"/>
      <c r="AX49" s="125"/>
      <c r="AY49" s="125"/>
      <c r="AZ49" s="125"/>
      <c r="BA49" s="125"/>
      <c r="BB49" s="125"/>
      <c r="BC49" s="126"/>
      <c r="BD49" s="129"/>
      <c r="BE49" s="125"/>
      <c r="BF49" s="125"/>
      <c r="BG49" s="125"/>
      <c r="BH49" s="125"/>
      <c r="BI49" s="125"/>
      <c r="BJ49" s="126"/>
      <c r="BK49" s="49"/>
    </row>
    <row r="50" spans="1:63" ht="15" customHeight="1" x14ac:dyDescent="0.25">
      <c r="A50" s="48"/>
      <c r="B50" s="81"/>
      <c r="C50" s="82"/>
      <c r="D50" s="82"/>
      <c r="E50" s="82"/>
      <c r="F50" s="82"/>
      <c r="G50" s="83"/>
      <c r="H50" s="81"/>
      <c r="I50" s="82"/>
      <c r="J50" s="82"/>
      <c r="K50" s="82"/>
      <c r="L50" s="82"/>
      <c r="M50" s="82"/>
      <c r="N50" s="83"/>
      <c r="O50" s="81"/>
      <c r="P50" s="82"/>
      <c r="Q50" s="82"/>
      <c r="R50" s="82"/>
      <c r="S50" s="131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3"/>
      <c r="AX50" s="127"/>
      <c r="AY50" s="127"/>
      <c r="AZ50" s="127"/>
      <c r="BA50" s="127"/>
      <c r="BB50" s="127"/>
      <c r="BC50" s="128"/>
      <c r="BD50" s="130"/>
      <c r="BE50" s="127"/>
      <c r="BF50" s="127"/>
      <c r="BG50" s="127"/>
      <c r="BH50" s="127"/>
      <c r="BI50" s="127"/>
      <c r="BJ50" s="128"/>
      <c r="BK50" s="49"/>
    </row>
    <row r="51" spans="1:63" ht="15" customHeight="1" x14ac:dyDescent="0.25">
      <c r="A51" s="48"/>
      <c r="B51" s="78"/>
      <c r="C51" s="79"/>
      <c r="D51" s="79"/>
      <c r="E51" s="79"/>
      <c r="F51" s="79"/>
      <c r="G51" s="80"/>
      <c r="H51" s="78"/>
      <c r="I51" s="79"/>
      <c r="J51" s="79"/>
      <c r="K51" s="79"/>
      <c r="L51" s="79"/>
      <c r="M51" s="79"/>
      <c r="N51" s="80"/>
      <c r="O51" s="78"/>
      <c r="P51" s="79"/>
      <c r="Q51" s="79"/>
      <c r="R51" s="79"/>
      <c r="S51" s="122"/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4"/>
      <c r="AX51" s="125"/>
      <c r="AY51" s="125"/>
      <c r="AZ51" s="125"/>
      <c r="BA51" s="125"/>
      <c r="BB51" s="125"/>
      <c r="BC51" s="126"/>
      <c r="BD51" s="129"/>
      <c r="BE51" s="125"/>
      <c r="BF51" s="125"/>
      <c r="BG51" s="125"/>
      <c r="BH51" s="125"/>
      <c r="BI51" s="125"/>
      <c r="BJ51" s="126"/>
      <c r="BK51" s="49"/>
    </row>
    <row r="52" spans="1:63" ht="15" customHeight="1" x14ac:dyDescent="0.25">
      <c r="A52" s="48"/>
      <c r="B52" s="81"/>
      <c r="C52" s="82"/>
      <c r="D52" s="82"/>
      <c r="E52" s="82"/>
      <c r="F52" s="82"/>
      <c r="G52" s="83"/>
      <c r="H52" s="81"/>
      <c r="I52" s="82"/>
      <c r="J52" s="82"/>
      <c r="K52" s="82"/>
      <c r="L52" s="82"/>
      <c r="M52" s="82"/>
      <c r="N52" s="83"/>
      <c r="O52" s="81"/>
      <c r="P52" s="82"/>
      <c r="Q52" s="82"/>
      <c r="R52" s="82"/>
      <c r="S52" s="131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3"/>
      <c r="AX52" s="127"/>
      <c r="AY52" s="127"/>
      <c r="AZ52" s="127"/>
      <c r="BA52" s="127"/>
      <c r="BB52" s="127"/>
      <c r="BC52" s="128"/>
      <c r="BD52" s="130"/>
      <c r="BE52" s="127"/>
      <c r="BF52" s="127"/>
      <c r="BG52" s="127"/>
      <c r="BH52" s="127"/>
      <c r="BI52" s="127"/>
      <c r="BJ52" s="128"/>
      <c r="BK52" s="49"/>
    </row>
    <row r="53" spans="1:63" ht="15" customHeight="1" x14ac:dyDescent="0.25">
      <c r="A53" s="48"/>
      <c r="B53" s="78"/>
      <c r="C53" s="79"/>
      <c r="D53" s="79"/>
      <c r="E53" s="79"/>
      <c r="F53" s="79"/>
      <c r="G53" s="80"/>
      <c r="H53" s="78"/>
      <c r="I53" s="79"/>
      <c r="J53" s="79"/>
      <c r="K53" s="79"/>
      <c r="L53" s="79"/>
      <c r="M53" s="79"/>
      <c r="N53" s="80"/>
      <c r="O53" s="78"/>
      <c r="P53" s="79"/>
      <c r="Q53" s="79"/>
      <c r="R53" s="79"/>
      <c r="S53" s="122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4"/>
      <c r="AX53" s="125"/>
      <c r="AY53" s="125"/>
      <c r="AZ53" s="125"/>
      <c r="BA53" s="125"/>
      <c r="BB53" s="125"/>
      <c r="BC53" s="126"/>
      <c r="BD53" s="129"/>
      <c r="BE53" s="125"/>
      <c r="BF53" s="125"/>
      <c r="BG53" s="125"/>
      <c r="BH53" s="125"/>
      <c r="BI53" s="125"/>
      <c r="BJ53" s="126"/>
      <c r="BK53" s="49"/>
    </row>
    <row r="54" spans="1:63" ht="15" customHeight="1" x14ac:dyDescent="0.25">
      <c r="A54" s="48"/>
      <c r="B54" s="81"/>
      <c r="C54" s="82"/>
      <c r="D54" s="82"/>
      <c r="E54" s="82"/>
      <c r="F54" s="82"/>
      <c r="G54" s="83"/>
      <c r="H54" s="81"/>
      <c r="I54" s="82"/>
      <c r="J54" s="82"/>
      <c r="K54" s="82"/>
      <c r="L54" s="82"/>
      <c r="M54" s="82"/>
      <c r="N54" s="83"/>
      <c r="O54" s="81"/>
      <c r="P54" s="82"/>
      <c r="Q54" s="82"/>
      <c r="R54" s="82"/>
      <c r="S54" s="131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3"/>
      <c r="AX54" s="127"/>
      <c r="AY54" s="127"/>
      <c r="AZ54" s="127"/>
      <c r="BA54" s="127"/>
      <c r="BB54" s="127"/>
      <c r="BC54" s="128"/>
      <c r="BD54" s="130"/>
      <c r="BE54" s="127"/>
      <c r="BF54" s="127"/>
      <c r="BG54" s="127"/>
      <c r="BH54" s="127"/>
      <c r="BI54" s="127"/>
      <c r="BJ54" s="128"/>
      <c r="BK54" s="49"/>
    </row>
    <row r="55" spans="1:63" ht="15" customHeight="1" x14ac:dyDescent="0.25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7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5" t="s">
        <v>51</v>
      </c>
      <c r="B1" s="136"/>
      <c r="C1" s="136"/>
      <c r="D1" s="136"/>
      <c r="E1" s="136"/>
      <c r="F1" s="136"/>
      <c r="G1" s="136"/>
      <c r="H1" s="136"/>
      <c r="I1" s="136"/>
      <c r="J1" s="137"/>
      <c r="K1" s="135" t="s">
        <v>52</v>
      </c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48" t="str">
        <f>IF(表紙!W1="","",表紙!W1)</f>
        <v>詳細設計書</v>
      </c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50"/>
      <c r="AP1" s="75" t="s">
        <v>54</v>
      </c>
      <c r="AQ1" s="76"/>
      <c r="AR1" s="76"/>
      <c r="AS1" s="77"/>
      <c r="AT1" s="75" t="s">
        <v>55</v>
      </c>
      <c r="AU1" s="76"/>
      <c r="AV1" s="76"/>
      <c r="AW1" s="76"/>
      <c r="AX1" s="77"/>
      <c r="AY1" s="75" t="s">
        <v>56</v>
      </c>
      <c r="AZ1" s="76"/>
      <c r="BA1" s="76"/>
      <c r="BB1" s="77"/>
      <c r="BC1" s="75" t="s">
        <v>57</v>
      </c>
      <c r="BD1" s="76"/>
      <c r="BE1" s="76"/>
      <c r="BF1" s="76"/>
      <c r="BG1" s="77"/>
      <c r="BH1" s="75" t="s">
        <v>58</v>
      </c>
      <c r="BI1" s="76"/>
      <c r="BJ1" s="76"/>
      <c r="BK1" s="77"/>
    </row>
    <row r="2" spans="1:63" ht="15" customHeight="1" x14ac:dyDescent="0.25">
      <c r="A2" s="142" t="str">
        <f>IF(表紙!A2="","",表紙!A2)</f>
        <v>POSサーバー</v>
      </c>
      <c r="B2" s="143"/>
      <c r="C2" s="143"/>
      <c r="D2" s="143"/>
      <c r="E2" s="143"/>
      <c r="F2" s="143"/>
      <c r="G2" s="143"/>
      <c r="H2" s="143"/>
      <c r="I2" s="143"/>
      <c r="J2" s="144"/>
      <c r="K2" s="142" t="str">
        <f>IF(表紙!K2="","",表紙!K2)</f>
        <v>POSサーバー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78" t="str">
        <f>IF(表紙!AP2="","",表紙!AP2)</f>
        <v>SonMNT</v>
      </c>
      <c r="AQ2" s="79"/>
      <c r="AR2" s="79"/>
      <c r="AS2" s="80"/>
      <c r="AT2" s="106">
        <f>IF(表紙!AT2="","",表紙!AT2)</f>
        <v>45462</v>
      </c>
      <c r="AU2" s="107"/>
      <c r="AV2" s="107"/>
      <c r="AW2" s="107"/>
      <c r="AX2" s="108"/>
      <c r="AY2" s="78" t="str">
        <f>IF(表紙!AY2="","",表紙!AY2)</f>
        <v>SonMNT</v>
      </c>
      <c r="AZ2" s="79"/>
      <c r="BA2" s="79"/>
      <c r="BB2" s="80"/>
      <c r="BC2" s="106">
        <f>IF(表紙!BC2="","",表紙!BC2)</f>
        <v>45462</v>
      </c>
      <c r="BD2" s="107"/>
      <c r="BE2" s="107"/>
      <c r="BF2" s="107"/>
      <c r="BG2" s="108"/>
      <c r="BH2" s="78">
        <f>IF(表紙!BH2="","",表紙!BH2)</f>
        <v>0.1</v>
      </c>
      <c r="BI2" s="79"/>
      <c r="BJ2" s="79"/>
      <c r="BK2" s="80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54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6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81"/>
      <c r="BI3" s="82"/>
      <c r="BJ3" s="82"/>
      <c r="BK3" s="83"/>
    </row>
    <row r="4" spans="1:63" ht="24.95" customHeight="1" x14ac:dyDescent="0.25">
      <c r="A4" s="135" t="s">
        <v>60</v>
      </c>
      <c r="B4" s="136"/>
      <c r="C4" s="136"/>
      <c r="D4" s="136"/>
      <c r="E4" s="136"/>
      <c r="F4" s="136"/>
      <c r="G4" s="137"/>
      <c r="H4" s="138" t="str">
        <f>IF(表紙!H4="","",表紙!H4)</f>
        <v>AP1001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135" t="s">
        <v>61</v>
      </c>
      <c r="V4" s="136"/>
      <c r="W4" s="136"/>
      <c r="X4" s="136"/>
      <c r="Y4" s="137"/>
      <c r="Z4" s="138" t="str">
        <f>IF(表紙!Z4="","",表紙!Z4)</f>
        <v>API設計書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41" t="str">
        <f ca="1">MID(CELL("filename",A1),FIND("]",CELL("filename",A1))+1,255)</f>
        <v>処理フロー凡例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4" customFormat="1" ht="15" customHeight="1" x14ac:dyDescent="0.25">
      <c r="A7" s="60"/>
      <c r="B7" s="61" t="s">
        <v>69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3"/>
      <c r="AF7" s="64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3"/>
      <c r="BJ7" s="62"/>
      <c r="BK7" s="65"/>
    </row>
    <row r="8" spans="1:63" s="66" customFormat="1" ht="15" customHeight="1" x14ac:dyDescent="0.25">
      <c r="BK8" s="65"/>
    </row>
    <row r="9" spans="1:63" s="66" customFormat="1" ht="15" customHeight="1" x14ac:dyDescent="0.25">
      <c r="BK9" s="65"/>
    </row>
    <row r="10" spans="1:63" s="66" customFormat="1" ht="15" customHeight="1" x14ac:dyDescent="0.25">
      <c r="BK10" s="65"/>
    </row>
    <row r="11" spans="1:63" s="66" customFormat="1" ht="15" customHeight="1" x14ac:dyDescent="0.25">
      <c r="BK11" s="65"/>
    </row>
    <row r="12" spans="1:63" s="66" customFormat="1" ht="15" customHeight="1" x14ac:dyDescent="0.25">
      <c r="BK12" s="65"/>
    </row>
    <row r="13" spans="1:63" s="66" customFormat="1" ht="15" customHeight="1" x14ac:dyDescent="0.25">
      <c r="BK13" s="65"/>
    </row>
    <row r="14" spans="1:63" s="66" customFormat="1" ht="15" customHeight="1" x14ac:dyDescent="0.25">
      <c r="BK14" s="65"/>
    </row>
    <row r="15" spans="1:63" s="66" customFormat="1" ht="15" customHeight="1" x14ac:dyDescent="0.25">
      <c r="BK15" s="65"/>
    </row>
    <row r="16" spans="1:63" s="66" customFormat="1" ht="15" customHeight="1" x14ac:dyDescent="0.25">
      <c r="BK16" s="65"/>
    </row>
    <row r="17" spans="63:63" s="66" customFormat="1" ht="15" customHeight="1" x14ac:dyDescent="0.25">
      <c r="BK17" s="65"/>
    </row>
    <row r="18" spans="63:63" s="66" customFormat="1" ht="15" customHeight="1" x14ac:dyDescent="0.25">
      <c r="BK18" s="65"/>
    </row>
    <row r="19" spans="63:63" s="66" customFormat="1" ht="15" customHeight="1" x14ac:dyDescent="0.25">
      <c r="BK19" s="65"/>
    </row>
    <row r="20" spans="63:63" s="66" customFormat="1" ht="15" customHeight="1" x14ac:dyDescent="0.25">
      <c r="BK20" s="65"/>
    </row>
    <row r="21" spans="63:63" s="66" customFormat="1" ht="15" customHeight="1" x14ac:dyDescent="0.25">
      <c r="BK21" s="65"/>
    </row>
    <row r="22" spans="63:63" s="66" customFormat="1" ht="15" customHeight="1" x14ac:dyDescent="0.25">
      <c r="BK22" s="65"/>
    </row>
    <row r="23" spans="63:63" s="66" customFormat="1" ht="15" customHeight="1" x14ac:dyDescent="0.25">
      <c r="BK23" s="65"/>
    </row>
    <row r="24" spans="63:63" s="66" customFormat="1" ht="15" customHeight="1" x14ac:dyDescent="0.25">
      <c r="BK24" s="65"/>
    </row>
    <row r="25" spans="63:63" s="66" customFormat="1" ht="15" customHeight="1" x14ac:dyDescent="0.25">
      <c r="BK25" s="65"/>
    </row>
    <row r="26" spans="63:63" s="66" customFormat="1" ht="15" customHeight="1" x14ac:dyDescent="0.25">
      <c r="BK26" s="65"/>
    </row>
    <row r="27" spans="63:63" s="66" customFormat="1" ht="15" customHeight="1" x14ac:dyDescent="0.25">
      <c r="BK27" s="65"/>
    </row>
    <row r="28" spans="63:63" s="66" customFormat="1" ht="15" customHeight="1" x14ac:dyDescent="0.25">
      <c r="BK28" s="65"/>
    </row>
    <row r="29" spans="63:63" s="66" customFormat="1" ht="15" customHeight="1" x14ac:dyDescent="0.25">
      <c r="BK29" s="65"/>
    </row>
    <row r="30" spans="63:63" s="66" customFormat="1" ht="15" customHeight="1" x14ac:dyDescent="0.25">
      <c r="BK30" s="65"/>
    </row>
    <row r="31" spans="63:63" s="66" customFormat="1" ht="15" customHeight="1" x14ac:dyDescent="0.25">
      <c r="BK31" s="65"/>
    </row>
    <row r="32" spans="63:63" s="66" customFormat="1" ht="15" customHeight="1" x14ac:dyDescent="0.25">
      <c r="BK32" s="65"/>
    </row>
    <row r="33" spans="63:63" s="66" customFormat="1" ht="15" customHeight="1" x14ac:dyDescent="0.25">
      <c r="BK33" s="65"/>
    </row>
    <row r="34" spans="63:63" s="66" customFormat="1" ht="15" customHeight="1" x14ac:dyDescent="0.25">
      <c r="BK34" s="65"/>
    </row>
    <row r="35" spans="63:63" s="66" customFormat="1" ht="15" customHeight="1" x14ac:dyDescent="0.25">
      <c r="BK35" s="65"/>
    </row>
    <row r="36" spans="63:63" s="66" customFormat="1" ht="15" customHeight="1" x14ac:dyDescent="0.25">
      <c r="BK36" s="65"/>
    </row>
    <row r="37" spans="63:63" s="66" customFormat="1" ht="15" customHeight="1" x14ac:dyDescent="0.25">
      <c r="BK37" s="65"/>
    </row>
    <row r="38" spans="63:63" s="66" customFormat="1" ht="15" customHeight="1" x14ac:dyDescent="0.25">
      <c r="BK38" s="65"/>
    </row>
    <row r="39" spans="63:63" s="66" customFormat="1" ht="15" customHeight="1" x14ac:dyDescent="0.25">
      <c r="BK39" s="65"/>
    </row>
    <row r="40" spans="63:63" s="66" customFormat="1" ht="15" customHeight="1" x14ac:dyDescent="0.25">
      <c r="BK40" s="65"/>
    </row>
    <row r="41" spans="63:63" s="66" customFormat="1" ht="15" customHeight="1" x14ac:dyDescent="0.25">
      <c r="BK41" s="65"/>
    </row>
    <row r="42" spans="63:63" s="66" customFormat="1" ht="15" customHeight="1" x14ac:dyDescent="0.25">
      <c r="BK42" s="65"/>
    </row>
    <row r="43" spans="63:63" s="66" customFormat="1" ht="15" customHeight="1" x14ac:dyDescent="0.25">
      <c r="BK43" s="65"/>
    </row>
    <row r="44" spans="63:63" s="66" customFormat="1" ht="15" customHeight="1" x14ac:dyDescent="0.25">
      <c r="BK44" s="65"/>
    </row>
    <row r="45" spans="63:63" s="66" customFormat="1" ht="15" customHeight="1" x14ac:dyDescent="0.25">
      <c r="BK45" s="65"/>
    </row>
    <row r="46" spans="63:63" s="66" customFormat="1" ht="15" customHeight="1" x14ac:dyDescent="0.25">
      <c r="BK46" s="65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7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" customWidth="1"/>
    <col min="43" max="62" width="3.33203125" style="1" customWidth="1"/>
    <col min="63" max="63" width="2.77734375" style="1" customWidth="1"/>
    <col min="64" max="16384" width="10.109375" style="1"/>
  </cols>
  <sheetData>
    <row r="1" spans="1:63" ht="24.95" customHeight="1" x14ac:dyDescent="0.25">
      <c r="A1" s="135" t="s">
        <v>51</v>
      </c>
      <c r="B1" s="136"/>
      <c r="C1" s="136"/>
      <c r="D1" s="136"/>
      <c r="E1" s="136"/>
      <c r="F1" s="136"/>
      <c r="G1" s="136"/>
      <c r="H1" s="136"/>
      <c r="I1" s="136"/>
      <c r="J1" s="137"/>
      <c r="K1" s="135" t="s">
        <v>52</v>
      </c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48" t="str">
        <f>IF(表紙!W1="","",表紙!W1)</f>
        <v>詳細設計書</v>
      </c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50"/>
      <c r="AP1" s="75" t="s">
        <v>54</v>
      </c>
      <c r="AQ1" s="76"/>
      <c r="AR1" s="76"/>
      <c r="AS1" s="77"/>
      <c r="AT1" s="75" t="s">
        <v>55</v>
      </c>
      <c r="AU1" s="76"/>
      <c r="AV1" s="76"/>
      <c r="AW1" s="76"/>
      <c r="AX1" s="77"/>
      <c r="AY1" s="75" t="s">
        <v>56</v>
      </c>
      <c r="AZ1" s="76"/>
      <c r="BA1" s="76"/>
      <c r="BB1" s="77"/>
      <c r="BC1" s="75" t="s">
        <v>57</v>
      </c>
      <c r="BD1" s="76"/>
      <c r="BE1" s="76"/>
      <c r="BF1" s="76"/>
      <c r="BG1" s="77"/>
      <c r="BH1" s="75" t="s">
        <v>58</v>
      </c>
      <c r="BI1" s="76"/>
      <c r="BJ1" s="76"/>
      <c r="BK1" s="77"/>
    </row>
    <row r="2" spans="1:63" ht="15" customHeight="1" x14ac:dyDescent="0.25">
      <c r="A2" s="142" t="str">
        <f>IF(表紙!A2="","",表紙!A2)</f>
        <v>POSサーバー</v>
      </c>
      <c r="B2" s="143"/>
      <c r="C2" s="143"/>
      <c r="D2" s="143"/>
      <c r="E2" s="143"/>
      <c r="F2" s="143"/>
      <c r="G2" s="143"/>
      <c r="H2" s="143"/>
      <c r="I2" s="143"/>
      <c r="J2" s="144"/>
      <c r="K2" s="142" t="str">
        <f>IF(表紙!K2="","",表紙!K2)</f>
        <v>POSサーバー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78" t="str">
        <f>IF(表紙!AP2="","",表紙!AP2)</f>
        <v>SonMNT</v>
      </c>
      <c r="AQ2" s="79"/>
      <c r="AR2" s="79"/>
      <c r="AS2" s="80"/>
      <c r="AT2" s="106">
        <f>IF(表紙!AT2="","",表紙!AT2)</f>
        <v>45462</v>
      </c>
      <c r="AU2" s="107"/>
      <c r="AV2" s="107"/>
      <c r="AW2" s="107"/>
      <c r="AX2" s="108"/>
      <c r="AY2" s="78" t="str">
        <f>IF(表紙!AY2="","",表紙!AY2)</f>
        <v>SonMNT</v>
      </c>
      <c r="AZ2" s="79"/>
      <c r="BA2" s="79"/>
      <c r="BB2" s="80"/>
      <c r="BC2" s="106">
        <f>IF(表紙!BC2="","",表紙!BC2)</f>
        <v>45462</v>
      </c>
      <c r="BD2" s="107"/>
      <c r="BE2" s="107"/>
      <c r="BF2" s="107"/>
      <c r="BG2" s="108"/>
      <c r="BH2" s="78">
        <f>IF(表紙!BH2="","",表紙!BH2)</f>
        <v>0.1</v>
      </c>
      <c r="BI2" s="79"/>
      <c r="BJ2" s="79"/>
      <c r="BK2" s="80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54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6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81"/>
      <c r="BI3" s="82"/>
      <c r="BJ3" s="82"/>
      <c r="BK3" s="83"/>
    </row>
    <row r="4" spans="1:63" ht="24.95" customHeight="1" x14ac:dyDescent="0.25">
      <c r="A4" s="135" t="s">
        <v>60</v>
      </c>
      <c r="B4" s="136"/>
      <c r="C4" s="136"/>
      <c r="D4" s="136"/>
      <c r="E4" s="136"/>
      <c r="F4" s="136"/>
      <c r="G4" s="137"/>
      <c r="H4" s="138" t="str">
        <f>IF(表紙!H4="","",表紙!H4)</f>
        <v>AP1001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135" t="s">
        <v>61</v>
      </c>
      <c r="V4" s="136"/>
      <c r="W4" s="136"/>
      <c r="X4" s="136"/>
      <c r="Y4" s="137"/>
      <c r="Z4" s="138" t="str">
        <f>IF(表紙!Z4="","",表紙!Z4)</f>
        <v>API設計書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41" t="str">
        <f ca="1">MID(CELL("filename",A1),FIND("]",CELL("filename",A1))+1,255)</f>
        <v>AP1001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70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67"/>
      <c r="AQ7" s="67"/>
      <c r="AR7" s="67"/>
      <c r="AS7" s="67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68"/>
      <c r="AQ8" s="68"/>
      <c r="AR8" s="68"/>
      <c r="AS8" s="68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46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68"/>
      <c r="AQ9" s="68"/>
      <c r="AR9" s="68"/>
      <c r="AS9" s="68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68"/>
      <c r="AQ10" s="68"/>
      <c r="AR10" s="68"/>
      <c r="AS10" s="68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2" t="s">
        <v>71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 x14ac:dyDescent="0.25">
      <c r="A13" s="13"/>
      <c r="B13" s="20"/>
      <c r="C13" s="23" t="s">
        <v>72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57" t="s">
        <v>14</v>
      </c>
      <c r="D15" s="158"/>
      <c r="E15" s="157" t="s">
        <v>15</v>
      </c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58"/>
      <c r="AG15" s="157" t="s">
        <v>16</v>
      </c>
      <c r="AH15" s="161"/>
      <c r="AI15" s="161"/>
      <c r="AJ15" s="161"/>
      <c r="AK15" s="161"/>
      <c r="AL15" s="161"/>
      <c r="AM15" s="161"/>
      <c r="AN15" s="161"/>
      <c r="AO15" s="161"/>
      <c r="AP15" s="158"/>
      <c r="AQ15" s="157" t="s">
        <v>17</v>
      </c>
      <c r="AR15" s="161"/>
      <c r="AS15" s="161"/>
      <c r="AT15" s="161"/>
      <c r="AU15" s="161"/>
      <c r="AV15" s="161"/>
      <c r="AW15" s="161"/>
      <c r="AX15" s="161"/>
      <c r="AY15" s="161"/>
      <c r="AZ15" s="161"/>
      <c r="BA15" s="161"/>
      <c r="BB15" s="161"/>
      <c r="BC15" s="161"/>
      <c r="BD15" s="161"/>
      <c r="BE15" s="161"/>
      <c r="BF15" s="161"/>
      <c r="BG15" s="161"/>
      <c r="BH15" s="161"/>
      <c r="BI15" s="161"/>
      <c r="BJ15" s="158"/>
      <c r="BK15" s="17"/>
    </row>
    <row r="16" spans="1:63" s="18" customFormat="1" ht="15" customHeight="1" x14ac:dyDescent="0.25">
      <c r="A16" s="13"/>
      <c r="B16" s="20"/>
      <c r="C16" s="159">
        <v>1</v>
      </c>
      <c r="D16" s="160"/>
      <c r="E16" s="162" t="s">
        <v>48</v>
      </c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4"/>
      <c r="AG16" s="159" t="s">
        <v>22</v>
      </c>
      <c r="AH16" s="168"/>
      <c r="AI16" s="168"/>
      <c r="AJ16" s="168"/>
      <c r="AK16" s="168"/>
      <c r="AL16" s="168"/>
      <c r="AM16" s="168"/>
      <c r="AN16" s="168"/>
      <c r="AO16" s="168"/>
      <c r="AP16" s="160"/>
      <c r="AQ16" s="165" t="s">
        <v>6</v>
      </c>
      <c r="AR16" s="166"/>
      <c r="AS16" s="166"/>
      <c r="AT16" s="166"/>
      <c r="AU16" s="166"/>
      <c r="AV16" s="166"/>
      <c r="AW16" s="166"/>
      <c r="AX16" s="166"/>
      <c r="AY16" s="166"/>
      <c r="AZ16" s="166"/>
      <c r="BA16" s="166"/>
      <c r="BB16" s="166"/>
      <c r="BC16" s="166"/>
      <c r="BD16" s="166"/>
      <c r="BE16" s="166"/>
      <c r="BF16" s="166"/>
      <c r="BG16" s="166"/>
      <c r="BH16" s="166"/>
      <c r="BI16" s="166"/>
      <c r="BJ16" s="167"/>
      <c r="BK16" s="17"/>
    </row>
    <row r="17" spans="1:63" s="18" customFormat="1" ht="15" customHeight="1" x14ac:dyDescent="0.25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 x14ac:dyDescent="0.25">
      <c r="A18" s="13"/>
      <c r="B18" s="20"/>
      <c r="C18" s="23" t="s">
        <v>73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182" t="s">
        <v>74</v>
      </c>
      <c r="D20" s="184"/>
      <c r="E20" s="182" t="s">
        <v>75</v>
      </c>
      <c r="F20" s="183"/>
      <c r="G20" s="183"/>
      <c r="H20" s="183"/>
      <c r="I20" s="183"/>
      <c r="J20" s="183"/>
      <c r="K20" s="184"/>
      <c r="L20" s="157" t="s">
        <v>18</v>
      </c>
      <c r="M20" s="161"/>
      <c r="N20" s="158"/>
      <c r="O20" s="157" t="s">
        <v>19</v>
      </c>
      <c r="P20" s="161"/>
      <c r="Q20" s="161"/>
      <c r="R20" s="158"/>
      <c r="S20" s="157" t="s">
        <v>20</v>
      </c>
      <c r="T20" s="161"/>
      <c r="U20" s="161"/>
      <c r="V20" s="161"/>
      <c r="W20" s="161"/>
      <c r="X20" s="161"/>
      <c r="Y20" s="158"/>
      <c r="Z20" s="182" t="s">
        <v>76</v>
      </c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4"/>
      <c r="AQ20" s="157" t="s">
        <v>17</v>
      </c>
      <c r="AR20" s="161"/>
      <c r="AS20" s="161"/>
      <c r="AT20" s="161"/>
      <c r="AU20" s="161"/>
      <c r="AV20" s="161"/>
      <c r="AW20" s="161"/>
      <c r="AX20" s="161"/>
      <c r="AY20" s="161"/>
      <c r="AZ20" s="161"/>
      <c r="BA20" s="161"/>
      <c r="BB20" s="161"/>
      <c r="BC20" s="161"/>
      <c r="BD20" s="161"/>
      <c r="BE20" s="161"/>
      <c r="BF20" s="161"/>
      <c r="BG20" s="161"/>
      <c r="BH20" s="161"/>
      <c r="BI20" s="161"/>
      <c r="BJ20" s="158"/>
      <c r="BK20" s="17"/>
    </row>
    <row r="21" spans="1:63" s="18" customFormat="1" ht="30.75" customHeight="1" x14ac:dyDescent="0.25">
      <c r="A21" s="13"/>
      <c r="B21" s="20"/>
      <c r="C21" s="159">
        <v>1</v>
      </c>
      <c r="D21" s="160"/>
      <c r="E21" s="169" t="s">
        <v>3</v>
      </c>
      <c r="F21" s="170"/>
      <c r="G21" s="170"/>
      <c r="H21" s="170"/>
      <c r="I21" s="170"/>
      <c r="J21" s="170"/>
      <c r="K21" s="171"/>
      <c r="L21" s="235" t="s">
        <v>4</v>
      </c>
      <c r="M21" s="236"/>
      <c r="N21" s="237"/>
      <c r="O21" s="159" t="s">
        <v>5</v>
      </c>
      <c r="P21" s="168"/>
      <c r="Q21" s="168"/>
      <c r="R21" s="160"/>
      <c r="S21" s="159" t="s">
        <v>6</v>
      </c>
      <c r="T21" s="168"/>
      <c r="U21" s="168"/>
      <c r="V21" s="168"/>
      <c r="W21" s="168"/>
      <c r="X21" s="168"/>
      <c r="Y21" s="160"/>
      <c r="Z21" s="169" t="s">
        <v>7</v>
      </c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71"/>
      <c r="AQ21" s="175" t="s">
        <v>77</v>
      </c>
      <c r="AR21" s="173"/>
      <c r="AS21" s="173"/>
      <c r="AT21" s="173"/>
      <c r="AU21" s="173"/>
      <c r="AV21" s="173"/>
      <c r="AW21" s="173"/>
      <c r="AX21" s="173"/>
      <c r="AY21" s="173"/>
      <c r="AZ21" s="173"/>
      <c r="BA21" s="173"/>
      <c r="BB21" s="173"/>
      <c r="BC21" s="173"/>
      <c r="BD21" s="173"/>
      <c r="BE21" s="173"/>
      <c r="BF21" s="173"/>
      <c r="BG21" s="173"/>
      <c r="BH21" s="173"/>
      <c r="BI21" s="173"/>
      <c r="BJ21" s="174"/>
      <c r="BK21" s="17"/>
    </row>
    <row r="22" spans="1:63" s="18" customFormat="1" ht="15" customHeight="1" x14ac:dyDescent="0.25">
      <c r="A22" s="13"/>
      <c r="B22" s="20"/>
      <c r="C22" s="159">
        <v>2</v>
      </c>
      <c r="D22" s="160"/>
      <c r="E22" s="169" t="s">
        <v>8</v>
      </c>
      <c r="F22" s="170"/>
      <c r="G22" s="170"/>
      <c r="H22" s="170"/>
      <c r="I22" s="170"/>
      <c r="J22" s="170"/>
      <c r="K22" s="171"/>
      <c r="L22" s="235" t="s">
        <v>6</v>
      </c>
      <c r="M22" s="236"/>
      <c r="N22" s="237"/>
      <c r="O22" s="159" t="s">
        <v>5</v>
      </c>
      <c r="P22" s="168"/>
      <c r="Q22" s="168"/>
      <c r="R22" s="160"/>
      <c r="S22" s="159" t="s">
        <v>6</v>
      </c>
      <c r="T22" s="168"/>
      <c r="U22" s="168"/>
      <c r="V22" s="168"/>
      <c r="W22" s="168"/>
      <c r="X22" s="168"/>
      <c r="Y22" s="160"/>
      <c r="Z22" s="169" t="s">
        <v>8</v>
      </c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  <c r="AM22" s="170"/>
      <c r="AN22" s="170"/>
      <c r="AO22" s="170"/>
      <c r="AP22" s="171"/>
      <c r="AQ22" s="172" t="s">
        <v>9</v>
      </c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4"/>
      <c r="BK22" s="17"/>
    </row>
    <row r="23" spans="1:63" s="18" customFormat="1" ht="15" customHeight="1" x14ac:dyDescent="0.25">
      <c r="A23" s="13"/>
      <c r="B23" s="20"/>
      <c r="C23" s="212">
        <v>3</v>
      </c>
      <c r="D23" s="213"/>
      <c r="E23" s="218" t="s">
        <v>10</v>
      </c>
      <c r="F23" s="219"/>
      <c r="G23" s="219"/>
      <c r="H23" s="219"/>
      <c r="I23" s="219"/>
      <c r="J23" s="219"/>
      <c r="K23" s="220"/>
      <c r="L23" s="185" t="s">
        <v>6</v>
      </c>
      <c r="M23" s="186"/>
      <c r="N23" s="187"/>
      <c r="O23" s="194" t="s">
        <v>5</v>
      </c>
      <c r="P23" s="195"/>
      <c r="Q23" s="195"/>
      <c r="R23" s="196"/>
      <c r="S23" s="194" t="s">
        <v>6</v>
      </c>
      <c r="T23" s="195"/>
      <c r="U23" s="195"/>
      <c r="V23" s="195"/>
      <c r="W23" s="195"/>
      <c r="X23" s="195"/>
      <c r="Y23" s="196"/>
      <c r="Z23" s="203" t="s">
        <v>10</v>
      </c>
      <c r="AA23" s="204"/>
      <c r="AB23" s="204"/>
      <c r="AC23" s="204"/>
      <c r="AD23" s="204"/>
      <c r="AE23" s="204"/>
      <c r="AF23" s="204"/>
      <c r="AG23" s="204"/>
      <c r="AH23" s="204"/>
      <c r="AI23" s="204"/>
      <c r="AJ23" s="204"/>
      <c r="AK23" s="204"/>
      <c r="AL23" s="204"/>
      <c r="AM23" s="204"/>
      <c r="AN23" s="204"/>
      <c r="AO23" s="204"/>
      <c r="AP23" s="205"/>
      <c r="AQ23" s="176" t="s">
        <v>78</v>
      </c>
      <c r="AR23" s="176"/>
      <c r="AS23" s="176"/>
      <c r="AT23" s="176"/>
      <c r="AU23" s="176"/>
      <c r="AV23" s="176"/>
      <c r="AW23" s="176"/>
      <c r="AX23" s="176"/>
      <c r="AY23" s="176"/>
      <c r="AZ23" s="176"/>
      <c r="BA23" s="176"/>
      <c r="BB23" s="176"/>
      <c r="BC23" s="176"/>
      <c r="BD23" s="176"/>
      <c r="BE23" s="176"/>
      <c r="BF23" s="176"/>
      <c r="BG23" s="176"/>
      <c r="BH23" s="176"/>
      <c r="BI23" s="176"/>
      <c r="BJ23" s="177"/>
      <c r="BK23" s="17"/>
    </row>
    <row r="24" spans="1:63" s="18" customFormat="1" ht="15" customHeight="1" x14ac:dyDescent="0.25">
      <c r="A24" s="13"/>
      <c r="B24" s="20"/>
      <c r="C24" s="214"/>
      <c r="D24" s="215"/>
      <c r="E24" s="221"/>
      <c r="F24" s="222"/>
      <c r="G24" s="222"/>
      <c r="H24" s="222"/>
      <c r="I24" s="222"/>
      <c r="J24" s="222"/>
      <c r="K24" s="223"/>
      <c r="L24" s="188"/>
      <c r="M24" s="189"/>
      <c r="N24" s="190"/>
      <c r="O24" s="197"/>
      <c r="P24" s="198"/>
      <c r="Q24" s="198"/>
      <c r="R24" s="199"/>
      <c r="S24" s="197"/>
      <c r="T24" s="198"/>
      <c r="U24" s="198"/>
      <c r="V24" s="198"/>
      <c r="W24" s="198"/>
      <c r="X24" s="198"/>
      <c r="Y24" s="199"/>
      <c r="Z24" s="206"/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8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9"/>
      <c r="BK24" s="17"/>
    </row>
    <row r="25" spans="1:63" s="18" customFormat="1" ht="30.75" customHeight="1" x14ac:dyDescent="0.25">
      <c r="A25" s="13"/>
      <c r="B25" s="20"/>
      <c r="C25" s="216"/>
      <c r="D25" s="217"/>
      <c r="E25" s="224"/>
      <c r="F25" s="225"/>
      <c r="G25" s="225"/>
      <c r="H25" s="225"/>
      <c r="I25" s="225"/>
      <c r="J25" s="225"/>
      <c r="K25" s="226"/>
      <c r="L25" s="191"/>
      <c r="M25" s="192"/>
      <c r="N25" s="193"/>
      <c r="O25" s="200"/>
      <c r="P25" s="201"/>
      <c r="Q25" s="201"/>
      <c r="R25" s="202"/>
      <c r="S25" s="200"/>
      <c r="T25" s="201"/>
      <c r="U25" s="201"/>
      <c r="V25" s="201"/>
      <c r="W25" s="201"/>
      <c r="X25" s="201"/>
      <c r="Y25" s="202"/>
      <c r="Z25" s="209"/>
      <c r="AA25" s="210"/>
      <c r="AB25" s="210"/>
      <c r="AC25" s="210"/>
      <c r="AD25" s="210"/>
      <c r="AE25" s="210"/>
      <c r="AF25" s="210"/>
      <c r="AG25" s="210"/>
      <c r="AH25" s="210"/>
      <c r="AI25" s="210"/>
      <c r="AJ25" s="210"/>
      <c r="AK25" s="210"/>
      <c r="AL25" s="210"/>
      <c r="AM25" s="210"/>
      <c r="AN25" s="210"/>
      <c r="AO25" s="210"/>
      <c r="AP25" s="211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0"/>
      <c r="BB25" s="180"/>
      <c r="BC25" s="180"/>
      <c r="BD25" s="180"/>
      <c r="BE25" s="180"/>
      <c r="BF25" s="180"/>
      <c r="BG25" s="180"/>
      <c r="BH25" s="180"/>
      <c r="BI25" s="180"/>
      <c r="BJ25" s="181"/>
      <c r="BK25" s="17"/>
    </row>
    <row r="26" spans="1:63" s="18" customFormat="1" ht="15" customHeight="1" x14ac:dyDescent="0.25">
      <c r="A26" s="13"/>
      <c r="B26" s="20"/>
      <c r="C26" s="159">
        <v>4</v>
      </c>
      <c r="D26" s="160"/>
      <c r="E26" s="169" t="s">
        <v>11</v>
      </c>
      <c r="F26" s="170"/>
      <c r="G26" s="170"/>
      <c r="H26" s="170"/>
      <c r="I26" s="170"/>
      <c r="J26" s="170"/>
      <c r="K26" s="171"/>
      <c r="L26" s="235" t="s">
        <v>6</v>
      </c>
      <c r="M26" s="236"/>
      <c r="N26" s="237"/>
      <c r="O26" s="159" t="s">
        <v>5</v>
      </c>
      <c r="P26" s="168"/>
      <c r="Q26" s="168"/>
      <c r="R26" s="160"/>
      <c r="S26" s="159" t="s">
        <v>6</v>
      </c>
      <c r="T26" s="168"/>
      <c r="U26" s="168"/>
      <c r="V26" s="168"/>
      <c r="W26" s="168"/>
      <c r="X26" s="168"/>
      <c r="Y26" s="160"/>
      <c r="Z26" s="169" t="s">
        <v>11</v>
      </c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1"/>
      <c r="AQ26" s="172" t="s">
        <v>12</v>
      </c>
      <c r="AR26" s="173"/>
      <c r="AS26" s="173"/>
      <c r="AT26" s="173"/>
      <c r="AU26" s="173"/>
      <c r="AV26" s="173"/>
      <c r="AW26" s="173"/>
      <c r="AX26" s="173"/>
      <c r="AY26" s="173"/>
      <c r="AZ26" s="173"/>
      <c r="BA26" s="173"/>
      <c r="BB26" s="173"/>
      <c r="BC26" s="173"/>
      <c r="BD26" s="173"/>
      <c r="BE26" s="173"/>
      <c r="BF26" s="173"/>
      <c r="BG26" s="173"/>
      <c r="BH26" s="173"/>
      <c r="BI26" s="173"/>
      <c r="BJ26" s="174"/>
      <c r="BK26" s="17"/>
    </row>
    <row r="27" spans="1:63" s="18" customFormat="1" ht="15" customHeight="1" x14ac:dyDescent="0.25">
      <c r="A27" s="13"/>
      <c r="B27" s="20"/>
      <c r="C27" s="159">
        <v>5</v>
      </c>
      <c r="D27" s="160"/>
      <c r="E27" s="169" t="s">
        <v>13</v>
      </c>
      <c r="F27" s="170"/>
      <c r="G27" s="170"/>
      <c r="H27" s="170"/>
      <c r="I27" s="170"/>
      <c r="J27" s="170"/>
      <c r="K27" s="171"/>
      <c r="L27" s="235" t="s">
        <v>6</v>
      </c>
      <c r="M27" s="236"/>
      <c r="N27" s="237"/>
      <c r="O27" s="159" t="s">
        <v>5</v>
      </c>
      <c r="P27" s="168"/>
      <c r="Q27" s="168"/>
      <c r="R27" s="160"/>
      <c r="S27" s="159" t="s">
        <v>6</v>
      </c>
      <c r="T27" s="168"/>
      <c r="U27" s="168"/>
      <c r="V27" s="168"/>
      <c r="W27" s="168"/>
      <c r="X27" s="168"/>
      <c r="Y27" s="160"/>
      <c r="Z27" s="169" t="s">
        <v>13</v>
      </c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1"/>
      <c r="AQ27" s="172" t="s">
        <v>79</v>
      </c>
      <c r="AR27" s="173"/>
      <c r="AS27" s="173"/>
      <c r="AT27" s="173"/>
      <c r="AU27" s="173"/>
      <c r="AV27" s="173"/>
      <c r="AW27" s="173"/>
      <c r="AX27" s="173"/>
      <c r="AY27" s="173"/>
      <c r="AZ27" s="173"/>
      <c r="BA27" s="173"/>
      <c r="BB27" s="173"/>
      <c r="BC27" s="173"/>
      <c r="BD27" s="173"/>
      <c r="BE27" s="173"/>
      <c r="BF27" s="173"/>
      <c r="BG27" s="173"/>
      <c r="BH27" s="173"/>
      <c r="BI27" s="173"/>
      <c r="BJ27" s="174"/>
      <c r="BK27" s="17"/>
    </row>
    <row r="28" spans="1:63" s="18" customFormat="1" ht="15" customHeight="1" x14ac:dyDescent="0.25">
      <c r="A28" s="13"/>
      <c r="B28" s="20"/>
      <c r="C28" s="20"/>
      <c r="D28" s="20"/>
      <c r="E28" s="68"/>
      <c r="F28" s="68"/>
      <c r="G28" s="68"/>
      <c r="H28" s="68"/>
      <c r="I28" s="20"/>
      <c r="J28" s="20"/>
      <c r="K28" s="20"/>
      <c r="L28" s="71"/>
      <c r="M28" s="68"/>
      <c r="N28" s="68"/>
      <c r="O28" s="68"/>
      <c r="P28" s="68"/>
      <c r="Q28" s="20"/>
      <c r="R28" s="20"/>
      <c r="S28" s="20"/>
      <c r="T28" s="20"/>
      <c r="U28" s="20"/>
      <c r="V28" s="20"/>
      <c r="W28" s="20"/>
      <c r="X28" s="20"/>
      <c r="Y28" s="20"/>
      <c r="Z28" s="27"/>
      <c r="AA28" s="20"/>
      <c r="AB28" s="20"/>
      <c r="AC28" s="20"/>
      <c r="AD28" s="20"/>
      <c r="AE28" s="20"/>
      <c r="AF28" s="20"/>
      <c r="AG28" s="68"/>
      <c r="AH28" s="68"/>
      <c r="AI28" s="68"/>
      <c r="AJ28" s="68"/>
      <c r="AK28" s="68"/>
      <c r="AL28" s="68"/>
      <c r="AM28" s="68"/>
      <c r="AN28" s="68"/>
      <c r="AO28" s="68"/>
      <c r="AP28" s="20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20"/>
      <c r="D29" s="20"/>
      <c r="E29" s="68"/>
      <c r="F29" s="68"/>
      <c r="G29" s="68"/>
      <c r="H29" s="68"/>
      <c r="I29" s="20"/>
      <c r="J29" s="20"/>
      <c r="K29" s="20"/>
      <c r="L29" s="29"/>
      <c r="M29" s="68"/>
      <c r="N29" s="68"/>
      <c r="O29" s="68"/>
      <c r="P29" s="68"/>
      <c r="Q29" s="20"/>
      <c r="R29" s="20"/>
      <c r="S29" s="20"/>
      <c r="T29" s="20"/>
      <c r="U29" s="20"/>
      <c r="V29" s="20"/>
      <c r="W29" s="20"/>
      <c r="X29" s="20"/>
      <c r="Y29" s="20"/>
      <c r="Z29" s="27"/>
      <c r="AA29" s="20"/>
      <c r="AB29" s="20"/>
      <c r="AC29" s="20"/>
      <c r="AD29" s="20"/>
      <c r="AE29" s="20"/>
      <c r="AF29" s="20"/>
      <c r="AG29" s="68"/>
      <c r="AH29" s="68"/>
      <c r="AI29" s="68"/>
      <c r="AJ29" s="68"/>
      <c r="AK29" s="68"/>
      <c r="AL29" s="68"/>
      <c r="AM29" s="68"/>
      <c r="AN29" s="68"/>
      <c r="AO29" s="68"/>
      <c r="AP29" s="20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23" t="s">
        <v>80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  <c r="BI30" s="21"/>
      <c r="BJ30" s="21"/>
      <c r="BK30" s="17"/>
    </row>
    <row r="31" spans="1:63" s="18" customFormat="1" ht="15" customHeight="1" x14ac:dyDescent="0.25">
      <c r="A31" s="13"/>
      <c r="B31" s="20"/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1"/>
      <c r="BI31" s="21"/>
      <c r="BJ31" s="21"/>
      <c r="BK31" s="17"/>
    </row>
    <row r="32" spans="1:63" s="18" customFormat="1" ht="15" customHeight="1" x14ac:dyDescent="0.25">
      <c r="A32" s="13"/>
      <c r="B32" s="20"/>
      <c r="C32" s="244" t="s">
        <v>14</v>
      </c>
      <c r="D32" s="245"/>
      <c r="E32" s="241" t="s">
        <v>21</v>
      </c>
      <c r="F32" s="242"/>
      <c r="G32" s="242"/>
      <c r="H32" s="242"/>
      <c r="I32" s="242"/>
      <c r="J32" s="242"/>
      <c r="K32" s="243"/>
      <c r="L32" s="157" t="s">
        <v>18</v>
      </c>
      <c r="M32" s="161"/>
      <c r="N32" s="158"/>
      <c r="O32" s="157" t="s">
        <v>19</v>
      </c>
      <c r="P32" s="161"/>
      <c r="Q32" s="161"/>
      <c r="R32" s="158"/>
      <c r="S32" s="157" t="s">
        <v>20</v>
      </c>
      <c r="T32" s="161"/>
      <c r="U32" s="161"/>
      <c r="V32" s="161"/>
      <c r="W32" s="161"/>
      <c r="X32" s="161"/>
      <c r="Y32" s="158"/>
      <c r="Z32" s="182" t="s">
        <v>76</v>
      </c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4"/>
      <c r="AQ32" s="227" t="s">
        <v>17</v>
      </c>
      <c r="AR32" s="228"/>
      <c r="AS32" s="228"/>
      <c r="AT32" s="228"/>
      <c r="AU32" s="228"/>
      <c r="AV32" s="228"/>
      <c r="AW32" s="228"/>
      <c r="AX32" s="228"/>
      <c r="AY32" s="228"/>
      <c r="AZ32" s="228"/>
      <c r="BA32" s="228"/>
      <c r="BB32" s="228"/>
      <c r="BC32" s="228"/>
      <c r="BD32" s="228"/>
      <c r="BE32" s="228"/>
      <c r="BF32" s="228"/>
      <c r="BG32" s="228"/>
      <c r="BH32" s="228"/>
      <c r="BI32" s="228"/>
      <c r="BJ32" s="229"/>
      <c r="BK32" s="17"/>
    </row>
    <row r="33" spans="1:63" s="18" customFormat="1" ht="15" customHeight="1" x14ac:dyDescent="0.25">
      <c r="A33" s="13"/>
      <c r="B33" s="20"/>
      <c r="C33" s="235" t="s">
        <v>25</v>
      </c>
      <c r="D33" s="236"/>
      <c r="E33" s="236"/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P33" s="236"/>
      <c r="Q33" s="236"/>
      <c r="R33" s="236"/>
      <c r="S33" s="236"/>
      <c r="T33" s="236"/>
      <c r="U33" s="236"/>
      <c r="V33" s="236"/>
      <c r="W33" s="236"/>
      <c r="X33" s="236"/>
      <c r="Y33" s="236"/>
      <c r="Z33" s="236"/>
      <c r="AA33" s="236"/>
      <c r="AB33" s="236"/>
      <c r="AC33" s="236"/>
      <c r="AD33" s="236"/>
      <c r="AE33" s="236"/>
      <c r="AF33" s="236"/>
      <c r="AG33" s="236"/>
      <c r="AH33" s="236"/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  <c r="AS33" s="236"/>
      <c r="AT33" s="236"/>
      <c r="AU33" s="236"/>
      <c r="AV33" s="236"/>
      <c r="AW33" s="236"/>
      <c r="AX33" s="236"/>
      <c r="AY33" s="236"/>
      <c r="AZ33" s="236"/>
      <c r="BA33" s="236"/>
      <c r="BB33" s="236"/>
      <c r="BC33" s="236"/>
      <c r="BD33" s="236"/>
      <c r="BE33" s="236"/>
      <c r="BF33" s="236"/>
      <c r="BG33" s="236"/>
      <c r="BH33" s="236"/>
      <c r="BI33" s="236"/>
      <c r="BJ33" s="237"/>
      <c r="BK33" s="17"/>
    </row>
    <row r="34" spans="1:63" s="18" customFormat="1" ht="15" customHeight="1" x14ac:dyDescent="0.25">
      <c r="A34" s="13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 x14ac:dyDescent="0.25">
      <c r="A35" s="13"/>
      <c r="B35" s="20"/>
      <c r="C35" s="23" t="s">
        <v>81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1"/>
      <c r="BI35" s="21"/>
      <c r="BJ35" s="21"/>
      <c r="BK35" s="17"/>
    </row>
    <row r="36" spans="1:63" s="18" customFormat="1" ht="15" customHeight="1" x14ac:dyDescent="0.25">
      <c r="A36" s="13"/>
      <c r="B36" s="20"/>
      <c r="C36" s="19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1"/>
      <c r="BI36" s="21"/>
      <c r="BJ36" s="21"/>
      <c r="BK36" s="17"/>
    </row>
    <row r="37" spans="1:63" s="18" customFormat="1" ht="15" customHeight="1" x14ac:dyDescent="0.25">
      <c r="A37" s="13"/>
      <c r="B37" s="20"/>
      <c r="C37" s="244" t="s">
        <v>14</v>
      </c>
      <c r="D37" s="245"/>
      <c r="E37" s="241" t="s">
        <v>21</v>
      </c>
      <c r="F37" s="242"/>
      <c r="G37" s="242"/>
      <c r="H37" s="242"/>
      <c r="I37" s="242"/>
      <c r="J37" s="242"/>
      <c r="K37" s="243"/>
      <c r="L37" s="157" t="s">
        <v>18</v>
      </c>
      <c r="M37" s="161"/>
      <c r="N37" s="158"/>
      <c r="O37" s="157" t="s">
        <v>19</v>
      </c>
      <c r="P37" s="161"/>
      <c r="Q37" s="161"/>
      <c r="R37" s="158"/>
      <c r="S37" s="157" t="s">
        <v>20</v>
      </c>
      <c r="T37" s="161"/>
      <c r="U37" s="161"/>
      <c r="V37" s="161"/>
      <c r="W37" s="161"/>
      <c r="X37" s="161"/>
      <c r="Y37" s="158"/>
      <c r="Z37" s="182" t="s">
        <v>76</v>
      </c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4"/>
      <c r="AQ37" s="227" t="s">
        <v>17</v>
      </c>
      <c r="AR37" s="228"/>
      <c r="AS37" s="228"/>
      <c r="AT37" s="228"/>
      <c r="AU37" s="228"/>
      <c r="AV37" s="228"/>
      <c r="AW37" s="228"/>
      <c r="AX37" s="228"/>
      <c r="AY37" s="228"/>
      <c r="AZ37" s="228"/>
      <c r="BA37" s="228"/>
      <c r="BB37" s="228"/>
      <c r="BC37" s="228"/>
      <c r="BD37" s="228"/>
      <c r="BE37" s="228"/>
      <c r="BF37" s="228"/>
      <c r="BG37" s="228"/>
      <c r="BH37" s="228"/>
      <c r="BI37" s="228"/>
      <c r="BJ37" s="229"/>
      <c r="BK37" s="17"/>
    </row>
    <row r="38" spans="1:63" s="18" customFormat="1" ht="30" customHeight="1" x14ac:dyDescent="0.25">
      <c r="A38" s="13"/>
      <c r="B38" s="20"/>
      <c r="C38" s="159">
        <v>0</v>
      </c>
      <c r="D38" s="160"/>
      <c r="E38" s="169" t="s">
        <v>31</v>
      </c>
      <c r="F38" s="170"/>
      <c r="G38" s="170"/>
      <c r="H38" s="170"/>
      <c r="I38" s="170"/>
      <c r="J38" s="170"/>
      <c r="K38" s="171"/>
      <c r="L38" s="235" t="s">
        <v>4</v>
      </c>
      <c r="M38" s="236"/>
      <c r="N38" s="237"/>
      <c r="O38" s="159" t="s">
        <v>5</v>
      </c>
      <c r="P38" s="168"/>
      <c r="Q38" s="168"/>
      <c r="R38" s="160"/>
      <c r="S38" s="212" t="s">
        <v>6</v>
      </c>
      <c r="T38" s="231"/>
      <c r="U38" s="231"/>
      <c r="V38" s="231"/>
      <c r="W38" s="231"/>
      <c r="X38" s="231"/>
      <c r="Y38" s="213"/>
      <c r="Z38" s="169" t="s">
        <v>33</v>
      </c>
      <c r="AA38" s="170"/>
      <c r="AB38" s="170"/>
      <c r="AC38" s="170"/>
      <c r="AD38" s="170"/>
      <c r="AE38" s="170"/>
      <c r="AF38" s="170"/>
      <c r="AG38" s="170"/>
      <c r="AH38" s="170"/>
      <c r="AI38" s="170"/>
      <c r="AJ38" s="170"/>
      <c r="AK38" s="170"/>
      <c r="AL38" s="170"/>
      <c r="AM38" s="170"/>
      <c r="AN38" s="170"/>
      <c r="AO38" s="170"/>
      <c r="AP38" s="171"/>
      <c r="AQ38" s="232" t="s">
        <v>82</v>
      </c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4"/>
      <c r="BK38" s="17"/>
    </row>
    <row r="39" spans="1:63" s="18" customFormat="1" ht="15" customHeight="1" x14ac:dyDescent="0.25">
      <c r="A39" s="13"/>
      <c r="B39" s="20"/>
      <c r="C39" s="159">
        <v>1</v>
      </c>
      <c r="D39" s="160"/>
      <c r="E39" s="169" t="s">
        <v>23</v>
      </c>
      <c r="F39" s="170"/>
      <c r="G39" s="170"/>
      <c r="H39" s="170"/>
      <c r="I39" s="170"/>
      <c r="J39" s="170"/>
      <c r="K39" s="171"/>
      <c r="L39" s="235" t="s">
        <v>4</v>
      </c>
      <c r="M39" s="236"/>
      <c r="N39" s="237"/>
      <c r="O39" s="159" t="s">
        <v>24</v>
      </c>
      <c r="P39" s="168"/>
      <c r="Q39" s="168"/>
      <c r="R39" s="160"/>
      <c r="S39" s="212" t="s">
        <v>6</v>
      </c>
      <c r="T39" s="231"/>
      <c r="U39" s="231"/>
      <c r="V39" s="231"/>
      <c r="W39" s="231"/>
      <c r="X39" s="231"/>
      <c r="Y39" s="213"/>
      <c r="Z39" s="172" t="s">
        <v>6</v>
      </c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  <c r="AN39" s="170"/>
      <c r="AO39" s="170"/>
      <c r="AP39" s="171"/>
      <c r="AQ39" s="230" t="s">
        <v>83</v>
      </c>
      <c r="AR39" s="166"/>
      <c r="AS39" s="166"/>
      <c r="AT39" s="166"/>
      <c r="AU39" s="166"/>
      <c r="AV39" s="166"/>
      <c r="AW39" s="166"/>
      <c r="AX39" s="166"/>
      <c r="AY39" s="166"/>
      <c r="AZ39" s="166"/>
      <c r="BA39" s="166"/>
      <c r="BB39" s="166"/>
      <c r="BC39" s="166"/>
      <c r="BD39" s="166"/>
      <c r="BE39" s="166"/>
      <c r="BF39" s="166"/>
      <c r="BG39" s="166"/>
      <c r="BH39" s="166"/>
      <c r="BI39" s="166"/>
      <c r="BJ39" s="167"/>
      <c r="BK39" s="17"/>
    </row>
    <row r="40" spans="1:63" s="18" customFormat="1" ht="105" customHeight="1" x14ac:dyDescent="0.25">
      <c r="A40" s="13"/>
      <c r="B40" s="20"/>
      <c r="C40" s="159">
        <v>2</v>
      </c>
      <c r="D40" s="160"/>
      <c r="E40" s="238" t="s">
        <v>32</v>
      </c>
      <c r="F40" s="239"/>
      <c r="G40" s="239"/>
      <c r="H40" s="239"/>
      <c r="I40" s="239"/>
      <c r="J40" s="239"/>
      <c r="K40" s="240"/>
      <c r="L40" s="235" t="s">
        <v>4</v>
      </c>
      <c r="M40" s="236"/>
      <c r="N40" s="237"/>
      <c r="O40" s="159" t="s">
        <v>5</v>
      </c>
      <c r="P40" s="168"/>
      <c r="Q40" s="168"/>
      <c r="R40" s="160"/>
      <c r="S40" s="212" t="s">
        <v>6</v>
      </c>
      <c r="T40" s="231"/>
      <c r="U40" s="231"/>
      <c r="V40" s="231"/>
      <c r="W40" s="231"/>
      <c r="X40" s="231"/>
      <c r="Y40" s="213"/>
      <c r="Z40" s="169" t="s">
        <v>34</v>
      </c>
      <c r="AA40" s="170"/>
      <c r="AB40" s="170"/>
      <c r="AC40" s="170"/>
      <c r="AD40" s="170"/>
      <c r="AE40" s="170"/>
      <c r="AF40" s="170"/>
      <c r="AG40" s="170"/>
      <c r="AH40" s="170"/>
      <c r="AI40" s="170"/>
      <c r="AJ40" s="170"/>
      <c r="AK40" s="170"/>
      <c r="AL40" s="170"/>
      <c r="AM40" s="170"/>
      <c r="AN40" s="170"/>
      <c r="AO40" s="170"/>
      <c r="AP40" s="171"/>
      <c r="AQ40" s="232" t="s">
        <v>84</v>
      </c>
      <c r="AR40" s="166"/>
      <c r="AS40" s="166"/>
      <c r="AT40" s="166"/>
      <c r="AU40" s="166"/>
      <c r="AV40" s="166"/>
      <c r="AW40" s="166"/>
      <c r="AX40" s="166"/>
      <c r="AY40" s="166"/>
      <c r="AZ40" s="166"/>
      <c r="BA40" s="166"/>
      <c r="BB40" s="166"/>
      <c r="BC40" s="166"/>
      <c r="BD40" s="166"/>
      <c r="BE40" s="166"/>
      <c r="BF40" s="166"/>
      <c r="BG40" s="166"/>
      <c r="BH40" s="166"/>
      <c r="BI40" s="166"/>
      <c r="BJ40" s="167"/>
      <c r="BK40" s="17"/>
    </row>
    <row r="41" spans="1:63" s="18" customFormat="1" ht="47.25" customHeight="1" x14ac:dyDescent="0.25">
      <c r="A41" s="13"/>
      <c r="B41" s="20"/>
      <c r="C41" s="159">
        <v>3</v>
      </c>
      <c r="D41" s="160"/>
      <c r="E41" s="238" t="s">
        <v>49</v>
      </c>
      <c r="F41" s="239"/>
      <c r="G41" s="239"/>
      <c r="H41" s="239"/>
      <c r="I41" s="239"/>
      <c r="J41" s="239"/>
      <c r="K41" s="240"/>
      <c r="L41" s="235" t="s">
        <v>4</v>
      </c>
      <c r="M41" s="236"/>
      <c r="N41" s="237"/>
      <c r="O41" s="159" t="s">
        <v>42</v>
      </c>
      <c r="P41" s="168"/>
      <c r="Q41" s="168"/>
      <c r="R41" s="160"/>
      <c r="S41" s="212" t="s">
        <v>6</v>
      </c>
      <c r="T41" s="231"/>
      <c r="U41" s="231"/>
      <c r="V41" s="231"/>
      <c r="W41" s="231"/>
      <c r="X41" s="231"/>
      <c r="Y41" s="213"/>
      <c r="Z41" s="172" t="s">
        <v>6</v>
      </c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0"/>
      <c r="AN41" s="170"/>
      <c r="AO41" s="170"/>
      <c r="AP41" s="171"/>
      <c r="AQ41" s="232" t="s">
        <v>85</v>
      </c>
      <c r="AR41" s="166"/>
      <c r="AS41" s="166"/>
      <c r="AT41" s="166"/>
      <c r="AU41" s="166"/>
      <c r="AV41" s="166"/>
      <c r="AW41" s="166"/>
      <c r="AX41" s="166"/>
      <c r="AY41" s="166"/>
      <c r="AZ41" s="166"/>
      <c r="BA41" s="166"/>
      <c r="BB41" s="166"/>
      <c r="BC41" s="166"/>
      <c r="BD41" s="166"/>
      <c r="BE41" s="166"/>
      <c r="BF41" s="166"/>
      <c r="BG41" s="166"/>
      <c r="BH41" s="166"/>
      <c r="BI41" s="166"/>
      <c r="BJ41" s="167"/>
      <c r="BK41" s="17"/>
    </row>
    <row r="42" spans="1:63" s="18" customFormat="1" ht="90" customHeight="1" x14ac:dyDescent="0.25">
      <c r="A42" s="13"/>
      <c r="B42" s="20"/>
      <c r="C42" s="159">
        <v>4</v>
      </c>
      <c r="D42" s="160"/>
      <c r="E42" s="238" t="s">
        <v>26</v>
      </c>
      <c r="F42" s="239"/>
      <c r="G42" s="239"/>
      <c r="H42" s="239"/>
      <c r="I42" s="239"/>
      <c r="J42" s="239"/>
      <c r="K42" s="240"/>
      <c r="L42" s="235" t="s">
        <v>4</v>
      </c>
      <c r="M42" s="236"/>
      <c r="N42" s="237"/>
      <c r="O42" s="159" t="s">
        <v>5</v>
      </c>
      <c r="P42" s="168"/>
      <c r="Q42" s="168"/>
      <c r="R42" s="160"/>
      <c r="S42" s="212" t="s">
        <v>6</v>
      </c>
      <c r="T42" s="231"/>
      <c r="U42" s="231"/>
      <c r="V42" s="231"/>
      <c r="W42" s="231"/>
      <c r="X42" s="231"/>
      <c r="Y42" s="213"/>
      <c r="Z42" s="169" t="s">
        <v>35</v>
      </c>
      <c r="AA42" s="170"/>
      <c r="AB42" s="170"/>
      <c r="AC42" s="170"/>
      <c r="AD42" s="170"/>
      <c r="AE42" s="170"/>
      <c r="AF42" s="170"/>
      <c r="AG42" s="170"/>
      <c r="AH42" s="170"/>
      <c r="AI42" s="170"/>
      <c r="AJ42" s="170"/>
      <c r="AK42" s="170"/>
      <c r="AL42" s="170"/>
      <c r="AM42" s="170"/>
      <c r="AN42" s="170"/>
      <c r="AO42" s="170"/>
      <c r="AP42" s="171"/>
      <c r="AQ42" s="232" t="s">
        <v>86</v>
      </c>
      <c r="AR42" s="166"/>
      <c r="AS42" s="166"/>
      <c r="AT42" s="166"/>
      <c r="AU42" s="166"/>
      <c r="AV42" s="166"/>
      <c r="AW42" s="166"/>
      <c r="AX42" s="166"/>
      <c r="AY42" s="166"/>
      <c r="AZ42" s="166"/>
      <c r="BA42" s="166"/>
      <c r="BB42" s="166"/>
      <c r="BC42" s="166"/>
      <c r="BD42" s="166"/>
      <c r="BE42" s="166"/>
      <c r="BF42" s="166"/>
      <c r="BG42" s="166"/>
      <c r="BH42" s="166"/>
      <c r="BI42" s="166"/>
      <c r="BJ42" s="167"/>
      <c r="BK42" s="17"/>
    </row>
    <row r="43" spans="1:63" s="18" customFormat="1" ht="75" customHeight="1" x14ac:dyDescent="0.25">
      <c r="A43" s="13"/>
      <c r="B43" s="20"/>
      <c r="C43" s="159">
        <v>5</v>
      </c>
      <c r="D43" s="160"/>
      <c r="E43" s="238" t="s">
        <v>28</v>
      </c>
      <c r="F43" s="239"/>
      <c r="G43" s="239"/>
      <c r="H43" s="239"/>
      <c r="I43" s="239"/>
      <c r="J43" s="239"/>
      <c r="K43" s="240"/>
      <c r="L43" s="235" t="s">
        <v>4</v>
      </c>
      <c r="M43" s="236"/>
      <c r="N43" s="237"/>
      <c r="O43" s="159" t="s">
        <v>5</v>
      </c>
      <c r="P43" s="168"/>
      <c r="Q43" s="168"/>
      <c r="R43" s="160"/>
      <c r="S43" s="212" t="s">
        <v>6</v>
      </c>
      <c r="T43" s="231"/>
      <c r="U43" s="231"/>
      <c r="V43" s="231"/>
      <c r="W43" s="231"/>
      <c r="X43" s="231"/>
      <c r="Y43" s="213"/>
      <c r="Z43" s="169" t="s">
        <v>36</v>
      </c>
      <c r="AA43" s="170"/>
      <c r="AB43" s="170"/>
      <c r="AC43" s="170"/>
      <c r="AD43" s="170"/>
      <c r="AE43" s="170"/>
      <c r="AF43" s="170"/>
      <c r="AG43" s="170"/>
      <c r="AH43" s="170"/>
      <c r="AI43" s="170"/>
      <c r="AJ43" s="170"/>
      <c r="AK43" s="170"/>
      <c r="AL43" s="170"/>
      <c r="AM43" s="170"/>
      <c r="AN43" s="170"/>
      <c r="AO43" s="170"/>
      <c r="AP43" s="171"/>
      <c r="AQ43" s="232" t="s">
        <v>87</v>
      </c>
      <c r="AR43" s="166"/>
      <c r="AS43" s="166"/>
      <c r="AT43" s="166"/>
      <c r="AU43" s="166"/>
      <c r="AV43" s="166"/>
      <c r="AW43" s="166"/>
      <c r="AX43" s="166"/>
      <c r="AY43" s="166"/>
      <c r="AZ43" s="166"/>
      <c r="BA43" s="166"/>
      <c r="BB43" s="166"/>
      <c r="BC43" s="166"/>
      <c r="BD43" s="166"/>
      <c r="BE43" s="166"/>
      <c r="BF43" s="166"/>
      <c r="BG43" s="166"/>
      <c r="BH43" s="166"/>
      <c r="BI43" s="166"/>
      <c r="BJ43" s="167"/>
      <c r="BK43" s="17"/>
    </row>
    <row r="44" spans="1:63" s="18" customFormat="1" ht="102.75" customHeight="1" x14ac:dyDescent="0.25">
      <c r="A44" s="13"/>
      <c r="B44" s="20"/>
      <c r="C44" s="159">
        <v>6</v>
      </c>
      <c r="D44" s="160"/>
      <c r="E44" s="238" t="s">
        <v>27</v>
      </c>
      <c r="F44" s="239"/>
      <c r="G44" s="239"/>
      <c r="H44" s="239"/>
      <c r="I44" s="239"/>
      <c r="J44" s="239"/>
      <c r="K44" s="240"/>
      <c r="L44" s="235" t="s">
        <v>4</v>
      </c>
      <c r="M44" s="236"/>
      <c r="N44" s="237"/>
      <c r="O44" s="159" t="s">
        <v>5</v>
      </c>
      <c r="P44" s="168"/>
      <c r="Q44" s="168"/>
      <c r="R44" s="160"/>
      <c r="S44" s="212" t="s">
        <v>6</v>
      </c>
      <c r="T44" s="231"/>
      <c r="U44" s="231"/>
      <c r="V44" s="231"/>
      <c r="W44" s="231"/>
      <c r="X44" s="231"/>
      <c r="Y44" s="213"/>
      <c r="Z44" s="169" t="s">
        <v>37</v>
      </c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0"/>
      <c r="AN44" s="170"/>
      <c r="AO44" s="170"/>
      <c r="AP44" s="171"/>
      <c r="AQ44" s="232" t="s">
        <v>88</v>
      </c>
      <c r="AR44" s="166"/>
      <c r="AS44" s="166"/>
      <c r="AT44" s="166"/>
      <c r="AU44" s="166"/>
      <c r="AV44" s="166"/>
      <c r="AW44" s="166"/>
      <c r="AX44" s="166"/>
      <c r="AY44" s="166"/>
      <c r="AZ44" s="166"/>
      <c r="BA44" s="166"/>
      <c r="BB44" s="166"/>
      <c r="BC44" s="166"/>
      <c r="BD44" s="166"/>
      <c r="BE44" s="166"/>
      <c r="BF44" s="166"/>
      <c r="BG44" s="166"/>
      <c r="BH44" s="166"/>
      <c r="BI44" s="166"/>
      <c r="BJ44" s="167"/>
      <c r="BK44" s="17"/>
    </row>
    <row r="45" spans="1:63" s="18" customFormat="1" ht="89.25" customHeight="1" x14ac:dyDescent="0.25">
      <c r="A45" s="13"/>
      <c r="B45" s="20"/>
      <c r="C45" s="159">
        <v>7</v>
      </c>
      <c r="D45" s="160"/>
      <c r="E45" s="238" t="s">
        <v>29</v>
      </c>
      <c r="F45" s="239"/>
      <c r="G45" s="239"/>
      <c r="H45" s="239"/>
      <c r="I45" s="239"/>
      <c r="J45" s="239"/>
      <c r="K45" s="240"/>
      <c r="L45" s="235" t="s">
        <v>4</v>
      </c>
      <c r="M45" s="236"/>
      <c r="N45" s="237"/>
      <c r="O45" s="159" t="s">
        <v>5</v>
      </c>
      <c r="P45" s="168"/>
      <c r="Q45" s="168"/>
      <c r="R45" s="160"/>
      <c r="S45" s="212" t="s">
        <v>6</v>
      </c>
      <c r="T45" s="231"/>
      <c r="U45" s="231"/>
      <c r="V45" s="231"/>
      <c r="W45" s="231"/>
      <c r="X45" s="231"/>
      <c r="Y45" s="213"/>
      <c r="Z45" s="169" t="s">
        <v>38</v>
      </c>
      <c r="AA45" s="170"/>
      <c r="AB45" s="170"/>
      <c r="AC45" s="170"/>
      <c r="AD45" s="170"/>
      <c r="AE45" s="170"/>
      <c r="AF45" s="170"/>
      <c r="AG45" s="170"/>
      <c r="AH45" s="170"/>
      <c r="AI45" s="170"/>
      <c r="AJ45" s="170"/>
      <c r="AK45" s="170"/>
      <c r="AL45" s="170"/>
      <c r="AM45" s="170"/>
      <c r="AN45" s="170"/>
      <c r="AO45" s="170"/>
      <c r="AP45" s="171"/>
      <c r="AQ45" s="232" t="s">
        <v>89</v>
      </c>
      <c r="AR45" s="166"/>
      <c r="AS45" s="166"/>
      <c r="AT45" s="166"/>
      <c r="AU45" s="166"/>
      <c r="AV45" s="166"/>
      <c r="AW45" s="166"/>
      <c r="AX45" s="166"/>
      <c r="AY45" s="166"/>
      <c r="AZ45" s="166"/>
      <c r="BA45" s="166"/>
      <c r="BB45" s="166"/>
      <c r="BC45" s="166"/>
      <c r="BD45" s="166"/>
      <c r="BE45" s="166"/>
      <c r="BF45" s="166"/>
      <c r="BG45" s="166"/>
      <c r="BH45" s="166"/>
      <c r="BI45" s="166"/>
      <c r="BJ45" s="167"/>
      <c r="BK45" s="17"/>
    </row>
    <row r="46" spans="1:63" s="18" customFormat="1" ht="117" customHeight="1" x14ac:dyDescent="0.25">
      <c r="A46" s="13"/>
      <c r="B46" s="20"/>
      <c r="C46" s="159">
        <v>8</v>
      </c>
      <c r="D46" s="160"/>
      <c r="E46" s="238" t="s">
        <v>30</v>
      </c>
      <c r="F46" s="239"/>
      <c r="G46" s="239"/>
      <c r="H46" s="239"/>
      <c r="I46" s="239"/>
      <c r="J46" s="239"/>
      <c r="K46" s="240"/>
      <c r="L46" s="235" t="s">
        <v>4</v>
      </c>
      <c r="M46" s="236"/>
      <c r="N46" s="237"/>
      <c r="O46" s="159" t="s">
        <v>5</v>
      </c>
      <c r="P46" s="168"/>
      <c r="Q46" s="168"/>
      <c r="R46" s="160"/>
      <c r="S46" s="159" t="s">
        <v>6</v>
      </c>
      <c r="T46" s="168"/>
      <c r="U46" s="168"/>
      <c r="V46" s="168"/>
      <c r="W46" s="168"/>
      <c r="X46" s="168"/>
      <c r="Y46" s="160"/>
      <c r="Z46" s="169" t="s">
        <v>39</v>
      </c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1"/>
      <c r="AQ46" s="232" t="s">
        <v>90</v>
      </c>
      <c r="AR46" s="166"/>
      <c r="AS46" s="166"/>
      <c r="AT46" s="166"/>
      <c r="AU46" s="166"/>
      <c r="AV46" s="166"/>
      <c r="AW46" s="166"/>
      <c r="AX46" s="166"/>
      <c r="AY46" s="166"/>
      <c r="AZ46" s="166"/>
      <c r="BA46" s="166"/>
      <c r="BB46" s="166"/>
      <c r="BC46" s="166"/>
      <c r="BD46" s="166"/>
      <c r="BE46" s="166"/>
      <c r="BF46" s="166"/>
      <c r="BG46" s="166"/>
      <c r="BH46" s="166"/>
      <c r="BI46" s="166"/>
      <c r="BJ46" s="167"/>
      <c r="BK46" s="17"/>
    </row>
    <row r="47" spans="1:63" s="18" customFormat="1" ht="15" customHeight="1" x14ac:dyDescent="0.25">
      <c r="A47" s="13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1"/>
      <c r="BI47" s="21"/>
      <c r="BJ47" s="21"/>
      <c r="BK47" s="17"/>
    </row>
    <row r="48" spans="1:63" s="18" customFormat="1" ht="15" customHeight="1" x14ac:dyDescent="0.25">
      <c r="A48" s="13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1"/>
      <c r="BI48" s="21"/>
      <c r="BJ48" s="21"/>
      <c r="BK48" s="17"/>
    </row>
    <row r="49" spans="1:63" s="18" customFormat="1" ht="15" customHeight="1" x14ac:dyDescent="0.25">
      <c r="A49" s="13"/>
      <c r="B49" s="20"/>
      <c r="C49" s="23" t="s">
        <v>91</v>
      </c>
      <c r="D49" s="20"/>
      <c r="E49" s="68"/>
      <c r="F49" s="20"/>
      <c r="G49" s="68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42"/>
      <c r="AW49" s="42"/>
      <c r="AX49" s="42"/>
      <c r="AY49" s="42"/>
      <c r="AZ49" s="42"/>
      <c r="BA49" s="42"/>
      <c r="BB49" s="20"/>
      <c r="BC49" s="20"/>
      <c r="BD49" s="20"/>
      <c r="BE49" s="20"/>
      <c r="BF49" s="20"/>
      <c r="BG49" s="20"/>
      <c r="BH49" s="21"/>
      <c r="BI49" s="21"/>
      <c r="BJ49" s="21"/>
      <c r="BK49" s="17"/>
    </row>
    <row r="50" spans="1:63" s="18" customFormat="1" ht="15" customHeight="1" x14ac:dyDescent="0.25">
      <c r="A50" s="13"/>
      <c r="B50" s="20"/>
      <c r="C50" s="23"/>
      <c r="D50" s="68"/>
      <c r="E50" s="68"/>
      <c r="F50" s="20"/>
      <c r="G50" s="68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42"/>
      <c r="AW50" s="42"/>
      <c r="AX50" s="42"/>
      <c r="AY50" s="42"/>
      <c r="AZ50" s="42"/>
      <c r="BA50" s="42"/>
      <c r="BB50" s="20"/>
      <c r="BC50" s="20"/>
      <c r="BD50" s="20"/>
      <c r="BE50" s="20"/>
      <c r="BF50" s="20"/>
      <c r="BG50" s="20"/>
      <c r="BH50" s="21"/>
      <c r="BI50" s="21"/>
      <c r="BJ50" s="21"/>
      <c r="BK50" s="17"/>
    </row>
    <row r="51" spans="1:63" s="18" customFormat="1" ht="15" customHeight="1" x14ac:dyDescent="0.25">
      <c r="A51" s="13"/>
      <c r="B51" s="20"/>
      <c r="C51" s="69" t="s">
        <v>40</v>
      </c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24"/>
      <c r="AV51" s="42"/>
      <c r="AW51" s="42"/>
      <c r="AX51" s="42"/>
      <c r="AY51" s="42"/>
      <c r="AZ51" s="42"/>
      <c r="BA51" s="42"/>
      <c r="BB51" s="20"/>
      <c r="BC51" s="20"/>
      <c r="BD51" s="20"/>
      <c r="BE51" s="20"/>
      <c r="BF51" s="20"/>
      <c r="BG51" s="20"/>
      <c r="BH51" s="21"/>
      <c r="BI51" s="21"/>
      <c r="BJ51" s="21"/>
      <c r="BK51" s="17"/>
    </row>
    <row r="52" spans="1:63" s="18" customFormat="1" ht="15" customHeight="1" x14ac:dyDescent="0.25">
      <c r="A52" s="13"/>
      <c r="B52" s="20"/>
      <c r="C52" s="70" t="s">
        <v>92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5"/>
      <c r="AV52" s="42"/>
      <c r="AW52" s="42"/>
      <c r="AX52" s="42"/>
      <c r="AY52" s="42"/>
      <c r="AZ52" s="42"/>
      <c r="BA52" s="42"/>
      <c r="BB52" s="20"/>
      <c r="BC52" s="20"/>
      <c r="BD52" s="20"/>
      <c r="BE52" s="20"/>
      <c r="BF52" s="20"/>
      <c r="BG52" s="20"/>
      <c r="BH52" s="21"/>
      <c r="BI52" s="21"/>
      <c r="BJ52" s="21"/>
      <c r="BK52" s="17"/>
    </row>
    <row r="53" spans="1:63" s="18" customFormat="1" ht="15" customHeight="1" x14ac:dyDescent="0.25">
      <c r="A53" s="13"/>
      <c r="B53" s="20"/>
      <c r="C53" s="70" t="s">
        <v>93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5"/>
      <c r="AV53" s="42"/>
      <c r="AW53" s="42"/>
      <c r="AX53" s="42"/>
      <c r="AY53" s="42"/>
      <c r="AZ53" s="42"/>
      <c r="BA53" s="42"/>
      <c r="BB53" s="20"/>
      <c r="BC53" s="20"/>
      <c r="BD53" s="20"/>
      <c r="BE53" s="20"/>
      <c r="BF53" s="20"/>
      <c r="BG53" s="20"/>
      <c r="BH53" s="21"/>
      <c r="BI53" s="21"/>
      <c r="BJ53" s="21"/>
      <c r="BK53" s="17"/>
    </row>
    <row r="54" spans="1:63" s="18" customFormat="1" ht="15" customHeight="1" x14ac:dyDescent="0.25">
      <c r="A54" s="13"/>
      <c r="B54" s="20"/>
      <c r="C54" s="70" t="s">
        <v>43</v>
      </c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5"/>
      <c r="AV54" s="42"/>
      <c r="AW54" s="42"/>
      <c r="AX54" s="42"/>
      <c r="AY54" s="42"/>
      <c r="AZ54" s="42"/>
      <c r="BA54" s="42"/>
      <c r="BB54" s="20"/>
      <c r="BC54" s="20"/>
      <c r="BD54" s="20"/>
      <c r="BE54" s="20"/>
      <c r="BF54" s="20"/>
      <c r="BG54" s="20"/>
      <c r="BH54" s="21"/>
      <c r="BI54" s="21"/>
      <c r="BJ54" s="21"/>
      <c r="BK54" s="17"/>
    </row>
    <row r="55" spans="1:63" s="18" customFormat="1" ht="15" customHeight="1" x14ac:dyDescent="0.25">
      <c r="A55" s="13"/>
      <c r="B55" s="20"/>
      <c r="C55" s="70" t="s">
        <v>94</v>
      </c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5"/>
      <c r="AV55" s="42"/>
      <c r="AW55" s="42"/>
      <c r="AX55" s="42"/>
      <c r="AY55" s="42"/>
      <c r="AZ55" s="42"/>
      <c r="BA55" s="42"/>
      <c r="BB55" s="20"/>
      <c r="BC55" s="20"/>
      <c r="BD55" s="20"/>
      <c r="BE55" s="20"/>
      <c r="BF55" s="20"/>
      <c r="BG55" s="20"/>
      <c r="BH55" s="21"/>
      <c r="BI55" s="21"/>
      <c r="BJ55" s="21"/>
      <c r="BK55" s="17"/>
    </row>
    <row r="56" spans="1:63" s="18" customFormat="1" ht="15" customHeight="1" x14ac:dyDescent="0.25">
      <c r="A56" s="13"/>
      <c r="B56" s="20"/>
      <c r="C56" s="70" t="s">
        <v>95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5"/>
      <c r="AV56" s="42"/>
      <c r="AW56" s="42"/>
      <c r="AX56" s="42"/>
      <c r="AY56" s="42"/>
      <c r="AZ56" s="42"/>
      <c r="BA56" s="42"/>
      <c r="BB56" s="20"/>
      <c r="BC56" s="20"/>
      <c r="BD56" s="20"/>
      <c r="BE56" s="20"/>
      <c r="BF56" s="20"/>
      <c r="BG56" s="20"/>
      <c r="BH56" s="21"/>
      <c r="BI56" s="21"/>
      <c r="BJ56" s="21"/>
      <c r="BK56" s="17"/>
    </row>
    <row r="57" spans="1:63" s="18" customFormat="1" ht="15" customHeight="1" x14ac:dyDescent="0.25">
      <c r="A57" s="13"/>
      <c r="B57" s="20"/>
      <c r="C57" s="70" t="s">
        <v>96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5"/>
      <c r="AV57" s="42"/>
      <c r="AW57" s="42"/>
      <c r="AX57" s="42"/>
      <c r="AY57" s="42"/>
      <c r="AZ57" s="42"/>
      <c r="BA57" s="42"/>
      <c r="BB57" s="20"/>
      <c r="BC57" s="20"/>
      <c r="BD57" s="20"/>
      <c r="BE57" s="20"/>
      <c r="BF57" s="20"/>
      <c r="BG57" s="20"/>
      <c r="BH57" s="21"/>
      <c r="BI57" s="21"/>
      <c r="BJ57" s="21"/>
      <c r="BK57" s="17"/>
    </row>
    <row r="58" spans="1:63" s="18" customFormat="1" ht="15" customHeight="1" x14ac:dyDescent="0.25">
      <c r="A58" s="13"/>
      <c r="B58" s="20"/>
      <c r="C58" s="70" t="s">
        <v>97</v>
      </c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5"/>
      <c r="AV58" s="42"/>
      <c r="AW58" s="42"/>
      <c r="AX58" s="42"/>
      <c r="AY58" s="42"/>
      <c r="AZ58" s="42"/>
      <c r="BA58" s="42"/>
      <c r="BB58" s="20"/>
      <c r="BC58" s="20"/>
      <c r="BD58" s="20"/>
      <c r="BE58" s="20"/>
      <c r="BF58" s="20"/>
      <c r="BG58" s="20"/>
      <c r="BH58" s="21"/>
      <c r="BI58" s="21"/>
      <c r="BJ58" s="21"/>
      <c r="BK58" s="17"/>
    </row>
    <row r="59" spans="1:63" s="18" customFormat="1" ht="15" customHeight="1" x14ac:dyDescent="0.25">
      <c r="A59" s="13"/>
      <c r="B59" s="20"/>
      <c r="C59" s="70" t="s">
        <v>98</v>
      </c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5"/>
      <c r="AV59" s="42"/>
      <c r="AW59" s="42"/>
      <c r="AX59" s="42"/>
      <c r="AY59" s="42"/>
      <c r="AZ59" s="42"/>
      <c r="BA59" s="42"/>
      <c r="BB59" s="20"/>
      <c r="BC59" s="20"/>
      <c r="BD59" s="20"/>
      <c r="BE59" s="20"/>
      <c r="BF59" s="20"/>
      <c r="BG59" s="20"/>
      <c r="BH59" s="21"/>
      <c r="BI59" s="21"/>
      <c r="BJ59" s="21"/>
      <c r="BK59" s="17"/>
    </row>
    <row r="60" spans="1:63" s="18" customFormat="1" ht="15" customHeight="1" x14ac:dyDescent="0.25">
      <c r="A60" s="13"/>
      <c r="B60" s="20"/>
      <c r="C60" s="70" t="s">
        <v>99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5"/>
      <c r="AV60" s="42"/>
      <c r="AW60" s="42"/>
      <c r="AX60" s="42"/>
      <c r="AY60" s="42"/>
      <c r="AZ60" s="42"/>
      <c r="BA60" s="42"/>
      <c r="BB60" s="20"/>
      <c r="BC60" s="20"/>
      <c r="BD60" s="20"/>
      <c r="BE60" s="20"/>
      <c r="BF60" s="20"/>
      <c r="BG60" s="20"/>
      <c r="BH60" s="21"/>
      <c r="BI60" s="21"/>
      <c r="BJ60" s="21"/>
      <c r="BK60" s="17"/>
    </row>
    <row r="61" spans="1:63" s="18" customFormat="1" ht="15" customHeight="1" x14ac:dyDescent="0.25">
      <c r="A61" s="13"/>
      <c r="B61" s="20"/>
      <c r="C61" s="70" t="s">
        <v>100</v>
      </c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5"/>
      <c r="AV61" s="42"/>
      <c r="AW61" s="42"/>
      <c r="AX61" s="42"/>
      <c r="AY61" s="42"/>
      <c r="AZ61" s="42"/>
      <c r="BA61" s="42"/>
      <c r="BB61" s="20"/>
      <c r="BC61" s="20"/>
      <c r="BD61" s="20"/>
      <c r="BE61" s="20"/>
      <c r="BF61" s="20"/>
      <c r="BG61" s="20"/>
      <c r="BH61" s="21"/>
      <c r="BI61" s="21"/>
      <c r="BJ61" s="21"/>
      <c r="BK61" s="17"/>
    </row>
    <row r="62" spans="1:63" s="18" customFormat="1" ht="15" customHeight="1" x14ac:dyDescent="0.25">
      <c r="A62" s="13"/>
      <c r="B62" s="20"/>
      <c r="C62" s="70" t="s">
        <v>101</v>
      </c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5"/>
      <c r="AV62" s="42"/>
      <c r="AW62" s="42"/>
      <c r="AX62" s="42"/>
      <c r="AY62" s="42"/>
      <c r="AZ62" s="42"/>
      <c r="BA62" s="42"/>
      <c r="BB62" s="20"/>
      <c r="BC62" s="20"/>
      <c r="BD62" s="20"/>
      <c r="BE62" s="20"/>
      <c r="BF62" s="20"/>
      <c r="BG62" s="20"/>
      <c r="BH62" s="21"/>
      <c r="BI62" s="21"/>
      <c r="BJ62" s="21"/>
      <c r="BK62" s="17"/>
    </row>
    <row r="63" spans="1:63" s="18" customFormat="1" ht="15" customHeight="1" x14ac:dyDescent="0.25">
      <c r="A63" s="13"/>
      <c r="B63" s="20"/>
      <c r="C63" s="70" t="s">
        <v>44</v>
      </c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5"/>
      <c r="AV63" s="42"/>
      <c r="AW63" s="42"/>
      <c r="AX63" s="42"/>
      <c r="AY63" s="42"/>
      <c r="AZ63" s="42"/>
      <c r="BA63" s="42"/>
      <c r="BB63" s="20"/>
      <c r="BC63" s="20"/>
      <c r="BD63" s="20"/>
      <c r="BE63" s="20"/>
      <c r="BF63" s="20"/>
      <c r="BG63" s="20"/>
      <c r="BH63" s="21"/>
      <c r="BI63" s="21"/>
      <c r="BJ63" s="21"/>
      <c r="BK63" s="17"/>
    </row>
    <row r="64" spans="1:63" s="18" customFormat="1" ht="15" customHeight="1" x14ac:dyDescent="0.25">
      <c r="A64" s="13"/>
      <c r="B64" s="20"/>
      <c r="C64" s="70" t="s">
        <v>45</v>
      </c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5"/>
      <c r="AV64" s="42"/>
      <c r="AW64" s="42"/>
      <c r="AX64" s="42"/>
      <c r="AY64" s="42"/>
      <c r="AZ64" s="42"/>
      <c r="BA64" s="42"/>
      <c r="BB64" s="20"/>
      <c r="BC64" s="20"/>
      <c r="BD64" s="20"/>
      <c r="BE64" s="20"/>
      <c r="BF64" s="20"/>
      <c r="BG64" s="20"/>
      <c r="BH64" s="21"/>
      <c r="BI64" s="21"/>
      <c r="BJ64" s="21"/>
      <c r="BK64" s="17"/>
    </row>
    <row r="65" spans="1:63" s="18" customFormat="1" ht="15" customHeight="1" x14ac:dyDescent="0.25">
      <c r="A65" s="13"/>
      <c r="B65" s="20"/>
      <c r="C65" s="70" t="s">
        <v>41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5"/>
      <c r="AV65" s="42"/>
      <c r="AW65" s="42"/>
      <c r="AX65" s="42"/>
      <c r="AY65" s="42"/>
      <c r="AZ65" s="42"/>
      <c r="BA65" s="42"/>
      <c r="BB65" s="20"/>
      <c r="BC65" s="20"/>
      <c r="BD65" s="20"/>
      <c r="BE65" s="20"/>
      <c r="BF65" s="20"/>
      <c r="BG65" s="20"/>
      <c r="BH65" s="21"/>
      <c r="BI65" s="21"/>
      <c r="BJ65" s="21"/>
      <c r="BK65" s="17"/>
    </row>
    <row r="66" spans="1:63" s="18" customFormat="1" ht="15" customHeight="1" x14ac:dyDescent="0.25">
      <c r="A66" s="13"/>
      <c r="B66" s="20"/>
      <c r="C66" s="72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26"/>
      <c r="AV66" s="42"/>
      <c r="AW66" s="42"/>
      <c r="AX66" s="42"/>
      <c r="AY66" s="42"/>
      <c r="AZ66" s="42"/>
      <c r="BA66" s="42"/>
      <c r="BB66" s="20"/>
      <c r="BC66" s="20"/>
      <c r="BD66" s="20"/>
      <c r="BE66" s="20"/>
      <c r="BF66" s="20"/>
      <c r="BG66" s="20"/>
      <c r="BH66" s="21"/>
      <c r="BI66" s="21"/>
      <c r="BJ66" s="21"/>
      <c r="BK66" s="17"/>
    </row>
    <row r="67" spans="1:63" s="18" customFormat="1" ht="15" customHeight="1" x14ac:dyDescent="0.25">
      <c r="A67" s="13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1"/>
      <c r="BI67" s="21"/>
      <c r="BJ67" s="21"/>
      <c r="BK67" s="17"/>
    </row>
    <row r="68" spans="1:63" s="18" customFormat="1" ht="15" customHeight="1" x14ac:dyDescent="0.25">
      <c r="A68" s="13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1"/>
      <c r="BI68" s="21"/>
      <c r="BJ68" s="21"/>
      <c r="BK68" s="17"/>
    </row>
    <row r="69" spans="1:63" s="18" customFormat="1" ht="15" customHeight="1" x14ac:dyDescent="0.25">
      <c r="A69" s="13"/>
      <c r="B69" s="14" t="s">
        <v>102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6"/>
      <c r="BI69" s="16"/>
      <c r="BJ69" s="16"/>
      <c r="BK69" s="17"/>
    </row>
    <row r="70" spans="1:63" s="18" customFormat="1" ht="15" customHeight="1" x14ac:dyDescent="0.25">
      <c r="A70" s="13"/>
      <c r="B70" s="19"/>
      <c r="C70" s="23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1"/>
      <c r="BI70" s="21"/>
      <c r="BJ70" s="21"/>
      <c r="BK70" s="17"/>
    </row>
    <row r="71" spans="1:63" s="18" customFormat="1" ht="15" customHeight="1" x14ac:dyDescent="0.25">
      <c r="A71" s="13"/>
      <c r="B71" s="19"/>
      <c r="C71" s="43" t="s">
        <v>50</v>
      </c>
      <c r="D71" s="20"/>
      <c r="E71" s="68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1"/>
      <c r="BI71" s="21"/>
      <c r="BJ71" s="21"/>
      <c r="BK71" s="17"/>
    </row>
    <row r="72" spans="1:63" s="40" customFormat="1" ht="15" customHeight="1" x14ac:dyDescent="0.25">
      <c r="A72" s="35"/>
      <c r="B72" s="36"/>
      <c r="C72" s="36"/>
      <c r="D72" s="36"/>
      <c r="E72" s="37"/>
      <c r="F72" s="37"/>
      <c r="G72" s="37"/>
      <c r="H72" s="37"/>
      <c r="I72" s="37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8"/>
      <c r="BI72" s="38"/>
      <c r="BJ72" s="38"/>
      <c r="BK72" s="39"/>
    </row>
  </sheetData>
  <mergeCells count="148">
    <mergeCell ref="E32:K32"/>
    <mergeCell ref="E26:K26"/>
    <mergeCell ref="O23:R25"/>
    <mergeCell ref="L21:N21"/>
    <mergeCell ref="L22:N22"/>
    <mergeCell ref="C46:D46"/>
    <mergeCell ref="E46:K46"/>
    <mergeCell ref="S46:Y46"/>
    <mergeCell ref="C43:D43"/>
    <mergeCell ref="E43:K43"/>
    <mergeCell ref="E41:K41"/>
    <mergeCell ref="C42:D42"/>
    <mergeCell ref="E38:K38"/>
    <mergeCell ref="C37:D37"/>
    <mergeCell ref="E37:K37"/>
    <mergeCell ref="E40:K40"/>
    <mergeCell ref="E42:K42"/>
    <mergeCell ref="C40:D40"/>
    <mergeCell ref="O42:R42"/>
    <mergeCell ref="C41:D41"/>
    <mergeCell ref="O41:R41"/>
    <mergeCell ref="O38:R38"/>
    <mergeCell ref="C32:D32"/>
    <mergeCell ref="O26:R26"/>
    <mergeCell ref="AQ44:BJ44"/>
    <mergeCell ref="C45:D45"/>
    <mergeCell ref="E45:K45"/>
    <mergeCell ref="S45:Y45"/>
    <mergeCell ref="AQ45:BJ45"/>
    <mergeCell ref="L45:N45"/>
    <mergeCell ref="O45:R45"/>
    <mergeCell ref="C44:D44"/>
    <mergeCell ref="E44:K44"/>
    <mergeCell ref="S44:Y44"/>
    <mergeCell ref="O44:R44"/>
    <mergeCell ref="Z44:AP44"/>
    <mergeCell ref="AQ46:BJ46"/>
    <mergeCell ref="Z45:AP45"/>
    <mergeCell ref="L46:N46"/>
    <mergeCell ref="O46:R46"/>
    <mergeCell ref="Z46:AP46"/>
    <mergeCell ref="L44:N44"/>
    <mergeCell ref="L32:N32"/>
    <mergeCell ref="O32:R32"/>
    <mergeCell ref="Z32:AP32"/>
    <mergeCell ref="S43:Y43"/>
    <mergeCell ref="AQ43:BJ43"/>
    <mergeCell ref="L43:N43"/>
    <mergeCell ref="O43:R43"/>
    <mergeCell ref="Z43:AP43"/>
    <mergeCell ref="Z42:AP42"/>
    <mergeCell ref="Z41:AP41"/>
    <mergeCell ref="S42:Y42"/>
    <mergeCell ref="AQ41:BJ41"/>
    <mergeCell ref="S37:Y37"/>
    <mergeCell ref="S41:Y41"/>
    <mergeCell ref="L41:N41"/>
    <mergeCell ref="AQ40:BJ40"/>
    <mergeCell ref="AQ42:BJ42"/>
    <mergeCell ref="L42:N42"/>
    <mergeCell ref="O27:R27"/>
    <mergeCell ref="O39:R39"/>
    <mergeCell ref="L40:N40"/>
    <mergeCell ref="O40:R40"/>
    <mergeCell ref="Z39:AP39"/>
    <mergeCell ref="Z40:AP40"/>
    <mergeCell ref="L26:N26"/>
    <mergeCell ref="L27:N27"/>
    <mergeCell ref="S40:Y40"/>
    <mergeCell ref="C38:D38"/>
    <mergeCell ref="L39:N39"/>
    <mergeCell ref="S38:Y38"/>
    <mergeCell ref="L37:N37"/>
    <mergeCell ref="O37:R37"/>
    <mergeCell ref="Z37:AP37"/>
    <mergeCell ref="C33:BJ33"/>
    <mergeCell ref="L38:N38"/>
    <mergeCell ref="AQ37:BJ37"/>
    <mergeCell ref="C39:D39"/>
    <mergeCell ref="E39:K39"/>
    <mergeCell ref="AQ26:BJ26"/>
    <mergeCell ref="AQ27:BJ27"/>
    <mergeCell ref="AQ32:BJ32"/>
    <mergeCell ref="S26:Y26"/>
    <mergeCell ref="S27:Y27"/>
    <mergeCell ref="AQ39:BJ39"/>
    <mergeCell ref="Z26:AP26"/>
    <mergeCell ref="Z38:AP38"/>
    <mergeCell ref="S39:Y39"/>
    <mergeCell ref="AQ38:BJ38"/>
    <mergeCell ref="Z27:AP27"/>
    <mergeCell ref="S32:Y32"/>
    <mergeCell ref="AQ21:BJ21"/>
    <mergeCell ref="AQ23:BJ25"/>
    <mergeCell ref="E20:K20"/>
    <mergeCell ref="C20:D20"/>
    <mergeCell ref="S20:Y20"/>
    <mergeCell ref="L23:N25"/>
    <mergeCell ref="C22:D22"/>
    <mergeCell ref="Z20:AP20"/>
    <mergeCell ref="O21:R21"/>
    <mergeCell ref="O20:R20"/>
    <mergeCell ref="L20:N20"/>
    <mergeCell ref="S22:Y22"/>
    <mergeCell ref="S23:Y25"/>
    <mergeCell ref="S21:Y21"/>
    <mergeCell ref="Z23:AP25"/>
    <mergeCell ref="Z21:AP21"/>
    <mergeCell ref="Z22:AP22"/>
    <mergeCell ref="E21:K21"/>
    <mergeCell ref="E22:K22"/>
    <mergeCell ref="C23:D25"/>
    <mergeCell ref="E23:K25"/>
    <mergeCell ref="C21:D21"/>
    <mergeCell ref="E27:K27"/>
    <mergeCell ref="O22:R22"/>
    <mergeCell ref="C26:D26"/>
    <mergeCell ref="C27:D27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BC1:BG1"/>
    <mergeCell ref="A4:G4"/>
    <mergeCell ref="H4:T4"/>
    <mergeCell ref="U4:Y4"/>
    <mergeCell ref="AQ20:BJ20"/>
    <mergeCell ref="AQ22:BJ22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AG16:AP16"/>
  </mergeCells>
  <pageMargins left="0.7" right="0.7" top="0.75" bottom="0.75" header="0.3" footer="0.3"/>
  <pageSetup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8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5" t="s">
        <v>51</v>
      </c>
      <c r="B1" s="136"/>
      <c r="C1" s="136"/>
      <c r="D1" s="136"/>
      <c r="E1" s="136"/>
      <c r="F1" s="136"/>
      <c r="G1" s="136"/>
      <c r="H1" s="136"/>
      <c r="I1" s="136"/>
      <c r="J1" s="137"/>
      <c r="K1" s="135" t="s">
        <v>52</v>
      </c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48" t="str">
        <f>IF(表紙!W1="","",表紙!W1)</f>
        <v>詳細設計書</v>
      </c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50"/>
      <c r="AP1" s="75" t="s">
        <v>54</v>
      </c>
      <c r="AQ1" s="76"/>
      <c r="AR1" s="76"/>
      <c r="AS1" s="77"/>
      <c r="AT1" s="75" t="s">
        <v>55</v>
      </c>
      <c r="AU1" s="76"/>
      <c r="AV1" s="76"/>
      <c r="AW1" s="76"/>
      <c r="AX1" s="77"/>
      <c r="AY1" s="75" t="s">
        <v>56</v>
      </c>
      <c r="AZ1" s="76"/>
      <c r="BA1" s="76"/>
      <c r="BB1" s="77"/>
      <c r="BC1" s="75" t="s">
        <v>57</v>
      </c>
      <c r="BD1" s="76"/>
      <c r="BE1" s="76"/>
      <c r="BF1" s="76"/>
      <c r="BG1" s="77"/>
      <c r="BH1" s="75" t="s">
        <v>58</v>
      </c>
      <c r="BI1" s="76"/>
      <c r="BJ1" s="76"/>
      <c r="BK1" s="77"/>
    </row>
    <row r="2" spans="1:63" ht="15" customHeight="1" x14ac:dyDescent="0.25">
      <c r="A2" s="142" t="str">
        <f>IF(表紙!A2="","",表紙!A2)</f>
        <v>POSサーバー</v>
      </c>
      <c r="B2" s="143"/>
      <c r="C2" s="143"/>
      <c r="D2" s="143"/>
      <c r="E2" s="143"/>
      <c r="F2" s="143"/>
      <c r="G2" s="143"/>
      <c r="H2" s="143"/>
      <c r="I2" s="143"/>
      <c r="J2" s="144"/>
      <c r="K2" s="142" t="str">
        <f>IF(表紙!K2="","",表紙!K2)</f>
        <v>POSサーバー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78" t="str">
        <f>IF(表紙!AP2="","",表紙!AP2)</f>
        <v>SonMNT</v>
      </c>
      <c r="AQ2" s="79"/>
      <c r="AR2" s="79"/>
      <c r="AS2" s="80"/>
      <c r="AT2" s="106">
        <f>IF(表紙!AT2="","",表紙!AT2)</f>
        <v>45462</v>
      </c>
      <c r="AU2" s="107"/>
      <c r="AV2" s="107"/>
      <c r="AW2" s="107"/>
      <c r="AX2" s="108"/>
      <c r="AY2" s="78" t="str">
        <f>IF(表紙!AY2="","",表紙!AY2)</f>
        <v>SonMNT</v>
      </c>
      <c r="AZ2" s="79"/>
      <c r="BA2" s="79"/>
      <c r="BB2" s="80"/>
      <c r="BC2" s="106">
        <f>IF(表紙!BC2="","",表紙!BC2)</f>
        <v>45462</v>
      </c>
      <c r="BD2" s="107"/>
      <c r="BE2" s="107"/>
      <c r="BF2" s="107"/>
      <c r="BG2" s="108"/>
      <c r="BH2" s="78">
        <f>IF(表紙!BH2="","",表紙!BH2)</f>
        <v>0.1</v>
      </c>
      <c r="BI2" s="79"/>
      <c r="BJ2" s="79"/>
      <c r="BK2" s="80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54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6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81"/>
      <c r="BI3" s="82"/>
      <c r="BJ3" s="82"/>
      <c r="BK3" s="83"/>
    </row>
    <row r="4" spans="1:63" ht="24.95" customHeight="1" x14ac:dyDescent="0.25">
      <c r="A4" s="135" t="s">
        <v>60</v>
      </c>
      <c r="B4" s="136"/>
      <c r="C4" s="136"/>
      <c r="D4" s="136"/>
      <c r="E4" s="136"/>
      <c r="F4" s="136"/>
      <c r="G4" s="137"/>
      <c r="H4" s="138" t="str">
        <f>IF(表紙!H4="","",表紙!H4)</f>
        <v>AP1001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135" t="s">
        <v>61</v>
      </c>
      <c r="V4" s="136"/>
      <c r="W4" s="136"/>
      <c r="X4" s="136"/>
      <c r="Y4" s="137"/>
      <c r="Z4" s="138" t="str">
        <f>IF(表紙!Z4="","",表紙!Z4)</f>
        <v>API設計書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41" t="str">
        <f ca="1">MID(CELL("filename",A1),FIND("]",CELL("filename",A1))+1,255)</f>
        <v>処理フロー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6" customFormat="1" ht="15" customHeight="1" x14ac:dyDescent="0.25">
      <c r="B7" s="41"/>
      <c r="C7" s="21"/>
      <c r="D7" s="21"/>
      <c r="E7" s="21"/>
      <c r="F7" s="21"/>
      <c r="G7" s="21"/>
      <c r="AI7" s="73"/>
      <c r="BJ7" s="73"/>
      <c r="BK7" s="65"/>
    </row>
    <row r="8" spans="1:63" s="66" customFormat="1" ht="15" customHeight="1" x14ac:dyDescent="0.25">
      <c r="B8" s="41"/>
      <c r="C8" s="21"/>
      <c r="D8" s="21"/>
      <c r="E8" s="21"/>
      <c r="F8" s="21"/>
      <c r="G8" s="21"/>
      <c r="AI8" s="73"/>
      <c r="BJ8" s="73"/>
      <c r="BK8" s="65"/>
    </row>
    <row r="9" spans="1:63" s="66" customFormat="1" ht="15" customHeight="1" x14ac:dyDescent="0.25">
      <c r="B9" s="41"/>
      <c r="C9" s="21"/>
      <c r="D9" s="21"/>
      <c r="E9" s="21"/>
      <c r="F9" s="21"/>
      <c r="G9" s="21"/>
      <c r="AI9" s="73"/>
      <c r="BJ9" s="73"/>
      <c r="BK9" s="65"/>
    </row>
    <row r="10" spans="1:63" s="66" customFormat="1" ht="15" customHeight="1" x14ac:dyDescent="0.25">
      <c r="B10" s="41"/>
      <c r="C10" s="21"/>
      <c r="D10" s="21"/>
      <c r="E10" s="21"/>
      <c r="F10" s="21"/>
      <c r="G10" s="21"/>
      <c r="AI10" s="73"/>
      <c r="BJ10" s="73"/>
      <c r="BK10" s="65"/>
    </row>
    <row r="11" spans="1:63" s="66" customFormat="1" ht="15" customHeight="1" x14ac:dyDescent="0.25">
      <c r="B11" s="74"/>
      <c r="AI11" s="73"/>
      <c r="BJ11" s="73"/>
      <c r="BK11" s="65"/>
    </row>
    <row r="12" spans="1:63" s="66" customFormat="1" ht="15" customHeight="1" x14ac:dyDescent="0.25">
      <c r="B12" s="74"/>
      <c r="AI12" s="73"/>
      <c r="BJ12" s="73"/>
      <c r="BK12" s="65"/>
    </row>
    <row r="13" spans="1:63" s="66" customFormat="1" ht="15" customHeight="1" x14ac:dyDescent="0.25">
      <c r="B13" s="74"/>
      <c r="AI13" s="73"/>
      <c r="BJ13" s="73"/>
      <c r="BK13" s="65"/>
    </row>
    <row r="14" spans="1:63" s="66" customFormat="1" ht="15" customHeight="1" x14ac:dyDescent="0.25">
      <c r="B14" s="74"/>
      <c r="AI14" s="73"/>
      <c r="BJ14" s="73"/>
      <c r="BK14" s="65"/>
    </row>
    <row r="15" spans="1:63" s="66" customFormat="1" ht="15" customHeight="1" x14ac:dyDescent="0.25">
      <c r="B15" s="74"/>
      <c r="AI15" s="73"/>
      <c r="BJ15" s="73"/>
      <c r="BK15" s="65"/>
    </row>
    <row r="16" spans="1:63" s="66" customFormat="1" ht="15" customHeight="1" x14ac:dyDescent="0.25">
      <c r="B16" s="74"/>
      <c r="AI16" s="73"/>
      <c r="BJ16" s="73"/>
      <c r="BK16" s="65"/>
    </row>
    <row r="17" spans="2:63" s="66" customFormat="1" ht="15" customHeight="1" x14ac:dyDescent="0.25">
      <c r="B17" s="74"/>
      <c r="AI17" s="73"/>
      <c r="BJ17" s="73"/>
      <c r="BK17" s="65"/>
    </row>
    <row r="18" spans="2:63" s="66" customFormat="1" ht="15" customHeight="1" x14ac:dyDescent="0.25">
      <c r="B18" s="74"/>
      <c r="AI18" s="73"/>
      <c r="BJ18" s="73"/>
      <c r="BK18" s="65"/>
    </row>
    <row r="19" spans="2:63" s="66" customFormat="1" ht="15" customHeight="1" x14ac:dyDescent="0.25">
      <c r="B19" s="74"/>
      <c r="AI19" s="73"/>
      <c r="BJ19" s="73"/>
      <c r="BK19" s="65"/>
    </row>
    <row r="20" spans="2:63" s="66" customFormat="1" ht="15" customHeight="1" x14ac:dyDescent="0.25">
      <c r="B20" s="74"/>
      <c r="AI20" s="73"/>
      <c r="BJ20" s="73"/>
      <c r="BK20" s="65"/>
    </row>
    <row r="21" spans="2:63" s="66" customFormat="1" ht="15" customHeight="1" x14ac:dyDescent="0.25">
      <c r="B21" s="74"/>
      <c r="AI21" s="73"/>
      <c r="BJ21" s="73"/>
      <c r="BK21" s="65"/>
    </row>
    <row r="22" spans="2:63" s="66" customFormat="1" ht="15" customHeight="1" x14ac:dyDescent="0.25">
      <c r="B22" s="74"/>
      <c r="AI22" s="73"/>
      <c r="BJ22" s="73"/>
      <c r="BK22" s="65"/>
    </row>
    <row r="23" spans="2:63" s="66" customFormat="1" ht="15" customHeight="1" x14ac:dyDescent="0.25">
      <c r="B23" s="74"/>
      <c r="AI23" s="73"/>
      <c r="BJ23" s="73"/>
      <c r="BK23" s="65"/>
    </row>
    <row r="24" spans="2:63" s="66" customFormat="1" ht="15" customHeight="1" x14ac:dyDescent="0.25">
      <c r="B24" s="74"/>
      <c r="AI24" s="73"/>
      <c r="BJ24" s="73"/>
      <c r="BK24" s="65"/>
    </row>
    <row r="25" spans="2:63" s="66" customFormat="1" ht="15" customHeight="1" x14ac:dyDescent="0.25">
      <c r="B25" s="74"/>
      <c r="AI25" s="73"/>
      <c r="BJ25" s="73"/>
      <c r="BK25" s="65"/>
    </row>
    <row r="26" spans="2:63" s="66" customFormat="1" ht="15" customHeight="1" x14ac:dyDescent="0.25">
      <c r="B26" s="74"/>
      <c r="AI26" s="73"/>
      <c r="BJ26" s="73"/>
      <c r="BK26" s="65"/>
    </row>
    <row r="27" spans="2:63" s="66" customFormat="1" ht="15" customHeight="1" x14ac:dyDescent="0.25">
      <c r="B27" s="74"/>
      <c r="AI27" s="73"/>
      <c r="BJ27" s="73"/>
      <c r="BK27" s="65"/>
    </row>
    <row r="28" spans="2:63" s="66" customFormat="1" ht="15" customHeight="1" x14ac:dyDescent="0.25">
      <c r="B28" s="74"/>
      <c r="AI28" s="73"/>
      <c r="BJ28" s="73"/>
      <c r="BK28" s="65"/>
    </row>
    <row r="29" spans="2:63" s="66" customFormat="1" ht="15" customHeight="1" x14ac:dyDescent="0.25">
      <c r="B29" s="74"/>
      <c r="AI29" s="73"/>
      <c r="BJ29" s="73"/>
      <c r="BK29" s="65"/>
    </row>
    <row r="30" spans="2:63" s="66" customFormat="1" ht="15" customHeight="1" x14ac:dyDescent="0.25">
      <c r="B30" s="74"/>
      <c r="AI30" s="73"/>
      <c r="BJ30" s="73"/>
      <c r="BK30" s="65"/>
    </row>
    <row r="31" spans="2:63" s="66" customFormat="1" ht="15" customHeight="1" x14ac:dyDescent="0.25">
      <c r="B31" s="74"/>
      <c r="AI31" s="73"/>
      <c r="BJ31" s="73"/>
      <c r="BK31" s="65"/>
    </row>
    <row r="32" spans="2:63" s="66" customFormat="1" ht="15" customHeight="1" x14ac:dyDescent="0.25">
      <c r="B32" s="74"/>
      <c r="AI32" s="73"/>
      <c r="BJ32" s="73"/>
      <c r="BK32" s="65"/>
    </row>
    <row r="33" spans="2:63" s="66" customFormat="1" ht="15" customHeight="1" x14ac:dyDescent="0.25">
      <c r="B33" s="74"/>
      <c r="AI33" s="73"/>
      <c r="BJ33" s="73"/>
      <c r="BK33" s="65"/>
    </row>
    <row r="34" spans="2:63" s="66" customFormat="1" ht="15" customHeight="1" x14ac:dyDescent="0.25">
      <c r="B34" s="74"/>
      <c r="AI34" s="73"/>
      <c r="BJ34" s="73"/>
      <c r="BK34" s="65"/>
    </row>
    <row r="35" spans="2:63" s="66" customFormat="1" ht="15" customHeight="1" x14ac:dyDescent="0.25">
      <c r="B35" s="74"/>
      <c r="AI35" s="73"/>
      <c r="BJ35" s="73"/>
      <c r="BK35" s="65"/>
    </row>
    <row r="36" spans="2:63" s="66" customFormat="1" ht="15" customHeight="1" x14ac:dyDescent="0.25">
      <c r="B36" s="74"/>
      <c r="AI36" s="73"/>
      <c r="BJ36" s="73"/>
      <c r="BK36" s="65"/>
    </row>
    <row r="37" spans="2:63" s="66" customFormat="1" ht="15" customHeight="1" x14ac:dyDescent="0.25">
      <c r="B37" s="74"/>
      <c r="AI37" s="73"/>
      <c r="BJ37" s="73"/>
      <c r="BK37" s="65"/>
    </row>
    <row r="38" spans="2:63" s="66" customFormat="1" ht="15" customHeight="1" x14ac:dyDescent="0.25">
      <c r="B38" s="74"/>
      <c r="AI38" s="73"/>
      <c r="BJ38" s="73"/>
      <c r="BK38" s="65"/>
    </row>
    <row r="39" spans="2:63" s="66" customFormat="1" ht="15" customHeight="1" x14ac:dyDescent="0.25">
      <c r="B39" s="74"/>
      <c r="AI39" s="73"/>
      <c r="BJ39" s="73"/>
      <c r="BK39" s="65"/>
    </row>
    <row r="40" spans="2:63" s="66" customFormat="1" ht="15" customHeight="1" x14ac:dyDescent="0.25">
      <c r="B40" s="74"/>
      <c r="AI40" s="73"/>
      <c r="BJ40" s="73"/>
      <c r="BK40" s="65"/>
    </row>
    <row r="41" spans="2:63" s="66" customFormat="1" ht="15" customHeight="1" x14ac:dyDescent="0.25">
      <c r="B41" s="74"/>
      <c r="AI41" s="73"/>
      <c r="BJ41" s="73"/>
      <c r="BK41" s="65"/>
    </row>
    <row r="42" spans="2:63" s="66" customFormat="1" ht="15" customHeight="1" x14ac:dyDescent="0.25">
      <c r="B42" s="74"/>
      <c r="AI42" s="73"/>
      <c r="BJ42" s="73"/>
      <c r="BK42" s="65"/>
    </row>
    <row r="43" spans="2:63" s="66" customFormat="1" ht="15" customHeight="1" x14ac:dyDescent="0.25">
      <c r="B43" s="74"/>
      <c r="AI43" s="73"/>
      <c r="BJ43" s="73"/>
      <c r="BK43" s="65"/>
    </row>
    <row r="44" spans="2:63" ht="15" customHeight="1" x14ac:dyDescent="0.25">
      <c r="B44" s="9"/>
      <c r="AI44" s="11"/>
      <c r="BJ44" s="11"/>
      <c r="BK44" s="5"/>
    </row>
    <row r="45" spans="2:63" ht="15" customHeight="1" x14ac:dyDescent="0.25">
      <c r="B45" s="9"/>
      <c r="AI45" s="11"/>
      <c r="BJ45" s="11"/>
      <c r="BK45" s="5"/>
    </row>
    <row r="46" spans="2:63" ht="15" customHeight="1" x14ac:dyDescent="0.25">
      <c r="B46" s="9"/>
      <c r="AI46" s="11"/>
      <c r="BJ46" s="11"/>
      <c r="BK46" s="5"/>
    </row>
    <row r="47" spans="2:63" ht="15" customHeight="1" x14ac:dyDescent="0.25">
      <c r="B47" s="9"/>
      <c r="AI47" s="11"/>
      <c r="BJ47" s="11"/>
      <c r="BK47" s="5"/>
    </row>
    <row r="48" spans="2:63" ht="15" customHeight="1" x14ac:dyDescent="0.25">
      <c r="B48" s="9"/>
      <c r="AI48" s="11"/>
      <c r="BJ48" s="11"/>
      <c r="BK48" s="5"/>
    </row>
    <row r="49" spans="2:63" ht="15" customHeight="1" x14ac:dyDescent="0.25">
      <c r="B49" s="9"/>
      <c r="AI49" s="11"/>
      <c r="BJ49" s="11"/>
      <c r="BK49" s="5"/>
    </row>
    <row r="50" spans="2:63" ht="15" customHeight="1" x14ac:dyDescent="0.25">
      <c r="B50" s="9"/>
      <c r="AI50" s="11"/>
      <c r="BJ50" s="11"/>
      <c r="BK50" s="5"/>
    </row>
    <row r="51" spans="2:63" ht="15" customHeight="1" x14ac:dyDescent="0.25">
      <c r="B51" s="9"/>
      <c r="AI51" s="11"/>
      <c r="BJ51" s="11"/>
      <c r="BK51" s="5"/>
    </row>
    <row r="52" spans="2:63" ht="15" customHeight="1" x14ac:dyDescent="0.25">
      <c r="B52" s="9"/>
      <c r="AI52" s="11"/>
      <c r="BJ52" s="11"/>
      <c r="BK52" s="5"/>
    </row>
    <row r="53" spans="2:63" ht="15" customHeight="1" x14ac:dyDescent="0.25">
      <c r="B53" s="9"/>
      <c r="AI53" s="11"/>
      <c r="BJ53" s="11"/>
      <c r="BK53" s="5"/>
    </row>
    <row r="54" spans="2:63" ht="15" customHeight="1" x14ac:dyDescent="0.25">
      <c r="B54" s="9"/>
      <c r="AI54" s="11"/>
      <c r="BJ54" s="11"/>
      <c r="BK54" s="5"/>
    </row>
    <row r="55" spans="2:63" ht="15" customHeight="1" x14ac:dyDescent="0.25">
      <c r="B55" s="9"/>
      <c r="AI55" s="11"/>
      <c r="BJ55" s="11"/>
      <c r="BK55" s="5"/>
    </row>
    <row r="56" spans="2:63" ht="15" customHeight="1" x14ac:dyDescent="0.25">
      <c r="B56" s="9"/>
      <c r="AI56" s="11"/>
      <c r="BJ56" s="11"/>
      <c r="BK56" s="5"/>
    </row>
    <row r="57" spans="2:63" ht="15" customHeight="1" x14ac:dyDescent="0.25">
      <c r="B57" s="9"/>
      <c r="AI57" s="11"/>
      <c r="BJ57" s="11"/>
      <c r="BK57" s="5"/>
    </row>
    <row r="58" spans="2:63" ht="15" customHeight="1" x14ac:dyDescent="0.25">
      <c r="B58" s="9"/>
      <c r="AI58" s="11"/>
      <c r="BJ58" s="11"/>
      <c r="BK58" s="5"/>
    </row>
    <row r="59" spans="2:63" ht="15" customHeight="1" x14ac:dyDescent="0.25">
      <c r="B59" s="9"/>
      <c r="AI59" s="11"/>
      <c r="BJ59" s="11"/>
      <c r="BK59" s="5"/>
    </row>
    <row r="60" spans="2:63" ht="15" customHeight="1" x14ac:dyDescent="0.25">
      <c r="B60" s="9"/>
      <c r="AI60" s="11"/>
      <c r="BJ60" s="11"/>
      <c r="BK60" s="5"/>
    </row>
    <row r="61" spans="2:63" ht="15" customHeight="1" x14ac:dyDescent="0.25">
      <c r="B61" s="9"/>
      <c r="AI61" s="11"/>
      <c r="BJ61" s="11"/>
      <c r="BK61" s="5"/>
    </row>
    <row r="62" spans="2:63" ht="15" customHeight="1" x14ac:dyDescent="0.25">
      <c r="B62" s="9"/>
      <c r="AI62" s="11"/>
      <c r="BJ62" s="11"/>
      <c r="BK62" s="5"/>
    </row>
    <row r="63" spans="2:63" ht="15" customHeight="1" x14ac:dyDescent="0.25">
      <c r="B63" s="9"/>
      <c r="AI63" s="11"/>
      <c r="BJ63" s="11"/>
      <c r="BK63" s="5"/>
    </row>
    <row r="64" spans="2:63" ht="15" customHeight="1" x14ac:dyDescent="0.25">
      <c r="B64" s="9"/>
      <c r="AI64" s="11"/>
      <c r="BJ64" s="11"/>
      <c r="BK64" s="5"/>
    </row>
    <row r="65" spans="2:63" ht="15" customHeight="1" x14ac:dyDescent="0.25">
      <c r="B65" s="9"/>
      <c r="AI65" s="11"/>
      <c r="BJ65" s="11"/>
      <c r="BK65" s="5"/>
    </row>
    <row r="66" spans="2:63" ht="15" customHeight="1" x14ac:dyDescent="0.25">
      <c r="B66" s="9"/>
      <c r="AI66" s="11"/>
      <c r="BJ66" s="11"/>
      <c r="BK66" s="5"/>
    </row>
    <row r="67" spans="2:63" ht="15" customHeight="1" x14ac:dyDescent="0.25">
      <c r="B67" s="9"/>
      <c r="AI67" s="11"/>
      <c r="BJ67" s="11"/>
      <c r="BK67" s="5"/>
    </row>
    <row r="68" spans="2:63" ht="15" customHeight="1" x14ac:dyDescent="0.25">
      <c r="B68" s="9"/>
      <c r="AI68" s="11"/>
      <c r="BJ68" s="11"/>
      <c r="BK68" s="5"/>
    </row>
    <row r="69" spans="2:63" ht="15" customHeight="1" x14ac:dyDescent="0.25">
      <c r="B69" s="9"/>
      <c r="AI69" s="11"/>
      <c r="BJ69" s="11"/>
      <c r="BK69" s="5"/>
    </row>
    <row r="70" spans="2:63" ht="15" customHeight="1" x14ac:dyDescent="0.25">
      <c r="B70" s="9"/>
      <c r="AI70" s="11"/>
      <c r="BJ70" s="11"/>
      <c r="BK70" s="5"/>
    </row>
    <row r="71" spans="2:63" ht="15" customHeight="1" x14ac:dyDescent="0.25">
      <c r="B71" s="9"/>
      <c r="AI71" s="11"/>
      <c r="BJ71" s="11"/>
      <c r="BK71" s="5"/>
    </row>
    <row r="72" spans="2:63" ht="15" customHeight="1" x14ac:dyDescent="0.25">
      <c r="B72" s="9"/>
      <c r="AI72" s="11"/>
      <c r="BJ72" s="11"/>
      <c r="BK72" s="5"/>
    </row>
    <row r="73" spans="2:63" ht="15" customHeight="1" x14ac:dyDescent="0.25">
      <c r="B73" s="9"/>
      <c r="AI73" s="11"/>
      <c r="BJ73" s="11"/>
      <c r="BK73" s="5"/>
    </row>
    <row r="74" spans="2:63" ht="15" customHeight="1" x14ac:dyDescent="0.25">
      <c r="B74" s="9"/>
      <c r="AI74" s="11"/>
      <c r="BJ74" s="11"/>
      <c r="BK74" s="5"/>
    </row>
    <row r="75" spans="2:63" ht="15" customHeight="1" x14ac:dyDescent="0.25">
      <c r="B75" s="9"/>
      <c r="AI75" s="11"/>
      <c r="BJ75" s="11"/>
      <c r="BK75" s="5"/>
    </row>
    <row r="76" spans="2:63" ht="15" customHeight="1" x14ac:dyDescent="0.25">
      <c r="B76" s="9"/>
      <c r="AI76" s="11"/>
      <c r="BJ76" s="11"/>
      <c r="BK76" s="5"/>
    </row>
    <row r="77" spans="2:63" ht="15" customHeight="1" x14ac:dyDescent="0.25">
      <c r="B77" s="9"/>
      <c r="AI77" s="11"/>
      <c r="BJ77" s="11"/>
      <c r="BK77" s="5"/>
    </row>
    <row r="78" spans="2:63" ht="15" customHeight="1" x14ac:dyDescent="0.25">
      <c r="B78" s="9"/>
      <c r="AI78" s="11"/>
      <c r="BJ78" s="11"/>
      <c r="BK78" s="5"/>
    </row>
    <row r="79" spans="2:63" ht="15" customHeight="1" x14ac:dyDescent="0.25">
      <c r="B79" s="9"/>
      <c r="AI79" s="11"/>
      <c r="BJ79" s="11"/>
      <c r="BK79" s="5"/>
    </row>
    <row r="80" spans="2:63" ht="15" customHeight="1" x14ac:dyDescent="0.25">
      <c r="B80" s="9"/>
      <c r="AI80" s="11"/>
      <c r="BJ80" s="11"/>
      <c r="BK80" s="5"/>
    </row>
    <row r="81" spans="1:63" ht="15" customHeight="1" x14ac:dyDescent="0.25">
      <c r="B81" s="9"/>
      <c r="AI81" s="11"/>
      <c r="BJ81" s="11"/>
      <c r="BK81" s="5"/>
    </row>
    <row r="82" spans="1:63" ht="15" customHeight="1" x14ac:dyDescent="0.25">
      <c r="B82" s="9"/>
      <c r="AI82" s="11"/>
      <c r="BJ82" s="11"/>
      <c r="BK82" s="5"/>
    </row>
    <row r="83" spans="1:63" ht="15" customHeight="1" x14ac:dyDescent="0.25">
      <c r="A83" s="3"/>
      <c r="B83" s="1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12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12"/>
      <c r="BK83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5" t="s">
        <v>51</v>
      </c>
      <c r="B1" s="136"/>
      <c r="C1" s="136"/>
      <c r="D1" s="136"/>
      <c r="E1" s="136"/>
      <c r="F1" s="136"/>
      <c r="G1" s="136"/>
      <c r="H1" s="136"/>
      <c r="I1" s="136"/>
      <c r="J1" s="137"/>
      <c r="K1" s="135" t="s">
        <v>52</v>
      </c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48" t="str">
        <f>IF(表紙!W1="","",表紙!W1)</f>
        <v>詳細設計書</v>
      </c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50"/>
      <c r="AP1" s="75" t="s">
        <v>54</v>
      </c>
      <c r="AQ1" s="76"/>
      <c r="AR1" s="76"/>
      <c r="AS1" s="77"/>
      <c r="AT1" s="75" t="s">
        <v>55</v>
      </c>
      <c r="AU1" s="76"/>
      <c r="AV1" s="76"/>
      <c r="AW1" s="76"/>
      <c r="AX1" s="77"/>
      <c r="AY1" s="75" t="s">
        <v>56</v>
      </c>
      <c r="AZ1" s="76"/>
      <c r="BA1" s="76"/>
      <c r="BB1" s="77"/>
      <c r="BC1" s="75" t="s">
        <v>57</v>
      </c>
      <c r="BD1" s="76"/>
      <c r="BE1" s="76"/>
      <c r="BF1" s="76"/>
      <c r="BG1" s="77"/>
      <c r="BH1" s="75" t="s">
        <v>58</v>
      </c>
      <c r="BI1" s="76"/>
      <c r="BJ1" s="76"/>
      <c r="BK1" s="77"/>
    </row>
    <row r="2" spans="1:63" ht="15" customHeight="1" x14ac:dyDescent="0.25">
      <c r="A2" s="142" t="str">
        <f>IF(表紙!A2="","",表紙!A2)</f>
        <v>POSサーバー</v>
      </c>
      <c r="B2" s="143"/>
      <c r="C2" s="143"/>
      <c r="D2" s="143"/>
      <c r="E2" s="143"/>
      <c r="F2" s="143"/>
      <c r="G2" s="143"/>
      <c r="H2" s="143"/>
      <c r="I2" s="143"/>
      <c r="J2" s="144"/>
      <c r="K2" s="142" t="str">
        <f>IF(表紙!K2="","",表紙!K2)</f>
        <v>POSサーバー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78" t="str">
        <f>IF(表紙!AP2="","",表紙!AP2)</f>
        <v>SonMNT</v>
      </c>
      <c r="AQ2" s="79"/>
      <c r="AR2" s="79"/>
      <c r="AS2" s="80"/>
      <c r="AT2" s="106">
        <f>IF(表紙!AT2="","",表紙!AT2)</f>
        <v>45462</v>
      </c>
      <c r="AU2" s="107"/>
      <c r="AV2" s="107"/>
      <c r="AW2" s="107"/>
      <c r="AX2" s="108"/>
      <c r="AY2" s="78" t="str">
        <f>IF(表紙!AY2="","",表紙!AY2)</f>
        <v>SonMNT</v>
      </c>
      <c r="AZ2" s="79"/>
      <c r="BA2" s="79"/>
      <c r="BB2" s="80"/>
      <c r="BC2" s="106">
        <f>IF(表紙!BC2="","",表紙!BC2)</f>
        <v>45462</v>
      </c>
      <c r="BD2" s="107"/>
      <c r="BE2" s="107"/>
      <c r="BF2" s="107"/>
      <c r="BG2" s="108"/>
      <c r="BH2" s="78">
        <f>IF(表紙!BH2="","",表紙!BH2)</f>
        <v>0.1</v>
      </c>
      <c r="BI2" s="79"/>
      <c r="BJ2" s="79"/>
      <c r="BK2" s="80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54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6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81"/>
      <c r="BI3" s="82"/>
      <c r="BJ3" s="82"/>
      <c r="BK3" s="83"/>
    </row>
    <row r="4" spans="1:63" ht="24.95" customHeight="1" x14ac:dyDescent="0.25">
      <c r="A4" s="135" t="s">
        <v>60</v>
      </c>
      <c r="B4" s="136"/>
      <c r="C4" s="136"/>
      <c r="D4" s="136"/>
      <c r="E4" s="136"/>
      <c r="F4" s="136"/>
      <c r="G4" s="137"/>
      <c r="H4" s="138" t="str">
        <f>IF(表紙!H4="","",表紙!H4)</f>
        <v>AP1001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135" t="s">
        <v>61</v>
      </c>
      <c r="V4" s="136"/>
      <c r="W4" s="136"/>
      <c r="X4" s="136"/>
      <c r="Y4" s="137"/>
      <c r="Z4" s="138" t="str">
        <f>IF(表紙!Z4="","",表紙!Z4)</f>
        <v>API設計書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41" t="str">
        <f ca="1">MID(CELL("filename",A1),FIND("]",CELL("filename",A1))+1,255)</f>
        <v>テンプレート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6" customFormat="1" ht="15" customHeight="1" x14ac:dyDescent="0.25">
      <c r="BK7" s="65"/>
    </row>
    <row r="8" spans="1:63" s="66" customFormat="1" ht="15" customHeight="1" x14ac:dyDescent="0.25">
      <c r="BK8" s="65"/>
    </row>
    <row r="9" spans="1:63" s="66" customFormat="1" ht="15" customHeight="1" x14ac:dyDescent="0.25">
      <c r="BK9" s="65"/>
    </row>
    <row r="10" spans="1:63" s="66" customFormat="1" ht="15" customHeight="1" x14ac:dyDescent="0.25">
      <c r="BK10" s="65"/>
    </row>
    <row r="11" spans="1:63" s="66" customFormat="1" ht="15" customHeight="1" x14ac:dyDescent="0.25">
      <c r="BK11" s="65"/>
    </row>
    <row r="12" spans="1:63" s="66" customFormat="1" ht="15" customHeight="1" x14ac:dyDescent="0.25">
      <c r="BK12" s="65"/>
    </row>
    <row r="13" spans="1:63" s="66" customFormat="1" ht="15" customHeight="1" x14ac:dyDescent="0.25">
      <c r="BK13" s="65"/>
    </row>
    <row r="14" spans="1:63" s="66" customFormat="1" ht="15" customHeight="1" x14ac:dyDescent="0.25">
      <c r="BK14" s="65"/>
    </row>
    <row r="15" spans="1:63" s="66" customFormat="1" ht="15" customHeight="1" x14ac:dyDescent="0.25">
      <c r="BK15" s="65"/>
    </row>
    <row r="16" spans="1:63" s="66" customFormat="1" ht="15" customHeight="1" x14ac:dyDescent="0.25">
      <c r="BK16" s="65"/>
    </row>
    <row r="17" spans="63:63" s="66" customFormat="1" ht="15" customHeight="1" x14ac:dyDescent="0.25">
      <c r="BK17" s="65"/>
    </row>
    <row r="18" spans="63:63" s="66" customFormat="1" ht="15" customHeight="1" x14ac:dyDescent="0.25">
      <c r="BK18" s="65"/>
    </row>
    <row r="19" spans="63:63" s="66" customFormat="1" ht="15" customHeight="1" x14ac:dyDescent="0.25">
      <c r="BK19" s="65"/>
    </row>
    <row r="20" spans="63:63" s="66" customFormat="1" ht="15" customHeight="1" x14ac:dyDescent="0.25">
      <c r="BK20" s="65"/>
    </row>
    <row r="21" spans="63:63" s="66" customFormat="1" ht="15" customHeight="1" x14ac:dyDescent="0.25">
      <c r="BK21" s="65"/>
    </row>
    <row r="22" spans="63:63" s="66" customFormat="1" ht="15" customHeight="1" x14ac:dyDescent="0.25">
      <c r="BK22" s="65"/>
    </row>
    <row r="23" spans="63:63" s="66" customFormat="1" ht="15" customHeight="1" x14ac:dyDescent="0.25">
      <c r="BK23" s="65"/>
    </row>
    <row r="24" spans="63:63" s="66" customFormat="1" ht="15" customHeight="1" x14ac:dyDescent="0.25">
      <c r="BK24" s="65"/>
    </row>
    <row r="25" spans="63:63" s="66" customFormat="1" ht="15" customHeight="1" x14ac:dyDescent="0.25">
      <c r="BK25" s="65"/>
    </row>
    <row r="26" spans="63:63" s="66" customFormat="1" ht="15" customHeight="1" x14ac:dyDescent="0.25">
      <c r="BK26" s="65"/>
    </row>
    <row r="27" spans="63:63" s="66" customFormat="1" ht="15" customHeight="1" x14ac:dyDescent="0.25">
      <c r="BK27" s="65"/>
    </row>
    <row r="28" spans="63:63" s="66" customFormat="1" ht="15" customHeight="1" x14ac:dyDescent="0.25">
      <c r="BK28" s="65"/>
    </row>
    <row r="29" spans="63:63" s="66" customFormat="1" ht="15" customHeight="1" x14ac:dyDescent="0.25">
      <c r="BK29" s="65"/>
    </row>
    <row r="30" spans="63:63" s="66" customFormat="1" ht="15" customHeight="1" x14ac:dyDescent="0.25">
      <c r="BK30" s="65"/>
    </row>
    <row r="31" spans="63:63" s="66" customFormat="1" ht="15" customHeight="1" x14ac:dyDescent="0.25">
      <c r="BK31" s="65"/>
    </row>
    <row r="32" spans="63:63" s="66" customFormat="1" ht="15" customHeight="1" x14ac:dyDescent="0.25">
      <c r="BK32" s="65"/>
    </row>
    <row r="33" spans="63:63" s="66" customFormat="1" ht="15" customHeight="1" x14ac:dyDescent="0.25">
      <c r="BK33" s="65"/>
    </row>
    <row r="34" spans="63:63" s="66" customFormat="1" ht="15" customHeight="1" x14ac:dyDescent="0.25">
      <c r="BK34" s="65"/>
    </row>
    <row r="35" spans="63:63" s="66" customFormat="1" ht="15" customHeight="1" x14ac:dyDescent="0.25">
      <c r="BK35" s="65"/>
    </row>
    <row r="36" spans="63:63" s="66" customFormat="1" ht="15" customHeight="1" x14ac:dyDescent="0.25">
      <c r="BK36" s="65"/>
    </row>
    <row r="37" spans="63:63" s="66" customFormat="1" ht="15" customHeight="1" x14ac:dyDescent="0.25">
      <c r="BK37" s="65"/>
    </row>
    <row r="38" spans="63:63" s="66" customFormat="1" ht="15" customHeight="1" x14ac:dyDescent="0.25">
      <c r="BK38" s="65"/>
    </row>
    <row r="39" spans="63:63" s="66" customFormat="1" ht="15" customHeight="1" x14ac:dyDescent="0.25">
      <c r="BK39" s="65"/>
    </row>
    <row r="40" spans="63:63" s="66" customFormat="1" ht="15" customHeight="1" x14ac:dyDescent="0.25">
      <c r="BK40" s="65"/>
    </row>
    <row r="41" spans="63:63" s="66" customFormat="1" ht="15" customHeight="1" x14ac:dyDescent="0.25">
      <c r="BK41" s="65"/>
    </row>
    <row r="42" spans="63:63" s="66" customFormat="1" ht="15" customHeight="1" x14ac:dyDescent="0.25">
      <c r="BK42" s="65"/>
    </row>
    <row r="43" spans="63:63" s="66" customFormat="1" ht="15" customHeight="1" x14ac:dyDescent="0.25">
      <c r="BK43" s="65"/>
    </row>
    <row r="44" spans="63:63" s="66" customFormat="1" ht="15" customHeight="1" x14ac:dyDescent="0.25">
      <c r="BK44" s="65"/>
    </row>
    <row r="45" spans="63:63" s="66" customFormat="1" ht="15" customHeight="1" x14ac:dyDescent="0.25">
      <c r="BK45" s="65"/>
    </row>
    <row r="46" spans="63:63" s="66" customFormat="1" ht="15" customHeight="1" x14ac:dyDescent="0.25">
      <c r="BK46" s="65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AP1001</vt:lpstr>
      <vt:lpstr>処理フロー</vt:lpstr>
      <vt:lpstr>テンプレート</vt:lpstr>
      <vt:lpstr>'AP1001'!Print_Area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2024-07-11T08:44:00Z</dcterms:modified>
  <cp:category/>
  <cp:contentStatus/>
</cp:coreProperties>
</file>