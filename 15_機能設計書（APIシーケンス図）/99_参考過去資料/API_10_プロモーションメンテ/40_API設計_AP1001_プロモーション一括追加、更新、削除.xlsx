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0FF88994-58FE-4E03-B1D0-4184D690535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" sheetId="11" r:id="rId3"/>
    <sheet name="処理フロー凡例" sheetId="10" r:id="rId4"/>
    <sheet name="AP1001" sheetId="8" r:id="rId5"/>
    <sheet name="処理フロー" sheetId="12" r:id="rId6"/>
    <sheet name="テンプレート" sheetId="7" r:id="rId7"/>
  </sheets>
  <definedNames>
    <definedName name="_xlnm.Print_Area" localSheetId="4">'AP1001'!$A$1:$BK$73</definedName>
    <definedName name="_xlnm.Print_Area" localSheetId="6">テンプレート!$A$1:$BK$54</definedName>
    <definedName name="_xlnm.Print_Area" localSheetId="5">処理フロー!$A$1:$BK$92</definedName>
    <definedName name="_xlnm.Print_Area" localSheetId="3">処理フロー凡例!$A$1:$BK$54</definedName>
    <definedName name="_xlnm.Print_Area" localSheetId="2">指摘履歴!$A$1:$BK$55</definedName>
    <definedName name="_xlnm.Print_Area" localSheetId="1">改訂履歴!$A$1:$BK$55</definedName>
    <definedName name="_xlnm.Print_Area" localSheetId="0">表紙!$A$1:$BK$55</definedName>
    <definedName name="_xlnm.Print_Titles" localSheetId="2">指摘履歴!$1:$5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AP2" i="7"/>
  <c r="K2" i="7"/>
  <c r="A2" i="7"/>
  <c r="W1" i="7"/>
  <c r="AP4" i="12"/>
  <c r="Z4" i="12"/>
  <c r="H4" i="12"/>
  <c r="AP2" i="12"/>
  <c r="K2" i="12"/>
  <c r="A2" i="12"/>
  <c r="W1" i="12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11" a="1"/>
  <c r="AP4" i="11" s="1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12" s="1"/>
  <c r="AT2" i="4"/>
  <c r="AT2" i="8" s="1"/>
  <c r="AP2" i="4"/>
  <c r="AP2" i="10" s="1"/>
  <c r="BH2" i="7" l="1"/>
  <c r="BC2" i="3"/>
  <c r="AY2" i="8"/>
  <c r="BC2" i="12"/>
  <c r="AT2" i="7"/>
  <c r="AT2" i="3"/>
  <c r="BC2" i="10"/>
  <c r="AP2" i="8"/>
  <c r="BH2" i="8"/>
  <c r="AT2" i="12"/>
  <c r="AY2" i="7"/>
  <c r="BH2" i="3"/>
  <c r="AY2" i="10"/>
  <c r="BC2" i="8"/>
  <c r="BH2" i="12"/>
  <c r="AY2" i="3"/>
</calcChain>
</file>

<file path=xl/sharedStrings.xml><?xml version="1.0" encoding="utf-8"?>
<sst xmlns="http://schemas.openxmlformats.org/spreadsheetml/2006/main" count="243" uniqueCount="113">
  <si>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</si>
  <si>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</si>
  <si>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</si>
  <si>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</si>
  <si>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API設計書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</si>
  <si>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</si>
  <si>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</si>
  <si>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</si>
  <si>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</si>
  <si>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</si>
  <si>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</si>
  <si>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</si>
  <si>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</si>
  <si>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</si>
  <si>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</si>
  <si>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</si>
  <si>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</si>
  <si>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</si>
  <si>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</si>
  <si>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</si>
  <si>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</si>
  <si>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</si>
  <si>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</si>
  <si>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</si>
  <si>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</si>
  <si>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promotions</t>
    </r>
  </si>
  <si>
    <r>
      <rPr>
        <sz val="11"/>
        <color rgb="FF000000"/>
        <rFont val="Meiryo UI"/>
        <family val="2"/>
      </rPr>
      <t>なし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</si>
  <si>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</si>
  <si>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start_time</t>
    </r>
  </si>
  <si>
    <r>
      <rPr>
        <sz val="11"/>
        <color rgb="FF000000"/>
        <rFont val="Meiryo UI"/>
        <family val="2"/>
      </rPr>
      <t>end_time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</si>
  <si>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</si>
  <si>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code</t>
    </r>
  </si>
  <si>
    <t>{</t>
  </si>
  <si>
    <t>}</t>
  </si>
  <si>
    <r>
      <rPr>
        <sz val="11"/>
        <color rgb="FF000000"/>
        <rFont val="Meiryo UI"/>
        <family val="2"/>
      </rPr>
      <t>Smallint</t>
    </r>
  </si>
  <si>
    <t xml:space="preserve">    {</t>
  </si>
  <si>
    <t xml:space="preserve">    }</t>
  </si>
  <si>
    <t xml:space="preserve">  ]</t>
  </si>
  <si>
    <r>
      <rPr>
        <sz val="11"/>
        <color rgb="FF000000"/>
        <rFont val="Meiryo UI"/>
        <family val="2"/>
      </rPr>
      <t>AP1001</t>
    </r>
  </si>
  <si>
    <r>
      <rPr>
        <sz val="11"/>
        <color rgb="FF000000"/>
        <rFont val="Meiryo UI"/>
        <family val="2"/>
      </rPr>
      <t>operation_type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</si>
  <si>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</si>
  <si>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佐々木</t>
    </r>
  </si>
  <si>
    <r>
      <rPr>
        <sz val="11"/>
        <color rgb="FF000000"/>
        <rFont val="Meiryo UI"/>
        <family val="2"/>
      </rPr>
      <t>カスミ</t>
    </r>
  </si>
  <si>
    <r>
      <rPr>
        <sz val="11"/>
        <color rgb="FF000000"/>
        <rFont val="Meiryo UI"/>
        <family val="2"/>
      </rPr>
      <t>api/v1/promotion/maintenance</t>
    </r>
  </si>
  <si>
    <r>
      <rPr>
        <sz val="11"/>
        <color rgb="FF000000"/>
        <rFont val="Meiryo UI"/>
        <family val="2"/>
      </rPr>
      <t>対象店舗のプロモーション情報の作成、編集、または削除機能を実行する。</t>
    </r>
  </si>
  <si>
    <r>
      <rPr>
        <sz val="11"/>
        <color rgb="FF000000"/>
        <rFont val="Meiryo UI"/>
        <family val="2"/>
      </rPr>
      <t>m_store_promotion.PROMO_PLAN_CODE</t>
    </r>
  </si>
  <si>
    <r>
      <rPr>
        <sz val="11"/>
        <color rgb="FF000000"/>
        <rFont val="Meiryo UI"/>
        <family val="2"/>
      </rPr>
      <t>m_store_promotion.STORE_CODE</t>
    </r>
  </si>
  <si>
    <r>
      <rPr>
        <sz val="11"/>
        <color rgb="FF000000"/>
        <rFont val="Meiryo UI"/>
        <family val="2"/>
      </rPr>
      <t>m_store_promotion.PROMO_DESC</t>
    </r>
  </si>
  <si>
    <r>
      <rPr>
        <sz val="11"/>
        <color rgb="FF000000"/>
        <rFont val="Meiryo UI"/>
        <family val="2"/>
      </rPr>
      <t>m_store_promotion.PROMO_BEGIN_DATE</t>
    </r>
  </si>
  <si>
    <r>
      <rPr>
        <sz val="11"/>
        <color rgb="FF000000"/>
        <rFont val="Meiryo UI"/>
        <family val="2"/>
      </rPr>
      <t>m_store_promotion.PROMO_END_DATE</t>
    </r>
  </si>
  <si>
    <r>
      <rPr>
        <sz val="11"/>
        <color rgb="FF000000"/>
        <rFont val="Meiryo UI"/>
        <family val="2"/>
      </rPr>
      <t>m_store_promotion.PROMO_BEGIN_TIME</t>
    </r>
  </si>
  <si>
    <r>
      <rPr>
        <sz val="11"/>
        <color rgb="FF000000"/>
        <rFont val="Meiryo UI"/>
        <family val="2"/>
      </rPr>
      <t>m_store_promotion.PROMO_END_TIME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</si>
  <si>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</si>
  <si>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m_store_promotion.PROMO_TYPE</t>
    </r>
  </si>
  <si>
    <r>
      <rPr>
        <sz val="11"/>
        <color rgb="FF000000"/>
        <rFont val="Meiryo UI"/>
        <family val="2"/>
      </rPr>
      <t>start_date</t>
    </r>
  </si>
  <si>
    <r>
      <rPr>
        <sz val="11"/>
        <color rgb="FF000000"/>
        <rFont val="Meiryo UI"/>
        <family val="2"/>
      </rPr>
      <t>end_date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</si>
  <si>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</si>
  <si>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</si>
  <si>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</si>
  <si>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</si>
  <si>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</si>
  <si>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</si>
  <si>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</si>
  <si>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</si>
  <si>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</si>
  <si>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</si>
  <si>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</si>
  <si>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</si>
  <si>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</si>
  <si>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</si>
  <si>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</si>
  <si>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</si>
  <si>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</si>
  <si>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</si>
  <si>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r>
      <rPr>
        <sz val="18"/>
        <color rgb="FF000000"/>
        <rFont val="Meiryo UI"/>
        <family val="2"/>
      </rPr>
      <t>詳細設計書</t>
    </r>
  </si>
  <si>
    <r>
      <rPr>
        <sz val="11"/>
        <color rgb="FFFFFFFF"/>
        <rFont val="Meiryo UI"/>
        <family val="2"/>
      </rPr>
      <t>機能カテゴリー</t>
    </r>
  </si>
  <si>
    <t>カスミ　佐々木</t>
  </si>
  <si>
    <t>複数行入力（最大行数はレイアウトによる）時のパラメータは複数回I-Oとなるか。（確認）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</si>
  <si>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</si>
  <si>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</si>
  <si>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</si>
  <si>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</si>
  <si>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</si>
  <si>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</si>
  <si>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</si>
  <si>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</si>
  <si>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</si>
  <si>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</si>
  <si>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</si>
  <si>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</si>
  <si>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2.4 Request Body</t>
  </si>
  <si>
    <r>
      <rPr>
        <sz val="11"/>
        <color rgb="FF000000"/>
        <rFont val="Meiryo UI"/>
        <family val="2"/>
      </rPr>
      <t>・入力必須のバリデーションチェック：メッセージ = MSG_VAL_001。その中 ：{0}が店舗である。
対象店舗への操作権限のバリデーションチェックを行う。</t>
    </r>
  </si>
  <si>
    <t>プロモーションレコード一覧</t>
  </si>
  <si>
    <t>・1: 新規
・2: 更新
・3: 削除
上記以外の値の場合は、「MSG_VAL_019」エラーメッセージを表示する。</t>
  </si>
  <si>
    <t>・メッセージ = MSG_VAL_001で入力必須のバリデーションチェック。その中 ：{0}が名称である。
・メッセージ = MSG_VAL_004でバリデーションチェック： 最大12文字。その中：{0}が名称であり、{1}が{12}である。
・メッセージ = MSG_VAL_024でバリデーションチェック：全角文字。その中：{0}が名称である。</t>
  </si>
  <si>
    <t>・フォーマット: yyyy/mm/dd
・メッセージ = MSG_VAL_001で入力必須のバリデーションチェック。その中 ：{0}が開始日である。
・不正な形式の日付のバリデーションチェック: エラーメッセージ：MSG_VAL_003（{0}が開始日である。）</t>
  </si>
  <si>
    <t>・フォーマット: yyyy/mm/dd
・メッセージ = MSG_VAL_001で入力必須のバリデーションチェック。その中 ：{0}が终了日である。
・不正な形式の日付のバリデーションチェック: エラーメッセージ：MSG_VAL_003（{0}が终了日である。）
・ 開始日 &gt; 终了日のバリデーションチェック：メッセージ = MSG_VAL_004（{0}：開始日, {1}：终了日）</t>
  </si>
  <si>
    <t>・形式： hh:ss
・メッセージ = MSG_VAL_001で入力必須のバリデーションチェック。その中 ：{0}が開始時刻である。
・不正な形式の日付のバリデーションチェック: エラーメッセージ：MSG_VAL_003（{0}が開始時刻である。）</t>
  </si>
  <si>
    <t>・形式： hh:ss
・メッセージ = MSG_VAL_001で入力必須のバリデーションチェック。その中 ：{0}が終了時刻である。
・不正な形式の日付のバリデーションチェック: エラーメッセージ：MSG_VAL_003（{0}が終了時刻である。）
・start_date = end_dateの場合、バリデーションチェック：start_time &gt; end_timeの場合、「MSG_VAL_051」エラーメッセージを表示する。</t>
  </si>
  <si>
    <t>・1又は2。
・ユーザーの権限が店舗権限の場合、タイプ「2」のみ作成可能とする。「2」以外の場合、 MSG_VAL_019を表示する。</t>
  </si>
  <si>
    <t>※サンプル</t>
  </si>
  <si>
    <r>
      <rPr>
        <sz val="11"/>
        <color rgb="FF000000"/>
        <rFont val="Meiryo UI"/>
        <family val="2"/>
      </rPr>
      <t xml:space="preserve">  "store_code": "00090",</t>
    </r>
  </si>
  <si>
    <r>
      <rPr>
        <sz val="11"/>
        <color rgb="FF000000"/>
        <rFont val="Meiryo UI"/>
        <family val="2"/>
      </rPr>
      <t xml:space="preserve">  "promotions": [</t>
    </r>
  </si>
  <si>
    <r>
      <rPr>
        <sz val="11"/>
        <color rgb="FF000000"/>
        <rFont val="Meiryo UI"/>
        <family val="2"/>
      </rPr>
      <t xml:space="preserve">      "code": "12345",</t>
    </r>
  </si>
  <si>
    <r>
      <rPr>
        <sz val="11"/>
        <color rgb="FF000000"/>
        <rFont val="Meiryo UI"/>
        <family val="2"/>
      </rPr>
      <t xml:space="preserve">      "operation_type": 2,</t>
    </r>
  </si>
  <si>
    <r>
      <rPr>
        <sz val="11"/>
        <color rgb="FF000000"/>
        <rFont val="Meiryo UI"/>
        <family val="2"/>
      </rPr>
      <t xml:space="preserve">      "name": "Ｈｅｌｌｏ",</t>
    </r>
  </si>
  <si>
    <r>
      <rPr>
        <sz val="11"/>
        <color rgb="FF000000"/>
        <rFont val="Meiryo UI"/>
        <family val="2"/>
      </rPr>
      <t xml:space="preserve">      "type": 1,</t>
    </r>
  </si>
  <si>
    <r>
      <rPr>
        <sz val="11"/>
        <color rgb="FF000000"/>
        <rFont val="Meiryo UI"/>
        <family val="2"/>
      </rPr>
      <t xml:space="preserve">      "start_date": "2024/06/29",</t>
    </r>
  </si>
  <si>
    <r>
      <rPr>
        <sz val="11"/>
        <color rgb="FF000000"/>
        <rFont val="Meiryo UI"/>
        <family val="2"/>
      </rPr>
      <t xml:space="preserve">      "end_date": "2024/06/29",</t>
    </r>
  </si>
  <si>
    <r>
      <rPr>
        <sz val="11"/>
        <color rgb="FF000000"/>
        <rFont val="Meiryo UI"/>
        <family val="2"/>
      </rPr>
      <t xml:space="preserve">      "start_time": "08:00",</t>
    </r>
  </si>
  <si>
    <r>
      <rPr>
        <sz val="11"/>
        <color rgb="FF000000"/>
        <rFont val="Meiryo UI"/>
        <family val="2"/>
      </rPr>
      <t xml:space="preserve">      "end_time": "12:00"</t>
    </r>
  </si>
  <si>
    <r>
      <rPr>
        <b/>
        <sz val="11"/>
        <color rgb="FF000000"/>
        <rFont val="Meiryo UI"/>
        <family val="2"/>
      </rPr>
      <t>3. レスポンス</t>
    </r>
  </si>
  <si>
    <t xml:space="preserve">・メッセージ = MSG_VAL_001で入力必須のバリデーションチェック。その中：{0}がプロモーションである。
・メッセージ = MSG_VAL_006でバリデーションチェック：数字。その中：{0} がプロモーションである。
・バリデーションチェック：5桁 5桁ではない場合、 エラーメッセージ「MSG_VAL_019」（{0}：プロモーション）を返す。
・権限のバリデーションチェック：
+システム権限以外のアカウント：「99」で始まるプロモーションコードのみ入力可能 
+システム権限のアカウント： 「99」または「01」から「12」（1月から12月まで）で始まるプロモーションコードのバリデーションチェックを行う。
権限がない場合、プログラムを停止し、レスポンスコード「401」を返す。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</si>
</sst>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53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4" fillId="0" borderId="23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9" xfId="0" applyFont="1" applyBorder="1" applyAlignment="1">
      <alignment wrapText="1"/>
    </xf>
    <xf numFmtId="0" fontId="4" fillId="0" borderId="30" xfId="0" applyFont="1" applyBorder="1" applyAlignment="1">
      <alignment wrapText="1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24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indent="1"/>
    </xf>
    <xf numFmtId="0" fontId="17" fillId="0" borderId="24" xfId="0" applyFont="1" applyBorder="1" applyAlignment="1">
      <alignment horizontal="left" vertical="center" indent="1"/>
    </xf>
    <xf numFmtId="0" fontId="17" fillId="0" borderId="25" xfId="0" applyFont="1" applyBorder="1" applyAlignment="1">
      <alignment horizontal="left" vertical="center" indent="1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26</xdr:row>
      <xdr:rowOff>0</xdr:rowOff>
    </xdr:from>
    <xdr:to>
      <xdr:col>62</xdr:col>
      <xdr:colOff>0</xdr:colOff>
      <xdr:row>30</xdr:row>
      <xdr:rowOff>0</xdr:rowOff>
    </xdr:to>
    <xdr:sp macro="" textlink="" fLocksText="0">
      <xdr:nvSpPr>
        <xdr:cNvPr id="158" name="吹き出し: 線 2">
          <a:extLst>
            <a:ext uri="{FF2B5EF4-FFF2-40B4-BE49-F238E27FC236}">
              <a16:creationId xmlns:a16="http://schemas.microsoft.com/office/drawing/2014/main" id="{00000000-0008-0000-0500-00009E000000}"/>
            </a:ext>
          </a:extLst>
        </xdr:cNvPr>
        <xdr:cNvSpPr/>
      </xdr:nvSpPr>
      <xdr:spPr>
        <a:xfrm>
          <a:off x="9334500" y="5067300"/>
          <a:ext cx="7200900" cy="762000"/>
        </a:xfrm>
        <a:prstGeom prst="borderCallout1">
          <a:avLst>
            <a:gd name="adj1" fmla="val 49731"/>
            <a:gd name="adj2" fmla="val 118"/>
            <a:gd name="adj3" fmla="val 175966"/>
            <a:gd name="adj4" fmla="val -6673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2.2. プロモーション存在の確認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▪存在している場合、次のステップを実行する。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▪存在していない場合、プロモーションを新規作成する。</a:t>
          </a:r>
        </a:p>
      </xdr:txBody>
    </xdr:sp>
    <xdr:clientData/>
  </xdr:twoCellAnchor>
  <xdr:twoCellAnchor>
    <xdr:from>
      <xdr:col>13</xdr:col>
      <xdr:colOff>6727</xdr:colOff>
      <xdr:row>6</xdr:row>
      <xdr:rowOff>0</xdr:rowOff>
    </xdr:from>
    <xdr:to>
      <xdr:col>17</xdr:col>
      <xdr:colOff>6727</xdr:colOff>
      <xdr:row>7</xdr:row>
      <xdr:rowOff>179294</xdr:rowOff>
    </xdr:to>
    <xdr:sp macro="" textlink="" fLocksText="0">
      <xdr:nvSpPr>
        <xdr:cNvPr id="2" name="Oval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476625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15</xdr:col>
      <xdr:colOff>5</xdr:colOff>
      <xdr:row>7</xdr:row>
      <xdr:rowOff>179294</xdr:rowOff>
    </xdr:from>
    <xdr:to>
      <xdr:col>15</xdr:col>
      <xdr:colOff>6727</xdr:colOff>
      <xdr:row>13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>
          <a:stCxn id="2" idx="4"/>
          <a:endCxn id="4" idx="0"/>
        </xdr:cNvCxnSpPr>
      </xdr:nvCxnSpPr>
      <xdr:spPr>
        <a:xfrm flipH="1">
          <a:off x="4000500" y="1628775"/>
          <a:ext cx="9525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</xdr:colOff>
      <xdr:row>13</xdr:row>
      <xdr:rowOff>0</xdr:rowOff>
    </xdr:from>
    <xdr:to>
      <xdr:col>18</xdr:col>
      <xdr:colOff>4</xdr:colOff>
      <xdr:row>17</xdr:row>
      <xdr:rowOff>0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/>
      </xdr:nvSpPr>
      <xdr:spPr>
        <a:xfrm>
          <a:off x="32004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プロモーションデータ配列ループ</a:t>
          </a:r>
        </a:p>
      </xdr:txBody>
    </xdr:sp>
    <xdr:clientData/>
  </xdr:twoCellAnchor>
  <xdr:twoCellAnchor>
    <xdr:from>
      <xdr:col>15</xdr:col>
      <xdr:colOff>0</xdr:colOff>
      <xdr:row>26</xdr:row>
      <xdr:rowOff>0</xdr:rowOff>
    </xdr:from>
    <xdr:to>
      <xdr:col>15</xdr:col>
      <xdr:colOff>0</xdr:colOff>
      <xdr:row>31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CxnSpPr>
          <a:stCxn id="35" idx="2"/>
          <a:endCxn id="21" idx="0"/>
        </xdr:cNvCxnSpPr>
      </xdr:nvCxnSpPr>
      <xdr:spPr>
        <a:xfrm>
          <a:off x="4000500" y="50673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74</xdr:row>
      <xdr:rowOff>0</xdr:rowOff>
    </xdr:from>
    <xdr:to>
      <xdr:col>18</xdr:col>
      <xdr:colOff>0</xdr:colOff>
      <xdr:row>78</xdr:row>
      <xdr:rowOff>0</xdr:rowOff>
    </xdr:to>
    <xdr:sp macro="" textlink="" fLocksText="0">
      <xdr:nvSpPr>
        <xdr:cNvPr id="9" name="Flowchart: Decision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/>
      </xdr:nvSpPr>
      <xdr:spPr>
        <a:xfrm>
          <a:off x="3200400" y="14211300"/>
          <a:ext cx="1600200" cy="7620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配列の最後の要素であるかを確認する</a:t>
          </a:r>
        </a:p>
      </xdr:txBody>
    </xdr:sp>
    <xdr:clientData/>
  </xdr:twoCellAnchor>
  <xdr:twoCellAnchor>
    <xdr:from>
      <xdr:col>12</xdr:col>
      <xdr:colOff>0</xdr:colOff>
      <xdr:row>55</xdr:row>
      <xdr:rowOff>0</xdr:rowOff>
    </xdr:from>
    <xdr:to>
      <xdr:col>18</xdr:col>
      <xdr:colOff>0</xdr:colOff>
      <xdr:row>59</xdr:row>
      <xdr:rowOff>0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/>
      </xdr:nvSpPr>
      <xdr:spPr>
        <a:xfrm>
          <a:off x="32004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5.2プロモーション編集</a:t>
          </a:r>
        </a:p>
      </xdr:txBody>
    </xdr:sp>
    <xdr:clientData/>
  </xdr:twoCellAnchor>
  <xdr:twoCellAnchor>
    <xdr:from>
      <xdr:col>15</xdr:col>
      <xdr:colOff>0</xdr:colOff>
      <xdr:row>70</xdr:row>
      <xdr:rowOff>0</xdr:rowOff>
    </xdr:from>
    <xdr:to>
      <xdr:col>15</xdr:col>
      <xdr:colOff>0</xdr:colOff>
      <xdr:row>74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CxnSpPr>
          <a:stCxn id="27" idx="2"/>
          <a:endCxn id="9" idx="0"/>
        </xdr:cNvCxnSpPr>
      </xdr:nvCxnSpPr>
      <xdr:spPr>
        <a:xfrm>
          <a:off x="4000500" y="13449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224117</xdr:colOff>
      <xdr:row>75</xdr:row>
      <xdr:rowOff>89647</xdr:rowOff>
    </xdr:from>
    <xdr:to>
      <xdr:col>11</xdr:col>
      <xdr:colOff>224117</xdr:colOff>
      <xdr:row>76</xdr:row>
      <xdr:rowOff>89647</xdr:rowOff>
    </xdr:to>
    <xdr:sp macro="" textlink="" fLocksText="0">
      <xdr:nvSpPr>
        <xdr:cNvPr id="13" name="Flowchart: Process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/>
      </xdr:nvSpPr>
      <xdr:spPr>
        <a:xfrm>
          <a:off x="2628900" y="144875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0</xdr:colOff>
      <xdr:row>78</xdr:row>
      <xdr:rowOff>0</xdr:rowOff>
    </xdr:from>
    <xdr:to>
      <xdr:col>16</xdr:col>
      <xdr:colOff>0</xdr:colOff>
      <xdr:row>79</xdr:row>
      <xdr:rowOff>0</xdr:rowOff>
    </xdr:to>
    <xdr:sp macro="" textlink="" fLocksText="0">
      <xdr:nvSpPr>
        <xdr:cNvPr id="14" name="Flowchart: Process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/>
      </xdr:nvSpPr>
      <xdr:spPr>
        <a:xfrm>
          <a:off x="3733800" y="14973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224117</xdr:colOff>
      <xdr:row>15</xdr:row>
      <xdr:rowOff>1</xdr:rowOff>
    </xdr:from>
    <xdr:to>
      <xdr:col>12</xdr:col>
      <xdr:colOff>5</xdr:colOff>
      <xdr:row>75</xdr:row>
      <xdr:rowOff>184898</xdr:rowOff>
    </xdr:to>
    <xdr:cxnSp macro="">
      <xdr:nvCxnSpPr>
        <xdr:cNvPr id="15" name="Connector: Elbow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CxnSpPr>
          <a:stCxn id="13" idx="1"/>
          <a:endCxn id="4" idx="1"/>
        </xdr:cNvCxnSpPr>
      </xdr:nvCxnSpPr>
      <xdr:spPr>
        <a:xfrm rot="10800000" flipH="1">
          <a:off x="2628900" y="2971800"/>
          <a:ext cx="571500" cy="11610975"/>
        </a:xfrm>
        <a:prstGeom prst="bentConnector3">
          <a:avLst>
            <a:gd name="adj1" fmla="val -38697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84</xdr:row>
      <xdr:rowOff>22412</xdr:rowOff>
    </xdr:from>
    <xdr:to>
      <xdr:col>17</xdr:col>
      <xdr:colOff>0</xdr:colOff>
      <xdr:row>86</xdr:row>
      <xdr:rowOff>0</xdr:rowOff>
    </xdr:to>
    <xdr:sp macro="" textlink="" fLocksText="0">
      <xdr:nvSpPr>
        <xdr:cNvPr id="19" name="Oval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/>
      </xdr:nvSpPr>
      <xdr:spPr>
        <a:xfrm>
          <a:off x="3467100" y="161353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15</xdr:col>
      <xdr:colOff>0</xdr:colOff>
      <xdr:row>79</xdr:row>
      <xdr:rowOff>0</xdr:rowOff>
    </xdr:from>
    <xdr:to>
      <xdr:col>15</xdr:col>
      <xdr:colOff>0</xdr:colOff>
      <xdr:row>84</xdr:row>
      <xdr:rowOff>22412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CxnSpPr>
          <a:stCxn id="14" idx="2"/>
          <a:endCxn id="19" idx="0"/>
        </xdr:cNvCxnSpPr>
      </xdr:nvCxnSpPr>
      <xdr:spPr>
        <a:xfrm>
          <a:off x="4000500" y="15163800"/>
          <a:ext cx="0" cy="971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31</xdr:row>
      <xdr:rowOff>0</xdr:rowOff>
    </xdr:from>
    <xdr:to>
      <xdr:col>18</xdr:col>
      <xdr:colOff>0</xdr:colOff>
      <xdr:row>35</xdr:row>
      <xdr:rowOff>0</xdr:rowOff>
    </xdr:to>
    <xdr:sp macro="" textlink="" fLocksText="0">
      <xdr:nvSpPr>
        <xdr:cNvPr id="21" name="Flowchart: Decision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SpPr/>
      </xdr:nvSpPr>
      <xdr:spPr>
        <a:xfrm>
          <a:off x="3200400" y="6019800"/>
          <a:ext cx="1600200" cy="7620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2.2.存在</a:t>
          </a:r>
        </a:p>
      </xdr:txBody>
    </xdr:sp>
    <xdr:clientData/>
  </xdr:twoCellAnchor>
  <xdr:twoCellAnchor>
    <xdr:from>
      <xdr:col>14</xdr:col>
      <xdr:colOff>0</xdr:colOff>
      <xdr:row>35</xdr:row>
      <xdr:rowOff>2</xdr:rowOff>
    </xdr:from>
    <xdr:to>
      <xdr:col>16</xdr:col>
      <xdr:colOff>0</xdr:colOff>
      <xdr:row>36</xdr:row>
      <xdr:rowOff>2</xdr:rowOff>
    </xdr:to>
    <xdr:sp macro="" textlink="" fLocksText="0">
      <xdr:nvSpPr>
        <xdr:cNvPr id="22" name="Flowchart: Process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SpPr/>
      </xdr:nvSpPr>
      <xdr:spPr>
        <a:xfrm>
          <a:off x="3733800" y="6781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10</xdr:col>
      <xdr:colOff>11206</xdr:colOff>
      <xdr:row>32</xdr:row>
      <xdr:rowOff>89649</xdr:rowOff>
    </xdr:from>
    <xdr:to>
      <xdr:col>12</xdr:col>
      <xdr:colOff>11206</xdr:colOff>
      <xdr:row>33</xdr:row>
      <xdr:rowOff>89649</xdr:rowOff>
    </xdr:to>
    <xdr:sp macro="" textlink="" fLocksText="0">
      <xdr:nvSpPr>
        <xdr:cNvPr id="23" name="Flowchart: Process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SpPr/>
      </xdr:nvSpPr>
      <xdr:spPr>
        <a:xfrm>
          <a:off x="2676525" y="62960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235323</xdr:colOff>
      <xdr:row>47</xdr:row>
      <xdr:rowOff>6725</xdr:rowOff>
    </xdr:from>
    <xdr:to>
      <xdr:col>15</xdr:col>
      <xdr:colOff>0</xdr:colOff>
      <xdr:row>55</xdr:row>
      <xdr:rowOff>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CxnSpPr>
          <a:stCxn id="47" idx="2"/>
          <a:endCxn id="10" idx="0"/>
        </xdr:cNvCxnSpPr>
      </xdr:nvCxnSpPr>
      <xdr:spPr>
        <a:xfrm>
          <a:off x="3971925" y="9077325"/>
          <a:ext cx="28575" cy="15144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32</xdr:row>
      <xdr:rowOff>184898</xdr:rowOff>
    </xdr:from>
    <xdr:to>
      <xdr:col>10</xdr:col>
      <xdr:colOff>11206</xdr:colOff>
      <xdr:row>54</xdr:row>
      <xdr:rowOff>190499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CxnSpPr>
          <a:stCxn id="23" idx="1"/>
          <a:endCxn id="48" idx="0"/>
        </xdr:cNvCxnSpPr>
      </xdr:nvCxnSpPr>
      <xdr:spPr>
        <a:xfrm rot="10800000" flipV="1">
          <a:off x="1866900" y="6391275"/>
          <a:ext cx="809625" cy="42005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65</xdr:row>
      <xdr:rowOff>0</xdr:rowOff>
    </xdr:from>
    <xdr:to>
      <xdr:col>18</xdr:col>
      <xdr:colOff>0</xdr:colOff>
      <xdr:row>69</xdr:row>
      <xdr:rowOff>0</xdr:rowOff>
    </xdr:to>
    <xdr:sp macro="" textlink="" fLocksText="0">
      <xdr:nvSpPr>
        <xdr:cNvPr id="26" name="Flowchart: Decision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SpPr/>
      </xdr:nvSpPr>
      <xdr:spPr>
        <a:xfrm>
          <a:off x="3200400" y="12496800"/>
          <a:ext cx="1600200" cy="7620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marL="0" indent="0"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6.Success?</a:t>
          </a:r>
        </a:p>
      </xdr:txBody>
    </xdr:sp>
    <xdr:clientData/>
  </xdr:twoCellAnchor>
  <xdr:twoCellAnchor>
    <xdr:from>
      <xdr:col>14</xdr:col>
      <xdr:colOff>0</xdr:colOff>
      <xdr:row>69</xdr:row>
      <xdr:rowOff>0</xdr:rowOff>
    </xdr:from>
    <xdr:to>
      <xdr:col>16</xdr:col>
      <xdr:colOff>0</xdr:colOff>
      <xdr:row>70</xdr:row>
      <xdr:rowOff>0</xdr:rowOff>
    </xdr:to>
    <xdr:sp macro="" textlink="" fLocksText="0">
      <xdr:nvSpPr>
        <xdr:cNvPr id="27" name="Flowchart: Process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SpPr/>
      </xdr:nvSpPr>
      <xdr:spPr>
        <a:xfrm>
          <a:off x="3733800" y="13258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66</xdr:row>
      <xdr:rowOff>0</xdr:rowOff>
    </xdr:from>
    <xdr:to>
      <xdr:col>20</xdr:col>
      <xdr:colOff>0</xdr:colOff>
      <xdr:row>67</xdr:row>
      <xdr:rowOff>0</xdr:rowOff>
    </xdr:to>
    <xdr:sp macro="" textlink="" fLocksText="0">
      <xdr:nvSpPr>
        <xdr:cNvPr id="28" name="Flowchart: Process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>
          <a:off x="4800600" y="12687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20</xdr:col>
      <xdr:colOff>0</xdr:colOff>
      <xdr:row>66</xdr:row>
      <xdr:rowOff>95250</xdr:rowOff>
    </xdr:from>
    <xdr:to>
      <xdr:col>22</xdr:col>
      <xdr:colOff>0</xdr:colOff>
      <xdr:row>79</xdr:row>
      <xdr:rowOff>0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CxnSpPr>
          <a:stCxn id="28" idx="3"/>
          <a:endCxn id="146" idx="0"/>
        </xdr:cNvCxnSpPr>
      </xdr:nvCxnSpPr>
      <xdr:spPr>
        <a:xfrm>
          <a:off x="5334000" y="12782550"/>
          <a:ext cx="533400" cy="2381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59</xdr:row>
      <xdr:rowOff>0</xdr:rowOff>
    </xdr:from>
    <xdr:to>
      <xdr:col>15</xdr:col>
      <xdr:colOff>0</xdr:colOff>
      <xdr:row>65</xdr:row>
      <xdr:rowOff>0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CxnSpPr>
          <a:stCxn id="10" idx="2"/>
          <a:endCxn id="26" idx="0"/>
        </xdr:cNvCxnSpPr>
      </xdr:nvCxnSpPr>
      <xdr:spPr>
        <a:xfrm>
          <a:off x="4000500" y="11353800"/>
          <a:ext cx="0" cy="1143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64</xdr:row>
      <xdr:rowOff>0</xdr:rowOff>
    </xdr:from>
    <xdr:to>
      <xdr:col>62</xdr:col>
      <xdr:colOff>0</xdr:colOff>
      <xdr:row>69</xdr:row>
      <xdr:rowOff>0</xdr:rowOff>
    </xdr:to>
    <xdr:sp macro="" textlink="" fLocksText="0">
      <xdr:nvSpPr>
        <xdr:cNvPr id="31" name="吹き出し: 線 2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9334500" y="12306300"/>
          <a:ext cx="7200900" cy="952500"/>
        </a:xfrm>
        <a:prstGeom prst="borderCallout1">
          <a:avLst>
            <a:gd name="adj1" fmla="val 20319"/>
            <a:gd name="adj2" fmla="val -58"/>
            <a:gd name="adj3" fmla="val 66555"/>
            <a:gd name="adj4" fmla="val -672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プロモーション新規作成状態を確認する。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▪成功した場合：次のステップを実行する。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75</xdr:row>
      <xdr:rowOff>0</xdr:rowOff>
    </xdr:from>
    <xdr:to>
      <xdr:col>62</xdr:col>
      <xdr:colOff>0</xdr:colOff>
      <xdr:row>79</xdr:row>
      <xdr:rowOff>0</xdr:rowOff>
    </xdr:to>
    <xdr:sp macro="" textlink="" fLocksText="0">
      <xdr:nvSpPr>
        <xdr:cNvPr id="32" name="吹き出し: 線 2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9334500" y="14401800"/>
          <a:ext cx="7200900" cy="762000"/>
        </a:xfrm>
        <a:prstGeom prst="borderCallout1">
          <a:avLst>
            <a:gd name="adj1" fmla="val 51201"/>
            <a:gd name="adj2" fmla="val -58"/>
            <a:gd name="adj3" fmla="val 50085"/>
            <a:gd name="adj4" fmla="val -8330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画面から渡されたプロモーションデータ配列の最後の要素であるかを確認する。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最後の要素でない場合は、次の要素をループする。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最後の要素の場合は、ログを記録してプログラムを終了する。</a:t>
          </a:r>
        </a:p>
      </xdr:txBody>
    </xdr:sp>
    <xdr:clientData/>
  </xdr:twoCellAnchor>
  <xdr:twoCellAnchor>
    <xdr:from>
      <xdr:col>15</xdr:col>
      <xdr:colOff>5</xdr:colOff>
      <xdr:row>17</xdr:row>
      <xdr:rowOff>0</xdr:rowOff>
    </xdr:from>
    <xdr:to>
      <xdr:col>15</xdr:col>
      <xdr:colOff>5</xdr:colOff>
      <xdr:row>21</xdr:row>
      <xdr:rowOff>0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CxnSpPr>
          <a:stCxn id="4" idx="2"/>
          <a:endCxn id="34" idx="0"/>
        </xdr:cNvCxnSpPr>
      </xdr:nvCxnSpPr>
      <xdr:spPr>
        <a:xfrm>
          <a:off x="4000500" y="3352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</xdr:colOff>
      <xdr:row>21</xdr:row>
      <xdr:rowOff>0</xdr:rowOff>
    </xdr:from>
    <xdr:to>
      <xdr:col>18</xdr:col>
      <xdr:colOff>4</xdr:colOff>
      <xdr:row>24</xdr:row>
      <xdr:rowOff>190499</xdr:rowOff>
    </xdr:to>
    <xdr:sp macro="" textlink="" fLocksText="0">
      <xdr:nvSpPr>
        <xdr:cNvPr id="34" name="Flowchart: Decision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3200400" y="4114800"/>
          <a:ext cx="1600200" cy="7620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2.operation </a:t>
          </a:r>
        </a:p>
      </xdr:txBody>
    </xdr:sp>
    <xdr:clientData/>
  </xdr:twoCellAnchor>
  <xdr:twoCellAnchor>
    <xdr:from>
      <xdr:col>12</xdr:col>
      <xdr:colOff>0</xdr:colOff>
      <xdr:row>25</xdr:row>
      <xdr:rowOff>0</xdr:rowOff>
    </xdr:from>
    <xdr:to>
      <xdr:col>18</xdr:col>
      <xdr:colOff>0</xdr:colOff>
      <xdr:row>26</xdr:row>
      <xdr:rowOff>0</xdr:rowOff>
    </xdr:to>
    <xdr:sp macro="" textlink="" fLocksText="0">
      <xdr:nvSpPr>
        <xdr:cNvPr id="35" name="Flowchart: Process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3200400" y="4876800"/>
          <a:ext cx="16002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2 又は =1</a:t>
          </a:r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18</xdr:col>
      <xdr:colOff>3</xdr:colOff>
      <xdr:row>22</xdr:row>
      <xdr:rowOff>89647</xdr:rowOff>
    </xdr:from>
    <xdr:to>
      <xdr:col>20</xdr:col>
      <xdr:colOff>3</xdr:colOff>
      <xdr:row>23</xdr:row>
      <xdr:rowOff>89647</xdr:rowOff>
    </xdr:to>
    <xdr:sp macro="" textlink="" fLocksText="0">
      <xdr:nvSpPr>
        <xdr:cNvPr id="36" name="Flowchart: Process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4800600" y="43910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=3</a:t>
          </a:r>
        </a:p>
      </xdr:txBody>
    </xdr:sp>
    <xdr:clientData/>
  </xdr:twoCellAnchor>
  <xdr:twoCellAnchor>
    <xdr:from>
      <xdr:col>20</xdr:col>
      <xdr:colOff>3</xdr:colOff>
      <xdr:row>22</xdr:row>
      <xdr:rowOff>184897</xdr:rowOff>
    </xdr:from>
    <xdr:to>
      <xdr:col>28</xdr:col>
      <xdr:colOff>0</xdr:colOff>
      <xdr:row>29</xdr:row>
      <xdr:rowOff>0</xdr:rowOff>
    </xdr:to>
    <xdr:cxnSp macro="">
      <xdr:nvCxnSpPr>
        <xdr:cNvPr id="38" name="Connector: Elbow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>
          <a:stCxn id="36" idx="3"/>
          <a:endCxn id="115" idx="0"/>
        </xdr:cNvCxnSpPr>
      </xdr:nvCxnSpPr>
      <xdr:spPr>
        <a:xfrm>
          <a:off x="5334000" y="4486275"/>
          <a:ext cx="2133600" cy="11525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55</xdr:row>
      <xdr:rowOff>0</xdr:rowOff>
    </xdr:from>
    <xdr:to>
      <xdr:col>10</xdr:col>
      <xdr:colOff>0</xdr:colOff>
      <xdr:row>59</xdr:row>
      <xdr:rowOff>0</xdr:rowOff>
    </xdr:to>
    <xdr:sp macro="" textlink="" fLocksText="0">
      <xdr:nvSpPr>
        <xdr:cNvPr id="48" name="Rectangle 47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SpPr/>
      </xdr:nvSpPr>
      <xdr:spPr>
        <a:xfrm>
          <a:off x="1066800" y="10591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5.1 プロモーション新規作成</a:t>
          </a:r>
        </a:p>
      </xdr:txBody>
    </xdr:sp>
    <xdr:clientData/>
  </xdr:twoCellAnchor>
  <xdr:twoCellAnchor>
    <xdr:from>
      <xdr:col>12</xdr:col>
      <xdr:colOff>0</xdr:colOff>
      <xdr:row>42</xdr:row>
      <xdr:rowOff>6725</xdr:rowOff>
    </xdr:from>
    <xdr:to>
      <xdr:col>18</xdr:col>
      <xdr:colOff>0</xdr:colOff>
      <xdr:row>46</xdr:row>
      <xdr:rowOff>0</xdr:rowOff>
    </xdr:to>
    <xdr:sp macro="" textlink="" fLocksText="0">
      <xdr:nvSpPr>
        <xdr:cNvPr id="46" name="Flowchart: Decision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SpPr/>
      </xdr:nvSpPr>
      <xdr:spPr>
        <a:xfrm>
          <a:off x="3200400" y="8124825"/>
          <a:ext cx="1600200" cy="7524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4.有効バリデーションチェック</a:t>
          </a:r>
        </a:p>
      </xdr:txBody>
    </xdr:sp>
    <xdr:clientData/>
  </xdr:twoCellAnchor>
  <xdr:twoCellAnchor>
    <xdr:from>
      <xdr:col>13</xdr:col>
      <xdr:colOff>235322</xdr:colOff>
      <xdr:row>46</xdr:row>
      <xdr:rowOff>0</xdr:rowOff>
    </xdr:from>
    <xdr:to>
      <xdr:col>16</xdr:col>
      <xdr:colOff>0</xdr:colOff>
      <xdr:row>47</xdr:row>
      <xdr:rowOff>6725</xdr:rowOff>
    </xdr:to>
    <xdr:sp macro="" textlink="" fLocksText="0">
      <xdr:nvSpPr>
        <xdr:cNvPr id="47" name="Flowchart: Process 46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SpPr/>
      </xdr:nvSpPr>
      <xdr:spPr>
        <a:xfrm>
          <a:off x="3705225" y="8877300"/>
          <a:ext cx="561975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43</xdr:row>
      <xdr:rowOff>112059</xdr:rowOff>
    </xdr:from>
    <xdr:to>
      <xdr:col>19</xdr:col>
      <xdr:colOff>224118</xdr:colOff>
      <xdr:row>44</xdr:row>
      <xdr:rowOff>112058</xdr:rowOff>
    </xdr:to>
    <xdr:sp macro="" textlink="" fLocksText="0">
      <xdr:nvSpPr>
        <xdr:cNvPr id="49" name="Flowchart: Process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SpPr/>
      </xdr:nvSpPr>
      <xdr:spPr>
        <a:xfrm>
          <a:off x="4800600" y="8420100"/>
          <a:ext cx="4953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35</xdr:col>
      <xdr:colOff>0</xdr:colOff>
      <xdr:row>32</xdr:row>
      <xdr:rowOff>179294</xdr:rowOff>
    </xdr:from>
    <xdr:to>
      <xdr:col>62</xdr:col>
      <xdr:colOff>0</xdr:colOff>
      <xdr:row>52</xdr:row>
      <xdr:rowOff>11206</xdr:rowOff>
    </xdr:to>
    <xdr:sp macro="" textlink="" fLocksText="0">
      <xdr:nvSpPr>
        <xdr:cNvPr id="55" name="吹き出し: 線 2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SpPr/>
      </xdr:nvSpPr>
      <xdr:spPr>
        <a:xfrm>
          <a:off x="9334500" y="6391275"/>
          <a:ext cx="7200900" cy="3638550"/>
        </a:xfrm>
        <a:prstGeom prst="borderCallout1">
          <a:avLst>
            <a:gd name="adj1" fmla="val 39926"/>
            <a:gd name="adj2" fmla="val -59"/>
            <a:gd name="adj3" fmla="val 52797"/>
            <a:gd name="adj4" fmla="val -6938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特売売価又はミックスマッチ（セットマッチ - 未実装）の有効のバリデーションチェックを行う。: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 * from m_store_promotion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m_combination on (m_store_promotion.company_code = m_combination.company_code and m_store_promotion.store_code = m_combination.store_code m_store_promotion.promo_plan_code = m_combination.promotion_code and m_combination.status = 0)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left join m_specialprice on (m_store_promotion.company_code = m_specialprice.company_code and m_store_promotion.store_code = m_specialprice.store_code and m_store_promotion.promo_plan_code = m_specialprice.promotion_code and m_specialprice.status = 0)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m_store_promotion.store_code = param {store_code} and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m_combination.start_date_time &lt;  DATETIME (param {start_date}, param {start_time}) or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m_combination.end_date_time &gt; DATETIME (param {end_date}, param {end_time}) or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(m_specialprice.start_date_time &lt;  DATETIME (param {start_date}, param {start_time})  or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m_specialprice.end_date_time &gt; DATETIME (param {end_date}, param {end_time})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=&gt; レコードが存在している場合、データをロールバックし、エラーメッセージ「MSG_VAL_023」を返す。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59</xdr:row>
      <xdr:rowOff>0</xdr:rowOff>
    </xdr:from>
    <xdr:to>
      <xdr:col>15</xdr:col>
      <xdr:colOff>0</xdr:colOff>
      <xdr:row>65</xdr:row>
      <xdr:rowOff>0</xdr:rowOff>
    </xdr:to>
    <xdr:cxnSp macro="">
      <xdr:nvCxnSpPr>
        <xdr:cNvPr id="64" name="Connector: Elbow 63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CxnSpPr>
          <a:stCxn id="48" idx="2"/>
          <a:endCxn id="26" idx="0"/>
        </xdr:cNvCxnSpPr>
      </xdr:nvCxnSpPr>
      <xdr:spPr>
        <a:xfrm rot="16200000" flipH="1">
          <a:off x="1866900" y="11353800"/>
          <a:ext cx="21336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36</xdr:row>
      <xdr:rowOff>2</xdr:rowOff>
    </xdr:from>
    <xdr:to>
      <xdr:col>15</xdr:col>
      <xdr:colOff>0</xdr:colOff>
      <xdr:row>42</xdr:row>
      <xdr:rowOff>6725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CxnSpPr>
          <a:stCxn id="22" idx="2"/>
          <a:endCxn id="46" idx="0"/>
        </xdr:cNvCxnSpPr>
      </xdr:nvCxnSpPr>
      <xdr:spPr>
        <a:xfrm>
          <a:off x="4000500" y="6972300"/>
          <a:ext cx="0" cy="1152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31</xdr:col>
      <xdr:colOff>1</xdr:colOff>
      <xdr:row>33</xdr:row>
      <xdr:rowOff>0</xdr:rowOff>
    </xdr:to>
    <xdr:sp macro="" textlink="" fLocksText="0">
      <xdr:nvSpPr>
        <xdr:cNvPr id="115" name="Flowchart: Decision 114">
          <a:extLst>
            <a:ext uri="{FF2B5EF4-FFF2-40B4-BE49-F238E27FC236}">
              <a16:creationId xmlns:a16="http://schemas.microsoft.com/office/drawing/2014/main" id="{00000000-0008-0000-0500-000073000000}"/>
            </a:ext>
          </a:extLst>
        </xdr:cNvPr>
        <xdr:cNvSpPr/>
      </xdr:nvSpPr>
      <xdr:spPr>
        <a:xfrm>
          <a:off x="6667500" y="5638800"/>
          <a:ext cx="1600200" cy="7620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2.1.</a:t>
          </a:r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使用バリデーションチェック</a:t>
          </a:r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27</xdr:col>
      <xdr:colOff>0</xdr:colOff>
      <xdr:row>33</xdr:row>
      <xdr:rowOff>2</xdr:rowOff>
    </xdr:from>
    <xdr:to>
      <xdr:col>29</xdr:col>
      <xdr:colOff>0</xdr:colOff>
      <xdr:row>34</xdr:row>
      <xdr:rowOff>2</xdr:rowOff>
    </xdr:to>
    <xdr:sp macro="" textlink="" fLocksText="0">
      <xdr:nvSpPr>
        <xdr:cNvPr id="116" name="Flowchart: Process 115">
          <a:extLst>
            <a:ext uri="{FF2B5EF4-FFF2-40B4-BE49-F238E27FC236}">
              <a16:creationId xmlns:a16="http://schemas.microsoft.com/office/drawing/2014/main" id="{00000000-0008-0000-0500-000074000000}"/>
            </a:ext>
          </a:extLst>
        </xdr:cNvPr>
        <xdr:cNvSpPr/>
      </xdr:nvSpPr>
      <xdr:spPr>
        <a:xfrm>
          <a:off x="7200900" y="640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23</xdr:col>
      <xdr:colOff>11206</xdr:colOff>
      <xdr:row>30</xdr:row>
      <xdr:rowOff>89649</xdr:rowOff>
    </xdr:from>
    <xdr:to>
      <xdr:col>25</xdr:col>
      <xdr:colOff>11206</xdr:colOff>
      <xdr:row>31</xdr:row>
      <xdr:rowOff>89649</xdr:rowOff>
    </xdr:to>
    <xdr:sp macro="" textlink="" fLocksText="0">
      <xdr:nvSpPr>
        <xdr:cNvPr id="117" name="Flowchart: Process 116">
          <a:extLst>
            <a:ext uri="{FF2B5EF4-FFF2-40B4-BE49-F238E27FC236}">
              <a16:creationId xmlns:a16="http://schemas.microsoft.com/office/drawing/2014/main" id="{00000000-0008-0000-0500-000075000000}"/>
            </a:ext>
          </a:extLst>
        </xdr:cNvPr>
        <xdr:cNvSpPr/>
      </xdr:nvSpPr>
      <xdr:spPr>
        <a:xfrm>
          <a:off x="6143625" y="59150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35</xdr:col>
      <xdr:colOff>1</xdr:colOff>
      <xdr:row>13</xdr:row>
      <xdr:rowOff>0</xdr:rowOff>
    </xdr:from>
    <xdr:to>
      <xdr:col>62</xdr:col>
      <xdr:colOff>1</xdr:colOff>
      <xdr:row>25</xdr:row>
      <xdr:rowOff>0</xdr:rowOff>
    </xdr:to>
    <xdr:sp macro="" textlink="" fLocksText="0">
      <xdr:nvSpPr>
        <xdr:cNvPr id="119" name="吹き出し: 線 2">
          <a:extLst>
            <a:ext uri="{FF2B5EF4-FFF2-40B4-BE49-F238E27FC236}">
              <a16:creationId xmlns:a16="http://schemas.microsoft.com/office/drawing/2014/main" id="{00000000-0008-0000-0500-000077000000}"/>
            </a:ext>
          </a:extLst>
        </xdr:cNvPr>
        <xdr:cNvSpPr/>
      </xdr:nvSpPr>
      <xdr:spPr>
        <a:xfrm>
          <a:off x="9334500" y="2590800"/>
          <a:ext cx="7200900" cy="2286000"/>
        </a:xfrm>
        <a:prstGeom prst="borderCallout1">
          <a:avLst>
            <a:gd name="adj1" fmla="val 39926"/>
            <a:gd name="adj2" fmla="val -59"/>
            <a:gd name="adj3" fmla="val 146327"/>
            <a:gd name="adj4" fmla="val -2670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2.1 特売売価又はミックスマッチ 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(セットマッチ - 未実装)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の使用のバリデーションチェックを行う。</a:t>
          </a:r>
          <a:endParaRPr lang="vi-VN" altLang="ja-JP" sz="1000" b="0" i="0" u="none" baseline="0">
            <a:solidFill>
              <a:schemeClr val="tx1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 * m_combination where m_combination .company_code = User.company_code and m_combination.store_code = param{store_code} and m_combination.promotion_code = item[i].code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・返却結果がある場合、削除を許可せず、エラーメッセージ「MSG_VAL_023」を表示する。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・返却結果がない場合、使用を確認する。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 * m_specialprice where m_specialprice .company_code = User.company_code and m_specialprice.store_code param{store_code} and m_specialprice.promotion_code = item[i].code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・返却結果がある場合、削除を許可せず、エラーメッセージ「MSG_VAL_023」を表示する。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・返却結果がない場合、プロモーションを削除する。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25</xdr:col>
      <xdr:colOff>0</xdr:colOff>
      <xdr:row>55</xdr:row>
      <xdr:rowOff>11206</xdr:rowOff>
    </xdr:from>
    <xdr:to>
      <xdr:col>31</xdr:col>
      <xdr:colOff>0</xdr:colOff>
      <xdr:row>59</xdr:row>
      <xdr:rowOff>0</xdr:rowOff>
    </xdr:to>
    <xdr:sp macro="" textlink="" fLocksText="0">
      <xdr:nvSpPr>
        <xdr:cNvPr id="120" name="Rectangle 119">
          <a:extLst>
            <a:ext uri="{FF2B5EF4-FFF2-40B4-BE49-F238E27FC236}">
              <a16:creationId xmlns:a16="http://schemas.microsoft.com/office/drawing/2014/main" id="{00000000-0008-0000-0500-000078000000}"/>
            </a:ext>
          </a:extLst>
        </xdr:cNvPr>
        <xdr:cNvSpPr/>
      </xdr:nvSpPr>
      <xdr:spPr>
        <a:xfrm>
          <a:off x="6667500" y="10601325"/>
          <a:ext cx="1600200" cy="7524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5.3 プロモーション削除</a:t>
          </a:r>
        </a:p>
      </xdr:txBody>
    </xdr:sp>
    <xdr:clientData/>
  </xdr:twoCellAnchor>
  <xdr:twoCellAnchor>
    <xdr:from>
      <xdr:col>28</xdr:col>
      <xdr:colOff>0</xdr:colOff>
      <xdr:row>34</xdr:row>
      <xdr:rowOff>2</xdr:rowOff>
    </xdr:from>
    <xdr:to>
      <xdr:col>28</xdr:col>
      <xdr:colOff>0</xdr:colOff>
      <xdr:row>55</xdr:row>
      <xdr:rowOff>11206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500-000079000000}"/>
            </a:ext>
          </a:extLst>
        </xdr:cNvPr>
        <xdr:cNvCxnSpPr>
          <a:stCxn id="116" idx="2"/>
          <a:endCxn id="120" idx="0"/>
        </xdr:cNvCxnSpPr>
      </xdr:nvCxnSpPr>
      <xdr:spPr>
        <a:xfrm>
          <a:off x="7467600" y="6591300"/>
          <a:ext cx="0" cy="4010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</xdr:colOff>
      <xdr:row>30</xdr:row>
      <xdr:rowOff>184898</xdr:rowOff>
    </xdr:from>
    <xdr:to>
      <xdr:col>23</xdr:col>
      <xdr:colOff>11207</xdr:colOff>
      <xdr:row>57</xdr:row>
      <xdr:rowOff>190499</xdr:rowOff>
    </xdr:to>
    <xdr:cxnSp macro="">
      <xdr:nvCxnSpPr>
        <xdr:cNvPr id="125" name="Connector: Elbow 124">
          <a:extLst>
            <a:ext uri="{FF2B5EF4-FFF2-40B4-BE49-F238E27FC236}">
              <a16:creationId xmlns:a16="http://schemas.microsoft.com/office/drawing/2014/main" id="{00000000-0008-0000-0500-00007D000000}"/>
            </a:ext>
          </a:extLst>
        </xdr:cNvPr>
        <xdr:cNvCxnSpPr>
          <a:stCxn id="117" idx="1"/>
          <a:endCxn id="128" idx="0"/>
        </xdr:cNvCxnSpPr>
      </xdr:nvCxnSpPr>
      <xdr:spPr>
        <a:xfrm rot="10800000" flipV="1">
          <a:off x="5867400" y="6010275"/>
          <a:ext cx="276225" cy="51530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58</xdr:row>
      <xdr:rowOff>0</xdr:rowOff>
    </xdr:from>
    <xdr:to>
      <xdr:col>23</xdr:col>
      <xdr:colOff>0</xdr:colOff>
      <xdr:row>59</xdr:row>
      <xdr:rowOff>0</xdr:rowOff>
    </xdr:to>
    <xdr:sp macro="" textlink="" fLocksText="0">
      <xdr:nvSpPr>
        <xdr:cNvPr id="128" name="Rectangle 127">
          <a:extLst>
            <a:ext uri="{FF2B5EF4-FFF2-40B4-BE49-F238E27FC236}">
              <a16:creationId xmlns:a16="http://schemas.microsoft.com/office/drawing/2014/main" id="{00000000-0008-0000-0500-000080000000}"/>
            </a:ext>
          </a:extLst>
        </xdr:cNvPr>
        <xdr:cNvSpPr/>
      </xdr:nvSpPr>
      <xdr:spPr>
        <a:xfrm>
          <a:off x="5600700" y="11163300"/>
          <a:ext cx="533400" cy="190500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 kern="12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0</xdr:colOff>
      <xdr:row>59</xdr:row>
      <xdr:rowOff>1</xdr:rowOff>
    </xdr:from>
    <xdr:to>
      <xdr:col>22</xdr:col>
      <xdr:colOff>0</xdr:colOff>
      <xdr:row>65</xdr:row>
      <xdr:rowOff>1</xdr:rowOff>
    </xdr:to>
    <xdr:cxnSp macro="">
      <xdr:nvCxnSpPr>
        <xdr:cNvPr id="130" name="Connector: Elbow 129">
          <a:extLst>
            <a:ext uri="{FF2B5EF4-FFF2-40B4-BE49-F238E27FC236}">
              <a16:creationId xmlns:a16="http://schemas.microsoft.com/office/drawing/2014/main" id="{00000000-0008-0000-0500-000082000000}"/>
            </a:ext>
          </a:extLst>
        </xdr:cNvPr>
        <xdr:cNvCxnSpPr>
          <a:stCxn id="128" idx="2"/>
          <a:endCxn id="26" idx="0"/>
        </xdr:cNvCxnSpPr>
      </xdr:nvCxnSpPr>
      <xdr:spPr>
        <a:xfrm rot="5400000">
          <a:off x="4000500" y="11353800"/>
          <a:ext cx="18669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59</xdr:row>
      <xdr:rowOff>0</xdr:rowOff>
    </xdr:from>
    <xdr:to>
      <xdr:col>28</xdr:col>
      <xdr:colOff>0</xdr:colOff>
      <xdr:row>65</xdr:row>
      <xdr:rowOff>0</xdr:rowOff>
    </xdr:to>
    <xdr:cxnSp macro="">
      <xdr:nvCxnSpPr>
        <xdr:cNvPr id="137" name="Connector: Elbow 136">
          <a:extLst>
            <a:ext uri="{FF2B5EF4-FFF2-40B4-BE49-F238E27FC236}">
              <a16:creationId xmlns:a16="http://schemas.microsoft.com/office/drawing/2014/main" id="{00000000-0008-0000-0500-000089000000}"/>
            </a:ext>
          </a:extLst>
        </xdr:cNvPr>
        <xdr:cNvCxnSpPr>
          <a:stCxn id="120" idx="2"/>
          <a:endCxn id="26" idx="0"/>
        </xdr:cNvCxnSpPr>
      </xdr:nvCxnSpPr>
      <xdr:spPr>
        <a:xfrm rot="5400000">
          <a:off x="4000500" y="11353800"/>
          <a:ext cx="34671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79</xdr:row>
      <xdr:rowOff>0</xdr:rowOff>
    </xdr:from>
    <xdr:to>
      <xdr:col>23</xdr:col>
      <xdr:colOff>0</xdr:colOff>
      <xdr:row>80</xdr:row>
      <xdr:rowOff>0</xdr:rowOff>
    </xdr:to>
    <xdr:sp macro="" textlink="" fLocksText="0">
      <xdr:nvSpPr>
        <xdr:cNvPr id="146" name="Rectangle 145">
          <a:extLst>
            <a:ext uri="{FF2B5EF4-FFF2-40B4-BE49-F238E27FC236}">
              <a16:creationId xmlns:a16="http://schemas.microsoft.com/office/drawing/2014/main" id="{00000000-0008-0000-0500-000092000000}"/>
            </a:ext>
          </a:extLst>
        </xdr:cNvPr>
        <xdr:cNvSpPr/>
      </xdr:nvSpPr>
      <xdr:spPr>
        <a:xfrm>
          <a:off x="5600700" y="15163800"/>
          <a:ext cx="533400" cy="190500"/>
        </a:xfrm>
        <a:prstGeom prst="rect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 kern="12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0</xdr:colOff>
      <xdr:row>80</xdr:row>
      <xdr:rowOff>1</xdr:rowOff>
    </xdr:from>
    <xdr:to>
      <xdr:col>22</xdr:col>
      <xdr:colOff>0</xdr:colOff>
      <xdr:row>84</xdr:row>
      <xdr:rowOff>22413</xdr:rowOff>
    </xdr:to>
    <xdr:cxnSp macro="">
      <xdr:nvCxnSpPr>
        <xdr:cNvPr id="148" name="Connector: Elbow 147">
          <a:extLst>
            <a:ext uri="{FF2B5EF4-FFF2-40B4-BE49-F238E27FC236}">
              <a16:creationId xmlns:a16="http://schemas.microsoft.com/office/drawing/2014/main" id="{00000000-0008-0000-0500-000094000000}"/>
            </a:ext>
          </a:extLst>
        </xdr:cNvPr>
        <xdr:cNvCxnSpPr>
          <a:stCxn id="146" idx="2"/>
          <a:endCxn id="19" idx="0"/>
        </xdr:cNvCxnSpPr>
      </xdr:nvCxnSpPr>
      <xdr:spPr>
        <a:xfrm rot="5400000">
          <a:off x="4000500" y="15354300"/>
          <a:ext cx="1866900" cy="7810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01" customWidth="1"/>
    <col min="61" max="16384" width="2.77734375" style="101"/>
  </cols>
  <sheetData>
    <row r="1" spans="1:63" ht="24.95" customHeight="1" x14ac:dyDescent="0.25">
      <c r="A1" s="95" t="s">
        <v>57</v>
      </c>
      <c r="B1" s="96"/>
      <c r="C1" s="96"/>
      <c r="D1" s="96"/>
      <c r="E1" s="96"/>
      <c r="F1" s="96"/>
      <c r="G1" s="96"/>
      <c r="H1" s="96"/>
      <c r="I1" s="96"/>
      <c r="J1" s="97"/>
      <c r="K1" s="95" t="s">
        <v>58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7"/>
      <c r="W1" s="98" t="s">
        <v>59</v>
      </c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100"/>
      <c r="AP1" s="95" t="s">
        <v>60</v>
      </c>
      <c r="AQ1" s="96"/>
      <c r="AR1" s="96"/>
      <c r="AS1" s="97"/>
      <c r="AT1" s="95" t="s">
        <v>61</v>
      </c>
      <c r="AU1" s="96"/>
      <c r="AV1" s="96"/>
      <c r="AW1" s="96"/>
      <c r="AX1" s="97"/>
      <c r="AY1" s="95" t="s">
        <v>62</v>
      </c>
      <c r="AZ1" s="96"/>
      <c r="BA1" s="96"/>
      <c r="BB1" s="97"/>
      <c r="BC1" s="95" t="s">
        <v>63</v>
      </c>
      <c r="BD1" s="96"/>
      <c r="BE1" s="96"/>
      <c r="BF1" s="96"/>
      <c r="BG1" s="97"/>
      <c r="BH1" s="95" t="s">
        <v>64</v>
      </c>
      <c r="BI1" s="96"/>
      <c r="BJ1" s="96"/>
      <c r="BK1" s="97"/>
    </row>
    <row r="2" spans="1:63" ht="15" customHeight="1" x14ac:dyDescent="0.25">
      <c r="A2" s="1" t="s">
        <v>65</v>
      </c>
      <c r="B2" s="102"/>
      <c r="C2" s="102"/>
      <c r="D2" s="102"/>
      <c r="E2" s="102"/>
      <c r="F2" s="102"/>
      <c r="G2" s="102"/>
      <c r="H2" s="102"/>
      <c r="I2" s="102"/>
      <c r="J2" s="103"/>
      <c r="K2" s="104" t="s">
        <v>1</v>
      </c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3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104" t="str">
        <f>改訂履歴!$H$11</f>
        <v>DuNT</v>
      </c>
      <c r="AQ2" s="102"/>
      <c r="AR2" s="102"/>
      <c r="AS2" s="103"/>
      <c r="AT2" s="108">
        <f>改訂履歴!$B$11</f>
        <v>45638</v>
      </c>
      <c r="AU2" s="109"/>
      <c r="AV2" s="109"/>
      <c r="AW2" s="109"/>
      <c r="AX2" s="110"/>
      <c r="AY2" s="104" t="str">
        <f>LOOKUP(2,1/(改訂履歴!H11:H30000&lt;&gt;""),改訂履歴!H11:H30000)</f>
        <v>DuNT</v>
      </c>
      <c r="AZ2" s="102"/>
      <c r="BA2" s="102"/>
      <c r="BB2" s="103"/>
      <c r="BC2" s="108">
        <f>LOOKUP(2,1/(改訂履歴!B11:B30000&lt;&gt;""),改訂履歴!B11:B30000)</f>
        <v>45638</v>
      </c>
      <c r="BD2" s="109"/>
      <c r="BE2" s="109"/>
      <c r="BF2" s="109"/>
      <c r="BG2" s="110"/>
      <c r="BH2" s="111">
        <f>LOOKUP(2,1/(改訂履歴!O11:O30000&lt;&gt;""),改訂履歴!O11:O30000)</f>
        <v>0.1</v>
      </c>
      <c r="BI2" s="112"/>
      <c r="BJ2" s="112"/>
      <c r="BK2" s="113"/>
    </row>
    <row r="3" spans="1:63" ht="15" customHeight="1" x14ac:dyDescent="0.25">
      <c r="A3" s="114"/>
      <c r="B3" s="115"/>
      <c r="C3" s="115"/>
      <c r="D3" s="115"/>
      <c r="E3" s="115"/>
      <c r="F3" s="115"/>
      <c r="G3" s="115"/>
      <c r="H3" s="115"/>
      <c r="I3" s="115"/>
      <c r="J3" s="116"/>
      <c r="K3" s="114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6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114"/>
      <c r="AQ3" s="115"/>
      <c r="AR3" s="115"/>
      <c r="AS3" s="116"/>
      <c r="AT3" s="120"/>
      <c r="AU3" s="121"/>
      <c r="AV3" s="121"/>
      <c r="AW3" s="121"/>
      <c r="AX3" s="122"/>
      <c r="AY3" s="114"/>
      <c r="AZ3" s="115"/>
      <c r="BA3" s="115"/>
      <c r="BB3" s="116"/>
      <c r="BC3" s="120"/>
      <c r="BD3" s="121"/>
      <c r="BE3" s="121"/>
      <c r="BF3" s="121"/>
      <c r="BG3" s="122"/>
      <c r="BH3" s="123"/>
      <c r="BI3" s="124"/>
      <c r="BJ3" s="124"/>
      <c r="BK3" s="125"/>
    </row>
    <row r="4" spans="1:63" ht="24.95" customHeight="1" x14ac:dyDescent="0.25">
      <c r="A4" s="95" t="s">
        <v>66</v>
      </c>
      <c r="B4" s="96"/>
      <c r="C4" s="96"/>
      <c r="D4" s="96"/>
      <c r="E4" s="96"/>
      <c r="F4" s="96"/>
      <c r="G4" s="97"/>
      <c r="H4" s="126" t="s">
        <v>38</v>
      </c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8"/>
      <c r="U4" s="95" t="s">
        <v>67</v>
      </c>
      <c r="V4" s="96"/>
      <c r="W4" s="96"/>
      <c r="X4" s="96"/>
      <c r="Y4" s="97"/>
      <c r="Z4" s="45" t="s">
        <v>68</v>
      </c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8"/>
      <c r="AP4" s="126" t="str">
        <f t="array" aca="1" ref="AP4" ca="1">RIGHT(CELL("filename",$A$1),LEN(CELL("filename",$A$1))-FIND("]",CELL("filename",$A$1)))</f>
        <v>表紙</v>
      </c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8"/>
    </row>
    <row r="5" spans="1:63" ht="5.0999999999999996" customHeight="1" x14ac:dyDescent="0.25">
      <c r="A5" s="129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  <c r="AQ5" s="130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130"/>
      <c r="BE5" s="130"/>
      <c r="BF5" s="130"/>
      <c r="BG5" s="130"/>
      <c r="BH5" s="130"/>
      <c r="BI5" s="130"/>
      <c r="BJ5" s="130"/>
      <c r="BK5" s="131"/>
    </row>
    <row r="6" spans="1:63" ht="15" customHeight="1" x14ac:dyDescent="0.25">
      <c r="A6" s="132"/>
      <c r="BK6" s="133"/>
    </row>
    <row r="7" spans="1:63" ht="15" customHeight="1" x14ac:dyDescent="0.25">
      <c r="A7" s="132"/>
      <c r="BK7" s="133"/>
    </row>
    <row r="8" spans="1:63" ht="15" customHeight="1" x14ac:dyDescent="0.25">
      <c r="A8" s="132"/>
      <c r="BK8" s="133"/>
    </row>
    <row r="9" spans="1:63" ht="15" customHeight="1" x14ac:dyDescent="0.25">
      <c r="A9" s="132"/>
      <c r="BK9" s="133"/>
    </row>
    <row r="10" spans="1:63" ht="15" customHeight="1" x14ac:dyDescent="0.25">
      <c r="A10" s="132"/>
      <c r="BK10" s="133"/>
    </row>
    <row r="11" spans="1:63" ht="15" customHeight="1" x14ac:dyDescent="0.25">
      <c r="A11" s="132"/>
      <c r="BK11" s="133"/>
    </row>
    <row r="12" spans="1:63" ht="15" customHeight="1" x14ac:dyDescent="0.25">
      <c r="A12" s="132"/>
      <c r="BK12" s="133"/>
    </row>
    <row r="13" spans="1:63" ht="15" customHeight="1" x14ac:dyDescent="0.25">
      <c r="A13" s="132"/>
      <c r="BK13" s="133"/>
    </row>
    <row r="14" spans="1:63" ht="15" customHeight="1" thickBot="1" x14ac:dyDescent="0.3">
      <c r="A14" s="132"/>
      <c r="BK14" s="133"/>
    </row>
    <row r="15" spans="1:63" ht="15" customHeight="1" thickTop="1" x14ac:dyDescent="0.25">
      <c r="A15" s="132"/>
      <c r="K15" s="134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  <c r="AH15" s="135"/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  <c r="AS15" s="135"/>
      <c r="AT15" s="135"/>
      <c r="AU15" s="135"/>
      <c r="AV15" s="135"/>
      <c r="AW15" s="135"/>
      <c r="AX15" s="135"/>
      <c r="AY15" s="135"/>
      <c r="AZ15" s="135"/>
      <c r="BA15" s="136"/>
      <c r="BK15" s="133"/>
    </row>
    <row r="16" spans="1:63" ht="15" customHeight="1" x14ac:dyDescent="0.25">
      <c r="A16" s="132"/>
      <c r="K16" s="137"/>
      <c r="L16" s="138" t="s">
        <v>69</v>
      </c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40"/>
      <c r="BK16" s="133"/>
    </row>
    <row r="17" spans="1:63" ht="15" customHeight="1" x14ac:dyDescent="0.25">
      <c r="A17" s="132"/>
      <c r="K17" s="137"/>
      <c r="L17" s="139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40"/>
      <c r="BK17" s="133"/>
    </row>
    <row r="18" spans="1:63" ht="15" customHeight="1" x14ac:dyDescent="0.25">
      <c r="A18" s="132"/>
      <c r="K18" s="137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39"/>
      <c r="AT18" s="139"/>
      <c r="AU18" s="139"/>
      <c r="AV18" s="139"/>
      <c r="AW18" s="139"/>
      <c r="AX18" s="139"/>
      <c r="AY18" s="139"/>
      <c r="AZ18" s="139"/>
      <c r="BA18" s="140"/>
      <c r="BK18" s="133"/>
    </row>
    <row r="19" spans="1:63" ht="15" customHeight="1" x14ac:dyDescent="0.25">
      <c r="A19" s="132"/>
      <c r="K19" s="137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40"/>
      <c r="BK19" s="133"/>
    </row>
    <row r="20" spans="1:63" ht="15" customHeight="1" x14ac:dyDescent="0.25">
      <c r="A20" s="132"/>
      <c r="K20" s="137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40"/>
      <c r="BK20" s="133"/>
    </row>
    <row r="21" spans="1:63" ht="15" customHeight="1" x14ac:dyDescent="0.25">
      <c r="A21" s="132"/>
      <c r="K21" s="137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40"/>
      <c r="BK21" s="133"/>
    </row>
    <row r="22" spans="1:63" ht="15" customHeight="1" thickBot="1" x14ac:dyDescent="0.3">
      <c r="A22" s="132"/>
      <c r="K22" s="137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141"/>
      <c r="AN22" s="141"/>
      <c r="AO22" s="141"/>
      <c r="AP22" s="141"/>
      <c r="AQ22" s="141"/>
      <c r="AR22" s="141"/>
      <c r="AS22" s="141"/>
      <c r="AT22" s="141"/>
      <c r="AU22" s="141"/>
      <c r="AV22" s="141"/>
      <c r="AW22" s="141"/>
      <c r="AX22" s="141"/>
      <c r="AY22" s="141"/>
      <c r="AZ22" s="141"/>
      <c r="BA22" s="140"/>
      <c r="BK22" s="133"/>
    </row>
    <row r="23" spans="1:63" ht="15" customHeight="1" x14ac:dyDescent="0.25">
      <c r="A23" s="132"/>
      <c r="K23" s="137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  <c r="AS23" s="142"/>
      <c r="AT23" s="142"/>
      <c r="AU23" s="142"/>
      <c r="AV23" s="142"/>
      <c r="AW23" s="142"/>
      <c r="AX23" s="142"/>
      <c r="AY23" s="142"/>
      <c r="AZ23" s="142"/>
      <c r="BA23" s="140"/>
      <c r="BK23" s="133"/>
    </row>
    <row r="24" spans="1:63" ht="15" customHeight="1" x14ac:dyDescent="0.25">
      <c r="A24" s="132"/>
      <c r="K24" s="137"/>
      <c r="L24" s="139" t="str">
        <f>K2&amp;"/"&amp;H4&amp;"/"&amp;Z4</f>
        <v>POSサーバ/AP1001/API設計書</v>
      </c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40"/>
      <c r="BK24" s="133"/>
    </row>
    <row r="25" spans="1:63" ht="15" customHeight="1" x14ac:dyDescent="0.25">
      <c r="A25" s="132"/>
      <c r="K25" s="137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40"/>
      <c r="BK25" s="133"/>
    </row>
    <row r="26" spans="1:63" ht="15" customHeight="1" x14ac:dyDescent="0.25">
      <c r="A26" s="132"/>
      <c r="K26" s="137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40"/>
      <c r="BK26" s="133"/>
    </row>
    <row r="27" spans="1:63" ht="15" customHeight="1" x14ac:dyDescent="0.25">
      <c r="A27" s="132"/>
      <c r="K27" s="137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40"/>
      <c r="BK27" s="133"/>
    </row>
    <row r="28" spans="1:63" ht="15" customHeight="1" x14ac:dyDescent="0.25">
      <c r="A28" s="132"/>
      <c r="K28" s="137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40"/>
      <c r="BK28" s="133"/>
    </row>
    <row r="29" spans="1:63" ht="15" customHeight="1" x14ac:dyDescent="0.25">
      <c r="A29" s="132"/>
      <c r="K29" s="137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40"/>
      <c r="BK29" s="133"/>
    </row>
    <row r="30" spans="1:63" ht="15" customHeight="1" x14ac:dyDescent="0.25">
      <c r="A30" s="132"/>
      <c r="K30" s="137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40"/>
      <c r="BK30" s="133"/>
    </row>
    <row r="31" spans="1:63" ht="15" customHeight="1" x14ac:dyDescent="0.25">
      <c r="A31" s="132"/>
      <c r="K31" s="137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40"/>
      <c r="BK31" s="133"/>
    </row>
    <row r="32" spans="1:63" ht="15" customHeight="1" x14ac:dyDescent="0.25">
      <c r="A32" s="132"/>
      <c r="K32" s="137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40"/>
      <c r="BK32" s="133"/>
    </row>
    <row r="33" spans="1:63" ht="15" customHeight="1" x14ac:dyDescent="0.25">
      <c r="A33" s="132"/>
      <c r="K33" s="137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  <c r="AD33" s="139"/>
      <c r="AE33" s="139"/>
      <c r="AF33" s="139"/>
      <c r="AG33" s="139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40"/>
      <c r="BK33" s="133"/>
    </row>
    <row r="34" spans="1:63" ht="15" customHeight="1" x14ac:dyDescent="0.25">
      <c r="A34" s="132"/>
      <c r="K34" s="137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139"/>
      <c r="AG34" s="13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40"/>
      <c r="BK34" s="133"/>
    </row>
    <row r="35" spans="1:63" ht="15" customHeight="1" x14ac:dyDescent="0.25">
      <c r="A35" s="132"/>
      <c r="K35" s="137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40"/>
      <c r="BK35" s="133"/>
    </row>
    <row r="36" spans="1:63" ht="15" customHeight="1" x14ac:dyDescent="0.25">
      <c r="A36" s="132"/>
      <c r="K36" s="137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40"/>
      <c r="BK36" s="133"/>
    </row>
    <row r="37" spans="1:63" ht="15" customHeight="1" thickBot="1" x14ac:dyDescent="0.3">
      <c r="A37" s="132"/>
      <c r="K37" s="143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144"/>
      <c r="AG37" s="144"/>
      <c r="AH37" s="144"/>
      <c r="AI37" s="144"/>
      <c r="AJ37" s="144"/>
      <c r="AK37" s="144"/>
      <c r="AL37" s="144"/>
      <c r="AM37" s="144"/>
      <c r="AN37" s="144"/>
      <c r="AO37" s="144"/>
      <c r="AP37" s="144"/>
      <c r="AQ37" s="144"/>
      <c r="AR37" s="144"/>
      <c r="AS37" s="144"/>
      <c r="AT37" s="144"/>
      <c r="AU37" s="144"/>
      <c r="AV37" s="144"/>
      <c r="AW37" s="144"/>
      <c r="AX37" s="144"/>
      <c r="AY37" s="144"/>
      <c r="AZ37" s="144"/>
      <c r="BA37" s="145"/>
      <c r="BK37" s="133"/>
    </row>
    <row r="38" spans="1:63" ht="15" customHeight="1" thickTop="1" x14ac:dyDescent="0.25">
      <c r="A38" s="132"/>
      <c r="BK38" s="133"/>
    </row>
    <row r="39" spans="1:63" ht="15" customHeight="1" x14ac:dyDescent="0.25">
      <c r="A39" s="132"/>
      <c r="BK39" s="133"/>
    </row>
    <row r="40" spans="1:63" ht="15" customHeight="1" x14ac:dyDescent="0.25">
      <c r="A40" s="132"/>
      <c r="BK40" s="133"/>
    </row>
    <row r="41" spans="1:63" ht="15" customHeight="1" x14ac:dyDescent="0.25">
      <c r="A41" s="132"/>
      <c r="BK41" s="133"/>
    </row>
    <row r="42" spans="1:63" ht="15" customHeight="1" x14ac:dyDescent="0.25">
      <c r="A42" s="132"/>
      <c r="BK42" s="133"/>
    </row>
    <row r="43" spans="1:63" ht="15" customHeight="1" x14ac:dyDescent="0.25">
      <c r="A43" s="132"/>
      <c r="BK43" s="133"/>
    </row>
    <row r="44" spans="1:63" ht="15" customHeight="1" x14ac:dyDescent="0.25">
      <c r="A44" s="132"/>
      <c r="Q44" s="146" t="s">
        <v>70</v>
      </c>
      <c r="R44" s="147"/>
      <c r="S44" s="147"/>
      <c r="T44" s="147"/>
      <c r="U44" s="147"/>
      <c r="V44" s="147"/>
      <c r="W44" s="147"/>
      <c r="X44" s="147"/>
      <c r="Y44" s="147"/>
      <c r="Z44" s="148"/>
      <c r="AA44" s="146" t="s">
        <v>71</v>
      </c>
      <c r="AB44" s="147"/>
      <c r="AC44" s="147"/>
      <c r="AD44" s="147"/>
      <c r="AE44" s="147"/>
      <c r="AF44" s="147"/>
      <c r="AG44" s="147"/>
      <c r="AH44" s="147"/>
      <c r="AI44" s="147"/>
      <c r="AJ44" s="147"/>
      <c r="AK44" s="147"/>
      <c r="AL44" s="147"/>
      <c r="AM44" s="147"/>
      <c r="AN44" s="147"/>
      <c r="AO44" s="147"/>
      <c r="AP44" s="148"/>
      <c r="AQ44" s="146" t="s">
        <v>64</v>
      </c>
      <c r="AR44" s="147"/>
      <c r="AS44" s="147"/>
      <c r="AT44" s="147"/>
      <c r="AU44" s="148"/>
      <c r="BK44" s="133"/>
    </row>
    <row r="45" spans="1:63" ht="15" customHeight="1" x14ac:dyDescent="0.25">
      <c r="A45" s="132"/>
      <c r="Q45" s="149"/>
      <c r="R45" s="150"/>
      <c r="S45" s="150"/>
      <c r="T45" s="150"/>
      <c r="U45" s="150"/>
      <c r="V45" s="150"/>
      <c r="W45" s="150"/>
      <c r="X45" s="150"/>
      <c r="Y45" s="150"/>
      <c r="Z45" s="151"/>
      <c r="AA45" s="149"/>
      <c r="AB45" s="150"/>
      <c r="AC45" s="150"/>
      <c r="AD45" s="150"/>
      <c r="AE45" s="150"/>
      <c r="AF45" s="150"/>
      <c r="AG45" s="150"/>
      <c r="AH45" s="150"/>
      <c r="AI45" s="150"/>
      <c r="AJ45" s="150"/>
      <c r="AK45" s="150"/>
      <c r="AL45" s="150"/>
      <c r="AM45" s="150"/>
      <c r="AN45" s="150"/>
      <c r="AO45" s="150"/>
      <c r="AP45" s="151"/>
      <c r="AQ45" s="149"/>
      <c r="AR45" s="150"/>
      <c r="AS45" s="150"/>
      <c r="AT45" s="150"/>
      <c r="AU45" s="151"/>
      <c r="BK45" s="133"/>
    </row>
    <row r="46" spans="1:63" ht="15" customHeight="1" x14ac:dyDescent="0.25">
      <c r="A46" s="132"/>
      <c r="Q46" s="104"/>
      <c r="R46" s="102"/>
      <c r="S46" s="102"/>
      <c r="T46" s="102"/>
      <c r="U46" s="102"/>
      <c r="V46" s="102"/>
      <c r="W46" s="102"/>
      <c r="X46" s="102"/>
      <c r="Y46" s="102"/>
      <c r="Z46" s="103"/>
      <c r="AA46" s="104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3"/>
      <c r="AQ46" s="104"/>
      <c r="AR46" s="102"/>
      <c r="AS46" s="102"/>
      <c r="AT46" s="102"/>
      <c r="AU46" s="103"/>
      <c r="BK46" s="133"/>
    </row>
    <row r="47" spans="1:63" ht="15" customHeight="1" x14ac:dyDescent="0.25">
      <c r="A47" s="132"/>
      <c r="Q47" s="152"/>
      <c r="R47" s="153"/>
      <c r="S47" s="153"/>
      <c r="T47" s="153"/>
      <c r="U47" s="153"/>
      <c r="V47" s="153"/>
      <c r="W47" s="153"/>
      <c r="X47" s="153"/>
      <c r="Y47" s="153"/>
      <c r="Z47" s="154"/>
      <c r="AA47" s="152"/>
      <c r="AB47" s="153"/>
      <c r="AC47" s="153"/>
      <c r="AD47" s="153"/>
      <c r="AE47" s="153"/>
      <c r="AF47" s="153"/>
      <c r="AG47" s="153"/>
      <c r="AH47" s="153"/>
      <c r="AI47" s="153"/>
      <c r="AJ47" s="153"/>
      <c r="AK47" s="153"/>
      <c r="AL47" s="153"/>
      <c r="AM47" s="153"/>
      <c r="AN47" s="153"/>
      <c r="AO47" s="153"/>
      <c r="AP47" s="154"/>
      <c r="AQ47" s="152"/>
      <c r="AR47" s="153"/>
      <c r="AS47" s="153"/>
      <c r="AT47" s="153"/>
      <c r="AU47" s="154"/>
      <c r="BK47" s="133"/>
    </row>
    <row r="48" spans="1:63" ht="15" customHeight="1" x14ac:dyDescent="0.25">
      <c r="A48" s="132"/>
      <c r="Q48" s="152"/>
      <c r="R48" s="153"/>
      <c r="S48" s="153"/>
      <c r="T48" s="153"/>
      <c r="U48" s="153"/>
      <c r="V48" s="153"/>
      <c r="W48" s="153"/>
      <c r="X48" s="153"/>
      <c r="Y48" s="153"/>
      <c r="Z48" s="154"/>
      <c r="AA48" s="152"/>
      <c r="AB48" s="153"/>
      <c r="AC48" s="153"/>
      <c r="AD48" s="153"/>
      <c r="AE48" s="153"/>
      <c r="AF48" s="153"/>
      <c r="AG48" s="153"/>
      <c r="AH48" s="153"/>
      <c r="AI48" s="153"/>
      <c r="AJ48" s="153"/>
      <c r="AK48" s="153"/>
      <c r="AL48" s="153"/>
      <c r="AM48" s="153"/>
      <c r="AN48" s="153"/>
      <c r="AO48" s="153"/>
      <c r="AP48" s="154"/>
      <c r="AQ48" s="152"/>
      <c r="AR48" s="153"/>
      <c r="AS48" s="153"/>
      <c r="AT48" s="153"/>
      <c r="AU48" s="154"/>
      <c r="BK48" s="133"/>
    </row>
    <row r="49" spans="1:63" ht="15" customHeight="1" x14ac:dyDescent="0.25">
      <c r="A49" s="132"/>
      <c r="Q49" s="114"/>
      <c r="R49" s="115"/>
      <c r="S49" s="115"/>
      <c r="T49" s="115"/>
      <c r="U49" s="115"/>
      <c r="V49" s="115"/>
      <c r="W49" s="115"/>
      <c r="X49" s="115"/>
      <c r="Y49" s="115"/>
      <c r="Z49" s="116"/>
      <c r="AA49" s="114"/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  <c r="AM49" s="115"/>
      <c r="AN49" s="115"/>
      <c r="AO49" s="115"/>
      <c r="AP49" s="116"/>
      <c r="AQ49" s="114"/>
      <c r="AR49" s="115"/>
      <c r="AS49" s="115"/>
      <c r="AT49" s="115"/>
      <c r="AU49" s="116"/>
      <c r="BK49" s="133"/>
    </row>
    <row r="50" spans="1:63" ht="15" customHeight="1" x14ac:dyDescent="0.25">
      <c r="A50" s="132"/>
      <c r="BK50" s="133"/>
    </row>
    <row r="51" spans="1:63" ht="15" customHeight="1" x14ac:dyDescent="0.25">
      <c r="A51" s="132"/>
      <c r="BK51" s="133"/>
    </row>
    <row r="52" spans="1:63" ht="15" customHeight="1" x14ac:dyDescent="0.25">
      <c r="A52" s="132"/>
      <c r="BK52" s="133"/>
    </row>
    <row r="53" spans="1:63" ht="15" customHeight="1" x14ac:dyDescent="0.25">
      <c r="A53" s="132"/>
      <c r="BK53" s="133"/>
    </row>
    <row r="54" spans="1:63" ht="15" customHeight="1" x14ac:dyDescent="0.25">
      <c r="A54" s="132"/>
      <c r="BK54" s="133"/>
    </row>
    <row r="55" spans="1:63" ht="15" customHeight="1" x14ac:dyDescent="0.25">
      <c r="A55" s="129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  <c r="AQ55" s="130"/>
      <c r="AR55" s="130"/>
      <c r="AS55" s="130"/>
      <c r="AT55" s="130"/>
      <c r="AU55" s="130"/>
      <c r="AV55" s="130"/>
      <c r="AW55" s="130"/>
      <c r="AX55" s="130"/>
      <c r="AY55" s="130"/>
      <c r="AZ55" s="130"/>
      <c r="BA55" s="130"/>
      <c r="BB55" s="130"/>
      <c r="BC55" s="130"/>
      <c r="BD55" s="130"/>
      <c r="BE55" s="130"/>
      <c r="BF55" s="130"/>
      <c r="BG55" s="130"/>
      <c r="BH55" s="130"/>
      <c r="BI55" s="130"/>
      <c r="BJ55" s="130"/>
      <c r="BK55" s="131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01" customWidth="1"/>
    <col min="61" max="16384" width="2.77734375" style="101"/>
  </cols>
  <sheetData>
    <row r="1" spans="1:63" ht="24.95" customHeight="1" x14ac:dyDescent="0.25">
      <c r="A1" s="95" t="s">
        <v>57</v>
      </c>
      <c r="B1" s="96"/>
      <c r="C1" s="96"/>
      <c r="D1" s="96"/>
      <c r="E1" s="96"/>
      <c r="F1" s="96"/>
      <c r="G1" s="96"/>
      <c r="H1" s="96"/>
      <c r="I1" s="96"/>
      <c r="J1" s="97"/>
      <c r="K1" s="95" t="s">
        <v>58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7"/>
      <c r="W1" s="155" t="str">
        <f>IF(表紙!W1="","",表紙!W1)</f>
        <v>詳細設計書</v>
      </c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100"/>
      <c r="AP1" s="95" t="s">
        <v>60</v>
      </c>
      <c r="AQ1" s="96"/>
      <c r="AR1" s="96"/>
      <c r="AS1" s="97"/>
      <c r="AT1" s="95" t="s">
        <v>61</v>
      </c>
      <c r="AU1" s="96"/>
      <c r="AV1" s="96"/>
      <c r="AW1" s="96"/>
      <c r="AX1" s="97"/>
      <c r="AY1" s="95" t="s">
        <v>62</v>
      </c>
      <c r="AZ1" s="96"/>
      <c r="BA1" s="96"/>
      <c r="BB1" s="97"/>
      <c r="BC1" s="95" t="s">
        <v>63</v>
      </c>
      <c r="BD1" s="96"/>
      <c r="BE1" s="96"/>
      <c r="BF1" s="96"/>
      <c r="BG1" s="97"/>
      <c r="BH1" s="95" t="s">
        <v>64</v>
      </c>
      <c r="BI1" s="96"/>
      <c r="BJ1" s="96"/>
      <c r="BK1" s="97"/>
    </row>
    <row r="2" spans="1:63" ht="15" customHeight="1" x14ac:dyDescent="0.25">
      <c r="A2" s="104" t="str">
        <f>IF(表紙!A2="","",表紙!A2)</f>
        <v>POSサーバー</v>
      </c>
      <c r="B2" s="102"/>
      <c r="C2" s="102"/>
      <c r="D2" s="102"/>
      <c r="E2" s="102"/>
      <c r="F2" s="102"/>
      <c r="G2" s="102"/>
      <c r="H2" s="102"/>
      <c r="I2" s="102"/>
      <c r="J2" s="103"/>
      <c r="K2" s="104" t="str">
        <f>IF(表紙!K2="","",表紙!K2)</f>
        <v>POSサーバ</v>
      </c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3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104" t="str">
        <f>IF(表紙!AP2="","",表紙!AP2)</f>
        <v>DuNT</v>
      </c>
      <c r="AQ2" s="102"/>
      <c r="AR2" s="102"/>
      <c r="AS2" s="103"/>
      <c r="AT2" s="108">
        <f>IF(表紙!AT2="","",表紙!AT2)</f>
        <v>45638</v>
      </c>
      <c r="AU2" s="109"/>
      <c r="AV2" s="109"/>
      <c r="AW2" s="109"/>
      <c r="AX2" s="110"/>
      <c r="AY2" s="104" t="str">
        <f>IF(表紙!AY2="","",表紙!AY2)</f>
        <v>DuNT</v>
      </c>
      <c r="AZ2" s="102"/>
      <c r="BA2" s="102"/>
      <c r="BB2" s="103"/>
      <c r="BC2" s="108">
        <f>IF(表紙!BC2="","",表紙!BC2)</f>
        <v>45638</v>
      </c>
      <c r="BD2" s="109"/>
      <c r="BE2" s="109"/>
      <c r="BF2" s="109"/>
      <c r="BG2" s="110"/>
      <c r="BH2" s="104">
        <f>IF(表紙!BH2="","",表紙!BH2)</f>
        <v>0.1</v>
      </c>
      <c r="BI2" s="102"/>
      <c r="BJ2" s="102"/>
      <c r="BK2" s="103"/>
    </row>
    <row r="3" spans="1:63" ht="15" customHeight="1" x14ac:dyDescent="0.25">
      <c r="A3" s="114"/>
      <c r="B3" s="115"/>
      <c r="C3" s="115"/>
      <c r="D3" s="115"/>
      <c r="E3" s="115"/>
      <c r="F3" s="115"/>
      <c r="G3" s="115"/>
      <c r="H3" s="115"/>
      <c r="I3" s="115"/>
      <c r="J3" s="116"/>
      <c r="K3" s="114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6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114"/>
      <c r="AQ3" s="115"/>
      <c r="AR3" s="115"/>
      <c r="AS3" s="116"/>
      <c r="AT3" s="120"/>
      <c r="AU3" s="121"/>
      <c r="AV3" s="121"/>
      <c r="AW3" s="121"/>
      <c r="AX3" s="122"/>
      <c r="AY3" s="114"/>
      <c r="AZ3" s="115"/>
      <c r="BA3" s="115"/>
      <c r="BB3" s="116"/>
      <c r="BC3" s="120"/>
      <c r="BD3" s="121"/>
      <c r="BE3" s="121"/>
      <c r="BF3" s="121"/>
      <c r="BG3" s="122"/>
      <c r="BH3" s="114"/>
      <c r="BI3" s="115"/>
      <c r="BJ3" s="115"/>
      <c r="BK3" s="116"/>
    </row>
    <row r="4" spans="1:63" ht="24.95" customHeight="1" x14ac:dyDescent="0.25">
      <c r="A4" s="95" t="s">
        <v>66</v>
      </c>
      <c r="B4" s="96"/>
      <c r="C4" s="96"/>
      <c r="D4" s="96"/>
      <c r="E4" s="96"/>
      <c r="F4" s="96"/>
      <c r="G4" s="97"/>
      <c r="H4" s="126" t="str">
        <f>IF(表紙!H4="","",表紙!H4)</f>
        <v>AP1001</v>
      </c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8"/>
      <c r="U4" s="95" t="s">
        <v>67</v>
      </c>
      <c r="V4" s="96"/>
      <c r="W4" s="96"/>
      <c r="X4" s="96"/>
      <c r="Y4" s="97"/>
      <c r="Z4" s="126" t="str">
        <f>IF(表紙!Z4="","",表紙!Z4)</f>
        <v>API設計書</v>
      </c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8"/>
      <c r="AP4" s="126" t="str">
        <f t="array" aca="1" ref="AP4" ca="1">RIGHT(CELL("filename",$A$1),LEN(CELL("filename",$A$1))-FIND("]",CELL("filename",$A$1)))</f>
        <v>改訂履歴</v>
      </c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8"/>
    </row>
    <row r="5" spans="1:63" ht="5.0999999999999996" customHeight="1" x14ac:dyDescent="0.25">
      <c r="A5" s="129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  <c r="AQ5" s="130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130"/>
      <c r="BE5" s="130"/>
      <c r="BF5" s="130"/>
      <c r="BG5" s="130"/>
      <c r="BH5" s="130"/>
      <c r="BI5" s="130"/>
      <c r="BJ5" s="130"/>
      <c r="BK5" s="131"/>
    </row>
    <row r="6" spans="1:63" ht="15" customHeight="1" x14ac:dyDescent="0.25">
      <c r="A6" s="132"/>
      <c r="BK6" s="133"/>
    </row>
    <row r="7" spans="1:63" ht="15" customHeight="1" x14ac:dyDescent="0.25">
      <c r="A7" s="132"/>
      <c r="BK7" s="133"/>
    </row>
    <row r="8" spans="1:63" ht="15" customHeight="1" x14ac:dyDescent="0.25">
      <c r="A8" s="132"/>
      <c r="B8" s="101" t="s">
        <v>0</v>
      </c>
      <c r="BK8" s="133"/>
    </row>
    <row r="9" spans="1:63" ht="15" customHeight="1" x14ac:dyDescent="0.25">
      <c r="A9" s="132"/>
      <c r="BK9" s="133"/>
    </row>
    <row r="10" spans="1:63" ht="15" customHeight="1" x14ac:dyDescent="0.25">
      <c r="A10" s="132"/>
      <c r="B10" s="156" t="s">
        <v>63</v>
      </c>
      <c r="C10" s="156"/>
      <c r="D10" s="156"/>
      <c r="E10" s="156"/>
      <c r="F10" s="156"/>
      <c r="G10" s="156"/>
      <c r="H10" s="156" t="s">
        <v>62</v>
      </c>
      <c r="I10" s="156"/>
      <c r="J10" s="156"/>
      <c r="K10" s="156"/>
      <c r="L10" s="156"/>
      <c r="M10" s="156"/>
      <c r="N10" s="156"/>
      <c r="O10" s="156" t="s">
        <v>64</v>
      </c>
      <c r="P10" s="156"/>
      <c r="Q10" s="156"/>
      <c r="R10" s="156"/>
      <c r="S10" s="156" t="s">
        <v>72</v>
      </c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6"/>
      <c r="AJ10" s="156"/>
      <c r="AK10" s="156"/>
      <c r="AL10" s="156"/>
      <c r="AM10" s="156"/>
      <c r="AN10" s="156"/>
      <c r="AO10" s="156"/>
      <c r="AP10" s="156"/>
      <c r="AQ10" s="156"/>
      <c r="AR10" s="156"/>
      <c r="AS10" s="156"/>
      <c r="AT10" s="156"/>
      <c r="AU10" s="156"/>
      <c r="AV10" s="156"/>
      <c r="AW10" s="156"/>
      <c r="AX10" s="156" t="s">
        <v>70</v>
      </c>
      <c r="AY10" s="156"/>
      <c r="AZ10" s="156"/>
      <c r="BA10" s="156"/>
      <c r="BB10" s="156"/>
      <c r="BC10" s="156"/>
      <c r="BD10" s="156" t="s">
        <v>71</v>
      </c>
      <c r="BE10" s="156"/>
      <c r="BF10" s="156"/>
      <c r="BG10" s="156"/>
      <c r="BH10" s="156"/>
      <c r="BI10" s="156"/>
      <c r="BJ10" s="156"/>
      <c r="BK10" s="133"/>
    </row>
    <row r="11" spans="1:63" ht="15" customHeight="1" x14ac:dyDescent="0.25">
      <c r="A11" s="132"/>
      <c r="B11" s="108">
        <v>45638</v>
      </c>
      <c r="C11" s="102"/>
      <c r="D11" s="102"/>
      <c r="E11" s="102"/>
      <c r="F11" s="102"/>
      <c r="G11" s="103"/>
      <c r="H11" s="1" t="s">
        <v>73</v>
      </c>
      <c r="I11" s="102"/>
      <c r="J11" s="102"/>
      <c r="K11" s="102"/>
      <c r="L11" s="102"/>
      <c r="M11" s="102"/>
      <c r="N11" s="103"/>
      <c r="O11" s="104">
        <v>0.1</v>
      </c>
      <c r="P11" s="102"/>
      <c r="Q11" s="102"/>
      <c r="R11" s="102"/>
      <c r="S11" s="157" t="s">
        <v>2</v>
      </c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  <c r="AI11" s="158"/>
      <c r="AJ11" s="158"/>
      <c r="AK11" s="158"/>
      <c r="AL11" s="158"/>
      <c r="AM11" s="158"/>
      <c r="AN11" s="158"/>
      <c r="AO11" s="158"/>
      <c r="AP11" s="158"/>
      <c r="AQ11" s="158"/>
      <c r="AR11" s="158"/>
      <c r="AS11" s="158"/>
      <c r="AT11" s="158"/>
      <c r="AU11" s="158"/>
      <c r="AV11" s="158"/>
      <c r="AW11" s="159"/>
      <c r="AX11" s="160"/>
      <c r="AY11" s="160"/>
      <c r="AZ11" s="160"/>
      <c r="BA11" s="160"/>
      <c r="BB11" s="160"/>
      <c r="BC11" s="161"/>
      <c r="BD11" s="162"/>
      <c r="BE11" s="160"/>
      <c r="BF11" s="160"/>
      <c r="BG11" s="160"/>
      <c r="BH11" s="160"/>
      <c r="BI11" s="160"/>
      <c r="BJ11" s="161"/>
      <c r="BK11" s="133"/>
    </row>
    <row r="12" spans="1:63" ht="15" customHeight="1" x14ac:dyDescent="0.25">
      <c r="A12" s="132"/>
      <c r="B12" s="114"/>
      <c r="C12" s="115"/>
      <c r="D12" s="115"/>
      <c r="E12" s="115"/>
      <c r="F12" s="115"/>
      <c r="G12" s="116"/>
      <c r="H12" s="114"/>
      <c r="I12" s="115"/>
      <c r="J12" s="115"/>
      <c r="K12" s="115"/>
      <c r="L12" s="115"/>
      <c r="M12" s="115"/>
      <c r="N12" s="116"/>
      <c r="O12" s="114"/>
      <c r="P12" s="115"/>
      <c r="Q12" s="115"/>
      <c r="R12" s="115"/>
      <c r="S12" s="163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  <c r="AD12" s="164"/>
      <c r="AE12" s="164"/>
      <c r="AF12" s="164"/>
      <c r="AG12" s="164"/>
      <c r="AH12" s="164"/>
      <c r="AI12" s="164"/>
      <c r="AJ12" s="164"/>
      <c r="AK12" s="164"/>
      <c r="AL12" s="164"/>
      <c r="AM12" s="164"/>
      <c r="AN12" s="164"/>
      <c r="AO12" s="164"/>
      <c r="AP12" s="164"/>
      <c r="AQ12" s="164"/>
      <c r="AR12" s="164"/>
      <c r="AS12" s="164"/>
      <c r="AT12" s="164"/>
      <c r="AU12" s="164"/>
      <c r="AV12" s="164"/>
      <c r="AW12" s="165"/>
      <c r="AX12" s="166"/>
      <c r="AY12" s="166"/>
      <c r="AZ12" s="166"/>
      <c r="BA12" s="166"/>
      <c r="BB12" s="166"/>
      <c r="BC12" s="167"/>
      <c r="BD12" s="168"/>
      <c r="BE12" s="166"/>
      <c r="BF12" s="166"/>
      <c r="BG12" s="166"/>
      <c r="BH12" s="166"/>
      <c r="BI12" s="166"/>
      <c r="BJ12" s="167"/>
      <c r="BK12" s="133"/>
    </row>
    <row r="13" spans="1:63" ht="15" customHeight="1" x14ac:dyDescent="0.25">
      <c r="A13" s="132"/>
      <c r="B13" s="108"/>
      <c r="C13" s="102"/>
      <c r="D13" s="102"/>
      <c r="E13" s="102"/>
      <c r="F13" s="102"/>
      <c r="G13" s="103"/>
      <c r="H13" s="104"/>
      <c r="I13" s="102"/>
      <c r="J13" s="102"/>
      <c r="K13" s="102"/>
      <c r="L13" s="102"/>
      <c r="M13" s="102"/>
      <c r="N13" s="103"/>
      <c r="O13" s="104"/>
      <c r="P13" s="102"/>
      <c r="Q13" s="102"/>
      <c r="R13" s="102"/>
      <c r="S13" s="157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  <c r="AH13" s="158"/>
      <c r="AI13" s="158"/>
      <c r="AJ13" s="158"/>
      <c r="AK13" s="158"/>
      <c r="AL13" s="158"/>
      <c r="AM13" s="158"/>
      <c r="AN13" s="158"/>
      <c r="AO13" s="158"/>
      <c r="AP13" s="158"/>
      <c r="AQ13" s="158"/>
      <c r="AR13" s="158"/>
      <c r="AS13" s="158"/>
      <c r="AT13" s="158"/>
      <c r="AU13" s="158"/>
      <c r="AV13" s="158"/>
      <c r="AW13" s="159"/>
      <c r="AX13" s="160"/>
      <c r="AY13" s="160"/>
      <c r="AZ13" s="160"/>
      <c r="BA13" s="160"/>
      <c r="BB13" s="160"/>
      <c r="BC13" s="161"/>
      <c r="BD13" s="162"/>
      <c r="BE13" s="160"/>
      <c r="BF13" s="160"/>
      <c r="BG13" s="160"/>
      <c r="BH13" s="160"/>
      <c r="BI13" s="160"/>
      <c r="BJ13" s="161"/>
      <c r="BK13" s="133"/>
    </row>
    <row r="14" spans="1:63" ht="15" customHeight="1" x14ac:dyDescent="0.25">
      <c r="A14" s="132"/>
      <c r="B14" s="114"/>
      <c r="C14" s="115"/>
      <c r="D14" s="115"/>
      <c r="E14" s="115"/>
      <c r="F14" s="115"/>
      <c r="G14" s="116"/>
      <c r="H14" s="114"/>
      <c r="I14" s="115"/>
      <c r="J14" s="115"/>
      <c r="K14" s="115"/>
      <c r="L14" s="115"/>
      <c r="M14" s="115"/>
      <c r="N14" s="116"/>
      <c r="O14" s="114"/>
      <c r="P14" s="115"/>
      <c r="Q14" s="115"/>
      <c r="R14" s="115"/>
      <c r="S14" s="163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  <c r="AD14" s="164"/>
      <c r="AE14" s="164"/>
      <c r="AF14" s="164"/>
      <c r="AG14" s="164"/>
      <c r="AH14" s="164"/>
      <c r="AI14" s="164"/>
      <c r="AJ14" s="164"/>
      <c r="AK14" s="164"/>
      <c r="AL14" s="164"/>
      <c r="AM14" s="164"/>
      <c r="AN14" s="164"/>
      <c r="AO14" s="164"/>
      <c r="AP14" s="164"/>
      <c r="AQ14" s="164"/>
      <c r="AR14" s="164"/>
      <c r="AS14" s="164"/>
      <c r="AT14" s="164"/>
      <c r="AU14" s="164"/>
      <c r="AV14" s="164"/>
      <c r="AW14" s="165"/>
      <c r="AX14" s="166"/>
      <c r="AY14" s="166"/>
      <c r="AZ14" s="166"/>
      <c r="BA14" s="166"/>
      <c r="BB14" s="166"/>
      <c r="BC14" s="167"/>
      <c r="BD14" s="168"/>
      <c r="BE14" s="166"/>
      <c r="BF14" s="166"/>
      <c r="BG14" s="166"/>
      <c r="BH14" s="166"/>
      <c r="BI14" s="166"/>
      <c r="BJ14" s="167"/>
      <c r="BK14" s="133"/>
    </row>
    <row r="15" spans="1:63" ht="15" customHeight="1" x14ac:dyDescent="0.25">
      <c r="A15" s="132"/>
      <c r="B15" s="104"/>
      <c r="C15" s="102"/>
      <c r="D15" s="102"/>
      <c r="E15" s="102"/>
      <c r="F15" s="102"/>
      <c r="G15" s="103"/>
      <c r="H15" s="104"/>
      <c r="I15" s="102"/>
      <c r="J15" s="102"/>
      <c r="K15" s="102"/>
      <c r="L15" s="102"/>
      <c r="M15" s="102"/>
      <c r="N15" s="103"/>
      <c r="O15" s="104"/>
      <c r="P15" s="102"/>
      <c r="Q15" s="102"/>
      <c r="R15" s="102"/>
      <c r="S15" s="157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  <c r="AN15" s="158"/>
      <c r="AO15" s="158"/>
      <c r="AP15" s="158"/>
      <c r="AQ15" s="158"/>
      <c r="AR15" s="158"/>
      <c r="AS15" s="158"/>
      <c r="AT15" s="158"/>
      <c r="AU15" s="158"/>
      <c r="AV15" s="158"/>
      <c r="AW15" s="159"/>
      <c r="AX15" s="160"/>
      <c r="AY15" s="160"/>
      <c r="AZ15" s="160"/>
      <c r="BA15" s="160"/>
      <c r="BB15" s="160"/>
      <c r="BC15" s="161"/>
      <c r="BD15" s="162"/>
      <c r="BE15" s="160"/>
      <c r="BF15" s="160"/>
      <c r="BG15" s="160"/>
      <c r="BH15" s="160"/>
      <c r="BI15" s="160"/>
      <c r="BJ15" s="161"/>
      <c r="BK15" s="133"/>
    </row>
    <row r="16" spans="1:63" ht="15" customHeight="1" x14ac:dyDescent="0.25">
      <c r="A16" s="132"/>
      <c r="B16" s="114"/>
      <c r="C16" s="115"/>
      <c r="D16" s="115"/>
      <c r="E16" s="115"/>
      <c r="F16" s="115"/>
      <c r="G16" s="116"/>
      <c r="H16" s="114"/>
      <c r="I16" s="115"/>
      <c r="J16" s="115"/>
      <c r="K16" s="115"/>
      <c r="L16" s="115"/>
      <c r="M16" s="115"/>
      <c r="N16" s="116"/>
      <c r="O16" s="114"/>
      <c r="P16" s="115"/>
      <c r="Q16" s="115"/>
      <c r="R16" s="115"/>
      <c r="S16" s="163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4"/>
      <c r="AS16" s="164"/>
      <c r="AT16" s="164"/>
      <c r="AU16" s="164"/>
      <c r="AV16" s="164"/>
      <c r="AW16" s="165"/>
      <c r="AX16" s="166"/>
      <c r="AY16" s="166"/>
      <c r="AZ16" s="166"/>
      <c r="BA16" s="166"/>
      <c r="BB16" s="166"/>
      <c r="BC16" s="167"/>
      <c r="BD16" s="168"/>
      <c r="BE16" s="166"/>
      <c r="BF16" s="166"/>
      <c r="BG16" s="166"/>
      <c r="BH16" s="166"/>
      <c r="BI16" s="166"/>
      <c r="BJ16" s="167"/>
      <c r="BK16" s="133"/>
    </row>
    <row r="17" spans="1:63" ht="15" customHeight="1" x14ac:dyDescent="0.25">
      <c r="A17" s="132"/>
      <c r="B17" s="104"/>
      <c r="C17" s="102"/>
      <c r="D17" s="102"/>
      <c r="E17" s="102"/>
      <c r="F17" s="102"/>
      <c r="G17" s="103"/>
      <c r="H17" s="104"/>
      <c r="I17" s="102"/>
      <c r="J17" s="102"/>
      <c r="K17" s="102"/>
      <c r="L17" s="102"/>
      <c r="M17" s="102"/>
      <c r="N17" s="103"/>
      <c r="O17" s="104"/>
      <c r="P17" s="102"/>
      <c r="Q17" s="102"/>
      <c r="R17" s="102"/>
      <c r="S17" s="157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58"/>
      <c r="AM17" s="158"/>
      <c r="AN17" s="158"/>
      <c r="AO17" s="158"/>
      <c r="AP17" s="158"/>
      <c r="AQ17" s="158"/>
      <c r="AR17" s="158"/>
      <c r="AS17" s="158"/>
      <c r="AT17" s="158"/>
      <c r="AU17" s="158"/>
      <c r="AV17" s="158"/>
      <c r="AW17" s="159"/>
      <c r="AX17" s="160"/>
      <c r="AY17" s="160"/>
      <c r="AZ17" s="160"/>
      <c r="BA17" s="160"/>
      <c r="BB17" s="160"/>
      <c r="BC17" s="161"/>
      <c r="BD17" s="162"/>
      <c r="BE17" s="160"/>
      <c r="BF17" s="160"/>
      <c r="BG17" s="160"/>
      <c r="BH17" s="160"/>
      <c r="BI17" s="160"/>
      <c r="BJ17" s="161"/>
      <c r="BK17" s="133"/>
    </row>
    <row r="18" spans="1:63" ht="15" customHeight="1" x14ac:dyDescent="0.25">
      <c r="A18" s="132"/>
      <c r="B18" s="114"/>
      <c r="C18" s="115"/>
      <c r="D18" s="115"/>
      <c r="E18" s="115"/>
      <c r="F18" s="115"/>
      <c r="G18" s="116"/>
      <c r="H18" s="114"/>
      <c r="I18" s="115"/>
      <c r="J18" s="115"/>
      <c r="K18" s="115"/>
      <c r="L18" s="115"/>
      <c r="M18" s="115"/>
      <c r="N18" s="116"/>
      <c r="O18" s="114"/>
      <c r="P18" s="115"/>
      <c r="Q18" s="115"/>
      <c r="R18" s="115"/>
      <c r="S18" s="163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5"/>
      <c r="AX18" s="166"/>
      <c r="AY18" s="166"/>
      <c r="AZ18" s="166"/>
      <c r="BA18" s="166"/>
      <c r="BB18" s="166"/>
      <c r="BC18" s="167"/>
      <c r="BD18" s="168"/>
      <c r="BE18" s="166"/>
      <c r="BF18" s="166"/>
      <c r="BG18" s="166"/>
      <c r="BH18" s="166"/>
      <c r="BI18" s="166"/>
      <c r="BJ18" s="167"/>
      <c r="BK18" s="133"/>
    </row>
    <row r="19" spans="1:63" ht="15" customHeight="1" x14ac:dyDescent="0.25">
      <c r="A19" s="132"/>
      <c r="B19" s="104"/>
      <c r="C19" s="102"/>
      <c r="D19" s="102"/>
      <c r="E19" s="102"/>
      <c r="F19" s="102"/>
      <c r="G19" s="103"/>
      <c r="H19" s="104"/>
      <c r="I19" s="102"/>
      <c r="J19" s="102"/>
      <c r="K19" s="102"/>
      <c r="L19" s="102"/>
      <c r="M19" s="102"/>
      <c r="N19" s="103"/>
      <c r="O19" s="104"/>
      <c r="P19" s="102"/>
      <c r="Q19" s="102"/>
      <c r="R19" s="102"/>
      <c r="S19" s="157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9"/>
      <c r="AX19" s="160"/>
      <c r="AY19" s="160"/>
      <c r="AZ19" s="160"/>
      <c r="BA19" s="160"/>
      <c r="BB19" s="160"/>
      <c r="BC19" s="161"/>
      <c r="BD19" s="162"/>
      <c r="BE19" s="160"/>
      <c r="BF19" s="160"/>
      <c r="BG19" s="160"/>
      <c r="BH19" s="160"/>
      <c r="BI19" s="160"/>
      <c r="BJ19" s="161"/>
      <c r="BK19" s="133"/>
    </row>
    <row r="20" spans="1:63" ht="15" customHeight="1" x14ac:dyDescent="0.25">
      <c r="A20" s="132"/>
      <c r="B20" s="114"/>
      <c r="C20" s="115"/>
      <c r="D20" s="115"/>
      <c r="E20" s="115"/>
      <c r="F20" s="115"/>
      <c r="G20" s="116"/>
      <c r="H20" s="114"/>
      <c r="I20" s="115"/>
      <c r="J20" s="115"/>
      <c r="K20" s="115"/>
      <c r="L20" s="115"/>
      <c r="M20" s="115"/>
      <c r="N20" s="116"/>
      <c r="O20" s="114"/>
      <c r="P20" s="115"/>
      <c r="Q20" s="115"/>
      <c r="R20" s="115"/>
      <c r="S20" s="163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5"/>
      <c r="AX20" s="166"/>
      <c r="AY20" s="166"/>
      <c r="AZ20" s="166"/>
      <c r="BA20" s="166"/>
      <c r="BB20" s="166"/>
      <c r="BC20" s="167"/>
      <c r="BD20" s="168"/>
      <c r="BE20" s="166"/>
      <c r="BF20" s="166"/>
      <c r="BG20" s="166"/>
      <c r="BH20" s="166"/>
      <c r="BI20" s="166"/>
      <c r="BJ20" s="167"/>
      <c r="BK20" s="133"/>
    </row>
    <row r="21" spans="1:63" ht="15" customHeight="1" x14ac:dyDescent="0.25">
      <c r="A21" s="132"/>
      <c r="B21" s="104"/>
      <c r="C21" s="102"/>
      <c r="D21" s="102"/>
      <c r="E21" s="102"/>
      <c r="F21" s="102"/>
      <c r="G21" s="103"/>
      <c r="H21" s="104"/>
      <c r="I21" s="102"/>
      <c r="J21" s="102"/>
      <c r="K21" s="102"/>
      <c r="L21" s="102"/>
      <c r="M21" s="102"/>
      <c r="N21" s="103"/>
      <c r="O21" s="104"/>
      <c r="P21" s="102"/>
      <c r="Q21" s="102"/>
      <c r="R21" s="102"/>
      <c r="S21" s="157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  <c r="AH21" s="158"/>
      <c r="AI21" s="158"/>
      <c r="AJ21" s="158"/>
      <c r="AK21" s="158"/>
      <c r="AL21" s="158"/>
      <c r="AM21" s="158"/>
      <c r="AN21" s="158"/>
      <c r="AO21" s="158"/>
      <c r="AP21" s="158"/>
      <c r="AQ21" s="158"/>
      <c r="AR21" s="158"/>
      <c r="AS21" s="158"/>
      <c r="AT21" s="158"/>
      <c r="AU21" s="158"/>
      <c r="AV21" s="158"/>
      <c r="AW21" s="159"/>
      <c r="AX21" s="160"/>
      <c r="AY21" s="160"/>
      <c r="AZ21" s="160"/>
      <c r="BA21" s="160"/>
      <c r="BB21" s="160"/>
      <c r="BC21" s="161"/>
      <c r="BD21" s="162"/>
      <c r="BE21" s="160"/>
      <c r="BF21" s="160"/>
      <c r="BG21" s="160"/>
      <c r="BH21" s="160"/>
      <c r="BI21" s="160"/>
      <c r="BJ21" s="161"/>
      <c r="BK21" s="133"/>
    </row>
    <row r="22" spans="1:63" ht="15" customHeight="1" x14ac:dyDescent="0.25">
      <c r="A22" s="132"/>
      <c r="B22" s="114"/>
      <c r="C22" s="115"/>
      <c r="D22" s="115"/>
      <c r="E22" s="115"/>
      <c r="F22" s="115"/>
      <c r="G22" s="116"/>
      <c r="H22" s="114"/>
      <c r="I22" s="115"/>
      <c r="J22" s="115"/>
      <c r="K22" s="115"/>
      <c r="L22" s="115"/>
      <c r="M22" s="115"/>
      <c r="N22" s="116"/>
      <c r="O22" s="114"/>
      <c r="P22" s="115"/>
      <c r="Q22" s="115"/>
      <c r="R22" s="115"/>
      <c r="S22" s="163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5"/>
      <c r="AX22" s="166"/>
      <c r="AY22" s="166"/>
      <c r="AZ22" s="166"/>
      <c r="BA22" s="166"/>
      <c r="BB22" s="166"/>
      <c r="BC22" s="167"/>
      <c r="BD22" s="168"/>
      <c r="BE22" s="166"/>
      <c r="BF22" s="166"/>
      <c r="BG22" s="166"/>
      <c r="BH22" s="166"/>
      <c r="BI22" s="166"/>
      <c r="BJ22" s="167"/>
      <c r="BK22" s="133"/>
    </row>
    <row r="23" spans="1:63" ht="15" customHeight="1" x14ac:dyDescent="0.25">
      <c r="A23" s="132"/>
      <c r="B23" s="104"/>
      <c r="C23" s="102"/>
      <c r="D23" s="102"/>
      <c r="E23" s="102"/>
      <c r="F23" s="102"/>
      <c r="G23" s="103"/>
      <c r="H23" s="104"/>
      <c r="I23" s="102"/>
      <c r="J23" s="102"/>
      <c r="K23" s="102"/>
      <c r="L23" s="102"/>
      <c r="M23" s="102"/>
      <c r="N23" s="103"/>
      <c r="O23" s="104"/>
      <c r="P23" s="102"/>
      <c r="Q23" s="102"/>
      <c r="R23" s="102"/>
      <c r="S23" s="157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8"/>
      <c r="AN23" s="158"/>
      <c r="AO23" s="158"/>
      <c r="AP23" s="158"/>
      <c r="AQ23" s="158"/>
      <c r="AR23" s="158"/>
      <c r="AS23" s="158"/>
      <c r="AT23" s="158"/>
      <c r="AU23" s="158"/>
      <c r="AV23" s="158"/>
      <c r="AW23" s="159"/>
      <c r="AX23" s="160"/>
      <c r="AY23" s="160"/>
      <c r="AZ23" s="160"/>
      <c r="BA23" s="160"/>
      <c r="BB23" s="160"/>
      <c r="BC23" s="161"/>
      <c r="BD23" s="162"/>
      <c r="BE23" s="160"/>
      <c r="BF23" s="160"/>
      <c r="BG23" s="160"/>
      <c r="BH23" s="160"/>
      <c r="BI23" s="160"/>
      <c r="BJ23" s="161"/>
      <c r="BK23" s="133"/>
    </row>
    <row r="24" spans="1:63" ht="15" customHeight="1" x14ac:dyDescent="0.25">
      <c r="A24" s="132"/>
      <c r="B24" s="114"/>
      <c r="C24" s="115"/>
      <c r="D24" s="115"/>
      <c r="E24" s="115"/>
      <c r="F24" s="115"/>
      <c r="G24" s="116"/>
      <c r="H24" s="114"/>
      <c r="I24" s="115"/>
      <c r="J24" s="115"/>
      <c r="K24" s="115"/>
      <c r="L24" s="115"/>
      <c r="M24" s="115"/>
      <c r="N24" s="116"/>
      <c r="O24" s="114"/>
      <c r="P24" s="115"/>
      <c r="Q24" s="115"/>
      <c r="R24" s="115"/>
      <c r="S24" s="163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5"/>
      <c r="AX24" s="166"/>
      <c r="AY24" s="166"/>
      <c r="AZ24" s="166"/>
      <c r="BA24" s="166"/>
      <c r="BB24" s="166"/>
      <c r="BC24" s="167"/>
      <c r="BD24" s="168"/>
      <c r="BE24" s="166"/>
      <c r="BF24" s="166"/>
      <c r="BG24" s="166"/>
      <c r="BH24" s="166"/>
      <c r="BI24" s="166"/>
      <c r="BJ24" s="167"/>
      <c r="BK24" s="133"/>
    </row>
    <row r="25" spans="1:63" ht="15" customHeight="1" x14ac:dyDescent="0.25">
      <c r="A25" s="132"/>
      <c r="B25" s="104"/>
      <c r="C25" s="102"/>
      <c r="D25" s="102"/>
      <c r="E25" s="102"/>
      <c r="F25" s="102"/>
      <c r="G25" s="103"/>
      <c r="H25" s="104"/>
      <c r="I25" s="102"/>
      <c r="J25" s="102"/>
      <c r="K25" s="102"/>
      <c r="L25" s="102"/>
      <c r="M25" s="102"/>
      <c r="N25" s="103"/>
      <c r="O25" s="104"/>
      <c r="P25" s="102"/>
      <c r="Q25" s="102"/>
      <c r="R25" s="102"/>
      <c r="S25" s="157"/>
      <c r="T25" s="158"/>
      <c r="U25" s="158"/>
      <c r="V25" s="158"/>
      <c r="W25" s="158"/>
      <c r="X25" s="158"/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/>
      <c r="AS25" s="158"/>
      <c r="AT25" s="158"/>
      <c r="AU25" s="158"/>
      <c r="AV25" s="158"/>
      <c r="AW25" s="159"/>
      <c r="AX25" s="160"/>
      <c r="AY25" s="160"/>
      <c r="AZ25" s="160"/>
      <c r="BA25" s="160"/>
      <c r="BB25" s="160"/>
      <c r="BC25" s="161"/>
      <c r="BD25" s="162"/>
      <c r="BE25" s="160"/>
      <c r="BF25" s="160"/>
      <c r="BG25" s="160"/>
      <c r="BH25" s="160"/>
      <c r="BI25" s="160"/>
      <c r="BJ25" s="161"/>
      <c r="BK25" s="133"/>
    </row>
    <row r="26" spans="1:63" ht="15" customHeight="1" x14ac:dyDescent="0.25">
      <c r="A26" s="132"/>
      <c r="B26" s="114"/>
      <c r="C26" s="115"/>
      <c r="D26" s="115"/>
      <c r="E26" s="115"/>
      <c r="F26" s="115"/>
      <c r="G26" s="116"/>
      <c r="H26" s="114"/>
      <c r="I26" s="115"/>
      <c r="J26" s="115"/>
      <c r="K26" s="115"/>
      <c r="L26" s="115"/>
      <c r="M26" s="115"/>
      <c r="N26" s="116"/>
      <c r="O26" s="114"/>
      <c r="P26" s="115"/>
      <c r="Q26" s="115"/>
      <c r="R26" s="115"/>
      <c r="S26" s="163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5"/>
      <c r="AX26" s="166"/>
      <c r="AY26" s="166"/>
      <c r="AZ26" s="166"/>
      <c r="BA26" s="166"/>
      <c r="BB26" s="166"/>
      <c r="BC26" s="167"/>
      <c r="BD26" s="168"/>
      <c r="BE26" s="166"/>
      <c r="BF26" s="166"/>
      <c r="BG26" s="166"/>
      <c r="BH26" s="166"/>
      <c r="BI26" s="166"/>
      <c r="BJ26" s="167"/>
      <c r="BK26" s="133"/>
    </row>
    <row r="27" spans="1:63" ht="15" customHeight="1" x14ac:dyDescent="0.25">
      <c r="A27" s="132"/>
      <c r="B27" s="104"/>
      <c r="C27" s="102"/>
      <c r="D27" s="102"/>
      <c r="E27" s="102"/>
      <c r="F27" s="102"/>
      <c r="G27" s="103"/>
      <c r="H27" s="104"/>
      <c r="I27" s="102"/>
      <c r="J27" s="102"/>
      <c r="K27" s="102"/>
      <c r="L27" s="102"/>
      <c r="M27" s="102"/>
      <c r="N27" s="103"/>
      <c r="O27" s="104"/>
      <c r="P27" s="102"/>
      <c r="Q27" s="102"/>
      <c r="R27" s="102"/>
      <c r="S27" s="157"/>
      <c r="T27" s="158"/>
      <c r="U27" s="158"/>
      <c r="V27" s="158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8"/>
      <c r="AN27" s="158"/>
      <c r="AO27" s="158"/>
      <c r="AP27" s="158"/>
      <c r="AQ27" s="158"/>
      <c r="AR27" s="158"/>
      <c r="AS27" s="158"/>
      <c r="AT27" s="158"/>
      <c r="AU27" s="158"/>
      <c r="AV27" s="158"/>
      <c r="AW27" s="159"/>
      <c r="AX27" s="160"/>
      <c r="AY27" s="160"/>
      <c r="AZ27" s="160"/>
      <c r="BA27" s="160"/>
      <c r="BB27" s="160"/>
      <c r="BC27" s="161"/>
      <c r="BD27" s="162"/>
      <c r="BE27" s="160"/>
      <c r="BF27" s="160"/>
      <c r="BG27" s="160"/>
      <c r="BH27" s="160"/>
      <c r="BI27" s="160"/>
      <c r="BJ27" s="161"/>
      <c r="BK27" s="133"/>
    </row>
    <row r="28" spans="1:63" ht="15" customHeight="1" x14ac:dyDescent="0.25">
      <c r="A28" s="132"/>
      <c r="B28" s="114"/>
      <c r="C28" s="115"/>
      <c r="D28" s="115"/>
      <c r="E28" s="115"/>
      <c r="F28" s="115"/>
      <c r="G28" s="116"/>
      <c r="H28" s="114"/>
      <c r="I28" s="115"/>
      <c r="J28" s="115"/>
      <c r="K28" s="115"/>
      <c r="L28" s="115"/>
      <c r="M28" s="115"/>
      <c r="N28" s="116"/>
      <c r="O28" s="114"/>
      <c r="P28" s="115"/>
      <c r="Q28" s="115"/>
      <c r="R28" s="115"/>
      <c r="S28" s="163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5"/>
      <c r="AX28" s="166"/>
      <c r="AY28" s="166"/>
      <c r="AZ28" s="166"/>
      <c r="BA28" s="166"/>
      <c r="BB28" s="166"/>
      <c r="BC28" s="167"/>
      <c r="BD28" s="168"/>
      <c r="BE28" s="166"/>
      <c r="BF28" s="166"/>
      <c r="BG28" s="166"/>
      <c r="BH28" s="166"/>
      <c r="BI28" s="166"/>
      <c r="BJ28" s="167"/>
      <c r="BK28" s="133"/>
    </row>
    <row r="29" spans="1:63" ht="15" customHeight="1" x14ac:dyDescent="0.25">
      <c r="A29" s="132"/>
      <c r="B29" s="104"/>
      <c r="C29" s="102"/>
      <c r="D29" s="102"/>
      <c r="E29" s="102"/>
      <c r="F29" s="102"/>
      <c r="G29" s="103"/>
      <c r="H29" s="104"/>
      <c r="I29" s="102"/>
      <c r="J29" s="102"/>
      <c r="K29" s="102"/>
      <c r="L29" s="102"/>
      <c r="M29" s="102"/>
      <c r="N29" s="103"/>
      <c r="O29" s="104"/>
      <c r="P29" s="102"/>
      <c r="Q29" s="102"/>
      <c r="R29" s="102"/>
      <c r="S29" s="157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8"/>
      <c r="AN29" s="158"/>
      <c r="AO29" s="158"/>
      <c r="AP29" s="158"/>
      <c r="AQ29" s="158"/>
      <c r="AR29" s="158"/>
      <c r="AS29" s="158"/>
      <c r="AT29" s="158"/>
      <c r="AU29" s="158"/>
      <c r="AV29" s="158"/>
      <c r="AW29" s="159"/>
      <c r="AX29" s="160"/>
      <c r="AY29" s="160"/>
      <c r="AZ29" s="160"/>
      <c r="BA29" s="160"/>
      <c r="BB29" s="160"/>
      <c r="BC29" s="161"/>
      <c r="BD29" s="162"/>
      <c r="BE29" s="160"/>
      <c r="BF29" s="160"/>
      <c r="BG29" s="160"/>
      <c r="BH29" s="160"/>
      <c r="BI29" s="160"/>
      <c r="BJ29" s="161"/>
      <c r="BK29" s="133"/>
    </row>
    <row r="30" spans="1:63" ht="15" customHeight="1" x14ac:dyDescent="0.25">
      <c r="A30" s="132"/>
      <c r="B30" s="114"/>
      <c r="C30" s="115"/>
      <c r="D30" s="115"/>
      <c r="E30" s="115"/>
      <c r="F30" s="115"/>
      <c r="G30" s="116"/>
      <c r="H30" s="114"/>
      <c r="I30" s="115"/>
      <c r="J30" s="115"/>
      <c r="K30" s="115"/>
      <c r="L30" s="115"/>
      <c r="M30" s="115"/>
      <c r="N30" s="116"/>
      <c r="O30" s="114"/>
      <c r="P30" s="115"/>
      <c r="Q30" s="115"/>
      <c r="R30" s="115"/>
      <c r="S30" s="163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5"/>
      <c r="AX30" s="166"/>
      <c r="AY30" s="166"/>
      <c r="AZ30" s="166"/>
      <c r="BA30" s="166"/>
      <c r="BB30" s="166"/>
      <c r="BC30" s="167"/>
      <c r="BD30" s="168"/>
      <c r="BE30" s="166"/>
      <c r="BF30" s="166"/>
      <c r="BG30" s="166"/>
      <c r="BH30" s="166"/>
      <c r="BI30" s="166"/>
      <c r="BJ30" s="167"/>
      <c r="BK30" s="133"/>
    </row>
    <row r="31" spans="1:63" ht="15" customHeight="1" x14ac:dyDescent="0.25">
      <c r="A31" s="132"/>
      <c r="B31" s="104"/>
      <c r="C31" s="102"/>
      <c r="D31" s="102"/>
      <c r="E31" s="102"/>
      <c r="F31" s="102"/>
      <c r="G31" s="103"/>
      <c r="H31" s="104"/>
      <c r="I31" s="102"/>
      <c r="J31" s="102"/>
      <c r="K31" s="102"/>
      <c r="L31" s="102"/>
      <c r="M31" s="102"/>
      <c r="N31" s="103"/>
      <c r="O31" s="104"/>
      <c r="P31" s="102"/>
      <c r="Q31" s="102"/>
      <c r="R31" s="102"/>
      <c r="S31" s="157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158"/>
      <c r="AW31" s="159"/>
      <c r="AX31" s="160"/>
      <c r="AY31" s="160"/>
      <c r="AZ31" s="160"/>
      <c r="BA31" s="160"/>
      <c r="BB31" s="160"/>
      <c r="BC31" s="161"/>
      <c r="BD31" s="162"/>
      <c r="BE31" s="160"/>
      <c r="BF31" s="160"/>
      <c r="BG31" s="160"/>
      <c r="BH31" s="160"/>
      <c r="BI31" s="160"/>
      <c r="BJ31" s="161"/>
      <c r="BK31" s="133"/>
    </row>
    <row r="32" spans="1:63" ht="15" customHeight="1" x14ac:dyDescent="0.25">
      <c r="A32" s="132"/>
      <c r="B32" s="114"/>
      <c r="C32" s="115"/>
      <c r="D32" s="115"/>
      <c r="E32" s="115"/>
      <c r="F32" s="115"/>
      <c r="G32" s="116"/>
      <c r="H32" s="114"/>
      <c r="I32" s="115"/>
      <c r="J32" s="115"/>
      <c r="K32" s="115"/>
      <c r="L32" s="115"/>
      <c r="M32" s="115"/>
      <c r="N32" s="116"/>
      <c r="O32" s="114"/>
      <c r="P32" s="115"/>
      <c r="Q32" s="115"/>
      <c r="R32" s="115"/>
      <c r="S32" s="163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  <c r="AH32" s="164"/>
      <c r="AI32" s="164"/>
      <c r="AJ32" s="164"/>
      <c r="AK32" s="164"/>
      <c r="AL32" s="164"/>
      <c r="AM32" s="164"/>
      <c r="AN32" s="164"/>
      <c r="AO32" s="164"/>
      <c r="AP32" s="164"/>
      <c r="AQ32" s="164"/>
      <c r="AR32" s="164"/>
      <c r="AS32" s="164"/>
      <c r="AT32" s="164"/>
      <c r="AU32" s="164"/>
      <c r="AV32" s="164"/>
      <c r="AW32" s="165"/>
      <c r="AX32" s="166"/>
      <c r="AY32" s="166"/>
      <c r="AZ32" s="166"/>
      <c r="BA32" s="166"/>
      <c r="BB32" s="166"/>
      <c r="BC32" s="167"/>
      <c r="BD32" s="168"/>
      <c r="BE32" s="166"/>
      <c r="BF32" s="166"/>
      <c r="BG32" s="166"/>
      <c r="BH32" s="166"/>
      <c r="BI32" s="166"/>
      <c r="BJ32" s="167"/>
      <c r="BK32" s="133"/>
    </row>
    <row r="33" spans="1:63" ht="15" customHeight="1" x14ac:dyDescent="0.25">
      <c r="A33" s="132"/>
      <c r="B33" s="104"/>
      <c r="C33" s="102"/>
      <c r="D33" s="102"/>
      <c r="E33" s="102"/>
      <c r="F33" s="102"/>
      <c r="G33" s="103"/>
      <c r="H33" s="104"/>
      <c r="I33" s="102"/>
      <c r="J33" s="102"/>
      <c r="K33" s="102"/>
      <c r="L33" s="102"/>
      <c r="M33" s="102"/>
      <c r="N33" s="103"/>
      <c r="O33" s="104"/>
      <c r="P33" s="102"/>
      <c r="Q33" s="102"/>
      <c r="R33" s="102"/>
      <c r="S33" s="157"/>
      <c r="T33" s="158"/>
      <c r="U33" s="158"/>
      <c r="V33" s="158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158"/>
      <c r="AW33" s="159"/>
      <c r="AX33" s="160"/>
      <c r="AY33" s="160"/>
      <c r="AZ33" s="160"/>
      <c r="BA33" s="160"/>
      <c r="BB33" s="160"/>
      <c r="BC33" s="161"/>
      <c r="BD33" s="162"/>
      <c r="BE33" s="160"/>
      <c r="BF33" s="160"/>
      <c r="BG33" s="160"/>
      <c r="BH33" s="160"/>
      <c r="BI33" s="160"/>
      <c r="BJ33" s="161"/>
      <c r="BK33" s="133"/>
    </row>
    <row r="34" spans="1:63" ht="15" customHeight="1" x14ac:dyDescent="0.25">
      <c r="A34" s="132"/>
      <c r="B34" s="114"/>
      <c r="C34" s="115"/>
      <c r="D34" s="115"/>
      <c r="E34" s="115"/>
      <c r="F34" s="115"/>
      <c r="G34" s="116"/>
      <c r="H34" s="114"/>
      <c r="I34" s="115"/>
      <c r="J34" s="115"/>
      <c r="K34" s="115"/>
      <c r="L34" s="115"/>
      <c r="M34" s="115"/>
      <c r="N34" s="116"/>
      <c r="O34" s="114"/>
      <c r="P34" s="115"/>
      <c r="Q34" s="115"/>
      <c r="R34" s="115"/>
      <c r="S34" s="163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5"/>
      <c r="AX34" s="166"/>
      <c r="AY34" s="166"/>
      <c r="AZ34" s="166"/>
      <c r="BA34" s="166"/>
      <c r="BB34" s="166"/>
      <c r="BC34" s="167"/>
      <c r="BD34" s="168"/>
      <c r="BE34" s="166"/>
      <c r="BF34" s="166"/>
      <c r="BG34" s="166"/>
      <c r="BH34" s="166"/>
      <c r="BI34" s="166"/>
      <c r="BJ34" s="167"/>
      <c r="BK34" s="133"/>
    </row>
    <row r="35" spans="1:63" ht="15" customHeight="1" x14ac:dyDescent="0.25">
      <c r="A35" s="132"/>
      <c r="B35" s="104"/>
      <c r="C35" s="102"/>
      <c r="D35" s="102"/>
      <c r="E35" s="102"/>
      <c r="F35" s="102"/>
      <c r="G35" s="103"/>
      <c r="H35" s="104"/>
      <c r="I35" s="102"/>
      <c r="J35" s="102"/>
      <c r="K35" s="102"/>
      <c r="L35" s="102"/>
      <c r="M35" s="102"/>
      <c r="N35" s="103"/>
      <c r="O35" s="104"/>
      <c r="P35" s="102"/>
      <c r="Q35" s="102"/>
      <c r="R35" s="102"/>
      <c r="S35" s="157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M35" s="158"/>
      <c r="AN35" s="158"/>
      <c r="AO35" s="158"/>
      <c r="AP35" s="158"/>
      <c r="AQ35" s="158"/>
      <c r="AR35" s="158"/>
      <c r="AS35" s="158"/>
      <c r="AT35" s="158"/>
      <c r="AU35" s="158"/>
      <c r="AV35" s="158"/>
      <c r="AW35" s="159"/>
      <c r="AX35" s="160"/>
      <c r="AY35" s="160"/>
      <c r="AZ35" s="160"/>
      <c r="BA35" s="160"/>
      <c r="BB35" s="160"/>
      <c r="BC35" s="161"/>
      <c r="BD35" s="162"/>
      <c r="BE35" s="160"/>
      <c r="BF35" s="160"/>
      <c r="BG35" s="160"/>
      <c r="BH35" s="160"/>
      <c r="BI35" s="160"/>
      <c r="BJ35" s="161"/>
      <c r="BK35" s="133"/>
    </row>
    <row r="36" spans="1:63" ht="15" customHeight="1" x14ac:dyDescent="0.25">
      <c r="A36" s="132"/>
      <c r="B36" s="114"/>
      <c r="C36" s="115"/>
      <c r="D36" s="115"/>
      <c r="E36" s="115"/>
      <c r="F36" s="115"/>
      <c r="G36" s="116"/>
      <c r="H36" s="114"/>
      <c r="I36" s="115"/>
      <c r="J36" s="115"/>
      <c r="K36" s="115"/>
      <c r="L36" s="115"/>
      <c r="M36" s="115"/>
      <c r="N36" s="116"/>
      <c r="O36" s="114"/>
      <c r="P36" s="115"/>
      <c r="Q36" s="115"/>
      <c r="R36" s="115"/>
      <c r="S36" s="163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  <c r="AG36" s="164"/>
      <c r="AH36" s="164"/>
      <c r="AI36" s="164"/>
      <c r="AJ36" s="164"/>
      <c r="AK36" s="164"/>
      <c r="AL36" s="164"/>
      <c r="AM36" s="164"/>
      <c r="AN36" s="164"/>
      <c r="AO36" s="164"/>
      <c r="AP36" s="164"/>
      <c r="AQ36" s="164"/>
      <c r="AR36" s="164"/>
      <c r="AS36" s="164"/>
      <c r="AT36" s="164"/>
      <c r="AU36" s="164"/>
      <c r="AV36" s="164"/>
      <c r="AW36" s="165"/>
      <c r="AX36" s="166"/>
      <c r="AY36" s="166"/>
      <c r="AZ36" s="166"/>
      <c r="BA36" s="166"/>
      <c r="BB36" s="166"/>
      <c r="BC36" s="167"/>
      <c r="BD36" s="168"/>
      <c r="BE36" s="166"/>
      <c r="BF36" s="166"/>
      <c r="BG36" s="166"/>
      <c r="BH36" s="166"/>
      <c r="BI36" s="166"/>
      <c r="BJ36" s="167"/>
      <c r="BK36" s="133"/>
    </row>
    <row r="37" spans="1:63" ht="15" customHeight="1" x14ac:dyDescent="0.25">
      <c r="A37" s="132"/>
      <c r="B37" s="104"/>
      <c r="C37" s="102"/>
      <c r="D37" s="102"/>
      <c r="E37" s="102"/>
      <c r="F37" s="102"/>
      <c r="G37" s="103"/>
      <c r="H37" s="104"/>
      <c r="I37" s="102"/>
      <c r="J37" s="102"/>
      <c r="K37" s="102"/>
      <c r="L37" s="102"/>
      <c r="M37" s="102"/>
      <c r="N37" s="103"/>
      <c r="O37" s="104"/>
      <c r="P37" s="102"/>
      <c r="Q37" s="102"/>
      <c r="R37" s="102"/>
      <c r="S37" s="157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  <c r="AN37" s="158"/>
      <c r="AO37" s="158"/>
      <c r="AP37" s="158"/>
      <c r="AQ37" s="158"/>
      <c r="AR37" s="158"/>
      <c r="AS37" s="158"/>
      <c r="AT37" s="158"/>
      <c r="AU37" s="158"/>
      <c r="AV37" s="158"/>
      <c r="AW37" s="159"/>
      <c r="AX37" s="160"/>
      <c r="AY37" s="160"/>
      <c r="AZ37" s="160"/>
      <c r="BA37" s="160"/>
      <c r="BB37" s="160"/>
      <c r="BC37" s="161"/>
      <c r="BD37" s="162"/>
      <c r="BE37" s="160"/>
      <c r="BF37" s="160"/>
      <c r="BG37" s="160"/>
      <c r="BH37" s="160"/>
      <c r="BI37" s="160"/>
      <c r="BJ37" s="161"/>
      <c r="BK37" s="133"/>
    </row>
    <row r="38" spans="1:63" ht="15" customHeight="1" x14ac:dyDescent="0.25">
      <c r="A38" s="132"/>
      <c r="B38" s="114"/>
      <c r="C38" s="115"/>
      <c r="D38" s="115"/>
      <c r="E38" s="115"/>
      <c r="F38" s="115"/>
      <c r="G38" s="116"/>
      <c r="H38" s="114"/>
      <c r="I38" s="115"/>
      <c r="J38" s="115"/>
      <c r="K38" s="115"/>
      <c r="L38" s="115"/>
      <c r="M38" s="115"/>
      <c r="N38" s="116"/>
      <c r="O38" s="114"/>
      <c r="P38" s="115"/>
      <c r="Q38" s="115"/>
      <c r="R38" s="115"/>
      <c r="S38" s="163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64"/>
      <c r="AL38" s="164"/>
      <c r="AM38" s="164"/>
      <c r="AN38" s="164"/>
      <c r="AO38" s="164"/>
      <c r="AP38" s="164"/>
      <c r="AQ38" s="164"/>
      <c r="AR38" s="164"/>
      <c r="AS38" s="164"/>
      <c r="AT38" s="164"/>
      <c r="AU38" s="164"/>
      <c r="AV38" s="164"/>
      <c r="AW38" s="165"/>
      <c r="AX38" s="166"/>
      <c r="AY38" s="166"/>
      <c r="AZ38" s="166"/>
      <c r="BA38" s="166"/>
      <c r="BB38" s="166"/>
      <c r="BC38" s="167"/>
      <c r="BD38" s="168"/>
      <c r="BE38" s="166"/>
      <c r="BF38" s="166"/>
      <c r="BG38" s="166"/>
      <c r="BH38" s="166"/>
      <c r="BI38" s="166"/>
      <c r="BJ38" s="167"/>
      <c r="BK38" s="133"/>
    </row>
    <row r="39" spans="1:63" ht="15" customHeight="1" x14ac:dyDescent="0.25">
      <c r="A39" s="132"/>
      <c r="B39" s="104"/>
      <c r="C39" s="102"/>
      <c r="D39" s="102"/>
      <c r="E39" s="102"/>
      <c r="F39" s="102"/>
      <c r="G39" s="103"/>
      <c r="H39" s="104"/>
      <c r="I39" s="102"/>
      <c r="J39" s="102"/>
      <c r="K39" s="102"/>
      <c r="L39" s="102"/>
      <c r="M39" s="102"/>
      <c r="N39" s="103"/>
      <c r="O39" s="104"/>
      <c r="P39" s="102"/>
      <c r="Q39" s="102"/>
      <c r="R39" s="102"/>
      <c r="S39" s="157"/>
      <c r="T39" s="158"/>
      <c r="U39" s="158"/>
      <c r="V39" s="158"/>
      <c r="W39" s="158"/>
      <c r="X39" s="158"/>
      <c r="Y39" s="158"/>
      <c r="Z39" s="158"/>
      <c r="AA39" s="158"/>
      <c r="AB39" s="158"/>
      <c r="AC39" s="158"/>
      <c r="AD39" s="158"/>
      <c r="AE39" s="158"/>
      <c r="AF39" s="158"/>
      <c r="AG39" s="158"/>
      <c r="AH39" s="158"/>
      <c r="AI39" s="158"/>
      <c r="AJ39" s="158"/>
      <c r="AK39" s="158"/>
      <c r="AL39" s="158"/>
      <c r="AM39" s="158"/>
      <c r="AN39" s="158"/>
      <c r="AO39" s="158"/>
      <c r="AP39" s="158"/>
      <c r="AQ39" s="158"/>
      <c r="AR39" s="158"/>
      <c r="AS39" s="158"/>
      <c r="AT39" s="158"/>
      <c r="AU39" s="158"/>
      <c r="AV39" s="158"/>
      <c r="AW39" s="159"/>
      <c r="AX39" s="160"/>
      <c r="AY39" s="160"/>
      <c r="AZ39" s="160"/>
      <c r="BA39" s="160"/>
      <c r="BB39" s="160"/>
      <c r="BC39" s="161"/>
      <c r="BD39" s="162"/>
      <c r="BE39" s="160"/>
      <c r="BF39" s="160"/>
      <c r="BG39" s="160"/>
      <c r="BH39" s="160"/>
      <c r="BI39" s="160"/>
      <c r="BJ39" s="161"/>
      <c r="BK39" s="133"/>
    </row>
    <row r="40" spans="1:63" ht="15" customHeight="1" x14ac:dyDescent="0.25">
      <c r="A40" s="132"/>
      <c r="B40" s="114"/>
      <c r="C40" s="115"/>
      <c r="D40" s="115"/>
      <c r="E40" s="115"/>
      <c r="F40" s="115"/>
      <c r="G40" s="116"/>
      <c r="H40" s="114"/>
      <c r="I40" s="115"/>
      <c r="J40" s="115"/>
      <c r="K40" s="115"/>
      <c r="L40" s="115"/>
      <c r="M40" s="115"/>
      <c r="N40" s="116"/>
      <c r="O40" s="114"/>
      <c r="P40" s="115"/>
      <c r="Q40" s="115"/>
      <c r="R40" s="115"/>
      <c r="S40" s="163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4"/>
      <c r="AG40" s="164"/>
      <c r="AH40" s="164"/>
      <c r="AI40" s="164"/>
      <c r="AJ40" s="164"/>
      <c r="AK40" s="164"/>
      <c r="AL40" s="164"/>
      <c r="AM40" s="164"/>
      <c r="AN40" s="164"/>
      <c r="AO40" s="164"/>
      <c r="AP40" s="164"/>
      <c r="AQ40" s="164"/>
      <c r="AR40" s="164"/>
      <c r="AS40" s="164"/>
      <c r="AT40" s="164"/>
      <c r="AU40" s="164"/>
      <c r="AV40" s="164"/>
      <c r="AW40" s="165"/>
      <c r="AX40" s="166"/>
      <c r="AY40" s="166"/>
      <c r="AZ40" s="166"/>
      <c r="BA40" s="166"/>
      <c r="BB40" s="166"/>
      <c r="BC40" s="167"/>
      <c r="BD40" s="168"/>
      <c r="BE40" s="166"/>
      <c r="BF40" s="166"/>
      <c r="BG40" s="166"/>
      <c r="BH40" s="166"/>
      <c r="BI40" s="166"/>
      <c r="BJ40" s="167"/>
      <c r="BK40" s="133"/>
    </row>
    <row r="41" spans="1:63" ht="15" customHeight="1" x14ac:dyDescent="0.25">
      <c r="A41" s="132"/>
      <c r="B41" s="104"/>
      <c r="C41" s="102"/>
      <c r="D41" s="102"/>
      <c r="E41" s="102"/>
      <c r="F41" s="102"/>
      <c r="G41" s="103"/>
      <c r="H41" s="104"/>
      <c r="I41" s="102"/>
      <c r="J41" s="102"/>
      <c r="K41" s="102"/>
      <c r="L41" s="102"/>
      <c r="M41" s="102"/>
      <c r="N41" s="103"/>
      <c r="O41" s="104"/>
      <c r="P41" s="102"/>
      <c r="Q41" s="102"/>
      <c r="R41" s="102"/>
      <c r="S41" s="157"/>
      <c r="T41" s="158"/>
      <c r="U41" s="158"/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158"/>
      <c r="AG41" s="158"/>
      <c r="AH41" s="158"/>
      <c r="AI41" s="158"/>
      <c r="AJ41" s="158"/>
      <c r="AK41" s="158"/>
      <c r="AL41" s="158"/>
      <c r="AM41" s="158"/>
      <c r="AN41" s="158"/>
      <c r="AO41" s="158"/>
      <c r="AP41" s="158"/>
      <c r="AQ41" s="158"/>
      <c r="AR41" s="158"/>
      <c r="AS41" s="158"/>
      <c r="AT41" s="158"/>
      <c r="AU41" s="158"/>
      <c r="AV41" s="158"/>
      <c r="AW41" s="159"/>
      <c r="AX41" s="160"/>
      <c r="AY41" s="160"/>
      <c r="AZ41" s="160"/>
      <c r="BA41" s="160"/>
      <c r="BB41" s="160"/>
      <c r="BC41" s="161"/>
      <c r="BD41" s="162"/>
      <c r="BE41" s="160"/>
      <c r="BF41" s="160"/>
      <c r="BG41" s="160"/>
      <c r="BH41" s="160"/>
      <c r="BI41" s="160"/>
      <c r="BJ41" s="161"/>
      <c r="BK41" s="133"/>
    </row>
    <row r="42" spans="1:63" ht="15" customHeight="1" x14ac:dyDescent="0.25">
      <c r="A42" s="132"/>
      <c r="B42" s="114"/>
      <c r="C42" s="115"/>
      <c r="D42" s="115"/>
      <c r="E42" s="115"/>
      <c r="F42" s="115"/>
      <c r="G42" s="116"/>
      <c r="H42" s="114"/>
      <c r="I42" s="115"/>
      <c r="J42" s="115"/>
      <c r="K42" s="115"/>
      <c r="L42" s="115"/>
      <c r="M42" s="115"/>
      <c r="N42" s="116"/>
      <c r="O42" s="114"/>
      <c r="P42" s="115"/>
      <c r="Q42" s="115"/>
      <c r="R42" s="115"/>
      <c r="S42" s="163"/>
      <c r="T42" s="164"/>
      <c r="U42" s="164"/>
      <c r="V42" s="164"/>
      <c r="W42" s="164"/>
      <c r="X42" s="164"/>
      <c r="Y42" s="164"/>
      <c r="Z42" s="164"/>
      <c r="AA42" s="164"/>
      <c r="AB42" s="164"/>
      <c r="AC42" s="164"/>
      <c r="AD42" s="164"/>
      <c r="AE42" s="164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64"/>
      <c r="AS42" s="164"/>
      <c r="AT42" s="164"/>
      <c r="AU42" s="164"/>
      <c r="AV42" s="164"/>
      <c r="AW42" s="165"/>
      <c r="AX42" s="166"/>
      <c r="AY42" s="166"/>
      <c r="AZ42" s="166"/>
      <c r="BA42" s="166"/>
      <c r="BB42" s="166"/>
      <c r="BC42" s="167"/>
      <c r="BD42" s="168"/>
      <c r="BE42" s="166"/>
      <c r="BF42" s="166"/>
      <c r="BG42" s="166"/>
      <c r="BH42" s="166"/>
      <c r="BI42" s="166"/>
      <c r="BJ42" s="167"/>
      <c r="BK42" s="133"/>
    </row>
    <row r="43" spans="1:63" ht="15" customHeight="1" x14ac:dyDescent="0.25">
      <c r="A43" s="132"/>
      <c r="B43" s="104"/>
      <c r="C43" s="102"/>
      <c r="D43" s="102"/>
      <c r="E43" s="102"/>
      <c r="F43" s="102"/>
      <c r="G43" s="103"/>
      <c r="H43" s="104"/>
      <c r="I43" s="102"/>
      <c r="J43" s="102"/>
      <c r="K43" s="102"/>
      <c r="L43" s="102"/>
      <c r="M43" s="102"/>
      <c r="N43" s="103"/>
      <c r="O43" s="104"/>
      <c r="P43" s="102"/>
      <c r="Q43" s="102"/>
      <c r="R43" s="102"/>
      <c r="S43" s="157"/>
      <c r="T43" s="158"/>
      <c r="U43" s="158"/>
      <c r="V43" s="158"/>
      <c r="W43" s="158"/>
      <c r="X43" s="158"/>
      <c r="Y43" s="158"/>
      <c r="Z43" s="158"/>
      <c r="AA43" s="158"/>
      <c r="AB43" s="158"/>
      <c r="AC43" s="158"/>
      <c r="AD43" s="158"/>
      <c r="AE43" s="158"/>
      <c r="AF43" s="158"/>
      <c r="AG43" s="158"/>
      <c r="AH43" s="158"/>
      <c r="AI43" s="158"/>
      <c r="AJ43" s="158"/>
      <c r="AK43" s="158"/>
      <c r="AL43" s="158"/>
      <c r="AM43" s="158"/>
      <c r="AN43" s="158"/>
      <c r="AO43" s="158"/>
      <c r="AP43" s="158"/>
      <c r="AQ43" s="158"/>
      <c r="AR43" s="158"/>
      <c r="AS43" s="158"/>
      <c r="AT43" s="158"/>
      <c r="AU43" s="158"/>
      <c r="AV43" s="158"/>
      <c r="AW43" s="159"/>
      <c r="AX43" s="160"/>
      <c r="AY43" s="160"/>
      <c r="AZ43" s="160"/>
      <c r="BA43" s="160"/>
      <c r="BB43" s="160"/>
      <c r="BC43" s="161"/>
      <c r="BD43" s="162"/>
      <c r="BE43" s="160"/>
      <c r="BF43" s="160"/>
      <c r="BG43" s="160"/>
      <c r="BH43" s="160"/>
      <c r="BI43" s="160"/>
      <c r="BJ43" s="161"/>
      <c r="BK43" s="133"/>
    </row>
    <row r="44" spans="1:63" ht="15" customHeight="1" x14ac:dyDescent="0.25">
      <c r="A44" s="132"/>
      <c r="B44" s="114"/>
      <c r="C44" s="115"/>
      <c r="D44" s="115"/>
      <c r="E44" s="115"/>
      <c r="F44" s="115"/>
      <c r="G44" s="116"/>
      <c r="H44" s="114"/>
      <c r="I44" s="115"/>
      <c r="J44" s="115"/>
      <c r="K44" s="115"/>
      <c r="L44" s="115"/>
      <c r="M44" s="115"/>
      <c r="N44" s="116"/>
      <c r="O44" s="114"/>
      <c r="P44" s="115"/>
      <c r="Q44" s="115"/>
      <c r="R44" s="115"/>
      <c r="S44" s="163"/>
      <c r="T44" s="164"/>
      <c r="U44" s="164"/>
      <c r="V44" s="164"/>
      <c r="W44" s="164"/>
      <c r="X44" s="164"/>
      <c r="Y44" s="164"/>
      <c r="Z44" s="164"/>
      <c r="AA44" s="164"/>
      <c r="AB44" s="164"/>
      <c r="AC44" s="164"/>
      <c r="AD44" s="164"/>
      <c r="AE44" s="164"/>
      <c r="AF44" s="164"/>
      <c r="AG44" s="164"/>
      <c r="AH44" s="164"/>
      <c r="AI44" s="164"/>
      <c r="AJ44" s="164"/>
      <c r="AK44" s="164"/>
      <c r="AL44" s="164"/>
      <c r="AM44" s="164"/>
      <c r="AN44" s="164"/>
      <c r="AO44" s="164"/>
      <c r="AP44" s="164"/>
      <c r="AQ44" s="164"/>
      <c r="AR44" s="164"/>
      <c r="AS44" s="164"/>
      <c r="AT44" s="164"/>
      <c r="AU44" s="164"/>
      <c r="AV44" s="164"/>
      <c r="AW44" s="165"/>
      <c r="AX44" s="166"/>
      <c r="AY44" s="166"/>
      <c r="AZ44" s="166"/>
      <c r="BA44" s="166"/>
      <c r="BB44" s="166"/>
      <c r="BC44" s="167"/>
      <c r="BD44" s="168"/>
      <c r="BE44" s="166"/>
      <c r="BF44" s="166"/>
      <c r="BG44" s="166"/>
      <c r="BH44" s="166"/>
      <c r="BI44" s="166"/>
      <c r="BJ44" s="167"/>
      <c r="BK44" s="133"/>
    </row>
    <row r="45" spans="1:63" ht="15" customHeight="1" x14ac:dyDescent="0.25">
      <c r="A45" s="132"/>
      <c r="B45" s="104"/>
      <c r="C45" s="102"/>
      <c r="D45" s="102"/>
      <c r="E45" s="102"/>
      <c r="F45" s="102"/>
      <c r="G45" s="103"/>
      <c r="H45" s="104"/>
      <c r="I45" s="102"/>
      <c r="J45" s="102"/>
      <c r="K45" s="102"/>
      <c r="L45" s="102"/>
      <c r="M45" s="102"/>
      <c r="N45" s="103"/>
      <c r="O45" s="104"/>
      <c r="P45" s="102"/>
      <c r="Q45" s="102"/>
      <c r="R45" s="102"/>
      <c r="S45" s="157"/>
      <c r="T45" s="158"/>
      <c r="U45" s="158"/>
      <c r="V45" s="158"/>
      <c r="W45" s="158"/>
      <c r="X45" s="158"/>
      <c r="Y45" s="158"/>
      <c r="Z45" s="158"/>
      <c r="AA45" s="158"/>
      <c r="AB45" s="158"/>
      <c r="AC45" s="158"/>
      <c r="AD45" s="158"/>
      <c r="AE45" s="158"/>
      <c r="AF45" s="158"/>
      <c r="AG45" s="158"/>
      <c r="AH45" s="158"/>
      <c r="AI45" s="158"/>
      <c r="AJ45" s="158"/>
      <c r="AK45" s="158"/>
      <c r="AL45" s="158"/>
      <c r="AM45" s="158"/>
      <c r="AN45" s="158"/>
      <c r="AO45" s="158"/>
      <c r="AP45" s="158"/>
      <c r="AQ45" s="158"/>
      <c r="AR45" s="158"/>
      <c r="AS45" s="158"/>
      <c r="AT45" s="158"/>
      <c r="AU45" s="158"/>
      <c r="AV45" s="158"/>
      <c r="AW45" s="159"/>
      <c r="AX45" s="160"/>
      <c r="AY45" s="160"/>
      <c r="AZ45" s="160"/>
      <c r="BA45" s="160"/>
      <c r="BB45" s="160"/>
      <c r="BC45" s="161"/>
      <c r="BD45" s="162"/>
      <c r="BE45" s="160"/>
      <c r="BF45" s="160"/>
      <c r="BG45" s="160"/>
      <c r="BH45" s="160"/>
      <c r="BI45" s="160"/>
      <c r="BJ45" s="161"/>
      <c r="BK45" s="133"/>
    </row>
    <row r="46" spans="1:63" ht="15" customHeight="1" x14ac:dyDescent="0.25">
      <c r="A46" s="132"/>
      <c r="B46" s="114"/>
      <c r="C46" s="115"/>
      <c r="D46" s="115"/>
      <c r="E46" s="115"/>
      <c r="F46" s="115"/>
      <c r="G46" s="116"/>
      <c r="H46" s="114"/>
      <c r="I46" s="115"/>
      <c r="J46" s="115"/>
      <c r="K46" s="115"/>
      <c r="L46" s="115"/>
      <c r="M46" s="115"/>
      <c r="N46" s="116"/>
      <c r="O46" s="114"/>
      <c r="P46" s="115"/>
      <c r="Q46" s="115"/>
      <c r="R46" s="115"/>
      <c r="S46" s="163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  <c r="AD46" s="164"/>
      <c r="AE46" s="164"/>
      <c r="AF46" s="164"/>
      <c r="AG46" s="164"/>
      <c r="AH46" s="164"/>
      <c r="AI46" s="164"/>
      <c r="AJ46" s="164"/>
      <c r="AK46" s="164"/>
      <c r="AL46" s="164"/>
      <c r="AM46" s="164"/>
      <c r="AN46" s="164"/>
      <c r="AO46" s="164"/>
      <c r="AP46" s="164"/>
      <c r="AQ46" s="164"/>
      <c r="AR46" s="164"/>
      <c r="AS46" s="164"/>
      <c r="AT46" s="164"/>
      <c r="AU46" s="164"/>
      <c r="AV46" s="164"/>
      <c r="AW46" s="165"/>
      <c r="AX46" s="166"/>
      <c r="AY46" s="166"/>
      <c r="AZ46" s="166"/>
      <c r="BA46" s="166"/>
      <c r="BB46" s="166"/>
      <c r="BC46" s="167"/>
      <c r="BD46" s="168"/>
      <c r="BE46" s="166"/>
      <c r="BF46" s="166"/>
      <c r="BG46" s="166"/>
      <c r="BH46" s="166"/>
      <c r="BI46" s="166"/>
      <c r="BJ46" s="167"/>
      <c r="BK46" s="133"/>
    </row>
    <row r="47" spans="1:63" ht="15" customHeight="1" x14ac:dyDescent="0.25">
      <c r="A47" s="132"/>
      <c r="B47" s="104"/>
      <c r="C47" s="102"/>
      <c r="D47" s="102"/>
      <c r="E47" s="102"/>
      <c r="F47" s="102"/>
      <c r="G47" s="103"/>
      <c r="H47" s="104"/>
      <c r="I47" s="102"/>
      <c r="J47" s="102"/>
      <c r="K47" s="102"/>
      <c r="L47" s="102"/>
      <c r="M47" s="102"/>
      <c r="N47" s="103"/>
      <c r="O47" s="104"/>
      <c r="P47" s="102"/>
      <c r="Q47" s="102"/>
      <c r="R47" s="102"/>
      <c r="S47" s="157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  <c r="AG47" s="158"/>
      <c r="AH47" s="158"/>
      <c r="AI47" s="158"/>
      <c r="AJ47" s="158"/>
      <c r="AK47" s="158"/>
      <c r="AL47" s="158"/>
      <c r="AM47" s="158"/>
      <c r="AN47" s="158"/>
      <c r="AO47" s="158"/>
      <c r="AP47" s="158"/>
      <c r="AQ47" s="158"/>
      <c r="AR47" s="158"/>
      <c r="AS47" s="158"/>
      <c r="AT47" s="158"/>
      <c r="AU47" s="158"/>
      <c r="AV47" s="158"/>
      <c r="AW47" s="159"/>
      <c r="AX47" s="160"/>
      <c r="AY47" s="160"/>
      <c r="AZ47" s="160"/>
      <c r="BA47" s="160"/>
      <c r="BB47" s="160"/>
      <c r="BC47" s="161"/>
      <c r="BD47" s="162"/>
      <c r="BE47" s="160"/>
      <c r="BF47" s="160"/>
      <c r="BG47" s="160"/>
      <c r="BH47" s="160"/>
      <c r="BI47" s="160"/>
      <c r="BJ47" s="161"/>
      <c r="BK47" s="133"/>
    </row>
    <row r="48" spans="1:63" ht="15" customHeight="1" x14ac:dyDescent="0.25">
      <c r="A48" s="132"/>
      <c r="B48" s="114"/>
      <c r="C48" s="115"/>
      <c r="D48" s="115"/>
      <c r="E48" s="115"/>
      <c r="F48" s="115"/>
      <c r="G48" s="116"/>
      <c r="H48" s="114"/>
      <c r="I48" s="115"/>
      <c r="J48" s="115"/>
      <c r="K48" s="115"/>
      <c r="L48" s="115"/>
      <c r="M48" s="115"/>
      <c r="N48" s="116"/>
      <c r="O48" s="114"/>
      <c r="P48" s="115"/>
      <c r="Q48" s="115"/>
      <c r="R48" s="115"/>
      <c r="S48" s="163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  <c r="AG48" s="164"/>
      <c r="AH48" s="164"/>
      <c r="AI48" s="164"/>
      <c r="AJ48" s="164"/>
      <c r="AK48" s="164"/>
      <c r="AL48" s="164"/>
      <c r="AM48" s="164"/>
      <c r="AN48" s="164"/>
      <c r="AO48" s="164"/>
      <c r="AP48" s="164"/>
      <c r="AQ48" s="164"/>
      <c r="AR48" s="164"/>
      <c r="AS48" s="164"/>
      <c r="AT48" s="164"/>
      <c r="AU48" s="164"/>
      <c r="AV48" s="164"/>
      <c r="AW48" s="165"/>
      <c r="AX48" s="166"/>
      <c r="AY48" s="166"/>
      <c r="AZ48" s="166"/>
      <c r="BA48" s="166"/>
      <c r="BB48" s="166"/>
      <c r="BC48" s="167"/>
      <c r="BD48" s="168"/>
      <c r="BE48" s="166"/>
      <c r="BF48" s="166"/>
      <c r="BG48" s="166"/>
      <c r="BH48" s="166"/>
      <c r="BI48" s="166"/>
      <c r="BJ48" s="167"/>
      <c r="BK48" s="133"/>
    </row>
    <row r="49" spans="1:63" ht="15" customHeight="1" x14ac:dyDescent="0.25">
      <c r="A49" s="132"/>
      <c r="B49" s="104"/>
      <c r="C49" s="102"/>
      <c r="D49" s="102"/>
      <c r="E49" s="102"/>
      <c r="F49" s="102"/>
      <c r="G49" s="103"/>
      <c r="H49" s="104"/>
      <c r="I49" s="102"/>
      <c r="J49" s="102"/>
      <c r="K49" s="102"/>
      <c r="L49" s="102"/>
      <c r="M49" s="102"/>
      <c r="N49" s="103"/>
      <c r="O49" s="104"/>
      <c r="P49" s="102"/>
      <c r="Q49" s="102"/>
      <c r="R49" s="102"/>
      <c r="S49" s="157"/>
      <c r="T49" s="158"/>
      <c r="U49" s="158"/>
      <c r="V49" s="158"/>
      <c r="W49" s="158"/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  <c r="AO49" s="158"/>
      <c r="AP49" s="158"/>
      <c r="AQ49" s="158"/>
      <c r="AR49" s="158"/>
      <c r="AS49" s="158"/>
      <c r="AT49" s="158"/>
      <c r="AU49" s="158"/>
      <c r="AV49" s="158"/>
      <c r="AW49" s="159"/>
      <c r="AX49" s="160"/>
      <c r="AY49" s="160"/>
      <c r="AZ49" s="160"/>
      <c r="BA49" s="160"/>
      <c r="BB49" s="160"/>
      <c r="BC49" s="161"/>
      <c r="BD49" s="162"/>
      <c r="BE49" s="160"/>
      <c r="BF49" s="160"/>
      <c r="BG49" s="160"/>
      <c r="BH49" s="160"/>
      <c r="BI49" s="160"/>
      <c r="BJ49" s="161"/>
      <c r="BK49" s="133"/>
    </row>
    <row r="50" spans="1:63" ht="15" customHeight="1" x14ac:dyDescent="0.25">
      <c r="A50" s="132"/>
      <c r="B50" s="114"/>
      <c r="C50" s="115"/>
      <c r="D50" s="115"/>
      <c r="E50" s="115"/>
      <c r="F50" s="115"/>
      <c r="G50" s="116"/>
      <c r="H50" s="114"/>
      <c r="I50" s="115"/>
      <c r="J50" s="115"/>
      <c r="K50" s="115"/>
      <c r="L50" s="115"/>
      <c r="M50" s="115"/>
      <c r="N50" s="116"/>
      <c r="O50" s="114"/>
      <c r="P50" s="115"/>
      <c r="Q50" s="115"/>
      <c r="R50" s="115"/>
      <c r="S50" s="163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164"/>
      <c r="AQ50" s="164"/>
      <c r="AR50" s="164"/>
      <c r="AS50" s="164"/>
      <c r="AT50" s="164"/>
      <c r="AU50" s="164"/>
      <c r="AV50" s="164"/>
      <c r="AW50" s="165"/>
      <c r="AX50" s="166"/>
      <c r="AY50" s="166"/>
      <c r="AZ50" s="166"/>
      <c r="BA50" s="166"/>
      <c r="BB50" s="166"/>
      <c r="BC50" s="167"/>
      <c r="BD50" s="168"/>
      <c r="BE50" s="166"/>
      <c r="BF50" s="166"/>
      <c r="BG50" s="166"/>
      <c r="BH50" s="166"/>
      <c r="BI50" s="166"/>
      <c r="BJ50" s="167"/>
      <c r="BK50" s="133"/>
    </row>
    <row r="51" spans="1:63" ht="15" customHeight="1" x14ac:dyDescent="0.25">
      <c r="A51" s="132"/>
      <c r="B51" s="104"/>
      <c r="C51" s="102"/>
      <c r="D51" s="102"/>
      <c r="E51" s="102"/>
      <c r="F51" s="102"/>
      <c r="G51" s="103"/>
      <c r="H51" s="104"/>
      <c r="I51" s="102"/>
      <c r="J51" s="102"/>
      <c r="K51" s="102"/>
      <c r="L51" s="102"/>
      <c r="M51" s="102"/>
      <c r="N51" s="103"/>
      <c r="O51" s="104"/>
      <c r="P51" s="102"/>
      <c r="Q51" s="102"/>
      <c r="R51" s="102"/>
      <c r="S51" s="157"/>
      <c r="T51" s="158"/>
      <c r="U51" s="158"/>
      <c r="V51" s="158"/>
      <c r="W51" s="158"/>
      <c r="X51" s="158"/>
      <c r="Y51" s="158"/>
      <c r="Z51" s="158"/>
      <c r="AA51" s="158"/>
      <c r="AB51" s="158"/>
      <c r="AC51" s="158"/>
      <c r="AD51" s="158"/>
      <c r="AE51" s="158"/>
      <c r="AF51" s="158"/>
      <c r="AG51" s="158"/>
      <c r="AH51" s="158"/>
      <c r="AI51" s="158"/>
      <c r="AJ51" s="158"/>
      <c r="AK51" s="158"/>
      <c r="AL51" s="158"/>
      <c r="AM51" s="158"/>
      <c r="AN51" s="158"/>
      <c r="AO51" s="158"/>
      <c r="AP51" s="158"/>
      <c r="AQ51" s="158"/>
      <c r="AR51" s="158"/>
      <c r="AS51" s="158"/>
      <c r="AT51" s="158"/>
      <c r="AU51" s="158"/>
      <c r="AV51" s="158"/>
      <c r="AW51" s="159"/>
      <c r="AX51" s="160"/>
      <c r="AY51" s="160"/>
      <c r="AZ51" s="160"/>
      <c r="BA51" s="160"/>
      <c r="BB51" s="160"/>
      <c r="BC51" s="161"/>
      <c r="BD51" s="162"/>
      <c r="BE51" s="160"/>
      <c r="BF51" s="160"/>
      <c r="BG51" s="160"/>
      <c r="BH51" s="160"/>
      <c r="BI51" s="160"/>
      <c r="BJ51" s="161"/>
      <c r="BK51" s="133"/>
    </row>
    <row r="52" spans="1:63" ht="15" customHeight="1" x14ac:dyDescent="0.25">
      <c r="A52" s="132"/>
      <c r="B52" s="114"/>
      <c r="C52" s="115"/>
      <c r="D52" s="115"/>
      <c r="E52" s="115"/>
      <c r="F52" s="115"/>
      <c r="G52" s="116"/>
      <c r="H52" s="114"/>
      <c r="I52" s="115"/>
      <c r="J52" s="115"/>
      <c r="K52" s="115"/>
      <c r="L52" s="115"/>
      <c r="M52" s="115"/>
      <c r="N52" s="116"/>
      <c r="O52" s="114"/>
      <c r="P52" s="115"/>
      <c r="Q52" s="115"/>
      <c r="R52" s="115"/>
      <c r="S52" s="163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  <c r="AD52" s="164"/>
      <c r="AE52" s="164"/>
      <c r="AF52" s="164"/>
      <c r="AG52" s="164"/>
      <c r="AH52" s="164"/>
      <c r="AI52" s="164"/>
      <c r="AJ52" s="164"/>
      <c r="AK52" s="164"/>
      <c r="AL52" s="164"/>
      <c r="AM52" s="164"/>
      <c r="AN52" s="164"/>
      <c r="AO52" s="164"/>
      <c r="AP52" s="164"/>
      <c r="AQ52" s="164"/>
      <c r="AR52" s="164"/>
      <c r="AS52" s="164"/>
      <c r="AT52" s="164"/>
      <c r="AU52" s="164"/>
      <c r="AV52" s="164"/>
      <c r="AW52" s="165"/>
      <c r="AX52" s="166"/>
      <c r="AY52" s="166"/>
      <c r="AZ52" s="166"/>
      <c r="BA52" s="166"/>
      <c r="BB52" s="166"/>
      <c r="BC52" s="167"/>
      <c r="BD52" s="168"/>
      <c r="BE52" s="166"/>
      <c r="BF52" s="166"/>
      <c r="BG52" s="166"/>
      <c r="BH52" s="166"/>
      <c r="BI52" s="166"/>
      <c r="BJ52" s="167"/>
      <c r="BK52" s="133"/>
    </row>
    <row r="53" spans="1:63" ht="15" customHeight="1" x14ac:dyDescent="0.25">
      <c r="A53" s="132"/>
      <c r="B53" s="104"/>
      <c r="C53" s="102"/>
      <c r="D53" s="102"/>
      <c r="E53" s="102"/>
      <c r="F53" s="102"/>
      <c r="G53" s="103"/>
      <c r="H53" s="104"/>
      <c r="I53" s="102"/>
      <c r="J53" s="102"/>
      <c r="K53" s="102"/>
      <c r="L53" s="102"/>
      <c r="M53" s="102"/>
      <c r="N53" s="103"/>
      <c r="O53" s="104"/>
      <c r="P53" s="102"/>
      <c r="Q53" s="102"/>
      <c r="R53" s="102"/>
      <c r="S53" s="157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58"/>
      <c r="AP53" s="158"/>
      <c r="AQ53" s="158"/>
      <c r="AR53" s="158"/>
      <c r="AS53" s="158"/>
      <c r="AT53" s="158"/>
      <c r="AU53" s="158"/>
      <c r="AV53" s="158"/>
      <c r="AW53" s="159"/>
      <c r="AX53" s="160"/>
      <c r="AY53" s="160"/>
      <c r="AZ53" s="160"/>
      <c r="BA53" s="160"/>
      <c r="BB53" s="160"/>
      <c r="BC53" s="161"/>
      <c r="BD53" s="162"/>
      <c r="BE53" s="160"/>
      <c r="BF53" s="160"/>
      <c r="BG53" s="160"/>
      <c r="BH53" s="160"/>
      <c r="BI53" s="160"/>
      <c r="BJ53" s="161"/>
      <c r="BK53" s="133"/>
    </row>
    <row r="54" spans="1:63" ht="15" customHeight="1" x14ac:dyDescent="0.25">
      <c r="A54" s="132"/>
      <c r="B54" s="114"/>
      <c r="C54" s="115"/>
      <c r="D54" s="115"/>
      <c r="E54" s="115"/>
      <c r="F54" s="115"/>
      <c r="G54" s="116"/>
      <c r="H54" s="114"/>
      <c r="I54" s="115"/>
      <c r="J54" s="115"/>
      <c r="K54" s="115"/>
      <c r="L54" s="115"/>
      <c r="M54" s="115"/>
      <c r="N54" s="116"/>
      <c r="O54" s="114"/>
      <c r="P54" s="115"/>
      <c r="Q54" s="115"/>
      <c r="R54" s="115"/>
      <c r="S54" s="163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  <c r="AK54" s="164"/>
      <c r="AL54" s="164"/>
      <c r="AM54" s="164"/>
      <c r="AN54" s="164"/>
      <c r="AO54" s="164"/>
      <c r="AP54" s="164"/>
      <c r="AQ54" s="164"/>
      <c r="AR54" s="164"/>
      <c r="AS54" s="164"/>
      <c r="AT54" s="164"/>
      <c r="AU54" s="164"/>
      <c r="AV54" s="164"/>
      <c r="AW54" s="165"/>
      <c r="AX54" s="166"/>
      <c r="AY54" s="166"/>
      <c r="AZ54" s="166"/>
      <c r="BA54" s="166"/>
      <c r="BB54" s="166"/>
      <c r="BC54" s="167"/>
      <c r="BD54" s="168"/>
      <c r="BE54" s="166"/>
      <c r="BF54" s="166"/>
      <c r="BG54" s="166"/>
      <c r="BH54" s="166"/>
      <c r="BI54" s="166"/>
      <c r="BJ54" s="167"/>
      <c r="BK54" s="133"/>
    </row>
    <row r="55" spans="1:63" ht="15" customHeight="1" x14ac:dyDescent="0.25">
      <c r="A55" s="129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  <c r="AQ55" s="130"/>
      <c r="AR55" s="130"/>
      <c r="AS55" s="130"/>
      <c r="AT55" s="130"/>
      <c r="AU55" s="130"/>
      <c r="AV55" s="130"/>
      <c r="AW55" s="130"/>
      <c r="AX55" s="130"/>
      <c r="AY55" s="130"/>
      <c r="AZ55" s="130"/>
      <c r="BA55" s="130"/>
      <c r="BB55" s="130"/>
      <c r="BC55" s="130"/>
      <c r="BD55" s="130"/>
      <c r="BE55" s="130"/>
      <c r="BF55" s="130"/>
      <c r="BG55" s="130"/>
      <c r="BH55" s="130"/>
      <c r="BI55" s="130"/>
      <c r="BJ55" s="130"/>
      <c r="BK55" s="131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426C-A3DA-4904-A878-1BF1483C337F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01" customWidth="1"/>
    <col min="61" max="16384" width="2.77734375" style="101"/>
  </cols>
  <sheetData>
    <row r="1" spans="1:63" ht="24.95" customHeight="1" x14ac:dyDescent="0.25">
      <c r="A1" s="95" t="s">
        <v>57</v>
      </c>
      <c r="B1" s="96"/>
      <c r="C1" s="96"/>
      <c r="D1" s="96"/>
      <c r="E1" s="96"/>
      <c r="F1" s="96"/>
      <c r="G1" s="96"/>
      <c r="H1" s="96"/>
      <c r="I1" s="96"/>
      <c r="J1" s="97"/>
      <c r="K1" s="95" t="s">
        <v>58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7"/>
      <c r="W1" s="155" t="s">
        <v>74</v>
      </c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100"/>
      <c r="AP1" s="95" t="s">
        <v>60</v>
      </c>
      <c r="AQ1" s="96"/>
      <c r="AR1" s="96"/>
      <c r="AS1" s="97"/>
      <c r="AT1" s="95" t="s">
        <v>61</v>
      </c>
      <c r="AU1" s="96"/>
      <c r="AV1" s="96"/>
      <c r="AW1" s="96"/>
      <c r="AX1" s="97"/>
      <c r="AY1" s="95" t="s">
        <v>62</v>
      </c>
      <c r="AZ1" s="96"/>
      <c r="BA1" s="96"/>
      <c r="BB1" s="97"/>
      <c r="BC1" s="95" t="s">
        <v>63</v>
      </c>
      <c r="BD1" s="96"/>
      <c r="BE1" s="96"/>
      <c r="BF1" s="96"/>
      <c r="BG1" s="97"/>
      <c r="BH1" s="95" t="s">
        <v>64</v>
      </c>
      <c r="BI1" s="96"/>
      <c r="BJ1" s="96"/>
      <c r="BK1" s="97"/>
    </row>
    <row r="2" spans="1:63" ht="15" customHeight="1" x14ac:dyDescent="0.25">
      <c r="A2" s="104" t="s">
        <v>3</v>
      </c>
      <c r="B2" s="102"/>
      <c r="C2" s="102"/>
      <c r="D2" s="102"/>
      <c r="E2" s="102"/>
      <c r="F2" s="102"/>
      <c r="G2" s="102"/>
      <c r="H2" s="102"/>
      <c r="I2" s="102"/>
      <c r="J2" s="103"/>
      <c r="K2" s="104" t="s">
        <v>3</v>
      </c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3"/>
      <c r="W2" s="105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7"/>
      <c r="AP2" s="104" t="s">
        <v>42</v>
      </c>
      <c r="AQ2" s="102"/>
      <c r="AR2" s="102"/>
      <c r="AS2" s="103"/>
      <c r="AT2" s="108">
        <v>45495</v>
      </c>
      <c r="AU2" s="109"/>
      <c r="AV2" s="109"/>
      <c r="AW2" s="109"/>
      <c r="AX2" s="110"/>
      <c r="AY2" s="104" t="s">
        <v>41</v>
      </c>
      <c r="AZ2" s="102"/>
      <c r="BA2" s="102"/>
      <c r="BB2" s="103"/>
      <c r="BC2" s="108">
        <v>45495</v>
      </c>
      <c r="BD2" s="109"/>
      <c r="BE2" s="109"/>
      <c r="BF2" s="109"/>
      <c r="BG2" s="110"/>
      <c r="BH2" s="104"/>
      <c r="BI2" s="102"/>
      <c r="BJ2" s="102"/>
      <c r="BK2" s="103"/>
    </row>
    <row r="3" spans="1:63" ht="15" customHeight="1" x14ac:dyDescent="0.25">
      <c r="A3" s="114"/>
      <c r="B3" s="115"/>
      <c r="C3" s="115"/>
      <c r="D3" s="115"/>
      <c r="E3" s="115"/>
      <c r="F3" s="115"/>
      <c r="G3" s="115"/>
      <c r="H3" s="115"/>
      <c r="I3" s="115"/>
      <c r="J3" s="116"/>
      <c r="K3" s="114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6"/>
      <c r="W3" s="117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9"/>
      <c r="AP3" s="114"/>
      <c r="AQ3" s="115"/>
      <c r="AR3" s="115"/>
      <c r="AS3" s="116"/>
      <c r="AT3" s="120"/>
      <c r="AU3" s="121"/>
      <c r="AV3" s="121"/>
      <c r="AW3" s="121"/>
      <c r="AX3" s="122"/>
      <c r="AY3" s="114"/>
      <c r="AZ3" s="115"/>
      <c r="BA3" s="115"/>
      <c r="BB3" s="116"/>
      <c r="BC3" s="120"/>
      <c r="BD3" s="121"/>
      <c r="BE3" s="121"/>
      <c r="BF3" s="121"/>
      <c r="BG3" s="122"/>
      <c r="BH3" s="114"/>
      <c r="BI3" s="115"/>
      <c r="BJ3" s="115"/>
      <c r="BK3" s="116"/>
    </row>
    <row r="4" spans="1:63" ht="24.95" customHeight="1" x14ac:dyDescent="0.25">
      <c r="A4" s="95" t="s">
        <v>75</v>
      </c>
      <c r="B4" s="96"/>
      <c r="C4" s="96"/>
      <c r="D4" s="96"/>
      <c r="E4" s="96"/>
      <c r="F4" s="96"/>
      <c r="G4" s="97"/>
      <c r="H4" s="126" t="s">
        <v>38</v>
      </c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8"/>
      <c r="U4" s="95" t="s">
        <v>67</v>
      </c>
      <c r="V4" s="96"/>
      <c r="W4" s="96"/>
      <c r="X4" s="96"/>
      <c r="Y4" s="97"/>
      <c r="Z4" s="126" t="s">
        <v>4</v>
      </c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8"/>
      <c r="AP4" s="126" t="str">
        <f t="array" aca="1" ref="AP4" ca="1">RIGHT(CELL("filename",$A$1),LEN(CELL("filename",$A$1))-FIND("]",CELL("filename",$A$1)))</f>
        <v>指摘履歴</v>
      </c>
      <c r="AQ4" s="127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7"/>
      <c r="BE4" s="127"/>
      <c r="BF4" s="127"/>
      <c r="BG4" s="127"/>
      <c r="BH4" s="127"/>
      <c r="BI4" s="127"/>
      <c r="BJ4" s="127"/>
      <c r="BK4" s="128"/>
    </row>
    <row r="5" spans="1:63" ht="5.0999999999999996" customHeight="1" x14ac:dyDescent="0.25">
      <c r="A5" s="129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  <c r="AP5" s="130"/>
      <c r="AQ5" s="130"/>
      <c r="AR5" s="130"/>
      <c r="AS5" s="130"/>
      <c r="AT5" s="130"/>
      <c r="AU5" s="130"/>
      <c r="AV5" s="130"/>
      <c r="AW5" s="130"/>
      <c r="AX5" s="130"/>
      <c r="AY5" s="130"/>
      <c r="AZ5" s="130"/>
      <c r="BA5" s="130"/>
      <c r="BB5" s="130"/>
      <c r="BC5" s="130"/>
      <c r="BD5" s="130"/>
      <c r="BE5" s="130"/>
      <c r="BF5" s="130"/>
      <c r="BG5" s="130"/>
      <c r="BH5" s="130"/>
      <c r="BI5" s="130"/>
      <c r="BJ5" s="130"/>
      <c r="BK5" s="131"/>
    </row>
    <row r="6" spans="1:63" ht="15" customHeight="1" x14ac:dyDescent="0.25">
      <c r="A6" s="132"/>
      <c r="BK6" s="133"/>
    </row>
    <row r="7" spans="1:63" ht="15" customHeight="1" x14ac:dyDescent="0.25">
      <c r="A7" s="132"/>
      <c r="BK7" s="133"/>
    </row>
    <row r="8" spans="1:63" ht="15" customHeight="1" x14ac:dyDescent="0.25">
      <c r="A8" s="132"/>
      <c r="B8" s="101" t="s">
        <v>0</v>
      </c>
      <c r="BK8" s="133"/>
    </row>
    <row r="9" spans="1:63" ht="15" customHeight="1" x14ac:dyDescent="0.25">
      <c r="A9" s="132"/>
      <c r="BK9" s="133"/>
    </row>
    <row r="10" spans="1:63" ht="15" customHeight="1" x14ac:dyDescent="0.25">
      <c r="A10" s="132"/>
      <c r="B10" s="156" t="s">
        <v>63</v>
      </c>
      <c r="C10" s="156"/>
      <c r="D10" s="156"/>
      <c r="E10" s="156"/>
      <c r="F10" s="156"/>
      <c r="G10" s="156"/>
      <c r="H10" s="156" t="s">
        <v>62</v>
      </c>
      <c r="I10" s="156"/>
      <c r="J10" s="156"/>
      <c r="K10" s="156"/>
      <c r="L10" s="156"/>
      <c r="M10" s="156"/>
      <c r="N10" s="156"/>
      <c r="O10" s="156" t="s">
        <v>64</v>
      </c>
      <c r="P10" s="156"/>
      <c r="Q10" s="156"/>
      <c r="R10" s="156"/>
      <c r="S10" s="156" t="s">
        <v>72</v>
      </c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6"/>
      <c r="AJ10" s="156"/>
      <c r="AK10" s="156"/>
      <c r="AL10" s="156"/>
      <c r="AM10" s="156"/>
      <c r="AN10" s="156"/>
      <c r="AO10" s="156"/>
      <c r="AP10" s="156"/>
      <c r="AQ10" s="156"/>
      <c r="AR10" s="156"/>
      <c r="AS10" s="156"/>
      <c r="AT10" s="156"/>
      <c r="AU10" s="156"/>
      <c r="AV10" s="156"/>
      <c r="AW10" s="156"/>
      <c r="AX10" s="156" t="s">
        <v>70</v>
      </c>
      <c r="AY10" s="156"/>
      <c r="AZ10" s="156"/>
      <c r="BA10" s="156"/>
      <c r="BB10" s="156"/>
      <c r="BC10" s="156"/>
      <c r="BD10" s="156" t="s">
        <v>71</v>
      </c>
      <c r="BE10" s="156"/>
      <c r="BF10" s="156"/>
      <c r="BG10" s="156"/>
      <c r="BH10" s="156"/>
      <c r="BI10" s="156"/>
      <c r="BJ10" s="156"/>
      <c r="BK10" s="133"/>
    </row>
    <row r="11" spans="1:63" ht="15" customHeight="1" x14ac:dyDescent="0.25">
      <c r="A11" s="132"/>
      <c r="B11" s="108">
        <v>45495</v>
      </c>
      <c r="C11" s="102"/>
      <c r="D11" s="102"/>
      <c r="E11" s="102"/>
      <c r="F11" s="102"/>
      <c r="G11" s="103"/>
      <c r="H11" s="1" t="s">
        <v>76</v>
      </c>
      <c r="I11" s="46"/>
      <c r="J11" s="46"/>
      <c r="K11" s="46"/>
      <c r="L11" s="46"/>
      <c r="M11" s="46"/>
      <c r="N11" s="47"/>
      <c r="O11" s="104"/>
      <c r="P11" s="102"/>
      <c r="Q11" s="102"/>
      <c r="R11" s="102"/>
      <c r="S11" s="157" t="s">
        <v>38</v>
      </c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  <c r="AI11" s="158"/>
      <c r="AJ11" s="158"/>
      <c r="AK11" s="158"/>
      <c r="AL11" s="158"/>
      <c r="AM11" s="158"/>
      <c r="AN11" s="158"/>
      <c r="AO11" s="158"/>
      <c r="AP11" s="158"/>
      <c r="AQ11" s="158"/>
      <c r="AR11" s="158"/>
      <c r="AS11" s="158"/>
      <c r="AT11" s="158"/>
      <c r="AU11" s="158"/>
      <c r="AV11" s="158"/>
      <c r="AW11" s="158"/>
      <c r="AX11" s="160"/>
      <c r="AY11" s="160"/>
      <c r="AZ11" s="160"/>
      <c r="BA11" s="160"/>
      <c r="BB11" s="160"/>
      <c r="BC11" s="161"/>
      <c r="BD11" s="162"/>
      <c r="BE11" s="160"/>
      <c r="BF11" s="160"/>
      <c r="BG11" s="160"/>
      <c r="BH11" s="160"/>
      <c r="BI11" s="160"/>
      <c r="BJ11" s="161"/>
      <c r="BK11" s="133"/>
    </row>
    <row r="12" spans="1:63" ht="15" customHeight="1" x14ac:dyDescent="0.25">
      <c r="A12" s="132"/>
      <c r="B12" s="114"/>
      <c r="C12" s="115"/>
      <c r="D12" s="115"/>
      <c r="E12" s="115"/>
      <c r="F12" s="115"/>
      <c r="G12" s="116"/>
      <c r="H12" s="48"/>
      <c r="I12" s="49"/>
      <c r="J12" s="49"/>
      <c r="K12" s="49"/>
      <c r="L12" s="49"/>
      <c r="M12" s="49"/>
      <c r="N12" s="50"/>
      <c r="O12" s="114"/>
      <c r="P12" s="115"/>
      <c r="Q12" s="115"/>
      <c r="R12" s="115"/>
      <c r="S12" s="51" t="s">
        <v>77</v>
      </c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166"/>
      <c r="AY12" s="166"/>
      <c r="AZ12" s="166"/>
      <c r="BA12" s="166"/>
      <c r="BB12" s="166"/>
      <c r="BC12" s="167"/>
      <c r="BD12" s="168"/>
      <c r="BE12" s="166"/>
      <c r="BF12" s="166"/>
      <c r="BG12" s="166"/>
      <c r="BH12" s="166"/>
      <c r="BI12" s="166"/>
      <c r="BJ12" s="167"/>
      <c r="BK12" s="133"/>
    </row>
    <row r="13" spans="1:63" ht="15" customHeight="1" x14ac:dyDescent="0.25">
      <c r="A13" s="132"/>
      <c r="B13" s="108"/>
      <c r="C13" s="102"/>
      <c r="D13" s="102"/>
      <c r="E13" s="102"/>
      <c r="F13" s="102"/>
      <c r="G13" s="103"/>
      <c r="H13" s="104"/>
      <c r="I13" s="102"/>
      <c r="J13" s="102"/>
      <c r="K13" s="102"/>
      <c r="L13" s="102"/>
      <c r="M13" s="102"/>
      <c r="N13" s="103"/>
      <c r="O13" s="104"/>
      <c r="P13" s="102"/>
      <c r="Q13" s="102"/>
      <c r="R13" s="102"/>
      <c r="S13" s="157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  <c r="AH13" s="158"/>
      <c r="AI13" s="158"/>
      <c r="AJ13" s="158"/>
      <c r="AK13" s="158"/>
      <c r="AL13" s="158"/>
      <c r="AM13" s="158"/>
      <c r="AN13" s="158"/>
      <c r="AO13" s="158"/>
      <c r="AP13" s="158"/>
      <c r="AQ13" s="158"/>
      <c r="AR13" s="158"/>
      <c r="AS13" s="158"/>
      <c r="AT13" s="158"/>
      <c r="AU13" s="158"/>
      <c r="AV13" s="158"/>
      <c r="AW13" s="159"/>
      <c r="AX13" s="160"/>
      <c r="AY13" s="160"/>
      <c r="AZ13" s="160"/>
      <c r="BA13" s="160"/>
      <c r="BB13" s="160"/>
      <c r="BC13" s="161"/>
      <c r="BD13" s="162"/>
      <c r="BE13" s="160"/>
      <c r="BF13" s="160"/>
      <c r="BG13" s="160"/>
      <c r="BH13" s="160"/>
      <c r="BI13" s="160"/>
      <c r="BJ13" s="161"/>
      <c r="BK13" s="133"/>
    </row>
    <row r="14" spans="1:63" ht="15" customHeight="1" x14ac:dyDescent="0.25">
      <c r="A14" s="132"/>
      <c r="B14" s="114"/>
      <c r="C14" s="115"/>
      <c r="D14" s="115"/>
      <c r="E14" s="115"/>
      <c r="F14" s="115"/>
      <c r="G14" s="116"/>
      <c r="H14" s="114"/>
      <c r="I14" s="115"/>
      <c r="J14" s="115"/>
      <c r="K14" s="115"/>
      <c r="L14" s="115"/>
      <c r="M14" s="115"/>
      <c r="N14" s="116"/>
      <c r="O14" s="114"/>
      <c r="P14" s="115"/>
      <c r="Q14" s="115"/>
      <c r="R14" s="115"/>
      <c r="S14" s="163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  <c r="AD14" s="164"/>
      <c r="AE14" s="164"/>
      <c r="AF14" s="164"/>
      <c r="AG14" s="164"/>
      <c r="AH14" s="164"/>
      <c r="AI14" s="164"/>
      <c r="AJ14" s="164"/>
      <c r="AK14" s="164"/>
      <c r="AL14" s="164"/>
      <c r="AM14" s="164"/>
      <c r="AN14" s="164"/>
      <c r="AO14" s="164"/>
      <c r="AP14" s="164"/>
      <c r="AQ14" s="164"/>
      <c r="AR14" s="164"/>
      <c r="AS14" s="164"/>
      <c r="AT14" s="164"/>
      <c r="AU14" s="164"/>
      <c r="AV14" s="164"/>
      <c r="AW14" s="165"/>
      <c r="AX14" s="166"/>
      <c r="AY14" s="166"/>
      <c r="AZ14" s="166"/>
      <c r="BA14" s="166"/>
      <c r="BB14" s="166"/>
      <c r="BC14" s="167"/>
      <c r="BD14" s="168"/>
      <c r="BE14" s="166"/>
      <c r="BF14" s="166"/>
      <c r="BG14" s="166"/>
      <c r="BH14" s="166"/>
      <c r="BI14" s="166"/>
      <c r="BJ14" s="167"/>
      <c r="BK14" s="133"/>
    </row>
    <row r="15" spans="1:63" ht="15" customHeight="1" x14ac:dyDescent="0.25">
      <c r="A15" s="132"/>
      <c r="B15" s="104"/>
      <c r="C15" s="102"/>
      <c r="D15" s="102"/>
      <c r="E15" s="102"/>
      <c r="F15" s="102"/>
      <c r="G15" s="103"/>
      <c r="H15" s="104"/>
      <c r="I15" s="102"/>
      <c r="J15" s="102"/>
      <c r="K15" s="102"/>
      <c r="L15" s="102"/>
      <c r="M15" s="102"/>
      <c r="N15" s="103"/>
      <c r="O15" s="104"/>
      <c r="P15" s="102"/>
      <c r="Q15" s="102"/>
      <c r="R15" s="102"/>
      <c r="S15" s="157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  <c r="AN15" s="158"/>
      <c r="AO15" s="158"/>
      <c r="AP15" s="158"/>
      <c r="AQ15" s="158"/>
      <c r="AR15" s="158"/>
      <c r="AS15" s="158"/>
      <c r="AT15" s="158"/>
      <c r="AU15" s="158"/>
      <c r="AV15" s="158"/>
      <c r="AW15" s="159"/>
      <c r="AX15" s="160"/>
      <c r="AY15" s="160"/>
      <c r="AZ15" s="160"/>
      <c r="BA15" s="160"/>
      <c r="BB15" s="160"/>
      <c r="BC15" s="161"/>
      <c r="BD15" s="162"/>
      <c r="BE15" s="160"/>
      <c r="BF15" s="160"/>
      <c r="BG15" s="160"/>
      <c r="BH15" s="160"/>
      <c r="BI15" s="160"/>
      <c r="BJ15" s="161"/>
      <c r="BK15" s="133"/>
    </row>
    <row r="16" spans="1:63" ht="15" customHeight="1" x14ac:dyDescent="0.25">
      <c r="A16" s="132"/>
      <c r="B16" s="114"/>
      <c r="C16" s="115"/>
      <c r="D16" s="115"/>
      <c r="E16" s="115"/>
      <c r="F16" s="115"/>
      <c r="G16" s="116"/>
      <c r="H16" s="114"/>
      <c r="I16" s="115"/>
      <c r="J16" s="115"/>
      <c r="K16" s="115"/>
      <c r="L16" s="115"/>
      <c r="M16" s="115"/>
      <c r="N16" s="116"/>
      <c r="O16" s="114"/>
      <c r="P16" s="115"/>
      <c r="Q16" s="115"/>
      <c r="R16" s="115"/>
      <c r="S16" s="163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4"/>
      <c r="AS16" s="164"/>
      <c r="AT16" s="164"/>
      <c r="AU16" s="164"/>
      <c r="AV16" s="164"/>
      <c r="AW16" s="165"/>
      <c r="AX16" s="166"/>
      <c r="AY16" s="166"/>
      <c r="AZ16" s="166"/>
      <c r="BA16" s="166"/>
      <c r="BB16" s="166"/>
      <c r="BC16" s="167"/>
      <c r="BD16" s="168"/>
      <c r="BE16" s="166"/>
      <c r="BF16" s="166"/>
      <c r="BG16" s="166"/>
      <c r="BH16" s="166"/>
      <c r="BI16" s="166"/>
      <c r="BJ16" s="167"/>
      <c r="BK16" s="133"/>
    </row>
    <row r="17" spans="1:63" ht="15" customHeight="1" x14ac:dyDescent="0.25">
      <c r="A17" s="132"/>
      <c r="B17" s="104"/>
      <c r="C17" s="102"/>
      <c r="D17" s="102"/>
      <c r="E17" s="102"/>
      <c r="F17" s="102"/>
      <c r="G17" s="103"/>
      <c r="H17" s="104"/>
      <c r="I17" s="102"/>
      <c r="J17" s="102"/>
      <c r="K17" s="102"/>
      <c r="L17" s="102"/>
      <c r="M17" s="102"/>
      <c r="N17" s="103"/>
      <c r="O17" s="104"/>
      <c r="P17" s="102"/>
      <c r="Q17" s="102"/>
      <c r="R17" s="102"/>
      <c r="S17" s="157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58"/>
      <c r="AM17" s="158"/>
      <c r="AN17" s="158"/>
      <c r="AO17" s="158"/>
      <c r="AP17" s="158"/>
      <c r="AQ17" s="158"/>
      <c r="AR17" s="158"/>
      <c r="AS17" s="158"/>
      <c r="AT17" s="158"/>
      <c r="AU17" s="158"/>
      <c r="AV17" s="158"/>
      <c r="AW17" s="159"/>
      <c r="AX17" s="160"/>
      <c r="AY17" s="160"/>
      <c r="AZ17" s="160"/>
      <c r="BA17" s="160"/>
      <c r="BB17" s="160"/>
      <c r="BC17" s="161"/>
      <c r="BD17" s="162"/>
      <c r="BE17" s="160"/>
      <c r="BF17" s="160"/>
      <c r="BG17" s="160"/>
      <c r="BH17" s="160"/>
      <c r="BI17" s="160"/>
      <c r="BJ17" s="161"/>
      <c r="BK17" s="133"/>
    </row>
    <row r="18" spans="1:63" ht="15" customHeight="1" x14ac:dyDescent="0.25">
      <c r="A18" s="132"/>
      <c r="B18" s="114"/>
      <c r="C18" s="115"/>
      <c r="D18" s="115"/>
      <c r="E18" s="115"/>
      <c r="F18" s="115"/>
      <c r="G18" s="116"/>
      <c r="H18" s="114"/>
      <c r="I18" s="115"/>
      <c r="J18" s="115"/>
      <c r="K18" s="115"/>
      <c r="L18" s="115"/>
      <c r="M18" s="115"/>
      <c r="N18" s="116"/>
      <c r="O18" s="114"/>
      <c r="P18" s="115"/>
      <c r="Q18" s="115"/>
      <c r="R18" s="115"/>
      <c r="S18" s="163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5"/>
      <c r="AX18" s="166"/>
      <c r="AY18" s="166"/>
      <c r="AZ18" s="166"/>
      <c r="BA18" s="166"/>
      <c r="BB18" s="166"/>
      <c r="BC18" s="167"/>
      <c r="BD18" s="168"/>
      <c r="BE18" s="166"/>
      <c r="BF18" s="166"/>
      <c r="BG18" s="166"/>
      <c r="BH18" s="166"/>
      <c r="BI18" s="166"/>
      <c r="BJ18" s="167"/>
      <c r="BK18" s="133"/>
    </row>
    <row r="19" spans="1:63" ht="15" customHeight="1" x14ac:dyDescent="0.25">
      <c r="A19" s="132"/>
      <c r="B19" s="104"/>
      <c r="C19" s="102"/>
      <c r="D19" s="102"/>
      <c r="E19" s="102"/>
      <c r="F19" s="102"/>
      <c r="G19" s="103"/>
      <c r="H19" s="104"/>
      <c r="I19" s="102"/>
      <c r="J19" s="102"/>
      <c r="K19" s="102"/>
      <c r="L19" s="102"/>
      <c r="M19" s="102"/>
      <c r="N19" s="103"/>
      <c r="O19" s="104"/>
      <c r="P19" s="102"/>
      <c r="Q19" s="102"/>
      <c r="R19" s="102"/>
      <c r="S19" s="157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9"/>
      <c r="AX19" s="160"/>
      <c r="AY19" s="160"/>
      <c r="AZ19" s="160"/>
      <c r="BA19" s="160"/>
      <c r="BB19" s="160"/>
      <c r="BC19" s="161"/>
      <c r="BD19" s="162"/>
      <c r="BE19" s="160"/>
      <c r="BF19" s="160"/>
      <c r="BG19" s="160"/>
      <c r="BH19" s="160"/>
      <c r="BI19" s="160"/>
      <c r="BJ19" s="161"/>
      <c r="BK19" s="133"/>
    </row>
    <row r="20" spans="1:63" ht="15" customHeight="1" x14ac:dyDescent="0.25">
      <c r="A20" s="132"/>
      <c r="B20" s="114"/>
      <c r="C20" s="115"/>
      <c r="D20" s="115"/>
      <c r="E20" s="115"/>
      <c r="F20" s="115"/>
      <c r="G20" s="116"/>
      <c r="H20" s="114"/>
      <c r="I20" s="115"/>
      <c r="J20" s="115"/>
      <c r="K20" s="115"/>
      <c r="L20" s="115"/>
      <c r="M20" s="115"/>
      <c r="N20" s="116"/>
      <c r="O20" s="114"/>
      <c r="P20" s="115"/>
      <c r="Q20" s="115"/>
      <c r="R20" s="115"/>
      <c r="S20" s="163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5"/>
      <c r="AX20" s="166"/>
      <c r="AY20" s="166"/>
      <c r="AZ20" s="166"/>
      <c r="BA20" s="166"/>
      <c r="BB20" s="166"/>
      <c r="BC20" s="167"/>
      <c r="BD20" s="168"/>
      <c r="BE20" s="166"/>
      <c r="BF20" s="166"/>
      <c r="BG20" s="166"/>
      <c r="BH20" s="166"/>
      <c r="BI20" s="166"/>
      <c r="BJ20" s="167"/>
      <c r="BK20" s="133"/>
    </row>
    <row r="21" spans="1:63" ht="15" customHeight="1" x14ac:dyDescent="0.25">
      <c r="A21" s="132"/>
      <c r="B21" s="104"/>
      <c r="C21" s="102"/>
      <c r="D21" s="102"/>
      <c r="E21" s="102"/>
      <c r="F21" s="102"/>
      <c r="G21" s="103"/>
      <c r="H21" s="104"/>
      <c r="I21" s="102"/>
      <c r="J21" s="102"/>
      <c r="K21" s="102"/>
      <c r="L21" s="102"/>
      <c r="M21" s="102"/>
      <c r="N21" s="103"/>
      <c r="O21" s="104"/>
      <c r="P21" s="102"/>
      <c r="Q21" s="102"/>
      <c r="R21" s="102"/>
      <c r="S21" s="157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  <c r="AH21" s="158"/>
      <c r="AI21" s="158"/>
      <c r="AJ21" s="158"/>
      <c r="AK21" s="158"/>
      <c r="AL21" s="158"/>
      <c r="AM21" s="158"/>
      <c r="AN21" s="158"/>
      <c r="AO21" s="158"/>
      <c r="AP21" s="158"/>
      <c r="AQ21" s="158"/>
      <c r="AR21" s="158"/>
      <c r="AS21" s="158"/>
      <c r="AT21" s="158"/>
      <c r="AU21" s="158"/>
      <c r="AV21" s="158"/>
      <c r="AW21" s="159"/>
      <c r="AX21" s="160"/>
      <c r="AY21" s="160"/>
      <c r="AZ21" s="160"/>
      <c r="BA21" s="160"/>
      <c r="BB21" s="160"/>
      <c r="BC21" s="161"/>
      <c r="BD21" s="162"/>
      <c r="BE21" s="160"/>
      <c r="BF21" s="160"/>
      <c r="BG21" s="160"/>
      <c r="BH21" s="160"/>
      <c r="BI21" s="160"/>
      <c r="BJ21" s="161"/>
      <c r="BK21" s="133"/>
    </row>
    <row r="22" spans="1:63" ht="15" customHeight="1" x14ac:dyDescent="0.25">
      <c r="A22" s="132"/>
      <c r="B22" s="114"/>
      <c r="C22" s="115"/>
      <c r="D22" s="115"/>
      <c r="E22" s="115"/>
      <c r="F22" s="115"/>
      <c r="G22" s="116"/>
      <c r="H22" s="114"/>
      <c r="I22" s="115"/>
      <c r="J22" s="115"/>
      <c r="K22" s="115"/>
      <c r="L22" s="115"/>
      <c r="M22" s="115"/>
      <c r="N22" s="116"/>
      <c r="O22" s="114"/>
      <c r="P22" s="115"/>
      <c r="Q22" s="115"/>
      <c r="R22" s="115"/>
      <c r="S22" s="163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5"/>
      <c r="AX22" s="166"/>
      <c r="AY22" s="166"/>
      <c r="AZ22" s="166"/>
      <c r="BA22" s="166"/>
      <c r="BB22" s="166"/>
      <c r="BC22" s="167"/>
      <c r="BD22" s="168"/>
      <c r="BE22" s="166"/>
      <c r="BF22" s="166"/>
      <c r="BG22" s="166"/>
      <c r="BH22" s="166"/>
      <c r="BI22" s="166"/>
      <c r="BJ22" s="167"/>
      <c r="BK22" s="133"/>
    </row>
    <row r="23" spans="1:63" ht="15" customHeight="1" x14ac:dyDescent="0.25">
      <c r="A23" s="132"/>
      <c r="B23" s="104"/>
      <c r="C23" s="102"/>
      <c r="D23" s="102"/>
      <c r="E23" s="102"/>
      <c r="F23" s="102"/>
      <c r="G23" s="103"/>
      <c r="H23" s="104"/>
      <c r="I23" s="102"/>
      <c r="J23" s="102"/>
      <c r="K23" s="102"/>
      <c r="L23" s="102"/>
      <c r="M23" s="102"/>
      <c r="N23" s="103"/>
      <c r="O23" s="104"/>
      <c r="P23" s="102"/>
      <c r="Q23" s="102"/>
      <c r="R23" s="102"/>
      <c r="S23" s="157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8"/>
      <c r="AN23" s="158"/>
      <c r="AO23" s="158"/>
      <c r="AP23" s="158"/>
      <c r="AQ23" s="158"/>
      <c r="AR23" s="158"/>
      <c r="AS23" s="158"/>
      <c r="AT23" s="158"/>
      <c r="AU23" s="158"/>
      <c r="AV23" s="158"/>
      <c r="AW23" s="159"/>
      <c r="AX23" s="160"/>
      <c r="AY23" s="160"/>
      <c r="AZ23" s="160"/>
      <c r="BA23" s="160"/>
      <c r="BB23" s="160"/>
      <c r="BC23" s="161"/>
      <c r="BD23" s="162"/>
      <c r="BE23" s="160"/>
      <c r="BF23" s="160"/>
      <c r="BG23" s="160"/>
      <c r="BH23" s="160"/>
      <c r="BI23" s="160"/>
      <c r="BJ23" s="161"/>
      <c r="BK23" s="133"/>
    </row>
    <row r="24" spans="1:63" ht="15" customHeight="1" x14ac:dyDescent="0.25">
      <c r="A24" s="132"/>
      <c r="B24" s="114"/>
      <c r="C24" s="115"/>
      <c r="D24" s="115"/>
      <c r="E24" s="115"/>
      <c r="F24" s="115"/>
      <c r="G24" s="116"/>
      <c r="H24" s="114"/>
      <c r="I24" s="115"/>
      <c r="J24" s="115"/>
      <c r="K24" s="115"/>
      <c r="L24" s="115"/>
      <c r="M24" s="115"/>
      <c r="N24" s="116"/>
      <c r="O24" s="114"/>
      <c r="P24" s="115"/>
      <c r="Q24" s="115"/>
      <c r="R24" s="115"/>
      <c r="S24" s="163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5"/>
      <c r="AX24" s="166"/>
      <c r="AY24" s="166"/>
      <c r="AZ24" s="166"/>
      <c r="BA24" s="166"/>
      <c r="BB24" s="166"/>
      <c r="BC24" s="167"/>
      <c r="BD24" s="168"/>
      <c r="BE24" s="166"/>
      <c r="BF24" s="166"/>
      <c r="BG24" s="166"/>
      <c r="BH24" s="166"/>
      <c r="BI24" s="166"/>
      <c r="BJ24" s="167"/>
      <c r="BK24" s="133"/>
    </row>
    <row r="25" spans="1:63" ht="15" customHeight="1" x14ac:dyDescent="0.25">
      <c r="A25" s="132"/>
      <c r="B25" s="104"/>
      <c r="C25" s="102"/>
      <c r="D25" s="102"/>
      <c r="E25" s="102"/>
      <c r="F25" s="102"/>
      <c r="G25" s="103"/>
      <c r="H25" s="104"/>
      <c r="I25" s="102"/>
      <c r="J25" s="102"/>
      <c r="K25" s="102"/>
      <c r="L25" s="102"/>
      <c r="M25" s="102"/>
      <c r="N25" s="103"/>
      <c r="O25" s="104"/>
      <c r="P25" s="102"/>
      <c r="Q25" s="102"/>
      <c r="R25" s="102"/>
      <c r="S25" s="157"/>
      <c r="T25" s="158"/>
      <c r="U25" s="158"/>
      <c r="V25" s="158"/>
      <c r="W25" s="158"/>
      <c r="X25" s="158"/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/>
      <c r="AS25" s="158"/>
      <c r="AT25" s="158"/>
      <c r="AU25" s="158"/>
      <c r="AV25" s="158"/>
      <c r="AW25" s="159"/>
      <c r="AX25" s="160"/>
      <c r="AY25" s="160"/>
      <c r="AZ25" s="160"/>
      <c r="BA25" s="160"/>
      <c r="BB25" s="160"/>
      <c r="BC25" s="161"/>
      <c r="BD25" s="162"/>
      <c r="BE25" s="160"/>
      <c r="BF25" s="160"/>
      <c r="BG25" s="160"/>
      <c r="BH25" s="160"/>
      <c r="BI25" s="160"/>
      <c r="BJ25" s="161"/>
      <c r="BK25" s="133"/>
    </row>
    <row r="26" spans="1:63" ht="15" customHeight="1" x14ac:dyDescent="0.25">
      <c r="A26" s="132"/>
      <c r="B26" s="114"/>
      <c r="C26" s="115"/>
      <c r="D26" s="115"/>
      <c r="E26" s="115"/>
      <c r="F26" s="115"/>
      <c r="G26" s="116"/>
      <c r="H26" s="114"/>
      <c r="I26" s="115"/>
      <c r="J26" s="115"/>
      <c r="K26" s="115"/>
      <c r="L26" s="115"/>
      <c r="M26" s="115"/>
      <c r="N26" s="116"/>
      <c r="O26" s="114"/>
      <c r="P26" s="115"/>
      <c r="Q26" s="115"/>
      <c r="R26" s="115"/>
      <c r="S26" s="163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5"/>
      <c r="AX26" s="166"/>
      <c r="AY26" s="166"/>
      <c r="AZ26" s="166"/>
      <c r="BA26" s="166"/>
      <c r="BB26" s="166"/>
      <c r="BC26" s="167"/>
      <c r="BD26" s="168"/>
      <c r="BE26" s="166"/>
      <c r="BF26" s="166"/>
      <c r="BG26" s="166"/>
      <c r="BH26" s="166"/>
      <c r="BI26" s="166"/>
      <c r="BJ26" s="167"/>
      <c r="BK26" s="133"/>
    </row>
    <row r="27" spans="1:63" ht="15" customHeight="1" x14ac:dyDescent="0.25">
      <c r="A27" s="132"/>
      <c r="B27" s="104"/>
      <c r="C27" s="102"/>
      <c r="D27" s="102"/>
      <c r="E27" s="102"/>
      <c r="F27" s="102"/>
      <c r="G27" s="103"/>
      <c r="H27" s="104"/>
      <c r="I27" s="102"/>
      <c r="J27" s="102"/>
      <c r="K27" s="102"/>
      <c r="L27" s="102"/>
      <c r="M27" s="102"/>
      <c r="N27" s="103"/>
      <c r="O27" s="104"/>
      <c r="P27" s="102"/>
      <c r="Q27" s="102"/>
      <c r="R27" s="102"/>
      <c r="S27" s="157"/>
      <c r="T27" s="158"/>
      <c r="U27" s="158"/>
      <c r="V27" s="158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8"/>
      <c r="AN27" s="158"/>
      <c r="AO27" s="158"/>
      <c r="AP27" s="158"/>
      <c r="AQ27" s="158"/>
      <c r="AR27" s="158"/>
      <c r="AS27" s="158"/>
      <c r="AT27" s="158"/>
      <c r="AU27" s="158"/>
      <c r="AV27" s="158"/>
      <c r="AW27" s="159"/>
      <c r="AX27" s="160"/>
      <c r="AY27" s="160"/>
      <c r="AZ27" s="160"/>
      <c r="BA27" s="160"/>
      <c r="BB27" s="160"/>
      <c r="BC27" s="161"/>
      <c r="BD27" s="162"/>
      <c r="BE27" s="160"/>
      <c r="BF27" s="160"/>
      <c r="BG27" s="160"/>
      <c r="BH27" s="160"/>
      <c r="BI27" s="160"/>
      <c r="BJ27" s="161"/>
      <c r="BK27" s="133"/>
    </row>
    <row r="28" spans="1:63" ht="15" customHeight="1" x14ac:dyDescent="0.25">
      <c r="A28" s="132"/>
      <c r="B28" s="114"/>
      <c r="C28" s="115"/>
      <c r="D28" s="115"/>
      <c r="E28" s="115"/>
      <c r="F28" s="115"/>
      <c r="G28" s="116"/>
      <c r="H28" s="114"/>
      <c r="I28" s="115"/>
      <c r="J28" s="115"/>
      <c r="K28" s="115"/>
      <c r="L28" s="115"/>
      <c r="M28" s="115"/>
      <c r="N28" s="116"/>
      <c r="O28" s="114"/>
      <c r="P28" s="115"/>
      <c r="Q28" s="115"/>
      <c r="R28" s="115"/>
      <c r="S28" s="163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5"/>
      <c r="AX28" s="166"/>
      <c r="AY28" s="166"/>
      <c r="AZ28" s="166"/>
      <c r="BA28" s="166"/>
      <c r="BB28" s="166"/>
      <c r="BC28" s="167"/>
      <c r="BD28" s="168"/>
      <c r="BE28" s="166"/>
      <c r="BF28" s="166"/>
      <c r="BG28" s="166"/>
      <c r="BH28" s="166"/>
      <c r="BI28" s="166"/>
      <c r="BJ28" s="167"/>
      <c r="BK28" s="133"/>
    </row>
    <row r="29" spans="1:63" ht="15" customHeight="1" x14ac:dyDescent="0.25">
      <c r="A29" s="132"/>
      <c r="B29" s="104"/>
      <c r="C29" s="102"/>
      <c r="D29" s="102"/>
      <c r="E29" s="102"/>
      <c r="F29" s="102"/>
      <c r="G29" s="103"/>
      <c r="H29" s="104"/>
      <c r="I29" s="102"/>
      <c r="J29" s="102"/>
      <c r="K29" s="102"/>
      <c r="L29" s="102"/>
      <c r="M29" s="102"/>
      <c r="N29" s="103"/>
      <c r="O29" s="104"/>
      <c r="P29" s="102"/>
      <c r="Q29" s="102"/>
      <c r="R29" s="102"/>
      <c r="S29" s="157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8"/>
      <c r="AN29" s="158"/>
      <c r="AO29" s="158"/>
      <c r="AP29" s="158"/>
      <c r="AQ29" s="158"/>
      <c r="AR29" s="158"/>
      <c r="AS29" s="158"/>
      <c r="AT29" s="158"/>
      <c r="AU29" s="158"/>
      <c r="AV29" s="158"/>
      <c r="AW29" s="159"/>
      <c r="AX29" s="160"/>
      <c r="AY29" s="160"/>
      <c r="AZ29" s="160"/>
      <c r="BA29" s="160"/>
      <c r="BB29" s="160"/>
      <c r="BC29" s="161"/>
      <c r="BD29" s="162"/>
      <c r="BE29" s="160"/>
      <c r="BF29" s="160"/>
      <c r="BG29" s="160"/>
      <c r="BH29" s="160"/>
      <c r="BI29" s="160"/>
      <c r="BJ29" s="161"/>
      <c r="BK29" s="133"/>
    </row>
    <row r="30" spans="1:63" ht="15" customHeight="1" x14ac:dyDescent="0.25">
      <c r="A30" s="132"/>
      <c r="B30" s="114"/>
      <c r="C30" s="115"/>
      <c r="D30" s="115"/>
      <c r="E30" s="115"/>
      <c r="F30" s="115"/>
      <c r="G30" s="116"/>
      <c r="H30" s="114"/>
      <c r="I30" s="115"/>
      <c r="J30" s="115"/>
      <c r="K30" s="115"/>
      <c r="L30" s="115"/>
      <c r="M30" s="115"/>
      <c r="N30" s="116"/>
      <c r="O30" s="114"/>
      <c r="P30" s="115"/>
      <c r="Q30" s="115"/>
      <c r="R30" s="115"/>
      <c r="S30" s="163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5"/>
      <c r="AX30" s="166"/>
      <c r="AY30" s="166"/>
      <c r="AZ30" s="166"/>
      <c r="BA30" s="166"/>
      <c r="BB30" s="166"/>
      <c r="BC30" s="167"/>
      <c r="BD30" s="168"/>
      <c r="BE30" s="166"/>
      <c r="BF30" s="166"/>
      <c r="BG30" s="166"/>
      <c r="BH30" s="166"/>
      <c r="BI30" s="166"/>
      <c r="BJ30" s="167"/>
      <c r="BK30" s="133"/>
    </row>
    <row r="31" spans="1:63" ht="15" customHeight="1" x14ac:dyDescent="0.25">
      <c r="A31" s="132"/>
      <c r="B31" s="104"/>
      <c r="C31" s="102"/>
      <c r="D31" s="102"/>
      <c r="E31" s="102"/>
      <c r="F31" s="102"/>
      <c r="G31" s="103"/>
      <c r="H31" s="104"/>
      <c r="I31" s="102"/>
      <c r="J31" s="102"/>
      <c r="K31" s="102"/>
      <c r="L31" s="102"/>
      <c r="M31" s="102"/>
      <c r="N31" s="103"/>
      <c r="O31" s="104"/>
      <c r="P31" s="102"/>
      <c r="Q31" s="102"/>
      <c r="R31" s="102"/>
      <c r="S31" s="157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158"/>
      <c r="AW31" s="159"/>
      <c r="AX31" s="160"/>
      <c r="AY31" s="160"/>
      <c r="AZ31" s="160"/>
      <c r="BA31" s="160"/>
      <c r="BB31" s="160"/>
      <c r="BC31" s="161"/>
      <c r="BD31" s="162"/>
      <c r="BE31" s="160"/>
      <c r="BF31" s="160"/>
      <c r="BG31" s="160"/>
      <c r="BH31" s="160"/>
      <c r="BI31" s="160"/>
      <c r="BJ31" s="161"/>
      <c r="BK31" s="133"/>
    </row>
    <row r="32" spans="1:63" ht="15" customHeight="1" x14ac:dyDescent="0.25">
      <c r="A32" s="132"/>
      <c r="B32" s="114"/>
      <c r="C32" s="115"/>
      <c r="D32" s="115"/>
      <c r="E32" s="115"/>
      <c r="F32" s="115"/>
      <c r="G32" s="116"/>
      <c r="H32" s="114"/>
      <c r="I32" s="115"/>
      <c r="J32" s="115"/>
      <c r="K32" s="115"/>
      <c r="L32" s="115"/>
      <c r="M32" s="115"/>
      <c r="N32" s="116"/>
      <c r="O32" s="114"/>
      <c r="P32" s="115"/>
      <c r="Q32" s="115"/>
      <c r="R32" s="115"/>
      <c r="S32" s="163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  <c r="AH32" s="164"/>
      <c r="AI32" s="164"/>
      <c r="AJ32" s="164"/>
      <c r="AK32" s="164"/>
      <c r="AL32" s="164"/>
      <c r="AM32" s="164"/>
      <c r="AN32" s="164"/>
      <c r="AO32" s="164"/>
      <c r="AP32" s="164"/>
      <c r="AQ32" s="164"/>
      <c r="AR32" s="164"/>
      <c r="AS32" s="164"/>
      <c r="AT32" s="164"/>
      <c r="AU32" s="164"/>
      <c r="AV32" s="164"/>
      <c r="AW32" s="165"/>
      <c r="AX32" s="166"/>
      <c r="AY32" s="166"/>
      <c r="AZ32" s="166"/>
      <c r="BA32" s="166"/>
      <c r="BB32" s="166"/>
      <c r="BC32" s="167"/>
      <c r="BD32" s="168"/>
      <c r="BE32" s="166"/>
      <c r="BF32" s="166"/>
      <c r="BG32" s="166"/>
      <c r="BH32" s="166"/>
      <c r="BI32" s="166"/>
      <c r="BJ32" s="167"/>
      <c r="BK32" s="133"/>
    </row>
    <row r="33" spans="1:63" ht="15" customHeight="1" x14ac:dyDescent="0.25">
      <c r="A33" s="132"/>
      <c r="B33" s="104"/>
      <c r="C33" s="102"/>
      <c r="D33" s="102"/>
      <c r="E33" s="102"/>
      <c r="F33" s="102"/>
      <c r="G33" s="103"/>
      <c r="H33" s="104"/>
      <c r="I33" s="102"/>
      <c r="J33" s="102"/>
      <c r="K33" s="102"/>
      <c r="L33" s="102"/>
      <c r="M33" s="102"/>
      <c r="N33" s="103"/>
      <c r="O33" s="104"/>
      <c r="P33" s="102"/>
      <c r="Q33" s="102"/>
      <c r="R33" s="102"/>
      <c r="S33" s="157"/>
      <c r="T33" s="158"/>
      <c r="U33" s="158"/>
      <c r="V33" s="158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158"/>
      <c r="AW33" s="159"/>
      <c r="AX33" s="160"/>
      <c r="AY33" s="160"/>
      <c r="AZ33" s="160"/>
      <c r="BA33" s="160"/>
      <c r="BB33" s="160"/>
      <c r="BC33" s="161"/>
      <c r="BD33" s="162"/>
      <c r="BE33" s="160"/>
      <c r="BF33" s="160"/>
      <c r="BG33" s="160"/>
      <c r="BH33" s="160"/>
      <c r="BI33" s="160"/>
      <c r="BJ33" s="161"/>
      <c r="BK33" s="133"/>
    </row>
    <row r="34" spans="1:63" ht="15" customHeight="1" x14ac:dyDescent="0.25">
      <c r="A34" s="132"/>
      <c r="B34" s="114"/>
      <c r="C34" s="115"/>
      <c r="D34" s="115"/>
      <c r="E34" s="115"/>
      <c r="F34" s="115"/>
      <c r="G34" s="116"/>
      <c r="H34" s="114"/>
      <c r="I34" s="115"/>
      <c r="J34" s="115"/>
      <c r="K34" s="115"/>
      <c r="L34" s="115"/>
      <c r="M34" s="115"/>
      <c r="N34" s="116"/>
      <c r="O34" s="114"/>
      <c r="P34" s="115"/>
      <c r="Q34" s="115"/>
      <c r="R34" s="115"/>
      <c r="S34" s="163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5"/>
      <c r="AX34" s="166"/>
      <c r="AY34" s="166"/>
      <c r="AZ34" s="166"/>
      <c r="BA34" s="166"/>
      <c r="BB34" s="166"/>
      <c r="BC34" s="167"/>
      <c r="BD34" s="168"/>
      <c r="BE34" s="166"/>
      <c r="BF34" s="166"/>
      <c r="BG34" s="166"/>
      <c r="BH34" s="166"/>
      <c r="BI34" s="166"/>
      <c r="BJ34" s="167"/>
      <c r="BK34" s="133"/>
    </row>
    <row r="35" spans="1:63" ht="15" customHeight="1" x14ac:dyDescent="0.25">
      <c r="A35" s="132"/>
      <c r="B35" s="104"/>
      <c r="C35" s="102"/>
      <c r="D35" s="102"/>
      <c r="E35" s="102"/>
      <c r="F35" s="102"/>
      <c r="G35" s="103"/>
      <c r="H35" s="104"/>
      <c r="I35" s="102"/>
      <c r="J35" s="102"/>
      <c r="K35" s="102"/>
      <c r="L35" s="102"/>
      <c r="M35" s="102"/>
      <c r="N35" s="103"/>
      <c r="O35" s="104"/>
      <c r="P35" s="102"/>
      <c r="Q35" s="102"/>
      <c r="R35" s="102"/>
      <c r="S35" s="157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M35" s="158"/>
      <c r="AN35" s="158"/>
      <c r="AO35" s="158"/>
      <c r="AP35" s="158"/>
      <c r="AQ35" s="158"/>
      <c r="AR35" s="158"/>
      <c r="AS35" s="158"/>
      <c r="AT35" s="158"/>
      <c r="AU35" s="158"/>
      <c r="AV35" s="158"/>
      <c r="AW35" s="159"/>
      <c r="AX35" s="160"/>
      <c r="AY35" s="160"/>
      <c r="AZ35" s="160"/>
      <c r="BA35" s="160"/>
      <c r="BB35" s="160"/>
      <c r="BC35" s="161"/>
      <c r="BD35" s="162"/>
      <c r="BE35" s="160"/>
      <c r="BF35" s="160"/>
      <c r="BG35" s="160"/>
      <c r="BH35" s="160"/>
      <c r="BI35" s="160"/>
      <c r="BJ35" s="161"/>
      <c r="BK35" s="133"/>
    </row>
    <row r="36" spans="1:63" ht="15" customHeight="1" x14ac:dyDescent="0.25">
      <c r="A36" s="132"/>
      <c r="B36" s="114"/>
      <c r="C36" s="115"/>
      <c r="D36" s="115"/>
      <c r="E36" s="115"/>
      <c r="F36" s="115"/>
      <c r="G36" s="116"/>
      <c r="H36" s="114"/>
      <c r="I36" s="115"/>
      <c r="J36" s="115"/>
      <c r="K36" s="115"/>
      <c r="L36" s="115"/>
      <c r="M36" s="115"/>
      <c r="N36" s="116"/>
      <c r="O36" s="114"/>
      <c r="P36" s="115"/>
      <c r="Q36" s="115"/>
      <c r="R36" s="115"/>
      <c r="S36" s="163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  <c r="AG36" s="164"/>
      <c r="AH36" s="164"/>
      <c r="AI36" s="164"/>
      <c r="AJ36" s="164"/>
      <c r="AK36" s="164"/>
      <c r="AL36" s="164"/>
      <c r="AM36" s="164"/>
      <c r="AN36" s="164"/>
      <c r="AO36" s="164"/>
      <c r="AP36" s="164"/>
      <c r="AQ36" s="164"/>
      <c r="AR36" s="164"/>
      <c r="AS36" s="164"/>
      <c r="AT36" s="164"/>
      <c r="AU36" s="164"/>
      <c r="AV36" s="164"/>
      <c r="AW36" s="165"/>
      <c r="AX36" s="166"/>
      <c r="AY36" s="166"/>
      <c r="AZ36" s="166"/>
      <c r="BA36" s="166"/>
      <c r="BB36" s="166"/>
      <c r="BC36" s="167"/>
      <c r="BD36" s="168"/>
      <c r="BE36" s="166"/>
      <c r="BF36" s="166"/>
      <c r="BG36" s="166"/>
      <c r="BH36" s="166"/>
      <c r="BI36" s="166"/>
      <c r="BJ36" s="167"/>
      <c r="BK36" s="133"/>
    </row>
    <row r="37" spans="1:63" ht="15" customHeight="1" x14ac:dyDescent="0.25">
      <c r="A37" s="132"/>
      <c r="B37" s="104"/>
      <c r="C37" s="102"/>
      <c r="D37" s="102"/>
      <c r="E37" s="102"/>
      <c r="F37" s="102"/>
      <c r="G37" s="103"/>
      <c r="H37" s="104"/>
      <c r="I37" s="102"/>
      <c r="J37" s="102"/>
      <c r="K37" s="102"/>
      <c r="L37" s="102"/>
      <c r="M37" s="102"/>
      <c r="N37" s="103"/>
      <c r="O37" s="104"/>
      <c r="P37" s="102"/>
      <c r="Q37" s="102"/>
      <c r="R37" s="102"/>
      <c r="S37" s="157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  <c r="AN37" s="158"/>
      <c r="AO37" s="158"/>
      <c r="AP37" s="158"/>
      <c r="AQ37" s="158"/>
      <c r="AR37" s="158"/>
      <c r="AS37" s="158"/>
      <c r="AT37" s="158"/>
      <c r="AU37" s="158"/>
      <c r="AV37" s="158"/>
      <c r="AW37" s="159"/>
      <c r="AX37" s="160"/>
      <c r="AY37" s="160"/>
      <c r="AZ37" s="160"/>
      <c r="BA37" s="160"/>
      <c r="BB37" s="160"/>
      <c r="BC37" s="161"/>
      <c r="BD37" s="162"/>
      <c r="BE37" s="160"/>
      <c r="BF37" s="160"/>
      <c r="BG37" s="160"/>
      <c r="BH37" s="160"/>
      <c r="BI37" s="160"/>
      <c r="BJ37" s="161"/>
      <c r="BK37" s="133"/>
    </row>
    <row r="38" spans="1:63" ht="15" customHeight="1" x14ac:dyDescent="0.25">
      <c r="A38" s="132"/>
      <c r="B38" s="114"/>
      <c r="C38" s="115"/>
      <c r="D38" s="115"/>
      <c r="E38" s="115"/>
      <c r="F38" s="115"/>
      <c r="G38" s="116"/>
      <c r="H38" s="114"/>
      <c r="I38" s="115"/>
      <c r="J38" s="115"/>
      <c r="K38" s="115"/>
      <c r="L38" s="115"/>
      <c r="M38" s="115"/>
      <c r="N38" s="116"/>
      <c r="O38" s="114"/>
      <c r="P38" s="115"/>
      <c r="Q38" s="115"/>
      <c r="R38" s="115"/>
      <c r="S38" s="163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64"/>
      <c r="AL38" s="164"/>
      <c r="AM38" s="164"/>
      <c r="AN38" s="164"/>
      <c r="AO38" s="164"/>
      <c r="AP38" s="164"/>
      <c r="AQ38" s="164"/>
      <c r="AR38" s="164"/>
      <c r="AS38" s="164"/>
      <c r="AT38" s="164"/>
      <c r="AU38" s="164"/>
      <c r="AV38" s="164"/>
      <c r="AW38" s="165"/>
      <c r="AX38" s="166"/>
      <c r="AY38" s="166"/>
      <c r="AZ38" s="166"/>
      <c r="BA38" s="166"/>
      <c r="BB38" s="166"/>
      <c r="BC38" s="167"/>
      <c r="BD38" s="168"/>
      <c r="BE38" s="166"/>
      <c r="BF38" s="166"/>
      <c r="BG38" s="166"/>
      <c r="BH38" s="166"/>
      <c r="BI38" s="166"/>
      <c r="BJ38" s="167"/>
      <c r="BK38" s="133"/>
    </row>
    <row r="39" spans="1:63" ht="15" customHeight="1" x14ac:dyDescent="0.25">
      <c r="A39" s="132"/>
      <c r="B39" s="104"/>
      <c r="C39" s="102"/>
      <c r="D39" s="102"/>
      <c r="E39" s="102"/>
      <c r="F39" s="102"/>
      <c r="G39" s="103"/>
      <c r="H39" s="104"/>
      <c r="I39" s="102"/>
      <c r="J39" s="102"/>
      <c r="K39" s="102"/>
      <c r="L39" s="102"/>
      <c r="M39" s="102"/>
      <c r="N39" s="103"/>
      <c r="O39" s="104"/>
      <c r="P39" s="102"/>
      <c r="Q39" s="102"/>
      <c r="R39" s="102"/>
      <c r="S39" s="157"/>
      <c r="T39" s="158"/>
      <c r="U39" s="158"/>
      <c r="V39" s="158"/>
      <c r="W39" s="158"/>
      <c r="X39" s="158"/>
      <c r="Y39" s="158"/>
      <c r="Z39" s="158"/>
      <c r="AA39" s="158"/>
      <c r="AB39" s="158"/>
      <c r="AC39" s="158"/>
      <c r="AD39" s="158"/>
      <c r="AE39" s="158"/>
      <c r="AF39" s="158"/>
      <c r="AG39" s="158"/>
      <c r="AH39" s="158"/>
      <c r="AI39" s="158"/>
      <c r="AJ39" s="158"/>
      <c r="AK39" s="158"/>
      <c r="AL39" s="158"/>
      <c r="AM39" s="158"/>
      <c r="AN39" s="158"/>
      <c r="AO39" s="158"/>
      <c r="AP39" s="158"/>
      <c r="AQ39" s="158"/>
      <c r="AR39" s="158"/>
      <c r="AS39" s="158"/>
      <c r="AT39" s="158"/>
      <c r="AU39" s="158"/>
      <c r="AV39" s="158"/>
      <c r="AW39" s="159"/>
      <c r="AX39" s="160"/>
      <c r="AY39" s="160"/>
      <c r="AZ39" s="160"/>
      <c r="BA39" s="160"/>
      <c r="BB39" s="160"/>
      <c r="BC39" s="161"/>
      <c r="BD39" s="162"/>
      <c r="BE39" s="160"/>
      <c r="BF39" s="160"/>
      <c r="BG39" s="160"/>
      <c r="BH39" s="160"/>
      <c r="BI39" s="160"/>
      <c r="BJ39" s="161"/>
      <c r="BK39" s="133"/>
    </row>
    <row r="40" spans="1:63" ht="15" customHeight="1" x14ac:dyDescent="0.25">
      <c r="A40" s="132"/>
      <c r="B40" s="114"/>
      <c r="C40" s="115"/>
      <c r="D40" s="115"/>
      <c r="E40" s="115"/>
      <c r="F40" s="115"/>
      <c r="G40" s="116"/>
      <c r="H40" s="114"/>
      <c r="I40" s="115"/>
      <c r="J40" s="115"/>
      <c r="K40" s="115"/>
      <c r="L40" s="115"/>
      <c r="M40" s="115"/>
      <c r="N40" s="116"/>
      <c r="O40" s="114"/>
      <c r="P40" s="115"/>
      <c r="Q40" s="115"/>
      <c r="R40" s="115"/>
      <c r="S40" s="163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4"/>
      <c r="AG40" s="164"/>
      <c r="AH40" s="164"/>
      <c r="AI40" s="164"/>
      <c r="AJ40" s="164"/>
      <c r="AK40" s="164"/>
      <c r="AL40" s="164"/>
      <c r="AM40" s="164"/>
      <c r="AN40" s="164"/>
      <c r="AO40" s="164"/>
      <c r="AP40" s="164"/>
      <c r="AQ40" s="164"/>
      <c r="AR40" s="164"/>
      <c r="AS40" s="164"/>
      <c r="AT40" s="164"/>
      <c r="AU40" s="164"/>
      <c r="AV40" s="164"/>
      <c r="AW40" s="165"/>
      <c r="AX40" s="166"/>
      <c r="AY40" s="166"/>
      <c r="AZ40" s="166"/>
      <c r="BA40" s="166"/>
      <c r="BB40" s="166"/>
      <c r="BC40" s="167"/>
      <c r="BD40" s="168"/>
      <c r="BE40" s="166"/>
      <c r="BF40" s="166"/>
      <c r="BG40" s="166"/>
      <c r="BH40" s="166"/>
      <c r="BI40" s="166"/>
      <c r="BJ40" s="167"/>
      <c r="BK40" s="133"/>
    </row>
    <row r="41" spans="1:63" ht="15" customHeight="1" x14ac:dyDescent="0.25">
      <c r="A41" s="132"/>
      <c r="B41" s="104"/>
      <c r="C41" s="102"/>
      <c r="D41" s="102"/>
      <c r="E41" s="102"/>
      <c r="F41" s="102"/>
      <c r="G41" s="103"/>
      <c r="H41" s="104"/>
      <c r="I41" s="102"/>
      <c r="J41" s="102"/>
      <c r="K41" s="102"/>
      <c r="L41" s="102"/>
      <c r="M41" s="102"/>
      <c r="N41" s="103"/>
      <c r="O41" s="104"/>
      <c r="P41" s="102"/>
      <c r="Q41" s="102"/>
      <c r="R41" s="102"/>
      <c r="S41" s="157"/>
      <c r="T41" s="158"/>
      <c r="U41" s="158"/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158"/>
      <c r="AG41" s="158"/>
      <c r="AH41" s="158"/>
      <c r="AI41" s="158"/>
      <c r="AJ41" s="158"/>
      <c r="AK41" s="158"/>
      <c r="AL41" s="158"/>
      <c r="AM41" s="158"/>
      <c r="AN41" s="158"/>
      <c r="AO41" s="158"/>
      <c r="AP41" s="158"/>
      <c r="AQ41" s="158"/>
      <c r="AR41" s="158"/>
      <c r="AS41" s="158"/>
      <c r="AT41" s="158"/>
      <c r="AU41" s="158"/>
      <c r="AV41" s="158"/>
      <c r="AW41" s="159"/>
      <c r="AX41" s="160"/>
      <c r="AY41" s="160"/>
      <c r="AZ41" s="160"/>
      <c r="BA41" s="160"/>
      <c r="BB41" s="160"/>
      <c r="BC41" s="161"/>
      <c r="BD41" s="162"/>
      <c r="BE41" s="160"/>
      <c r="BF41" s="160"/>
      <c r="BG41" s="160"/>
      <c r="BH41" s="160"/>
      <c r="BI41" s="160"/>
      <c r="BJ41" s="161"/>
      <c r="BK41" s="133"/>
    </row>
    <row r="42" spans="1:63" ht="15" customHeight="1" x14ac:dyDescent="0.25">
      <c r="A42" s="132"/>
      <c r="B42" s="114"/>
      <c r="C42" s="115"/>
      <c r="D42" s="115"/>
      <c r="E42" s="115"/>
      <c r="F42" s="115"/>
      <c r="G42" s="116"/>
      <c r="H42" s="114"/>
      <c r="I42" s="115"/>
      <c r="J42" s="115"/>
      <c r="K42" s="115"/>
      <c r="L42" s="115"/>
      <c r="M42" s="115"/>
      <c r="N42" s="116"/>
      <c r="O42" s="114"/>
      <c r="P42" s="115"/>
      <c r="Q42" s="115"/>
      <c r="R42" s="115"/>
      <c r="S42" s="163"/>
      <c r="T42" s="164"/>
      <c r="U42" s="164"/>
      <c r="V42" s="164"/>
      <c r="W42" s="164"/>
      <c r="X42" s="164"/>
      <c r="Y42" s="164"/>
      <c r="Z42" s="164"/>
      <c r="AA42" s="164"/>
      <c r="AB42" s="164"/>
      <c r="AC42" s="164"/>
      <c r="AD42" s="164"/>
      <c r="AE42" s="164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64"/>
      <c r="AS42" s="164"/>
      <c r="AT42" s="164"/>
      <c r="AU42" s="164"/>
      <c r="AV42" s="164"/>
      <c r="AW42" s="165"/>
      <c r="AX42" s="166"/>
      <c r="AY42" s="166"/>
      <c r="AZ42" s="166"/>
      <c r="BA42" s="166"/>
      <c r="BB42" s="166"/>
      <c r="BC42" s="167"/>
      <c r="BD42" s="168"/>
      <c r="BE42" s="166"/>
      <c r="BF42" s="166"/>
      <c r="BG42" s="166"/>
      <c r="BH42" s="166"/>
      <c r="BI42" s="166"/>
      <c r="BJ42" s="167"/>
      <c r="BK42" s="133"/>
    </row>
    <row r="43" spans="1:63" ht="15" customHeight="1" x14ac:dyDescent="0.25">
      <c r="A43" s="132"/>
      <c r="B43" s="104"/>
      <c r="C43" s="102"/>
      <c r="D43" s="102"/>
      <c r="E43" s="102"/>
      <c r="F43" s="102"/>
      <c r="G43" s="103"/>
      <c r="H43" s="104"/>
      <c r="I43" s="102"/>
      <c r="J43" s="102"/>
      <c r="K43" s="102"/>
      <c r="L43" s="102"/>
      <c r="M43" s="102"/>
      <c r="N43" s="103"/>
      <c r="O43" s="104"/>
      <c r="P43" s="102"/>
      <c r="Q43" s="102"/>
      <c r="R43" s="102"/>
      <c r="S43" s="157"/>
      <c r="T43" s="158"/>
      <c r="U43" s="158"/>
      <c r="V43" s="158"/>
      <c r="W43" s="158"/>
      <c r="X43" s="158"/>
      <c r="Y43" s="158"/>
      <c r="Z43" s="158"/>
      <c r="AA43" s="158"/>
      <c r="AB43" s="158"/>
      <c r="AC43" s="158"/>
      <c r="AD43" s="158"/>
      <c r="AE43" s="158"/>
      <c r="AF43" s="158"/>
      <c r="AG43" s="158"/>
      <c r="AH43" s="158"/>
      <c r="AI43" s="158"/>
      <c r="AJ43" s="158"/>
      <c r="AK43" s="158"/>
      <c r="AL43" s="158"/>
      <c r="AM43" s="158"/>
      <c r="AN43" s="158"/>
      <c r="AO43" s="158"/>
      <c r="AP43" s="158"/>
      <c r="AQ43" s="158"/>
      <c r="AR43" s="158"/>
      <c r="AS43" s="158"/>
      <c r="AT43" s="158"/>
      <c r="AU43" s="158"/>
      <c r="AV43" s="158"/>
      <c r="AW43" s="159"/>
      <c r="AX43" s="160"/>
      <c r="AY43" s="160"/>
      <c r="AZ43" s="160"/>
      <c r="BA43" s="160"/>
      <c r="BB43" s="160"/>
      <c r="BC43" s="161"/>
      <c r="BD43" s="162"/>
      <c r="BE43" s="160"/>
      <c r="BF43" s="160"/>
      <c r="BG43" s="160"/>
      <c r="BH43" s="160"/>
      <c r="BI43" s="160"/>
      <c r="BJ43" s="161"/>
      <c r="BK43" s="133"/>
    </row>
    <row r="44" spans="1:63" ht="15" customHeight="1" x14ac:dyDescent="0.25">
      <c r="A44" s="132"/>
      <c r="B44" s="114"/>
      <c r="C44" s="115"/>
      <c r="D44" s="115"/>
      <c r="E44" s="115"/>
      <c r="F44" s="115"/>
      <c r="G44" s="116"/>
      <c r="H44" s="114"/>
      <c r="I44" s="115"/>
      <c r="J44" s="115"/>
      <c r="K44" s="115"/>
      <c r="L44" s="115"/>
      <c r="M44" s="115"/>
      <c r="N44" s="116"/>
      <c r="O44" s="114"/>
      <c r="P44" s="115"/>
      <c r="Q44" s="115"/>
      <c r="R44" s="115"/>
      <c r="S44" s="163"/>
      <c r="T44" s="164"/>
      <c r="U44" s="164"/>
      <c r="V44" s="164"/>
      <c r="W44" s="164"/>
      <c r="X44" s="164"/>
      <c r="Y44" s="164"/>
      <c r="Z44" s="164"/>
      <c r="AA44" s="164"/>
      <c r="AB44" s="164"/>
      <c r="AC44" s="164"/>
      <c r="AD44" s="164"/>
      <c r="AE44" s="164"/>
      <c r="AF44" s="164"/>
      <c r="AG44" s="164"/>
      <c r="AH44" s="164"/>
      <c r="AI44" s="164"/>
      <c r="AJ44" s="164"/>
      <c r="AK44" s="164"/>
      <c r="AL44" s="164"/>
      <c r="AM44" s="164"/>
      <c r="AN44" s="164"/>
      <c r="AO44" s="164"/>
      <c r="AP44" s="164"/>
      <c r="AQ44" s="164"/>
      <c r="AR44" s="164"/>
      <c r="AS44" s="164"/>
      <c r="AT44" s="164"/>
      <c r="AU44" s="164"/>
      <c r="AV44" s="164"/>
      <c r="AW44" s="165"/>
      <c r="AX44" s="166"/>
      <c r="AY44" s="166"/>
      <c r="AZ44" s="166"/>
      <c r="BA44" s="166"/>
      <c r="BB44" s="166"/>
      <c r="BC44" s="167"/>
      <c r="BD44" s="168"/>
      <c r="BE44" s="166"/>
      <c r="BF44" s="166"/>
      <c r="BG44" s="166"/>
      <c r="BH44" s="166"/>
      <c r="BI44" s="166"/>
      <c r="BJ44" s="167"/>
      <c r="BK44" s="133"/>
    </row>
    <row r="45" spans="1:63" ht="15" customHeight="1" x14ac:dyDescent="0.25">
      <c r="A45" s="132"/>
      <c r="B45" s="104"/>
      <c r="C45" s="102"/>
      <c r="D45" s="102"/>
      <c r="E45" s="102"/>
      <c r="F45" s="102"/>
      <c r="G45" s="103"/>
      <c r="H45" s="104"/>
      <c r="I45" s="102"/>
      <c r="J45" s="102"/>
      <c r="K45" s="102"/>
      <c r="L45" s="102"/>
      <c r="M45" s="102"/>
      <c r="N45" s="103"/>
      <c r="O45" s="104"/>
      <c r="P45" s="102"/>
      <c r="Q45" s="102"/>
      <c r="R45" s="102"/>
      <c r="S45" s="157"/>
      <c r="T45" s="158"/>
      <c r="U45" s="158"/>
      <c r="V45" s="158"/>
      <c r="W45" s="158"/>
      <c r="X45" s="158"/>
      <c r="Y45" s="158"/>
      <c r="Z45" s="158"/>
      <c r="AA45" s="158"/>
      <c r="AB45" s="158"/>
      <c r="AC45" s="158"/>
      <c r="AD45" s="158"/>
      <c r="AE45" s="158"/>
      <c r="AF45" s="158"/>
      <c r="AG45" s="158"/>
      <c r="AH45" s="158"/>
      <c r="AI45" s="158"/>
      <c r="AJ45" s="158"/>
      <c r="AK45" s="158"/>
      <c r="AL45" s="158"/>
      <c r="AM45" s="158"/>
      <c r="AN45" s="158"/>
      <c r="AO45" s="158"/>
      <c r="AP45" s="158"/>
      <c r="AQ45" s="158"/>
      <c r="AR45" s="158"/>
      <c r="AS45" s="158"/>
      <c r="AT45" s="158"/>
      <c r="AU45" s="158"/>
      <c r="AV45" s="158"/>
      <c r="AW45" s="159"/>
      <c r="AX45" s="160"/>
      <c r="AY45" s="160"/>
      <c r="AZ45" s="160"/>
      <c r="BA45" s="160"/>
      <c r="BB45" s="160"/>
      <c r="BC45" s="161"/>
      <c r="BD45" s="162"/>
      <c r="BE45" s="160"/>
      <c r="BF45" s="160"/>
      <c r="BG45" s="160"/>
      <c r="BH45" s="160"/>
      <c r="BI45" s="160"/>
      <c r="BJ45" s="161"/>
      <c r="BK45" s="133"/>
    </row>
    <row r="46" spans="1:63" ht="15" customHeight="1" x14ac:dyDescent="0.25">
      <c r="A46" s="132"/>
      <c r="B46" s="114"/>
      <c r="C46" s="115"/>
      <c r="D46" s="115"/>
      <c r="E46" s="115"/>
      <c r="F46" s="115"/>
      <c r="G46" s="116"/>
      <c r="H46" s="114"/>
      <c r="I46" s="115"/>
      <c r="J46" s="115"/>
      <c r="K46" s="115"/>
      <c r="L46" s="115"/>
      <c r="M46" s="115"/>
      <c r="N46" s="116"/>
      <c r="O46" s="114"/>
      <c r="P46" s="115"/>
      <c r="Q46" s="115"/>
      <c r="R46" s="115"/>
      <c r="S46" s="163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  <c r="AD46" s="164"/>
      <c r="AE46" s="164"/>
      <c r="AF46" s="164"/>
      <c r="AG46" s="164"/>
      <c r="AH46" s="164"/>
      <c r="AI46" s="164"/>
      <c r="AJ46" s="164"/>
      <c r="AK46" s="164"/>
      <c r="AL46" s="164"/>
      <c r="AM46" s="164"/>
      <c r="AN46" s="164"/>
      <c r="AO46" s="164"/>
      <c r="AP46" s="164"/>
      <c r="AQ46" s="164"/>
      <c r="AR46" s="164"/>
      <c r="AS46" s="164"/>
      <c r="AT46" s="164"/>
      <c r="AU46" s="164"/>
      <c r="AV46" s="164"/>
      <c r="AW46" s="165"/>
      <c r="AX46" s="166"/>
      <c r="AY46" s="166"/>
      <c r="AZ46" s="166"/>
      <c r="BA46" s="166"/>
      <c r="BB46" s="166"/>
      <c r="BC46" s="167"/>
      <c r="BD46" s="168"/>
      <c r="BE46" s="166"/>
      <c r="BF46" s="166"/>
      <c r="BG46" s="166"/>
      <c r="BH46" s="166"/>
      <c r="BI46" s="166"/>
      <c r="BJ46" s="167"/>
      <c r="BK46" s="133"/>
    </row>
    <row r="47" spans="1:63" ht="15" customHeight="1" x14ac:dyDescent="0.25">
      <c r="A47" s="132"/>
      <c r="B47" s="104"/>
      <c r="C47" s="102"/>
      <c r="D47" s="102"/>
      <c r="E47" s="102"/>
      <c r="F47" s="102"/>
      <c r="G47" s="103"/>
      <c r="H47" s="104"/>
      <c r="I47" s="102"/>
      <c r="J47" s="102"/>
      <c r="K47" s="102"/>
      <c r="L47" s="102"/>
      <c r="M47" s="102"/>
      <c r="N47" s="103"/>
      <c r="O47" s="104"/>
      <c r="P47" s="102"/>
      <c r="Q47" s="102"/>
      <c r="R47" s="102"/>
      <c r="S47" s="157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  <c r="AG47" s="158"/>
      <c r="AH47" s="158"/>
      <c r="AI47" s="158"/>
      <c r="AJ47" s="158"/>
      <c r="AK47" s="158"/>
      <c r="AL47" s="158"/>
      <c r="AM47" s="158"/>
      <c r="AN47" s="158"/>
      <c r="AO47" s="158"/>
      <c r="AP47" s="158"/>
      <c r="AQ47" s="158"/>
      <c r="AR47" s="158"/>
      <c r="AS47" s="158"/>
      <c r="AT47" s="158"/>
      <c r="AU47" s="158"/>
      <c r="AV47" s="158"/>
      <c r="AW47" s="159"/>
      <c r="AX47" s="160"/>
      <c r="AY47" s="160"/>
      <c r="AZ47" s="160"/>
      <c r="BA47" s="160"/>
      <c r="BB47" s="160"/>
      <c r="BC47" s="161"/>
      <c r="BD47" s="162"/>
      <c r="BE47" s="160"/>
      <c r="BF47" s="160"/>
      <c r="BG47" s="160"/>
      <c r="BH47" s="160"/>
      <c r="BI47" s="160"/>
      <c r="BJ47" s="161"/>
      <c r="BK47" s="133"/>
    </row>
    <row r="48" spans="1:63" ht="15" customHeight="1" x14ac:dyDescent="0.25">
      <c r="A48" s="132"/>
      <c r="B48" s="114"/>
      <c r="C48" s="115"/>
      <c r="D48" s="115"/>
      <c r="E48" s="115"/>
      <c r="F48" s="115"/>
      <c r="G48" s="116"/>
      <c r="H48" s="114"/>
      <c r="I48" s="115"/>
      <c r="J48" s="115"/>
      <c r="K48" s="115"/>
      <c r="L48" s="115"/>
      <c r="M48" s="115"/>
      <c r="N48" s="116"/>
      <c r="O48" s="114"/>
      <c r="P48" s="115"/>
      <c r="Q48" s="115"/>
      <c r="R48" s="115"/>
      <c r="S48" s="163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  <c r="AG48" s="164"/>
      <c r="AH48" s="164"/>
      <c r="AI48" s="164"/>
      <c r="AJ48" s="164"/>
      <c r="AK48" s="164"/>
      <c r="AL48" s="164"/>
      <c r="AM48" s="164"/>
      <c r="AN48" s="164"/>
      <c r="AO48" s="164"/>
      <c r="AP48" s="164"/>
      <c r="AQ48" s="164"/>
      <c r="AR48" s="164"/>
      <c r="AS48" s="164"/>
      <c r="AT48" s="164"/>
      <c r="AU48" s="164"/>
      <c r="AV48" s="164"/>
      <c r="AW48" s="165"/>
      <c r="AX48" s="166"/>
      <c r="AY48" s="166"/>
      <c r="AZ48" s="166"/>
      <c r="BA48" s="166"/>
      <c r="BB48" s="166"/>
      <c r="BC48" s="167"/>
      <c r="BD48" s="168"/>
      <c r="BE48" s="166"/>
      <c r="BF48" s="166"/>
      <c r="BG48" s="166"/>
      <c r="BH48" s="166"/>
      <c r="BI48" s="166"/>
      <c r="BJ48" s="167"/>
      <c r="BK48" s="133"/>
    </row>
    <row r="49" spans="1:63" ht="15" customHeight="1" x14ac:dyDescent="0.25">
      <c r="A49" s="132"/>
      <c r="B49" s="104"/>
      <c r="C49" s="102"/>
      <c r="D49" s="102"/>
      <c r="E49" s="102"/>
      <c r="F49" s="102"/>
      <c r="G49" s="103"/>
      <c r="H49" s="104"/>
      <c r="I49" s="102"/>
      <c r="J49" s="102"/>
      <c r="K49" s="102"/>
      <c r="L49" s="102"/>
      <c r="M49" s="102"/>
      <c r="N49" s="103"/>
      <c r="O49" s="104"/>
      <c r="P49" s="102"/>
      <c r="Q49" s="102"/>
      <c r="R49" s="102"/>
      <c r="S49" s="157"/>
      <c r="T49" s="158"/>
      <c r="U49" s="158"/>
      <c r="V49" s="158"/>
      <c r="W49" s="158"/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  <c r="AO49" s="158"/>
      <c r="AP49" s="158"/>
      <c r="AQ49" s="158"/>
      <c r="AR49" s="158"/>
      <c r="AS49" s="158"/>
      <c r="AT49" s="158"/>
      <c r="AU49" s="158"/>
      <c r="AV49" s="158"/>
      <c r="AW49" s="159"/>
      <c r="AX49" s="160"/>
      <c r="AY49" s="160"/>
      <c r="AZ49" s="160"/>
      <c r="BA49" s="160"/>
      <c r="BB49" s="160"/>
      <c r="BC49" s="161"/>
      <c r="BD49" s="162"/>
      <c r="BE49" s="160"/>
      <c r="BF49" s="160"/>
      <c r="BG49" s="160"/>
      <c r="BH49" s="160"/>
      <c r="BI49" s="160"/>
      <c r="BJ49" s="161"/>
      <c r="BK49" s="133"/>
    </row>
    <row r="50" spans="1:63" ht="15" customHeight="1" x14ac:dyDescent="0.25">
      <c r="A50" s="132"/>
      <c r="B50" s="114"/>
      <c r="C50" s="115"/>
      <c r="D50" s="115"/>
      <c r="E50" s="115"/>
      <c r="F50" s="115"/>
      <c r="G50" s="116"/>
      <c r="H50" s="114"/>
      <c r="I50" s="115"/>
      <c r="J50" s="115"/>
      <c r="K50" s="115"/>
      <c r="L50" s="115"/>
      <c r="M50" s="115"/>
      <c r="N50" s="116"/>
      <c r="O50" s="114"/>
      <c r="P50" s="115"/>
      <c r="Q50" s="115"/>
      <c r="R50" s="115"/>
      <c r="S50" s="163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164"/>
      <c r="AQ50" s="164"/>
      <c r="AR50" s="164"/>
      <c r="AS50" s="164"/>
      <c r="AT50" s="164"/>
      <c r="AU50" s="164"/>
      <c r="AV50" s="164"/>
      <c r="AW50" s="165"/>
      <c r="AX50" s="166"/>
      <c r="AY50" s="166"/>
      <c r="AZ50" s="166"/>
      <c r="BA50" s="166"/>
      <c r="BB50" s="166"/>
      <c r="BC50" s="167"/>
      <c r="BD50" s="168"/>
      <c r="BE50" s="166"/>
      <c r="BF50" s="166"/>
      <c r="BG50" s="166"/>
      <c r="BH50" s="166"/>
      <c r="BI50" s="166"/>
      <c r="BJ50" s="167"/>
      <c r="BK50" s="133"/>
    </row>
    <row r="51" spans="1:63" ht="15" customHeight="1" x14ac:dyDescent="0.25">
      <c r="A51" s="132"/>
      <c r="B51" s="104"/>
      <c r="C51" s="102"/>
      <c r="D51" s="102"/>
      <c r="E51" s="102"/>
      <c r="F51" s="102"/>
      <c r="G51" s="103"/>
      <c r="H51" s="104"/>
      <c r="I51" s="102"/>
      <c r="J51" s="102"/>
      <c r="K51" s="102"/>
      <c r="L51" s="102"/>
      <c r="M51" s="102"/>
      <c r="N51" s="103"/>
      <c r="O51" s="104"/>
      <c r="P51" s="102"/>
      <c r="Q51" s="102"/>
      <c r="R51" s="102"/>
      <c r="S51" s="157"/>
      <c r="T51" s="158"/>
      <c r="U51" s="158"/>
      <c r="V51" s="158"/>
      <c r="W51" s="158"/>
      <c r="X51" s="158"/>
      <c r="Y51" s="158"/>
      <c r="Z51" s="158"/>
      <c r="AA51" s="158"/>
      <c r="AB51" s="158"/>
      <c r="AC51" s="158"/>
      <c r="AD51" s="158"/>
      <c r="AE51" s="158"/>
      <c r="AF51" s="158"/>
      <c r="AG51" s="158"/>
      <c r="AH51" s="158"/>
      <c r="AI51" s="158"/>
      <c r="AJ51" s="158"/>
      <c r="AK51" s="158"/>
      <c r="AL51" s="158"/>
      <c r="AM51" s="158"/>
      <c r="AN51" s="158"/>
      <c r="AO51" s="158"/>
      <c r="AP51" s="158"/>
      <c r="AQ51" s="158"/>
      <c r="AR51" s="158"/>
      <c r="AS51" s="158"/>
      <c r="AT51" s="158"/>
      <c r="AU51" s="158"/>
      <c r="AV51" s="158"/>
      <c r="AW51" s="159"/>
      <c r="AX51" s="160"/>
      <c r="AY51" s="160"/>
      <c r="AZ51" s="160"/>
      <c r="BA51" s="160"/>
      <c r="BB51" s="160"/>
      <c r="BC51" s="161"/>
      <c r="BD51" s="162"/>
      <c r="BE51" s="160"/>
      <c r="BF51" s="160"/>
      <c r="BG51" s="160"/>
      <c r="BH51" s="160"/>
      <c r="BI51" s="160"/>
      <c r="BJ51" s="161"/>
      <c r="BK51" s="133"/>
    </row>
    <row r="52" spans="1:63" ht="15" customHeight="1" x14ac:dyDescent="0.25">
      <c r="A52" s="132"/>
      <c r="B52" s="114"/>
      <c r="C52" s="115"/>
      <c r="D52" s="115"/>
      <c r="E52" s="115"/>
      <c r="F52" s="115"/>
      <c r="G52" s="116"/>
      <c r="H52" s="114"/>
      <c r="I52" s="115"/>
      <c r="J52" s="115"/>
      <c r="K52" s="115"/>
      <c r="L52" s="115"/>
      <c r="M52" s="115"/>
      <c r="N52" s="116"/>
      <c r="O52" s="114"/>
      <c r="P52" s="115"/>
      <c r="Q52" s="115"/>
      <c r="R52" s="115"/>
      <c r="S52" s="163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  <c r="AD52" s="164"/>
      <c r="AE52" s="164"/>
      <c r="AF52" s="164"/>
      <c r="AG52" s="164"/>
      <c r="AH52" s="164"/>
      <c r="AI52" s="164"/>
      <c r="AJ52" s="164"/>
      <c r="AK52" s="164"/>
      <c r="AL52" s="164"/>
      <c r="AM52" s="164"/>
      <c r="AN52" s="164"/>
      <c r="AO52" s="164"/>
      <c r="AP52" s="164"/>
      <c r="AQ52" s="164"/>
      <c r="AR52" s="164"/>
      <c r="AS52" s="164"/>
      <c r="AT52" s="164"/>
      <c r="AU52" s="164"/>
      <c r="AV52" s="164"/>
      <c r="AW52" s="165"/>
      <c r="AX52" s="166"/>
      <c r="AY52" s="166"/>
      <c r="AZ52" s="166"/>
      <c r="BA52" s="166"/>
      <c r="BB52" s="166"/>
      <c r="BC52" s="167"/>
      <c r="BD52" s="168"/>
      <c r="BE52" s="166"/>
      <c r="BF52" s="166"/>
      <c r="BG52" s="166"/>
      <c r="BH52" s="166"/>
      <c r="BI52" s="166"/>
      <c r="BJ52" s="167"/>
      <c r="BK52" s="133"/>
    </row>
    <row r="53" spans="1:63" ht="15" customHeight="1" x14ac:dyDescent="0.25">
      <c r="A53" s="132"/>
      <c r="B53" s="104"/>
      <c r="C53" s="102"/>
      <c r="D53" s="102"/>
      <c r="E53" s="102"/>
      <c r="F53" s="102"/>
      <c r="G53" s="103"/>
      <c r="H53" s="104"/>
      <c r="I53" s="102"/>
      <c r="J53" s="102"/>
      <c r="K53" s="102"/>
      <c r="L53" s="102"/>
      <c r="M53" s="102"/>
      <c r="N53" s="103"/>
      <c r="O53" s="104"/>
      <c r="P53" s="102"/>
      <c r="Q53" s="102"/>
      <c r="R53" s="102"/>
      <c r="S53" s="157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58"/>
      <c r="AP53" s="158"/>
      <c r="AQ53" s="158"/>
      <c r="AR53" s="158"/>
      <c r="AS53" s="158"/>
      <c r="AT53" s="158"/>
      <c r="AU53" s="158"/>
      <c r="AV53" s="158"/>
      <c r="AW53" s="159"/>
      <c r="AX53" s="160"/>
      <c r="AY53" s="160"/>
      <c r="AZ53" s="160"/>
      <c r="BA53" s="160"/>
      <c r="BB53" s="160"/>
      <c r="BC53" s="161"/>
      <c r="BD53" s="162"/>
      <c r="BE53" s="160"/>
      <c r="BF53" s="160"/>
      <c r="BG53" s="160"/>
      <c r="BH53" s="160"/>
      <c r="BI53" s="160"/>
      <c r="BJ53" s="161"/>
      <c r="BK53" s="133"/>
    </row>
    <row r="54" spans="1:63" ht="15" customHeight="1" x14ac:dyDescent="0.25">
      <c r="A54" s="132"/>
      <c r="B54" s="114"/>
      <c r="C54" s="115"/>
      <c r="D54" s="115"/>
      <c r="E54" s="115"/>
      <c r="F54" s="115"/>
      <c r="G54" s="116"/>
      <c r="H54" s="114"/>
      <c r="I54" s="115"/>
      <c r="J54" s="115"/>
      <c r="K54" s="115"/>
      <c r="L54" s="115"/>
      <c r="M54" s="115"/>
      <c r="N54" s="116"/>
      <c r="O54" s="114"/>
      <c r="P54" s="115"/>
      <c r="Q54" s="115"/>
      <c r="R54" s="115"/>
      <c r="S54" s="163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  <c r="AK54" s="164"/>
      <c r="AL54" s="164"/>
      <c r="AM54" s="164"/>
      <c r="AN54" s="164"/>
      <c r="AO54" s="164"/>
      <c r="AP54" s="164"/>
      <c r="AQ54" s="164"/>
      <c r="AR54" s="164"/>
      <c r="AS54" s="164"/>
      <c r="AT54" s="164"/>
      <c r="AU54" s="164"/>
      <c r="AV54" s="164"/>
      <c r="AW54" s="165"/>
      <c r="AX54" s="166"/>
      <c r="AY54" s="166"/>
      <c r="AZ54" s="166"/>
      <c r="BA54" s="166"/>
      <c r="BB54" s="166"/>
      <c r="BC54" s="167"/>
      <c r="BD54" s="168"/>
      <c r="BE54" s="166"/>
      <c r="BF54" s="166"/>
      <c r="BG54" s="166"/>
      <c r="BH54" s="166"/>
      <c r="BI54" s="166"/>
      <c r="BJ54" s="167"/>
      <c r="BK54" s="133"/>
    </row>
    <row r="55" spans="1:63" ht="15" customHeight="1" x14ac:dyDescent="0.25">
      <c r="A55" s="129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  <c r="AQ55" s="130"/>
      <c r="AR55" s="130"/>
      <c r="AS55" s="130"/>
      <c r="AT55" s="130"/>
      <c r="AU55" s="130"/>
      <c r="AV55" s="130"/>
      <c r="AW55" s="130"/>
      <c r="AX55" s="130"/>
      <c r="AY55" s="130"/>
      <c r="AZ55" s="130"/>
      <c r="BA55" s="130"/>
      <c r="BB55" s="130"/>
      <c r="BC55" s="130"/>
      <c r="BD55" s="130"/>
      <c r="BE55" s="130"/>
      <c r="BF55" s="130"/>
      <c r="BG55" s="130"/>
      <c r="BH55" s="130"/>
      <c r="BI55" s="130"/>
      <c r="BJ55" s="130"/>
      <c r="BK55" s="131"/>
    </row>
  </sheetData>
  <mergeCells count="180">
    <mergeCell ref="B51:G52"/>
    <mergeCell ref="H51:N52"/>
    <mergeCell ref="O51:R52"/>
    <mergeCell ref="S51:AW51"/>
    <mergeCell ref="AX51:BC52"/>
    <mergeCell ref="BD51:BJ52"/>
    <mergeCell ref="S52:AW52"/>
    <mergeCell ref="B53:G54"/>
    <mergeCell ref="H53:N54"/>
    <mergeCell ref="O53:R54"/>
    <mergeCell ref="S53:AW53"/>
    <mergeCell ref="AX53:BC54"/>
    <mergeCell ref="BD53:BJ54"/>
    <mergeCell ref="S54:AW54"/>
    <mergeCell ref="B47:G48"/>
    <mergeCell ref="H47:N48"/>
    <mergeCell ref="O47:R48"/>
    <mergeCell ref="S47:AW47"/>
    <mergeCell ref="AX47:BC48"/>
    <mergeCell ref="BD47:BJ48"/>
    <mergeCell ref="S48:AW48"/>
    <mergeCell ref="B49:G50"/>
    <mergeCell ref="H49:N50"/>
    <mergeCell ref="O49:R50"/>
    <mergeCell ref="S49:AW49"/>
    <mergeCell ref="AX49:BC50"/>
    <mergeCell ref="BD49:BJ50"/>
    <mergeCell ref="S50:AW50"/>
    <mergeCell ref="B43:G44"/>
    <mergeCell ref="H43:N44"/>
    <mergeCell ref="O43:R44"/>
    <mergeCell ref="S43:AW43"/>
    <mergeCell ref="AX43:BC44"/>
    <mergeCell ref="BD43:BJ44"/>
    <mergeCell ref="S44:AW44"/>
    <mergeCell ref="B45:G46"/>
    <mergeCell ref="H45:N46"/>
    <mergeCell ref="O45:R46"/>
    <mergeCell ref="S45:AW45"/>
    <mergeCell ref="AX45:BC46"/>
    <mergeCell ref="BD45:BJ46"/>
    <mergeCell ref="S46:AW46"/>
    <mergeCell ref="B39:G40"/>
    <mergeCell ref="H39:N40"/>
    <mergeCell ref="O39:R40"/>
    <mergeCell ref="S39:AW39"/>
    <mergeCell ref="AX39:BC40"/>
    <mergeCell ref="BD39:BJ40"/>
    <mergeCell ref="S40:AW40"/>
    <mergeCell ref="B41:G42"/>
    <mergeCell ref="H41:N42"/>
    <mergeCell ref="O41:R42"/>
    <mergeCell ref="S41:AW41"/>
    <mergeCell ref="AX41:BC42"/>
    <mergeCell ref="BD41:BJ42"/>
    <mergeCell ref="S42:AW42"/>
    <mergeCell ref="B35:G36"/>
    <mergeCell ref="H35:N36"/>
    <mergeCell ref="O35:R36"/>
    <mergeCell ref="S35:AW35"/>
    <mergeCell ref="AX35:BC36"/>
    <mergeCell ref="BD35:BJ36"/>
    <mergeCell ref="S36:AW36"/>
    <mergeCell ref="B37:G38"/>
    <mergeCell ref="H37:N38"/>
    <mergeCell ref="O37:R38"/>
    <mergeCell ref="S37:AW37"/>
    <mergeCell ref="AX37:BC38"/>
    <mergeCell ref="BD37:BJ38"/>
    <mergeCell ref="S38:AW38"/>
    <mergeCell ref="B31:G32"/>
    <mergeCell ref="H31:N32"/>
    <mergeCell ref="O31:R32"/>
    <mergeCell ref="S31:AW31"/>
    <mergeCell ref="AX31:BC32"/>
    <mergeCell ref="BD31:BJ32"/>
    <mergeCell ref="S32:AW32"/>
    <mergeCell ref="B33:G34"/>
    <mergeCell ref="H33:N34"/>
    <mergeCell ref="O33:R34"/>
    <mergeCell ref="S33:AW33"/>
    <mergeCell ref="AX33:BC34"/>
    <mergeCell ref="BD33:BJ34"/>
    <mergeCell ref="S34:AW34"/>
    <mergeCell ref="B27:G28"/>
    <mergeCell ref="H27:N28"/>
    <mergeCell ref="O27:R28"/>
    <mergeCell ref="S27:AW27"/>
    <mergeCell ref="AX27:BC28"/>
    <mergeCell ref="BD27:BJ28"/>
    <mergeCell ref="S28:AW28"/>
    <mergeCell ref="B29:G30"/>
    <mergeCell ref="H29:N30"/>
    <mergeCell ref="O29:R30"/>
    <mergeCell ref="S29:AW29"/>
    <mergeCell ref="AX29:BC30"/>
    <mergeCell ref="BD29:BJ30"/>
    <mergeCell ref="S30:AW30"/>
    <mergeCell ref="B23:G24"/>
    <mergeCell ref="H23:N24"/>
    <mergeCell ref="O23:R24"/>
    <mergeCell ref="S23:AW23"/>
    <mergeCell ref="AX23:BC24"/>
    <mergeCell ref="BD23:BJ24"/>
    <mergeCell ref="S24:AW24"/>
    <mergeCell ref="B25:G26"/>
    <mergeCell ref="H25:N26"/>
    <mergeCell ref="O25:R26"/>
    <mergeCell ref="S25:AW25"/>
    <mergeCell ref="AX25:BC26"/>
    <mergeCell ref="BD25:BJ26"/>
    <mergeCell ref="S26:AW26"/>
    <mergeCell ref="B19:G20"/>
    <mergeCell ref="H19:N20"/>
    <mergeCell ref="O19:R20"/>
    <mergeCell ref="S19:AW19"/>
    <mergeCell ref="AX19:BC20"/>
    <mergeCell ref="BD19:BJ20"/>
    <mergeCell ref="S20:AW20"/>
    <mergeCell ref="B21:G22"/>
    <mergeCell ref="H21:N22"/>
    <mergeCell ref="O21:R22"/>
    <mergeCell ref="S21:AW21"/>
    <mergeCell ref="AX21:BC22"/>
    <mergeCell ref="BD21:BJ22"/>
    <mergeCell ref="S22:AW22"/>
    <mergeCell ref="B15:G16"/>
    <mergeCell ref="H15:N16"/>
    <mergeCell ref="O15:R16"/>
    <mergeCell ref="S15:AW15"/>
    <mergeCell ref="AX15:BC16"/>
    <mergeCell ref="BD15:BJ16"/>
    <mergeCell ref="S16:AW16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D10:BJ10"/>
    <mergeCell ref="B11:G12"/>
    <mergeCell ref="H11:N12"/>
    <mergeCell ref="O11:R12"/>
    <mergeCell ref="S11:AW11"/>
    <mergeCell ref="AX11:BC12"/>
    <mergeCell ref="BD11:BJ12"/>
    <mergeCell ref="S12:AW12"/>
    <mergeCell ref="B10:G10"/>
    <mergeCell ref="H10:N10"/>
    <mergeCell ref="O10:R10"/>
    <mergeCell ref="S10:AW10"/>
    <mergeCell ref="AX10:BC10"/>
    <mergeCell ref="B13:G14"/>
    <mergeCell ref="H13:N14"/>
    <mergeCell ref="O13:R14"/>
    <mergeCell ref="S13:AW13"/>
    <mergeCell ref="AX13:BC14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57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58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95" t="s">
        <v>60</v>
      </c>
      <c r="AQ1" s="96"/>
      <c r="AR1" s="96"/>
      <c r="AS1" s="97"/>
      <c r="AT1" s="95" t="s">
        <v>61</v>
      </c>
      <c r="AU1" s="96"/>
      <c r="AV1" s="96"/>
      <c r="AW1" s="96"/>
      <c r="AX1" s="97"/>
      <c r="AY1" s="95" t="s">
        <v>62</v>
      </c>
      <c r="AZ1" s="96"/>
      <c r="BA1" s="96"/>
      <c r="BB1" s="97"/>
      <c r="BC1" s="95" t="s">
        <v>63</v>
      </c>
      <c r="BD1" s="96"/>
      <c r="BE1" s="96"/>
      <c r="BF1" s="96"/>
      <c r="BG1" s="97"/>
      <c r="BH1" s="95" t="s">
        <v>64</v>
      </c>
      <c r="BI1" s="96"/>
      <c r="BJ1" s="96"/>
      <c r="BK1" s="97"/>
    </row>
    <row r="2" spans="1:63" ht="15" customHeight="1" x14ac:dyDescent="0.25">
      <c r="A2" s="57" t="str">
        <f>IF(表紙!A2="","",表紙!A2)</f>
        <v>POSサーバー</v>
      </c>
      <c r="B2" s="58"/>
      <c r="C2" s="58"/>
      <c r="D2" s="58"/>
      <c r="E2" s="58"/>
      <c r="F2" s="58"/>
      <c r="G2" s="58"/>
      <c r="H2" s="58"/>
      <c r="I2" s="58"/>
      <c r="J2" s="59"/>
      <c r="K2" s="57" t="str">
        <f>IF(表紙!K2="","",表紙!K2)</f>
        <v>POSサーバ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9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104" t="str">
        <f>IF(表紙!AP2="","",表紙!AP2)</f>
        <v>DuNT</v>
      </c>
      <c r="AQ2" s="102"/>
      <c r="AR2" s="102"/>
      <c r="AS2" s="103"/>
      <c r="AT2" s="108">
        <f>IF(表紙!AT2="","",表紙!AT2)</f>
        <v>45638</v>
      </c>
      <c r="AU2" s="109"/>
      <c r="AV2" s="109"/>
      <c r="AW2" s="109"/>
      <c r="AX2" s="110"/>
      <c r="AY2" s="104" t="str">
        <f>IF(表紙!AY2="","",表紙!AY2)</f>
        <v>DuNT</v>
      </c>
      <c r="AZ2" s="102"/>
      <c r="BA2" s="102"/>
      <c r="BB2" s="103"/>
      <c r="BC2" s="108">
        <f>IF(表紙!BC2="","",表紙!BC2)</f>
        <v>45638</v>
      </c>
      <c r="BD2" s="109"/>
      <c r="BE2" s="109"/>
      <c r="BF2" s="109"/>
      <c r="BG2" s="110"/>
      <c r="BH2" s="104">
        <f>IF(表紙!BH2="","",表紙!BH2)</f>
        <v>0.1</v>
      </c>
      <c r="BI2" s="102"/>
      <c r="BJ2" s="102"/>
      <c r="BK2" s="103"/>
    </row>
    <row r="3" spans="1:63" ht="15" customHeight="1" x14ac:dyDescent="0.25">
      <c r="A3" s="60"/>
      <c r="B3" s="61"/>
      <c r="C3" s="61"/>
      <c r="D3" s="61"/>
      <c r="E3" s="61"/>
      <c r="F3" s="61"/>
      <c r="G3" s="61"/>
      <c r="H3" s="61"/>
      <c r="I3" s="61"/>
      <c r="J3" s="62"/>
      <c r="K3" s="60"/>
      <c r="L3" s="61"/>
      <c r="M3" s="61"/>
      <c r="N3" s="61"/>
      <c r="O3" s="61"/>
      <c r="P3" s="61"/>
      <c r="Q3" s="61"/>
      <c r="R3" s="61"/>
      <c r="S3" s="61"/>
      <c r="T3" s="61"/>
      <c r="U3" s="61"/>
      <c r="V3" s="62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14"/>
      <c r="AQ3" s="115"/>
      <c r="AR3" s="115"/>
      <c r="AS3" s="116"/>
      <c r="AT3" s="120"/>
      <c r="AU3" s="121"/>
      <c r="AV3" s="121"/>
      <c r="AW3" s="121"/>
      <c r="AX3" s="122"/>
      <c r="AY3" s="114"/>
      <c r="AZ3" s="115"/>
      <c r="BA3" s="115"/>
      <c r="BB3" s="116"/>
      <c r="BC3" s="120"/>
      <c r="BD3" s="121"/>
      <c r="BE3" s="121"/>
      <c r="BF3" s="121"/>
      <c r="BG3" s="122"/>
      <c r="BH3" s="114"/>
      <c r="BI3" s="115"/>
      <c r="BJ3" s="115"/>
      <c r="BK3" s="116"/>
    </row>
    <row r="4" spans="1:63" ht="24.95" customHeight="1" x14ac:dyDescent="0.25">
      <c r="A4" s="169" t="s">
        <v>66</v>
      </c>
      <c r="B4" s="170"/>
      <c r="C4" s="170"/>
      <c r="D4" s="170"/>
      <c r="E4" s="170"/>
      <c r="F4" s="170"/>
      <c r="G4" s="171"/>
      <c r="H4" s="53" t="str">
        <f>IF(表紙!H4="","",表紙!H4)</f>
        <v>AP1001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5"/>
      <c r="U4" s="169" t="s">
        <v>67</v>
      </c>
      <c r="V4" s="170"/>
      <c r="W4" s="170"/>
      <c r="X4" s="170"/>
      <c r="Y4" s="171"/>
      <c r="Z4" s="53" t="str">
        <f>IF(表紙!Z4="","",表紙!Z4)</f>
        <v>API設計書</v>
      </c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5"/>
      <c r="AP4" s="56" t="str">
        <f ca="1">MID(CELL("filename",A1),FIND("]",CELL("filename",A1))+1,255)</f>
        <v>処理フロー凡例</v>
      </c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01" customFormat="1" ht="15" customHeight="1" x14ac:dyDescent="0.25">
      <c r="A7" s="181"/>
      <c r="B7" s="182" t="s">
        <v>78</v>
      </c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183"/>
      <c r="AD7" s="183"/>
      <c r="AE7" s="184"/>
      <c r="AF7" s="185"/>
      <c r="AG7" s="183"/>
      <c r="AH7" s="183"/>
      <c r="AI7" s="183"/>
      <c r="AJ7" s="183"/>
      <c r="AK7" s="183"/>
      <c r="AL7" s="183"/>
      <c r="AM7" s="183"/>
      <c r="AN7" s="183"/>
      <c r="AO7" s="183"/>
      <c r="AP7" s="183"/>
      <c r="AQ7" s="183"/>
      <c r="AR7" s="183"/>
      <c r="AS7" s="183"/>
      <c r="AT7" s="183"/>
      <c r="AU7" s="183"/>
      <c r="AV7" s="183"/>
      <c r="AW7" s="183"/>
      <c r="AX7" s="183"/>
      <c r="AY7" s="183"/>
      <c r="AZ7" s="183"/>
      <c r="BA7" s="183"/>
      <c r="BB7" s="183"/>
      <c r="BC7" s="183"/>
      <c r="BD7" s="183"/>
      <c r="BE7" s="183"/>
      <c r="BF7" s="183"/>
      <c r="BG7" s="183"/>
      <c r="BH7" s="183"/>
      <c r="BI7" s="184"/>
      <c r="BJ7" s="183"/>
      <c r="BK7" s="186"/>
    </row>
    <row r="8" spans="1:63" s="187" customFormat="1" ht="15" customHeight="1" x14ac:dyDescent="0.25">
      <c r="BK8" s="186"/>
    </row>
    <row r="9" spans="1:63" s="187" customFormat="1" ht="15" customHeight="1" x14ac:dyDescent="0.25">
      <c r="BK9" s="186"/>
    </row>
    <row r="10" spans="1:63" s="187" customFormat="1" ht="15" customHeight="1" x14ac:dyDescent="0.25">
      <c r="BK10" s="186"/>
    </row>
    <row r="11" spans="1:63" s="187" customFormat="1" ht="15" customHeight="1" x14ac:dyDescent="0.25">
      <c r="BK11" s="186"/>
    </row>
    <row r="12" spans="1:63" s="187" customFormat="1" ht="15" customHeight="1" x14ac:dyDescent="0.25">
      <c r="BK12" s="186"/>
    </row>
    <row r="13" spans="1:63" s="187" customFormat="1" ht="15" customHeight="1" x14ac:dyDescent="0.25">
      <c r="BK13" s="186"/>
    </row>
    <row r="14" spans="1:63" s="187" customFormat="1" ht="15" customHeight="1" x14ac:dyDescent="0.25">
      <c r="BK14" s="186"/>
    </row>
    <row r="15" spans="1:63" s="187" customFormat="1" ht="15" customHeight="1" x14ac:dyDescent="0.25">
      <c r="BK15" s="186"/>
    </row>
    <row r="16" spans="1:63" s="187" customFormat="1" ht="15" customHeight="1" x14ac:dyDescent="0.25">
      <c r="BK16" s="186"/>
    </row>
    <row r="17" spans="63:63" s="187" customFormat="1" ht="15" customHeight="1" x14ac:dyDescent="0.25">
      <c r="BK17" s="186"/>
    </row>
    <row r="18" spans="63:63" s="187" customFormat="1" ht="15" customHeight="1" x14ac:dyDescent="0.25">
      <c r="BK18" s="186"/>
    </row>
    <row r="19" spans="63:63" s="187" customFormat="1" ht="15" customHeight="1" x14ac:dyDescent="0.25">
      <c r="BK19" s="186"/>
    </row>
    <row r="20" spans="63:63" s="187" customFormat="1" ht="15" customHeight="1" x14ac:dyDescent="0.25">
      <c r="BK20" s="186"/>
    </row>
    <row r="21" spans="63:63" s="187" customFormat="1" ht="15" customHeight="1" x14ac:dyDescent="0.25">
      <c r="BK21" s="186"/>
    </row>
    <row r="22" spans="63:63" s="187" customFormat="1" ht="15" customHeight="1" x14ac:dyDescent="0.25">
      <c r="BK22" s="186"/>
    </row>
    <row r="23" spans="63:63" s="187" customFormat="1" ht="15" customHeight="1" x14ac:dyDescent="0.25">
      <c r="BK23" s="186"/>
    </row>
    <row r="24" spans="63:63" s="187" customFormat="1" ht="15" customHeight="1" x14ac:dyDescent="0.25">
      <c r="BK24" s="186"/>
    </row>
    <row r="25" spans="63:63" s="187" customFormat="1" ht="15" customHeight="1" x14ac:dyDescent="0.25">
      <c r="BK25" s="186"/>
    </row>
    <row r="26" spans="63:63" s="187" customFormat="1" ht="15" customHeight="1" x14ac:dyDescent="0.25">
      <c r="BK26" s="186"/>
    </row>
    <row r="27" spans="63:63" s="187" customFormat="1" ht="15" customHeight="1" x14ac:dyDescent="0.25">
      <c r="BK27" s="186"/>
    </row>
    <row r="28" spans="63:63" s="187" customFormat="1" ht="15" customHeight="1" x14ac:dyDescent="0.25">
      <c r="BK28" s="186"/>
    </row>
    <row r="29" spans="63:63" s="187" customFormat="1" ht="15" customHeight="1" x14ac:dyDescent="0.25">
      <c r="BK29" s="186"/>
    </row>
    <row r="30" spans="63:63" s="187" customFormat="1" ht="15" customHeight="1" x14ac:dyDescent="0.25">
      <c r="BK30" s="186"/>
    </row>
    <row r="31" spans="63:63" s="187" customFormat="1" ht="15" customHeight="1" x14ac:dyDescent="0.25">
      <c r="BK31" s="186"/>
    </row>
    <row r="32" spans="63:63" s="187" customFormat="1" ht="15" customHeight="1" x14ac:dyDescent="0.25">
      <c r="BK32" s="186"/>
    </row>
    <row r="33" spans="63:63" s="187" customFormat="1" ht="15" customHeight="1" x14ac:dyDescent="0.25">
      <c r="BK33" s="186"/>
    </row>
    <row r="34" spans="63:63" s="187" customFormat="1" ht="15" customHeight="1" x14ac:dyDescent="0.25">
      <c r="BK34" s="186"/>
    </row>
    <row r="35" spans="63:63" s="187" customFormat="1" ht="15" customHeight="1" x14ac:dyDescent="0.25">
      <c r="BK35" s="186"/>
    </row>
    <row r="36" spans="63:63" s="187" customFormat="1" ht="15" customHeight="1" x14ac:dyDescent="0.25">
      <c r="BK36" s="186"/>
    </row>
    <row r="37" spans="63:63" s="187" customFormat="1" ht="15" customHeight="1" x14ac:dyDescent="0.25">
      <c r="BK37" s="186"/>
    </row>
    <row r="38" spans="63:63" s="187" customFormat="1" ht="15" customHeight="1" x14ac:dyDescent="0.25">
      <c r="BK38" s="186"/>
    </row>
    <row r="39" spans="63:63" s="187" customFormat="1" ht="15" customHeight="1" x14ac:dyDescent="0.25">
      <c r="BK39" s="186"/>
    </row>
    <row r="40" spans="63:63" s="187" customFormat="1" ht="15" customHeight="1" x14ac:dyDescent="0.25">
      <c r="BK40" s="186"/>
    </row>
    <row r="41" spans="63:63" s="187" customFormat="1" ht="15" customHeight="1" x14ac:dyDescent="0.25">
      <c r="BK41" s="186"/>
    </row>
    <row r="42" spans="63:63" s="187" customFormat="1" ht="15" customHeight="1" x14ac:dyDescent="0.25">
      <c r="BK42" s="186"/>
    </row>
    <row r="43" spans="63:63" s="187" customFormat="1" ht="15" customHeight="1" x14ac:dyDescent="0.25">
      <c r="BK43" s="186"/>
    </row>
    <row r="44" spans="63:63" s="187" customFormat="1" ht="15" customHeight="1" x14ac:dyDescent="0.25">
      <c r="BK44" s="186"/>
    </row>
    <row r="45" spans="63:63" s="187" customFormat="1" ht="15" customHeight="1" x14ac:dyDescent="0.25">
      <c r="BK45" s="186"/>
    </row>
    <row r="46" spans="63:63" s="187" customFormat="1" ht="15" customHeight="1" x14ac:dyDescent="0.25">
      <c r="BK46" s="186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7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57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58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95" t="s">
        <v>60</v>
      </c>
      <c r="AQ1" s="96"/>
      <c r="AR1" s="96"/>
      <c r="AS1" s="97"/>
      <c r="AT1" s="95" t="s">
        <v>61</v>
      </c>
      <c r="AU1" s="96"/>
      <c r="AV1" s="96"/>
      <c r="AW1" s="96"/>
      <c r="AX1" s="97"/>
      <c r="AY1" s="95" t="s">
        <v>62</v>
      </c>
      <c r="AZ1" s="96"/>
      <c r="BA1" s="96"/>
      <c r="BB1" s="97"/>
      <c r="BC1" s="95" t="s">
        <v>63</v>
      </c>
      <c r="BD1" s="96"/>
      <c r="BE1" s="96"/>
      <c r="BF1" s="96"/>
      <c r="BG1" s="97"/>
      <c r="BH1" s="95" t="s">
        <v>64</v>
      </c>
      <c r="BI1" s="96"/>
      <c r="BJ1" s="96"/>
      <c r="BK1" s="97"/>
    </row>
    <row r="2" spans="1:63" ht="15" customHeight="1" x14ac:dyDescent="0.25">
      <c r="A2" s="57" t="str">
        <f>IF(表紙!A2="","",表紙!A2)</f>
        <v>POSサーバー</v>
      </c>
      <c r="B2" s="58"/>
      <c r="C2" s="58"/>
      <c r="D2" s="58"/>
      <c r="E2" s="58"/>
      <c r="F2" s="58"/>
      <c r="G2" s="58"/>
      <c r="H2" s="58"/>
      <c r="I2" s="58"/>
      <c r="J2" s="59"/>
      <c r="K2" s="57" t="str">
        <f>IF(表紙!K2="","",表紙!K2)</f>
        <v>POSサーバ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9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104" t="str">
        <f>IF(表紙!AP2="","",表紙!AP2)</f>
        <v>DuNT</v>
      </c>
      <c r="AQ2" s="102"/>
      <c r="AR2" s="102"/>
      <c r="AS2" s="103"/>
      <c r="AT2" s="108">
        <f>IF(表紙!AT2="","",表紙!AT2)</f>
        <v>45638</v>
      </c>
      <c r="AU2" s="109"/>
      <c r="AV2" s="109"/>
      <c r="AW2" s="109"/>
      <c r="AX2" s="110"/>
      <c r="AY2" s="104" t="str">
        <f>IF(表紙!AY2="","",表紙!AY2)</f>
        <v>DuNT</v>
      </c>
      <c r="AZ2" s="102"/>
      <c r="BA2" s="102"/>
      <c r="BB2" s="103"/>
      <c r="BC2" s="108">
        <f>IF(表紙!BC2="","",表紙!BC2)</f>
        <v>45638</v>
      </c>
      <c r="BD2" s="109"/>
      <c r="BE2" s="109"/>
      <c r="BF2" s="109"/>
      <c r="BG2" s="110"/>
      <c r="BH2" s="104">
        <f>IF(表紙!BH2="","",表紙!BH2)</f>
        <v>0.1</v>
      </c>
      <c r="BI2" s="102"/>
      <c r="BJ2" s="102"/>
      <c r="BK2" s="103"/>
    </row>
    <row r="3" spans="1:63" ht="15" customHeight="1" x14ac:dyDescent="0.25">
      <c r="A3" s="60"/>
      <c r="B3" s="61"/>
      <c r="C3" s="61"/>
      <c r="D3" s="61"/>
      <c r="E3" s="61"/>
      <c r="F3" s="61"/>
      <c r="G3" s="61"/>
      <c r="H3" s="61"/>
      <c r="I3" s="61"/>
      <c r="J3" s="62"/>
      <c r="K3" s="60"/>
      <c r="L3" s="61"/>
      <c r="M3" s="61"/>
      <c r="N3" s="61"/>
      <c r="O3" s="61"/>
      <c r="P3" s="61"/>
      <c r="Q3" s="61"/>
      <c r="R3" s="61"/>
      <c r="S3" s="61"/>
      <c r="T3" s="61"/>
      <c r="U3" s="61"/>
      <c r="V3" s="62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14"/>
      <c r="AQ3" s="115"/>
      <c r="AR3" s="115"/>
      <c r="AS3" s="116"/>
      <c r="AT3" s="120"/>
      <c r="AU3" s="121"/>
      <c r="AV3" s="121"/>
      <c r="AW3" s="121"/>
      <c r="AX3" s="122"/>
      <c r="AY3" s="114"/>
      <c r="AZ3" s="115"/>
      <c r="BA3" s="115"/>
      <c r="BB3" s="116"/>
      <c r="BC3" s="120"/>
      <c r="BD3" s="121"/>
      <c r="BE3" s="121"/>
      <c r="BF3" s="121"/>
      <c r="BG3" s="122"/>
      <c r="BH3" s="114"/>
      <c r="BI3" s="115"/>
      <c r="BJ3" s="115"/>
      <c r="BK3" s="116"/>
    </row>
    <row r="4" spans="1:63" ht="24.95" customHeight="1" x14ac:dyDescent="0.25">
      <c r="A4" s="169" t="s">
        <v>66</v>
      </c>
      <c r="B4" s="170"/>
      <c r="C4" s="170"/>
      <c r="D4" s="170"/>
      <c r="E4" s="170"/>
      <c r="F4" s="170"/>
      <c r="G4" s="171"/>
      <c r="H4" s="53" t="str">
        <f>IF(表紙!H4="","",表紙!H4)</f>
        <v>AP1001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5"/>
      <c r="U4" s="169" t="s">
        <v>67</v>
      </c>
      <c r="V4" s="170"/>
      <c r="W4" s="170"/>
      <c r="X4" s="170"/>
      <c r="Y4" s="171"/>
      <c r="Z4" s="53" t="str">
        <f>IF(表紙!Z4="","",表紙!Z4)</f>
        <v>API設計書</v>
      </c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5"/>
      <c r="AP4" s="56" t="str">
        <f ca="1">MID(CELL("filename",A1),FIND("]",CELL("filename",A1))+1,255)</f>
        <v>AP1001</v>
      </c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9" customFormat="1" ht="15" customHeight="1" x14ac:dyDescent="0.25">
      <c r="A7" s="14"/>
      <c r="B7" s="15" t="s">
        <v>79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88"/>
      <c r="AQ7" s="188"/>
      <c r="AR7" s="188"/>
      <c r="AS7" s="188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7"/>
      <c r="BI7" s="17"/>
      <c r="BJ7" s="17"/>
      <c r="BK7" s="18"/>
    </row>
    <row r="8" spans="1:63" s="19" customFormat="1" ht="15" customHeight="1" x14ac:dyDescent="0.25">
      <c r="A8" s="14"/>
      <c r="B8" s="20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189"/>
      <c r="AQ8" s="189"/>
      <c r="AR8" s="189"/>
      <c r="AS8" s="189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2"/>
      <c r="BI8" s="22"/>
      <c r="BJ8" s="22"/>
      <c r="BK8" s="18"/>
    </row>
    <row r="9" spans="1:63" s="19" customFormat="1" ht="15" customHeight="1" x14ac:dyDescent="0.25">
      <c r="A9" s="14"/>
      <c r="B9" s="20"/>
      <c r="C9" s="21" t="s">
        <v>44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189"/>
      <c r="AQ9" s="189"/>
      <c r="AR9" s="189"/>
      <c r="AS9" s="189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2"/>
      <c r="BI9" s="22"/>
      <c r="BJ9" s="22"/>
      <c r="BK9" s="18"/>
    </row>
    <row r="10" spans="1:63" s="19" customFormat="1" ht="15" customHeight="1" x14ac:dyDescent="0.25">
      <c r="A10" s="14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189"/>
      <c r="AQ10" s="189"/>
      <c r="AR10" s="189"/>
      <c r="AS10" s="189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2"/>
      <c r="BI10" s="22"/>
      <c r="BJ10" s="22"/>
      <c r="BK10" s="18"/>
    </row>
    <row r="11" spans="1:63" s="19" customFormat="1" ht="15" customHeight="1" x14ac:dyDescent="0.25">
      <c r="A11" s="14"/>
      <c r="B11" s="23" t="s">
        <v>80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7"/>
      <c r="BI11" s="17"/>
      <c r="BJ11" s="17"/>
      <c r="BK11" s="18"/>
    </row>
    <row r="12" spans="1:63" s="19" customFormat="1" ht="15" customHeight="1" x14ac:dyDescent="0.25">
      <c r="A12" s="14"/>
      <c r="B12" s="21"/>
      <c r="C12" s="24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2"/>
      <c r="BI12" s="22"/>
      <c r="BJ12" s="22"/>
      <c r="BK12" s="18"/>
    </row>
    <row r="13" spans="1:63" s="19" customFormat="1" ht="15" customHeight="1" x14ac:dyDescent="0.25">
      <c r="A13" s="14"/>
      <c r="B13" s="21"/>
      <c r="C13" s="24" t="s">
        <v>81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2"/>
      <c r="BI13" s="22"/>
      <c r="BJ13" s="22"/>
      <c r="BK13" s="18"/>
    </row>
    <row r="14" spans="1:63" s="19" customFormat="1" ht="15" customHeight="1" x14ac:dyDescent="0.25">
      <c r="A14" s="14"/>
      <c r="B14" s="21"/>
      <c r="C14" s="20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2"/>
      <c r="BI14" s="22"/>
      <c r="BJ14" s="22"/>
      <c r="BK14" s="18"/>
    </row>
    <row r="15" spans="1:63" s="19" customFormat="1" ht="15" customHeight="1" x14ac:dyDescent="0.25">
      <c r="A15" s="14"/>
      <c r="B15" s="21"/>
      <c r="C15" s="72" t="s">
        <v>16</v>
      </c>
      <c r="D15" s="73"/>
      <c r="E15" s="72" t="s">
        <v>17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3"/>
      <c r="AG15" s="72" t="s">
        <v>18</v>
      </c>
      <c r="AH15" s="74"/>
      <c r="AI15" s="74"/>
      <c r="AJ15" s="74"/>
      <c r="AK15" s="74"/>
      <c r="AL15" s="74"/>
      <c r="AM15" s="74"/>
      <c r="AN15" s="74"/>
      <c r="AO15" s="74"/>
      <c r="AP15" s="73"/>
      <c r="AQ15" s="72" t="s">
        <v>19</v>
      </c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3"/>
      <c r="BK15" s="18"/>
    </row>
    <row r="16" spans="1:63" s="19" customFormat="1" ht="15" customHeight="1" x14ac:dyDescent="0.25">
      <c r="A16" s="14"/>
      <c r="B16" s="21"/>
      <c r="C16" s="63">
        <v>1</v>
      </c>
      <c r="D16" s="64"/>
      <c r="E16" s="75" t="s">
        <v>43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7"/>
      <c r="AG16" s="63" t="s">
        <v>24</v>
      </c>
      <c r="AH16" s="68"/>
      <c r="AI16" s="68"/>
      <c r="AJ16" s="68"/>
      <c r="AK16" s="68"/>
      <c r="AL16" s="68"/>
      <c r="AM16" s="68"/>
      <c r="AN16" s="68"/>
      <c r="AO16" s="68"/>
      <c r="AP16" s="64"/>
      <c r="AQ16" s="78" t="s">
        <v>8</v>
      </c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1"/>
      <c r="BK16" s="18"/>
    </row>
    <row r="17" spans="1:63" s="19" customFormat="1" ht="15" customHeight="1" x14ac:dyDescent="0.25">
      <c r="A17" s="14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2"/>
      <c r="BI17" s="22"/>
      <c r="BJ17" s="22"/>
      <c r="BK17" s="18"/>
    </row>
    <row r="18" spans="1:63" s="19" customFormat="1" ht="15" customHeight="1" x14ac:dyDescent="0.25">
      <c r="A18" s="14"/>
      <c r="B18" s="21"/>
      <c r="C18" s="24" t="s">
        <v>82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2"/>
      <c r="BI18" s="22"/>
      <c r="BJ18" s="22"/>
      <c r="BK18" s="18"/>
    </row>
    <row r="19" spans="1:63" s="19" customFormat="1" ht="15" customHeight="1" x14ac:dyDescent="0.25">
      <c r="A19" s="14"/>
      <c r="B19" s="21"/>
      <c r="C19" s="24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2"/>
      <c r="BI19" s="22"/>
      <c r="BJ19" s="22"/>
      <c r="BK19" s="18"/>
    </row>
    <row r="20" spans="1:63" s="19" customFormat="1" ht="15" customHeight="1" x14ac:dyDescent="0.25">
      <c r="A20" s="14"/>
      <c r="B20" s="21"/>
      <c r="C20" s="79" t="s">
        <v>83</v>
      </c>
      <c r="D20" s="81"/>
      <c r="E20" s="79" t="s">
        <v>84</v>
      </c>
      <c r="F20" s="80"/>
      <c r="G20" s="80"/>
      <c r="H20" s="80"/>
      <c r="I20" s="80"/>
      <c r="J20" s="80"/>
      <c r="K20" s="81"/>
      <c r="L20" s="72" t="s">
        <v>20</v>
      </c>
      <c r="M20" s="74"/>
      <c r="N20" s="73"/>
      <c r="O20" s="72" t="s">
        <v>21</v>
      </c>
      <c r="P20" s="74"/>
      <c r="Q20" s="74"/>
      <c r="R20" s="73"/>
      <c r="S20" s="72" t="s">
        <v>22</v>
      </c>
      <c r="T20" s="74"/>
      <c r="U20" s="74"/>
      <c r="V20" s="74"/>
      <c r="W20" s="74"/>
      <c r="X20" s="74"/>
      <c r="Y20" s="73"/>
      <c r="Z20" s="79" t="s">
        <v>85</v>
      </c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1"/>
      <c r="AQ20" s="72" t="s">
        <v>19</v>
      </c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3"/>
      <c r="BK20" s="18"/>
    </row>
    <row r="21" spans="1:63" s="19" customFormat="1" ht="30.75" customHeight="1" x14ac:dyDescent="0.25">
      <c r="A21" s="14"/>
      <c r="B21" s="21"/>
      <c r="C21" s="63">
        <v>1</v>
      </c>
      <c r="D21" s="64"/>
      <c r="E21" s="190" t="s">
        <v>5</v>
      </c>
      <c r="F21" s="191"/>
      <c r="G21" s="191"/>
      <c r="H21" s="191"/>
      <c r="I21" s="191"/>
      <c r="J21" s="191"/>
      <c r="K21" s="192"/>
      <c r="L21" s="65" t="s">
        <v>6</v>
      </c>
      <c r="M21" s="66"/>
      <c r="N21" s="67"/>
      <c r="O21" s="63" t="s">
        <v>7</v>
      </c>
      <c r="P21" s="68"/>
      <c r="Q21" s="68"/>
      <c r="R21" s="64"/>
      <c r="S21" s="63" t="s">
        <v>8</v>
      </c>
      <c r="T21" s="68"/>
      <c r="U21" s="68"/>
      <c r="V21" s="68"/>
      <c r="W21" s="68"/>
      <c r="X21" s="68"/>
      <c r="Y21" s="64"/>
      <c r="Z21" s="190" t="s">
        <v>9</v>
      </c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  <c r="AL21" s="191"/>
      <c r="AM21" s="191"/>
      <c r="AN21" s="191"/>
      <c r="AO21" s="191"/>
      <c r="AP21" s="192"/>
      <c r="AQ21" s="193" t="s">
        <v>86</v>
      </c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/>
      <c r="BE21" s="194"/>
      <c r="BF21" s="194"/>
      <c r="BG21" s="194"/>
      <c r="BH21" s="194"/>
      <c r="BI21" s="194"/>
      <c r="BJ21" s="195"/>
      <c r="BK21" s="18"/>
    </row>
    <row r="22" spans="1:63" s="19" customFormat="1" ht="15" customHeight="1" x14ac:dyDescent="0.25">
      <c r="A22" s="14"/>
      <c r="B22" s="21"/>
      <c r="C22" s="63">
        <v>2</v>
      </c>
      <c r="D22" s="64"/>
      <c r="E22" s="190" t="s">
        <v>10</v>
      </c>
      <c r="F22" s="191"/>
      <c r="G22" s="191"/>
      <c r="H22" s="191"/>
      <c r="I22" s="191"/>
      <c r="J22" s="191"/>
      <c r="K22" s="192"/>
      <c r="L22" s="65" t="s">
        <v>8</v>
      </c>
      <c r="M22" s="66"/>
      <c r="N22" s="67"/>
      <c r="O22" s="63" t="s">
        <v>7</v>
      </c>
      <c r="P22" s="68"/>
      <c r="Q22" s="68"/>
      <c r="R22" s="64"/>
      <c r="S22" s="63" t="s">
        <v>8</v>
      </c>
      <c r="T22" s="68"/>
      <c r="U22" s="68"/>
      <c r="V22" s="68"/>
      <c r="W22" s="68"/>
      <c r="X22" s="68"/>
      <c r="Y22" s="64"/>
      <c r="Z22" s="190" t="s">
        <v>10</v>
      </c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/>
      <c r="AN22" s="191"/>
      <c r="AO22" s="191"/>
      <c r="AP22" s="192"/>
      <c r="AQ22" s="196" t="s">
        <v>11</v>
      </c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  <c r="BB22" s="194"/>
      <c r="BC22" s="194"/>
      <c r="BD22" s="194"/>
      <c r="BE22" s="194"/>
      <c r="BF22" s="194"/>
      <c r="BG22" s="194"/>
      <c r="BH22" s="194"/>
      <c r="BI22" s="194"/>
      <c r="BJ22" s="195"/>
      <c r="BK22" s="18"/>
    </row>
    <row r="23" spans="1:63" s="19" customFormat="1" ht="15" customHeight="1" x14ac:dyDescent="0.25">
      <c r="A23" s="14"/>
      <c r="B23" s="21"/>
      <c r="C23" s="82">
        <v>3</v>
      </c>
      <c r="D23" s="83"/>
      <c r="E23" s="197" t="s">
        <v>12</v>
      </c>
      <c r="F23" s="198"/>
      <c r="G23" s="198"/>
      <c r="H23" s="198"/>
      <c r="I23" s="198"/>
      <c r="J23" s="198"/>
      <c r="K23" s="199"/>
      <c r="L23" s="200" t="s">
        <v>8</v>
      </c>
      <c r="M23" s="201"/>
      <c r="N23" s="202"/>
      <c r="O23" s="203" t="s">
        <v>7</v>
      </c>
      <c r="P23" s="204"/>
      <c r="Q23" s="204"/>
      <c r="R23" s="205"/>
      <c r="S23" s="203" t="s">
        <v>8</v>
      </c>
      <c r="T23" s="204"/>
      <c r="U23" s="204"/>
      <c r="V23" s="204"/>
      <c r="W23" s="204"/>
      <c r="X23" s="204"/>
      <c r="Y23" s="205"/>
      <c r="Z23" s="206" t="s">
        <v>12</v>
      </c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AL23" s="207"/>
      <c r="AM23" s="207"/>
      <c r="AN23" s="207"/>
      <c r="AO23" s="207"/>
      <c r="AP23" s="208"/>
      <c r="AQ23" s="209" t="s">
        <v>87</v>
      </c>
      <c r="AR23" s="209"/>
      <c r="AS23" s="209"/>
      <c r="AT23" s="209"/>
      <c r="AU23" s="209"/>
      <c r="AV23" s="209"/>
      <c r="AW23" s="209"/>
      <c r="AX23" s="209"/>
      <c r="AY23" s="209"/>
      <c r="AZ23" s="209"/>
      <c r="BA23" s="209"/>
      <c r="BB23" s="209"/>
      <c r="BC23" s="209"/>
      <c r="BD23" s="209"/>
      <c r="BE23" s="209"/>
      <c r="BF23" s="209"/>
      <c r="BG23" s="209"/>
      <c r="BH23" s="209"/>
      <c r="BI23" s="209"/>
      <c r="BJ23" s="210"/>
      <c r="BK23" s="18"/>
    </row>
    <row r="24" spans="1:63" s="19" customFormat="1" ht="15" customHeight="1" x14ac:dyDescent="0.25">
      <c r="A24" s="14"/>
      <c r="B24" s="21"/>
      <c r="C24" s="84"/>
      <c r="D24" s="85"/>
      <c r="E24" s="211"/>
      <c r="F24" s="212"/>
      <c r="G24" s="212"/>
      <c r="H24" s="212"/>
      <c r="I24" s="212"/>
      <c r="J24" s="212"/>
      <c r="K24" s="213"/>
      <c r="L24" s="214"/>
      <c r="M24" s="215"/>
      <c r="N24" s="216"/>
      <c r="O24" s="217"/>
      <c r="P24" s="218"/>
      <c r="Q24" s="218"/>
      <c r="R24" s="219"/>
      <c r="S24" s="217"/>
      <c r="T24" s="218"/>
      <c r="U24" s="218"/>
      <c r="V24" s="218"/>
      <c r="W24" s="218"/>
      <c r="X24" s="218"/>
      <c r="Y24" s="219"/>
      <c r="Z24" s="220"/>
      <c r="AA24" s="221"/>
      <c r="AB24" s="221"/>
      <c r="AC24" s="221"/>
      <c r="AD24" s="221"/>
      <c r="AE24" s="221"/>
      <c r="AF24" s="221"/>
      <c r="AG24" s="221"/>
      <c r="AH24" s="221"/>
      <c r="AI24" s="221"/>
      <c r="AJ24" s="221"/>
      <c r="AK24" s="221"/>
      <c r="AL24" s="221"/>
      <c r="AM24" s="221"/>
      <c r="AN24" s="221"/>
      <c r="AO24" s="221"/>
      <c r="AP24" s="222"/>
      <c r="AQ24" s="223"/>
      <c r="AR24" s="223"/>
      <c r="AS24" s="223"/>
      <c r="AT24" s="223"/>
      <c r="AU24" s="223"/>
      <c r="AV24" s="223"/>
      <c r="AW24" s="223"/>
      <c r="AX24" s="223"/>
      <c r="AY24" s="223"/>
      <c r="AZ24" s="223"/>
      <c r="BA24" s="223"/>
      <c r="BB24" s="223"/>
      <c r="BC24" s="223"/>
      <c r="BD24" s="223"/>
      <c r="BE24" s="223"/>
      <c r="BF24" s="223"/>
      <c r="BG24" s="223"/>
      <c r="BH24" s="223"/>
      <c r="BI24" s="223"/>
      <c r="BJ24" s="224"/>
      <c r="BK24" s="18"/>
    </row>
    <row r="25" spans="1:63" s="19" customFormat="1" ht="65.25" customHeight="1" x14ac:dyDescent="0.25">
      <c r="A25" s="14"/>
      <c r="B25" s="21"/>
      <c r="C25" s="86"/>
      <c r="D25" s="87"/>
      <c r="E25" s="225"/>
      <c r="F25" s="226"/>
      <c r="G25" s="226"/>
      <c r="H25" s="226"/>
      <c r="I25" s="226"/>
      <c r="J25" s="226"/>
      <c r="K25" s="227"/>
      <c r="L25" s="228"/>
      <c r="M25" s="229"/>
      <c r="N25" s="230"/>
      <c r="O25" s="231"/>
      <c r="P25" s="232"/>
      <c r="Q25" s="232"/>
      <c r="R25" s="233"/>
      <c r="S25" s="231"/>
      <c r="T25" s="232"/>
      <c r="U25" s="232"/>
      <c r="V25" s="232"/>
      <c r="W25" s="232"/>
      <c r="X25" s="232"/>
      <c r="Y25" s="233"/>
      <c r="Z25" s="234"/>
      <c r="AA25" s="235"/>
      <c r="AB25" s="235"/>
      <c r="AC25" s="235"/>
      <c r="AD25" s="235"/>
      <c r="AE25" s="235"/>
      <c r="AF25" s="235"/>
      <c r="AG25" s="235"/>
      <c r="AH25" s="235"/>
      <c r="AI25" s="235"/>
      <c r="AJ25" s="235"/>
      <c r="AK25" s="235"/>
      <c r="AL25" s="235"/>
      <c r="AM25" s="235"/>
      <c r="AN25" s="235"/>
      <c r="AO25" s="235"/>
      <c r="AP25" s="236"/>
      <c r="AQ25" s="237"/>
      <c r="AR25" s="237"/>
      <c r="AS25" s="237"/>
      <c r="AT25" s="237"/>
      <c r="AU25" s="237"/>
      <c r="AV25" s="237"/>
      <c r="AW25" s="237"/>
      <c r="AX25" s="237"/>
      <c r="AY25" s="237"/>
      <c r="AZ25" s="237"/>
      <c r="BA25" s="237"/>
      <c r="BB25" s="237"/>
      <c r="BC25" s="237"/>
      <c r="BD25" s="237"/>
      <c r="BE25" s="237"/>
      <c r="BF25" s="237"/>
      <c r="BG25" s="237"/>
      <c r="BH25" s="237"/>
      <c r="BI25" s="237"/>
      <c r="BJ25" s="238"/>
      <c r="BK25" s="18"/>
    </row>
    <row r="26" spans="1:63" s="19" customFormat="1" ht="15" customHeight="1" x14ac:dyDescent="0.25">
      <c r="A26" s="14"/>
      <c r="B26" s="21"/>
      <c r="C26" s="63">
        <v>4</v>
      </c>
      <c r="D26" s="64"/>
      <c r="E26" s="190" t="s">
        <v>13</v>
      </c>
      <c r="F26" s="191"/>
      <c r="G26" s="191"/>
      <c r="H26" s="191"/>
      <c r="I26" s="191"/>
      <c r="J26" s="191"/>
      <c r="K26" s="192"/>
      <c r="L26" s="65" t="s">
        <v>8</v>
      </c>
      <c r="M26" s="66"/>
      <c r="N26" s="67"/>
      <c r="O26" s="63" t="s">
        <v>7</v>
      </c>
      <c r="P26" s="68"/>
      <c r="Q26" s="68"/>
      <c r="R26" s="64"/>
      <c r="S26" s="63" t="s">
        <v>8</v>
      </c>
      <c r="T26" s="68"/>
      <c r="U26" s="68"/>
      <c r="V26" s="68"/>
      <c r="W26" s="68"/>
      <c r="X26" s="68"/>
      <c r="Y26" s="64"/>
      <c r="Z26" s="190" t="s">
        <v>13</v>
      </c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92"/>
      <c r="AQ26" s="196" t="s">
        <v>14</v>
      </c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  <c r="BB26" s="194"/>
      <c r="BC26" s="194"/>
      <c r="BD26" s="194"/>
      <c r="BE26" s="194"/>
      <c r="BF26" s="194"/>
      <c r="BG26" s="194"/>
      <c r="BH26" s="194"/>
      <c r="BI26" s="194"/>
      <c r="BJ26" s="195"/>
      <c r="BK26" s="18"/>
    </row>
    <row r="27" spans="1:63" s="19" customFormat="1" ht="15" customHeight="1" x14ac:dyDescent="0.25">
      <c r="A27" s="14"/>
      <c r="B27" s="21"/>
      <c r="C27" s="63">
        <v>5</v>
      </c>
      <c r="D27" s="64"/>
      <c r="E27" s="190" t="s">
        <v>15</v>
      </c>
      <c r="F27" s="191"/>
      <c r="G27" s="191"/>
      <c r="H27" s="191"/>
      <c r="I27" s="191"/>
      <c r="J27" s="191"/>
      <c r="K27" s="192"/>
      <c r="L27" s="65" t="s">
        <v>8</v>
      </c>
      <c r="M27" s="66"/>
      <c r="N27" s="67"/>
      <c r="O27" s="63" t="s">
        <v>7</v>
      </c>
      <c r="P27" s="68"/>
      <c r="Q27" s="68"/>
      <c r="R27" s="64"/>
      <c r="S27" s="63" t="s">
        <v>8</v>
      </c>
      <c r="T27" s="68"/>
      <c r="U27" s="68"/>
      <c r="V27" s="68"/>
      <c r="W27" s="68"/>
      <c r="X27" s="68"/>
      <c r="Y27" s="64"/>
      <c r="Z27" s="190" t="s">
        <v>15</v>
      </c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  <c r="AL27" s="191"/>
      <c r="AM27" s="191"/>
      <c r="AN27" s="191"/>
      <c r="AO27" s="191"/>
      <c r="AP27" s="192"/>
      <c r="AQ27" s="196" t="s">
        <v>88</v>
      </c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  <c r="BB27" s="194"/>
      <c r="BC27" s="194"/>
      <c r="BD27" s="194"/>
      <c r="BE27" s="194"/>
      <c r="BF27" s="194"/>
      <c r="BG27" s="194"/>
      <c r="BH27" s="194"/>
      <c r="BI27" s="194"/>
      <c r="BJ27" s="195"/>
      <c r="BK27" s="18"/>
    </row>
    <row r="28" spans="1:63" s="19" customFormat="1" ht="15" customHeight="1" x14ac:dyDescent="0.25">
      <c r="A28" s="14"/>
      <c r="B28" s="21"/>
      <c r="C28" s="21"/>
      <c r="D28" s="21"/>
      <c r="E28" s="189"/>
      <c r="F28" s="189"/>
      <c r="G28" s="189"/>
      <c r="H28" s="189"/>
      <c r="I28" s="21"/>
      <c r="J28" s="21"/>
      <c r="K28" s="21"/>
      <c r="L28" s="239"/>
      <c r="M28" s="189"/>
      <c r="N28" s="189"/>
      <c r="O28" s="189"/>
      <c r="P28" s="189"/>
      <c r="Q28" s="21"/>
      <c r="R28" s="21"/>
      <c r="S28" s="21"/>
      <c r="T28" s="21"/>
      <c r="U28" s="21"/>
      <c r="V28" s="21"/>
      <c r="W28" s="21"/>
      <c r="X28" s="21"/>
      <c r="Y28" s="21"/>
      <c r="Z28" s="28"/>
      <c r="AA28" s="21"/>
      <c r="AB28" s="21"/>
      <c r="AC28" s="21"/>
      <c r="AD28" s="21"/>
      <c r="AE28" s="21"/>
      <c r="AF28" s="21"/>
      <c r="AG28" s="189"/>
      <c r="AH28" s="189"/>
      <c r="AI28" s="189"/>
      <c r="AJ28" s="189"/>
      <c r="AK28" s="189"/>
      <c r="AL28" s="189"/>
      <c r="AM28" s="189"/>
      <c r="AN28" s="189"/>
      <c r="AO28" s="189"/>
      <c r="AP28" s="21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2"/>
      <c r="BI28" s="22"/>
      <c r="BJ28" s="22"/>
      <c r="BK28" s="18"/>
    </row>
    <row r="29" spans="1:63" s="19" customFormat="1" ht="15" customHeight="1" x14ac:dyDescent="0.25">
      <c r="A29" s="14"/>
      <c r="B29" s="21"/>
      <c r="C29" s="21"/>
      <c r="D29" s="21"/>
      <c r="E29" s="189"/>
      <c r="F29" s="189"/>
      <c r="G29" s="189"/>
      <c r="H29" s="189"/>
      <c r="I29" s="21"/>
      <c r="J29" s="21"/>
      <c r="K29" s="21"/>
      <c r="L29" s="30"/>
      <c r="M29" s="189"/>
      <c r="N29" s="189"/>
      <c r="O29" s="189"/>
      <c r="P29" s="189"/>
      <c r="Q29" s="21"/>
      <c r="R29" s="21"/>
      <c r="S29" s="21"/>
      <c r="T29" s="21"/>
      <c r="U29" s="21"/>
      <c r="V29" s="21"/>
      <c r="W29" s="21"/>
      <c r="X29" s="21"/>
      <c r="Y29" s="21"/>
      <c r="Z29" s="28"/>
      <c r="AA29" s="21"/>
      <c r="AB29" s="21"/>
      <c r="AC29" s="21"/>
      <c r="AD29" s="21"/>
      <c r="AE29" s="21"/>
      <c r="AF29" s="21"/>
      <c r="AG29" s="189"/>
      <c r="AH29" s="189"/>
      <c r="AI29" s="189"/>
      <c r="AJ29" s="189"/>
      <c r="AK29" s="189"/>
      <c r="AL29" s="189"/>
      <c r="AM29" s="189"/>
      <c r="AN29" s="189"/>
      <c r="AO29" s="189"/>
      <c r="AP29" s="21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2"/>
      <c r="BI29" s="22"/>
      <c r="BJ29" s="22"/>
      <c r="BK29" s="18"/>
    </row>
    <row r="30" spans="1:63" s="19" customFormat="1" ht="15" customHeight="1" x14ac:dyDescent="0.25">
      <c r="A30" s="14"/>
      <c r="B30" s="21"/>
      <c r="C30" s="24" t="s">
        <v>89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2"/>
      <c r="BI30" s="22"/>
      <c r="BJ30" s="22"/>
      <c r="BK30" s="18"/>
    </row>
    <row r="31" spans="1:63" s="19" customFormat="1" ht="15" customHeight="1" x14ac:dyDescent="0.25">
      <c r="A31" s="14"/>
      <c r="B31" s="21"/>
      <c r="C31" s="20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2"/>
      <c r="BI31" s="22"/>
      <c r="BJ31" s="22"/>
      <c r="BK31" s="18"/>
    </row>
    <row r="32" spans="1:63" s="19" customFormat="1" ht="15" customHeight="1" x14ac:dyDescent="0.25">
      <c r="A32" s="14"/>
      <c r="B32" s="21"/>
      <c r="C32" s="91" t="s">
        <v>16</v>
      </c>
      <c r="D32" s="92"/>
      <c r="E32" s="240" t="s">
        <v>23</v>
      </c>
      <c r="F32" s="241"/>
      <c r="G32" s="241"/>
      <c r="H32" s="241"/>
      <c r="I32" s="241"/>
      <c r="J32" s="241"/>
      <c r="K32" s="242"/>
      <c r="L32" s="72" t="s">
        <v>20</v>
      </c>
      <c r="M32" s="74"/>
      <c r="N32" s="73"/>
      <c r="O32" s="72" t="s">
        <v>21</v>
      </c>
      <c r="P32" s="74"/>
      <c r="Q32" s="74"/>
      <c r="R32" s="73"/>
      <c r="S32" s="72" t="s">
        <v>22</v>
      </c>
      <c r="T32" s="74"/>
      <c r="U32" s="74"/>
      <c r="V32" s="74"/>
      <c r="W32" s="74"/>
      <c r="X32" s="74"/>
      <c r="Y32" s="73"/>
      <c r="Z32" s="79" t="s">
        <v>85</v>
      </c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1"/>
      <c r="AQ32" s="88" t="s">
        <v>19</v>
      </c>
      <c r="AR32" s="89"/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89"/>
      <c r="BF32" s="89"/>
      <c r="BG32" s="89"/>
      <c r="BH32" s="89"/>
      <c r="BI32" s="89"/>
      <c r="BJ32" s="90"/>
      <c r="BK32" s="18"/>
    </row>
    <row r="33" spans="1:63" s="19" customFormat="1" ht="15" customHeight="1" x14ac:dyDescent="0.25">
      <c r="A33" s="14"/>
      <c r="B33" s="21"/>
      <c r="C33" s="65" t="s">
        <v>26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7"/>
      <c r="BK33" s="18"/>
    </row>
    <row r="34" spans="1:63" s="19" customFormat="1" ht="15" customHeight="1" x14ac:dyDescent="0.25">
      <c r="A34" s="14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2"/>
      <c r="BI34" s="22"/>
      <c r="BJ34" s="22"/>
      <c r="BK34" s="18"/>
    </row>
    <row r="35" spans="1:63" s="19" customFormat="1" ht="15" customHeight="1" x14ac:dyDescent="0.25">
      <c r="A35" s="14"/>
      <c r="B35" s="21"/>
      <c r="C35" s="24" t="s">
        <v>90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2"/>
      <c r="BI35" s="22"/>
      <c r="BJ35" s="22"/>
      <c r="BK35" s="18"/>
    </row>
    <row r="36" spans="1:63" s="19" customFormat="1" ht="15" customHeight="1" x14ac:dyDescent="0.25">
      <c r="A36" s="14"/>
      <c r="B36" s="21"/>
      <c r="C36" s="20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2"/>
      <c r="BI36" s="22"/>
      <c r="BJ36" s="22"/>
      <c r="BK36" s="18"/>
    </row>
    <row r="37" spans="1:63" s="19" customFormat="1" ht="15" customHeight="1" x14ac:dyDescent="0.25">
      <c r="A37" s="14"/>
      <c r="B37" s="21"/>
      <c r="C37" s="91" t="s">
        <v>16</v>
      </c>
      <c r="D37" s="92"/>
      <c r="E37" s="240" t="s">
        <v>23</v>
      </c>
      <c r="F37" s="241"/>
      <c r="G37" s="241"/>
      <c r="H37" s="241"/>
      <c r="I37" s="241"/>
      <c r="J37" s="241"/>
      <c r="K37" s="242"/>
      <c r="L37" s="72" t="s">
        <v>20</v>
      </c>
      <c r="M37" s="74"/>
      <c r="N37" s="73"/>
      <c r="O37" s="72" t="s">
        <v>21</v>
      </c>
      <c r="P37" s="74"/>
      <c r="Q37" s="74"/>
      <c r="R37" s="73"/>
      <c r="S37" s="72" t="s">
        <v>22</v>
      </c>
      <c r="T37" s="74"/>
      <c r="U37" s="74"/>
      <c r="V37" s="74"/>
      <c r="W37" s="74"/>
      <c r="X37" s="74"/>
      <c r="Y37" s="73"/>
      <c r="Z37" s="79" t="s">
        <v>85</v>
      </c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1"/>
      <c r="AQ37" s="88" t="s">
        <v>19</v>
      </c>
      <c r="AR37" s="89"/>
      <c r="AS37" s="89"/>
      <c r="AT37" s="89"/>
      <c r="AU37" s="89"/>
      <c r="AV37" s="89"/>
      <c r="AW37" s="89"/>
      <c r="AX37" s="89"/>
      <c r="AY37" s="89"/>
      <c r="AZ37" s="89"/>
      <c r="BA37" s="89"/>
      <c r="BB37" s="89"/>
      <c r="BC37" s="89"/>
      <c r="BD37" s="89"/>
      <c r="BE37" s="89"/>
      <c r="BF37" s="89"/>
      <c r="BG37" s="89"/>
      <c r="BH37" s="89"/>
      <c r="BI37" s="89"/>
      <c r="BJ37" s="90"/>
      <c r="BK37" s="18"/>
    </row>
    <row r="38" spans="1:63" s="19" customFormat="1" ht="60" customHeight="1" x14ac:dyDescent="0.25">
      <c r="A38" s="14"/>
      <c r="B38" s="21"/>
      <c r="C38" s="63">
        <v>0</v>
      </c>
      <c r="D38" s="64"/>
      <c r="E38" s="190" t="s">
        <v>30</v>
      </c>
      <c r="F38" s="191"/>
      <c r="G38" s="191"/>
      <c r="H38" s="191"/>
      <c r="I38" s="191"/>
      <c r="J38" s="191"/>
      <c r="K38" s="192"/>
      <c r="L38" s="65" t="s">
        <v>6</v>
      </c>
      <c r="M38" s="66"/>
      <c r="N38" s="67"/>
      <c r="O38" s="63" t="s">
        <v>7</v>
      </c>
      <c r="P38" s="68"/>
      <c r="Q38" s="68"/>
      <c r="R38" s="64"/>
      <c r="S38" s="82" t="s">
        <v>8</v>
      </c>
      <c r="T38" s="93"/>
      <c r="U38" s="93"/>
      <c r="V38" s="93"/>
      <c r="W38" s="93"/>
      <c r="X38" s="93"/>
      <c r="Y38" s="83"/>
      <c r="Z38" s="190" t="s">
        <v>46</v>
      </c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  <c r="AL38" s="191"/>
      <c r="AM38" s="191"/>
      <c r="AN38" s="191"/>
      <c r="AO38" s="191"/>
      <c r="AP38" s="192"/>
      <c r="AQ38" s="193" t="s">
        <v>91</v>
      </c>
      <c r="AR38" s="243"/>
      <c r="AS38" s="243"/>
      <c r="AT38" s="243"/>
      <c r="AU38" s="243"/>
      <c r="AV38" s="243"/>
      <c r="AW38" s="243"/>
      <c r="AX38" s="243"/>
      <c r="AY38" s="243"/>
      <c r="AZ38" s="243"/>
      <c r="BA38" s="243"/>
      <c r="BB38" s="243"/>
      <c r="BC38" s="243"/>
      <c r="BD38" s="243"/>
      <c r="BE38" s="243"/>
      <c r="BF38" s="243"/>
      <c r="BG38" s="243"/>
      <c r="BH38" s="243"/>
      <c r="BI38" s="243"/>
      <c r="BJ38" s="244"/>
      <c r="BK38" s="18"/>
    </row>
    <row r="39" spans="1:63" s="19" customFormat="1" ht="15" customHeight="1" x14ac:dyDescent="0.25">
      <c r="A39" s="14"/>
      <c r="B39" s="21"/>
      <c r="C39" s="63">
        <v>1</v>
      </c>
      <c r="D39" s="64"/>
      <c r="E39" s="190" t="s">
        <v>25</v>
      </c>
      <c r="F39" s="191"/>
      <c r="G39" s="191"/>
      <c r="H39" s="191"/>
      <c r="I39" s="191"/>
      <c r="J39" s="191"/>
      <c r="K39" s="192"/>
      <c r="L39" s="65" t="s">
        <v>6</v>
      </c>
      <c r="M39" s="66"/>
      <c r="N39" s="67"/>
      <c r="O39" s="63" t="s">
        <v>56</v>
      </c>
      <c r="P39" s="68"/>
      <c r="Q39" s="68"/>
      <c r="R39" s="64"/>
      <c r="S39" s="82" t="s">
        <v>8</v>
      </c>
      <c r="T39" s="93"/>
      <c r="U39" s="93"/>
      <c r="V39" s="93"/>
      <c r="W39" s="93"/>
      <c r="X39" s="93"/>
      <c r="Y39" s="83"/>
      <c r="Z39" s="196" t="s">
        <v>8</v>
      </c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2"/>
      <c r="AQ39" s="94" t="s">
        <v>92</v>
      </c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1"/>
      <c r="BK39" s="18"/>
    </row>
    <row r="40" spans="1:63" s="19" customFormat="1" ht="230.25" customHeight="1" x14ac:dyDescent="0.25">
      <c r="A40" s="14"/>
      <c r="B40" s="21"/>
      <c r="C40" s="63">
        <v>2</v>
      </c>
      <c r="D40" s="64"/>
      <c r="E40" s="245" t="s">
        <v>31</v>
      </c>
      <c r="F40" s="246"/>
      <c r="G40" s="246"/>
      <c r="H40" s="246"/>
      <c r="I40" s="246"/>
      <c r="J40" s="246"/>
      <c r="K40" s="247"/>
      <c r="L40" s="65" t="s">
        <v>6</v>
      </c>
      <c r="M40" s="66"/>
      <c r="N40" s="67"/>
      <c r="O40" s="63" t="s">
        <v>7</v>
      </c>
      <c r="P40" s="68"/>
      <c r="Q40" s="68"/>
      <c r="R40" s="64"/>
      <c r="S40" s="82" t="s">
        <v>8</v>
      </c>
      <c r="T40" s="93"/>
      <c r="U40" s="93"/>
      <c r="V40" s="93"/>
      <c r="W40" s="93"/>
      <c r="X40" s="93"/>
      <c r="Y40" s="83"/>
      <c r="Z40" s="190" t="s">
        <v>45</v>
      </c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  <c r="AL40" s="191"/>
      <c r="AM40" s="191"/>
      <c r="AN40" s="191"/>
      <c r="AO40" s="191"/>
      <c r="AP40" s="192"/>
      <c r="AQ40" s="69" t="s">
        <v>112</v>
      </c>
      <c r="AR40" s="70"/>
      <c r="AS40" s="70"/>
      <c r="AT40" s="70"/>
      <c r="AU40" s="70"/>
      <c r="AV40" s="70"/>
      <c r="AW40" s="70"/>
      <c r="AX40" s="70"/>
      <c r="AY40" s="70"/>
      <c r="AZ40" s="70"/>
      <c r="BA40" s="70"/>
      <c r="BB40" s="70"/>
      <c r="BC40" s="70"/>
      <c r="BD40" s="70"/>
      <c r="BE40" s="70"/>
      <c r="BF40" s="70"/>
      <c r="BG40" s="70"/>
      <c r="BH40" s="70"/>
      <c r="BI40" s="70"/>
      <c r="BJ40" s="71"/>
      <c r="BK40" s="18"/>
    </row>
    <row r="41" spans="1:63" s="19" customFormat="1" ht="82.5" customHeight="1" x14ac:dyDescent="0.25">
      <c r="A41" s="14"/>
      <c r="B41" s="21"/>
      <c r="C41" s="63">
        <v>3</v>
      </c>
      <c r="D41" s="64"/>
      <c r="E41" s="245" t="s">
        <v>39</v>
      </c>
      <c r="F41" s="246"/>
      <c r="G41" s="246"/>
      <c r="H41" s="246"/>
      <c r="I41" s="246"/>
      <c r="J41" s="246"/>
      <c r="K41" s="247"/>
      <c r="L41" s="65" t="s">
        <v>6</v>
      </c>
      <c r="M41" s="66"/>
      <c r="N41" s="67"/>
      <c r="O41" s="63" t="s">
        <v>34</v>
      </c>
      <c r="P41" s="68"/>
      <c r="Q41" s="68"/>
      <c r="R41" s="64"/>
      <c r="S41" s="82" t="s">
        <v>8</v>
      </c>
      <c r="T41" s="93"/>
      <c r="U41" s="93"/>
      <c r="V41" s="93"/>
      <c r="W41" s="93"/>
      <c r="X41" s="93"/>
      <c r="Y41" s="83"/>
      <c r="Z41" s="196" t="s">
        <v>8</v>
      </c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  <c r="AL41" s="191"/>
      <c r="AM41" s="191"/>
      <c r="AN41" s="191"/>
      <c r="AO41" s="191"/>
      <c r="AP41" s="192"/>
      <c r="AQ41" s="69" t="s">
        <v>93</v>
      </c>
      <c r="AR41" s="70"/>
      <c r="AS41" s="70"/>
      <c r="AT41" s="70"/>
      <c r="AU41" s="70"/>
      <c r="AV41" s="70"/>
      <c r="AW41" s="70"/>
      <c r="AX41" s="70"/>
      <c r="AY41" s="70"/>
      <c r="AZ41" s="70"/>
      <c r="BA41" s="70"/>
      <c r="BB41" s="70"/>
      <c r="BC41" s="70"/>
      <c r="BD41" s="70"/>
      <c r="BE41" s="70"/>
      <c r="BF41" s="70"/>
      <c r="BG41" s="70"/>
      <c r="BH41" s="70"/>
      <c r="BI41" s="70"/>
      <c r="BJ41" s="71"/>
      <c r="BK41" s="18"/>
    </row>
    <row r="42" spans="1:63" s="19" customFormat="1" ht="110.25" customHeight="1" x14ac:dyDescent="0.25">
      <c r="A42" s="14"/>
      <c r="B42" s="21"/>
      <c r="C42" s="63">
        <v>4</v>
      </c>
      <c r="D42" s="64"/>
      <c r="E42" s="245" t="s">
        <v>27</v>
      </c>
      <c r="F42" s="246"/>
      <c r="G42" s="246"/>
      <c r="H42" s="246"/>
      <c r="I42" s="246"/>
      <c r="J42" s="246"/>
      <c r="K42" s="247"/>
      <c r="L42" s="65" t="s">
        <v>6</v>
      </c>
      <c r="M42" s="66"/>
      <c r="N42" s="67"/>
      <c r="O42" s="63" t="s">
        <v>7</v>
      </c>
      <c r="P42" s="68"/>
      <c r="Q42" s="68"/>
      <c r="R42" s="64"/>
      <c r="S42" s="82" t="s">
        <v>8</v>
      </c>
      <c r="T42" s="93"/>
      <c r="U42" s="93"/>
      <c r="V42" s="93"/>
      <c r="W42" s="93"/>
      <c r="X42" s="93"/>
      <c r="Y42" s="83"/>
      <c r="Z42" s="190" t="s">
        <v>47</v>
      </c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  <c r="AL42" s="191"/>
      <c r="AM42" s="191"/>
      <c r="AN42" s="191"/>
      <c r="AO42" s="191"/>
      <c r="AP42" s="192"/>
      <c r="AQ42" s="69" t="s">
        <v>94</v>
      </c>
      <c r="AR42" s="70"/>
      <c r="AS42" s="70"/>
      <c r="AT42" s="70"/>
      <c r="AU42" s="70"/>
      <c r="AV42" s="70"/>
      <c r="AW42" s="70"/>
      <c r="AX42" s="70"/>
      <c r="AY42" s="70"/>
      <c r="AZ42" s="70"/>
      <c r="BA42" s="70"/>
      <c r="BB42" s="70"/>
      <c r="BC42" s="70"/>
      <c r="BD42" s="70"/>
      <c r="BE42" s="70"/>
      <c r="BF42" s="70"/>
      <c r="BG42" s="70"/>
      <c r="BH42" s="70"/>
      <c r="BI42" s="70"/>
      <c r="BJ42" s="71"/>
      <c r="BK42" s="18"/>
    </row>
    <row r="43" spans="1:63" s="19" customFormat="1" ht="89.25" customHeight="1" x14ac:dyDescent="0.25">
      <c r="A43" s="14"/>
      <c r="B43" s="21"/>
      <c r="C43" s="63">
        <v>5</v>
      </c>
      <c r="D43" s="64"/>
      <c r="E43" s="245" t="s">
        <v>54</v>
      </c>
      <c r="F43" s="246"/>
      <c r="G43" s="246"/>
      <c r="H43" s="246"/>
      <c r="I43" s="246"/>
      <c r="J43" s="246"/>
      <c r="K43" s="247"/>
      <c r="L43" s="65" t="s">
        <v>6</v>
      </c>
      <c r="M43" s="66"/>
      <c r="N43" s="67"/>
      <c r="O43" s="63" t="s">
        <v>7</v>
      </c>
      <c r="P43" s="68"/>
      <c r="Q43" s="68"/>
      <c r="R43" s="64"/>
      <c r="S43" s="82" t="s">
        <v>8</v>
      </c>
      <c r="T43" s="93"/>
      <c r="U43" s="93"/>
      <c r="V43" s="93"/>
      <c r="W43" s="93"/>
      <c r="X43" s="93"/>
      <c r="Y43" s="83"/>
      <c r="Z43" s="190" t="s">
        <v>48</v>
      </c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  <c r="AL43" s="191"/>
      <c r="AM43" s="191"/>
      <c r="AN43" s="191"/>
      <c r="AO43" s="191"/>
      <c r="AP43" s="192"/>
      <c r="AQ43" s="69" t="s">
        <v>95</v>
      </c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1"/>
      <c r="BK43" s="18"/>
    </row>
    <row r="44" spans="1:63" s="19" customFormat="1" ht="116.25" customHeight="1" x14ac:dyDescent="0.25">
      <c r="A44" s="14"/>
      <c r="B44" s="21"/>
      <c r="C44" s="63">
        <v>6</v>
      </c>
      <c r="D44" s="64"/>
      <c r="E44" s="245" t="s">
        <v>55</v>
      </c>
      <c r="F44" s="246"/>
      <c r="G44" s="246"/>
      <c r="H44" s="246"/>
      <c r="I44" s="246"/>
      <c r="J44" s="246"/>
      <c r="K44" s="247"/>
      <c r="L44" s="65" t="s">
        <v>6</v>
      </c>
      <c r="M44" s="66"/>
      <c r="N44" s="67"/>
      <c r="O44" s="63" t="s">
        <v>7</v>
      </c>
      <c r="P44" s="68"/>
      <c r="Q44" s="68"/>
      <c r="R44" s="64"/>
      <c r="S44" s="82" t="s">
        <v>8</v>
      </c>
      <c r="T44" s="93"/>
      <c r="U44" s="93"/>
      <c r="V44" s="93"/>
      <c r="W44" s="93"/>
      <c r="X44" s="93"/>
      <c r="Y44" s="83"/>
      <c r="Z44" s="190" t="s">
        <v>49</v>
      </c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  <c r="AL44" s="191"/>
      <c r="AM44" s="191"/>
      <c r="AN44" s="191"/>
      <c r="AO44" s="191"/>
      <c r="AP44" s="192"/>
      <c r="AQ44" s="69" t="s">
        <v>96</v>
      </c>
      <c r="AR44" s="70"/>
      <c r="AS44" s="70"/>
      <c r="AT44" s="70"/>
      <c r="AU44" s="70"/>
      <c r="AV44" s="70"/>
      <c r="AW44" s="70"/>
      <c r="AX44" s="70"/>
      <c r="AY44" s="70"/>
      <c r="AZ44" s="70"/>
      <c r="BA44" s="70"/>
      <c r="BB44" s="70"/>
      <c r="BC44" s="70"/>
      <c r="BD44" s="70"/>
      <c r="BE44" s="70"/>
      <c r="BF44" s="70"/>
      <c r="BG44" s="70"/>
      <c r="BH44" s="70"/>
      <c r="BI44" s="70"/>
      <c r="BJ44" s="71"/>
      <c r="BK44" s="18"/>
    </row>
    <row r="45" spans="1:63" s="19" customFormat="1" ht="89.25" customHeight="1" x14ac:dyDescent="0.25">
      <c r="A45" s="14"/>
      <c r="B45" s="21"/>
      <c r="C45" s="63">
        <v>7</v>
      </c>
      <c r="D45" s="64"/>
      <c r="E45" s="245" t="s">
        <v>28</v>
      </c>
      <c r="F45" s="246"/>
      <c r="G45" s="246"/>
      <c r="H45" s="246"/>
      <c r="I45" s="246"/>
      <c r="J45" s="246"/>
      <c r="K45" s="247"/>
      <c r="L45" s="65" t="s">
        <v>6</v>
      </c>
      <c r="M45" s="66"/>
      <c r="N45" s="67"/>
      <c r="O45" s="63" t="s">
        <v>7</v>
      </c>
      <c r="P45" s="68"/>
      <c r="Q45" s="68"/>
      <c r="R45" s="64"/>
      <c r="S45" s="82" t="s">
        <v>8</v>
      </c>
      <c r="T45" s="93"/>
      <c r="U45" s="93"/>
      <c r="V45" s="93"/>
      <c r="W45" s="93"/>
      <c r="X45" s="93"/>
      <c r="Y45" s="83"/>
      <c r="Z45" s="190" t="s">
        <v>50</v>
      </c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  <c r="AL45" s="191"/>
      <c r="AM45" s="191"/>
      <c r="AN45" s="191"/>
      <c r="AO45" s="191"/>
      <c r="AP45" s="192"/>
      <c r="AQ45" s="69" t="s">
        <v>97</v>
      </c>
      <c r="AR45" s="70"/>
      <c r="AS45" s="70"/>
      <c r="AT45" s="70"/>
      <c r="AU45" s="70"/>
      <c r="AV45" s="70"/>
      <c r="AW45" s="70"/>
      <c r="AX45" s="70"/>
      <c r="AY45" s="70"/>
      <c r="AZ45" s="70"/>
      <c r="BA45" s="70"/>
      <c r="BB45" s="70"/>
      <c r="BC45" s="70"/>
      <c r="BD45" s="70"/>
      <c r="BE45" s="70"/>
      <c r="BF45" s="70"/>
      <c r="BG45" s="70"/>
      <c r="BH45" s="70"/>
      <c r="BI45" s="70"/>
      <c r="BJ45" s="71"/>
      <c r="BK45" s="18"/>
    </row>
    <row r="46" spans="1:63" s="19" customFormat="1" ht="117" customHeight="1" x14ac:dyDescent="0.25">
      <c r="A46" s="14"/>
      <c r="B46" s="21"/>
      <c r="C46" s="63">
        <v>8</v>
      </c>
      <c r="D46" s="64"/>
      <c r="E46" s="245" t="s">
        <v>29</v>
      </c>
      <c r="F46" s="246"/>
      <c r="G46" s="246"/>
      <c r="H46" s="246"/>
      <c r="I46" s="246"/>
      <c r="J46" s="246"/>
      <c r="K46" s="247"/>
      <c r="L46" s="65" t="s">
        <v>6</v>
      </c>
      <c r="M46" s="66"/>
      <c r="N46" s="67"/>
      <c r="O46" s="63" t="s">
        <v>7</v>
      </c>
      <c r="P46" s="68"/>
      <c r="Q46" s="68"/>
      <c r="R46" s="64"/>
      <c r="S46" s="63" t="s">
        <v>8</v>
      </c>
      <c r="T46" s="68"/>
      <c r="U46" s="68"/>
      <c r="V46" s="68"/>
      <c r="W46" s="68"/>
      <c r="X46" s="68"/>
      <c r="Y46" s="64"/>
      <c r="Z46" s="190" t="s">
        <v>51</v>
      </c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  <c r="AL46" s="191"/>
      <c r="AM46" s="191"/>
      <c r="AN46" s="191"/>
      <c r="AO46" s="191"/>
      <c r="AP46" s="192"/>
      <c r="AQ46" s="69" t="s">
        <v>98</v>
      </c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70"/>
      <c r="BJ46" s="71"/>
      <c r="BK46" s="18"/>
    </row>
    <row r="47" spans="1:63" s="19" customFormat="1" ht="52.5" customHeight="1" x14ac:dyDescent="0.25">
      <c r="A47" s="14"/>
      <c r="B47" s="21"/>
      <c r="C47" s="63">
        <v>9</v>
      </c>
      <c r="D47" s="64"/>
      <c r="E47" s="245" t="s">
        <v>52</v>
      </c>
      <c r="F47" s="246"/>
      <c r="G47" s="246"/>
      <c r="H47" s="246"/>
      <c r="I47" s="246"/>
      <c r="J47" s="246"/>
      <c r="K47" s="247"/>
      <c r="L47" s="65" t="s">
        <v>6</v>
      </c>
      <c r="M47" s="66"/>
      <c r="N47" s="67"/>
      <c r="O47" s="63" t="s">
        <v>7</v>
      </c>
      <c r="P47" s="68"/>
      <c r="Q47" s="68"/>
      <c r="R47" s="64"/>
      <c r="S47" s="63" t="s">
        <v>8</v>
      </c>
      <c r="T47" s="68"/>
      <c r="U47" s="68"/>
      <c r="V47" s="68"/>
      <c r="W47" s="68"/>
      <c r="X47" s="68"/>
      <c r="Y47" s="64"/>
      <c r="Z47" s="190" t="s">
        <v>53</v>
      </c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  <c r="AL47" s="191"/>
      <c r="AM47" s="191"/>
      <c r="AN47" s="191"/>
      <c r="AO47" s="191"/>
      <c r="AP47" s="192"/>
      <c r="AQ47" s="69" t="s">
        <v>99</v>
      </c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1"/>
      <c r="BK47" s="18"/>
    </row>
    <row r="48" spans="1:63" s="19" customFormat="1" ht="15" customHeight="1" x14ac:dyDescent="0.25">
      <c r="A48" s="14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2"/>
      <c r="BI48" s="22"/>
      <c r="BJ48" s="22"/>
      <c r="BK48" s="18"/>
    </row>
    <row r="49" spans="1:63" s="19" customFormat="1" ht="15" customHeight="1" x14ac:dyDescent="0.25">
      <c r="A49" s="14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2"/>
      <c r="BI49" s="22"/>
      <c r="BJ49" s="22"/>
      <c r="BK49" s="18"/>
    </row>
    <row r="50" spans="1:63" s="19" customFormat="1" ht="15" customHeight="1" x14ac:dyDescent="0.25">
      <c r="A50" s="14"/>
      <c r="B50" s="21"/>
      <c r="C50" s="24" t="s">
        <v>100</v>
      </c>
      <c r="D50" s="21"/>
      <c r="E50" s="189"/>
      <c r="F50" s="21"/>
      <c r="G50" s="189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43"/>
      <c r="AW50" s="43"/>
      <c r="AX50" s="43"/>
      <c r="AY50" s="43"/>
      <c r="AZ50" s="43"/>
      <c r="BA50" s="43"/>
      <c r="BB50" s="21"/>
      <c r="BC50" s="21"/>
      <c r="BD50" s="21"/>
      <c r="BE50" s="21"/>
      <c r="BF50" s="21"/>
      <c r="BG50" s="21"/>
      <c r="BH50" s="22"/>
      <c r="BI50" s="22"/>
      <c r="BJ50" s="22"/>
      <c r="BK50" s="18"/>
    </row>
    <row r="51" spans="1:63" s="19" customFormat="1" ht="15" customHeight="1" x14ac:dyDescent="0.25">
      <c r="A51" s="14"/>
      <c r="B51" s="21"/>
      <c r="C51" s="24"/>
      <c r="D51" s="189"/>
      <c r="E51" s="189"/>
      <c r="F51" s="21"/>
      <c r="G51" s="189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43"/>
      <c r="AW51" s="43"/>
      <c r="AX51" s="43"/>
      <c r="AY51" s="43"/>
      <c r="AZ51" s="43"/>
      <c r="BA51" s="43"/>
      <c r="BB51" s="21"/>
      <c r="BC51" s="21"/>
      <c r="BD51" s="21"/>
      <c r="BE51" s="21"/>
      <c r="BF51" s="21"/>
      <c r="BG51" s="21"/>
      <c r="BH51" s="22"/>
      <c r="BI51" s="22"/>
      <c r="BJ51" s="22"/>
      <c r="BK51" s="18"/>
    </row>
    <row r="52" spans="1:63" s="19" customFormat="1" ht="15" customHeight="1" x14ac:dyDescent="0.25">
      <c r="A52" s="14"/>
      <c r="B52" s="21"/>
      <c r="C52" s="248" t="s">
        <v>32</v>
      </c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25"/>
      <c r="AV52" s="43"/>
      <c r="AW52" s="43"/>
      <c r="AX52" s="43"/>
      <c r="AY52" s="43"/>
      <c r="AZ52" s="43"/>
      <c r="BA52" s="43"/>
      <c r="BB52" s="21"/>
      <c r="BC52" s="21"/>
      <c r="BD52" s="21"/>
      <c r="BE52" s="21"/>
      <c r="BF52" s="21"/>
      <c r="BG52" s="21"/>
      <c r="BH52" s="22"/>
      <c r="BI52" s="22"/>
      <c r="BJ52" s="22"/>
      <c r="BK52" s="18"/>
    </row>
    <row r="53" spans="1:63" s="19" customFormat="1" ht="15" customHeight="1" x14ac:dyDescent="0.25">
      <c r="A53" s="14"/>
      <c r="B53" s="21"/>
      <c r="C53" s="249" t="s">
        <v>101</v>
      </c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6"/>
      <c r="AV53" s="43"/>
      <c r="AW53" s="43"/>
      <c r="AX53" s="43"/>
      <c r="AY53" s="43"/>
      <c r="AZ53" s="43"/>
      <c r="BA53" s="43"/>
      <c r="BB53" s="21"/>
      <c r="BC53" s="21"/>
      <c r="BD53" s="21"/>
      <c r="BE53" s="21"/>
      <c r="BF53" s="21"/>
      <c r="BG53" s="21"/>
      <c r="BH53" s="22"/>
      <c r="BI53" s="22"/>
      <c r="BJ53" s="22"/>
      <c r="BK53" s="18"/>
    </row>
    <row r="54" spans="1:63" s="19" customFormat="1" ht="15" customHeight="1" x14ac:dyDescent="0.25">
      <c r="A54" s="14"/>
      <c r="B54" s="21"/>
      <c r="C54" s="249" t="s">
        <v>102</v>
      </c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6"/>
      <c r="AV54" s="43"/>
      <c r="AW54" s="43"/>
      <c r="AX54" s="43"/>
      <c r="AY54" s="43"/>
      <c r="AZ54" s="43"/>
      <c r="BA54" s="43"/>
      <c r="BB54" s="21"/>
      <c r="BC54" s="21"/>
      <c r="BD54" s="21"/>
      <c r="BE54" s="21"/>
      <c r="BF54" s="21"/>
      <c r="BG54" s="21"/>
      <c r="BH54" s="22"/>
      <c r="BI54" s="22"/>
      <c r="BJ54" s="22"/>
      <c r="BK54" s="18"/>
    </row>
    <row r="55" spans="1:63" s="19" customFormat="1" ht="15" customHeight="1" x14ac:dyDescent="0.25">
      <c r="A55" s="14"/>
      <c r="B55" s="21"/>
      <c r="C55" s="249" t="s">
        <v>35</v>
      </c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6"/>
      <c r="AV55" s="43"/>
      <c r="AW55" s="43"/>
      <c r="AX55" s="43"/>
      <c r="AY55" s="43"/>
      <c r="AZ55" s="43"/>
      <c r="BA55" s="43"/>
      <c r="BB55" s="21"/>
      <c r="BC55" s="21"/>
      <c r="BD55" s="21"/>
      <c r="BE55" s="21"/>
      <c r="BF55" s="21"/>
      <c r="BG55" s="21"/>
      <c r="BH55" s="22"/>
      <c r="BI55" s="22"/>
      <c r="BJ55" s="22"/>
      <c r="BK55" s="18"/>
    </row>
    <row r="56" spans="1:63" s="19" customFormat="1" ht="15" customHeight="1" x14ac:dyDescent="0.25">
      <c r="A56" s="14"/>
      <c r="B56" s="21"/>
      <c r="C56" s="249" t="s">
        <v>103</v>
      </c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6"/>
      <c r="AV56" s="43"/>
      <c r="AW56" s="43"/>
      <c r="AX56" s="43"/>
      <c r="AY56" s="43"/>
      <c r="AZ56" s="43"/>
      <c r="BA56" s="43"/>
      <c r="BB56" s="21"/>
      <c r="BC56" s="21"/>
      <c r="BD56" s="21"/>
      <c r="BE56" s="21"/>
      <c r="BF56" s="21"/>
      <c r="BG56" s="21"/>
      <c r="BH56" s="22"/>
      <c r="BI56" s="22"/>
      <c r="BJ56" s="22"/>
      <c r="BK56" s="18"/>
    </row>
    <row r="57" spans="1:63" s="19" customFormat="1" ht="15" customHeight="1" x14ac:dyDescent="0.25">
      <c r="A57" s="14"/>
      <c r="B57" s="21"/>
      <c r="C57" s="249" t="s">
        <v>104</v>
      </c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6"/>
      <c r="AV57" s="43"/>
      <c r="AW57" s="43"/>
      <c r="AX57" s="43"/>
      <c r="AY57" s="43"/>
      <c r="AZ57" s="43"/>
      <c r="BA57" s="43"/>
      <c r="BB57" s="21"/>
      <c r="BC57" s="21"/>
      <c r="BD57" s="21"/>
      <c r="BE57" s="21"/>
      <c r="BF57" s="21"/>
      <c r="BG57" s="21"/>
      <c r="BH57" s="22"/>
      <c r="BI57" s="22"/>
      <c r="BJ57" s="22"/>
      <c r="BK57" s="18"/>
    </row>
    <row r="58" spans="1:63" s="19" customFormat="1" ht="15" customHeight="1" x14ac:dyDescent="0.25">
      <c r="A58" s="14"/>
      <c r="B58" s="21"/>
      <c r="C58" s="249" t="s">
        <v>105</v>
      </c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6"/>
      <c r="AV58" s="43"/>
      <c r="AW58" s="43"/>
      <c r="AX58" s="43"/>
      <c r="AY58" s="43"/>
      <c r="AZ58" s="43"/>
      <c r="BA58" s="43"/>
      <c r="BB58" s="21"/>
      <c r="BC58" s="21"/>
      <c r="BD58" s="21"/>
      <c r="BE58" s="21"/>
      <c r="BF58" s="21"/>
      <c r="BG58" s="21"/>
      <c r="BH58" s="22"/>
      <c r="BI58" s="22"/>
      <c r="BJ58" s="22"/>
      <c r="BK58" s="18"/>
    </row>
    <row r="59" spans="1:63" s="19" customFormat="1" ht="15" customHeight="1" x14ac:dyDescent="0.25">
      <c r="A59" s="14"/>
      <c r="B59" s="21"/>
      <c r="C59" s="249" t="s">
        <v>106</v>
      </c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6"/>
      <c r="AV59" s="43"/>
      <c r="AW59" s="43"/>
      <c r="AX59" s="43"/>
      <c r="AY59" s="43"/>
      <c r="AZ59" s="43"/>
      <c r="BA59" s="43"/>
      <c r="BB59" s="21"/>
      <c r="BC59" s="21"/>
      <c r="BD59" s="21"/>
      <c r="BE59" s="21"/>
      <c r="BF59" s="21"/>
      <c r="BG59" s="21"/>
      <c r="BH59" s="22"/>
      <c r="BI59" s="22"/>
      <c r="BJ59" s="22"/>
      <c r="BK59" s="18"/>
    </row>
    <row r="60" spans="1:63" s="19" customFormat="1" ht="15" customHeight="1" x14ac:dyDescent="0.25">
      <c r="A60" s="14"/>
      <c r="B60" s="21"/>
      <c r="C60" s="249" t="s">
        <v>107</v>
      </c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6"/>
      <c r="AV60" s="43"/>
      <c r="AW60" s="43"/>
      <c r="AX60" s="43"/>
      <c r="AY60" s="43"/>
      <c r="AZ60" s="43"/>
      <c r="BA60" s="43"/>
      <c r="BB60" s="21"/>
      <c r="BC60" s="21"/>
      <c r="BD60" s="21"/>
      <c r="BE60" s="21"/>
      <c r="BF60" s="21"/>
      <c r="BG60" s="21"/>
      <c r="BH60" s="22"/>
      <c r="BI60" s="22"/>
      <c r="BJ60" s="22"/>
      <c r="BK60" s="18"/>
    </row>
    <row r="61" spans="1:63" s="19" customFormat="1" ht="15" customHeight="1" x14ac:dyDescent="0.25">
      <c r="A61" s="14"/>
      <c r="B61" s="21"/>
      <c r="C61" s="249" t="s">
        <v>108</v>
      </c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6"/>
      <c r="AV61" s="43"/>
      <c r="AW61" s="43"/>
      <c r="AX61" s="43"/>
      <c r="AY61" s="43"/>
      <c r="AZ61" s="43"/>
      <c r="BA61" s="43"/>
      <c r="BB61" s="21"/>
      <c r="BC61" s="21"/>
      <c r="BD61" s="21"/>
      <c r="BE61" s="21"/>
      <c r="BF61" s="21"/>
      <c r="BG61" s="21"/>
      <c r="BH61" s="22"/>
      <c r="BI61" s="22"/>
      <c r="BJ61" s="22"/>
      <c r="BK61" s="18"/>
    </row>
    <row r="62" spans="1:63" s="19" customFormat="1" ht="15" customHeight="1" x14ac:dyDescent="0.25">
      <c r="A62" s="14"/>
      <c r="B62" s="21"/>
      <c r="C62" s="249" t="s">
        <v>109</v>
      </c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6"/>
      <c r="AV62" s="43"/>
      <c r="AW62" s="43"/>
      <c r="AX62" s="43"/>
      <c r="AY62" s="43"/>
      <c r="AZ62" s="43"/>
      <c r="BA62" s="43"/>
      <c r="BB62" s="21"/>
      <c r="BC62" s="21"/>
      <c r="BD62" s="21"/>
      <c r="BE62" s="21"/>
      <c r="BF62" s="21"/>
      <c r="BG62" s="21"/>
      <c r="BH62" s="22"/>
      <c r="BI62" s="22"/>
      <c r="BJ62" s="22"/>
      <c r="BK62" s="18"/>
    </row>
    <row r="63" spans="1:63" s="19" customFormat="1" ht="15" customHeight="1" x14ac:dyDescent="0.25">
      <c r="A63" s="14"/>
      <c r="B63" s="21"/>
      <c r="C63" s="249" t="s">
        <v>110</v>
      </c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6"/>
      <c r="AV63" s="43"/>
      <c r="AW63" s="43"/>
      <c r="AX63" s="43"/>
      <c r="AY63" s="43"/>
      <c r="AZ63" s="43"/>
      <c r="BA63" s="43"/>
      <c r="BB63" s="21"/>
      <c r="BC63" s="21"/>
      <c r="BD63" s="21"/>
      <c r="BE63" s="21"/>
      <c r="BF63" s="21"/>
      <c r="BG63" s="21"/>
      <c r="BH63" s="22"/>
      <c r="BI63" s="22"/>
      <c r="BJ63" s="22"/>
      <c r="BK63" s="18"/>
    </row>
    <row r="64" spans="1:63" s="19" customFormat="1" ht="15" customHeight="1" x14ac:dyDescent="0.25">
      <c r="A64" s="14"/>
      <c r="B64" s="21"/>
      <c r="C64" s="249" t="s">
        <v>36</v>
      </c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6"/>
      <c r="AV64" s="43"/>
      <c r="AW64" s="43"/>
      <c r="AX64" s="43"/>
      <c r="AY64" s="43"/>
      <c r="AZ64" s="43"/>
      <c r="BA64" s="43"/>
      <c r="BB64" s="21"/>
      <c r="BC64" s="21"/>
      <c r="BD64" s="21"/>
      <c r="BE64" s="21"/>
      <c r="BF64" s="21"/>
      <c r="BG64" s="21"/>
      <c r="BH64" s="22"/>
      <c r="BI64" s="22"/>
      <c r="BJ64" s="22"/>
      <c r="BK64" s="18"/>
    </row>
    <row r="65" spans="1:63" s="19" customFormat="1" ht="15" customHeight="1" x14ac:dyDescent="0.25">
      <c r="A65" s="14"/>
      <c r="B65" s="21"/>
      <c r="C65" s="249" t="s">
        <v>37</v>
      </c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6"/>
      <c r="AV65" s="43"/>
      <c r="AW65" s="43"/>
      <c r="AX65" s="43"/>
      <c r="AY65" s="43"/>
      <c r="AZ65" s="43"/>
      <c r="BA65" s="43"/>
      <c r="BB65" s="21"/>
      <c r="BC65" s="21"/>
      <c r="BD65" s="21"/>
      <c r="BE65" s="21"/>
      <c r="BF65" s="21"/>
      <c r="BG65" s="21"/>
      <c r="BH65" s="22"/>
      <c r="BI65" s="22"/>
      <c r="BJ65" s="22"/>
      <c r="BK65" s="18"/>
    </row>
    <row r="66" spans="1:63" s="19" customFormat="1" ht="15" customHeight="1" x14ac:dyDescent="0.25">
      <c r="A66" s="14"/>
      <c r="B66" s="21"/>
      <c r="C66" s="249" t="s">
        <v>33</v>
      </c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6"/>
      <c r="AV66" s="43"/>
      <c r="AW66" s="43"/>
      <c r="AX66" s="43"/>
      <c r="AY66" s="43"/>
      <c r="AZ66" s="43"/>
      <c r="BA66" s="43"/>
      <c r="BB66" s="21"/>
      <c r="BC66" s="21"/>
      <c r="BD66" s="21"/>
      <c r="BE66" s="21"/>
      <c r="BF66" s="21"/>
      <c r="BG66" s="21"/>
      <c r="BH66" s="22"/>
      <c r="BI66" s="22"/>
      <c r="BJ66" s="22"/>
      <c r="BK66" s="18"/>
    </row>
    <row r="67" spans="1:63" s="19" customFormat="1" ht="15" customHeight="1" x14ac:dyDescent="0.25">
      <c r="A67" s="14"/>
      <c r="B67" s="21"/>
      <c r="C67" s="250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27"/>
      <c r="AV67" s="43"/>
      <c r="AW67" s="43"/>
      <c r="AX67" s="43"/>
      <c r="AY67" s="43"/>
      <c r="AZ67" s="43"/>
      <c r="BA67" s="43"/>
      <c r="BB67" s="21"/>
      <c r="BC67" s="21"/>
      <c r="BD67" s="21"/>
      <c r="BE67" s="21"/>
      <c r="BF67" s="21"/>
      <c r="BG67" s="21"/>
      <c r="BH67" s="22"/>
      <c r="BI67" s="22"/>
      <c r="BJ67" s="22"/>
      <c r="BK67" s="18"/>
    </row>
    <row r="68" spans="1:63" s="19" customFormat="1" ht="15" customHeight="1" x14ac:dyDescent="0.25">
      <c r="A68" s="14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2"/>
      <c r="BI68" s="22"/>
      <c r="BJ68" s="22"/>
      <c r="BK68" s="18"/>
    </row>
    <row r="69" spans="1:63" s="19" customFormat="1" ht="15" customHeight="1" x14ac:dyDescent="0.25">
      <c r="A69" s="14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2"/>
      <c r="BI69" s="22"/>
      <c r="BJ69" s="22"/>
      <c r="BK69" s="18"/>
    </row>
    <row r="70" spans="1:63" s="19" customFormat="1" ht="15" customHeight="1" x14ac:dyDescent="0.25">
      <c r="A70" s="14"/>
      <c r="B70" s="15" t="s">
        <v>111</v>
      </c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7"/>
      <c r="BI70" s="17"/>
      <c r="BJ70" s="17"/>
      <c r="BK70" s="18"/>
    </row>
    <row r="71" spans="1:63" s="19" customFormat="1" ht="15" customHeight="1" x14ac:dyDescent="0.25">
      <c r="A71" s="14"/>
      <c r="B71" s="20"/>
      <c r="C71" s="24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2"/>
      <c r="BI71" s="22"/>
      <c r="BJ71" s="22"/>
      <c r="BK71" s="18"/>
    </row>
    <row r="72" spans="1:63" s="19" customFormat="1" ht="15" customHeight="1" x14ac:dyDescent="0.25">
      <c r="A72" s="14"/>
      <c r="B72" s="20"/>
      <c r="C72" s="44" t="s">
        <v>40</v>
      </c>
      <c r="D72" s="21"/>
      <c r="E72" s="189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2"/>
      <c r="BI72" s="22"/>
      <c r="BJ72" s="22"/>
      <c r="BK72" s="18"/>
    </row>
    <row r="73" spans="1:63" s="41" customFormat="1" ht="15" customHeight="1" x14ac:dyDescent="0.25">
      <c r="A73" s="36"/>
      <c r="B73" s="37"/>
      <c r="C73" s="37"/>
      <c r="D73" s="37"/>
      <c r="E73" s="38"/>
      <c r="F73" s="38"/>
      <c r="G73" s="38"/>
      <c r="H73" s="38"/>
      <c r="I73" s="38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9"/>
      <c r="BI73" s="39"/>
      <c r="BJ73" s="39"/>
      <c r="BK73" s="40"/>
    </row>
  </sheetData>
  <mergeCells count="155">
    <mergeCell ref="C43:D43"/>
    <mergeCell ref="E43:K43"/>
    <mergeCell ref="E41:K41"/>
    <mergeCell ref="C42:D42"/>
    <mergeCell ref="E38:K38"/>
    <mergeCell ref="C37:D37"/>
    <mergeCell ref="E37:K37"/>
    <mergeCell ref="E40:K40"/>
    <mergeCell ref="E42:K42"/>
    <mergeCell ref="C40:D40"/>
    <mergeCell ref="C41:D41"/>
    <mergeCell ref="C38:D38"/>
    <mergeCell ref="L45:N45"/>
    <mergeCell ref="O45:R45"/>
    <mergeCell ref="C44:D44"/>
    <mergeCell ref="E44:K44"/>
    <mergeCell ref="S44:Y44"/>
    <mergeCell ref="O44:R44"/>
    <mergeCell ref="Z44:AP44"/>
    <mergeCell ref="L46:N46"/>
    <mergeCell ref="O46:R46"/>
    <mergeCell ref="Z46:AP46"/>
    <mergeCell ref="L44:N44"/>
    <mergeCell ref="C46:D46"/>
    <mergeCell ref="E46:K46"/>
    <mergeCell ref="S46:Y46"/>
    <mergeCell ref="C45:D45"/>
    <mergeCell ref="E45:K45"/>
    <mergeCell ref="S45:Y45"/>
    <mergeCell ref="Z43:AP43"/>
    <mergeCell ref="Z42:AP42"/>
    <mergeCell ref="Z41:AP41"/>
    <mergeCell ref="S42:Y42"/>
    <mergeCell ref="AQ41:BJ41"/>
    <mergeCell ref="S37:Y37"/>
    <mergeCell ref="S41:Y41"/>
    <mergeCell ref="L41:N41"/>
    <mergeCell ref="AQ40:BJ40"/>
    <mergeCell ref="AQ42:BJ42"/>
    <mergeCell ref="L42:N42"/>
    <mergeCell ref="L40:N40"/>
    <mergeCell ref="O40:R40"/>
    <mergeCell ref="O42:R42"/>
    <mergeCell ref="O41:R41"/>
    <mergeCell ref="O38:R38"/>
    <mergeCell ref="S40:Y40"/>
    <mergeCell ref="L39:N39"/>
    <mergeCell ref="S38:Y38"/>
    <mergeCell ref="L37:N37"/>
    <mergeCell ref="O37:R37"/>
    <mergeCell ref="Z37:AP37"/>
    <mergeCell ref="O27:R27"/>
    <mergeCell ref="O39:R39"/>
    <mergeCell ref="E32:K32"/>
    <mergeCell ref="AQ46:BJ46"/>
    <mergeCell ref="Z45:AP45"/>
    <mergeCell ref="Z39:AP39"/>
    <mergeCell ref="Z40:AP40"/>
    <mergeCell ref="AQ26:BJ26"/>
    <mergeCell ref="AQ27:BJ27"/>
    <mergeCell ref="O32:R32"/>
    <mergeCell ref="Z32:AP32"/>
    <mergeCell ref="S43:Y43"/>
    <mergeCell ref="AQ43:BJ43"/>
    <mergeCell ref="AQ45:BJ45"/>
    <mergeCell ref="AQ44:BJ44"/>
    <mergeCell ref="AQ32:BJ32"/>
    <mergeCell ref="S26:Y26"/>
    <mergeCell ref="S27:Y27"/>
    <mergeCell ref="AQ39:BJ39"/>
    <mergeCell ref="Z26:AP26"/>
    <mergeCell ref="Z38:AP38"/>
    <mergeCell ref="S39:Y39"/>
    <mergeCell ref="L43:N43"/>
    <mergeCell ref="O43:R43"/>
    <mergeCell ref="C33:BJ33"/>
    <mergeCell ref="L38:N38"/>
    <mergeCell ref="AQ37:BJ37"/>
    <mergeCell ref="C39:D39"/>
    <mergeCell ref="E39:K39"/>
    <mergeCell ref="AQ38:BJ38"/>
    <mergeCell ref="O23:R25"/>
    <mergeCell ref="L21:N21"/>
    <mergeCell ref="L22:N22"/>
    <mergeCell ref="S22:Y22"/>
    <mergeCell ref="S23:Y25"/>
    <mergeCell ref="Z27:AP27"/>
    <mergeCell ref="Z23:AP25"/>
    <mergeCell ref="S32:Y32"/>
    <mergeCell ref="Z22:AP22"/>
    <mergeCell ref="L32:N32"/>
    <mergeCell ref="E27:K27"/>
    <mergeCell ref="C26:D26"/>
    <mergeCell ref="C27:D27"/>
    <mergeCell ref="L26:N26"/>
    <mergeCell ref="L27:N27"/>
    <mergeCell ref="E26:K26"/>
    <mergeCell ref="C32:D32"/>
    <mergeCell ref="O26:R26"/>
    <mergeCell ref="E20:K20"/>
    <mergeCell ref="C20:D20"/>
    <mergeCell ref="S20:Y20"/>
    <mergeCell ref="L23:N25"/>
    <mergeCell ref="C22:D22"/>
    <mergeCell ref="Z20:AP20"/>
    <mergeCell ref="O21:R21"/>
    <mergeCell ref="O20:R20"/>
    <mergeCell ref="L20:N20"/>
    <mergeCell ref="S21:Y21"/>
    <mergeCell ref="Z21:AP21"/>
    <mergeCell ref="E21:K21"/>
    <mergeCell ref="E22:K22"/>
    <mergeCell ref="C23:D25"/>
    <mergeCell ref="E23:K25"/>
    <mergeCell ref="C21:D21"/>
    <mergeCell ref="O22:R22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C1:BG1"/>
    <mergeCell ref="C47:D47"/>
    <mergeCell ref="E47:K47"/>
    <mergeCell ref="L47:N47"/>
    <mergeCell ref="O47:R47"/>
    <mergeCell ref="S47:Y47"/>
    <mergeCell ref="Z47:AP47"/>
    <mergeCell ref="AQ47:BJ47"/>
    <mergeCell ref="A4:G4"/>
    <mergeCell ref="H4:T4"/>
    <mergeCell ref="U4:Y4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AG16:AP16"/>
    <mergeCell ref="AQ20:BJ20"/>
    <mergeCell ref="AQ22:BJ22"/>
    <mergeCell ref="AQ21:BJ21"/>
    <mergeCell ref="AQ23:BJ25"/>
  </mergeCells>
  <pageMargins left="0.7" right="0.7" top="0.75" bottom="0.75" header="0.3" footer="0.3"/>
  <pageSetup scale="3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CD0F-BEC5-4CED-AD2C-93772A1E6CD5}">
  <sheetPr>
    <pageSetUpPr fitToPage="1"/>
  </sheetPr>
  <dimension ref="A1:BK9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57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58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95" t="s">
        <v>60</v>
      </c>
      <c r="AQ1" s="96"/>
      <c r="AR1" s="96"/>
      <c r="AS1" s="97"/>
      <c r="AT1" s="95" t="s">
        <v>61</v>
      </c>
      <c r="AU1" s="96"/>
      <c r="AV1" s="96"/>
      <c r="AW1" s="96"/>
      <c r="AX1" s="97"/>
      <c r="AY1" s="95" t="s">
        <v>62</v>
      </c>
      <c r="AZ1" s="96"/>
      <c r="BA1" s="96"/>
      <c r="BB1" s="97"/>
      <c r="BC1" s="95" t="s">
        <v>63</v>
      </c>
      <c r="BD1" s="96"/>
      <c r="BE1" s="96"/>
      <c r="BF1" s="96"/>
      <c r="BG1" s="97"/>
      <c r="BH1" s="95" t="s">
        <v>64</v>
      </c>
      <c r="BI1" s="96"/>
      <c r="BJ1" s="96"/>
      <c r="BK1" s="97"/>
    </row>
    <row r="2" spans="1:63" ht="15" customHeight="1" x14ac:dyDescent="0.25">
      <c r="A2" s="57" t="str">
        <f>IF(表紙!A2="","",表紙!A2)</f>
        <v>POSサーバー</v>
      </c>
      <c r="B2" s="58"/>
      <c r="C2" s="58"/>
      <c r="D2" s="58"/>
      <c r="E2" s="58"/>
      <c r="F2" s="58"/>
      <c r="G2" s="58"/>
      <c r="H2" s="58"/>
      <c r="I2" s="58"/>
      <c r="J2" s="59"/>
      <c r="K2" s="57" t="str">
        <f>IF(表紙!K2="","",表紙!K2)</f>
        <v>POSサーバ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9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104" t="str">
        <f>IF(表紙!AP2="","",表紙!AP2)</f>
        <v>DuNT</v>
      </c>
      <c r="AQ2" s="102"/>
      <c r="AR2" s="102"/>
      <c r="AS2" s="103"/>
      <c r="AT2" s="108">
        <f>IF(表紙!AT2="","",表紙!AT2)</f>
        <v>45638</v>
      </c>
      <c r="AU2" s="109"/>
      <c r="AV2" s="109"/>
      <c r="AW2" s="109"/>
      <c r="AX2" s="110"/>
      <c r="AY2" s="104" t="str">
        <f>IF(表紙!AY2="","",表紙!AY2)</f>
        <v>DuNT</v>
      </c>
      <c r="AZ2" s="102"/>
      <c r="BA2" s="102"/>
      <c r="BB2" s="103"/>
      <c r="BC2" s="108">
        <f>IF(表紙!BC2="","",表紙!BC2)</f>
        <v>45638</v>
      </c>
      <c r="BD2" s="109"/>
      <c r="BE2" s="109"/>
      <c r="BF2" s="109"/>
      <c r="BG2" s="110"/>
      <c r="BH2" s="104">
        <f>IF(表紙!BH2="","",表紙!BH2)</f>
        <v>0.1</v>
      </c>
      <c r="BI2" s="102"/>
      <c r="BJ2" s="102"/>
      <c r="BK2" s="103"/>
    </row>
    <row r="3" spans="1:63" ht="15" customHeight="1" x14ac:dyDescent="0.25">
      <c r="A3" s="60"/>
      <c r="B3" s="61"/>
      <c r="C3" s="61"/>
      <c r="D3" s="61"/>
      <c r="E3" s="61"/>
      <c r="F3" s="61"/>
      <c r="G3" s="61"/>
      <c r="H3" s="61"/>
      <c r="I3" s="61"/>
      <c r="J3" s="62"/>
      <c r="K3" s="60"/>
      <c r="L3" s="61"/>
      <c r="M3" s="61"/>
      <c r="N3" s="61"/>
      <c r="O3" s="61"/>
      <c r="P3" s="61"/>
      <c r="Q3" s="61"/>
      <c r="R3" s="61"/>
      <c r="S3" s="61"/>
      <c r="T3" s="61"/>
      <c r="U3" s="61"/>
      <c r="V3" s="62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14"/>
      <c r="AQ3" s="115"/>
      <c r="AR3" s="115"/>
      <c r="AS3" s="116"/>
      <c r="AT3" s="120"/>
      <c r="AU3" s="121"/>
      <c r="AV3" s="121"/>
      <c r="AW3" s="121"/>
      <c r="AX3" s="122"/>
      <c r="AY3" s="114"/>
      <c r="AZ3" s="115"/>
      <c r="BA3" s="115"/>
      <c r="BB3" s="116"/>
      <c r="BC3" s="120"/>
      <c r="BD3" s="121"/>
      <c r="BE3" s="121"/>
      <c r="BF3" s="121"/>
      <c r="BG3" s="122"/>
      <c r="BH3" s="114"/>
      <c r="BI3" s="115"/>
      <c r="BJ3" s="115"/>
      <c r="BK3" s="116"/>
    </row>
    <row r="4" spans="1:63" ht="24.95" customHeight="1" x14ac:dyDescent="0.25">
      <c r="A4" s="169" t="s">
        <v>66</v>
      </c>
      <c r="B4" s="170"/>
      <c r="C4" s="170"/>
      <c r="D4" s="170"/>
      <c r="E4" s="170"/>
      <c r="F4" s="170"/>
      <c r="G4" s="171"/>
      <c r="H4" s="53" t="str">
        <f>IF(表紙!H4="","",表紙!H4)</f>
        <v>AP1001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5"/>
      <c r="U4" s="169" t="s">
        <v>67</v>
      </c>
      <c r="V4" s="170"/>
      <c r="W4" s="170"/>
      <c r="X4" s="170"/>
      <c r="Y4" s="171"/>
      <c r="Z4" s="53" t="str">
        <f>IF(表紙!Z4="","",表紙!Z4)</f>
        <v>API設計書</v>
      </c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5"/>
      <c r="AP4" s="56" t="str">
        <f ca="1">MID(CELL("filename",A1),FIND("]",CELL("filename",A1))+1,255)</f>
        <v>処理フロー</v>
      </c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7" customFormat="1" ht="15" customHeight="1" x14ac:dyDescent="0.25">
      <c r="B7" s="42"/>
      <c r="C7" s="22"/>
      <c r="D7" s="22"/>
      <c r="E7" s="22"/>
      <c r="F7" s="22"/>
      <c r="G7" s="22"/>
      <c r="AI7" s="251"/>
      <c r="BJ7" s="251"/>
      <c r="BK7" s="186"/>
    </row>
    <row r="8" spans="1:63" s="187" customFormat="1" ht="15" customHeight="1" x14ac:dyDescent="0.25">
      <c r="B8" s="42"/>
      <c r="C8" s="22"/>
      <c r="D8" s="22"/>
      <c r="E8" s="22"/>
      <c r="F8" s="22"/>
      <c r="G8" s="22"/>
      <c r="AI8" s="251"/>
      <c r="BJ8" s="251"/>
      <c r="BK8" s="186"/>
    </row>
    <row r="9" spans="1:63" s="187" customFormat="1" ht="15" customHeight="1" x14ac:dyDescent="0.25">
      <c r="B9" s="42"/>
      <c r="C9" s="22"/>
      <c r="D9" s="22"/>
      <c r="E9" s="22"/>
      <c r="F9" s="22"/>
      <c r="G9" s="22"/>
      <c r="AI9" s="251"/>
      <c r="BJ9" s="251"/>
      <c r="BK9" s="186"/>
    </row>
    <row r="10" spans="1:63" s="187" customFormat="1" ht="15" customHeight="1" x14ac:dyDescent="0.25">
      <c r="B10" s="42"/>
      <c r="C10" s="22"/>
      <c r="D10" s="22"/>
      <c r="E10" s="22"/>
      <c r="F10" s="22"/>
      <c r="G10" s="22"/>
      <c r="AI10" s="251"/>
      <c r="BJ10" s="251"/>
      <c r="BK10" s="186"/>
    </row>
    <row r="11" spans="1:63" s="187" customFormat="1" ht="15" customHeight="1" x14ac:dyDescent="0.25">
      <c r="B11" s="252"/>
      <c r="AI11" s="251"/>
      <c r="BJ11" s="251"/>
      <c r="BK11" s="186"/>
    </row>
    <row r="12" spans="1:63" s="187" customFormat="1" ht="15" customHeight="1" x14ac:dyDescent="0.25">
      <c r="B12" s="252"/>
      <c r="AI12" s="251"/>
      <c r="BJ12" s="251"/>
      <c r="BK12" s="186"/>
    </row>
    <row r="13" spans="1:63" s="187" customFormat="1" ht="15" customHeight="1" x14ac:dyDescent="0.25">
      <c r="B13" s="252"/>
      <c r="AI13" s="251"/>
      <c r="BJ13" s="251"/>
      <c r="BK13" s="186"/>
    </row>
    <row r="14" spans="1:63" s="187" customFormat="1" ht="15" customHeight="1" x14ac:dyDescent="0.25">
      <c r="B14" s="252"/>
      <c r="AI14" s="251"/>
      <c r="BJ14" s="251"/>
      <c r="BK14" s="186"/>
    </row>
    <row r="15" spans="1:63" s="187" customFormat="1" ht="15" customHeight="1" x14ac:dyDescent="0.25">
      <c r="B15" s="252"/>
      <c r="AI15" s="251"/>
      <c r="BJ15" s="251"/>
      <c r="BK15" s="186"/>
    </row>
    <row r="16" spans="1:63" s="187" customFormat="1" ht="15" customHeight="1" x14ac:dyDescent="0.25">
      <c r="B16" s="252"/>
      <c r="AI16" s="251"/>
      <c r="BJ16" s="251"/>
      <c r="BK16" s="186"/>
    </row>
    <row r="17" spans="2:63" s="187" customFormat="1" ht="15" customHeight="1" x14ac:dyDescent="0.25">
      <c r="B17" s="252"/>
      <c r="AI17" s="251"/>
      <c r="BJ17" s="251"/>
      <c r="BK17" s="186"/>
    </row>
    <row r="18" spans="2:63" s="187" customFormat="1" ht="15" customHeight="1" x14ac:dyDescent="0.25">
      <c r="B18" s="252"/>
      <c r="AI18" s="251"/>
      <c r="BJ18" s="251"/>
      <c r="BK18" s="186"/>
    </row>
    <row r="19" spans="2:63" s="187" customFormat="1" ht="15" customHeight="1" x14ac:dyDescent="0.25">
      <c r="B19" s="252"/>
      <c r="AI19" s="251"/>
      <c r="BJ19" s="251"/>
      <c r="BK19" s="186"/>
    </row>
    <row r="20" spans="2:63" s="187" customFormat="1" ht="15" customHeight="1" x14ac:dyDescent="0.25">
      <c r="B20" s="252"/>
      <c r="AI20" s="251"/>
      <c r="BJ20" s="251"/>
      <c r="BK20" s="186"/>
    </row>
    <row r="21" spans="2:63" s="187" customFormat="1" ht="15" customHeight="1" x14ac:dyDescent="0.25">
      <c r="B21" s="252"/>
      <c r="AI21" s="251"/>
      <c r="BJ21" s="251"/>
      <c r="BK21" s="186"/>
    </row>
    <row r="22" spans="2:63" s="187" customFormat="1" ht="15" customHeight="1" x14ac:dyDescent="0.25">
      <c r="B22" s="252"/>
      <c r="AI22" s="251"/>
      <c r="BJ22" s="251"/>
      <c r="BK22" s="186"/>
    </row>
    <row r="23" spans="2:63" s="187" customFormat="1" ht="15" customHeight="1" x14ac:dyDescent="0.25">
      <c r="B23" s="252"/>
      <c r="AI23" s="251"/>
      <c r="BJ23" s="251"/>
      <c r="BK23" s="186"/>
    </row>
    <row r="24" spans="2:63" s="187" customFormat="1" ht="15" customHeight="1" x14ac:dyDescent="0.25">
      <c r="B24" s="252"/>
      <c r="AI24" s="251"/>
      <c r="BJ24" s="251"/>
      <c r="BK24" s="186"/>
    </row>
    <row r="25" spans="2:63" s="187" customFormat="1" ht="15" customHeight="1" x14ac:dyDescent="0.25">
      <c r="B25" s="252"/>
      <c r="AI25" s="251"/>
      <c r="BJ25" s="251"/>
      <c r="BK25" s="186"/>
    </row>
    <row r="26" spans="2:63" s="187" customFormat="1" ht="15" customHeight="1" x14ac:dyDescent="0.25">
      <c r="B26" s="252"/>
      <c r="AI26" s="251"/>
      <c r="BJ26" s="251"/>
      <c r="BK26" s="186"/>
    </row>
    <row r="27" spans="2:63" s="187" customFormat="1" ht="15" customHeight="1" x14ac:dyDescent="0.25">
      <c r="B27" s="252"/>
      <c r="AI27" s="251"/>
      <c r="BJ27" s="251"/>
      <c r="BK27" s="186"/>
    </row>
    <row r="28" spans="2:63" s="187" customFormat="1" ht="15" customHeight="1" x14ac:dyDescent="0.25">
      <c r="B28" s="252"/>
      <c r="AI28" s="251"/>
      <c r="BJ28" s="251"/>
      <c r="BK28" s="186"/>
    </row>
    <row r="29" spans="2:63" s="187" customFormat="1" ht="15" customHeight="1" x14ac:dyDescent="0.25">
      <c r="B29" s="252"/>
      <c r="AI29" s="251"/>
      <c r="BJ29" s="251"/>
      <c r="BK29" s="186"/>
    </row>
    <row r="30" spans="2:63" s="187" customFormat="1" ht="15" customHeight="1" x14ac:dyDescent="0.25">
      <c r="B30" s="252"/>
      <c r="AI30" s="251"/>
      <c r="BJ30" s="251"/>
      <c r="BK30" s="186"/>
    </row>
    <row r="31" spans="2:63" s="187" customFormat="1" ht="15" customHeight="1" x14ac:dyDescent="0.25">
      <c r="B31" s="252"/>
      <c r="AI31" s="251"/>
      <c r="BJ31" s="251"/>
      <c r="BK31" s="186"/>
    </row>
    <row r="32" spans="2:63" s="187" customFormat="1" ht="15" customHeight="1" x14ac:dyDescent="0.25">
      <c r="B32" s="252"/>
      <c r="AI32" s="251"/>
      <c r="BJ32" s="251"/>
      <c r="BK32" s="186"/>
    </row>
    <row r="33" spans="2:63" s="187" customFormat="1" ht="15" customHeight="1" x14ac:dyDescent="0.25">
      <c r="B33" s="252"/>
      <c r="AI33" s="251"/>
      <c r="BJ33" s="251"/>
      <c r="BK33" s="186"/>
    </row>
    <row r="34" spans="2:63" s="187" customFormat="1" ht="15" customHeight="1" x14ac:dyDescent="0.25">
      <c r="B34" s="252"/>
      <c r="AI34" s="251"/>
      <c r="BJ34" s="251"/>
      <c r="BK34" s="186"/>
    </row>
    <row r="35" spans="2:63" s="187" customFormat="1" ht="15" customHeight="1" x14ac:dyDescent="0.25">
      <c r="B35" s="252"/>
      <c r="AI35" s="251"/>
      <c r="BJ35" s="251"/>
      <c r="BK35" s="186"/>
    </row>
    <row r="36" spans="2:63" s="187" customFormat="1" ht="15" customHeight="1" x14ac:dyDescent="0.25">
      <c r="B36" s="252"/>
      <c r="AI36" s="251"/>
      <c r="BJ36" s="251"/>
      <c r="BK36" s="186"/>
    </row>
    <row r="37" spans="2:63" s="187" customFormat="1" ht="15" customHeight="1" x14ac:dyDescent="0.25">
      <c r="B37" s="252"/>
      <c r="AI37" s="251"/>
      <c r="BJ37" s="251"/>
      <c r="BK37" s="186"/>
    </row>
    <row r="38" spans="2:63" s="187" customFormat="1" ht="15" customHeight="1" x14ac:dyDescent="0.25">
      <c r="B38" s="252"/>
      <c r="AI38" s="251"/>
      <c r="BJ38" s="251"/>
      <c r="BK38" s="186"/>
    </row>
    <row r="39" spans="2:63" s="187" customFormat="1" ht="15" customHeight="1" x14ac:dyDescent="0.25">
      <c r="B39" s="252"/>
      <c r="AI39" s="251"/>
      <c r="BJ39" s="251"/>
      <c r="BK39" s="186"/>
    </row>
    <row r="40" spans="2:63" s="187" customFormat="1" ht="15" customHeight="1" x14ac:dyDescent="0.25">
      <c r="B40" s="252"/>
      <c r="AI40" s="251"/>
      <c r="BJ40" s="251"/>
      <c r="BK40" s="186"/>
    </row>
    <row r="41" spans="2:63" s="187" customFormat="1" ht="15" customHeight="1" x14ac:dyDescent="0.25">
      <c r="B41" s="252"/>
      <c r="AI41" s="251"/>
      <c r="BJ41" s="251"/>
      <c r="BK41" s="186"/>
    </row>
    <row r="42" spans="2:63" s="187" customFormat="1" ht="15" customHeight="1" x14ac:dyDescent="0.25">
      <c r="B42" s="252"/>
      <c r="AI42" s="251"/>
      <c r="BJ42" s="251"/>
      <c r="BK42" s="186"/>
    </row>
    <row r="43" spans="2:63" s="187" customFormat="1" ht="15" customHeight="1" x14ac:dyDescent="0.25">
      <c r="B43" s="252"/>
      <c r="AI43" s="251"/>
      <c r="BJ43" s="251"/>
      <c r="BK43" s="186"/>
    </row>
    <row r="44" spans="2:63" s="187" customFormat="1" ht="15" customHeight="1" x14ac:dyDescent="0.25">
      <c r="B44" s="252"/>
      <c r="AI44" s="251"/>
      <c r="BJ44" s="251"/>
      <c r="BK44" s="186"/>
    </row>
    <row r="45" spans="2:63" s="187" customFormat="1" ht="15" customHeight="1" x14ac:dyDescent="0.25">
      <c r="B45" s="252"/>
      <c r="AI45" s="251"/>
      <c r="BJ45" s="251"/>
      <c r="BK45" s="186"/>
    </row>
    <row r="46" spans="2:63" s="187" customFormat="1" ht="15" customHeight="1" x14ac:dyDescent="0.25">
      <c r="B46" s="252"/>
      <c r="AI46" s="251"/>
      <c r="BJ46" s="251"/>
      <c r="BK46" s="186"/>
    </row>
    <row r="47" spans="2:63" s="187" customFormat="1" ht="15" customHeight="1" x14ac:dyDescent="0.25">
      <c r="B47" s="252"/>
      <c r="AI47" s="251"/>
      <c r="BJ47" s="251"/>
      <c r="BK47" s="186"/>
    </row>
    <row r="48" spans="2:63" s="187" customFormat="1" ht="15" customHeight="1" x14ac:dyDescent="0.25">
      <c r="B48" s="252"/>
      <c r="AI48" s="251"/>
      <c r="BJ48" s="251"/>
      <c r="BK48" s="186"/>
    </row>
    <row r="49" spans="2:63" s="187" customFormat="1" ht="15" customHeight="1" x14ac:dyDescent="0.25">
      <c r="B49" s="252"/>
      <c r="AI49" s="251"/>
      <c r="BJ49" s="251"/>
      <c r="BK49" s="186"/>
    </row>
    <row r="50" spans="2:63" s="187" customFormat="1" ht="15" customHeight="1" x14ac:dyDescent="0.25">
      <c r="B50" s="252"/>
      <c r="AI50" s="251"/>
      <c r="BJ50" s="251"/>
      <c r="BK50" s="186"/>
    </row>
    <row r="51" spans="2:63" s="187" customFormat="1" ht="15" customHeight="1" x14ac:dyDescent="0.25">
      <c r="B51" s="252"/>
      <c r="AI51" s="251"/>
      <c r="BJ51" s="251"/>
      <c r="BK51" s="186"/>
    </row>
    <row r="52" spans="2:63" s="187" customFormat="1" ht="15" customHeight="1" x14ac:dyDescent="0.25">
      <c r="B52" s="252"/>
      <c r="AI52" s="251"/>
      <c r="BJ52" s="251"/>
      <c r="BK52" s="186"/>
    </row>
    <row r="53" spans="2:63" ht="15" customHeight="1" x14ac:dyDescent="0.25">
      <c r="B53" s="10"/>
      <c r="AI53" s="12"/>
      <c r="BJ53" s="12"/>
      <c r="BK53" s="6"/>
    </row>
    <row r="54" spans="2:63" ht="15" customHeight="1" x14ac:dyDescent="0.25">
      <c r="B54" s="10"/>
      <c r="AI54" s="12"/>
      <c r="BJ54" s="12"/>
      <c r="BK54" s="6"/>
    </row>
    <row r="55" spans="2:63" ht="15" customHeight="1" x14ac:dyDescent="0.25">
      <c r="B55" s="10"/>
      <c r="AI55" s="12"/>
      <c r="BJ55" s="12"/>
      <c r="BK55" s="6"/>
    </row>
    <row r="56" spans="2:63" ht="15" customHeight="1" x14ac:dyDescent="0.25">
      <c r="B56" s="10"/>
      <c r="AI56" s="12"/>
      <c r="BJ56" s="12"/>
      <c r="BK56" s="6"/>
    </row>
    <row r="57" spans="2:63" ht="15" customHeight="1" x14ac:dyDescent="0.25">
      <c r="B57" s="10"/>
      <c r="AI57" s="12"/>
      <c r="BJ57" s="12"/>
      <c r="BK57" s="6"/>
    </row>
    <row r="58" spans="2:63" ht="15" customHeight="1" x14ac:dyDescent="0.25">
      <c r="B58" s="10"/>
      <c r="AI58" s="12"/>
      <c r="BJ58" s="12"/>
      <c r="BK58" s="6"/>
    </row>
    <row r="59" spans="2:63" ht="15" customHeight="1" x14ac:dyDescent="0.25">
      <c r="B59" s="10"/>
      <c r="AI59" s="12"/>
      <c r="BJ59" s="12"/>
      <c r="BK59" s="6"/>
    </row>
    <row r="60" spans="2:63" ht="15" customHeight="1" x14ac:dyDescent="0.25">
      <c r="B60" s="10"/>
      <c r="AI60" s="12"/>
      <c r="BJ60" s="12"/>
      <c r="BK60" s="6"/>
    </row>
    <row r="61" spans="2:63" ht="15" customHeight="1" x14ac:dyDescent="0.25">
      <c r="B61" s="10"/>
      <c r="AI61" s="12"/>
      <c r="BJ61" s="12"/>
      <c r="BK61" s="6"/>
    </row>
    <row r="62" spans="2:63" ht="15" customHeight="1" x14ac:dyDescent="0.25">
      <c r="B62" s="10"/>
      <c r="AI62" s="12"/>
      <c r="BJ62" s="12"/>
      <c r="BK62" s="6"/>
    </row>
    <row r="63" spans="2:63" ht="15" customHeight="1" x14ac:dyDescent="0.25">
      <c r="B63" s="10"/>
      <c r="AI63" s="12"/>
      <c r="BJ63" s="12"/>
      <c r="BK63" s="6"/>
    </row>
    <row r="64" spans="2:63" ht="15" customHeight="1" x14ac:dyDescent="0.25">
      <c r="B64" s="10"/>
      <c r="AI64" s="12"/>
      <c r="BJ64" s="12"/>
      <c r="BK64" s="6"/>
    </row>
    <row r="65" spans="2:63" ht="15" customHeight="1" x14ac:dyDescent="0.25">
      <c r="B65" s="10"/>
      <c r="AI65" s="12"/>
      <c r="BJ65" s="12"/>
      <c r="BK65" s="6"/>
    </row>
    <row r="66" spans="2:63" ht="15" customHeight="1" x14ac:dyDescent="0.25">
      <c r="B66" s="10"/>
      <c r="AI66" s="12"/>
      <c r="BJ66" s="12"/>
      <c r="BK66" s="6"/>
    </row>
    <row r="67" spans="2:63" ht="15" customHeight="1" x14ac:dyDescent="0.25">
      <c r="B67" s="10"/>
      <c r="AI67" s="12"/>
      <c r="BJ67" s="12"/>
      <c r="BK67" s="6"/>
    </row>
    <row r="68" spans="2:63" ht="15" customHeight="1" x14ac:dyDescent="0.25">
      <c r="B68" s="10"/>
      <c r="AI68" s="12"/>
      <c r="BJ68" s="12"/>
      <c r="BK68" s="6"/>
    </row>
    <row r="69" spans="2:63" ht="15" customHeight="1" x14ac:dyDescent="0.25">
      <c r="B69" s="10"/>
      <c r="AI69" s="12"/>
      <c r="BJ69" s="12"/>
      <c r="BK69" s="6"/>
    </row>
    <row r="70" spans="2:63" ht="15" customHeight="1" x14ac:dyDescent="0.25">
      <c r="B70" s="10"/>
      <c r="AI70" s="12"/>
      <c r="BJ70" s="12"/>
      <c r="BK70" s="6"/>
    </row>
    <row r="71" spans="2:63" ht="15" customHeight="1" x14ac:dyDescent="0.25">
      <c r="B71" s="10"/>
      <c r="AI71" s="12"/>
      <c r="BJ71" s="12"/>
      <c r="BK71" s="6"/>
    </row>
    <row r="72" spans="2:63" ht="15" customHeight="1" x14ac:dyDescent="0.25">
      <c r="B72" s="10"/>
      <c r="AI72" s="12"/>
      <c r="BJ72" s="12"/>
      <c r="BK72" s="6"/>
    </row>
    <row r="73" spans="2:63" ht="15" customHeight="1" x14ac:dyDescent="0.25">
      <c r="B73" s="10"/>
      <c r="AI73" s="12"/>
      <c r="BJ73" s="12"/>
      <c r="BK73" s="6"/>
    </row>
    <row r="74" spans="2:63" ht="15" customHeight="1" x14ac:dyDescent="0.25">
      <c r="B74" s="10"/>
      <c r="AI74" s="12"/>
      <c r="BJ74" s="12"/>
      <c r="BK74" s="6"/>
    </row>
    <row r="75" spans="2:63" ht="15" customHeight="1" x14ac:dyDescent="0.25">
      <c r="B75" s="10"/>
      <c r="AI75" s="12"/>
      <c r="BJ75" s="12"/>
      <c r="BK75" s="6"/>
    </row>
    <row r="76" spans="2:63" ht="15" customHeight="1" x14ac:dyDescent="0.25">
      <c r="B76" s="10"/>
      <c r="AI76" s="12"/>
      <c r="BJ76" s="12"/>
      <c r="BK76" s="6"/>
    </row>
    <row r="77" spans="2:63" ht="15" customHeight="1" x14ac:dyDescent="0.25">
      <c r="B77" s="10"/>
      <c r="AI77" s="12"/>
      <c r="BJ77" s="12"/>
      <c r="BK77" s="6"/>
    </row>
    <row r="78" spans="2:63" ht="15" customHeight="1" x14ac:dyDescent="0.25">
      <c r="B78" s="10"/>
      <c r="AI78" s="12"/>
      <c r="BJ78" s="12"/>
      <c r="BK78" s="6"/>
    </row>
    <row r="79" spans="2:63" ht="15" customHeight="1" x14ac:dyDescent="0.25">
      <c r="B79" s="10"/>
      <c r="AI79" s="12"/>
      <c r="BJ79" s="12"/>
      <c r="BK79" s="6"/>
    </row>
    <row r="80" spans="2:63" ht="15" customHeight="1" x14ac:dyDescent="0.25">
      <c r="B80" s="10"/>
      <c r="AI80" s="12"/>
      <c r="BJ80" s="12"/>
      <c r="BK80" s="6"/>
    </row>
    <row r="81" spans="1:63" ht="15" customHeight="1" x14ac:dyDescent="0.25">
      <c r="B81" s="10"/>
      <c r="AI81" s="12"/>
      <c r="BJ81" s="12"/>
      <c r="BK81" s="6"/>
    </row>
    <row r="82" spans="1:63" ht="15" customHeight="1" x14ac:dyDescent="0.25">
      <c r="B82" s="10"/>
      <c r="AI82" s="12"/>
      <c r="BJ82" s="12"/>
      <c r="BK82" s="6"/>
    </row>
    <row r="83" spans="1:63" ht="15" customHeight="1" x14ac:dyDescent="0.25">
      <c r="B83" s="10"/>
      <c r="AI83" s="12"/>
      <c r="BJ83" s="12"/>
      <c r="BK83" s="6"/>
    </row>
    <row r="84" spans="1:63" ht="15" customHeight="1" x14ac:dyDescent="0.25">
      <c r="B84" s="10"/>
      <c r="AI84" s="12"/>
      <c r="BJ84" s="12"/>
      <c r="BK84" s="6"/>
    </row>
    <row r="85" spans="1:63" ht="15" customHeight="1" x14ac:dyDescent="0.25">
      <c r="B85" s="10"/>
      <c r="AI85" s="12"/>
      <c r="BJ85" s="12"/>
      <c r="BK85" s="6"/>
    </row>
    <row r="86" spans="1:63" ht="15" customHeight="1" x14ac:dyDescent="0.25">
      <c r="B86" s="10"/>
      <c r="AI86" s="12"/>
      <c r="BJ86" s="12"/>
      <c r="BK86" s="6"/>
    </row>
    <row r="87" spans="1:63" ht="15" customHeight="1" x14ac:dyDescent="0.25">
      <c r="B87" s="10"/>
      <c r="AI87" s="12"/>
      <c r="BJ87" s="12"/>
      <c r="BK87" s="6"/>
    </row>
    <row r="88" spans="1:63" ht="15" customHeight="1" x14ac:dyDescent="0.25">
      <c r="B88" s="10"/>
      <c r="AI88" s="12"/>
      <c r="BJ88" s="12"/>
      <c r="BK88" s="6"/>
    </row>
    <row r="89" spans="1:63" ht="15" customHeight="1" x14ac:dyDescent="0.25">
      <c r="B89" s="10"/>
      <c r="AI89" s="12"/>
      <c r="BJ89" s="12"/>
      <c r="BK89" s="6"/>
    </row>
    <row r="90" spans="1:63" ht="15" customHeight="1" x14ac:dyDescent="0.25">
      <c r="B90" s="10"/>
      <c r="AI90" s="12"/>
      <c r="BJ90" s="12"/>
      <c r="BK90" s="6"/>
    </row>
    <row r="91" spans="1:63" ht="15" customHeight="1" x14ac:dyDescent="0.25">
      <c r="B91" s="10"/>
      <c r="AI91" s="12"/>
      <c r="BJ91" s="12"/>
      <c r="BK91" s="6"/>
    </row>
    <row r="92" spans="1:63" ht="15" customHeight="1" x14ac:dyDescent="0.25">
      <c r="A92" s="4"/>
      <c r="B92" s="11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13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13"/>
      <c r="BK92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9" t="s">
        <v>57</v>
      </c>
      <c r="B1" s="170"/>
      <c r="C1" s="170"/>
      <c r="D1" s="170"/>
      <c r="E1" s="170"/>
      <c r="F1" s="170"/>
      <c r="G1" s="170"/>
      <c r="H1" s="170"/>
      <c r="I1" s="170"/>
      <c r="J1" s="171"/>
      <c r="K1" s="169" t="s">
        <v>58</v>
      </c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  <c r="W1" s="172" t="str">
        <f>IF(表紙!W1="","",表紙!W1)</f>
        <v>詳細設計書</v>
      </c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3"/>
      <c r="AN1" s="173"/>
      <c r="AO1" s="174"/>
      <c r="AP1" s="95" t="s">
        <v>60</v>
      </c>
      <c r="AQ1" s="96"/>
      <c r="AR1" s="96"/>
      <c r="AS1" s="97"/>
      <c r="AT1" s="95" t="s">
        <v>61</v>
      </c>
      <c r="AU1" s="96"/>
      <c r="AV1" s="96"/>
      <c r="AW1" s="96"/>
      <c r="AX1" s="97"/>
      <c r="AY1" s="95" t="s">
        <v>62</v>
      </c>
      <c r="AZ1" s="96"/>
      <c r="BA1" s="96"/>
      <c r="BB1" s="97"/>
      <c r="BC1" s="95" t="s">
        <v>63</v>
      </c>
      <c r="BD1" s="96"/>
      <c r="BE1" s="96"/>
      <c r="BF1" s="96"/>
      <c r="BG1" s="97"/>
      <c r="BH1" s="95" t="s">
        <v>64</v>
      </c>
      <c r="BI1" s="96"/>
      <c r="BJ1" s="96"/>
      <c r="BK1" s="97"/>
    </row>
    <row r="2" spans="1:63" ht="15" customHeight="1" x14ac:dyDescent="0.25">
      <c r="A2" s="57" t="str">
        <f>IF(表紙!A2="","",表紙!A2)</f>
        <v>POSサーバー</v>
      </c>
      <c r="B2" s="58"/>
      <c r="C2" s="58"/>
      <c r="D2" s="58"/>
      <c r="E2" s="58"/>
      <c r="F2" s="58"/>
      <c r="G2" s="58"/>
      <c r="H2" s="58"/>
      <c r="I2" s="58"/>
      <c r="J2" s="59"/>
      <c r="K2" s="57" t="str">
        <f>IF(表紙!K2="","",表紙!K2)</f>
        <v>POSサーバ</v>
      </c>
      <c r="L2" s="58"/>
      <c r="M2" s="58"/>
      <c r="N2" s="58"/>
      <c r="O2" s="58"/>
      <c r="P2" s="58"/>
      <c r="Q2" s="58"/>
      <c r="R2" s="58"/>
      <c r="S2" s="58"/>
      <c r="T2" s="58"/>
      <c r="U2" s="58"/>
      <c r="V2" s="59"/>
      <c r="W2" s="175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176"/>
      <c r="AK2" s="176"/>
      <c r="AL2" s="176"/>
      <c r="AM2" s="176"/>
      <c r="AN2" s="176"/>
      <c r="AO2" s="177"/>
      <c r="AP2" s="104" t="str">
        <f>IF(表紙!AP2="","",表紙!AP2)</f>
        <v>DuNT</v>
      </c>
      <c r="AQ2" s="102"/>
      <c r="AR2" s="102"/>
      <c r="AS2" s="103"/>
      <c r="AT2" s="108">
        <f>IF(表紙!AT2="","",表紙!AT2)</f>
        <v>45638</v>
      </c>
      <c r="AU2" s="109"/>
      <c r="AV2" s="109"/>
      <c r="AW2" s="109"/>
      <c r="AX2" s="110"/>
      <c r="AY2" s="104" t="str">
        <f>IF(表紙!AY2="","",表紙!AY2)</f>
        <v>DuNT</v>
      </c>
      <c r="AZ2" s="102"/>
      <c r="BA2" s="102"/>
      <c r="BB2" s="103"/>
      <c r="BC2" s="108">
        <f>IF(表紙!BC2="","",表紙!BC2)</f>
        <v>45638</v>
      </c>
      <c r="BD2" s="109"/>
      <c r="BE2" s="109"/>
      <c r="BF2" s="109"/>
      <c r="BG2" s="110"/>
      <c r="BH2" s="104">
        <f>IF(表紙!BH2="","",表紙!BH2)</f>
        <v>0.1</v>
      </c>
      <c r="BI2" s="102"/>
      <c r="BJ2" s="102"/>
      <c r="BK2" s="103"/>
    </row>
    <row r="3" spans="1:63" ht="15" customHeight="1" x14ac:dyDescent="0.25">
      <c r="A3" s="60"/>
      <c r="B3" s="61"/>
      <c r="C3" s="61"/>
      <c r="D3" s="61"/>
      <c r="E3" s="61"/>
      <c r="F3" s="61"/>
      <c r="G3" s="61"/>
      <c r="H3" s="61"/>
      <c r="I3" s="61"/>
      <c r="J3" s="62"/>
      <c r="K3" s="60"/>
      <c r="L3" s="61"/>
      <c r="M3" s="61"/>
      <c r="N3" s="61"/>
      <c r="O3" s="61"/>
      <c r="P3" s="61"/>
      <c r="Q3" s="61"/>
      <c r="R3" s="61"/>
      <c r="S3" s="61"/>
      <c r="T3" s="61"/>
      <c r="U3" s="61"/>
      <c r="V3" s="62"/>
      <c r="W3" s="178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80"/>
      <c r="AP3" s="114"/>
      <c r="AQ3" s="115"/>
      <c r="AR3" s="115"/>
      <c r="AS3" s="116"/>
      <c r="AT3" s="120"/>
      <c r="AU3" s="121"/>
      <c r="AV3" s="121"/>
      <c r="AW3" s="121"/>
      <c r="AX3" s="122"/>
      <c r="AY3" s="114"/>
      <c r="AZ3" s="115"/>
      <c r="BA3" s="115"/>
      <c r="BB3" s="116"/>
      <c r="BC3" s="120"/>
      <c r="BD3" s="121"/>
      <c r="BE3" s="121"/>
      <c r="BF3" s="121"/>
      <c r="BG3" s="122"/>
      <c r="BH3" s="114"/>
      <c r="BI3" s="115"/>
      <c r="BJ3" s="115"/>
      <c r="BK3" s="116"/>
    </row>
    <row r="4" spans="1:63" ht="24.95" customHeight="1" x14ac:dyDescent="0.25">
      <c r="A4" s="169" t="s">
        <v>66</v>
      </c>
      <c r="B4" s="170"/>
      <c r="C4" s="170"/>
      <c r="D4" s="170"/>
      <c r="E4" s="170"/>
      <c r="F4" s="170"/>
      <c r="G4" s="171"/>
      <c r="H4" s="53" t="str">
        <f>IF(表紙!H4="","",表紙!H4)</f>
        <v>AP1001</v>
      </c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5"/>
      <c r="U4" s="169" t="s">
        <v>67</v>
      </c>
      <c r="V4" s="170"/>
      <c r="W4" s="170"/>
      <c r="X4" s="170"/>
      <c r="Y4" s="171"/>
      <c r="Z4" s="53" t="str">
        <f>IF(表紙!Z4="","",表紙!Z4)</f>
        <v>API設計書</v>
      </c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5"/>
      <c r="AP4" s="56" t="str">
        <f ca="1">MID(CELL("filename",A1),FIND("]",CELL("filename",A1))+1,255)</f>
        <v>テンプレート</v>
      </c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7" customFormat="1" ht="15" customHeight="1" x14ac:dyDescent="0.25">
      <c r="BK7" s="186"/>
    </row>
    <row r="8" spans="1:63" s="187" customFormat="1" ht="15" customHeight="1" x14ac:dyDescent="0.25">
      <c r="BK8" s="186"/>
    </row>
    <row r="9" spans="1:63" s="187" customFormat="1" ht="15" customHeight="1" x14ac:dyDescent="0.25">
      <c r="BK9" s="186"/>
    </row>
    <row r="10" spans="1:63" s="187" customFormat="1" ht="15" customHeight="1" x14ac:dyDescent="0.25">
      <c r="BK10" s="186"/>
    </row>
    <row r="11" spans="1:63" s="187" customFormat="1" ht="15" customHeight="1" x14ac:dyDescent="0.25">
      <c r="BK11" s="186"/>
    </row>
    <row r="12" spans="1:63" s="187" customFormat="1" ht="15" customHeight="1" x14ac:dyDescent="0.25">
      <c r="BK12" s="186"/>
    </row>
    <row r="13" spans="1:63" s="187" customFormat="1" ht="15" customHeight="1" x14ac:dyDescent="0.25">
      <c r="BK13" s="186"/>
    </row>
    <row r="14" spans="1:63" s="187" customFormat="1" ht="15" customHeight="1" x14ac:dyDescent="0.25">
      <c r="BK14" s="186"/>
    </row>
    <row r="15" spans="1:63" s="187" customFormat="1" ht="15" customHeight="1" x14ac:dyDescent="0.25">
      <c r="BK15" s="186"/>
    </row>
    <row r="16" spans="1:63" s="187" customFormat="1" ht="15" customHeight="1" x14ac:dyDescent="0.25">
      <c r="BK16" s="186"/>
    </row>
    <row r="17" spans="63:63" s="187" customFormat="1" ht="15" customHeight="1" x14ac:dyDescent="0.25">
      <c r="BK17" s="186"/>
    </row>
    <row r="18" spans="63:63" s="187" customFormat="1" ht="15" customHeight="1" x14ac:dyDescent="0.25">
      <c r="BK18" s="186"/>
    </row>
    <row r="19" spans="63:63" s="187" customFormat="1" ht="15" customHeight="1" x14ac:dyDescent="0.25">
      <c r="BK19" s="186"/>
    </row>
    <row r="20" spans="63:63" s="187" customFormat="1" ht="15" customHeight="1" x14ac:dyDescent="0.25">
      <c r="BK20" s="186"/>
    </row>
    <row r="21" spans="63:63" s="187" customFormat="1" ht="15" customHeight="1" x14ac:dyDescent="0.25">
      <c r="BK21" s="186"/>
    </row>
    <row r="22" spans="63:63" s="187" customFormat="1" ht="15" customHeight="1" x14ac:dyDescent="0.25">
      <c r="BK22" s="186"/>
    </row>
    <row r="23" spans="63:63" s="187" customFormat="1" ht="15" customHeight="1" x14ac:dyDescent="0.25">
      <c r="BK23" s="186"/>
    </row>
    <row r="24" spans="63:63" s="187" customFormat="1" ht="15" customHeight="1" x14ac:dyDescent="0.25">
      <c r="BK24" s="186"/>
    </row>
    <row r="25" spans="63:63" s="187" customFormat="1" ht="15" customHeight="1" x14ac:dyDescent="0.25">
      <c r="BK25" s="186"/>
    </row>
    <row r="26" spans="63:63" s="187" customFormat="1" ht="15" customHeight="1" x14ac:dyDescent="0.25">
      <c r="BK26" s="186"/>
    </row>
    <row r="27" spans="63:63" s="187" customFormat="1" ht="15" customHeight="1" x14ac:dyDescent="0.25">
      <c r="BK27" s="186"/>
    </row>
    <row r="28" spans="63:63" s="187" customFormat="1" ht="15" customHeight="1" x14ac:dyDescent="0.25">
      <c r="BK28" s="186"/>
    </row>
    <row r="29" spans="63:63" s="187" customFormat="1" ht="15" customHeight="1" x14ac:dyDescent="0.25">
      <c r="BK29" s="186"/>
    </row>
    <row r="30" spans="63:63" s="187" customFormat="1" ht="15" customHeight="1" x14ac:dyDescent="0.25">
      <c r="BK30" s="186"/>
    </row>
    <row r="31" spans="63:63" s="187" customFormat="1" ht="15" customHeight="1" x14ac:dyDescent="0.25">
      <c r="BK31" s="186"/>
    </row>
    <row r="32" spans="63:63" s="187" customFormat="1" ht="15" customHeight="1" x14ac:dyDescent="0.25">
      <c r="BK32" s="186"/>
    </row>
    <row r="33" spans="63:63" s="187" customFormat="1" ht="15" customHeight="1" x14ac:dyDescent="0.25">
      <c r="BK33" s="186"/>
    </row>
    <row r="34" spans="63:63" s="187" customFormat="1" ht="15" customHeight="1" x14ac:dyDescent="0.25">
      <c r="BK34" s="186"/>
    </row>
    <row r="35" spans="63:63" s="187" customFormat="1" ht="15" customHeight="1" x14ac:dyDescent="0.25">
      <c r="BK35" s="186"/>
    </row>
    <row r="36" spans="63:63" s="187" customFormat="1" ht="15" customHeight="1" x14ac:dyDescent="0.25">
      <c r="BK36" s="186"/>
    </row>
    <row r="37" spans="63:63" s="187" customFormat="1" ht="15" customHeight="1" x14ac:dyDescent="0.25">
      <c r="BK37" s="186"/>
    </row>
    <row r="38" spans="63:63" s="187" customFormat="1" ht="15" customHeight="1" x14ac:dyDescent="0.25">
      <c r="BK38" s="186"/>
    </row>
    <row r="39" spans="63:63" s="187" customFormat="1" ht="15" customHeight="1" x14ac:dyDescent="0.25">
      <c r="BK39" s="186"/>
    </row>
    <row r="40" spans="63:63" s="187" customFormat="1" ht="15" customHeight="1" x14ac:dyDescent="0.25">
      <c r="BK40" s="186"/>
    </row>
    <row r="41" spans="63:63" s="187" customFormat="1" ht="15" customHeight="1" x14ac:dyDescent="0.25">
      <c r="BK41" s="186"/>
    </row>
    <row r="42" spans="63:63" s="187" customFormat="1" ht="15" customHeight="1" x14ac:dyDescent="0.25">
      <c r="BK42" s="186"/>
    </row>
    <row r="43" spans="63:63" s="187" customFormat="1" ht="15" customHeight="1" x14ac:dyDescent="0.25">
      <c r="BK43" s="186"/>
    </row>
    <row r="44" spans="63:63" s="187" customFormat="1" ht="15" customHeight="1" x14ac:dyDescent="0.25">
      <c r="BK44" s="186"/>
    </row>
    <row r="45" spans="63:63" s="187" customFormat="1" ht="15" customHeight="1" x14ac:dyDescent="0.25">
      <c r="BK45" s="186"/>
    </row>
    <row r="46" spans="63:63" s="187" customFormat="1" ht="15" customHeight="1" x14ac:dyDescent="0.25">
      <c r="BK46" s="186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861A44A-2F74-43DE-9D52-932A5CA8DE3E}"/>
</file>

<file path=customXml/itemProps2.xml><?xml version="1.0" encoding="utf-8"?>
<ds:datastoreItem xmlns:ds="http://schemas.openxmlformats.org/officeDocument/2006/customXml" ds:itemID="{80B1A09B-5AB0-4C41-81C1-CC3576353923}"/>
</file>

<file path=customXml/itemProps3.xml><?xml version="1.0" encoding="utf-8"?>
<ds:datastoreItem xmlns:ds="http://schemas.openxmlformats.org/officeDocument/2006/customXml" ds:itemID="{2ECEF38B-3442-49DF-A4FB-54B707C1EFF3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表紙</vt:lpstr>
      <vt:lpstr>改訂履歴</vt:lpstr>
      <vt:lpstr>指摘履歴</vt:lpstr>
      <vt:lpstr>処理フロー凡例</vt:lpstr>
      <vt:lpstr>AP1001</vt:lpstr>
      <vt:lpstr>処理フロー</vt:lpstr>
      <vt:lpstr>テンプレート</vt:lpstr>
      <vt:lpstr>'AP1001'!Print_Area</vt:lpstr>
      <vt:lpstr>テンプレート!Print_Area</vt:lpstr>
      <vt:lpstr>処理フロー!Print_Area</vt:lpstr>
      <vt:lpstr>処理フロー凡例!Print_Area</vt:lpstr>
      <vt:lpstr>指摘履歴!Print_Area</vt:lpstr>
      <vt:lpstr>改訂履歴!Print_Area</vt:lpstr>
      <vt:lpstr>表紙!Print_Area</vt:lpstr>
      <vt:lpstr>指摘履歴!Print_Titles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2024-12-27T07:47:32Z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