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54AF812B-F66A-460B-ADF8-1CC807EA0A6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3" sheetId="8" r:id="rId4"/>
    <sheet name="処理フロー" sheetId="9" r:id="rId5"/>
    <sheet name="テンプレート" sheetId="7" r:id="rId6"/>
  </sheets>
  <definedNames>
    <definedName name="_xlnm.Print_Area" localSheetId="3">'AP1503'!$A$1:$BK$90</definedName>
    <definedName name="_xlnm.Print_Area" localSheetId="5">テンプレート!$A$1:$BK$54</definedName>
    <definedName name="_xlnm.Print_Area" localSheetId="4">処理フロー!$A$1:$BK$61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C50" i="8"/>
  <c r="C49" i="8"/>
  <c r="C48" i="8"/>
  <c r="C47" i="8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<sst xmlns="http://schemas.openxmlformats.org/spreadsheetml/2006/main" count="199" uniqueCount="115">
  <si>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</si>
  <si>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</si>
  <si>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</si>
  <si>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</si>
  <si>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</si>
  <si>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</si>
  <si>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</si>
  <si>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</si>
  <si>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</si>
  <si>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</si>
  <si>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</si>
  <si>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</si>
  <si>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</si>
  <si>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</si>
  <si>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</si>
  <si>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</si>
  <si>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</si>
  <si>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</si>
  <si>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</si>
  <si>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</si>
  <si>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</si>
  <si>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</si>
  <si>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</si>
  <si>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</si>
  <si>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</si>
  <si>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</si>
  <si>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</si>
  <si>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</si>
  <si>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</si>
  <si>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FFFFFF"/>
        <rFont val="Meiryo UI"/>
        <family val="3"/>
        <charset val="128"/>
      </rPr>
      <t>●API処理フロー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</si>
  <si>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</si>
  <si>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</si>
  <si>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</si>
  <si>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t>{</t>
  </si>
  <si>
    <r>
      <rPr>
        <sz val="11"/>
        <color rgb="FF000000"/>
        <rFont val="Meiryo UI"/>
        <family val="2"/>
      </rPr>
      <t>List&lt;Object&gt;</t>
    </r>
  </si>
  <si>
    <t xml:space="preserve">        {</t>
  </si>
  <si>
    <r>
      <rPr>
        <sz val="11"/>
        <color rgb="FF000000"/>
        <rFont val="Meiryo UI"/>
        <family val="2"/>
      </rPr>
      <t>機能種類一覧</t>
    </r>
  </si>
  <si>
    <r>
      <rPr>
        <sz val="11"/>
        <color rgb="FF000000"/>
        <rFont val="Meiryo UI"/>
        <family val="2"/>
      </rPr>
      <t>event_group_code</t>
    </r>
  </si>
  <si>
    <r>
      <rPr>
        <sz val="11"/>
        <color rgb="FF000000"/>
        <rFont val="Meiryo UI"/>
        <family val="2"/>
      </rPr>
      <t>event_group_name</t>
    </r>
  </si>
  <si>
    <r>
      <rPr>
        <sz val="11"/>
        <color rgb="FF000000"/>
        <rFont val="Meiryo UI"/>
        <family val="2"/>
      </rPr>
      <t>setting_data_type</t>
    </r>
  </si>
  <si>
    <r>
      <rPr>
        <sz val="11"/>
        <color rgb="FF000000"/>
        <rFont val="Meiryo UI"/>
        <family val="2"/>
      </rPr>
      <t>CodeMaster.CodeValue</t>
    </r>
  </si>
  <si>
    <r>
      <rPr>
        <sz val="11"/>
        <color rgb="FF000000"/>
        <rFont val="Meiryo UI"/>
        <family val="2"/>
      </rPr>
      <t>CodeMaster.PropertyName</t>
    </r>
  </si>
  <si>
    <r>
      <rPr>
        <sz val="11"/>
        <color rgb="FF000000"/>
        <rFont val="Meiryo UI"/>
        <family val="2"/>
      </rPr>
      <t>CodeMaster.CodeNo</t>
    </r>
  </si>
  <si>
    <r>
      <rPr>
        <sz val="11"/>
        <color rgb="FF000000"/>
        <rFont val="Meiryo UI"/>
        <family val="2"/>
      </rPr>
      <t>グループのデータの項番</t>
    </r>
  </si>
  <si>
    <r>
      <rPr>
        <sz val="11"/>
        <color rgb="FF000000"/>
        <rFont val="Meiryo UI"/>
        <family val="2"/>
      </rPr>
      <t>データ名称</t>
    </r>
  </si>
  <si>
    <r>
      <rPr>
        <sz val="11"/>
        <color rgb="FF000000"/>
        <rFont val="Meiryo UI"/>
        <family val="2"/>
      </rPr>
      <t>データの主な値</t>
    </r>
  </si>
  <si>
    <t xml:space="preserve">        },</t>
  </si>
  <si>
    <t>]</t>
  </si>
  <si>
    <r>
      <rPr>
        <sz val="11"/>
        <color rgb="FF000000"/>
        <rFont val="Meiryo UI"/>
        <family val="2"/>
      </rPr>
      <t>master_code</t>
    </r>
  </si>
  <si>
    <r>
      <rPr>
        <sz val="11"/>
        <color rgb="FF000000"/>
        <rFont val="Meiryo UI"/>
        <family val="2"/>
      </rPr>
      <t>code_value_extend</t>
    </r>
  </si>
  <si>
    <r>
      <rPr>
        <sz val="11"/>
        <color rgb="FF000000"/>
        <rFont val="Meiryo UI"/>
        <family val="2"/>
      </rPr>
      <t>json</t>
    </r>
  </si>
  <si>
    <r>
      <rPr>
        <sz val="11"/>
        <color rgb="FF000000"/>
        <rFont val="Meiryo UI"/>
        <family val="2"/>
      </rPr>
      <t>CodeMaster.CodeValueExt</t>
    </r>
  </si>
  <si>
    <r>
      <rPr>
        <sz val="11"/>
        <color rgb="FF000000"/>
        <rFont val="Meiryo UI"/>
        <family val="2"/>
      </rPr>
      <t>分類の追加情報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</si>
  <si>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</si>
  <si>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"items":   [</t>
    </r>
  </si>
  <si>
    <r>
      <rPr>
        <sz val="11"/>
        <color rgb="FF000000"/>
        <rFont val="Meiryo UI"/>
        <family val="2"/>
      </rPr>
      <t>CodeMaster.MasterCode</t>
    </r>
  </si>
  <si>
    <r>
      <rPr>
        <sz val="11"/>
        <color rgb="FF000000"/>
        <rFont val="Meiryo UI"/>
        <family val="2"/>
      </rPr>
      <t>AP1503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</si>
  <si>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</si>
  <si>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List&lt;string&gt;</t>
    </r>
  </si>
  <si>
    <t>},</t>
  </si>
  <si>
    <t>[</t>
  </si>
  <si>
    <r>
      <rPr>
        <b/>
        <sz val="11"/>
        <color rgb="FF000000"/>
        <rFont val="Meiryo UI"/>
        <family val="2"/>
      </rPr>
      <t>Array&lt;MasterCode&gt;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</si>
  <si>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</si>
  <si>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</si>
  <si>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</si>
  <si>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</si>
  <si>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</si>
  <si>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</si>
  <si>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</si>
  <si>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</si>
  <si>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</si>
  <si>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</si>
  <si>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</si>
  <si>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</si>
  <si>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</si>
  <si>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</si>
  <si>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</si>
  <si>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urlの更新</t>
  </si>
  <si>
    <t>AP1503シート</t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</si>
  <si>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</si>
  <si>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</si>
  <si>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</si>
  <si>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r>
      <rPr>
        <b/>
        <sz val="11"/>
        <color rgb="FF000000"/>
        <rFont val="Meiryo UI"/>
        <family val="2"/>
      </rPr>
      <t>1. 概要</t>
    </r>
  </si>
  <si>
    <r>
      <rPr>
        <sz val="11"/>
        <color rgb="FF000000"/>
        <rFont val="Meiryo UI"/>
        <family val="2"/>
      </rPr>
      <t>コードマスタ（固定設定）一覧を取得する。例: プリセットメニューボタンに使用される機能タイプ一覧</t>
    </r>
  </si>
  <si>
    <r>
      <rPr>
        <sz val="11"/>
        <color rgb="FF000000"/>
        <rFont val="Meiryo UI"/>
        <family val="2"/>
      </rPr>
      <t>コードマスタのタイプを区別するために、データタイプごとに事前に規定されたコードマスタIDを使用する。例：MC0015 - プリセットメニューボタン機能のコードマスタ</t>
    </r>
  </si>
  <si>
    <t>2. リクエスト</t>
  </si>
  <si>
    <t>2.1 Request URL</t>
  </si>
  <si>
    <t>api/v1/code-master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</si>
  <si>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</si>
  <si>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</si>
  <si>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</si>
  <si>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</si>
  <si>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フォーマット："Bearer {api_key}"</t>
    </r>
  </si>
  <si>
    <t>2.3 Query Parameter/ path parameter</t>
  </si>
  <si>
    <t>2.4 Request Body</t>
  </si>
  <si>
    <r>
      <rPr>
        <sz val="11"/>
        <color rgb="FF000000"/>
        <rFont val="Meiryo UI"/>
        <family val="2"/>
      </rPr>
      <t xml:space="preserve"> 規定されたコードマスタ一覧 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</si>
  <si>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</si>
  <si>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</si>
  <si>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</si>
  <si>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※サンプル</t>
  </si>
  <si>
    <r>
      <rPr>
        <sz val="11"/>
        <color rgb="FF000000"/>
        <rFont val="Meiryo UI"/>
        <family val="2"/>
      </rPr>
      <t>"master_code": "MC0015",</t>
    </r>
  </si>
  <si>
    <r>
      <rPr>
        <sz val="11"/>
        <color rgb="FF000000"/>
        <rFont val="Meiryo UI"/>
        <family val="2"/>
      </rPr>
      <t xml:space="preserve">            "event_group_code":"1",</t>
    </r>
  </si>
  <si>
    <r>
      <rPr>
        <sz val="11"/>
        <color rgb="FF000000"/>
        <rFont val="Meiryo UI"/>
        <family val="2"/>
      </rPr>
      <t xml:space="preserve">            "event_group_name": null,</t>
    </r>
  </si>
  <si>
    <r>
      <rPr>
        <sz val="11"/>
        <color rgb="FF000000"/>
        <rFont val="Meiryo UI"/>
        <family val="2"/>
      </rPr>
      <t xml:space="preserve">            "setting_data_type": "1",</t>
    </r>
  </si>
  <si>
    <r>
      <rPr>
        <sz val="11"/>
        <color rgb="FF000000"/>
        <rFont val="Meiryo UI"/>
        <family val="2"/>
      </rPr>
      <t xml:space="preserve">            "code_value_extend": {</t>
    </r>
  </si>
  <si>
    <r>
      <rPr>
        <sz val="11"/>
        <color rgb="FF000000"/>
        <rFont val="Meiryo UI"/>
        <family val="2"/>
      </rPr>
      <t xml:space="preserve">            "selection_funtion": false</t>
    </r>
  </si>
  <si>
    <r>
      <rPr>
        <sz val="11"/>
        <color rgb="FF000000"/>
        <rFont val="Meiryo UI"/>
        <family val="2"/>
      </rPr>
      <t xml:space="preserve">            "event_group_code": "5",</t>
    </r>
  </si>
  <si>
    <r>
      <rPr>
        <sz val="11"/>
        <color rgb="FF000000"/>
        <rFont val="Meiryo UI"/>
        <family val="2"/>
      </rPr>
      <t xml:space="preserve">            "event_group_name": "リピート",</t>
    </r>
  </si>
  <si>
    <r>
      <rPr>
        <sz val="11"/>
        <color rgb="FF000000"/>
        <rFont val="Meiryo UI"/>
        <family val="2"/>
      </rPr>
      <t xml:space="preserve">            "setting_data_type": "2",</t>
    </r>
  </si>
  <si>
    <r>
      <rPr>
        <sz val="11"/>
        <color rgb="FF000000"/>
        <rFont val="Meiryo UI"/>
        <family val="2"/>
      </rPr>
      <t xml:space="preserve">            "selection_funtion": true</t>
    </r>
  </si>
  <si>
    <r>
      <rPr>
        <sz val="11"/>
        <color rgb="FF000000"/>
        <rFont val="Meiryo UI"/>
        <family val="2"/>
      </rPr>
      <t xml:space="preserve">            "event_group_code":"6",</t>
    </r>
  </si>
  <si>
    <r>
      <rPr>
        <sz val="11"/>
        <color rgb="FF000000"/>
        <rFont val="Meiryo UI"/>
        <family val="2"/>
      </rPr>
      <t xml:space="preserve">            "event_group_name": "直前訂正",</t>
    </r>
  </si>
  <si>
    <r>
      <rPr>
        <sz val="11"/>
        <color rgb="FF000000"/>
        <rFont val="Meiryo UI"/>
        <family val="2"/>
      </rPr>
      <t xml:space="preserve">            "setting_data_type":"2",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</si>
  <si>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</si>
  <si>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グループID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</si>
</sst>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297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21" xfId="0" applyFont="1" applyFill="1" applyBorder="1" applyAlignment="1">
      <alignment vertical="center"/>
    </xf>
    <xf numFmtId="0" fontId="2" fillId="4" borderId="19" xfId="0" applyFont="1" applyFill="1" applyBorder="1" applyAlignment="1">
      <alignment vertical="center"/>
    </xf>
    <xf numFmtId="0" fontId="9" fillId="5" borderId="23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12" fillId="0" borderId="0" xfId="0" applyFont="1" applyAlignment="1">
      <alignment horizontal="left" vertical="center" indent="1"/>
    </xf>
    <xf numFmtId="0" fontId="2" fillId="4" borderId="23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9" fillId="5" borderId="23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6" fillId="0" borderId="23" xfId="0" applyFont="1" applyBorder="1" applyAlignment="1">
      <alignment horizontal="left" vertical="center" indent="1"/>
    </xf>
    <xf numFmtId="0" fontId="6" fillId="0" borderId="25" xfId="0" applyFont="1" applyBorder="1" applyAlignment="1">
      <alignment horizontal="left" vertical="center" indent="1"/>
    </xf>
    <xf numFmtId="0" fontId="6" fillId="0" borderId="24" xfId="0" applyFont="1" applyBorder="1" applyAlignment="1">
      <alignment horizontal="left" vertical="center" indent="1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6" fillId="4" borderId="0" xfId="0" applyFont="1" applyFill="1"/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16" xfId="0" applyFont="1" applyBorder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2" xfId="0" applyFont="1" applyBorder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5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indent="1"/>
    </xf>
    <xf numFmtId="0" fontId="20" fillId="0" borderId="1" xfId="0" applyFont="1" applyBorder="1" applyAlignment="1">
      <alignment horizontal="left" vertical="center" indent="2"/>
    </xf>
    <xf numFmtId="0" fontId="20" fillId="0" borderId="1" xfId="0" applyFont="1" applyBorder="1" applyAlignment="1">
      <alignment horizontal="left" vertical="center" indent="3"/>
    </xf>
    <xf numFmtId="0" fontId="20" fillId="0" borderId="2" xfId="0" applyFont="1" applyBorder="1" applyAlignment="1">
      <alignment horizontal="left" vertical="center"/>
    </xf>
    <xf numFmtId="0" fontId="23" fillId="0" borderId="23" xfId="0" quotePrefix="1" applyFont="1" applyBorder="1" applyAlignment="1">
      <alignment horizontal="left" vertical="center"/>
    </xf>
    <xf numFmtId="0" fontId="23" fillId="0" borderId="25" xfId="0" quotePrefix="1" applyFont="1" applyBorder="1" applyAlignment="1">
      <alignment horizontal="left" vertical="center"/>
    </xf>
    <xf numFmtId="0" fontId="23" fillId="0" borderId="24" xfId="0" quotePrefix="1" applyFont="1" applyBorder="1" applyAlignment="1">
      <alignment horizontal="left" vertical="center"/>
    </xf>
    <xf numFmtId="0" fontId="20" fillId="0" borderId="0" xfId="0" applyFont="1" applyAlignment="1">
      <alignment vertical="center"/>
    </xf>
    <xf numFmtId="0" fontId="20" fillId="0" borderId="21" xfId="0" applyFont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9</xdr:row>
      <xdr:rowOff>190499</xdr:rowOff>
    </xdr:from>
    <xdr:to>
      <xdr:col>62</xdr:col>
      <xdr:colOff>0</xdr:colOff>
      <xdr:row>18</xdr:row>
      <xdr:rowOff>22412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019300"/>
          <a:ext cx="7200900" cy="1543050"/>
        </a:xfrm>
        <a:prstGeom prst="borderCallout1">
          <a:avLst>
            <a:gd name="adj1" fmla="val 51887"/>
            <a:gd name="adj2" fmla="val 470"/>
            <a:gd name="adj3" fmla="val 63679"/>
            <a:gd name="adj4" fmla="val -9654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以下の条件を満たすCodeMasterテブールのレコード一覧を取得する。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▪CodeMaster.CompanyCode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▪CodeMaster.MasterCode IN params {master_code}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▪GROUP BY CodeMaster.CompanyCode, CodeMaster.MasterCode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▪ORDER BY CodeMaster.CodeNo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クエリが成功した場合、response code = 200、ボディが「正常の場合のレスポンスフォーマット」で記載される。レコードが存在していない場合、空データを返す。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コードマスタ一覧取得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</xdr:row>
      <xdr:rowOff>11206</xdr:rowOff>
    </xdr:from>
    <xdr:to>
      <xdr:col>8</xdr:col>
      <xdr:colOff>0</xdr:colOff>
      <xdr:row>23</xdr:row>
      <xdr:rowOff>11205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4124325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</xdr:colOff>
      <xdr:row>21</xdr:row>
      <xdr:rowOff>11206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7" idx="2"/>
          <a:endCxn id="11" idx="0"/>
        </xdr:cNvCxnSpPr>
      </xdr:nvCxnSpPr>
      <xdr:spPr>
        <a:xfrm flipH="1">
          <a:off x="1600200" y="3352800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37" customWidth="1"/>
    <col min="61" max="16384" width="2.77734375" style="137"/>
  </cols>
  <sheetData>
    <row r="1" spans="1:63" ht="24.95" customHeight="1" x14ac:dyDescent="0.25">
      <c r="A1" s="131" t="s">
        <v>62</v>
      </c>
      <c r="B1" s="132"/>
      <c r="C1" s="132"/>
      <c r="D1" s="132"/>
      <c r="E1" s="132"/>
      <c r="F1" s="132"/>
      <c r="G1" s="132"/>
      <c r="H1" s="132"/>
      <c r="I1" s="132"/>
      <c r="J1" s="133"/>
      <c r="K1" s="131" t="s">
        <v>63</v>
      </c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3"/>
      <c r="W1" s="134" t="s">
        <v>64</v>
      </c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6"/>
      <c r="AP1" s="131" t="s">
        <v>65</v>
      </c>
      <c r="AQ1" s="132"/>
      <c r="AR1" s="132"/>
      <c r="AS1" s="133"/>
      <c r="AT1" s="131" t="s">
        <v>66</v>
      </c>
      <c r="AU1" s="132"/>
      <c r="AV1" s="132"/>
      <c r="AW1" s="132"/>
      <c r="AX1" s="133"/>
      <c r="AY1" s="131" t="s">
        <v>67</v>
      </c>
      <c r="AZ1" s="132"/>
      <c r="BA1" s="132"/>
      <c r="BB1" s="133"/>
      <c r="BC1" s="131" t="s">
        <v>68</v>
      </c>
      <c r="BD1" s="132"/>
      <c r="BE1" s="132"/>
      <c r="BF1" s="132"/>
      <c r="BG1" s="133"/>
      <c r="BH1" s="131" t="s">
        <v>69</v>
      </c>
      <c r="BI1" s="132"/>
      <c r="BJ1" s="132"/>
      <c r="BK1" s="133"/>
    </row>
    <row r="2" spans="1:63" ht="15" customHeight="1" x14ac:dyDescent="0.25">
      <c r="A2" s="73" t="s">
        <v>70</v>
      </c>
      <c r="B2" s="138"/>
      <c r="C2" s="138"/>
      <c r="D2" s="138"/>
      <c r="E2" s="138"/>
      <c r="F2" s="138"/>
      <c r="G2" s="138"/>
      <c r="H2" s="138"/>
      <c r="I2" s="138"/>
      <c r="J2" s="139"/>
      <c r="K2" s="140" t="s">
        <v>1</v>
      </c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41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3"/>
      <c r="AP2" s="140" t="str">
        <f>改訂履歴!$H$11</f>
        <v>DuNT</v>
      </c>
      <c r="AQ2" s="138"/>
      <c r="AR2" s="138"/>
      <c r="AS2" s="139"/>
      <c r="AT2" s="144">
        <f>改訂履歴!$B$11</f>
        <v>45461</v>
      </c>
      <c r="AU2" s="145"/>
      <c r="AV2" s="145"/>
      <c r="AW2" s="145"/>
      <c r="AX2" s="146"/>
      <c r="AY2" s="140" t="str">
        <f>LOOKUP(2,1/(改訂履歴!H11:H30000&lt;&gt;""),改訂履歴!H11:H30000)</f>
        <v>DuNT</v>
      </c>
      <c r="AZ2" s="138"/>
      <c r="BA2" s="138"/>
      <c r="BB2" s="139"/>
      <c r="BC2" s="144">
        <f>LOOKUP(2,1/(改訂履歴!B11:B30000&lt;&gt;""),改訂履歴!B11:B30000)</f>
        <v>45509</v>
      </c>
      <c r="BD2" s="145"/>
      <c r="BE2" s="145"/>
      <c r="BF2" s="145"/>
      <c r="BG2" s="146"/>
      <c r="BH2" s="147">
        <f>LOOKUP(2,1/(改訂履歴!O11:O30000&lt;&gt;""),改訂履歴!O11:O30000)</f>
        <v>0.2</v>
      </c>
      <c r="BI2" s="148"/>
      <c r="BJ2" s="148"/>
      <c r="BK2" s="149"/>
    </row>
    <row r="3" spans="1:63" ht="15" customHeight="1" x14ac:dyDescent="0.25">
      <c r="A3" s="150"/>
      <c r="B3" s="151"/>
      <c r="C3" s="151"/>
      <c r="D3" s="151"/>
      <c r="E3" s="151"/>
      <c r="F3" s="151"/>
      <c r="G3" s="151"/>
      <c r="H3" s="151"/>
      <c r="I3" s="151"/>
      <c r="J3" s="152"/>
      <c r="K3" s="150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2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50"/>
      <c r="AQ3" s="151"/>
      <c r="AR3" s="151"/>
      <c r="AS3" s="152"/>
      <c r="AT3" s="156"/>
      <c r="AU3" s="157"/>
      <c r="AV3" s="157"/>
      <c r="AW3" s="157"/>
      <c r="AX3" s="158"/>
      <c r="AY3" s="150"/>
      <c r="AZ3" s="151"/>
      <c r="BA3" s="151"/>
      <c r="BB3" s="152"/>
      <c r="BC3" s="156"/>
      <c r="BD3" s="157"/>
      <c r="BE3" s="157"/>
      <c r="BF3" s="157"/>
      <c r="BG3" s="158"/>
      <c r="BH3" s="159"/>
      <c r="BI3" s="160"/>
      <c r="BJ3" s="160"/>
      <c r="BK3" s="161"/>
    </row>
    <row r="4" spans="1:63" ht="24.95" customHeight="1" x14ac:dyDescent="0.25">
      <c r="A4" s="131" t="s">
        <v>71</v>
      </c>
      <c r="B4" s="132"/>
      <c r="C4" s="132"/>
      <c r="D4" s="132"/>
      <c r="E4" s="132"/>
      <c r="F4" s="132"/>
      <c r="G4" s="133"/>
      <c r="H4" s="162" t="s">
        <v>56</v>
      </c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4"/>
      <c r="U4" s="131" t="s">
        <v>72</v>
      </c>
      <c r="V4" s="132"/>
      <c r="W4" s="132"/>
      <c r="X4" s="132"/>
      <c r="Y4" s="133"/>
      <c r="Z4" s="66" t="s">
        <v>73</v>
      </c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4"/>
      <c r="AP4" s="162" t="str">
        <f t="array" aca="1" ref="AP4" ca="1">RIGHT(CELL("filename",$A$1),LEN(CELL("filename",$A$1))-FIND("]",CELL("filename",$A$1)))</f>
        <v>表紙</v>
      </c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F4" s="163"/>
      <c r="BG4" s="163"/>
      <c r="BH4" s="163"/>
      <c r="BI4" s="163"/>
      <c r="BJ4" s="163"/>
      <c r="BK4" s="164"/>
    </row>
    <row r="5" spans="1:63" ht="5.0999999999999996" customHeight="1" x14ac:dyDescent="0.25">
      <c r="A5" s="165"/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6"/>
      <c r="AM5" s="166"/>
      <c r="AN5" s="166"/>
      <c r="AO5" s="166"/>
      <c r="AP5" s="166"/>
      <c r="AQ5" s="166"/>
      <c r="AR5" s="166"/>
      <c r="AS5" s="166"/>
      <c r="AT5" s="166"/>
      <c r="AU5" s="166"/>
      <c r="AV5" s="166"/>
      <c r="AW5" s="166"/>
      <c r="AX5" s="166"/>
      <c r="AY5" s="166"/>
      <c r="AZ5" s="166"/>
      <c r="BA5" s="166"/>
      <c r="BB5" s="166"/>
      <c r="BC5" s="166"/>
      <c r="BD5" s="166"/>
      <c r="BE5" s="166"/>
      <c r="BF5" s="166"/>
      <c r="BG5" s="166"/>
      <c r="BH5" s="166"/>
      <c r="BI5" s="166"/>
      <c r="BJ5" s="166"/>
      <c r="BK5" s="167"/>
    </row>
    <row r="6" spans="1:63" ht="15" customHeight="1" x14ac:dyDescent="0.25">
      <c r="A6" s="168"/>
      <c r="BK6" s="169"/>
    </row>
    <row r="7" spans="1:63" ht="15" customHeight="1" x14ac:dyDescent="0.25">
      <c r="A7" s="168"/>
      <c r="BK7" s="169"/>
    </row>
    <row r="8" spans="1:63" ht="15" customHeight="1" x14ac:dyDescent="0.25">
      <c r="A8" s="168"/>
      <c r="BK8" s="169"/>
    </row>
    <row r="9" spans="1:63" ht="15" customHeight="1" x14ac:dyDescent="0.25">
      <c r="A9" s="168"/>
      <c r="BK9" s="169"/>
    </row>
    <row r="10" spans="1:63" ht="15" customHeight="1" x14ac:dyDescent="0.25">
      <c r="A10" s="168"/>
      <c r="BK10" s="169"/>
    </row>
    <row r="11" spans="1:63" ht="15" customHeight="1" x14ac:dyDescent="0.25">
      <c r="A11" s="168"/>
      <c r="BK11" s="169"/>
    </row>
    <row r="12" spans="1:63" ht="15" customHeight="1" x14ac:dyDescent="0.25">
      <c r="A12" s="168"/>
      <c r="BK12" s="169"/>
    </row>
    <row r="13" spans="1:63" ht="15" customHeight="1" x14ac:dyDescent="0.25">
      <c r="A13" s="168"/>
      <c r="BK13" s="169"/>
    </row>
    <row r="14" spans="1:63" ht="15" customHeight="1" thickBot="1" x14ac:dyDescent="0.3">
      <c r="A14" s="168"/>
      <c r="BK14" s="169"/>
    </row>
    <row r="15" spans="1:63" ht="15" customHeight="1" thickTop="1" x14ac:dyDescent="0.25">
      <c r="A15" s="168"/>
      <c r="K15" s="170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  <c r="AU15" s="171"/>
      <c r="AV15" s="171"/>
      <c r="AW15" s="171"/>
      <c r="AX15" s="171"/>
      <c r="AY15" s="171"/>
      <c r="AZ15" s="171"/>
      <c r="BA15" s="172"/>
      <c r="BK15" s="169"/>
    </row>
    <row r="16" spans="1:63" ht="15" customHeight="1" x14ac:dyDescent="0.25">
      <c r="A16" s="168"/>
      <c r="K16" s="173"/>
      <c r="L16" s="174" t="s">
        <v>74</v>
      </c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75"/>
      <c r="AN16" s="175"/>
      <c r="AO16" s="175"/>
      <c r="AP16" s="175"/>
      <c r="AQ16" s="175"/>
      <c r="AR16" s="175"/>
      <c r="AS16" s="175"/>
      <c r="AT16" s="175"/>
      <c r="AU16" s="175"/>
      <c r="AV16" s="175"/>
      <c r="AW16" s="175"/>
      <c r="AX16" s="175"/>
      <c r="AY16" s="175"/>
      <c r="AZ16" s="175"/>
      <c r="BA16" s="176"/>
      <c r="BK16" s="169"/>
    </row>
    <row r="17" spans="1:63" ht="15" customHeight="1" x14ac:dyDescent="0.25">
      <c r="A17" s="168"/>
      <c r="K17" s="173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75"/>
      <c r="AH17" s="175"/>
      <c r="AI17" s="175"/>
      <c r="AJ17" s="175"/>
      <c r="AK17" s="175"/>
      <c r="AL17" s="175"/>
      <c r="AM17" s="175"/>
      <c r="AN17" s="175"/>
      <c r="AO17" s="175"/>
      <c r="AP17" s="175"/>
      <c r="AQ17" s="175"/>
      <c r="AR17" s="175"/>
      <c r="AS17" s="175"/>
      <c r="AT17" s="175"/>
      <c r="AU17" s="175"/>
      <c r="AV17" s="175"/>
      <c r="AW17" s="175"/>
      <c r="AX17" s="175"/>
      <c r="AY17" s="175"/>
      <c r="AZ17" s="175"/>
      <c r="BA17" s="176"/>
      <c r="BK17" s="169"/>
    </row>
    <row r="18" spans="1:63" ht="15" customHeight="1" x14ac:dyDescent="0.25">
      <c r="A18" s="168"/>
      <c r="K18" s="173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  <c r="AA18" s="175"/>
      <c r="AB18" s="175"/>
      <c r="AC18" s="175"/>
      <c r="AD18" s="175"/>
      <c r="AE18" s="175"/>
      <c r="AF18" s="175"/>
      <c r="AG18" s="175"/>
      <c r="AH18" s="175"/>
      <c r="AI18" s="175"/>
      <c r="AJ18" s="175"/>
      <c r="AK18" s="175"/>
      <c r="AL18" s="175"/>
      <c r="AM18" s="175"/>
      <c r="AN18" s="175"/>
      <c r="AO18" s="175"/>
      <c r="AP18" s="175"/>
      <c r="AQ18" s="175"/>
      <c r="AR18" s="175"/>
      <c r="AS18" s="175"/>
      <c r="AT18" s="175"/>
      <c r="AU18" s="175"/>
      <c r="AV18" s="175"/>
      <c r="AW18" s="175"/>
      <c r="AX18" s="175"/>
      <c r="AY18" s="175"/>
      <c r="AZ18" s="175"/>
      <c r="BA18" s="176"/>
      <c r="BK18" s="169"/>
    </row>
    <row r="19" spans="1:63" ht="15" customHeight="1" x14ac:dyDescent="0.25">
      <c r="A19" s="168"/>
      <c r="K19" s="173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5"/>
      <c r="AG19" s="175"/>
      <c r="AH19" s="175"/>
      <c r="AI19" s="175"/>
      <c r="AJ19" s="175"/>
      <c r="AK19" s="175"/>
      <c r="AL19" s="175"/>
      <c r="AM19" s="175"/>
      <c r="AN19" s="175"/>
      <c r="AO19" s="175"/>
      <c r="AP19" s="175"/>
      <c r="AQ19" s="175"/>
      <c r="AR19" s="175"/>
      <c r="AS19" s="175"/>
      <c r="AT19" s="175"/>
      <c r="AU19" s="175"/>
      <c r="AV19" s="175"/>
      <c r="AW19" s="175"/>
      <c r="AX19" s="175"/>
      <c r="AY19" s="175"/>
      <c r="AZ19" s="175"/>
      <c r="BA19" s="176"/>
      <c r="BK19" s="169"/>
    </row>
    <row r="20" spans="1:63" ht="15" customHeight="1" x14ac:dyDescent="0.25">
      <c r="A20" s="168"/>
      <c r="K20" s="173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  <c r="AN20" s="175"/>
      <c r="AO20" s="175"/>
      <c r="AP20" s="175"/>
      <c r="AQ20" s="175"/>
      <c r="AR20" s="175"/>
      <c r="AS20" s="175"/>
      <c r="AT20" s="175"/>
      <c r="AU20" s="175"/>
      <c r="AV20" s="175"/>
      <c r="AW20" s="175"/>
      <c r="AX20" s="175"/>
      <c r="AY20" s="175"/>
      <c r="AZ20" s="175"/>
      <c r="BA20" s="176"/>
      <c r="BK20" s="169"/>
    </row>
    <row r="21" spans="1:63" ht="15" customHeight="1" x14ac:dyDescent="0.25">
      <c r="A21" s="168"/>
      <c r="K21" s="173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  <c r="AN21" s="175"/>
      <c r="AO21" s="175"/>
      <c r="AP21" s="175"/>
      <c r="AQ21" s="175"/>
      <c r="AR21" s="175"/>
      <c r="AS21" s="175"/>
      <c r="AT21" s="175"/>
      <c r="AU21" s="175"/>
      <c r="AV21" s="175"/>
      <c r="AW21" s="175"/>
      <c r="AX21" s="175"/>
      <c r="AY21" s="175"/>
      <c r="AZ21" s="175"/>
      <c r="BA21" s="176"/>
      <c r="BK21" s="169"/>
    </row>
    <row r="22" spans="1:63" ht="15" customHeight="1" thickBot="1" x14ac:dyDescent="0.3">
      <c r="A22" s="168"/>
      <c r="K22" s="173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7"/>
      <c r="AQ22" s="177"/>
      <c r="AR22" s="177"/>
      <c r="AS22" s="177"/>
      <c r="AT22" s="177"/>
      <c r="AU22" s="177"/>
      <c r="AV22" s="177"/>
      <c r="AW22" s="177"/>
      <c r="AX22" s="177"/>
      <c r="AY22" s="177"/>
      <c r="AZ22" s="177"/>
      <c r="BA22" s="176"/>
      <c r="BK22" s="169"/>
    </row>
    <row r="23" spans="1:63" ht="15" customHeight="1" x14ac:dyDescent="0.25">
      <c r="A23" s="168"/>
      <c r="K23" s="173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  <c r="AZ23" s="178"/>
      <c r="BA23" s="176"/>
      <c r="BK23" s="169"/>
    </row>
    <row r="24" spans="1:63" ht="15" customHeight="1" x14ac:dyDescent="0.25">
      <c r="A24" s="168"/>
      <c r="K24" s="173"/>
      <c r="L24" s="175" t="str">
        <f>K2&amp;"/"&amp;H4&amp;"/"&amp;Z4</f>
        <v>POSサーバ/AP1503/API設計書</v>
      </c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  <c r="AN24" s="175"/>
      <c r="AO24" s="175"/>
      <c r="AP24" s="175"/>
      <c r="AQ24" s="175"/>
      <c r="AR24" s="175"/>
      <c r="AS24" s="175"/>
      <c r="AT24" s="175"/>
      <c r="AU24" s="175"/>
      <c r="AV24" s="175"/>
      <c r="AW24" s="175"/>
      <c r="AX24" s="175"/>
      <c r="AY24" s="175"/>
      <c r="AZ24" s="175"/>
      <c r="BA24" s="176"/>
      <c r="BK24" s="169"/>
    </row>
    <row r="25" spans="1:63" ht="15" customHeight="1" x14ac:dyDescent="0.25">
      <c r="A25" s="168"/>
      <c r="K25" s="173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  <c r="AU25" s="175"/>
      <c r="AV25" s="175"/>
      <c r="AW25" s="175"/>
      <c r="AX25" s="175"/>
      <c r="AY25" s="175"/>
      <c r="AZ25" s="175"/>
      <c r="BA25" s="176"/>
      <c r="BK25" s="169"/>
    </row>
    <row r="26" spans="1:63" ht="15" customHeight="1" x14ac:dyDescent="0.25">
      <c r="A26" s="168"/>
      <c r="K26" s="173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  <c r="AA26" s="175"/>
      <c r="AB26" s="175"/>
      <c r="AC26" s="175"/>
      <c r="AD26" s="175"/>
      <c r="AE26" s="175"/>
      <c r="AF26" s="175"/>
      <c r="AG26" s="175"/>
      <c r="AH26" s="175"/>
      <c r="AI26" s="175"/>
      <c r="AJ26" s="175"/>
      <c r="AK26" s="175"/>
      <c r="AL26" s="175"/>
      <c r="AM26" s="175"/>
      <c r="AN26" s="175"/>
      <c r="AO26" s="175"/>
      <c r="AP26" s="175"/>
      <c r="AQ26" s="175"/>
      <c r="AR26" s="175"/>
      <c r="AS26" s="175"/>
      <c r="AT26" s="175"/>
      <c r="AU26" s="175"/>
      <c r="AV26" s="175"/>
      <c r="AW26" s="175"/>
      <c r="AX26" s="175"/>
      <c r="AY26" s="175"/>
      <c r="AZ26" s="175"/>
      <c r="BA26" s="176"/>
      <c r="BK26" s="169"/>
    </row>
    <row r="27" spans="1:63" ht="15" customHeight="1" x14ac:dyDescent="0.25">
      <c r="A27" s="168"/>
      <c r="K27" s="173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75"/>
      <c r="AH27" s="175"/>
      <c r="AI27" s="175"/>
      <c r="AJ27" s="175"/>
      <c r="AK27" s="175"/>
      <c r="AL27" s="175"/>
      <c r="AM27" s="175"/>
      <c r="AN27" s="175"/>
      <c r="AO27" s="175"/>
      <c r="AP27" s="175"/>
      <c r="AQ27" s="175"/>
      <c r="AR27" s="175"/>
      <c r="AS27" s="175"/>
      <c r="AT27" s="175"/>
      <c r="AU27" s="175"/>
      <c r="AV27" s="175"/>
      <c r="AW27" s="175"/>
      <c r="AX27" s="175"/>
      <c r="AY27" s="175"/>
      <c r="AZ27" s="175"/>
      <c r="BA27" s="176"/>
      <c r="BK27" s="169"/>
    </row>
    <row r="28" spans="1:63" ht="15" customHeight="1" x14ac:dyDescent="0.25">
      <c r="A28" s="168"/>
      <c r="K28" s="173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5"/>
      <c r="AJ28" s="175"/>
      <c r="AK28" s="175"/>
      <c r="AL28" s="175"/>
      <c r="AM28" s="175"/>
      <c r="AN28" s="175"/>
      <c r="AO28" s="175"/>
      <c r="AP28" s="175"/>
      <c r="AQ28" s="175"/>
      <c r="AR28" s="175"/>
      <c r="AS28" s="175"/>
      <c r="AT28" s="175"/>
      <c r="AU28" s="175"/>
      <c r="AV28" s="175"/>
      <c r="AW28" s="175"/>
      <c r="AX28" s="175"/>
      <c r="AY28" s="175"/>
      <c r="AZ28" s="175"/>
      <c r="BA28" s="176"/>
      <c r="BK28" s="169"/>
    </row>
    <row r="29" spans="1:63" ht="15" customHeight="1" x14ac:dyDescent="0.25">
      <c r="A29" s="168"/>
      <c r="K29" s="173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175"/>
      <c r="AB29" s="175"/>
      <c r="AC29" s="175"/>
      <c r="AD29" s="175"/>
      <c r="AE29" s="175"/>
      <c r="AF29" s="175"/>
      <c r="AG29" s="175"/>
      <c r="AH29" s="175"/>
      <c r="AI29" s="175"/>
      <c r="AJ29" s="175"/>
      <c r="AK29" s="175"/>
      <c r="AL29" s="175"/>
      <c r="AM29" s="175"/>
      <c r="AN29" s="175"/>
      <c r="AO29" s="175"/>
      <c r="AP29" s="175"/>
      <c r="AQ29" s="175"/>
      <c r="AR29" s="175"/>
      <c r="AS29" s="175"/>
      <c r="AT29" s="175"/>
      <c r="AU29" s="175"/>
      <c r="AV29" s="175"/>
      <c r="AW29" s="175"/>
      <c r="AX29" s="175"/>
      <c r="AY29" s="175"/>
      <c r="AZ29" s="175"/>
      <c r="BA29" s="176"/>
      <c r="BK29" s="169"/>
    </row>
    <row r="30" spans="1:63" ht="15" customHeight="1" x14ac:dyDescent="0.25">
      <c r="A30" s="168"/>
      <c r="K30" s="173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  <c r="AA30" s="175"/>
      <c r="AB30" s="175"/>
      <c r="AC30" s="175"/>
      <c r="AD30" s="175"/>
      <c r="AE30" s="175"/>
      <c r="AF30" s="175"/>
      <c r="AG30" s="175"/>
      <c r="AH30" s="175"/>
      <c r="AI30" s="175"/>
      <c r="AJ30" s="175"/>
      <c r="AK30" s="175"/>
      <c r="AL30" s="175"/>
      <c r="AM30" s="175"/>
      <c r="AN30" s="175"/>
      <c r="AO30" s="175"/>
      <c r="AP30" s="175"/>
      <c r="AQ30" s="175"/>
      <c r="AR30" s="175"/>
      <c r="AS30" s="175"/>
      <c r="AT30" s="175"/>
      <c r="AU30" s="175"/>
      <c r="AV30" s="175"/>
      <c r="AW30" s="175"/>
      <c r="AX30" s="175"/>
      <c r="AY30" s="175"/>
      <c r="AZ30" s="175"/>
      <c r="BA30" s="176"/>
      <c r="BK30" s="169"/>
    </row>
    <row r="31" spans="1:63" ht="15" customHeight="1" x14ac:dyDescent="0.25">
      <c r="A31" s="168"/>
      <c r="K31" s="173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75"/>
      <c r="AJ31" s="175"/>
      <c r="AK31" s="175"/>
      <c r="AL31" s="175"/>
      <c r="AM31" s="175"/>
      <c r="AN31" s="175"/>
      <c r="AO31" s="175"/>
      <c r="AP31" s="175"/>
      <c r="AQ31" s="175"/>
      <c r="AR31" s="175"/>
      <c r="AS31" s="175"/>
      <c r="AT31" s="175"/>
      <c r="AU31" s="175"/>
      <c r="AV31" s="175"/>
      <c r="AW31" s="175"/>
      <c r="AX31" s="175"/>
      <c r="AY31" s="175"/>
      <c r="AZ31" s="175"/>
      <c r="BA31" s="176"/>
      <c r="BK31" s="169"/>
    </row>
    <row r="32" spans="1:63" ht="15" customHeight="1" x14ac:dyDescent="0.25">
      <c r="A32" s="168"/>
      <c r="K32" s="173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5"/>
      <c r="AC32" s="175"/>
      <c r="AD32" s="175"/>
      <c r="AE32" s="175"/>
      <c r="AF32" s="175"/>
      <c r="AG32" s="175"/>
      <c r="AH32" s="175"/>
      <c r="AI32" s="175"/>
      <c r="AJ32" s="175"/>
      <c r="AK32" s="175"/>
      <c r="AL32" s="175"/>
      <c r="AM32" s="175"/>
      <c r="AN32" s="175"/>
      <c r="AO32" s="175"/>
      <c r="AP32" s="175"/>
      <c r="AQ32" s="175"/>
      <c r="AR32" s="175"/>
      <c r="AS32" s="175"/>
      <c r="AT32" s="175"/>
      <c r="AU32" s="175"/>
      <c r="AV32" s="175"/>
      <c r="AW32" s="175"/>
      <c r="AX32" s="175"/>
      <c r="AY32" s="175"/>
      <c r="AZ32" s="175"/>
      <c r="BA32" s="176"/>
      <c r="BK32" s="169"/>
    </row>
    <row r="33" spans="1:63" ht="15" customHeight="1" x14ac:dyDescent="0.25">
      <c r="A33" s="168"/>
      <c r="K33" s="173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75"/>
      <c r="AH33" s="175"/>
      <c r="AI33" s="175"/>
      <c r="AJ33" s="175"/>
      <c r="AK33" s="175"/>
      <c r="AL33" s="175"/>
      <c r="AM33" s="175"/>
      <c r="AN33" s="175"/>
      <c r="AO33" s="175"/>
      <c r="AP33" s="175"/>
      <c r="AQ33" s="175"/>
      <c r="AR33" s="175"/>
      <c r="AS33" s="175"/>
      <c r="AT33" s="175"/>
      <c r="AU33" s="175"/>
      <c r="AV33" s="175"/>
      <c r="AW33" s="175"/>
      <c r="AX33" s="175"/>
      <c r="AY33" s="175"/>
      <c r="AZ33" s="175"/>
      <c r="BA33" s="176"/>
      <c r="BK33" s="169"/>
    </row>
    <row r="34" spans="1:63" ht="15" customHeight="1" x14ac:dyDescent="0.25">
      <c r="A34" s="168"/>
      <c r="K34" s="173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  <c r="AA34" s="175"/>
      <c r="AB34" s="175"/>
      <c r="AC34" s="175"/>
      <c r="AD34" s="175"/>
      <c r="AE34" s="175"/>
      <c r="AF34" s="175"/>
      <c r="AG34" s="175"/>
      <c r="AH34" s="175"/>
      <c r="AI34" s="175"/>
      <c r="AJ34" s="175"/>
      <c r="AK34" s="175"/>
      <c r="AL34" s="175"/>
      <c r="AM34" s="175"/>
      <c r="AN34" s="175"/>
      <c r="AO34" s="175"/>
      <c r="AP34" s="175"/>
      <c r="AQ34" s="175"/>
      <c r="AR34" s="175"/>
      <c r="AS34" s="175"/>
      <c r="AT34" s="175"/>
      <c r="AU34" s="175"/>
      <c r="AV34" s="175"/>
      <c r="AW34" s="175"/>
      <c r="AX34" s="175"/>
      <c r="AY34" s="175"/>
      <c r="AZ34" s="175"/>
      <c r="BA34" s="176"/>
      <c r="BK34" s="169"/>
    </row>
    <row r="35" spans="1:63" ht="15" customHeight="1" x14ac:dyDescent="0.25">
      <c r="A35" s="168"/>
      <c r="K35" s="173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  <c r="AA35" s="175"/>
      <c r="AB35" s="175"/>
      <c r="AC35" s="175"/>
      <c r="AD35" s="175"/>
      <c r="AE35" s="175"/>
      <c r="AF35" s="175"/>
      <c r="AG35" s="175"/>
      <c r="AH35" s="175"/>
      <c r="AI35" s="175"/>
      <c r="AJ35" s="175"/>
      <c r="AK35" s="175"/>
      <c r="AL35" s="175"/>
      <c r="AM35" s="175"/>
      <c r="AN35" s="175"/>
      <c r="AO35" s="175"/>
      <c r="AP35" s="175"/>
      <c r="AQ35" s="175"/>
      <c r="AR35" s="175"/>
      <c r="AS35" s="175"/>
      <c r="AT35" s="175"/>
      <c r="AU35" s="175"/>
      <c r="AV35" s="175"/>
      <c r="AW35" s="175"/>
      <c r="AX35" s="175"/>
      <c r="AY35" s="175"/>
      <c r="AZ35" s="175"/>
      <c r="BA35" s="176"/>
      <c r="BK35" s="169"/>
    </row>
    <row r="36" spans="1:63" ht="15" customHeight="1" x14ac:dyDescent="0.25">
      <c r="A36" s="168"/>
      <c r="K36" s="173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5"/>
      <c r="AF36" s="175"/>
      <c r="AG36" s="175"/>
      <c r="AH36" s="175"/>
      <c r="AI36" s="175"/>
      <c r="AJ36" s="175"/>
      <c r="AK36" s="175"/>
      <c r="AL36" s="175"/>
      <c r="AM36" s="175"/>
      <c r="AN36" s="175"/>
      <c r="AO36" s="175"/>
      <c r="AP36" s="175"/>
      <c r="AQ36" s="175"/>
      <c r="AR36" s="175"/>
      <c r="AS36" s="175"/>
      <c r="AT36" s="175"/>
      <c r="AU36" s="175"/>
      <c r="AV36" s="175"/>
      <c r="AW36" s="175"/>
      <c r="AX36" s="175"/>
      <c r="AY36" s="175"/>
      <c r="AZ36" s="175"/>
      <c r="BA36" s="176"/>
      <c r="BK36" s="169"/>
    </row>
    <row r="37" spans="1:63" ht="15" customHeight="1" thickBot="1" x14ac:dyDescent="0.3">
      <c r="A37" s="168"/>
      <c r="K37" s="179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  <c r="AM37" s="180"/>
      <c r="AN37" s="180"/>
      <c r="AO37" s="180"/>
      <c r="AP37" s="180"/>
      <c r="AQ37" s="180"/>
      <c r="AR37" s="180"/>
      <c r="AS37" s="180"/>
      <c r="AT37" s="180"/>
      <c r="AU37" s="180"/>
      <c r="AV37" s="180"/>
      <c r="AW37" s="180"/>
      <c r="AX37" s="180"/>
      <c r="AY37" s="180"/>
      <c r="AZ37" s="180"/>
      <c r="BA37" s="181"/>
      <c r="BK37" s="169"/>
    </row>
    <row r="38" spans="1:63" ht="15" customHeight="1" thickTop="1" x14ac:dyDescent="0.25">
      <c r="A38" s="168"/>
      <c r="BK38" s="169"/>
    </row>
    <row r="39" spans="1:63" ht="15" customHeight="1" x14ac:dyDescent="0.25">
      <c r="A39" s="168"/>
      <c r="BK39" s="169"/>
    </row>
    <row r="40" spans="1:63" ht="15" customHeight="1" x14ac:dyDescent="0.25">
      <c r="A40" s="168"/>
      <c r="BK40" s="169"/>
    </row>
    <row r="41" spans="1:63" ht="15" customHeight="1" x14ac:dyDescent="0.25">
      <c r="A41" s="168"/>
      <c r="BK41" s="169"/>
    </row>
    <row r="42" spans="1:63" ht="15" customHeight="1" x14ac:dyDescent="0.25">
      <c r="A42" s="168"/>
      <c r="BK42" s="169"/>
    </row>
    <row r="43" spans="1:63" ht="15" customHeight="1" x14ac:dyDescent="0.25">
      <c r="A43" s="168"/>
      <c r="BK43" s="169"/>
    </row>
    <row r="44" spans="1:63" ht="15" customHeight="1" x14ac:dyDescent="0.25">
      <c r="A44" s="168"/>
      <c r="Q44" s="182" t="s">
        <v>75</v>
      </c>
      <c r="R44" s="183"/>
      <c r="S44" s="183"/>
      <c r="T44" s="183"/>
      <c r="U44" s="183"/>
      <c r="V44" s="183"/>
      <c r="W44" s="183"/>
      <c r="X44" s="183"/>
      <c r="Y44" s="183"/>
      <c r="Z44" s="184"/>
      <c r="AA44" s="182" t="s">
        <v>76</v>
      </c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4"/>
      <c r="AQ44" s="182" t="s">
        <v>69</v>
      </c>
      <c r="AR44" s="183"/>
      <c r="AS44" s="183"/>
      <c r="AT44" s="183"/>
      <c r="AU44" s="184"/>
      <c r="BK44" s="169"/>
    </row>
    <row r="45" spans="1:63" ht="15" customHeight="1" x14ac:dyDescent="0.25">
      <c r="A45" s="168"/>
      <c r="Q45" s="185"/>
      <c r="R45" s="186"/>
      <c r="S45" s="186"/>
      <c r="T45" s="186"/>
      <c r="U45" s="186"/>
      <c r="V45" s="186"/>
      <c r="W45" s="186"/>
      <c r="X45" s="186"/>
      <c r="Y45" s="186"/>
      <c r="Z45" s="187"/>
      <c r="AA45" s="185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186"/>
      <c r="AM45" s="186"/>
      <c r="AN45" s="186"/>
      <c r="AO45" s="186"/>
      <c r="AP45" s="187"/>
      <c r="AQ45" s="185"/>
      <c r="AR45" s="186"/>
      <c r="AS45" s="186"/>
      <c r="AT45" s="186"/>
      <c r="AU45" s="187"/>
      <c r="BK45" s="169"/>
    </row>
    <row r="46" spans="1:63" ht="15" customHeight="1" x14ac:dyDescent="0.25">
      <c r="A46" s="168"/>
      <c r="Q46" s="140"/>
      <c r="R46" s="138"/>
      <c r="S46" s="138"/>
      <c r="T46" s="138"/>
      <c r="U46" s="138"/>
      <c r="V46" s="138"/>
      <c r="W46" s="138"/>
      <c r="X46" s="138"/>
      <c r="Y46" s="138"/>
      <c r="Z46" s="139"/>
      <c r="AA46" s="140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9"/>
      <c r="AQ46" s="140"/>
      <c r="AR46" s="138"/>
      <c r="AS46" s="138"/>
      <c r="AT46" s="138"/>
      <c r="AU46" s="139"/>
      <c r="BK46" s="169"/>
    </row>
    <row r="47" spans="1:63" ht="15" customHeight="1" x14ac:dyDescent="0.25">
      <c r="A47" s="168"/>
      <c r="Q47" s="188"/>
      <c r="R47" s="189"/>
      <c r="S47" s="189"/>
      <c r="T47" s="189"/>
      <c r="U47" s="189"/>
      <c r="V47" s="189"/>
      <c r="W47" s="189"/>
      <c r="X47" s="189"/>
      <c r="Y47" s="189"/>
      <c r="Z47" s="190"/>
      <c r="AA47" s="188"/>
      <c r="AB47" s="189"/>
      <c r="AC47" s="189"/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190"/>
      <c r="AQ47" s="188"/>
      <c r="AR47" s="189"/>
      <c r="AS47" s="189"/>
      <c r="AT47" s="189"/>
      <c r="AU47" s="190"/>
      <c r="BK47" s="169"/>
    </row>
    <row r="48" spans="1:63" ht="15" customHeight="1" x14ac:dyDescent="0.25">
      <c r="A48" s="168"/>
      <c r="Q48" s="188"/>
      <c r="R48" s="189"/>
      <c r="S48" s="189"/>
      <c r="T48" s="189"/>
      <c r="U48" s="189"/>
      <c r="V48" s="189"/>
      <c r="W48" s="189"/>
      <c r="X48" s="189"/>
      <c r="Y48" s="189"/>
      <c r="Z48" s="190"/>
      <c r="AA48" s="188"/>
      <c r="AB48" s="189"/>
      <c r="AC48" s="189"/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90"/>
      <c r="AQ48" s="188"/>
      <c r="AR48" s="189"/>
      <c r="AS48" s="189"/>
      <c r="AT48" s="189"/>
      <c r="AU48" s="190"/>
      <c r="BK48" s="169"/>
    </row>
    <row r="49" spans="1:63" ht="15" customHeight="1" x14ac:dyDescent="0.25">
      <c r="A49" s="168"/>
      <c r="Q49" s="150"/>
      <c r="R49" s="151"/>
      <c r="S49" s="151"/>
      <c r="T49" s="151"/>
      <c r="U49" s="151"/>
      <c r="V49" s="151"/>
      <c r="W49" s="151"/>
      <c r="X49" s="151"/>
      <c r="Y49" s="151"/>
      <c r="Z49" s="152"/>
      <c r="AA49" s="150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2"/>
      <c r="AQ49" s="150"/>
      <c r="AR49" s="151"/>
      <c r="AS49" s="151"/>
      <c r="AT49" s="151"/>
      <c r="AU49" s="152"/>
      <c r="BK49" s="169"/>
    </row>
    <row r="50" spans="1:63" ht="15" customHeight="1" x14ac:dyDescent="0.25">
      <c r="A50" s="168"/>
      <c r="BK50" s="169"/>
    </row>
    <row r="51" spans="1:63" ht="15" customHeight="1" x14ac:dyDescent="0.25">
      <c r="A51" s="168"/>
      <c r="BK51" s="169"/>
    </row>
    <row r="52" spans="1:63" ht="15" customHeight="1" x14ac:dyDescent="0.25">
      <c r="A52" s="168"/>
      <c r="BK52" s="169"/>
    </row>
    <row r="53" spans="1:63" ht="15" customHeight="1" x14ac:dyDescent="0.25">
      <c r="A53" s="168"/>
      <c r="BK53" s="169"/>
    </row>
    <row r="54" spans="1:63" ht="15" customHeight="1" x14ac:dyDescent="0.25">
      <c r="A54" s="168"/>
      <c r="BK54" s="169"/>
    </row>
    <row r="55" spans="1:63" ht="15" customHeight="1" x14ac:dyDescent="0.25">
      <c r="A55" s="165"/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6"/>
      <c r="BG55" s="166"/>
      <c r="BH55" s="166"/>
      <c r="BI55" s="166"/>
      <c r="BJ55" s="166"/>
      <c r="BK55" s="167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37" customWidth="1"/>
    <col min="61" max="16384" width="2.77734375" style="137"/>
  </cols>
  <sheetData>
    <row r="1" spans="1:63" ht="24.95" customHeight="1" x14ac:dyDescent="0.25">
      <c r="A1" s="131" t="s">
        <v>62</v>
      </c>
      <c r="B1" s="132"/>
      <c r="C1" s="132"/>
      <c r="D1" s="132"/>
      <c r="E1" s="132"/>
      <c r="F1" s="132"/>
      <c r="G1" s="132"/>
      <c r="H1" s="132"/>
      <c r="I1" s="132"/>
      <c r="J1" s="133"/>
      <c r="K1" s="131" t="s">
        <v>63</v>
      </c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3"/>
      <c r="W1" s="191" t="str">
        <f>IF(表紙!W1="","",表紙!W1)</f>
        <v>詳細設計書</v>
      </c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6"/>
      <c r="AP1" s="131" t="s">
        <v>65</v>
      </c>
      <c r="AQ1" s="132"/>
      <c r="AR1" s="132"/>
      <c r="AS1" s="133"/>
      <c r="AT1" s="131" t="s">
        <v>66</v>
      </c>
      <c r="AU1" s="132"/>
      <c r="AV1" s="132"/>
      <c r="AW1" s="132"/>
      <c r="AX1" s="133"/>
      <c r="AY1" s="131" t="s">
        <v>67</v>
      </c>
      <c r="AZ1" s="132"/>
      <c r="BA1" s="132"/>
      <c r="BB1" s="133"/>
      <c r="BC1" s="131" t="s">
        <v>68</v>
      </c>
      <c r="BD1" s="132"/>
      <c r="BE1" s="132"/>
      <c r="BF1" s="132"/>
      <c r="BG1" s="133"/>
      <c r="BH1" s="131" t="s">
        <v>69</v>
      </c>
      <c r="BI1" s="132"/>
      <c r="BJ1" s="132"/>
      <c r="BK1" s="133"/>
    </row>
    <row r="2" spans="1:63" ht="15" customHeight="1" x14ac:dyDescent="0.25">
      <c r="A2" s="140" t="str">
        <f>IF(表紙!A2="","",表紙!A2)</f>
        <v>POSサーバー</v>
      </c>
      <c r="B2" s="138"/>
      <c r="C2" s="138"/>
      <c r="D2" s="138"/>
      <c r="E2" s="138"/>
      <c r="F2" s="138"/>
      <c r="G2" s="138"/>
      <c r="H2" s="138"/>
      <c r="I2" s="138"/>
      <c r="J2" s="139"/>
      <c r="K2" s="140" t="str">
        <f>IF(表紙!K2="","",表紙!K2)</f>
        <v>POSサーバ</v>
      </c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41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3"/>
      <c r="AP2" s="140" t="str">
        <f>IF(表紙!AP2="","",表紙!AP2)</f>
        <v>DuNT</v>
      </c>
      <c r="AQ2" s="138"/>
      <c r="AR2" s="138"/>
      <c r="AS2" s="139"/>
      <c r="AT2" s="144">
        <f>IF(表紙!AT2="","",表紙!AT2)</f>
        <v>45461</v>
      </c>
      <c r="AU2" s="145"/>
      <c r="AV2" s="145"/>
      <c r="AW2" s="145"/>
      <c r="AX2" s="146"/>
      <c r="AY2" s="140" t="str">
        <f>IF(表紙!AY2="","",表紙!AY2)</f>
        <v>DuNT</v>
      </c>
      <c r="AZ2" s="138"/>
      <c r="BA2" s="138"/>
      <c r="BB2" s="139"/>
      <c r="BC2" s="144">
        <f>IF(表紙!BC2="","",表紙!BC2)</f>
        <v>45509</v>
      </c>
      <c r="BD2" s="145"/>
      <c r="BE2" s="145"/>
      <c r="BF2" s="145"/>
      <c r="BG2" s="146"/>
      <c r="BH2" s="140">
        <f>IF(表紙!BH2="","",表紙!BH2)</f>
        <v>0.2</v>
      </c>
      <c r="BI2" s="138"/>
      <c r="BJ2" s="138"/>
      <c r="BK2" s="139"/>
    </row>
    <row r="3" spans="1:63" ht="15" customHeight="1" x14ac:dyDescent="0.25">
      <c r="A3" s="150"/>
      <c r="B3" s="151"/>
      <c r="C3" s="151"/>
      <c r="D3" s="151"/>
      <c r="E3" s="151"/>
      <c r="F3" s="151"/>
      <c r="G3" s="151"/>
      <c r="H3" s="151"/>
      <c r="I3" s="151"/>
      <c r="J3" s="152"/>
      <c r="K3" s="150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2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50"/>
      <c r="AQ3" s="151"/>
      <c r="AR3" s="151"/>
      <c r="AS3" s="152"/>
      <c r="AT3" s="156"/>
      <c r="AU3" s="157"/>
      <c r="AV3" s="157"/>
      <c r="AW3" s="157"/>
      <c r="AX3" s="158"/>
      <c r="AY3" s="150"/>
      <c r="AZ3" s="151"/>
      <c r="BA3" s="151"/>
      <c r="BB3" s="152"/>
      <c r="BC3" s="156"/>
      <c r="BD3" s="157"/>
      <c r="BE3" s="157"/>
      <c r="BF3" s="157"/>
      <c r="BG3" s="158"/>
      <c r="BH3" s="150"/>
      <c r="BI3" s="151"/>
      <c r="BJ3" s="151"/>
      <c r="BK3" s="152"/>
    </row>
    <row r="4" spans="1:63" ht="24.95" customHeight="1" x14ac:dyDescent="0.25">
      <c r="A4" s="131" t="s">
        <v>79</v>
      </c>
      <c r="B4" s="132"/>
      <c r="C4" s="132"/>
      <c r="D4" s="132"/>
      <c r="E4" s="132"/>
      <c r="F4" s="132"/>
      <c r="G4" s="133"/>
      <c r="H4" s="162" t="str">
        <f>IF(表紙!H4="","",表紙!H4)</f>
        <v>AP1503</v>
      </c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4"/>
      <c r="U4" s="131" t="s">
        <v>72</v>
      </c>
      <c r="V4" s="132"/>
      <c r="W4" s="132"/>
      <c r="X4" s="132"/>
      <c r="Y4" s="133"/>
      <c r="Z4" s="162" t="str">
        <f>IF(表紙!Z4="","",表紙!Z4)</f>
        <v>API設計書</v>
      </c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4"/>
      <c r="AP4" s="162" t="str">
        <f t="array" aca="1" ref="AP4" ca="1">RIGHT(CELL("filename",$A$1),LEN(CELL("filename",$A$1))-FIND("]",CELL("filename",$A$1)))</f>
        <v>改訂履歴</v>
      </c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F4" s="163"/>
      <c r="BG4" s="163"/>
      <c r="BH4" s="163"/>
      <c r="BI4" s="163"/>
      <c r="BJ4" s="163"/>
      <c r="BK4" s="164"/>
    </row>
    <row r="5" spans="1:63" ht="5.0999999999999996" customHeight="1" x14ac:dyDescent="0.25">
      <c r="A5" s="165"/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6"/>
      <c r="AM5" s="166"/>
      <c r="AN5" s="166"/>
      <c r="AO5" s="166"/>
      <c r="AP5" s="166"/>
      <c r="AQ5" s="166"/>
      <c r="AR5" s="166"/>
      <c r="AS5" s="166"/>
      <c r="AT5" s="166"/>
      <c r="AU5" s="166"/>
      <c r="AV5" s="166"/>
      <c r="AW5" s="166"/>
      <c r="AX5" s="166"/>
      <c r="AY5" s="166"/>
      <c r="AZ5" s="166"/>
      <c r="BA5" s="166"/>
      <c r="BB5" s="166"/>
      <c r="BC5" s="166"/>
      <c r="BD5" s="166"/>
      <c r="BE5" s="166"/>
      <c r="BF5" s="166"/>
      <c r="BG5" s="166"/>
      <c r="BH5" s="166"/>
      <c r="BI5" s="166"/>
      <c r="BJ5" s="166"/>
      <c r="BK5" s="167"/>
    </row>
    <row r="6" spans="1:63" ht="15" customHeight="1" x14ac:dyDescent="0.25">
      <c r="A6" s="168"/>
      <c r="BK6" s="169"/>
    </row>
    <row r="7" spans="1:63" ht="15" customHeight="1" x14ac:dyDescent="0.25">
      <c r="A7" s="168"/>
      <c r="BK7" s="169"/>
    </row>
    <row r="8" spans="1:63" ht="15" customHeight="1" x14ac:dyDescent="0.25">
      <c r="A8" s="168"/>
      <c r="B8" s="137" t="s">
        <v>0</v>
      </c>
      <c r="BK8" s="169"/>
    </row>
    <row r="9" spans="1:63" ht="15" customHeight="1" x14ac:dyDescent="0.25">
      <c r="A9" s="168"/>
      <c r="BK9" s="169"/>
    </row>
    <row r="10" spans="1:63" ht="15" customHeight="1" x14ac:dyDescent="0.25">
      <c r="A10" s="168"/>
      <c r="B10" s="192" t="s">
        <v>68</v>
      </c>
      <c r="C10" s="192"/>
      <c r="D10" s="192"/>
      <c r="E10" s="192"/>
      <c r="F10" s="192"/>
      <c r="G10" s="192"/>
      <c r="H10" s="192" t="s">
        <v>67</v>
      </c>
      <c r="I10" s="192"/>
      <c r="J10" s="192"/>
      <c r="K10" s="192"/>
      <c r="L10" s="192"/>
      <c r="M10" s="192"/>
      <c r="N10" s="192"/>
      <c r="O10" s="192" t="s">
        <v>69</v>
      </c>
      <c r="P10" s="192"/>
      <c r="Q10" s="192"/>
      <c r="R10" s="192"/>
      <c r="S10" s="192" t="s">
        <v>80</v>
      </c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2"/>
      <c r="AU10" s="192"/>
      <c r="AV10" s="192"/>
      <c r="AW10" s="192"/>
      <c r="AX10" s="192" t="s">
        <v>75</v>
      </c>
      <c r="AY10" s="192"/>
      <c r="AZ10" s="192"/>
      <c r="BA10" s="192"/>
      <c r="BB10" s="192"/>
      <c r="BC10" s="192"/>
      <c r="BD10" s="192" t="s">
        <v>76</v>
      </c>
      <c r="BE10" s="192"/>
      <c r="BF10" s="192"/>
      <c r="BG10" s="192"/>
      <c r="BH10" s="192"/>
      <c r="BI10" s="192"/>
      <c r="BJ10" s="192"/>
      <c r="BK10" s="169"/>
    </row>
    <row r="11" spans="1:63" ht="15" customHeight="1" x14ac:dyDescent="0.25">
      <c r="A11" s="168"/>
      <c r="B11" s="144">
        <v>45461</v>
      </c>
      <c r="C11" s="138"/>
      <c r="D11" s="138"/>
      <c r="E11" s="138"/>
      <c r="F11" s="138"/>
      <c r="G11" s="139"/>
      <c r="H11" s="73" t="s">
        <v>81</v>
      </c>
      <c r="I11" s="138"/>
      <c r="J11" s="138"/>
      <c r="K11" s="138"/>
      <c r="L11" s="138"/>
      <c r="M11" s="138"/>
      <c r="N11" s="139"/>
      <c r="O11" s="140">
        <v>0.1</v>
      </c>
      <c r="P11" s="138"/>
      <c r="Q11" s="138"/>
      <c r="R11" s="138"/>
      <c r="S11" s="193" t="s">
        <v>2</v>
      </c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4"/>
      <c r="AT11" s="194"/>
      <c r="AU11" s="194"/>
      <c r="AV11" s="194"/>
      <c r="AW11" s="195"/>
      <c r="AX11" s="196"/>
      <c r="AY11" s="196"/>
      <c r="AZ11" s="196"/>
      <c r="BA11" s="196"/>
      <c r="BB11" s="196"/>
      <c r="BC11" s="197"/>
      <c r="BD11" s="198"/>
      <c r="BE11" s="196"/>
      <c r="BF11" s="196"/>
      <c r="BG11" s="196"/>
      <c r="BH11" s="196"/>
      <c r="BI11" s="196"/>
      <c r="BJ11" s="197"/>
      <c r="BK11" s="169"/>
    </row>
    <row r="12" spans="1:63" ht="15" customHeight="1" x14ac:dyDescent="0.25">
      <c r="A12" s="168"/>
      <c r="B12" s="150"/>
      <c r="C12" s="151"/>
      <c r="D12" s="151"/>
      <c r="E12" s="151"/>
      <c r="F12" s="151"/>
      <c r="G12" s="152"/>
      <c r="H12" s="150"/>
      <c r="I12" s="151"/>
      <c r="J12" s="151"/>
      <c r="K12" s="151"/>
      <c r="L12" s="151"/>
      <c r="M12" s="151"/>
      <c r="N12" s="152"/>
      <c r="O12" s="150"/>
      <c r="P12" s="151"/>
      <c r="Q12" s="151"/>
      <c r="R12" s="151"/>
      <c r="S12" s="199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0"/>
      <c r="AR12" s="200"/>
      <c r="AS12" s="200"/>
      <c r="AT12" s="200"/>
      <c r="AU12" s="200"/>
      <c r="AV12" s="200"/>
      <c r="AW12" s="201"/>
      <c r="AX12" s="202"/>
      <c r="AY12" s="202"/>
      <c r="AZ12" s="202"/>
      <c r="BA12" s="202"/>
      <c r="BB12" s="202"/>
      <c r="BC12" s="203"/>
      <c r="BD12" s="204"/>
      <c r="BE12" s="202"/>
      <c r="BF12" s="202"/>
      <c r="BG12" s="202"/>
      <c r="BH12" s="202"/>
      <c r="BI12" s="202"/>
      <c r="BJ12" s="203"/>
      <c r="BK12" s="169"/>
    </row>
    <row r="13" spans="1:63" ht="15" customHeight="1" x14ac:dyDescent="0.25">
      <c r="A13" s="168"/>
      <c r="B13" s="205">
        <v>45509</v>
      </c>
      <c r="C13" s="206"/>
      <c r="D13" s="206"/>
      <c r="E13" s="206"/>
      <c r="F13" s="206"/>
      <c r="G13" s="207"/>
      <c r="H13" s="208" t="s">
        <v>81</v>
      </c>
      <c r="I13" s="206"/>
      <c r="J13" s="206"/>
      <c r="K13" s="206"/>
      <c r="L13" s="206"/>
      <c r="M13" s="206"/>
      <c r="N13" s="207"/>
      <c r="O13" s="208">
        <v>0.2</v>
      </c>
      <c r="P13" s="206"/>
      <c r="Q13" s="206"/>
      <c r="R13" s="206"/>
      <c r="S13" s="209" t="s">
        <v>78</v>
      </c>
      <c r="T13" s="210"/>
      <c r="U13" s="210"/>
      <c r="V13" s="210"/>
      <c r="W13" s="210"/>
      <c r="X13" s="210"/>
      <c r="Y13" s="210"/>
      <c r="Z13" s="210"/>
      <c r="AA13" s="210"/>
      <c r="AB13" s="210"/>
      <c r="AC13" s="210"/>
      <c r="AD13" s="210"/>
      <c r="AE13" s="210"/>
      <c r="AF13" s="210"/>
      <c r="AG13" s="210"/>
      <c r="AH13" s="210"/>
      <c r="AI13" s="210"/>
      <c r="AJ13" s="210"/>
      <c r="AK13" s="210"/>
      <c r="AL13" s="210"/>
      <c r="AM13" s="210"/>
      <c r="AN13" s="210"/>
      <c r="AO13" s="210"/>
      <c r="AP13" s="210"/>
      <c r="AQ13" s="210"/>
      <c r="AR13" s="210"/>
      <c r="AS13" s="210"/>
      <c r="AT13" s="210"/>
      <c r="AU13" s="210"/>
      <c r="AV13" s="210"/>
      <c r="AW13" s="211"/>
      <c r="AX13" s="196"/>
      <c r="AY13" s="196"/>
      <c r="AZ13" s="196"/>
      <c r="BA13" s="196"/>
      <c r="BB13" s="196"/>
      <c r="BC13" s="197"/>
      <c r="BD13" s="198"/>
      <c r="BE13" s="196"/>
      <c r="BF13" s="196"/>
      <c r="BG13" s="196"/>
      <c r="BH13" s="196"/>
      <c r="BI13" s="196"/>
      <c r="BJ13" s="197"/>
      <c r="BK13" s="169"/>
    </row>
    <row r="14" spans="1:63" ht="15" customHeight="1" x14ac:dyDescent="0.25">
      <c r="A14" s="168"/>
      <c r="B14" s="212"/>
      <c r="C14" s="213"/>
      <c r="D14" s="213"/>
      <c r="E14" s="213"/>
      <c r="F14" s="213"/>
      <c r="G14" s="214"/>
      <c r="H14" s="212"/>
      <c r="I14" s="213"/>
      <c r="J14" s="213"/>
      <c r="K14" s="213"/>
      <c r="L14" s="213"/>
      <c r="M14" s="213"/>
      <c r="N14" s="214"/>
      <c r="O14" s="212"/>
      <c r="P14" s="213"/>
      <c r="Q14" s="213"/>
      <c r="R14" s="213"/>
      <c r="S14" s="215" t="s">
        <v>77</v>
      </c>
      <c r="T14" s="216"/>
      <c r="U14" s="216"/>
      <c r="V14" s="216"/>
      <c r="W14" s="216"/>
      <c r="X14" s="216"/>
      <c r="Y14" s="216"/>
      <c r="Z14" s="216"/>
      <c r="AA14" s="216"/>
      <c r="AB14" s="216"/>
      <c r="AC14" s="216"/>
      <c r="AD14" s="216"/>
      <c r="AE14" s="216"/>
      <c r="AF14" s="216"/>
      <c r="AG14" s="216"/>
      <c r="AH14" s="216"/>
      <c r="AI14" s="216"/>
      <c r="AJ14" s="216"/>
      <c r="AK14" s="216"/>
      <c r="AL14" s="216"/>
      <c r="AM14" s="216"/>
      <c r="AN14" s="216"/>
      <c r="AO14" s="216"/>
      <c r="AP14" s="216"/>
      <c r="AQ14" s="216"/>
      <c r="AR14" s="216"/>
      <c r="AS14" s="216"/>
      <c r="AT14" s="216"/>
      <c r="AU14" s="216"/>
      <c r="AV14" s="216"/>
      <c r="AW14" s="217"/>
      <c r="AX14" s="202"/>
      <c r="AY14" s="202"/>
      <c r="AZ14" s="202"/>
      <c r="BA14" s="202"/>
      <c r="BB14" s="202"/>
      <c r="BC14" s="203"/>
      <c r="BD14" s="204"/>
      <c r="BE14" s="202"/>
      <c r="BF14" s="202"/>
      <c r="BG14" s="202"/>
      <c r="BH14" s="202"/>
      <c r="BI14" s="202"/>
      <c r="BJ14" s="203"/>
      <c r="BK14" s="169"/>
    </row>
    <row r="15" spans="1:63" ht="15" customHeight="1" x14ac:dyDescent="0.25">
      <c r="A15" s="168"/>
      <c r="B15" s="140"/>
      <c r="C15" s="138"/>
      <c r="D15" s="138"/>
      <c r="E15" s="138"/>
      <c r="F15" s="138"/>
      <c r="G15" s="139"/>
      <c r="H15" s="140"/>
      <c r="I15" s="138"/>
      <c r="J15" s="138"/>
      <c r="K15" s="138"/>
      <c r="L15" s="138"/>
      <c r="M15" s="138"/>
      <c r="N15" s="139"/>
      <c r="O15" s="140"/>
      <c r="P15" s="138"/>
      <c r="Q15" s="138"/>
      <c r="R15" s="138"/>
      <c r="S15" s="193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  <c r="AS15" s="194"/>
      <c r="AT15" s="194"/>
      <c r="AU15" s="194"/>
      <c r="AV15" s="194"/>
      <c r="AW15" s="195"/>
      <c r="AX15" s="196"/>
      <c r="AY15" s="196"/>
      <c r="AZ15" s="196"/>
      <c r="BA15" s="196"/>
      <c r="BB15" s="196"/>
      <c r="BC15" s="197"/>
      <c r="BD15" s="198"/>
      <c r="BE15" s="196"/>
      <c r="BF15" s="196"/>
      <c r="BG15" s="196"/>
      <c r="BH15" s="196"/>
      <c r="BI15" s="196"/>
      <c r="BJ15" s="197"/>
      <c r="BK15" s="169"/>
    </row>
    <row r="16" spans="1:63" ht="15" customHeight="1" x14ac:dyDescent="0.25">
      <c r="A16" s="168"/>
      <c r="B16" s="150"/>
      <c r="C16" s="151"/>
      <c r="D16" s="151"/>
      <c r="E16" s="151"/>
      <c r="F16" s="151"/>
      <c r="G16" s="152"/>
      <c r="H16" s="150"/>
      <c r="I16" s="151"/>
      <c r="J16" s="151"/>
      <c r="K16" s="151"/>
      <c r="L16" s="151"/>
      <c r="M16" s="151"/>
      <c r="N16" s="152"/>
      <c r="O16" s="150"/>
      <c r="P16" s="151"/>
      <c r="Q16" s="151"/>
      <c r="R16" s="151"/>
      <c r="S16" s="199"/>
      <c r="T16" s="200"/>
      <c r="U16" s="200"/>
      <c r="V16" s="200"/>
      <c r="W16" s="200"/>
      <c r="X16" s="200"/>
      <c r="Y16" s="200"/>
      <c r="Z16" s="200"/>
      <c r="AA16" s="200"/>
      <c r="AB16" s="200"/>
      <c r="AC16" s="200"/>
      <c r="AD16" s="200"/>
      <c r="AE16" s="200"/>
      <c r="AF16" s="200"/>
      <c r="AG16" s="200"/>
      <c r="AH16" s="200"/>
      <c r="AI16" s="200"/>
      <c r="AJ16" s="200"/>
      <c r="AK16" s="200"/>
      <c r="AL16" s="200"/>
      <c r="AM16" s="200"/>
      <c r="AN16" s="200"/>
      <c r="AO16" s="200"/>
      <c r="AP16" s="200"/>
      <c r="AQ16" s="200"/>
      <c r="AR16" s="200"/>
      <c r="AS16" s="200"/>
      <c r="AT16" s="200"/>
      <c r="AU16" s="200"/>
      <c r="AV16" s="200"/>
      <c r="AW16" s="201"/>
      <c r="AX16" s="202"/>
      <c r="AY16" s="202"/>
      <c r="AZ16" s="202"/>
      <c r="BA16" s="202"/>
      <c r="BB16" s="202"/>
      <c r="BC16" s="203"/>
      <c r="BD16" s="204"/>
      <c r="BE16" s="202"/>
      <c r="BF16" s="202"/>
      <c r="BG16" s="202"/>
      <c r="BH16" s="202"/>
      <c r="BI16" s="202"/>
      <c r="BJ16" s="203"/>
      <c r="BK16" s="169"/>
    </row>
    <row r="17" spans="1:63" ht="15" customHeight="1" x14ac:dyDescent="0.25">
      <c r="A17" s="168"/>
      <c r="B17" s="140"/>
      <c r="C17" s="138"/>
      <c r="D17" s="138"/>
      <c r="E17" s="138"/>
      <c r="F17" s="138"/>
      <c r="G17" s="139"/>
      <c r="H17" s="140"/>
      <c r="I17" s="138"/>
      <c r="J17" s="138"/>
      <c r="K17" s="138"/>
      <c r="L17" s="138"/>
      <c r="M17" s="138"/>
      <c r="N17" s="139"/>
      <c r="O17" s="140"/>
      <c r="P17" s="138"/>
      <c r="Q17" s="138"/>
      <c r="R17" s="138"/>
      <c r="S17" s="193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94"/>
      <c r="AW17" s="195"/>
      <c r="AX17" s="196"/>
      <c r="AY17" s="196"/>
      <c r="AZ17" s="196"/>
      <c r="BA17" s="196"/>
      <c r="BB17" s="196"/>
      <c r="BC17" s="197"/>
      <c r="BD17" s="198"/>
      <c r="BE17" s="196"/>
      <c r="BF17" s="196"/>
      <c r="BG17" s="196"/>
      <c r="BH17" s="196"/>
      <c r="BI17" s="196"/>
      <c r="BJ17" s="197"/>
      <c r="BK17" s="169"/>
    </row>
    <row r="18" spans="1:63" ht="15" customHeight="1" x14ac:dyDescent="0.25">
      <c r="A18" s="168"/>
      <c r="B18" s="150"/>
      <c r="C18" s="151"/>
      <c r="D18" s="151"/>
      <c r="E18" s="151"/>
      <c r="F18" s="151"/>
      <c r="G18" s="152"/>
      <c r="H18" s="150"/>
      <c r="I18" s="151"/>
      <c r="J18" s="151"/>
      <c r="K18" s="151"/>
      <c r="L18" s="151"/>
      <c r="M18" s="151"/>
      <c r="N18" s="152"/>
      <c r="O18" s="150"/>
      <c r="P18" s="151"/>
      <c r="Q18" s="151"/>
      <c r="R18" s="151"/>
      <c r="S18" s="199"/>
      <c r="T18" s="200"/>
      <c r="U18" s="200"/>
      <c r="V18" s="200"/>
      <c r="W18" s="200"/>
      <c r="X18" s="200"/>
      <c r="Y18" s="200"/>
      <c r="Z18" s="200"/>
      <c r="AA18" s="200"/>
      <c r="AB18" s="200"/>
      <c r="AC18" s="200"/>
      <c r="AD18" s="200"/>
      <c r="AE18" s="200"/>
      <c r="AF18" s="200"/>
      <c r="AG18" s="200"/>
      <c r="AH18" s="200"/>
      <c r="AI18" s="200"/>
      <c r="AJ18" s="200"/>
      <c r="AK18" s="200"/>
      <c r="AL18" s="200"/>
      <c r="AM18" s="200"/>
      <c r="AN18" s="200"/>
      <c r="AO18" s="200"/>
      <c r="AP18" s="200"/>
      <c r="AQ18" s="200"/>
      <c r="AR18" s="200"/>
      <c r="AS18" s="200"/>
      <c r="AT18" s="200"/>
      <c r="AU18" s="200"/>
      <c r="AV18" s="200"/>
      <c r="AW18" s="201"/>
      <c r="AX18" s="202"/>
      <c r="AY18" s="202"/>
      <c r="AZ18" s="202"/>
      <c r="BA18" s="202"/>
      <c r="BB18" s="202"/>
      <c r="BC18" s="203"/>
      <c r="BD18" s="204"/>
      <c r="BE18" s="202"/>
      <c r="BF18" s="202"/>
      <c r="BG18" s="202"/>
      <c r="BH18" s="202"/>
      <c r="BI18" s="202"/>
      <c r="BJ18" s="203"/>
      <c r="BK18" s="169"/>
    </row>
    <row r="19" spans="1:63" ht="15" customHeight="1" x14ac:dyDescent="0.25">
      <c r="A19" s="168"/>
      <c r="B19" s="140"/>
      <c r="C19" s="138"/>
      <c r="D19" s="138"/>
      <c r="E19" s="138"/>
      <c r="F19" s="138"/>
      <c r="G19" s="139"/>
      <c r="H19" s="140"/>
      <c r="I19" s="138"/>
      <c r="J19" s="138"/>
      <c r="K19" s="138"/>
      <c r="L19" s="138"/>
      <c r="M19" s="138"/>
      <c r="N19" s="139"/>
      <c r="O19" s="140"/>
      <c r="P19" s="138"/>
      <c r="Q19" s="138"/>
      <c r="R19" s="138"/>
      <c r="S19" s="193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4"/>
      <c r="AU19" s="194"/>
      <c r="AV19" s="194"/>
      <c r="AW19" s="195"/>
      <c r="AX19" s="196"/>
      <c r="AY19" s="196"/>
      <c r="AZ19" s="196"/>
      <c r="BA19" s="196"/>
      <c r="BB19" s="196"/>
      <c r="BC19" s="197"/>
      <c r="BD19" s="198"/>
      <c r="BE19" s="196"/>
      <c r="BF19" s="196"/>
      <c r="BG19" s="196"/>
      <c r="BH19" s="196"/>
      <c r="BI19" s="196"/>
      <c r="BJ19" s="197"/>
      <c r="BK19" s="169"/>
    </row>
    <row r="20" spans="1:63" ht="15" customHeight="1" x14ac:dyDescent="0.25">
      <c r="A20" s="168"/>
      <c r="B20" s="150"/>
      <c r="C20" s="151"/>
      <c r="D20" s="151"/>
      <c r="E20" s="151"/>
      <c r="F20" s="151"/>
      <c r="G20" s="152"/>
      <c r="H20" s="150"/>
      <c r="I20" s="151"/>
      <c r="J20" s="151"/>
      <c r="K20" s="151"/>
      <c r="L20" s="151"/>
      <c r="M20" s="151"/>
      <c r="N20" s="152"/>
      <c r="O20" s="150"/>
      <c r="P20" s="151"/>
      <c r="Q20" s="151"/>
      <c r="R20" s="151"/>
      <c r="S20" s="199"/>
      <c r="T20" s="200"/>
      <c r="U20" s="200"/>
      <c r="V20" s="200"/>
      <c r="W20" s="200"/>
      <c r="X20" s="200"/>
      <c r="Y20" s="200"/>
      <c r="Z20" s="200"/>
      <c r="AA20" s="200"/>
      <c r="AB20" s="200"/>
      <c r="AC20" s="200"/>
      <c r="AD20" s="200"/>
      <c r="AE20" s="200"/>
      <c r="AF20" s="200"/>
      <c r="AG20" s="200"/>
      <c r="AH20" s="200"/>
      <c r="AI20" s="200"/>
      <c r="AJ20" s="200"/>
      <c r="AK20" s="200"/>
      <c r="AL20" s="200"/>
      <c r="AM20" s="200"/>
      <c r="AN20" s="200"/>
      <c r="AO20" s="200"/>
      <c r="AP20" s="200"/>
      <c r="AQ20" s="200"/>
      <c r="AR20" s="200"/>
      <c r="AS20" s="200"/>
      <c r="AT20" s="200"/>
      <c r="AU20" s="200"/>
      <c r="AV20" s="200"/>
      <c r="AW20" s="201"/>
      <c r="AX20" s="202"/>
      <c r="AY20" s="202"/>
      <c r="AZ20" s="202"/>
      <c r="BA20" s="202"/>
      <c r="BB20" s="202"/>
      <c r="BC20" s="203"/>
      <c r="BD20" s="204"/>
      <c r="BE20" s="202"/>
      <c r="BF20" s="202"/>
      <c r="BG20" s="202"/>
      <c r="BH20" s="202"/>
      <c r="BI20" s="202"/>
      <c r="BJ20" s="203"/>
      <c r="BK20" s="169"/>
    </row>
    <row r="21" spans="1:63" ht="15" customHeight="1" x14ac:dyDescent="0.25">
      <c r="A21" s="168"/>
      <c r="B21" s="140"/>
      <c r="C21" s="138"/>
      <c r="D21" s="138"/>
      <c r="E21" s="138"/>
      <c r="F21" s="138"/>
      <c r="G21" s="139"/>
      <c r="H21" s="140"/>
      <c r="I21" s="138"/>
      <c r="J21" s="138"/>
      <c r="K21" s="138"/>
      <c r="L21" s="138"/>
      <c r="M21" s="138"/>
      <c r="N21" s="139"/>
      <c r="O21" s="140"/>
      <c r="P21" s="138"/>
      <c r="Q21" s="138"/>
      <c r="R21" s="138"/>
      <c r="S21" s="193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195"/>
      <c r="AX21" s="196"/>
      <c r="AY21" s="196"/>
      <c r="AZ21" s="196"/>
      <c r="BA21" s="196"/>
      <c r="BB21" s="196"/>
      <c r="BC21" s="197"/>
      <c r="BD21" s="198"/>
      <c r="BE21" s="196"/>
      <c r="BF21" s="196"/>
      <c r="BG21" s="196"/>
      <c r="BH21" s="196"/>
      <c r="BI21" s="196"/>
      <c r="BJ21" s="197"/>
      <c r="BK21" s="169"/>
    </row>
    <row r="22" spans="1:63" ht="15" customHeight="1" x14ac:dyDescent="0.25">
      <c r="A22" s="168"/>
      <c r="B22" s="150"/>
      <c r="C22" s="151"/>
      <c r="D22" s="151"/>
      <c r="E22" s="151"/>
      <c r="F22" s="151"/>
      <c r="G22" s="152"/>
      <c r="H22" s="150"/>
      <c r="I22" s="151"/>
      <c r="J22" s="151"/>
      <c r="K22" s="151"/>
      <c r="L22" s="151"/>
      <c r="M22" s="151"/>
      <c r="N22" s="152"/>
      <c r="O22" s="150"/>
      <c r="P22" s="151"/>
      <c r="Q22" s="151"/>
      <c r="R22" s="151"/>
      <c r="S22" s="199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200"/>
      <c r="AG22" s="200"/>
      <c r="AH22" s="200"/>
      <c r="AI22" s="200"/>
      <c r="AJ22" s="200"/>
      <c r="AK22" s="200"/>
      <c r="AL22" s="200"/>
      <c r="AM22" s="200"/>
      <c r="AN22" s="200"/>
      <c r="AO22" s="200"/>
      <c r="AP22" s="200"/>
      <c r="AQ22" s="200"/>
      <c r="AR22" s="200"/>
      <c r="AS22" s="200"/>
      <c r="AT22" s="200"/>
      <c r="AU22" s="200"/>
      <c r="AV22" s="200"/>
      <c r="AW22" s="201"/>
      <c r="AX22" s="202"/>
      <c r="AY22" s="202"/>
      <c r="AZ22" s="202"/>
      <c r="BA22" s="202"/>
      <c r="BB22" s="202"/>
      <c r="BC22" s="203"/>
      <c r="BD22" s="204"/>
      <c r="BE22" s="202"/>
      <c r="BF22" s="202"/>
      <c r="BG22" s="202"/>
      <c r="BH22" s="202"/>
      <c r="BI22" s="202"/>
      <c r="BJ22" s="203"/>
      <c r="BK22" s="169"/>
    </row>
    <row r="23" spans="1:63" ht="15" customHeight="1" x14ac:dyDescent="0.25">
      <c r="A23" s="168"/>
      <c r="B23" s="140"/>
      <c r="C23" s="138"/>
      <c r="D23" s="138"/>
      <c r="E23" s="138"/>
      <c r="F23" s="138"/>
      <c r="G23" s="139"/>
      <c r="H23" s="140"/>
      <c r="I23" s="138"/>
      <c r="J23" s="138"/>
      <c r="K23" s="138"/>
      <c r="L23" s="138"/>
      <c r="M23" s="138"/>
      <c r="N23" s="139"/>
      <c r="O23" s="140"/>
      <c r="P23" s="138"/>
      <c r="Q23" s="138"/>
      <c r="R23" s="138"/>
      <c r="S23" s="193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5"/>
      <c r="AX23" s="196"/>
      <c r="AY23" s="196"/>
      <c r="AZ23" s="196"/>
      <c r="BA23" s="196"/>
      <c r="BB23" s="196"/>
      <c r="BC23" s="197"/>
      <c r="BD23" s="198"/>
      <c r="BE23" s="196"/>
      <c r="BF23" s="196"/>
      <c r="BG23" s="196"/>
      <c r="BH23" s="196"/>
      <c r="BI23" s="196"/>
      <c r="BJ23" s="197"/>
      <c r="BK23" s="169"/>
    </row>
    <row r="24" spans="1:63" ht="15" customHeight="1" x14ac:dyDescent="0.25">
      <c r="A24" s="168"/>
      <c r="B24" s="150"/>
      <c r="C24" s="151"/>
      <c r="D24" s="151"/>
      <c r="E24" s="151"/>
      <c r="F24" s="151"/>
      <c r="G24" s="152"/>
      <c r="H24" s="150"/>
      <c r="I24" s="151"/>
      <c r="J24" s="151"/>
      <c r="K24" s="151"/>
      <c r="L24" s="151"/>
      <c r="M24" s="151"/>
      <c r="N24" s="152"/>
      <c r="O24" s="150"/>
      <c r="P24" s="151"/>
      <c r="Q24" s="151"/>
      <c r="R24" s="151"/>
      <c r="S24" s="199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200"/>
      <c r="AG24" s="200"/>
      <c r="AH24" s="200"/>
      <c r="AI24" s="200"/>
      <c r="AJ24" s="200"/>
      <c r="AK24" s="200"/>
      <c r="AL24" s="200"/>
      <c r="AM24" s="200"/>
      <c r="AN24" s="200"/>
      <c r="AO24" s="200"/>
      <c r="AP24" s="200"/>
      <c r="AQ24" s="200"/>
      <c r="AR24" s="200"/>
      <c r="AS24" s="200"/>
      <c r="AT24" s="200"/>
      <c r="AU24" s="200"/>
      <c r="AV24" s="200"/>
      <c r="AW24" s="201"/>
      <c r="AX24" s="202"/>
      <c r="AY24" s="202"/>
      <c r="AZ24" s="202"/>
      <c r="BA24" s="202"/>
      <c r="BB24" s="202"/>
      <c r="BC24" s="203"/>
      <c r="BD24" s="204"/>
      <c r="BE24" s="202"/>
      <c r="BF24" s="202"/>
      <c r="BG24" s="202"/>
      <c r="BH24" s="202"/>
      <c r="BI24" s="202"/>
      <c r="BJ24" s="203"/>
      <c r="BK24" s="169"/>
    </row>
    <row r="25" spans="1:63" ht="15" customHeight="1" x14ac:dyDescent="0.25">
      <c r="A25" s="168"/>
      <c r="B25" s="140"/>
      <c r="C25" s="138"/>
      <c r="D25" s="138"/>
      <c r="E25" s="138"/>
      <c r="F25" s="138"/>
      <c r="G25" s="139"/>
      <c r="H25" s="140"/>
      <c r="I25" s="138"/>
      <c r="J25" s="138"/>
      <c r="K25" s="138"/>
      <c r="L25" s="138"/>
      <c r="M25" s="138"/>
      <c r="N25" s="139"/>
      <c r="O25" s="140"/>
      <c r="P25" s="138"/>
      <c r="Q25" s="138"/>
      <c r="R25" s="138"/>
      <c r="S25" s="193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4"/>
      <c r="AU25" s="194"/>
      <c r="AV25" s="194"/>
      <c r="AW25" s="195"/>
      <c r="AX25" s="196"/>
      <c r="AY25" s="196"/>
      <c r="AZ25" s="196"/>
      <c r="BA25" s="196"/>
      <c r="BB25" s="196"/>
      <c r="BC25" s="197"/>
      <c r="BD25" s="198"/>
      <c r="BE25" s="196"/>
      <c r="BF25" s="196"/>
      <c r="BG25" s="196"/>
      <c r="BH25" s="196"/>
      <c r="BI25" s="196"/>
      <c r="BJ25" s="197"/>
      <c r="BK25" s="169"/>
    </row>
    <row r="26" spans="1:63" ht="15" customHeight="1" x14ac:dyDescent="0.25">
      <c r="A26" s="168"/>
      <c r="B26" s="150"/>
      <c r="C26" s="151"/>
      <c r="D26" s="151"/>
      <c r="E26" s="151"/>
      <c r="F26" s="151"/>
      <c r="G26" s="152"/>
      <c r="H26" s="150"/>
      <c r="I26" s="151"/>
      <c r="J26" s="151"/>
      <c r="K26" s="151"/>
      <c r="L26" s="151"/>
      <c r="M26" s="151"/>
      <c r="N26" s="152"/>
      <c r="O26" s="150"/>
      <c r="P26" s="151"/>
      <c r="Q26" s="151"/>
      <c r="R26" s="151"/>
      <c r="S26" s="199"/>
      <c r="T26" s="200"/>
      <c r="U26" s="200"/>
      <c r="V26" s="200"/>
      <c r="W26" s="200"/>
      <c r="X26" s="200"/>
      <c r="Y26" s="200"/>
      <c r="Z26" s="200"/>
      <c r="AA26" s="200"/>
      <c r="AB26" s="200"/>
      <c r="AC26" s="200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/>
      <c r="AN26" s="200"/>
      <c r="AO26" s="200"/>
      <c r="AP26" s="200"/>
      <c r="AQ26" s="200"/>
      <c r="AR26" s="200"/>
      <c r="AS26" s="200"/>
      <c r="AT26" s="200"/>
      <c r="AU26" s="200"/>
      <c r="AV26" s="200"/>
      <c r="AW26" s="201"/>
      <c r="AX26" s="202"/>
      <c r="AY26" s="202"/>
      <c r="AZ26" s="202"/>
      <c r="BA26" s="202"/>
      <c r="BB26" s="202"/>
      <c r="BC26" s="203"/>
      <c r="BD26" s="204"/>
      <c r="BE26" s="202"/>
      <c r="BF26" s="202"/>
      <c r="BG26" s="202"/>
      <c r="BH26" s="202"/>
      <c r="BI26" s="202"/>
      <c r="BJ26" s="203"/>
      <c r="BK26" s="169"/>
    </row>
    <row r="27" spans="1:63" ht="15" customHeight="1" x14ac:dyDescent="0.25">
      <c r="A27" s="168"/>
      <c r="B27" s="140"/>
      <c r="C27" s="138"/>
      <c r="D27" s="138"/>
      <c r="E27" s="138"/>
      <c r="F27" s="138"/>
      <c r="G27" s="139"/>
      <c r="H27" s="140"/>
      <c r="I27" s="138"/>
      <c r="J27" s="138"/>
      <c r="K27" s="138"/>
      <c r="L27" s="138"/>
      <c r="M27" s="138"/>
      <c r="N27" s="139"/>
      <c r="O27" s="140"/>
      <c r="P27" s="138"/>
      <c r="Q27" s="138"/>
      <c r="R27" s="138"/>
      <c r="S27" s="193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  <c r="AL27" s="194"/>
      <c r="AM27" s="194"/>
      <c r="AN27" s="194"/>
      <c r="AO27" s="194"/>
      <c r="AP27" s="194"/>
      <c r="AQ27" s="194"/>
      <c r="AR27" s="194"/>
      <c r="AS27" s="194"/>
      <c r="AT27" s="194"/>
      <c r="AU27" s="194"/>
      <c r="AV27" s="194"/>
      <c r="AW27" s="195"/>
      <c r="AX27" s="196"/>
      <c r="AY27" s="196"/>
      <c r="AZ27" s="196"/>
      <c r="BA27" s="196"/>
      <c r="BB27" s="196"/>
      <c r="BC27" s="197"/>
      <c r="BD27" s="198"/>
      <c r="BE27" s="196"/>
      <c r="BF27" s="196"/>
      <c r="BG27" s="196"/>
      <c r="BH27" s="196"/>
      <c r="BI27" s="196"/>
      <c r="BJ27" s="197"/>
      <c r="BK27" s="169"/>
    </row>
    <row r="28" spans="1:63" ht="15" customHeight="1" x14ac:dyDescent="0.25">
      <c r="A28" s="168"/>
      <c r="B28" s="150"/>
      <c r="C28" s="151"/>
      <c r="D28" s="151"/>
      <c r="E28" s="151"/>
      <c r="F28" s="151"/>
      <c r="G28" s="152"/>
      <c r="H28" s="150"/>
      <c r="I28" s="151"/>
      <c r="J28" s="151"/>
      <c r="K28" s="151"/>
      <c r="L28" s="151"/>
      <c r="M28" s="151"/>
      <c r="N28" s="152"/>
      <c r="O28" s="150"/>
      <c r="P28" s="151"/>
      <c r="Q28" s="151"/>
      <c r="R28" s="151"/>
      <c r="S28" s="199"/>
      <c r="T28" s="200"/>
      <c r="U28" s="200"/>
      <c r="V28" s="200"/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  <c r="AH28" s="200"/>
      <c r="AI28" s="200"/>
      <c r="AJ28" s="200"/>
      <c r="AK28" s="200"/>
      <c r="AL28" s="200"/>
      <c r="AM28" s="200"/>
      <c r="AN28" s="200"/>
      <c r="AO28" s="200"/>
      <c r="AP28" s="200"/>
      <c r="AQ28" s="200"/>
      <c r="AR28" s="200"/>
      <c r="AS28" s="200"/>
      <c r="AT28" s="200"/>
      <c r="AU28" s="200"/>
      <c r="AV28" s="200"/>
      <c r="AW28" s="201"/>
      <c r="AX28" s="202"/>
      <c r="AY28" s="202"/>
      <c r="AZ28" s="202"/>
      <c r="BA28" s="202"/>
      <c r="BB28" s="202"/>
      <c r="BC28" s="203"/>
      <c r="BD28" s="204"/>
      <c r="BE28" s="202"/>
      <c r="BF28" s="202"/>
      <c r="BG28" s="202"/>
      <c r="BH28" s="202"/>
      <c r="BI28" s="202"/>
      <c r="BJ28" s="203"/>
      <c r="BK28" s="169"/>
    </row>
    <row r="29" spans="1:63" ht="15" customHeight="1" x14ac:dyDescent="0.25">
      <c r="A29" s="168"/>
      <c r="B29" s="140"/>
      <c r="C29" s="138"/>
      <c r="D29" s="138"/>
      <c r="E29" s="138"/>
      <c r="F29" s="138"/>
      <c r="G29" s="139"/>
      <c r="H29" s="140"/>
      <c r="I29" s="138"/>
      <c r="J29" s="138"/>
      <c r="K29" s="138"/>
      <c r="L29" s="138"/>
      <c r="M29" s="138"/>
      <c r="N29" s="139"/>
      <c r="O29" s="140"/>
      <c r="P29" s="138"/>
      <c r="Q29" s="138"/>
      <c r="R29" s="138"/>
      <c r="S29" s="193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94"/>
      <c r="AT29" s="194"/>
      <c r="AU29" s="194"/>
      <c r="AV29" s="194"/>
      <c r="AW29" s="195"/>
      <c r="AX29" s="196"/>
      <c r="AY29" s="196"/>
      <c r="AZ29" s="196"/>
      <c r="BA29" s="196"/>
      <c r="BB29" s="196"/>
      <c r="BC29" s="197"/>
      <c r="BD29" s="198"/>
      <c r="BE29" s="196"/>
      <c r="BF29" s="196"/>
      <c r="BG29" s="196"/>
      <c r="BH29" s="196"/>
      <c r="BI29" s="196"/>
      <c r="BJ29" s="197"/>
      <c r="BK29" s="169"/>
    </row>
    <row r="30" spans="1:63" ht="15" customHeight="1" x14ac:dyDescent="0.25">
      <c r="A30" s="168"/>
      <c r="B30" s="150"/>
      <c r="C30" s="151"/>
      <c r="D30" s="151"/>
      <c r="E30" s="151"/>
      <c r="F30" s="151"/>
      <c r="G30" s="152"/>
      <c r="H30" s="150"/>
      <c r="I30" s="151"/>
      <c r="J30" s="151"/>
      <c r="K30" s="151"/>
      <c r="L30" s="151"/>
      <c r="M30" s="151"/>
      <c r="N30" s="152"/>
      <c r="O30" s="150"/>
      <c r="P30" s="151"/>
      <c r="Q30" s="151"/>
      <c r="R30" s="151"/>
      <c r="S30" s="199"/>
      <c r="T30" s="200"/>
      <c r="U30" s="200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0"/>
      <c r="AI30" s="200"/>
      <c r="AJ30" s="200"/>
      <c r="AK30" s="200"/>
      <c r="AL30" s="200"/>
      <c r="AM30" s="200"/>
      <c r="AN30" s="200"/>
      <c r="AO30" s="200"/>
      <c r="AP30" s="200"/>
      <c r="AQ30" s="200"/>
      <c r="AR30" s="200"/>
      <c r="AS30" s="200"/>
      <c r="AT30" s="200"/>
      <c r="AU30" s="200"/>
      <c r="AV30" s="200"/>
      <c r="AW30" s="201"/>
      <c r="AX30" s="202"/>
      <c r="AY30" s="202"/>
      <c r="AZ30" s="202"/>
      <c r="BA30" s="202"/>
      <c r="BB30" s="202"/>
      <c r="BC30" s="203"/>
      <c r="BD30" s="204"/>
      <c r="BE30" s="202"/>
      <c r="BF30" s="202"/>
      <c r="BG30" s="202"/>
      <c r="BH30" s="202"/>
      <c r="BI30" s="202"/>
      <c r="BJ30" s="203"/>
      <c r="BK30" s="169"/>
    </row>
    <row r="31" spans="1:63" ht="15" customHeight="1" x14ac:dyDescent="0.25">
      <c r="A31" s="168"/>
      <c r="B31" s="140"/>
      <c r="C31" s="138"/>
      <c r="D31" s="138"/>
      <c r="E31" s="138"/>
      <c r="F31" s="138"/>
      <c r="G31" s="139"/>
      <c r="H31" s="140"/>
      <c r="I31" s="138"/>
      <c r="J31" s="138"/>
      <c r="K31" s="138"/>
      <c r="L31" s="138"/>
      <c r="M31" s="138"/>
      <c r="N31" s="139"/>
      <c r="O31" s="140"/>
      <c r="P31" s="138"/>
      <c r="Q31" s="138"/>
      <c r="R31" s="138"/>
      <c r="S31" s="193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194"/>
      <c r="AR31" s="194"/>
      <c r="AS31" s="194"/>
      <c r="AT31" s="194"/>
      <c r="AU31" s="194"/>
      <c r="AV31" s="194"/>
      <c r="AW31" s="195"/>
      <c r="AX31" s="196"/>
      <c r="AY31" s="196"/>
      <c r="AZ31" s="196"/>
      <c r="BA31" s="196"/>
      <c r="BB31" s="196"/>
      <c r="BC31" s="197"/>
      <c r="BD31" s="198"/>
      <c r="BE31" s="196"/>
      <c r="BF31" s="196"/>
      <c r="BG31" s="196"/>
      <c r="BH31" s="196"/>
      <c r="BI31" s="196"/>
      <c r="BJ31" s="197"/>
      <c r="BK31" s="169"/>
    </row>
    <row r="32" spans="1:63" ht="15" customHeight="1" x14ac:dyDescent="0.25">
      <c r="A32" s="168"/>
      <c r="B32" s="150"/>
      <c r="C32" s="151"/>
      <c r="D32" s="151"/>
      <c r="E32" s="151"/>
      <c r="F32" s="151"/>
      <c r="G32" s="152"/>
      <c r="H32" s="150"/>
      <c r="I32" s="151"/>
      <c r="J32" s="151"/>
      <c r="K32" s="151"/>
      <c r="L32" s="151"/>
      <c r="M32" s="151"/>
      <c r="N32" s="152"/>
      <c r="O32" s="150"/>
      <c r="P32" s="151"/>
      <c r="Q32" s="151"/>
      <c r="R32" s="151"/>
      <c r="S32" s="199"/>
      <c r="T32" s="200"/>
      <c r="U32" s="200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0"/>
      <c r="AI32" s="200"/>
      <c r="AJ32" s="200"/>
      <c r="AK32" s="200"/>
      <c r="AL32" s="200"/>
      <c r="AM32" s="200"/>
      <c r="AN32" s="200"/>
      <c r="AO32" s="200"/>
      <c r="AP32" s="200"/>
      <c r="AQ32" s="200"/>
      <c r="AR32" s="200"/>
      <c r="AS32" s="200"/>
      <c r="AT32" s="200"/>
      <c r="AU32" s="200"/>
      <c r="AV32" s="200"/>
      <c r="AW32" s="201"/>
      <c r="AX32" s="202"/>
      <c r="AY32" s="202"/>
      <c r="AZ32" s="202"/>
      <c r="BA32" s="202"/>
      <c r="BB32" s="202"/>
      <c r="BC32" s="203"/>
      <c r="BD32" s="204"/>
      <c r="BE32" s="202"/>
      <c r="BF32" s="202"/>
      <c r="BG32" s="202"/>
      <c r="BH32" s="202"/>
      <c r="BI32" s="202"/>
      <c r="BJ32" s="203"/>
      <c r="BK32" s="169"/>
    </row>
    <row r="33" spans="1:63" ht="15" customHeight="1" x14ac:dyDescent="0.25">
      <c r="A33" s="168"/>
      <c r="B33" s="140"/>
      <c r="C33" s="138"/>
      <c r="D33" s="138"/>
      <c r="E33" s="138"/>
      <c r="F33" s="138"/>
      <c r="G33" s="139"/>
      <c r="H33" s="140"/>
      <c r="I33" s="138"/>
      <c r="J33" s="138"/>
      <c r="K33" s="138"/>
      <c r="L33" s="138"/>
      <c r="M33" s="138"/>
      <c r="N33" s="139"/>
      <c r="O33" s="140"/>
      <c r="P33" s="138"/>
      <c r="Q33" s="138"/>
      <c r="R33" s="138"/>
      <c r="S33" s="193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5"/>
      <c r="AX33" s="196"/>
      <c r="AY33" s="196"/>
      <c r="AZ33" s="196"/>
      <c r="BA33" s="196"/>
      <c r="BB33" s="196"/>
      <c r="BC33" s="197"/>
      <c r="BD33" s="198"/>
      <c r="BE33" s="196"/>
      <c r="BF33" s="196"/>
      <c r="BG33" s="196"/>
      <c r="BH33" s="196"/>
      <c r="BI33" s="196"/>
      <c r="BJ33" s="197"/>
      <c r="BK33" s="169"/>
    </row>
    <row r="34" spans="1:63" ht="15" customHeight="1" x14ac:dyDescent="0.25">
      <c r="A34" s="168"/>
      <c r="B34" s="150"/>
      <c r="C34" s="151"/>
      <c r="D34" s="151"/>
      <c r="E34" s="151"/>
      <c r="F34" s="151"/>
      <c r="G34" s="152"/>
      <c r="H34" s="150"/>
      <c r="I34" s="151"/>
      <c r="J34" s="151"/>
      <c r="K34" s="151"/>
      <c r="L34" s="151"/>
      <c r="M34" s="151"/>
      <c r="N34" s="152"/>
      <c r="O34" s="150"/>
      <c r="P34" s="151"/>
      <c r="Q34" s="151"/>
      <c r="R34" s="151"/>
      <c r="S34" s="199"/>
      <c r="T34" s="200"/>
      <c r="U34" s="200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0"/>
      <c r="AI34" s="200"/>
      <c r="AJ34" s="200"/>
      <c r="AK34" s="200"/>
      <c r="AL34" s="200"/>
      <c r="AM34" s="200"/>
      <c r="AN34" s="200"/>
      <c r="AO34" s="200"/>
      <c r="AP34" s="200"/>
      <c r="AQ34" s="200"/>
      <c r="AR34" s="200"/>
      <c r="AS34" s="200"/>
      <c r="AT34" s="200"/>
      <c r="AU34" s="200"/>
      <c r="AV34" s="200"/>
      <c r="AW34" s="201"/>
      <c r="AX34" s="202"/>
      <c r="AY34" s="202"/>
      <c r="AZ34" s="202"/>
      <c r="BA34" s="202"/>
      <c r="BB34" s="202"/>
      <c r="BC34" s="203"/>
      <c r="BD34" s="204"/>
      <c r="BE34" s="202"/>
      <c r="BF34" s="202"/>
      <c r="BG34" s="202"/>
      <c r="BH34" s="202"/>
      <c r="BI34" s="202"/>
      <c r="BJ34" s="203"/>
      <c r="BK34" s="169"/>
    </row>
    <row r="35" spans="1:63" ht="15" customHeight="1" x14ac:dyDescent="0.25">
      <c r="A35" s="168"/>
      <c r="B35" s="140"/>
      <c r="C35" s="138"/>
      <c r="D35" s="138"/>
      <c r="E35" s="138"/>
      <c r="F35" s="138"/>
      <c r="G35" s="139"/>
      <c r="H35" s="140"/>
      <c r="I35" s="138"/>
      <c r="J35" s="138"/>
      <c r="K35" s="138"/>
      <c r="L35" s="138"/>
      <c r="M35" s="138"/>
      <c r="N35" s="139"/>
      <c r="O35" s="140"/>
      <c r="P35" s="138"/>
      <c r="Q35" s="138"/>
      <c r="R35" s="138"/>
      <c r="S35" s="193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  <c r="AK35" s="194"/>
      <c r="AL35" s="194"/>
      <c r="AM35" s="194"/>
      <c r="AN35" s="194"/>
      <c r="AO35" s="194"/>
      <c r="AP35" s="194"/>
      <c r="AQ35" s="194"/>
      <c r="AR35" s="194"/>
      <c r="AS35" s="194"/>
      <c r="AT35" s="194"/>
      <c r="AU35" s="194"/>
      <c r="AV35" s="194"/>
      <c r="AW35" s="195"/>
      <c r="AX35" s="196"/>
      <c r="AY35" s="196"/>
      <c r="AZ35" s="196"/>
      <c r="BA35" s="196"/>
      <c r="BB35" s="196"/>
      <c r="BC35" s="197"/>
      <c r="BD35" s="198"/>
      <c r="BE35" s="196"/>
      <c r="BF35" s="196"/>
      <c r="BG35" s="196"/>
      <c r="BH35" s="196"/>
      <c r="BI35" s="196"/>
      <c r="BJ35" s="197"/>
      <c r="BK35" s="169"/>
    </row>
    <row r="36" spans="1:63" ht="15" customHeight="1" x14ac:dyDescent="0.25">
      <c r="A36" s="168"/>
      <c r="B36" s="150"/>
      <c r="C36" s="151"/>
      <c r="D36" s="151"/>
      <c r="E36" s="151"/>
      <c r="F36" s="151"/>
      <c r="G36" s="152"/>
      <c r="H36" s="150"/>
      <c r="I36" s="151"/>
      <c r="J36" s="151"/>
      <c r="K36" s="151"/>
      <c r="L36" s="151"/>
      <c r="M36" s="151"/>
      <c r="N36" s="152"/>
      <c r="O36" s="150"/>
      <c r="P36" s="151"/>
      <c r="Q36" s="151"/>
      <c r="R36" s="151"/>
      <c r="S36" s="199"/>
      <c r="T36" s="200"/>
      <c r="U36" s="200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  <c r="AH36" s="200"/>
      <c r="AI36" s="200"/>
      <c r="AJ36" s="200"/>
      <c r="AK36" s="200"/>
      <c r="AL36" s="200"/>
      <c r="AM36" s="200"/>
      <c r="AN36" s="200"/>
      <c r="AO36" s="200"/>
      <c r="AP36" s="200"/>
      <c r="AQ36" s="200"/>
      <c r="AR36" s="200"/>
      <c r="AS36" s="200"/>
      <c r="AT36" s="200"/>
      <c r="AU36" s="200"/>
      <c r="AV36" s="200"/>
      <c r="AW36" s="201"/>
      <c r="AX36" s="202"/>
      <c r="AY36" s="202"/>
      <c r="AZ36" s="202"/>
      <c r="BA36" s="202"/>
      <c r="BB36" s="202"/>
      <c r="BC36" s="203"/>
      <c r="BD36" s="204"/>
      <c r="BE36" s="202"/>
      <c r="BF36" s="202"/>
      <c r="BG36" s="202"/>
      <c r="BH36" s="202"/>
      <c r="BI36" s="202"/>
      <c r="BJ36" s="203"/>
      <c r="BK36" s="169"/>
    </row>
    <row r="37" spans="1:63" ht="15" customHeight="1" x14ac:dyDescent="0.25">
      <c r="A37" s="168"/>
      <c r="B37" s="140"/>
      <c r="C37" s="138"/>
      <c r="D37" s="138"/>
      <c r="E37" s="138"/>
      <c r="F37" s="138"/>
      <c r="G37" s="139"/>
      <c r="H37" s="140"/>
      <c r="I37" s="138"/>
      <c r="J37" s="138"/>
      <c r="K37" s="138"/>
      <c r="L37" s="138"/>
      <c r="M37" s="138"/>
      <c r="N37" s="139"/>
      <c r="O37" s="140"/>
      <c r="P37" s="138"/>
      <c r="Q37" s="138"/>
      <c r="R37" s="138"/>
      <c r="S37" s="193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194"/>
      <c r="AR37" s="194"/>
      <c r="AS37" s="194"/>
      <c r="AT37" s="194"/>
      <c r="AU37" s="194"/>
      <c r="AV37" s="194"/>
      <c r="AW37" s="195"/>
      <c r="AX37" s="196"/>
      <c r="AY37" s="196"/>
      <c r="AZ37" s="196"/>
      <c r="BA37" s="196"/>
      <c r="BB37" s="196"/>
      <c r="BC37" s="197"/>
      <c r="BD37" s="198"/>
      <c r="BE37" s="196"/>
      <c r="BF37" s="196"/>
      <c r="BG37" s="196"/>
      <c r="BH37" s="196"/>
      <c r="BI37" s="196"/>
      <c r="BJ37" s="197"/>
      <c r="BK37" s="169"/>
    </row>
    <row r="38" spans="1:63" ht="15" customHeight="1" x14ac:dyDescent="0.25">
      <c r="A38" s="168"/>
      <c r="B38" s="150"/>
      <c r="C38" s="151"/>
      <c r="D38" s="151"/>
      <c r="E38" s="151"/>
      <c r="F38" s="151"/>
      <c r="G38" s="152"/>
      <c r="H38" s="150"/>
      <c r="I38" s="151"/>
      <c r="J38" s="151"/>
      <c r="K38" s="151"/>
      <c r="L38" s="151"/>
      <c r="M38" s="151"/>
      <c r="N38" s="152"/>
      <c r="O38" s="150"/>
      <c r="P38" s="151"/>
      <c r="Q38" s="151"/>
      <c r="R38" s="151"/>
      <c r="S38" s="199"/>
      <c r="T38" s="200"/>
      <c r="U38" s="200"/>
      <c r="V38" s="200"/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0"/>
      <c r="AI38" s="200"/>
      <c r="AJ38" s="200"/>
      <c r="AK38" s="200"/>
      <c r="AL38" s="200"/>
      <c r="AM38" s="200"/>
      <c r="AN38" s="200"/>
      <c r="AO38" s="200"/>
      <c r="AP38" s="200"/>
      <c r="AQ38" s="200"/>
      <c r="AR38" s="200"/>
      <c r="AS38" s="200"/>
      <c r="AT38" s="200"/>
      <c r="AU38" s="200"/>
      <c r="AV38" s="200"/>
      <c r="AW38" s="201"/>
      <c r="AX38" s="202"/>
      <c r="AY38" s="202"/>
      <c r="AZ38" s="202"/>
      <c r="BA38" s="202"/>
      <c r="BB38" s="202"/>
      <c r="BC38" s="203"/>
      <c r="BD38" s="204"/>
      <c r="BE38" s="202"/>
      <c r="BF38" s="202"/>
      <c r="BG38" s="202"/>
      <c r="BH38" s="202"/>
      <c r="BI38" s="202"/>
      <c r="BJ38" s="203"/>
      <c r="BK38" s="169"/>
    </row>
    <row r="39" spans="1:63" ht="15" customHeight="1" x14ac:dyDescent="0.25">
      <c r="A39" s="168"/>
      <c r="B39" s="140"/>
      <c r="C39" s="138"/>
      <c r="D39" s="138"/>
      <c r="E39" s="138"/>
      <c r="F39" s="138"/>
      <c r="G39" s="139"/>
      <c r="H39" s="140"/>
      <c r="I39" s="138"/>
      <c r="J39" s="138"/>
      <c r="K39" s="138"/>
      <c r="L39" s="138"/>
      <c r="M39" s="138"/>
      <c r="N39" s="139"/>
      <c r="O39" s="140"/>
      <c r="P39" s="138"/>
      <c r="Q39" s="138"/>
      <c r="R39" s="138"/>
      <c r="S39" s="193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194"/>
      <c r="AR39" s="194"/>
      <c r="AS39" s="194"/>
      <c r="AT39" s="194"/>
      <c r="AU39" s="194"/>
      <c r="AV39" s="194"/>
      <c r="AW39" s="195"/>
      <c r="AX39" s="196"/>
      <c r="AY39" s="196"/>
      <c r="AZ39" s="196"/>
      <c r="BA39" s="196"/>
      <c r="BB39" s="196"/>
      <c r="BC39" s="197"/>
      <c r="BD39" s="198"/>
      <c r="BE39" s="196"/>
      <c r="BF39" s="196"/>
      <c r="BG39" s="196"/>
      <c r="BH39" s="196"/>
      <c r="BI39" s="196"/>
      <c r="BJ39" s="197"/>
      <c r="BK39" s="169"/>
    </row>
    <row r="40" spans="1:63" ht="15" customHeight="1" x14ac:dyDescent="0.25">
      <c r="A40" s="168"/>
      <c r="B40" s="150"/>
      <c r="C40" s="151"/>
      <c r="D40" s="151"/>
      <c r="E40" s="151"/>
      <c r="F40" s="151"/>
      <c r="G40" s="152"/>
      <c r="H40" s="150"/>
      <c r="I40" s="151"/>
      <c r="J40" s="151"/>
      <c r="K40" s="151"/>
      <c r="L40" s="151"/>
      <c r="M40" s="151"/>
      <c r="N40" s="152"/>
      <c r="O40" s="150"/>
      <c r="P40" s="151"/>
      <c r="Q40" s="151"/>
      <c r="R40" s="151"/>
      <c r="S40" s="199"/>
      <c r="T40" s="200"/>
      <c r="U40" s="200"/>
      <c r="V40" s="200"/>
      <c r="W40" s="200"/>
      <c r="X40" s="200"/>
      <c r="Y40" s="200"/>
      <c r="Z40" s="200"/>
      <c r="AA40" s="200"/>
      <c r="AB40" s="200"/>
      <c r="AC40" s="200"/>
      <c r="AD40" s="200"/>
      <c r="AE40" s="200"/>
      <c r="AF40" s="200"/>
      <c r="AG40" s="200"/>
      <c r="AH40" s="200"/>
      <c r="AI40" s="200"/>
      <c r="AJ40" s="200"/>
      <c r="AK40" s="200"/>
      <c r="AL40" s="200"/>
      <c r="AM40" s="200"/>
      <c r="AN40" s="200"/>
      <c r="AO40" s="200"/>
      <c r="AP40" s="200"/>
      <c r="AQ40" s="200"/>
      <c r="AR40" s="200"/>
      <c r="AS40" s="200"/>
      <c r="AT40" s="200"/>
      <c r="AU40" s="200"/>
      <c r="AV40" s="200"/>
      <c r="AW40" s="201"/>
      <c r="AX40" s="202"/>
      <c r="AY40" s="202"/>
      <c r="AZ40" s="202"/>
      <c r="BA40" s="202"/>
      <c r="BB40" s="202"/>
      <c r="BC40" s="203"/>
      <c r="BD40" s="204"/>
      <c r="BE40" s="202"/>
      <c r="BF40" s="202"/>
      <c r="BG40" s="202"/>
      <c r="BH40" s="202"/>
      <c r="BI40" s="202"/>
      <c r="BJ40" s="203"/>
      <c r="BK40" s="169"/>
    </row>
    <row r="41" spans="1:63" ht="15" customHeight="1" x14ac:dyDescent="0.25">
      <c r="A41" s="168"/>
      <c r="B41" s="140"/>
      <c r="C41" s="138"/>
      <c r="D41" s="138"/>
      <c r="E41" s="138"/>
      <c r="F41" s="138"/>
      <c r="G41" s="139"/>
      <c r="H41" s="140"/>
      <c r="I41" s="138"/>
      <c r="J41" s="138"/>
      <c r="K41" s="138"/>
      <c r="L41" s="138"/>
      <c r="M41" s="138"/>
      <c r="N41" s="139"/>
      <c r="O41" s="140"/>
      <c r="P41" s="138"/>
      <c r="Q41" s="138"/>
      <c r="R41" s="138"/>
      <c r="S41" s="193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194"/>
      <c r="AJ41" s="194"/>
      <c r="AK41" s="194"/>
      <c r="AL41" s="194"/>
      <c r="AM41" s="194"/>
      <c r="AN41" s="194"/>
      <c r="AO41" s="194"/>
      <c r="AP41" s="194"/>
      <c r="AQ41" s="194"/>
      <c r="AR41" s="194"/>
      <c r="AS41" s="194"/>
      <c r="AT41" s="194"/>
      <c r="AU41" s="194"/>
      <c r="AV41" s="194"/>
      <c r="AW41" s="195"/>
      <c r="AX41" s="196"/>
      <c r="AY41" s="196"/>
      <c r="AZ41" s="196"/>
      <c r="BA41" s="196"/>
      <c r="BB41" s="196"/>
      <c r="BC41" s="197"/>
      <c r="BD41" s="198"/>
      <c r="BE41" s="196"/>
      <c r="BF41" s="196"/>
      <c r="BG41" s="196"/>
      <c r="BH41" s="196"/>
      <c r="BI41" s="196"/>
      <c r="BJ41" s="197"/>
      <c r="BK41" s="169"/>
    </row>
    <row r="42" spans="1:63" ht="15" customHeight="1" x14ac:dyDescent="0.25">
      <c r="A42" s="168"/>
      <c r="B42" s="150"/>
      <c r="C42" s="151"/>
      <c r="D42" s="151"/>
      <c r="E42" s="151"/>
      <c r="F42" s="151"/>
      <c r="G42" s="152"/>
      <c r="H42" s="150"/>
      <c r="I42" s="151"/>
      <c r="J42" s="151"/>
      <c r="K42" s="151"/>
      <c r="L42" s="151"/>
      <c r="M42" s="151"/>
      <c r="N42" s="152"/>
      <c r="O42" s="150"/>
      <c r="P42" s="151"/>
      <c r="Q42" s="151"/>
      <c r="R42" s="151"/>
      <c r="S42" s="199"/>
      <c r="T42" s="200"/>
      <c r="U42" s="200"/>
      <c r="V42" s="200"/>
      <c r="W42" s="200"/>
      <c r="X42" s="200"/>
      <c r="Y42" s="200"/>
      <c r="Z42" s="200"/>
      <c r="AA42" s="200"/>
      <c r="AB42" s="200"/>
      <c r="AC42" s="200"/>
      <c r="AD42" s="200"/>
      <c r="AE42" s="200"/>
      <c r="AF42" s="200"/>
      <c r="AG42" s="200"/>
      <c r="AH42" s="200"/>
      <c r="AI42" s="200"/>
      <c r="AJ42" s="200"/>
      <c r="AK42" s="200"/>
      <c r="AL42" s="200"/>
      <c r="AM42" s="200"/>
      <c r="AN42" s="200"/>
      <c r="AO42" s="200"/>
      <c r="AP42" s="200"/>
      <c r="AQ42" s="200"/>
      <c r="AR42" s="200"/>
      <c r="AS42" s="200"/>
      <c r="AT42" s="200"/>
      <c r="AU42" s="200"/>
      <c r="AV42" s="200"/>
      <c r="AW42" s="201"/>
      <c r="AX42" s="202"/>
      <c r="AY42" s="202"/>
      <c r="AZ42" s="202"/>
      <c r="BA42" s="202"/>
      <c r="BB42" s="202"/>
      <c r="BC42" s="203"/>
      <c r="BD42" s="204"/>
      <c r="BE42" s="202"/>
      <c r="BF42" s="202"/>
      <c r="BG42" s="202"/>
      <c r="BH42" s="202"/>
      <c r="BI42" s="202"/>
      <c r="BJ42" s="203"/>
      <c r="BK42" s="169"/>
    </row>
    <row r="43" spans="1:63" ht="15" customHeight="1" x14ac:dyDescent="0.25">
      <c r="A43" s="168"/>
      <c r="B43" s="140"/>
      <c r="C43" s="138"/>
      <c r="D43" s="138"/>
      <c r="E43" s="138"/>
      <c r="F43" s="138"/>
      <c r="G43" s="139"/>
      <c r="H43" s="140"/>
      <c r="I43" s="138"/>
      <c r="J43" s="138"/>
      <c r="K43" s="138"/>
      <c r="L43" s="138"/>
      <c r="M43" s="138"/>
      <c r="N43" s="139"/>
      <c r="O43" s="140"/>
      <c r="P43" s="138"/>
      <c r="Q43" s="138"/>
      <c r="R43" s="138"/>
      <c r="S43" s="193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  <c r="AK43" s="194"/>
      <c r="AL43" s="194"/>
      <c r="AM43" s="194"/>
      <c r="AN43" s="194"/>
      <c r="AO43" s="194"/>
      <c r="AP43" s="194"/>
      <c r="AQ43" s="194"/>
      <c r="AR43" s="194"/>
      <c r="AS43" s="194"/>
      <c r="AT43" s="194"/>
      <c r="AU43" s="194"/>
      <c r="AV43" s="194"/>
      <c r="AW43" s="195"/>
      <c r="AX43" s="196"/>
      <c r="AY43" s="196"/>
      <c r="AZ43" s="196"/>
      <c r="BA43" s="196"/>
      <c r="BB43" s="196"/>
      <c r="BC43" s="197"/>
      <c r="BD43" s="198"/>
      <c r="BE43" s="196"/>
      <c r="BF43" s="196"/>
      <c r="BG43" s="196"/>
      <c r="BH43" s="196"/>
      <c r="BI43" s="196"/>
      <c r="BJ43" s="197"/>
      <c r="BK43" s="169"/>
    </row>
    <row r="44" spans="1:63" ht="15" customHeight="1" x14ac:dyDescent="0.25">
      <c r="A44" s="168"/>
      <c r="B44" s="150"/>
      <c r="C44" s="151"/>
      <c r="D44" s="151"/>
      <c r="E44" s="151"/>
      <c r="F44" s="151"/>
      <c r="G44" s="152"/>
      <c r="H44" s="150"/>
      <c r="I44" s="151"/>
      <c r="J44" s="151"/>
      <c r="K44" s="151"/>
      <c r="L44" s="151"/>
      <c r="M44" s="151"/>
      <c r="N44" s="152"/>
      <c r="O44" s="150"/>
      <c r="P44" s="151"/>
      <c r="Q44" s="151"/>
      <c r="R44" s="151"/>
      <c r="S44" s="199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200"/>
      <c r="AG44" s="200"/>
      <c r="AH44" s="200"/>
      <c r="AI44" s="200"/>
      <c r="AJ44" s="200"/>
      <c r="AK44" s="200"/>
      <c r="AL44" s="200"/>
      <c r="AM44" s="200"/>
      <c r="AN44" s="200"/>
      <c r="AO44" s="200"/>
      <c r="AP44" s="200"/>
      <c r="AQ44" s="200"/>
      <c r="AR44" s="200"/>
      <c r="AS44" s="200"/>
      <c r="AT44" s="200"/>
      <c r="AU44" s="200"/>
      <c r="AV44" s="200"/>
      <c r="AW44" s="201"/>
      <c r="AX44" s="202"/>
      <c r="AY44" s="202"/>
      <c r="AZ44" s="202"/>
      <c r="BA44" s="202"/>
      <c r="BB44" s="202"/>
      <c r="BC44" s="203"/>
      <c r="BD44" s="204"/>
      <c r="BE44" s="202"/>
      <c r="BF44" s="202"/>
      <c r="BG44" s="202"/>
      <c r="BH44" s="202"/>
      <c r="BI44" s="202"/>
      <c r="BJ44" s="203"/>
      <c r="BK44" s="169"/>
    </row>
    <row r="45" spans="1:63" ht="15" customHeight="1" x14ac:dyDescent="0.25">
      <c r="A45" s="168"/>
      <c r="B45" s="140"/>
      <c r="C45" s="138"/>
      <c r="D45" s="138"/>
      <c r="E45" s="138"/>
      <c r="F45" s="138"/>
      <c r="G45" s="139"/>
      <c r="H45" s="140"/>
      <c r="I45" s="138"/>
      <c r="J45" s="138"/>
      <c r="K45" s="138"/>
      <c r="L45" s="138"/>
      <c r="M45" s="138"/>
      <c r="N45" s="139"/>
      <c r="O45" s="140"/>
      <c r="P45" s="138"/>
      <c r="Q45" s="138"/>
      <c r="R45" s="138"/>
      <c r="S45" s="193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/>
      <c r="AS45" s="194"/>
      <c r="AT45" s="194"/>
      <c r="AU45" s="194"/>
      <c r="AV45" s="194"/>
      <c r="AW45" s="195"/>
      <c r="AX45" s="196"/>
      <c r="AY45" s="196"/>
      <c r="AZ45" s="196"/>
      <c r="BA45" s="196"/>
      <c r="BB45" s="196"/>
      <c r="BC45" s="197"/>
      <c r="BD45" s="198"/>
      <c r="BE45" s="196"/>
      <c r="BF45" s="196"/>
      <c r="BG45" s="196"/>
      <c r="BH45" s="196"/>
      <c r="BI45" s="196"/>
      <c r="BJ45" s="197"/>
      <c r="BK45" s="169"/>
    </row>
    <row r="46" spans="1:63" ht="15" customHeight="1" x14ac:dyDescent="0.25">
      <c r="A46" s="168"/>
      <c r="B46" s="150"/>
      <c r="C46" s="151"/>
      <c r="D46" s="151"/>
      <c r="E46" s="151"/>
      <c r="F46" s="151"/>
      <c r="G46" s="152"/>
      <c r="H46" s="150"/>
      <c r="I46" s="151"/>
      <c r="J46" s="151"/>
      <c r="K46" s="151"/>
      <c r="L46" s="151"/>
      <c r="M46" s="151"/>
      <c r="N46" s="152"/>
      <c r="O46" s="150"/>
      <c r="P46" s="151"/>
      <c r="Q46" s="151"/>
      <c r="R46" s="151"/>
      <c r="S46" s="199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200"/>
      <c r="AG46" s="200"/>
      <c r="AH46" s="200"/>
      <c r="AI46" s="200"/>
      <c r="AJ46" s="200"/>
      <c r="AK46" s="200"/>
      <c r="AL46" s="200"/>
      <c r="AM46" s="200"/>
      <c r="AN46" s="200"/>
      <c r="AO46" s="200"/>
      <c r="AP46" s="200"/>
      <c r="AQ46" s="200"/>
      <c r="AR46" s="200"/>
      <c r="AS46" s="200"/>
      <c r="AT46" s="200"/>
      <c r="AU46" s="200"/>
      <c r="AV46" s="200"/>
      <c r="AW46" s="201"/>
      <c r="AX46" s="202"/>
      <c r="AY46" s="202"/>
      <c r="AZ46" s="202"/>
      <c r="BA46" s="202"/>
      <c r="BB46" s="202"/>
      <c r="BC46" s="203"/>
      <c r="BD46" s="204"/>
      <c r="BE46" s="202"/>
      <c r="BF46" s="202"/>
      <c r="BG46" s="202"/>
      <c r="BH46" s="202"/>
      <c r="BI46" s="202"/>
      <c r="BJ46" s="203"/>
      <c r="BK46" s="169"/>
    </row>
    <row r="47" spans="1:63" ht="15" customHeight="1" x14ac:dyDescent="0.25">
      <c r="A47" s="168"/>
      <c r="B47" s="140"/>
      <c r="C47" s="138"/>
      <c r="D47" s="138"/>
      <c r="E47" s="138"/>
      <c r="F47" s="138"/>
      <c r="G47" s="139"/>
      <c r="H47" s="140"/>
      <c r="I47" s="138"/>
      <c r="J47" s="138"/>
      <c r="K47" s="138"/>
      <c r="L47" s="138"/>
      <c r="M47" s="138"/>
      <c r="N47" s="139"/>
      <c r="O47" s="140"/>
      <c r="P47" s="138"/>
      <c r="Q47" s="138"/>
      <c r="R47" s="138"/>
      <c r="S47" s="193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4"/>
      <c r="AU47" s="194"/>
      <c r="AV47" s="194"/>
      <c r="AW47" s="195"/>
      <c r="AX47" s="196"/>
      <c r="AY47" s="196"/>
      <c r="AZ47" s="196"/>
      <c r="BA47" s="196"/>
      <c r="BB47" s="196"/>
      <c r="BC47" s="197"/>
      <c r="BD47" s="198"/>
      <c r="BE47" s="196"/>
      <c r="BF47" s="196"/>
      <c r="BG47" s="196"/>
      <c r="BH47" s="196"/>
      <c r="BI47" s="196"/>
      <c r="BJ47" s="197"/>
      <c r="BK47" s="169"/>
    </row>
    <row r="48" spans="1:63" ht="15" customHeight="1" x14ac:dyDescent="0.25">
      <c r="A48" s="168"/>
      <c r="B48" s="150"/>
      <c r="C48" s="151"/>
      <c r="D48" s="151"/>
      <c r="E48" s="151"/>
      <c r="F48" s="151"/>
      <c r="G48" s="152"/>
      <c r="H48" s="150"/>
      <c r="I48" s="151"/>
      <c r="J48" s="151"/>
      <c r="K48" s="151"/>
      <c r="L48" s="151"/>
      <c r="M48" s="151"/>
      <c r="N48" s="152"/>
      <c r="O48" s="150"/>
      <c r="P48" s="151"/>
      <c r="Q48" s="151"/>
      <c r="R48" s="151"/>
      <c r="S48" s="199"/>
      <c r="T48" s="200"/>
      <c r="U48" s="200"/>
      <c r="V48" s="200"/>
      <c r="W48" s="200"/>
      <c r="X48" s="200"/>
      <c r="Y48" s="200"/>
      <c r="Z48" s="200"/>
      <c r="AA48" s="200"/>
      <c r="AB48" s="200"/>
      <c r="AC48" s="200"/>
      <c r="AD48" s="200"/>
      <c r="AE48" s="200"/>
      <c r="AF48" s="200"/>
      <c r="AG48" s="200"/>
      <c r="AH48" s="200"/>
      <c r="AI48" s="200"/>
      <c r="AJ48" s="200"/>
      <c r="AK48" s="200"/>
      <c r="AL48" s="200"/>
      <c r="AM48" s="200"/>
      <c r="AN48" s="200"/>
      <c r="AO48" s="200"/>
      <c r="AP48" s="200"/>
      <c r="AQ48" s="200"/>
      <c r="AR48" s="200"/>
      <c r="AS48" s="200"/>
      <c r="AT48" s="200"/>
      <c r="AU48" s="200"/>
      <c r="AV48" s="200"/>
      <c r="AW48" s="201"/>
      <c r="AX48" s="202"/>
      <c r="AY48" s="202"/>
      <c r="AZ48" s="202"/>
      <c r="BA48" s="202"/>
      <c r="BB48" s="202"/>
      <c r="BC48" s="203"/>
      <c r="BD48" s="204"/>
      <c r="BE48" s="202"/>
      <c r="BF48" s="202"/>
      <c r="BG48" s="202"/>
      <c r="BH48" s="202"/>
      <c r="BI48" s="202"/>
      <c r="BJ48" s="203"/>
      <c r="BK48" s="169"/>
    </row>
    <row r="49" spans="1:63" ht="15" customHeight="1" x14ac:dyDescent="0.25">
      <c r="A49" s="168"/>
      <c r="B49" s="140"/>
      <c r="C49" s="138"/>
      <c r="D49" s="138"/>
      <c r="E49" s="138"/>
      <c r="F49" s="138"/>
      <c r="G49" s="139"/>
      <c r="H49" s="140"/>
      <c r="I49" s="138"/>
      <c r="J49" s="138"/>
      <c r="K49" s="138"/>
      <c r="L49" s="138"/>
      <c r="M49" s="138"/>
      <c r="N49" s="139"/>
      <c r="O49" s="140"/>
      <c r="P49" s="138"/>
      <c r="Q49" s="138"/>
      <c r="R49" s="138"/>
      <c r="S49" s="193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/>
      <c r="AW49" s="195"/>
      <c r="AX49" s="196"/>
      <c r="AY49" s="196"/>
      <c r="AZ49" s="196"/>
      <c r="BA49" s="196"/>
      <c r="BB49" s="196"/>
      <c r="BC49" s="197"/>
      <c r="BD49" s="198"/>
      <c r="BE49" s="196"/>
      <c r="BF49" s="196"/>
      <c r="BG49" s="196"/>
      <c r="BH49" s="196"/>
      <c r="BI49" s="196"/>
      <c r="BJ49" s="197"/>
      <c r="BK49" s="169"/>
    </row>
    <row r="50" spans="1:63" ht="15" customHeight="1" x14ac:dyDescent="0.25">
      <c r="A50" s="168"/>
      <c r="B50" s="150"/>
      <c r="C50" s="151"/>
      <c r="D50" s="151"/>
      <c r="E50" s="151"/>
      <c r="F50" s="151"/>
      <c r="G50" s="152"/>
      <c r="H50" s="150"/>
      <c r="I50" s="151"/>
      <c r="J50" s="151"/>
      <c r="K50" s="151"/>
      <c r="L50" s="151"/>
      <c r="M50" s="151"/>
      <c r="N50" s="152"/>
      <c r="O50" s="150"/>
      <c r="P50" s="151"/>
      <c r="Q50" s="151"/>
      <c r="R50" s="151"/>
      <c r="S50" s="199"/>
      <c r="T50" s="200"/>
      <c r="U50" s="200"/>
      <c r="V50" s="200"/>
      <c r="W50" s="200"/>
      <c r="X50" s="200"/>
      <c r="Y50" s="200"/>
      <c r="Z50" s="200"/>
      <c r="AA50" s="200"/>
      <c r="AB50" s="200"/>
      <c r="AC50" s="200"/>
      <c r="AD50" s="200"/>
      <c r="AE50" s="200"/>
      <c r="AF50" s="200"/>
      <c r="AG50" s="200"/>
      <c r="AH50" s="200"/>
      <c r="AI50" s="200"/>
      <c r="AJ50" s="200"/>
      <c r="AK50" s="200"/>
      <c r="AL50" s="200"/>
      <c r="AM50" s="200"/>
      <c r="AN50" s="200"/>
      <c r="AO50" s="200"/>
      <c r="AP50" s="200"/>
      <c r="AQ50" s="200"/>
      <c r="AR50" s="200"/>
      <c r="AS50" s="200"/>
      <c r="AT50" s="200"/>
      <c r="AU50" s="200"/>
      <c r="AV50" s="200"/>
      <c r="AW50" s="201"/>
      <c r="AX50" s="202"/>
      <c r="AY50" s="202"/>
      <c r="AZ50" s="202"/>
      <c r="BA50" s="202"/>
      <c r="BB50" s="202"/>
      <c r="BC50" s="203"/>
      <c r="BD50" s="204"/>
      <c r="BE50" s="202"/>
      <c r="BF50" s="202"/>
      <c r="BG50" s="202"/>
      <c r="BH50" s="202"/>
      <c r="BI50" s="202"/>
      <c r="BJ50" s="203"/>
      <c r="BK50" s="169"/>
    </row>
    <row r="51" spans="1:63" ht="15" customHeight="1" x14ac:dyDescent="0.25">
      <c r="A51" s="168"/>
      <c r="B51" s="140"/>
      <c r="C51" s="138"/>
      <c r="D51" s="138"/>
      <c r="E51" s="138"/>
      <c r="F51" s="138"/>
      <c r="G51" s="139"/>
      <c r="H51" s="140"/>
      <c r="I51" s="138"/>
      <c r="J51" s="138"/>
      <c r="K51" s="138"/>
      <c r="L51" s="138"/>
      <c r="M51" s="138"/>
      <c r="N51" s="139"/>
      <c r="O51" s="140"/>
      <c r="P51" s="138"/>
      <c r="Q51" s="138"/>
      <c r="R51" s="138"/>
      <c r="S51" s="193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  <c r="AV51" s="194"/>
      <c r="AW51" s="195"/>
      <c r="AX51" s="196"/>
      <c r="AY51" s="196"/>
      <c r="AZ51" s="196"/>
      <c r="BA51" s="196"/>
      <c r="BB51" s="196"/>
      <c r="BC51" s="197"/>
      <c r="BD51" s="198"/>
      <c r="BE51" s="196"/>
      <c r="BF51" s="196"/>
      <c r="BG51" s="196"/>
      <c r="BH51" s="196"/>
      <c r="BI51" s="196"/>
      <c r="BJ51" s="197"/>
      <c r="BK51" s="169"/>
    </row>
    <row r="52" spans="1:63" ht="15" customHeight="1" x14ac:dyDescent="0.25">
      <c r="A52" s="168"/>
      <c r="B52" s="150"/>
      <c r="C52" s="151"/>
      <c r="D52" s="151"/>
      <c r="E52" s="151"/>
      <c r="F52" s="151"/>
      <c r="G52" s="152"/>
      <c r="H52" s="150"/>
      <c r="I52" s="151"/>
      <c r="J52" s="151"/>
      <c r="K52" s="151"/>
      <c r="L52" s="151"/>
      <c r="M52" s="151"/>
      <c r="N52" s="152"/>
      <c r="O52" s="150"/>
      <c r="P52" s="151"/>
      <c r="Q52" s="151"/>
      <c r="R52" s="151"/>
      <c r="S52" s="199"/>
      <c r="T52" s="200"/>
      <c r="U52" s="200"/>
      <c r="V52" s="200"/>
      <c r="W52" s="200"/>
      <c r="X52" s="200"/>
      <c r="Y52" s="200"/>
      <c r="Z52" s="200"/>
      <c r="AA52" s="200"/>
      <c r="AB52" s="200"/>
      <c r="AC52" s="200"/>
      <c r="AD52" s="200"/>
      <c r="AE52" s="200"/>
      <c r="AF52" s="200"/>
      <c r="AG52" s="200"/>
      <c r="AH52" s="200"/>
      <c r="AI52" s="200"/>
      <c r="AJ52" s="200"/>
      <c r="AK52" s="200"/>
      <c r="AL52" s="200"/>
      <c r="AM52" s="200"/>
      <c r="AN52" s="200"/>
      <c r="AO52" s="200"/>
      <c r="AP52" s="200"/>
      <c r="AQ52" s="200"/>
      <c r="AR52" s="200"/>
      <c r="AS52" s="200"/>
      <c r="AT52" s="200"/>
      <c r="AU52" s="200"/>
      <c r="AV52" s="200"/>
      <c r="AW52" s="201"/>
      <c r="AX52" s="202"/>
      <c r="AY52" s="202"/>
      <c r="AZ52" s="202"/>
      <c r="BA52" s="202"/>
      <c r="BB52" s="202"/>
      <c r="BC52" s="203"/>
      <c r="BD52" s="204"/>
      <c r="BE52" s="202"/>
      <c r="BF52" s="202"/>
      <c r="BG52" s="202"/>
      <c r="BH52" s="202"/>
      <c r="BI52" s="202"/>
      <c r="BJ52" s="203"/>
      <c r="BK52" s="169"/>
    </row>
    <row r="53" spans="1:63" ht="15" customHeight="1" x14ac:dyDescent="0.25">
      <c r="A53" s="168"/>
      <c r="B53" s="140"/>
      <c r="C53" s="138"/>
      <c r="D53" s="138"/>
      <c r="E53" s="138"/>
      <c r="F53" s="138"/>
      <c r="G53" s="139"/>
      <c r="H53" s="140"/>
      <c r="I53" s="138"/>
      <c r="J53" s="138"/>
      <c r="K53" s="138"/>
      <c r="L53" s="138"/>
      <c r="M53" s="138"/>
      <c r="N53" s="139"/>
      <c r="O53" s="140"/>
      <c r="P53" s="138"/>
      <c r="Q53" s="138"/>
      <c r="R53" s="138"/>
      <c r="S53" s="193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5"/>
      <c r="AX53" s="196"/>
      <c r="AY53" s="196"/>
      <c r="AZ53" s="196"/>
      <c r="BA53" s="196"/>
      <c r="BB53" s="196"/>
      <c r="BC53" s="197"/>
      <c r="BD53" s="198"/>
      <c r="BE53" s="196"/>
      <c r="BF53" s="196"/>
      <c r="BG53" s="196"/>
      <c r="BH53" s="196"/>
      <c r="BI53" s="196"/>
      <c r="BJ53" s="197"/>
      <c r="BK53" s="169"/>
    </row>
    <row r="54" spans="1:63" ht="15" customHeight="1" x14ac:dyDescent="0.25">
      <c r="A54" s="168"/>
      <c r="B54" s="150"/>
      <c r="C54" s="151"/>
      <c r="D54" s="151"/>
      <c r="E54" s="151"/>
      <c r="F54" s="151"/>
      <c r="G54" s="152"/>
      <c r="H54" s="150"/>
      <c r="I54" s="151"/>
      <c r="J54" s="151"/>
      <c r="K54" s="151"/>
      <c r="L54" s="151"/>
      <c r="M54" s="151"/>
      <c r="N54" s="152"/>
      <c r="O54" s="150"/>
      <c r="P54" s="151"/>
      <c r="Q54" s="151"/>
      <c r="R54" s="151"/>
      <c r="S54" s="199"/>
      <c r="T54" s="200"/>
      <c r="U54" s="200"/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200"/>
      <c r="AG54" s="200"/>
      <c r="AH54" s="200"/>
      <c r="AI54" s="200"/>
      <c r="AJ54" s="200"/>
      <c r="AK54" s="200"/>
      <c r="AL54" s="200"/>
      <c r="AM54" s="200"/>
      <c r="AN54" s="200"/>
      <c r="AO54" s="200"/>
      <c r="AP54" s="200"/>
      <c r="AQ54" s="200"/>
      <c r="AR54" s="200"/>
      <c r="AS54" s="200"/>
      <c r="AT54" s="200"/>
      <c r="AU54" s="200"/>
      <c r="AV54" s="200"/>
      <c r="AW54" s="201"/>
      <c r="AX54" s="202"/>
      <c r="AY54" s="202"/>
      <c r="AZ54" s="202"/>
      <c r="BA54" s="202"/>
      <c r="BB54" s="202"/>
      <c r="BC54" s="203"/>
      <c r="BD54" s="204"/>
      <c r="BE54" s="202"/>
      <c r="BF54" s="202"/>
      <c r="BG54" s="202"/>
      <c r="BH54" s="202"/>
      <c r="BI54" s="202"/>
      <c r="BJ54" s="203"/>
      <c r="BK54" s="169"/>
    </row>
    <row r="55" spans="1:63" ht="15" customHeight="1" x14ac:dyDescent="0.25">
      <c r="A55" s="165"/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6"/>
      <c r="BG55" s="166"/>
      <c r="BH55" s="166"/>
      <c r="BI55" s="166"/>
      <c r="BJ55" s="166"/>
      <c r="BK55" s="167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80" t="s">
        <v>13</v>
      </c>
      <c r="B1" s="81"/>
      <c r="C1" s="81"/>
      <c r="D1" s="81"/>
      <c r="E1" s="81"/>
      <c r="F1" s="81"/>
      <c r="G1" s="81"/>
      <c r="H1" s="81"/>
      <c r="I1" s="81"/>
      <c r="J1" s="82"/>
      <c r="K1" s="80" t="s">
        <v>14</v>
      </c>
      <c r="L1" s="81"/>
      <c r="M1" s="81"/>
      <c r="N1" s="81"/>
      <c r="O1" s="81"/>
      <c r="P1" s="81"/>
      <c r="Q1" s="81"/>
      <c r="R1" s="81"/>
      <c r="S1" s="81"/>
      <c r="T1" s="81"/>
      <c r="U1" s="81"/>
      <c r="V1" s="82"/>
      <c r="W1" s="83" t="str">
        <f>IF(表紙!W1="","",表紙!W1)</f>
        <v>詳細設計書</v>
      </c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5"/>
      <c r="AP1" s="63" t="s">
        <v>15</v>
      </c>
      <c r="AQ1" s="64"/>
      <c r="AR1" s="64"/>
      <c r="AS1" s="65"/>
      <c r="AT1" s="63" t="s">
        <v>16</v>
      </c>
      <c r="AU1" s="64"/>
      <c r="AV1" s="64"/>
      <c r="AW1" s="64"/>
      <c r="AX1" s="65"/>
      <c r="AY1" s="63" t="s">
        <v>17</v>
      </c>
      <c r="AZ1" s="64"/>
      <c r="BA1" s="64"/>
      <c r="BB1" s="65"/>
      <c r="BC1" s="63" t="s">
        <v>18</v>
      </c>
      <c r="BD1" s="64"/>
      <c r="BE1" s="64"/>
      <c r="BF1" s="64"/>
      <c r="BG1" s="65"/>
      <c r="BH1" s="63" t="s">
        <v>19</v>
      </c>
      <c r="BI1" s="64"/>
      <c r="BJ1" s="64"/>
      <c r="BK1" s="65"/>
    </row>
    <row r="2" spans="1:63" ht="15" customHeight="1" x14ac:dyDescent="0.25">
      <c r="A2" s="74" t="str">
        <f>IF(表紙!A2="","",表紙!A2)</f>
        <v>POSサーバー</v>
      </c>
      <c r="B2" s="75"/>
      <c r="C2" s="75"/>
      <c r="D2" s="75"/>
      <c r="E2" s="75"/>
      <c r="F2" s="75"/>
      <c r="G2" s="75"/>
      <c r="H2" s="75"/>
      <c r="I2" s="75"/>
      <c r="J2" s="76"/>
      <c r="K2" s="74" t="str">
        <f>IF(表紙!K2="","",表紙!K2)</f>
        <v>POSサーバ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86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8"/>
      <c r="AP2" s="6" t="str">
        <f>IF(表紙!AP2="","",表紙!AP2)</f>
        <v>DuNT</v>
      </c>
      <c r="AQ2" s="5"/>
      <c r="AR2" s="5"/>
      <c r="AS2" s="4"/>
      <c r="AT2" s="67">
        <f>IF(表紙!AT2="","",表紙!AT2)</f>
        <v>45461</v>
      </c>
      <c r="AU2" s="68"/>
      <c r="AV2" s="68"/>
      <c r="AW2" s="68"/>
      <c r="AX2" s="69"/>
      <c r="AY2" s="6" t="str">
        <f>IF(表紙!AY2="","",表紙!AY2)</f>
        <v>DuNT</v>
      </c>
      <c r="AZ2" s="5"/>
      <c r="BA2" s="5"/>
      <c r="BB2" s="4"/>
      <c r="BC2" s="67">
        <f>IF(表紙!BC2="","",表紙!BC2)</f>
        <v>45509</v>
      </c>
      <c r="BD2" s="68"/>
      <c r="BE2" s="68"/>
      <c r="BF2" s="68"/>
      <c r="BG2" s="69"/>
      <c r="BH2" s="6">
        <f>IF(表紙!BH2="","",表紙!BH2)</f>
        <v>0.2</v>
      </c>
      <c r="BI2" s="5"/>
      <c r="BJ2" s="5"/>
      <c r="BK2" s="4"/>
    </row>
    <row r="3" spans="1:63" ht="15" customHeight="1" x14ac:dyDescent="0.25">
      <c r="A3" s="77"/>
      <c r="B3" s="78"/>
      <c r="C3" s="78"/>
      <c r="D3" s="78"/>
      <c r="E3" s="78"/>
      <c r="F3" s="78"/>
      <c r="G3" s="78"/>
      <c r="H3" s="78"/>
      <c r="I3" s="78"/>
      <c r="J3" s="79"/>
      <c r="K3" s="77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  <c r="W3" s="89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1"/>
      <c r="AP3" s="3"/>
      <c r="AQ3" s="2"/>
      <c r="AR3" s="2"/>
      <c r="AS3" s="1"/>
      <c r="AT3" s="70"/>
      <c r="AU3" s="71"/>
      <c r="AV3" s="71"/>
      <c r="AW3" s="71"/>
      <c r="AX3" s="72"/>
      <c r="AY3" s="3"/>
      <c r="AZ3" s="2"/>
      <c r="BA3" s="2"/>
      <c r="BB3" s="1"/>
      <c r="BC3" s="70"/>
      <c r="BD3" s="71"/>
      <c r="BE3" s="71"/>
      <c r="BF3" s="71"/>
      <c r="BG3" s="72"/>
      <c r="BH3" s="3"/>
      <c r="BI3" s="2"/>
      <c r="BJ3" s="2"/>
      <c r="BK3" s="1"/>
    </row>
    <row r="4" spans="1:63" ht="24.95" customHeight="1" x14ac:dyDescent="0.25">
      <c r="A4" s="80" t="s">
        <v>20</v>
      </c>
      <c r="B4" s="81"/>
      <c r="C4" s="81"/>
      <c r="D4" s="81"/>
      <c r="E4" s="81"/>
      <c r="F4" s="81"/>
      <c r="G4" s="82"/>
      <c r="H4" s="92" t="str">
        <f>IF(表紙!H4="","",表紙!H4)</f>
        <v>AP1503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80" t="s">
        <v>21</v>
      </c>
      <c r="V4" s="81"/>
      <c r="W4" s="81"/>
      <c r="X4" s="81"/>
      <c r="Y4" s="82"/>
      <c r="Z4" s="92" t="str">
        <f>IF(表紙!Z4="","",表紙!Z4)</f>
        <v>API設計書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5" t="str">
        <f ca="1">MID(CELL("filename",A1),FIND("]",CELL("filename",A1))+1,255)</f>
        <v>処理フロー凡例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customFormat="1" ht="15" customHeight="1" x14ac:dyDescent="0.25">
      <c r="A7" s="50"/>
      <c r="B7" s="51" t="s">
        <v>29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3"/>
      <c r="AF7" s="54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3"/>
      <c r="BJ7" s="52"/>
      <c r="BK7" s="16"/>
    </row>
    <row r="8" spans="1:63" s="12" customFormat="1" ht="15" customHeight="1" x14ac:dyDescent="0.25">
      <c r="BK8" s="16"/>
    </row>
    <row r="9" spans="1:63" s="12" customFormat="1" ht="15" customHeight="1" x14ac:dyDescent="0.25">
      <c r="BK9" s="16"/>
    </row>
    <row r="10" spans="1:63" s="12" customFormat="1" ht="15" customHeight="1" x14ac:dyDescent="0.25">
      <c r="BK10" s="16"/>
    </row>
    <row r="11" spans="1:63" s="12" customFormat="1" ht="15" customHeight="1" x14ac:dyDescent="0.25">
      <c r="BK11" s="16"/>
    </row>
    <row r="12" spans="1:63" s="12" customFormat="1" ht="15" customHeight="1" x14ac:dyDescent="0.25">
      <c r="BK12" s="16"/>
    </row>
    <row r="13" spans="1:63" s="12" customFormat="1" ht="15" customHeight="1" x14ac:dyDescent="0.25">
      <c r="BK13" s="16"/>
    </row>
    <row r="14" spans="1:63" s="12" customFormat="1" ht="15" customHeight="1" x14ac:dyDescent="0.25">
      <c r="BK14" s="16"/>
    </row>
    <row r="15" spans="1:63" s="12" customFormat="1" ht="15" customHeight="1" x14ac:dyDescent="0.25">
      <c r="BK15" s="16"/>
    </row>
    <row r="16" spans="1:63" s="12" customFormat="1" ht="15" customHeight="1" x14ac:dyDescent="0.25">
      <c r="BK16" s="16"/>
    </row>
    <row r="17" spans="63:63" s="12" customFormat="1" ht="15" customHeight="1" x14ac:dyDescent="0.25">
      <c r="BK17" s="16"/>
    </row>
    <row r="18" spans="63:63" s="12" customFormat="1" ht="15" customHeight="1" x14ac:dyDescent="0.25">
      <c r="BK18" s="16"/>
    </row>
    <row r="19" spans="63:63" s="12" customFormat="1" ht="15" customHeight="1" x14ac:dyDescent="0.25">
      <c r="BK19" s="16"/>
    </row>
    <row r="20" spans="63:63" s="12" customFormat="1" ht="15" customHeight="1" x14ac:dyDescent="0.25">
      <c r="BK20" s="16"/>
    </row>
    <row r="21" spans="63:63" s="12" customFormat="1" ht="15" customHeight="1" x14ac:dyDescent="0.25">
      <c r="BK21" s="16"/>
    </row>
    <row r="22" spans="63:63" s="12" customFormat="1" ht="15" customHeight="1" x14ac:dyDescent="0.25">
      <c r="BK22" s="16"/>
    </row>
    <row r="23" spans="63:63" s="12" customFormat="1" ht="15" customHeight="1" x14ac:dyDescent="0.25">
      <c r="BK23" s="16"/>
    </row>
    <row r="24" spans="63:63" s="12" customFormat="1" ht="15" customHeight="1" x14ac:dyDescent="0.25">
      <c r="BK24" s="16"/>
    </row>
    <row r="25" spans="63:63" s="12" customFormat="1" ht="15" customHeight="1" x14ac:dyDescent="0.25">
      <c r="BK25" s="16"/>
    </row>
    <row r="26" spans="63:63" s="12" customFormat="1" ht="15" customHeight="1" x14ac:dyDescent="0.25">
      <c r="BK26" s="16"/>
    </row>
    <row r="27" spans="63:63" s="12" customFormat="1" ht="15" customHeight="1" x14ac:dyDescent="0.25">
      <c r="BK27" s="16"/>
    </row>
    <row r="28" spans="63:63" s="12" customFormat="1" ht="15" customHeight="1" x14ac:dyDescent="0.25">
      <c r="BK28" s="16"/>
    </row>
    <row r="29" spans="63:63" s="12" customFormat="1" ht="15" customHeight="1" x14ac:dyDescent="0.25">
      <c r="BK29" s="16"/>
    </row>
    <row r="30" spans="63:63" s="12" customFormat="1" ht="15" customHeight="1" x14ac:dyDescent="0.25">
      <c r="BK30" s="16"/>
    </row>
    <row r="31" spans="63:63" s="12" customFormat="1" ht="15" customHeight="1" x14ac:dyDescent="0.25">
      <c r="BK31" s="16"/>
    </row>
    <row r="32" spans="63:63" s="12" customFormat="1" ht="15" customHeight="1" x14ac:dyDescent="0.25">
      <c r="BK32" s="16"/>
    </row>
    <row r="33" spans="63:63" s="12" customFormat="1" ht="15" customHeight="1" x14ac:dyDescent="0.25">
      <c r="BK33" s="16"/>
    </row>
    <row r="34" spans="63:63" s="12" customFormat="1" ht="15" customHeight="1" x14ac:dyDescent="0.25">
      <c r="BK34" s="16"/>
    </row>
    <row r="35" spans="63:63" s="12" customFormat="1" ht="15" customHeight="1" x14ac:dyDescent="0.25">
      <c r="BK35" s="16"/>
    </row>
    <row r="36" spans="63:63" s="12" customFormat="1" ht="15" customHeight="1" x14ac:dyDescent="0.25">
      <c r="BK36" s="16"/>
    </row>
    <row r="37" spans="63:63" s="12" customFormat="1" ht="15" customHeight="1" x14ac:dyDescent="0.25">
      <c r="BK37" s="16"/>
    </row>
    <row r="38" spans="63:63" s="12" customFormat="1" ht="15" customHeight="1" x14ac:dyDescent="0.25">
      <c r="BK38" s="16"/>
    </row>
    <row r="39" spans="63:63" s="12" customFormat="1" ht="15" customHeight="1" x14ac:dyDescent="0.25">
      <c r="BK39" s="16"/>
    </row>
    <row r="40" spans="63:63" s="12" customFormat="1" ht="15" customHeight="1" x14ac:dyDescent="0.25">
      <c r="BK40" s="16"/>
    </row>
    <row r="41" spans="63:63" s="12" customFormat="1" ht="15" customHeight="1" x14ac:dyDescent="0.25">
      <c r="BK41" s="16"/>
    </row>
    <row r="42" spans="63:63" s="12" customFormat="1" ht="15" customHeight="1" x14ac:dyDescent="0.25">
      <c r="BK42" s="16"/>
    </row>
    <row r="43" spans="63:63" s="12" customFormat="1" ht="15" customHeight="1" x14ac:dyDescent="0.25">
      <c r="BK43" s="16"/>
    </row>
    <row r="44" spans="63:63" s="12" customFormat="1" ht="15" customHeight="1" x14ac:dyDescent="0.25">
      <c r="BK44" s="16"/>
    </row>
    <row r="45" spans="63:63" s="12" customFormat="1" ht="15" customHeight="1" x14ac:dyDescent="0.25">
      <c r="BK45" s="16"/>
    </row>
    <row r="46" spans="63:63" s="12" customFormat="1" ht="15" customHeight="1" x14ac:dyDescent="0.25">
      <c r="BK46" s="16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9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18" t="s">
        <v>62</v>
      </c>
      <c r="B1" s="219"/>
      <c r="C1" s="219"/>
      <c r="D1" s="219"/>
      <c r="E1" s="219"/>
      <c r="F1" s="219"/>
      <c r="G1" s="219"/>
      <c r="H1" s="219"/>
      <c r="I1" s="219"/>
      <c r="J1" s="220"/>
      <c r="K1" s="218" t="s">
        <v>63</v>
      </c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20"/>
      <c r="W1" s="221" t="str">
        <f>IF(表紙!W1="","",表紙!W1)</f>
        <v>詳細設計書</v>
      </c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3"/>
      <c r="AP1" s="131" t="s">
        <v>65</v>
      </c>
      <c r="AQ1" s="132"/>
      <c r="AR1" s="132"/>
      <c r="AS1" s="133"/>
      <c r="AT1" s="131" t="s">
        <v>66</v>
      </c>
      <c r="AU1" s="132"/>
      <c r="AV1" s="132"/>
      <c r="AW1" s="132"/>
      <c r="AX1" s="133"/>
      <c r="AY1" s="131" t="s">
        <v>67</v>
      </c>
      <c r="AZ1" s="132"/>
      <c r="BA1" s="132"/>
      <c r="BB1" s="133"/>
      <c r="BC1" s="131" t="s">
        <v>68</v>
      </c>
      <c r="BD1" s="132"/>
      <c r="BE1" s="132"/>
      <c r="BF1" s="132"/>
      <c r="BG1" s="133"/>
      <c r="BH1" s="131" t="s">
        <v>69</v>
      </c>
      <c r="BI1" s="132"/>
      <c r="BJ1" s="132"/>
      <c r="BK1" s="133"/>
    </row>
    <row r="2" spans="1:63" ht="15" customHeight="1" x14ac:dyDescent="0.25">
      <c r="A2" s="74" t="str">
        <f>IF(表紙!A2="","",表紙!A2)</f>
        <v>POSサーバー</v>
      </c>
      <c r="B2" s="75"/>
      <c r="C2" s="75"/>
      <c r="D2" s="75"/>
      <c r="E2" s="75"/>
      <c r="F2" s="75"/>
      <c r="G2" s="75"/>
      <c r="H2" s="75"/>
      <c r="I2" s="75"/>
      <c r="J2" s="76"/>
      <c r="K2" s="74" t="str">
        <f>IF(表紙!K2="","",表紙!K2)</f>
        <v>POSサーバ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224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6"/>
      <c r="AP2" s="140" t="str">
        <f>IF(表紙!AP2="","",表紙!AP2)</f>
        <v>DuNT</v>
      </c>
      <c r="AQ2" s="138"/>
      <c r="AR2" s="138"/>
      <c r="AS2" s="139"/>
      <c r="AT2" s="144">
        <f>IF(表紙!AT2="","",表紙!AT2)</f>
        <v>45461</v>
      </c>
      <c r="AU2" s="145"/>
      <c r="AV2" s="145"/>
      <c r="AW2" s="145"/>
      <c r="AX2" s="146"/>
      <c r="AY2" s="140" t="str">
        <f>IF(表紙!AY2="","",表紙!AY2)</f>
        <v>DuNT</v>
      </c>
      <c r="AZ2" s="138"/>
      <c r="BA2" s="138"/>
      <c r="BB2" s="139"/>
      <c r="BC2" s="144">
        <f>IF(表紙!BC2="","",表紙!BC2)</f>
        <v>45509</v>
      </c>
      <c r="BD2" s="145"/>
      <c r="BE2" s="145"/>
      <c r="BF2" s="145"/>
      <c r="BG2" s="146"/>
      <c r="BH2" s="140">
        <f>IF(表紙!BH2="","",表紙!BH2)</f>
        <v>0.2</v>
      </c>
      <c r="BI2" s="138"/>
      <c r="BJ2" s="138"/>
      <c r="BK2" s="139"/>
    </row>
    <row r="3" spans="1:63" ht="15" customHeight="1" x14ac:dyDescent="0.25">
      <c r="A3" s="77"/>
      <c r="B3" s="78"/>
      <c r="C3" s="78"/>
      <c r="D3" s="78"/>
      <c r="E3" s="78"/>
      <c r="F3" s="78"/>
      <c r="G3" s="78"/>
      <c r="H3" s="78"/>
      <c r="I3" s="78"/>
      <c r="J3" s="79"/>
      <c r="K3" s="77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  <c r="W3" s="227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9"/>
      <c r="AP3" s="150"/>
      <c r="AQ3" s="151"/>
      <c r="AR3" s="151"/>
      <c r="AS3" s="152"/>
      <c r="AT3" s="156"/>
      <c r="AU3" s="157"/>
      <c r="AV3" s="157"/>
      <c r="AW3" s="157"/>
      <c r="AX3" s="158"/>
      <c r="AY3" s="150"/>
      <c r="AZ3" s="151"/>
      <c r="BA3" s="151"/>
      <c r="BB3" s="152"/>
      <c r="BC3" s="156"/>
      <c r="BD3" s="157"/>
      <c r="BE3" s="157"/>
      <c r="BF3" s="157"/>
      <c r="BG3" s="158"/>
      <c r="BH3" s="150"/>
      <c r="BI3" s="151"/>
      <c r="BJ3" s="151"/>
      <c r="BK3" s="152"/>
    </row>
    <row r="4" spans="1:63" ht="24.95" customHeight="1" x14ac:dyDescent="0.25">
      <c r="A4" s="218" t="s">
        <v>71</v>
      </c>
      <c r="B4" s="219"/>
      <c r="C4" s="219"/>
      <c r="D4" s="219"/>
      <c r="E4" s="219"/>
      <c r="F4" s="219"/>
      <c r="G4" s="220"/>
      <c r="H4" s="92" t="str">
        <f>IF(表紙!H4="","",表紙!H4)</f>
        <v>AP1503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218" t="s">
        <v>72</v>
      </c>
      <c r="V4" s="219"/>
      <c r="W4" s="219"/>
      <c r="X4" s="219"/>
      <c r="Y4" s="220"/>
      <c r="Z4" s="92" t="str">
        <f>IF(表紙!Z4="","",表紙!Z4)</f>
        <v>API設計書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5" t="str">
        <f ca="1">MID(CELL("filename",A1),FIND("]",CELL("filename",A1))+1,255)</f>
        <v>AP1503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6" customFormat="1" ht="15" customHeight="1" x14ac:dyDescent="0.25">
      <c r="A7" s="21"/>
      <c r="B7" s="22" t="s">
        <v>82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0"/>
      <c r="AQ7" s="230"/>
      <c r="AR7" s="230"/>
      <c r="AS7" s="230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4"/>
      <c r="BI7" s="24"/>
      <c r="BJ7" s="24"/>
      <c r="BK7" s="25"/>
    </row>
    <row r="8" spans="1:63" s="26" customFormat="1" ht="15" customHeight="1" x14ac:dyDescent="0.25">
      <c r="A8" s="21"/>
      <c r="B8" s="27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31"/>
      <c r="AQ8" s="231"/>
      <c r="AR8" s="231"/>
      <c r="AS8" s="231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9"/>
      <c r="BI8" s="29"/>
      <c r="BJ8" s="29"/>
      <c r="BK8" s="25"/>
    </row>
    <row r="9" spans="1:63" s="26" customFormat="1" ht="15" customHeight="1" x14ac:dyDescent="0.25">
      <c r="A9" s="21"/>
      <c r="B9" s="27"/>
      <c r="C9" s="28" t="s">
        <v>83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31"/>
      <c r="AQ9" s="231"/>
      <c r="AR9" s="231"/>
      <c r="AS9" s="231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9"/>
      <c r="BI9" s="29"/>
      <c r="BJ9" s="29"/>
      <c r="BK9" s="25"/>
    </row>
    <row r="10" spans="1:63" s="26" customFormat="1" ht="15" customHeight="1" x14ac:dyDescent="0.25">
      <c r="A10" s="21"/>
      <c r="B10" s="27"/>
      <c r="C10" s="28" t="s">
        <v>84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31"/>
      <c r="AQ10" s="231"/>
      <c r="AR10" s="231"/>
      <c r="AS10" s="231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9"/>
      <c r="BI10" s="29"/>
      <c r="BJ10" s="29"/>
      <c r="BK10" s="25"/>
    </row>
    <row r="11" spans="1:63" s="26" customFormat="1" ht="15" customHeight="1" x14ac:dyDescent="0.25">
      <c r="A11" s="21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31"/>
      <c r="AQ11" s="231"/>
      <c r="AR11" s="231"/>
      <c r="AS11" s="231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9"/>
      <c r="BI11" s="29"/>
      <c r="BJ11" s="29"/>
      <c r="BK11" s="25"/>
    </row>
    <row r="12" spans="1:63" s="26" customFormat="1" ht="15" customHeight="1" x14ac:dyDescent="0.25">
      <c r="A12" s="21"/>
      <c r="B12" s="30" t="s">
        <v>85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4"/>
      <c r="BI12" s="24"/>
      <c r="BJ12" s="24"/>
      <c r="BK12" s="25"/>
    </row>
    <row r="13" spans="1:63" s="26" customFormat="1" ht="15" customHeight="1" x14ac:dyDescent="0.25">
      <c r="A13" s="21"/>
      <c r="B13" s="28"/>
      <c r="C13" s="31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9"/>
      <c r="BI13" s="29"/>
      <c r="BJ13" s="29"/>
      <c r="BK13" s="25"/>
    </row>
    <row r="14" spans="1:63" s="26" customFormat="1" ht="15" customHeight="1" x14ac:dyDescent="0.25">
      <c r="A14" s="21"/>
      <c r="B14" s="28"/>
      <c r="C14" s="31" t="s">
        <v>86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9"/>
      <c r="BI14" s="29"/>
      <c r="BJ14" s="29"/>
      <c r="BK14" s="25"/>
    </row>
    <row r="15" spans="1:63" s="26" customFormat="1" ht="15" customHeight="1" x14ac:dyDescent="0.25">
      <c r="A15" s="21"/>
      <c r="B15" s="28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9"/>
      <c r="BI15" s="29"/>
      <c r="BJ15" s="29"/>
      <c r="BK15" s="25"/>
    </row>
    <row r="16" spans="1:63" s="26" customFormat="1" ht="15" customHeight="1" x14ac:dyDescent="0.25">
      <c r="A16" s="21"/>
      <c r="B16" s="28"/>
      <c r="C16" s="101" t="s">
        <v>12</v>
      </c>
      <c r="D16" s="103"/>
      <c r="E16" s="101" t="s">
        <v>22</v>
      </c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3"/>
      <c r="AG16" s="101" t="s">
        <v>23</v>
      </c>
      <c r="AH16" s="102"/>
      <c r="AI16" s="102"/>
      <c r="AJ16" s="102"/>
      <c r="AK16" s="102"/>
      <c r="AL16" s="102"/>
      <c r="AM16" s="102"/>
      <c r="AN16" s="102"/>
      <c r="AO16" s="102"/>
      <c r="AP16" s="103"/>
      <c r="AQ16" s="101" t="s">
        <v>24</v>
      </c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3"/>
      <c r="BK16" s="25"/>
    </row>
    <row r="17" spans="1:63" s="26" customFormat="1" ht="15" customHeight="1" x14ac:dyDescent="0.25">
      <c r="A17" s="21"/>
      <c r="B17" s="28"/>
      <c r="C17" s="110">
        <v>1</v>
      </c>
      <c r="D17" s="111"/>
      <c r="E17" s="290" t="s">
        <v>87</v>
      </c>
      <c r="F17" s="291"/>
      <c r="G17" s="291"/>
      <c r="H17" s="291"/>
      <c r="I17" s="291"/>
      <c r="J17" s="291"/>
      <c r="K17" s="291"/>
      <c r="L17" s="291"/>
      <c r="M17" s="291"/>
      <c r="N17" s="291"/>
      <c r="O17" s="291"/>
      <c r="P17" s="291"/>
      <c r="Q17" s="291"/>
      <c r="R17" s="291"/>
      <c r="S17" s="291"/>
      <c r="T17" s="291"/>
      <c r="U17" s="291"/>
      <c r="V17" s="291"/>
      <c r="W17" s="291"/>
      <c r="X17" s="291"/>
      <c r="Y17" s="291"/>
      <c r="Z17" s="291"/>
      <c r="AA17" s="291"/>
      <c r="AB17" s="291"/>
      <c r="AC17" s="291"/>
      <c r="AD17" s="291"/>
      <c r="AE17" s="291"/>
      <c r="AF17" s="292"/>
      <c r="AG17" s="110" t="s">
        <v>30</v>
      </c>
      <c r="AH17" s="115"/>
      <c r="AI17" s="115"/>
      <c r="AJ17" s="115"/>
      <c r="AK17" s="115"/>
      <c r="AL17" s="115"/>
      <c r="AM17" s="115"/>
      <c r="AN17" s="115"/>
      <c r="AO17" s="115"/>
      <c r="AP17" s="111"/>
      <c r="AQ17" s="116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7"/>
      <c r="BG17" s="117"/>
      <c r="BH17" s="117"/>
      <c r="BI17" s="117"/>
      <c r="BJ17" s="118"/>
      <c r="BK17" s="25"/>
    </row>
    <row r="18" spans="1:63" s="26" customFormat="1" ht="15" customHeight="1" x14ac:dyDescent="0.25">
      <c r="A18" s="21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9"/>
      <c r="BI18" s="29"/>
      <c r="BJ18" s="29"/>
      <c r="BK18" s="25"/>
    </row>
    <row r="19" spans="1:63" s="26" customFormat="1" ht="15" customHeight="1" x14ac:dyDescent="0.25">
      <c r="A19" s="21"/>
      <c r="B19" s="28"/>
      <c r="C19" s="31" t="s">
        <v>88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9"/>
      <c r="BI19" s="29"/>
      <c r="BJ19" s="29"/>
      <c r="BK19" s="25"/>
    </row>
    <row r="20" spans="1:63" s="26" customFormat="1" ht="15" customHeight="1" x14ac:dyDescent="0.25">
      <c r="A20" s="21"/>
      <c r="B20" s="28"/>
      <c r="C20" s="31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9"/>
      <c r="BI20" s="29"/>
      <c r="BJ20" s="29"/>
      <c r="BK20" s="25"/>
    </row>
    <row r="21" spans="1:63" s="26" customFormat="1" ht="15" customHeight="1" x14ac:dyDescent="0.25">
      <c r="A21" s="21"/>
      <c r="B21" s="28"/>
      <c r="C21" s="104" t="s">
        <v>89</v>
      </c>
      <c r="D21" s="106"/>
      <c r="E21" s="104" t="s">
        <v>90</v>
      </c>
      <c r="F21" s="105"/>
      <c r="G21" s="105"/>
      <c r="H21" s="105"/>
      <c r="I21" s="105"/>
      <c r="J21" s="105"/>
      <c r="K21" s="106"/>
      <c r="L21" s="101" t="s">
        <v>25</v>
      </c>
      <c r="M21" s="102"/>
      <c r="N21" s="103"/>
      <c r="O21" s="101" t="s">
        <v>26</v>
      </c>
      <c r="P21" s="102"/>
      <c r="Q21" s="102"/>
      <c r="R21" s="103"/>
      <c r="S21" s="101" t="s">
        <v>27</v>
      </c>
      <c r="T21" s="102"/>
      <c r="U21" s="102"/>
      <c r="V21" s="102"/>
      <c r="W21" s="102"/>
      <c r="X21" s="102"/>
      <c r="Y21" s="103"/>
      <c r="Z21" s="104" t="s">
        <v>91</v>
      </c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6"/>
      <c r="AQ21" s="101" t="s">
        <v>24</v>
      </c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3"/>
      <c r="BK21" s="25"/>
    </row>
    <row r="22" spans="1:63" s="26" customFormat="1" ht="15" customHeight="1" x14ac:dyDescent="0.25">
      <c r="A22" s="21"/>
      <c r="B22" s="28"/>
      <c r="C22" s="110">
        <v>1</v>
      </c>
      <c r="D22" s="111"/>
      <c r="E22" s="232" t="s">
        <v>3</v>
      </c>
      <c r="F22" s="233"/>
      <c r="G22" s="233"/>
      <c r="H22" s="233"/>
      <c r="I22" s="233"/>
      <c r="J22" s="233"/>
      <c r="K22" s="234"/>
      <c r="L22" s="112" t="s">
        <v>4</v>
      </c>
      <c r="M22" s="113"/>
      <c r="N22" s="114"/>
      <c r="O22" s="110" t="s">
        <v>5</v>
      </c>
      <c r="P22" s="115"/>
      <c r="Q22" s="115"/>
      <c r="R22" s="111"/>
      <c r="S22" s="110" t="s">
        <v>6</v>
      </c>
      <c r="T22" s="115"/>
      <c r="U22" s="115"/>
      <c r="V22" s="115"/>
      <c r="W22" s="115"/>
      <c r="X22" s="115"/>
      <c r="Y22" s="111"/>
      <c r="Z22" s="232" t="s">
        <v>7</v>
      </c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4"/>
      <c r="AQ22" s="235" t="s">
        <v>92</v>
      </c>
      <c r="AR22" s="236"/>
      <c r="AS22" s="236"/>
      <c r="AT22" s="236"/>
      <c r="AU22" s="236"/>
      <c r="AV22" s="236"/>
      <c r="AW22" s="236"/>
      <c r="AX22" s="236"/>
      <c r="AY22" s="236"/>
      <c r="AZ22" s="236"/>
      <c r="BA22" s="236"/>
      <c r="BB22" s="236"/>
      <c r="BC22" s="236"/>
      <c r="BD22" s="236"/>
      <c r="BE22" s="236"/>
      <c r="BF22" s="236"/>
      <c r="BG22" s="236"/>
      <c r="BH22" s="236"/>
      <c r="BI22" s="236"/>
      <c r="BJ22" s="237"/>
      <c r="BK22" s="25"/>
    </row>
    <row r="23" spans="1:63" s="26" customFormat="1" ht="15" customHeight="1" x14ac:dyDescent="0.25">
      <c r="A23" s="21"/>
      <c r="B23" s="28"/>
      <c r="C23" s="110">
        <v>2</v>
      </c>
      <c r="D23" s="111"/>
      <c r="E23" s="232" t="s">
        <v>8</v>
      </c>
      <c r="F23" s="233"/>
      <c r="G23" s="233"/>
      <c r="H23" s="233"/>
      <c r="I23" s="233"/>
      <c r="J23" s="233"/>
      <c r="K23" s="234"/>
      <c r="L23" s="112" t="s">
        <v>6</v>
      </c>
      <c r="M23" s="113"/>
      <c r="N23" s="114"/>
      <c r="O23" s="110" t="s">
        <v>5</v>
      </c>
      <c r="P23" s="115"/>
      <c r="Q23" s="115"/>
      <c r="R23" s="111"/>
      <c r="S23" s="110" t="s">
        <v>6</v>
      </c>
      <c r="T23" s="115"/>
      <c r="U23" s="115"/>
      <c r="V23" s="115"/>
      <c r="W23" s="115"/>
      <c r="X23" s="115"/>
      <c r="Y23" s="111"/>
      <c r="Z23" s="232" t="s">
        <v>8</v>
      </c>
      <c r="AA23" s="233"/>
      <c r="AB23" s="233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233"/>
      <c r="AN23" s="233"/>
      <c r="AO23" s="233"/>
      <c r="AP23" s="234"/>
      <c r="AQ23" s="238"/>
      <c r="AR23" s="236"/>
      <c r="AS23" s="236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6"/>
      <c r="BH23" s="236"/>
      <c r="BI23" s="236"/>
      <c r="BJ23" s="237"/>
      <c r="BK23" s="25"/>
    </row>
    <row r="24" spans="1:63" s="26" customFormat="1" ht="15" customHeight="1" x14ac:dyDescent="0.25">
      <c r="A24" s="21"/>
      <c r="B24" s="28"/>
      <c r="C24" s="125">
        <v>3</v>
      </c>
      <c r="D24" s="126"/>
      <c r="E24" s="239" t="s">
        <v>9</v>
      </c>
      <c r="F24" s="240"/>
      <c r="G24" s="240"/>
      <c r="H24" s="240"/>
      <c r="I24" s="240"/>
      <c r="J24" s="240"/>
      <c r="K24" s="241"/>
      <c r="L24" s="242" t="s">
        <v>4</v>
      </c>
      <c r="M24" s="243"/>
      <c r="N24" s="244"/>
      <c r="O24" s="245" t="s">
        <v>5</v>
      </c>
      <c r="P24" s="246"/>
      <c r="Q24" s="246"/>
      <c r="R24" s="247"/>
      <c r="S24" s="245" t="s">
        <v>31</v>
      </c>
      <c r="T24" s="246"/>
      <c r="U24" s="246"/>
      <c r="V24" s="246"/>
      <c r="W24" s="246"/>
      <c r="X24" s="246"/>
      <c r="Y24" s="247"/>
      <c r="Z24" s="248" t="s">
        <v>31</v>
      </c>
      <c r="AA24" s="249"/>
      <c r="AB24" s="249"/>
      <c r="AC24" s="249"/>
      <c r="AD24" s="249"/>
      <c r="AE24" s="249"/>
      <c r="AF24" s="249"/>
      <c r="AG24" s="249"/>
      <c r="AH24" s="249"/>
      <c r="AI24" s="249"/>
      <c r="AJ24" s="249"/>
      <c r="AK24" s="249"/>
      <c r="AL24" s="249"/>
      <c r="AM24" s="249"/>
      <c r="AN24" s="249"/>
      <c r="AO24" s="249"/>
      <c r="AP24" s="250"/>
      <c r="AQ24" s="251"/>
      <c r="AR24" s="251"/>
      <c r="AS24" s="251"/>
      <c r="AT24" s="251"/>
      <c r="AU24" s="251"/>
      <c r="AV24" s="251"/>
      <c r="AW24" s="251"/>
      <c r="AX24" s="251"/>
      <c r="AY24" s="251"/>
      <c r="AZ24" s="251"/>
      <c r="BA24" s="251"/>
      <c r="BB24" s="251"/>
      <c r="BC24" s="251"/>
      <c r="BD24" s="251"/>
      <c r="BE24" s="251"/>
      <c r="BF24" s="251"/>
      <c r="BG24" s="251"/>
      <c r="BH24" s="251"/>
      <c r="BI24" s="251"/>
      <c r="BJ24" s="252"/>
      <c r="BK24" s="25"/>
    </row>
    <row r="25" spans="1:63" s="26" customFormat="1" ht="15" customHeight="1" x14ac:dyDescent="0.25">
      <c r="A25" s="21"/>
      <c r="B25" s="28"/>
      <c r="C25" s="127"/>
      <c r="D25" s="128"/>
      <c r="E25" s="253"/>
      <c r="F25" s="254"/>
      <c r="G25" s="254"/>
      <c r="H25" s="254"/>
      <c r="I25" s="254"/>
      <c r="J25" s="254"/>
      <c r="K25" s="255"/>
      <c r="L25" s="256"/>
      <c r="M25" s="257"/>
      <c r="N25" s="258"/>
      <c r="O25" s="259"/>
      <c r="P25" s="260"/>
      <c r="Q25" s="260"/>
      <c r="R25" s="261"/>
      <c r="S25" s="259"/>
      <c r="T25" s="260"/>
      <c r="U25" s="260"/>
      <c r="V25" s="260"/>
      <c r="W25" s="260"/>
      <c r="X25" s="260"/>
      <c r="Y25" s="261"/>
      <c r="Z25" s="262"/>
      <c r="AA25" s="263"/>
      <c r="AB25" s="263"/>
      <c r="AC25" s="263"/>
      <c r="AD25" s="263"/>
      <c r="AE25" s="263"/>
      <c r="AF25" s="263"/>
      <c r="AG25" s="263"/>
      <c r="AH25" s="263"/>
      <c r="AI25" s="263"/>
      <c r="AJ25" s="263"/>
      <c r="AK25" s="263"/>
      <c r="AL25" s="263"/>
      <c r="AM25" s="263"/>
      <c r="AN25" s="263"/>
      <c r="AO25" s="263"/>
      <c r="AP25" s="264"/>
      <c r="AQ25" s="265"/>
      <c r="AR25" s="265"/>
      <c r="AS25" s="265"/>
      <c r="AT25" s="265"/>
      <c r="AU25" s="265"/>
      <c r="AV25" s="265"/>
      <c r="AW25" s="265"/>
      <c r="AX25" s="265"/>
      <c r="AY25" s="265"/>
      <c r="AZ25" s="265"/>
      <c r="BA25" s="265"/>
      <c r="BB25" s="265"/>
      <c r="BC25" s="265"/>
      <c r="BD25" s="265"/>
      <c r="BE25" s="265"/>
      <c r="BF25" s="265"/>
      <c r="BG25" s="265"/>
      <c r="BH25" s="265"/>
      <c r="BI25" s="265"/>
      <c r="BJ25" s="266"/>
      <c r="BK25" s="25"/>
    </row>
    <row r="26" spans="1:63" s="26" customFormat="1" ht="15" customHeight="1" x14ac:dyDescent="0.25">
      <c r="A26" s="21"/>
      <c r="B26" s="28"/>
      <c r="C26" s="129"/>
      <c r="D26" s="130"/>
      <c r="E26" s="267"/>
      <c r="F26" s="268"/>
      <c r="G26" s="268"/>
      <c r="H26" s="268"/>
      <c r="I26" s="268"/>
      <c r="J26" s="268"/>
      <c r="K26" s="269"/>
      <c r="L26" s="270"/>
      <c r="M26" s="271"/>
      <c r="N26" s="272"/>
      <c r="O26" s="273"/>
      <c r="P26" s="274"/>
      <c r="Q26" s="274"/>
      <c r="R26" s="275"/>
      <c r="S26" s="273"/>
      <c r="T26" s="274"/>
      <c r="U26" s="274"/>
      <c r="V26" s="274"/>
      <c r="W26" s="274"/>
      <c r="X26" s="274"/>
      <c r="Y26" s="275"/>
      <c r="Z26" s="276"/>
      <c r="AA26" s="277"/>
      <c r="AB26" s="277"/>
      <c r="AC26" s="277"/>
      <c r="AD26" s="277"/>
      <c r="AE26" s="277"/>
      <c r="AF26" s="277"/>
      <c r="AG26" s="277"/>
      <c r="AH26" s="277"/>
      <c r="AI26" s="277"/>
      <c r="AJ26" s="277"/>
      <c r="AK26" s="277"/>
      <c r="AL26" s="277"/>
      <c r="AM26" s="277"/>
      <c r="AN26" s="277"/>
      <c r="AO26" s="277"/>
      <c r="AP26" s="278"/>
      <c r="AQ26" s="279"/>
      <c r="AR26" s="279"/>
      <c r="AS26" s="279"/>
      <c r="AT26" s="279"/>
      <c r="AU26" s="279"/>
      <c r="AV26" s="279"/>
      <c r="AW26" s="279"/>
      <c r="AX26" s="279"/>
      <c r="AY26" s="279"/>
      <c r="AZ26" s="279"/>
      <c r="BA26" s="279"/>
      <c r="BB26" s="279"/>
      <c r="BC26" s="279"/>
      <c r="BD26" s="279"/>
      <c r="BE26" s="279"/>
      <c r="BF26" s="279"/>
      <c r="BG26" s="279"/>
      <c r="BH26" s="279"/>
      <c r="BI26" s="279"/>
      <c r="BJ26" s="280"/>
      <c r="BK26" s="25"/>
    </row>
    <row r="27" spans="1:63" s="26" customFormat="1" ht="15" customHeight="1" x14ac:dyDescent="0.25">
      <c r="A27" s="21"/>
      <c r="B27" s="28"/>
      <c r="C27" s="110">
        <v>6</v>
      </c>
      <c r="D27" s="111"/>
      <c r="E27" s="232" t="s">
        <v>10</v>
      </c>
      <c r="F27" s="233"/>
      <c r="G27" s="233"/>
      <c r="H27" s="233"/>
      <c r="I27" s="233"/>
      <c r="J27" s="233"/>
      <c r="K27" s="234"/>
      <c r="L27" s="112" t="s">
        <v>6</v>
      </c>
      <c r="M27" s="113"/>
      <c r="N27" s="114"/>
      <c r="O27" s="110" t="s">
        <v>5</v>
      </c>
      <c r="P27" s="115"/>
      <c r="Q27" s="115"/>
      <c r="R27" s="111"/>
      <c r="S27" s="110" t="s">
        <v>6</v>
      </c>
      <c r="T27" s="115"/>
      <c r="U27" s="115"/>
      <c r="V27" s="115"/>
      <c r="W27" s="115"/>
      <c r="X27" s="115"/>
      <c r="Y27" s="111"/>
      <c r="Z27" s="232" t="s">
        <v>10</v>
      </c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4"/>
      <c r="AQ27" s="238"/>
      <c r="AR27" s="236"/>
      <c r="AS27" s="236"/>
      <c r="AT27" s="236"/>
      <c r="AU27" s="236"/>
      <c r="AV27" s="236"/>
      <c r="AW27" s="236"/>
      <c r="AX27" s="236"/>
      <c r="AY27" s="236"/>
      <c r="AZ27" s="236"/>
      <c r="BA27" s="236"/>
      <c r="BB27" s="236"/>
      <c r="BC27" s="236"/>
      <c r="BD27" s="236"/>
      <c r="BE27" s="236"/>
      <c r="BF27" s="236"/>
      <c r="BG27" s="236"/>
      <c r="BH27" s="236"/>
      <c r="BI27" s="236"/>
      <c r="BJ27" s="237"/>
      <c r="BK27" s="25"/>
    </row>
    <row r="28" spans="1:63" s="26" customFormat="1" ht="15" customHeight="1" x14ac:dyDescent="0.25">
      <c r="A28" s="21"/>
      <c r="B28" s="28"/>
      <c r="C28" s="110">
        <v>7</v>
      </c>
      <c r="D28" s="111"/>
      <c r="E28" s="232" t="s">
        <v>11</v>
      </c>
      <c r="F28" s="233"/>
      <c r="G28" s="233"/>
      <c r="H28" s="233"/>
      <c r="I28" s="233"/>
      <c r="J28" s="233"/>
      <c r="K28" s="234"/>
      <c r="L28" s="112" t="s">
        <v>6</v>
      </c>
      <c r="M28" s="113"/>
      <c r="N28" s="114"/>
      <c r="O28" s="110" t="s">
        <v>5</v>
      </c>
      <c r="P28" s="115"/>
      <c r="Q28" s="115"/>
      <c r="R28" s="111"/>
      <c r="S28" s="110" t="s">
        <v>6</v>
      </c>
      <c r="T28" s="115"/>
      <c r="U28" s="115"/>
      <c r="V28" s="115"/>
      <c r="W28" s="115"/>
      <c r="X28" s="115"/>
      <c r="Y28" s="111"/>
      <c r="Z28" s="232" t="s">
        <v>11</v>
      </c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4"/>
      <c r="AQ28" s="238"/>
      <c r="AR28" s="236"/>
      <c r="AS28" s="236"/>
      <c r="AT28" s="236"/>
      <c r="AU28" s="236"/>
      <c r="AV28" s="236"/>
      <c r="AW28" s="236"/>
      <c r="AX28" s="236"/>
      <c r="AY28" s="236"/>
      <c r="AZ28" s="236"/>
      <c r="BA28" s="236"/>
      <c r="BB28" s="236"/>
      <c r="BC28" s="236"/>
      <c r="BD28" s="236"/>
      <c r="BE28" s="236"/>
      <c r="BF28" s="236"/>
      <c r="BG28" s="236"/>
      <c r="BH28" s="236"/>
      <c r="BI28" s="236"/>
      <c r="BJ28" s="237"/>
      <c r="BK28" s="25"/>
    </row>
    <row r="29" spans="1:63" s="26" customFormat="1" ht="15" customHeight="1" x14ac:dyDescent="0.25">
      <c r="A29" s="21"/>
      <c r="B29" s="28"/>
      <c r="C29" s="28"/>
      <c r="D29" s="28"/>
      <c r="E29" s="231"/>
      <c r="F29" s="231"/>
      <c r="G29" s="231"/>
      <c r="H29" s="231"/>
      <c r="I29" s="28"/>
      <c r="J29" s="28"/>
      <c r="K29" s="28"/>
      <c r="L29" s="281"/>
      <c r="M29" s="231"/>
      <c r="N29" s="231"/>
      <c r="O29" s="231"/>
      <c r="P29" s="231"/>
      <c r="Q29" s="28"/>
      <c r="R29" s="28"/>
      <c r="S29" s="28"/>
      <c r="T29" s="28"/>
      <c r="U29" s="28"/>
      <c r="V29" s="28"/>
      <c r="W29" s="28"/>
      <c r="X29" s="28"/>
      <c r="Y29" s="28"/>
      <c r="Z29" s="35"/>
      <c r="AA29" s="28"/>
      <c r="AB29" s="28"/>
      <c r="AC29" s="28"/>
      <c r="AD29" s="28"/>
      <c r="AE29" s="28"/>
      <c r="AF29" s="28"/>
      <c r="AG29" s="231"/>
      <c r="AH29" s="231"/>
      <c r="AI29" s="231"/>
      <c r="AJ29" s="231"/>
      <c r="AK29" s="231"/>
      <c r="AL29" s="231"/>
      <c r="AM29" s="231"/>
      <c r="AN29" s="231"/>
      <c r="AO29" s="231"/>
      <c r="AP29" s="28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29"/>
      <c r="BI29" s="29"/>
      <c r="BJ29" s="29"/>
      <c r="BK29" s="25"/>
    </row>
    <row r="30" spans="1:63" s="26" customFormat="1" ht="15" customHeight="1" x14ac:dyDescent="0.25">
      <c r="A30" s="21"/>
      <c r="B30" s="28"/>
      <c r="C30" s="28"/>
      <c r="D30" s="28"/>
      <c r="E30" s="231"/>
      <c r="F30" s="231"/>
      <c r="G30" s="231"/>
      <c r="H30" s="231"/>
      <c r="I30" s="28"/>
      <c r="J30" s="28"/>
      <c r="K30" s="28"/>
      <c r="L30" s="37"/>
      <c r="M30" s="231"/>
      <c r="N30" s="231"/>
      <c r="O30" s="231"/>
      <c r="P30" s="231"/>
      <c r="Q30" s="28"/>
      <c r="R30" s="28"/>
      <c r="S30" s="28"/>
      <c r="T30" s="28"/>
      <c r="U30" s="28"/>
      <c r="V30" s="28"/>
      <c r="W30" s="28"/>
      <c r="X30" s="28"/>
      <c r="Y30" s="28"/>
      <c r="Z30" s="35"/>
      <c r="AA30" s="28"/>
      <c r="AB30" s="28"/>
      <c r="AC30" s="28"/>
      <c r="AD30" s="28"/>
      <c r="AE30" s="28"/>
      <c r="AF30" s="28"/>
      <c r="AG30" s="231"/>
      <c r="AH30" s="231"/>
      <c r="AI30" s="231"/>
      <c r="AJ30" s="231"/>
      <c r="AK30" s="231"/>
      <c r="AL30" s="231"/>
      <c r="AM30" s="231"/>
      <c r="AN30" s="231"/>
      <c r="AO30" s="231"/>
      <c r="AP30" s="28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29"/>
      <c r="BI30" s="29"/>
      <c r="BJ30" s="29"/>
      <c r="BK30" s="25"/>
    </row>
    <row r="31" spans="1:63" s="26" customFormat="1" ht="15" customHeight="1" x14ac:dyDescent="0.25">
      <c r="A31" s="21"/>
      <c r="B31" s="28"/>
      <c r="C31" s="31" t="s">
        <v>93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9"/>
      <c r="BI31" s="29"/>
      <c r="BJ31" s="29"/>
      <c r="BK31" s="25"/>
    </row>
    <row r="32" spans="1:63" s="26" customFormat="1" ht="15" customHeight="1" x14ac:dyDescent="0.25">
      <c r="A32" s="21"/>
      <c r="B32" s="28"/>
      <c r="C32" s="27"/>
      <c r="D32" s="28" t="s">
        <v>32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9"/>
      <c r="BI32" s="29"/>
      <c r="BJ32" s="29"/>
      <c r="BK32" s="25"/>
    </row>
    <row r="34" spans="1:63" s="26" customFormat="1" ht="15" customHeight="1" x14ac:dyDescent="0.25">
      <c r="A34" s="21"/>
      <c r="B34" s="28"/>
      <c r="C34" s="31" t="s">
        <v>94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9"/>
      <c r="BI34" s="29"/>
      <c r="BJ34" s="29"/>
      <c r="BK34" s="25"/>
    </row>
    <row r="36" spans="1:63" s="26" customFormat="1" ht="15" customHeight="1" x14ac:dyDescent="0.25">
      <c r="A36" s="21"/>
      <c r="B36" s="28"/>
      <c r="C36" s="99" t="s">
        <v>12</v>
      </c>
      <c r="D36" s="100"/>
      <c r="E36" s="282" t="s">
        <v>28</v>
      </c>
      <c r="F36" s="283"/>
      <c r="G36" s="283"/>
      <c r="H36" s="283"/>
      <c r="I36" s="283"/>
      <c r="J36" s="283"/>
      <c r="K36" s="284"/>
      <c r="L36" s="101" t="s">
        <v>25</v>
      </c>
      <c r="M36" s="102"/>
      <c r="N36" s="103"/>
      <c r="O36" s="101" t="s">
        <v>26</v>
      </c>
      <c r="P36" s="102"/>
      <c r="Q36" s="102"/>
      <c r="R36" s="103"/>
      <c r="S36" s="101" t="s">
        <v>27</v>
      </c>
      <c r="T36" s="102"/>
      <c r="U36" s="102"/>
      <c r="V36" s="102"/>
      <c r="W36" s="102"/>
      <c r="X36" s="102"/>
      <c r="Y36" s="103"/>
      <c r="Z36" s="104" t="s">
        <v>91</v>
      </c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6"/>
      <c r="AQ36" s="107" t="s">
        <v>24</v>
      </c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9"/>
      <c r="BK36" s="25"/>
    </row>
    <row r="37" spans="1:63" s="26" customFormat="1" ht="15" customHeight="1" x14ac:dyDescent="0.25">
      <c r="A37" s="21"/>
      <c r="B37" s="28"/>
      <c r="C37" s="110">
        <v>1</v>
      </c>
      <c r="D37" s="111"/>
      <c r="E37" s="232" t="s">
        <v>48</v>
      </c>
      <c r="F37" s="233"/>
      <c r="G37" s="233"/>
      <c r="H37" s="233"/>
      <c r="I37" s="233"/>
      <c r="J37" s="233"/>
      <c r="K37" s="234"/>
      <c r="L37" s="112" t="s">
        <v>4</v>
      </c>
      <c r="M37" s="113"/>
      <c r="N37" s="114"/>
      <c r="O37" s="110" t="s">
        <v>58</v>
      </c>
      <c r="P37" s="115"/>
      <c r="Q37" s="115"/>
      <c r="R37" s="111"/>
      <c r="S37" s="110" t="s">
        <v>6</v>
      </c>
      <c r="T37" s="115"/>
      <c r="U37" s="115"/>
      <c r="V37" s="115"/>
      <c r="W37" s="115"/>
      <c r="X37" s="115"/>
      <c r="Y37" s="111"/>
      <c r="Z37" s="232" t="s">
        <v>95</v>
      </c>
      <c r="AA37" s="233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4"/>
      <c r="AQ37" s="116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7"/>
      <c r="BC37" s="117"/>
      <c r="BD37" s="117"/>
      <c r="BE37" s="117"/>
      <c r="BF37" s="117"/>
      <c r="BG37" s="117"/>
      <c r="BH37" s="117"/>
      <c r="BI37" s="117"/>
      <c r="BJ37" s="118"/>
      <c r="BK37" s="25"/>
    </row>
    <row r="38" spans="1:63" s="26" customFormat="1" ht="15" customHeight="1" x14ac:dyDescent="0.25">
      <c r="A38" s="21"/>
      <c r="B38" s="27"/>
      <c r="C38" s="31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9"/>
      <c r="BI38" s="29"/>
      <c r="BJ38" s="29"/>
      <c r="BK38" s="25"/>
    </row>
    <row r="39" spans="1:63" s="26" customFormat="1" ht="15" customHeight="1" x14ac:dyDescent="0.25">
      <c r="A39" s="21"/>
      <c r="B39" s="22" t="s">
        <v>96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4"/>
      <c r="BI39" s="24"/>
      <c r="BJ39" s="24"/>
      <c r="BK39" s="25"/>
    </row>
    <row r="40" spans="1:63" s="26" customFormat="1" ht="15" customHeight="1" x14ac:dyDescent="0.25">
      <c r="A40" s="21"/>
      <c r="B40" s="27"/>
      <c r="C40" s="31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9"/>
      <c r="BI40" s="29"/>
      <c r="BJ40" s="29"/>
      <c r="BK40" s="25"/>
    </row>
    <row r="41" spans="1:63" s="26" customFormat="1" ht="15" customHeight="1" x14ac:dyDescent="0.25">
      <c r="A41" s="21"/>
      <c r="B41" s="27"/>
      <c r="C41" s="31" t="s">
        <v>97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9"/>
      <c r="BI41" s="29"/>
      <c r="BJ41" s="29"/>
      <c r="BK41" s="25"/>
    </row>
    <row r="42" spans="1:63" s="26" customFormat="1" ht="15" customHeight="1" x14ac:dyDescent="0.25">
      <c r="A42" s="21"/>
      <c r="B42" s="27"/>
      <c r="C42" s="31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9"/>
      <c r="BI42" s="29"/>
      <c r="BJ42" s="29"/>
      <c r="BK42" s="25"/>
    </row>
    <row r="43" spans="1:63" s="26" customFormat="1" ht="15" customHeight="1" x14ac:dyDescent="0.25">
      <c r="A43" s="21"/>
      <c r="B43" s="28"/>
      <c r="C43" s="101" t="s">
        <v>12</v>
      </c>
      <c r="D43" s="103"/>
      <c r="E43" s="104" t="s">
        <v>98</v>
      </c>
      <c r="F43" s="102"/>
      <c r="G43" s="102"/>
      <c r="H43" s="102"/>
      <c r="I43" s="102"/>
      <c r="J43" s="102"/>
      <c r="K43" s="103"/>
      <c r="L43" s="101" t="s">
        <v>26</v>
      </c>
      <c r="M43" s="102"/>
      <c r="N43" s="102"/>
      <c r="O43" s="102"/>
      <c r="P43" s="102"/>
      <c r="Q43" s="102"/>
      <c r="R43" s="103"/>
      <c r="S43" s="119" t="s">
        <v>91</v>
      </c>
      <c r="T43" s="120"/>
      <c r="U43" s="120"/>
      <c r="V43" s="120"/>
      <c r="W43" s="120"/>
      <c r="X43" s="120"/>
      <c r="Y43" s="120"/>
      <c r="Z43" s="120"/>
      <c r="AA43" s="120"/>
      <c r="AB43" s="121"/>
      <c r="AC43" s="101" t="s">
        <v>24</v>
      </c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3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9"/>
      <c r="BI43" s="29"/>
      <c r="BJ43" s="29"/>
      <c r="BK43" s="25"/>
    </row>
    <row r="44" spans="1:63" s="26" customFormat="1" ht="15" customHeight="1" x14ac:dyDescent="0.25">
      <c r="A44" s="21"/>
      <c r="B44" s="28"/>
      <c r="C44" s="56"/>
      <c r="D44" s="57"/>
      <c r="E44" s="55"/>
      <c r="F44" s="58"/>
      <c r="G44" s="58"/>
      <c r="H44" s="58"/>
      <c r="I44" s="58"/>
      <c r="J44" s="58"/>
      <c r="K44" s="57"/>
      <c r="L44" s="56" t="s">
        <v>61</v>
      </c>
      <c r="M44" s="58"/>
      <c r="N44" s="58"/>
      <c r="O44" s="58"/>
      <c r="P44" s="58"/>
      <c r="Q44" s="58"/>
      <c r="R44" s="57"/>
      <c r="S44" s="59"/>
      <c r="T44" s="60"/>
      <c r="U44" s="60"/>
      <c r="V44" s="60"/>
      <c r="W44" s="60"/>
      <c r="X44" s="60"/>
      <c r="Y44" s="60"/>
      <c r="Z44" s="60"/>
      <c r="AA44" s="60"/>
      <c r="AB44" s="61"/>
      <c r="AC44" s="56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7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9"/>
      <c r="BI44" s="29"/>
      <c r="BJ44" s="29"/>
      <c r="BK44" s="25"/>
    </row>
    <row r="45" spans="1:63" s="26" customFormat="1" ht="15" customHeight="1" x14ac:dyDescent="0.25">
      <c r="A45" s="21"/>
      <c r="B45" s="28"/>
      <c r="C45" s="110">
        <v>1</v>
      </c>
      <c r="D45" s="111"/>
      <c r="E45" s="110" t="s">
        <v>48</v>
      </c>
      <c r="F45" s="115"/>
      <c r="G45" s="115"/>
      <c r="H45" s="115"/>
      <c r="I45" s="115"/>
      <c r="J45" s="115"/>
      <c r="K45" s="111"/>
      <c r="L45" s="110" t="s">
        <v>5</v>
      </c>
      <c r="M45" s="115"/>
      <c r="N45" s="115"/>
      <c r="O45" s="115"/>
      <c r="P45" s="115"/>
      <c r="Q45" s="115"/>
      <c r="R45" s="111"/>
      <c r="S45" s="96" t="s">
        <v>55</v>
      </c>
      <c r="T45" s="97"/>
      <c r="U45" s="97"/>
      <c r="V45" s="97"/>
      <c r="W45" s="97"/>
      <c r="X45" s="97"/>
      <c r="Y45" s="97"/>
      <c r="Z45" s="97"/>
      <c r="AA45" s="97"/>
      <c r="AB45" s="98"/>
      <c r="AC45" s="116" t="s">
        <v>114</v>
      </c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1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9"/>
      <c r="BI45" s="29"/>
      <c r="BJ45" s="29"/>
      <c r="BK45" s="25"/>
    </row>
    <row r="46" spans="1:63" s="26" customFormat="1" ht="15" customHeight="1" x14ac:dyDescent="0.25">
      <c r="A46" s="21"/>
      <c r="B46" s="28"/>
      <c r="C46" s="110">
        <v>2</v>
      </c>
      <c r="D46" s="111"/>
      <c r="E46" s="110" t="s">
        <v>53</v>
      </c>
      <c r="F46" s="115"/>
      <c r="G46" s="115"/>
      <c r="H46" s="115"/>
      <c r="I46" s="115"/>
      <c r="J46" s="115"/>
      <c r="K46" s="111"/>
      <c r="L46" s="110" t="s">
        <v>34</v>
      </c>
      <c r="M46" s="115"/>
      <c r="N46" s="115"/>
      <c r="O46" s="115"/>
      <c r="P46" s="115"/>
      <c r="Q46" s="115"/>
      <c r="R46" s="111"/>
      <c r="S46" s="96" t="s">
        <v>36</v>
      </c>
      <c r="T46" s="97"/>
      <c r="U46" s="97"/>
      <c r="V46" s="97"/>
      <c r="W46" s="97"/>
      <c r="X46" s="97"/>
      <c r="Y46" s="97"/>
      <c r="Z46" s="97"/>
      <c r="AA46" s="97"/>
      <c r="AB46" s="98"/>
      <c r="AC46" s="110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1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9"/>
      <c r="BI46" s="29"/>
      <c r="BJ46" s="29"/>
      <c r="BK46" s="25"/>
    </row>
    <row r="47" spans="1:63" s="26" customFormat="1" ht="15" customHeight="1" x14ac:dyDescent="0.25">
      <c r="A47" s="21"/>
      <c r="B47" s="28"/>
      <c r="C47" s="110">
        <f>C46+1</f>
        <v>3</v>
      </c>
      <c r="D47" s="111"/>
      <c r="E47" s="122" t="s">
        <v>37</v>
      </c>
      <c r="F47" s="123"/>
      <c r="G47" s="123"/>
      <c r="H47" s="123"/>
      <c r="I47" s="123"/>
      <c r="J47" s="123"/>
      <c r="K47" s="124"/>
      <c r="L47" s="110" t="s">
        <v>5</v>
      </c>
      <c r="M47" s="115"/>
      <c r="N47" s="115"/>
      <c r="O47" s="115"/>
      <c r="P47" s="115"/>
      <c r="Q47" s="115"/>
      <c r="R47" s="111"/>
      <c r="S47" s="96" t="s">
        <v>42</v>
      </c>
      <c r="T47" s="97"/>
      <c r="U47" s="97"/>
      <c r="V47" s="97"/>
      <c r="W47" s="97"/>
      <c r="X47" s="97"/>
      <c r="Y47" s="97"/>
      <c r="Z47" s="97"/>
      <c r="AA47" s="97"/>
      <c r="AB47" s="98"/>
      <c r="AC47" s="110" t="s">
        <v>43</v>
      </c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1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9"/>
      <c r="BI47" s="29"/>
      <c r="BJ47" s="29"/>
      <c r="BK47" s="25"/>
    </row>
    <row r="48" spans="1:63" s="26" customFormat="1" ht="15" customHeight="1" x14ac:dyDescent="0.25">
      <c r="A48" s="21"/>
      <c r="B48" s="28"/>
      <c r="C48" s="110">
        <f t="shared" ref="C48:C50" si="0">C47+1</f>
        <v>4</v>
      </c>
      <c r="D48" s="111"/>
      <c r="E48" s="122" t="s">
        <v>38</v>
      </c>
      <c r="F48" s="123"/>
      <c r="G48" s="123"/>
      <c r="H48" s="123"/>
      <c r="I48" s="123"/>
      <c r="J48" s="123"/>
      <c r="K48" s="124"/>
      <c r="L48" s="110" t="s">
        <v>5</v>
      </c>
      <c r="M48" s="115"/>
      <c r="N48" s="115"/>
      <c r="O48" s="115"/>
      <c r="P48" s="115"/>
      <c r="Q48" s="115"/>
      <c r="R48" s="111"/>
      <c r="S48" s="96" t="s">
        <v>41</v>
      </c>
      <c r="T48" s="97"/>
      <c r="U48" s="97"/>
      <c r="V48" s="97"/>
      <c r="W48" s="97"/>
      <c r="X48" s="97"/>
      <c r="Y48" s="97"/>
      <c r="Z48" s="97"/>
      <c r="AA48" s="97"/>
      <c r="AB48" s="98"/>
      <c r="AC48" s="110" t="s">
        <v>44</v>
      </c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1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9"/>
      <c r="BI48" s="29"/>
      <c r="BJ48" s="29"/>
      <c r="BK48" s="25"/>
    </row>
    <row r="49" spans="1:63" s="26" customFormat="1" ht="15" customHeight="1" x14ac:dyDescent="0.25">
      <c r="A49" s="21"/>
      <c r="B49" s="28"/>
      <c r="C49" s="110">
        <f t="shared" si="0"/>
        <v>5</v>
      </c>
      <c r="D49" s="111"/>
      <c r="E49" s="122" t="s">
        <v>39</v>
      </c>
      <c r="F49" s="123"/>
      <c r="G49" s="123"/>
      <c r="H49" s="123"/>
      <c r="I49" s="123"/>
      <c r="J49" s="123"/>
      <c r="K49" s="124"/>
      <c r="L49" s="110" t="s">
        <v>5</v>
      </c>
      <c r="M49" s="115"/>
      <c r="N49" s="115"/>
      <c r="O49" s="115"/>
      <c r="P49" s="115"/>
      <c r="Q49" s="115"/>
      <c r="R49" s="111"/>
      <c r="S49" s="96" t="s">
        <v>40</v>
      </c>
      <c r="T49" s="97"/>
      <c r="U49" s="97"/>
      <c r="V49" s="97"/>
      <c r="W49" s="97"/>
      <c r="X49" s="97"/>
      <c r="Y49" s="97"/>
      <c r="Z49" s="97"/>
      <c r="AA49" s="97"/>
      <c r="AB49" s="98"/>
      <c r="AC49" s="110" t="s">
        <v>45</v>
      </c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1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9"/>
      <c r="BI49" s="29"/>
      <c r="BJ49" s="29"/>
      <c r="BK49" s="25"/>
    </row>
    <row r="50" spans="1:63" s="26" customFormat="1" ht="15" customHeight="1" x14ac:dyDescent="0.25">
      <c r="A50" s="21"/>
      <c r="B50" s="28"/>
      <c r="C50" s="110">
        <f t="shared" si="0"/>
        <v>6</v>
      </c>
      <c r="D50" s="111"/>
      <c r="E50" s="122" t="s">
        <v>49</v>
      </c>
      <c r="F50" s="123"/>
      <c r="G50" s="123"/>
      <c r="H50" s="123"/>
      <c r="I50" s="123"/>
      <c r="J50" s="123"/>
      <c r="K50" s="124"/>
      <c r="L50" s="110" t="s">
        <v>50</v>
      </c>
      <c r="M50" s="115"/>
      <c r="N50" s="115"/>
      <c r="O50" s="115"/>
      <c r="P50" s="115"/>
      <c r="Q50" s="115"/>
      <c r="R50" s="111"/>
      <c r="S50" s="96" t="s">
        <v>51</v>
      </c>
      <c r="T50" s="97"/>
      <c r="U50" s="97"/>
      <c r="V50" s="97"/>
      <c r="W50" s="97"/>
      <c r="X50" s="97"/>
      <c r="Y50" s="97"/>
      <c r="Z50" s="97"/>
      <c r="AA50" s="97"/>
      <c r="AB50" s="98"/>
      <c r="AC50" s="110" t="s">
        <v>52</v>
      </c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1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9"/>
      <c r="BI50" s="29"/>
      <c r="BJ50" s="29"/>
      <c r="BK50" s="25"/>
    </row>
    <row r="51" spans="1:63" s="26" customFormat="1" ht="15" customHeight="1" x14ac:dyDescent="0.25">
      <c r="A51" s="21"/>
      <c r="B51" s="28"/>
      <c r="C51" s="28"/>
      <c r="D51" s="28"/>
      <c r="E51" s="231"/>
      <c r="F51" s="231"/>
      <c r="G51" s="231"/>
      <c r="H51" s="231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31"/>
      <c r="T51" s="231"/>
      <c r="U51" s="231"/>
      <c r="V51" s="231"/>
      <c r="W51" s="231"/>
      <c r="X51" s="231"/>
      <c r="Y51" s="231"/>
      <c r="Z51" s="231"/>
      <c r="AA51" s="231"/>
      <c r="AB51" s="28"/>
      <c r="AC51" s="231"/>
      <c r="AD51" s="231"/>
      <c r="AE51" s="231"/>
      <c r="AF51" s="231"/>
      <c r="AG51" s="231"/>
      <c r="AH51" s="231"/>
      <c r="AI51" s="231"/>
      <c r="AJ51" s="231"/>
      <c r="AK51" s="231"/>
      <c r="AL51" s="231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9"/>
      <c r="BI51" s="29"/>
      <c r="BJ51" s="29"/>
      <c r="BK51" s="25"/>
    </row>
    <row r="52" spans="1:63" s="26" customFormat="1" ht="15" customHeight="1" x14ac:dyDescent="0.25">
      <c r="A52" s="21"/>
      <c r="B52" s="28"/>
      <c r="C52" s="31" t="s">
        <v>99</v>
      </c>
      <c r="D52" s="28"/>
      <c r="E52" s="231"/>
      <c r="F52" s="28"/>
      <c r="G52" s="231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9"/>
      <c r="BI52" s="29"/>
      <c r="BJ52" s="29"/>
      <c r="BK52" s="25"/>
    </row>
    <row r="53" spans="1:63" s="26" customFormat="1" ht="15" customHeight="1" x14ac:dyDescent="0.25">
      <c r="A53" s="21"/>
      <c r="B53" s="28"/>
      <c r="C53" s="31"/>
      <c r="D53" s="231"/>
      <c r="E53" s="231"/>
      <c r="F53" s="28"/>
      <c r="G53" s="231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9"/>
      <c r="BI53" s="29"/>
      <c r="BJ53" s="29"/>
      <c r="BK53" s="25"/>
    </row>
    <row r="54" spans="1:63" s="26" customFormat="1" ht="15" customHeight="1" x14ac:dyDescent="0.25">
      <c r="A54" s="21"/>
      <c r="B54" s="28"/>
      <c r="C54" s="31"/>
      <c r="D54" s="231"/>
      <c r="E54" s="231"/>
      <c r="F54" s="28"/>
      <c r="G54" s="231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9"/>
      <c r="BI54" s="29"/>
      <c r="BJ54" s="29"/>
      <c r="BK54" s="25"/>
    </row>
    <row r="55" spans="1:63" s="26" customFormat="1" ht="15" customHeight="1" x14ac:dyDescent="0.25">
      <c r="A55" s="21"/>
      <c r="B55" s="28"/>
      <c r="C55" s="285" t="s">
        <v>60</v>
      </c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2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9"/>
      <c r="BI55" s="29"/>
      <c r="BJ55" s="29"/>
      <c r="BK55" s="25"/>
    </row>
    <row r="56" spans="1:63" s="26" customFormat="1" ht="15" customHeight="1" x14ac:dyDescent="0.25">
      <c r="A56" s="21"/>
      <c r="B56" s="28"/>
      <c r="C56" s="286" t="s">
        <v>33</v>
      </c>
      <c r="D56" s="62"/>
      <c r="E56" s="62"/>
      <c r="F56" s="62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33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9"/>
      <c r="BI56" s="29"/>
      <c r="BJ56" s="29"/>
      <c r="BK56" s="25"/>
    </row>
    <row r="57" spans="1:63" s="26" customFormat="1" ht="15" customHeight="1" x14ac:dyDescent="0.25">
      <c r="A57" s="21"/>
      <c r="B57" s="28"/>
      <c r="C57" s="287" t="s">
        <v>100</v>
      </c>
      <c r="D57" s="62"/>
      <c r="E57" s="62"/>
      <c r="F57" s="62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33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9"/>
      <c r="BI57" s="29"/>
      <c r="BJ57" s="29"/>
      <c r="BK57" s="25"/>
    </row>
    <row r="58" spans="1:63" s="26" customFormat="1" ht="15" customHeight="1" x14ac:dyDescent="0.25">
      <c r="A58" s="21"/>
      <c r="B58" s="28"/>
      <c r="C58" s="287" t="s">
        <v>54</v>
      </c>
      <c r="D58" s="62"/>
      <c r="E58" s="62"/>
      <c r="F58" s="62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33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9"/>
      <c r="BI58" s="29"/>
      <c r="BJ58" s="29"/>
      <c r="BK58" s="25"/>
    </row>
    <row r="59" spans="1:63" s="26" customFormat="1" ht="15" customHeight="1" x14ac:dyDescent="0.25">
      <c r="A59" s="21"/>
      <c r="B59" s="28"/>
      <c r="C59" s="287" t="s">
        <v>35</v>
      </c>
      <c r="D59" s="62"/>
      <c r="E59" s="62"/>
      <c r="F59" s="62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33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9"/>
      <c r="BI59" s="29"/>
      <c r="BJ59" s="29"/>
      <c r="BK59" s="25"/>
    </row>
    <row r="60" spans="1:63" s="26" customFormat="1" ht="15" customHeight="1" x14ac:dyDescent="0.25">
      <c r="A60" s="21"/>
      <c r="B60" s="28"/>
      <c r="C60" s="287" t="s">
        <v>101</v>
      </c>
      <c r="D60" s="62"/>
      <c r="E60" s="62"/>
      <c r="F60" s="62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33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9"/>
      <c r="BI60" s="29"/>
      <c r="BJ60" s="29"/>
      <c r="BK60" s="25"/>
    </row>
    <row r="61" spans="1:63" s="26" customFormat="1" x14ac:dyDescent="0.25">
      <c r="A61" s="21"/>
      <c r="B61" s="28"/>
      <c r="C61" s="287" t="s">
        <v>102</v>
      </c>
      <c r="D61" s="62"/>
      <c r="E61" s="62"/>
      <c r="F61" s="62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33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9"/>
      <c r="BI61" s="29"/>
      <c r="BJ61" s="29"/>
      <c r="BK61" s="25"/>
    </row>
    <row r="62" spans="1:63" s="26" customFormat="1" ht="15" customHeight="1" x14ac:dyDescent="0.25">
      <c r="A62" s="21"/>
      <c r="B62" s="28"/>
      <c r="C62" s="287" t="s">
        <v>103</v>
      </c>
      <c r="D62" s="62"/>
      <c r="E62" s="62"/>
      <c r="F62" s="62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33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9"/>
      <c r="BI62" s="29"/>
      <c r="BJ62" s="29"/>
      <c r="BK62" s="25"/>
    </row>
    <row r="63" spans="1:63" s="26" customFormat="1" ht="15" customHeight="1" x14ac:dyDescent="0.25">
      <c r="A63" s="21"/>
      <c r="B63" s="28"/>
      <c r="C63" s="287" t="s">
        <v>104</v>
      </c>
      <c r="D63" s="62"/>
      <c r="E63" s="62"/>
      <c r="F63" s="62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33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9"/>
      <c r="BI63" s="29"/>
      <c r="BJ63" s="29"/>
      <c r="BK63" s="25"/>
    </row>
    <row r="64" spans="1:63" s="26" customFormat="1" ht="15" customHeight="1" x14ac:dyDescent="0.25">
      <c r="A64" s="21"/>
      <c r="B64" s="28"/>
      <c r="C64" s="288" t="s">
        <v>105</v>
      </c>
      <c r="D64" s="62"/>
      <c r="E64" s="62"/>
      <c r="F64" s="62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33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9"/>
      <c r="BI64" s="29"/>
      <c r="BJ64" s="29"/>
      <c r="BK64" s="25"/>
    </row>
    <row r="65" spans="1:63" s="26" customFormat="1" ht="15" customHeight="1" x14ac:dyDescent="0.25">
      <c r="A65" s="21"/>
      <c r="B65" s="28"/>
      <c r="C65" s="288" t="s">
        <v>46</v>
      </c>
      <c r="D65" s="62"/>
      <c r="E65" s="62"/>
      <c r="F65" s="62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33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9"/>
      <c r="BI65" s="29"/>
      <c r="BJ65" s="29"/>
      <c r="BK65" s="25"/>
    </row>
    <row r="66" spans="1:63" s="26" customFormat="1" ht="15" customHeight="1" x14ac:dyDescent="0.25">
      <c r="A66" s="21"/>
      <c r="B66" s="28"/>
      <c r="C66" s="287" t="s">
        <v>35</v>
      </c>
      <c r="D66" s="62"/>
      <c r="E66" s="62"/>
      <c r="F66" s="62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33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9"/>
      <c r="BI66" s="29"/>
      <c r="BJ66" s="29"/>
      <c r="BK66" s="25"/>
    </row>
    <row r="67" spans="1:63" s="26" customFormat="1" ht="15" customHeight="1" x14ac:dyDescent="0.25">
      <c r="A67" s="21"/>
      <c r="B67" s="28"/>
      <c r="C67" s="287" t="s">
        <v>106</v>
      </c>
      <c r="D67" s="62"/>
      <c r="E67" s="62"/>
      <c r="F67" s="62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33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9"/>
      <c r="BI67" s="29"/>
      <c r="BJ67" s="29"/>
      <c r="BK67" s="25"/>
    </row>
    <row r="68" spans="1:63" s="26" customFormat="1" ht="15" customHeight="1" x14ac:dyDescent="0.25">
      <c r="A68" s="21"/>
      <c r="B68" s="28"/>
      <c r="C68" s="287" t="s">
        <v>107</v>
      </c>
      <c r="D68" s="62"/>
      <c r="E68" s="62"/>
      <c r="F68" s="62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33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9"/>
      <c r="BI68" s="29"/>
      <c r="BJ68" s="29"/>
      <c r="BK68" s="25"/>
    </row>
    <row r="69" spans="1:63" s="26" customFormat="1" ht="15" customHeight="1" x14ac:dyDescent="0.25">
      <c r="A69" s="21"/>
      <c r="B69" s="28"/>
      <c r="C69" s="287" t="s">
        <v>108</v>
      </c>
      <c r="D69" s="62"/>
      <c r="E69" s="62"/>
      <c r="F69" s="62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33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9"/>
      <c r="BI69" s="29"/>
      <c r="BJ69" s="29"/>
      <c r="BK69" s="25"/>
    </row>
    <row r="70" spans="1:63" s="26" customFormat="1" ht="15" customHeight="1" x14ac:dyDescent="0.25">
      <c r="A70" s="21"/>
      <c r="B70" s="28"/>
      <c r="C70" s="287" t="s">
        <v>104</v>
      </c>
      <c r="D70" s="62"/>
      <c r="E70" s="62"/>
      <c r="F70" s="62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33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9"/>
      <c r="BI70" s="29"/>
      <c r="BJ70" s="29"/>
      <c r="BK70" s="25"/>
    </row>
    <row r="71" spans="1:63" s="26" customFormat="1" ht="15" customHeight="1" x14ac:dyDescent="0.25">
      <c r="A71" s="21"/>
      <c r="B71" s="28"/>
      <c r="C71" s="288" t="s">
        <v>109</v>
      </c>
      <c r="D71" s="62"/>
      <c r="E71" s="62"/>
      <c r="F71" s="62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33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9"/>
      <c r="BI71" s="29"/>
      <c r="BJ71" s="29"/>
      <c r="BK71" s="25"/>
    </row>
    <row r="72" spans="1:63" s="26" customFormat="1" ht="15" customHeight="1" x14ac:dyDescent="0.25">
      <c r="A72" s="21"/>
      <c r="B72" s="28"/>
      <c r="C72" s="288" t="s">
        <v>46</v>
      </c>
      <c r="D72" s="62"/>
      <c r="E72" s="62"/>
      <c r="F72" s="62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33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9"/>
      <c r="BI72" s="29"/>
      <c r="BJ72" s="29"/>
      <c r="BK72" s="25"/>
    </row>
    <row r="73" spans="1:63" s="26" customFormat="1" ht="15" customHeight="1" x14ac:dyDescent="0.25">
      <c r="A73" s="21"/>
      <c r="B73" s="28"/>
      <c r="C73" s="287" t="s">
        <v>35</v>
      </c>
      <c r="D73" s="62"/>
      <c r="E73" s="62"/>
      <c r="F73" s="62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33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9"/>
      <c r="BI73" s="29"/>
      <c r="BJ73" s="29"/>
      <c r="BK73" s="25"/>
    </row>
    <row r="74" spans="1:63" s="26" customFormat="1" ht="15" customHeight="1" x14ac:dyDescent="0.25">
      <c r="A74" s="21"/>
      <c r="B74" s="28"/>
      <c r="C74" s="287" t="s">
        <v>110</v>
      </c>
      <c r="D74" s="62"/>
      <c r="E74" s="62"/>
      <c r="F74" s="62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33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9"/>
      <c r="BI74" s="29"/>
      <c r="BJ74" s="29"/>
      <c r="BK74" s="25"/>
    </row>
    <row r="75" spans="1:63" s="26" customFormat="1" ht="15" customHeight="1" x14ac:dyDescent="0.25">
      <c r="A75" s="21"/>
      <c r="B75" s="28"/>
      <c r="C75" s="287" t="s">
        <v>111</v>
      </c>
      <c r="D75" s="62"/>
      <c r="E75" s="62"/>
      <c r="F75" s="62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33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9"/>
      <c r="BI75" s="29"/>
      <c r="BJ75" s="29"/>
      <c r="BK75" s="25"/>
    </row>
    <row r="76" spans="1:63" s="26" customFormat="1" ht="15" customHeight="1" x14ac:dyDescent="0.25">
      <c r="A76" s="21"/>
      <c r="B76" s="28"/>
      <c r="C76" s="287" t="s">
        <v>112</v>
      </c>
      <c r="D76" s="62"/>
      <c r="E76" s="62"/>
      <c r="F76" s="62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33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9"/>
      <c r="BI76" s="29"/>
      <c r="BJ76" s="29"/>
      <c r="BK76" s="25"/>
    </row>
    <row r="77" spans="1:63" s="26" customFormat="1" ht="15" customHeight="1" x14ac:dyDescent="0.25">
      <c r="A77" s="21"/>
      <c r="B77" s="28"/>
      <c r="C77" s="287" t="s">
        <v>104</v>
      </c>
      <c r="D77" s="62"/>
      <c r="E77" s="62"/>
      <c r="F77" s="62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33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9"/>
      <c r="BI77" s="29"/>
      <c r="BJ77" s="29"/>
      <c r="BK77" s="25"/>
    </row>
    <row r="78" spans="1:63" s="26" customFormat="1" ht="15" customHeight="1" x14ac:dyDescent="0.25">
      <c r="A78" s="21"/>
      <c r="B78" s="28"/>
      <c r="C78" s="288" t="s">
        <v>109</v>
      </c>
      <c r="D78" s="62"/>
      <c r="E78" s="62"/>
      <c r="F78" s="62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33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9"/>
      <c r="BI78" s="29"/>
      <c r="BJ78" s="29"/>
      <c r="BK78" s="25"/>
    </row>
    <row r="79" spans="1:63" s="26" customFormat="1" ht="15" customHeight="1" x14ac:dyDescent="0.25">
      <c r="A79" s="21"/>
      <c r="B79" s="28"/>
      <c r="C79" s="288" t="s">
        <v>46</v>
      </c>
      <c r="D79" s="62"/>
      <c r="E79" s="62"/>
      <c r="F79" s="62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33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9"/>
      <c r="BI79" s="29"/>
      <c r="BJ79" s="29"/>
      <c r="BK79" s="25"/>
    </row>
    <row r="80" spans="1:63" s="26" customFormat="1" ht="15" customHeight="1" x14ac:dyDescent="0.25">
      <c r="A80" s="21"/>
      <c r="B80" s="28"/>
      <c r="C80" s="287" t="s">
        <v>46</v>
      </c>
      <c r="D80" s="62"/>
      <c r="E80" s="62"/>
      <c r="F80" s="62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33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9"/>
      <c r="BI80" s="29"/>
      <c r="BJ80" s="29"/>
      <c r="BK80" s="25"/>
    </row>
    <row r="81" spans="1:63" s="26" customFormat="1" ht="15" customHeight="1" x14ac:dyDescent="0.25">
      <c r="A81" s="21"/>
      <c r="B81" s="28"/>
      <c r="C81" s="287" t="s">
        <v>47</v>
      </c>
      <c r="D81" s="62"/>
      <c r="E81" s="62"/>
      <c r="F81" s="62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33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9"/>
      <c r="BI81" s="29"/>
      <c r="BJ81" s="29"/>
      <c r="BK81" s="25"/>
    </row>
    <row r="82" spans="1:63" s="26" customFormat="1" ht="15" customHeight="1" x14ac:dyDescent="0.25">
      <c r="A82" s="21"/>
      <c r="B82" s="28"/>
      <c r="C82" s="286" t="s">
        <v>59</v>
      </c>
      <c r="D82" s="62"/>
      <c r="E82" s="62"/>
      <c r="F82" s="62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33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9"/>
      <c r="BI82" s="29"/>
      <c r="BJ82" s="29"/>
      <c r="BK82" s="25"/>
    </row>
    <row r="83" spans="1:63" s="26" customFormat="1" ht="15" customHeight="1" x14ac:dyDescent="0.25">
      <c r="A83" s="21"/>
      <c r="B83" s="28"/>
      <c r="C83" s="289" t="s">
        <v>47</v>
      </c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34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9"/>
      <c r="BI83" s="29"/>
      <c r="BJ83" s="29"/>
      <c r="BK83" s="25"/>
    </row>
    <row r="84" spans="1:63" s="26" customFormat="1" ht="15" customHeight="1" x14ac:dyDescent="0.25">
      <c r="A84" s="21"/>
      <c r="B84" s="28"/>
      <c r="C84" s="28"/>
      <c r="D84" s="231"/>
      <c r="E84" s="231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9"/>
      <c r="BI84" s="29"/>
      <c r="BJ84" s="29"/>
      <c r="BK84" s="25"/>
    </row>
    <row r="85" spans="1:63" s="26" customFormat="1" ht="15" customHeight="1" x14ac:dyDescent="0.25">
      <c r="A85" s="21"/>
      <c r="B85" s="28"/>
      <c r="C85" s="27" t="s">
        <v>113</v>
      </c>
      <c r="D85" s="28"/>
      <c r="E85" s="231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9"/>
      <c r="BI85" s="29"/>
      <c r="BJ85" s="29"/>
      <c r="BK85" s="25"/>
    </row>
    <row r="86" spans="1:63" s="26" customFormat="1" ht="15" customHeight="1" x14ac:dyDescent="0.25">
      <c r="A86" s="21"/>
      <c r="B86" s="28"/>
      <c r="C86" s="27"/>
      <c r="D86" s="28"/>
      <c r="E86" s="231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9"/>
      <c r="BI86" s="29"/>
      <c r="BJ86" s="29"/>
      <c r="BK86" s="25"/>
    </row>
    <row r="87" spans="1:63" s="26" customFormat="1" ht="15" customHeight="1" x14ac:dyDescent="0.25">
      <c r="A87" s="21"/>
      <c r="B87" s="28"/>
      <c r="C87" s="27" t="s">
        <v>57</v>
      </c>
      <c r="D87" s="28"/>
      <c r="E87" s="231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9"/>
      <c r="BI87" s="29"/>
      <c r="BJ87" s="29"/>
      <c r="BK87" s="25"/>
    </row>
    <row r="88" spans="1:63" s="26" customFormat="1" ht="15" customHeight="1" x14ac:dyDescent="0.25">
      <c r="A88" s="21"/>
      <c r="B88" s="28"/>
      <c r="C88" s="27"/>
      <c r="D88" s="28"/>
      <c r="E88" s="231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9"/>
      <c r="BI88" s="29"/>
      <c r="BJ88" s="29"/>
      <c r="BK88" s="25"/>
    </row>
    <row r="89" spans="1:63" s="26" customFormat="1" ht="15" customHeight="1" x14ac:dyDescent="0.25">
      <c r="A89" s="21"/>
      <c r="B89" s="28"/>
      <c r="C89" s="27"/>
      <c r="D89" s="28"/>
      <c r="E89" s="231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9"/>
      <c r="BI89" s="29"/>
      <c r="BJ89" s="29"/>
      <c r="BK89" s="25"/>
    </row>
    <row r="90" spans="1:63" s="48" customFormat="1" ht="15" customHeight="1" x14ac:dyDescent="0.25">
      <c r="A90" s="43"/>
      <c r="B90" s="44"/>
      <c r="C90" s="44"/>
      <c r="D90" s="44"/>
      <c r="E90" s="45"/>
      <c r="F90" s="45"/>
      <c r="G90" s="45"/>
      <c r="H90" s="45"/>
      <c r="I90" s="45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6"/>
      <c r="BI90" s="46"/>
      <c r="BJ90" s="46"/>
      <c r="BK90" s="47"/>
    </row>
  </sheetData>
  <mergeCells count="119">
    <mergeCell ref="E23:K2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E21:K21"/>
    <mergeCell ref="C21:D21"/>
    <mergeCell ref="S21:Y21"/>
    <mergeCell ref="Z21:AP21"/>
    <mergeCell ref="O22:R22"/>
    <mergeCell ref="AG17:AP17"/>
    <mergeCell ref="A4:G4"/>
    <mergeCell ref="H4:T4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Q17:BJ17"/>
    <mergeCell ref="E22:K22"/>
    <mergeCell ref="AC43:AU43"/>
    <mergeCell ref="AC46:AU46"/>
    <mergeCell ref="AC47:AU47"/>
    <mergeCell ref="C24:D26"/>
    <mergeCell ref="E24:K26"/>
    <mergeCell ref="C22:D22"/>
    <mergeCell ref="E27:K27"/>
    <mergeCell ref="E28:K28"/>
    <mergeCell ref="O23:R23"/>
    <mergeCell ref="O27:R27"/>
    <mergeCell ref="O28:R28"/>
    <mergeCell ref="O24:R26"/>
    <mergeCell ref="L22:N22"/>
    <mergeCell ref="L23:N23"/>
    <mergeCell ref="L24:N26"/>
    <mergeCell ref="L27:N27"/>
    <mergeCell ref="L28:N28"/>
    <mergeCell ref="C23:D23"/>
    <mergeCell ref="C28:D28"/>
    <mergeCell ref="C27:D27"/>
    <mergeCell ref="L43:R43"/>
    <mergeCell ref="L46:R46"/>
    <mergeCell ref="L47:R47"/>
    <mergeCell ref="AQ21:BJ21"/>
    <mergeCell ref="O21:R21"/>
    <mergeCell ref="L21:N21"/>
    <mergeCell ref="S23:Y23"/>
    <mergeCell ref="S24:Y26"/>
    <mergeCell ref="S22:Y22"/>
    <mergeCell ref="Z28:AP28"/>
    <mergeCell ref="Z24:AP26"/>
    <mergeCell ref="AQ23:BJ23"/>
    <mergeCell ref="AQ22:BJ22"/>
    <mergeCell ref="AQ24:BJ26"/>
    <mergeCell ref="Z22:AP22"/>
    <mergeCell ref="Z23:AP23"/>
    <mergeCell ref="Z27:AP27"/>
    <mergeCell ref="AQ27:BJ27"/>
    <mergeCell ref="AQ28:BJ28"/>
    <mergeCell ref="S27:Y27"/>
    <mergeCell ref="S28:Y28"/>
    <mergeCell ref="C50:D50"/>
    <mergeCell ref="E50:K50"/>
    <mergeCell ref="L50:R50"/>
    <mergeCell ref="S50:AB50"/>
    <mergeCell ref="AC48:AU48"/>
    <mergeCell ref="AC49:AU49"/>
    <mergeCell ref="AC45:AU45"/>
    <mergeCell ref="S48:AB48"/>
    <mergeCell ref="E46:K46"/>
    <mergeCell ref="E47:K47"/>
    <mergeCell ref="E48:K48"/>
    <mergeCell ref="E49:K49"/>
    <mergeCell ref="E45:K45"/>
    <mergeCell ref="C48:D48"/>
    <mergeCell ref="AC50:AU50"/>
    <mergeCell ref="L49:R49"/>
    <mergeCell ref="L45:R45"/>
    <mergeCell ref="C49:D49"/>
    <mergeCell ref="C45:D45"/>
    <mergeCell ref="C46:D46"/>
    <mergeCell ref="C47:D47"/>
    <mergeCell ref="L48:R48"/>
    <mergeCell ref="S46:AB46"/>
    <mergeCell ref="S47:AB47"/>
    <mergeCell ref="S49:AB49"/>
    <mergeCell ref="C36:D36"/>
    <mergeCell ref="E36:K36"/>
    <mergeCell ref="L36:N36"/>
    <mergeCell ref="O36:R36"/>
    <mergeCell ref="S36:Y36"/>
    <mergeCell ref="Z36:AP36"/>
    <mergeCell ref="AQ36:BJ36"/>
    <mergeCell ref="C37:D37"/>
    <mergeCell ref="E37:K37"/>
    <mergeCell ref="L37:N37"/>
    <mergeCell ref="O37:R37"/>
    <mergeCell ref="S37:Y37"/>
    <mergeCell ref="Z37:AP37"/>
    <mergeCell ref="AQ37:BJ37"/>
    <mergeCell ref="S45:AB45"/>
    <mergeCell ref="C43:D43"/>
    <mergeCell ref="E43:K43"/>
    <mergeCell ref="S43:AB43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61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18" t="s">
        <v>62</v>
      </c>
      <c r="B1" s="219"/>
      <c r="C1" s="219"/>
      <c r="D1" s="219"/>
      <c r="E1" s="219"/>
      <c r="F1" s="219"/>
      <c r="G1" s="219"/>
      <c r="H1" s="219"/>
      <c r="I1" s="219"/>
      <c r="J1" s="220"/>
      <c r="K1" s="218" t="s">
        <v>63</v>
      </c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20"/>
      <c r="W1" s="221" t="str">
        <f>IF(表紙!W1="","",表紙!W1)</f>
        <v>詳細設計書</v>
      </c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3"/>
      <c r="AP1" s="131" t="s">
        <v>65</v>
      </c>
      <c r="AQ1" s="132"/>
      <c r="AR1" s="132"/>
      <c r="AS1" s="133"/>
      <c r="AT1" s="131" t="s">
        <v>66</v>
      </c>
      <c r="AU1" s="132"/>
      <c r="AV1" s="132"/>
      <c r="AW1" s="132"/>
      <c r="AX1" s="133"/>
      <c r="AY1" s="131" t="s">
        <v>67</v>
      </c>
      <c r="AZ1" s="132"/>
      <c r="BA1" s="132"/>
      <c r="BB1" s="133"/>
      <c r="BC1" s="131" t="s">
        <v>68</v>
      </c>
      <c r="BD1" s="132"/>
      <c r="BE1" s="132"/>
      <c r="BF1" s="132"/>
      <c r="BG1" s="133"/>
      <c r="BH1" s="131" t="s">
        <v>69</v>
      </c>
      <c r="BI1" s="132"/>
      <c r="BJ1" s="132"/>
      <c r="BK1" s="133"/>
    </row>
    <row r="2" spans="1:63" ht="15" customHeight="1" x14ac:dyDescent="0.25">
      <c r="A2" s="74" t="str">
        <f>IF(表紙!A2="","",表紙!A2)</f>
        <v>POSサーバー</v>
      </c>
      <c r="B2" s="75"/>
      <c r="C2" s="75"/>
      <c r="D2" s="75"/>
      <c r="E2" s="75"/>
      <c r="F2" s="75"/>
      <c r="G2" s="75"/>
      <c r="H2" s="75"/>
      <c r="I2" s="75"/>
      <c r="J2" s="76"/>
      <c r="K2" s="74" t="str">
        <f>IF(表紙!K2="","",表紙!K2)</f>
        <v>POSサーバ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224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6"/>
      <c r="AP2" s="140" t="str">
        <f>IF(表紙!AP2="","",表紙!AP2)</f>
        <v>DuNT</v>
      </c>
      <c r="AQ2" s="138"/>
      <c r="AR2" s="138"/>
      <c r="AS2" s="139"/>
      <c r="AT2" s="144">
        <f>IF(表紙!AT2="","",表紙!AT2)</f>
        <v>45461</v>
      </c>
      <c r="AU2" s="145"/>
      <c r="AV2" s="145"/>
      <c r="AW2" s="145"/>
      <c r="AX2" s="146"/>
      <c r="AY2" s="140" t="str">
        <f>IF(表紙!AY2="","",表紙!AY2)</f>
        <v>DuNT</v>
      </c>
      <c r="AZ2" s="138"/>
      <c r="BA2" s="138"/>
      <c r="BB2" s="139"/>
      <c r="BC2" s="144">
        <f>IF(表紙!BC2="","",表紙!BC2)</f>
        <v>45509</v>
      </c>
      <c r="BD2" s="145"/>
      <c r="BE2" s="145"/>
      <c r="BF2" s="145"/>
      <c r="BG2" s="146"/>
      <c r="BH2" s="140">
        <f>IF(表紙!BH2="","",表紙!BH2)</f>
        <v>0.2</v>
      </c>
      <c r="BI2" s="138"/>
      <c r="BJ2" s="138"/>
      <c r="BK2" s="139"/>
    </row>
    <row r="3" spans="1:63" ht="15" customHeight="1" x14ac:dyDescent="0.25">
      <c r="A3" s="77"/>
      <c r="B3" s="78"/>
      <c r="C3" s="78"/>
      <c r="D3" s="78"/>
      <c r="E3" s="78"/>
      <c r="F3" s="78"/>
      <c r="G3" s="78"/>
      <c r="H3" s="78"/>
      <c r="I3" s="78"/>
      <c r="J3" s="79"/>
      <c r="K3" s="77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  <c r="W3" s="227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9"/>
      <c r="AP3" s="150"/>
      <c r="AQ3" s="151"/>
      <c r="AR3" s="151"/>
      <c r="AS3" s="152"/>
      <c r="AT3" s="156"/>
      <c r="AU3" s="157"/>
      <c r="AV3" s="157"/>
      <c r="AW3" s="157"/>
      <c r="AX3" s="158"/>
      <c r="AY3" s="150"/>
      <c r="AZ3" s="151"/>
      <c r="BA3" s="151"/>
      <c r="BB3" s="152"/>
      <c r="BC3" s="156"/>
      <c r="BD3" s="157"/>
      <c r="BE3" s="157"/>
      <c r="BF3" s="157"/>
      <c r="BG3" s="158"/>
      <c r="BH3" s="150"/>
      <c r="BI3" s="151"/>
      <c r="BJ3" s="151"/>
      <c r="BK3" s="152"/>
    </row>
    <row r="4" spans="1:63" ht="24.95" customHeight="1" x14ac:dyDescent="0.25">
      <c r="A4" s="218" t="s">
        <v>71</v>
      </c>
      <c r="B4" s="219"/>
      <c r="C4" s="219"/>
      <c r="D4" s="219"/>
      <c r="E4" s="219"/>
      <c r="F4" s="219"/>
      <c r="G4" s="220"/>
      <c r="H4" s="92" t="str">
        <f>IF(表紙!H4="","",表紙!H4)</f>
        <v>AP1503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218" t="s">
        <v>72</v>
      </c>
      <c r="V4" s="219"/>
      <c r="W4" s="219"/>
      <c r="X4" s="219"/>
      <c r="Y4" s="220"/>
      <c r="Z4" s="92" t="str">
        <f>IF(表紙!Z4="","",表紙!Z4)</f>
        <v>API設計書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5" t="str">
        <f ca="1">MID(CELL("filename",A1),FIND("]",CELL("filename",A1))+1,255)</f>
        <v>処理フロー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93" customFormat="1" ht="15" customHeight="1" x14ac:dyDescent="0.25">
      <c r="B7" s="49"/>
      <c r="C7" s="29"/>
      <c r="D7" s="29"/>
      <c r="E7" s="29"/>
      <c r="F7" s="29"/>
      <c r="G7" s="29"/>
      <c r="AI7" s="294"/>
      <c r="BJ7" s="294"/>
      <c r="BK7" s="295"/>
    </row>
    <row r="8" spans="1:63" s="293" customFormat="1" ht="15" customHeight="1" x14ac:dyDescent="0.25">
      <c r="B8" s="49"/>
      <c r="C8" s="29"/>
      <c r="D8" s="29"/>
      <c r="E8" s="29"/>
      <c r="F8" s="29"/>
      <c r="G8" s="29"/>
      <c r="AI8" s="294"/>
      <c r="BJ8" s="294"/>
      <c r="BK8" s="295"/>
    </row>
    <row r="9" spans="1:63" s="293" customFormat="1" ht="15" customHeight="1" x14ac:dyDescent="0.25">
      <c r="B9" s="49"/>
      <c r="C9" s="29"/>
      <c r="D9" s="29"/>
      <c r="E9" s="29"/>
      <c r="F9" s="29"/>
      <c r="G9" s="29"/>
      <c r="AI9" s="294"/>
      <c r="BJ9" s="294"/>
      <c r="BK9" s="295"/>
    </row>
    <row r="10" spans="1:63" s="293" customFormat="1" ht="15" customHeight="1" x14ac:dyDescent="0.25">
      <c r="B10" s="49"/>
      <c r="C10" s="29"/>
      <c r="D10" s="29"/>
      <c r="E10" s="29"/>
      <c r="F10" s="29"/>
      <c r="G10" s="29"/>
      <c r="AI10" s="294"/>
      <c r="BJ10" s="294"/>
      <c r="BK10" s="295"/>
    </row>
    <row r="11" spans="1:63" s="293" customFormat="1" ht="15" customHeight="1" x14ac:dyDescent="0.25">
      <c r="B11" s="296"/>
      <c r="AI11" s="294"/>
      <c r="BJ11" s="294"/>
      <c r="BK11" s="295"/>
    </row>
    <row r="12" spans="1:63" s="293" customFormat="1" ht="15" customHeight="1" x14ac:dyDescent="0.25">
      <c r="B12" s="296"/>
      <c r="AI12" s="294"/>
      <c r="BJ12" s="294"/>
      <c r="BK12" s="295"/>
    </row>
    <row r="13" spans="1:63" s="293" customFormat="1" ht="15" customHeight="1" x14ac:dyDescent="0.25">
      <c r="B13" s="296"/>
      <c r="AI13" s="294"/>
      <c r="BJ13" s="294"/>
      <c r="BK13" s="295"/>
    </row>
    <row r="14" spans="1:63" s="293" customFormat="1" ht="15" customHeight="1" x14ac:dyDescent="0.25">
      <c r="B14" s="296"/>
      <c r="AI14" s="294"/>
      <c r="BJ14" s="294"/>
      <c r="BK14" s="295"/>
    </row>
    <row r="15" spans="1:63" s="293" customFormat="1" ht="15" customHeight="1" x14ac:dyDescent="0.25">
      <c r="B15" s="296"/>
      <c r="AI15" s="294"/>
      <c r="BJ15" s="294"/>
      <c r="BK15" s="295"/>
    </row>
    <row r="16" spans="1:63" s="293" customFormat="1" ht="15" customHeight="1" x14ac:dyDescent="0.25">
      <c r="B16" s="296"/>
      <c r="AI16" s="294"/>
      <c r="BJ16" s="294"/>
      <c r="BK16" s="295"/>
    </row>
    <row r="17" spans="2:63" s="293" customFormat="1" ht="15" customHeight="1" x14ac:dyDescent="0.25">
      <c r="B17" s="296"/>
      <c r="AI17" s="294"/>
      <c r="BJ17" s="294"/>
      <c r="BK17" s="295"/>
    </row>
    <row r="18" spans="2:63" s="293" customFormat="1" ht="15" customHeight="1" x14ac:dyDescent="0.25">
      <c r="B18" s="296"/>
      <c r="AI18" s="294"/>
      <c r="BJ18" s="294"/>
      <c r="BK18" s="295"/>
    </row>
    <row r="19" spans="2:63" s="293" customFormat="1" ht="15" customHeight="1" x14ac:dyDescent="0.25">
      <c r="B19" s="296"/>
      <c r="AI19" s="294"/>
      <c r="BJ19" s="294"/>
      <c r="BK19" s="295"/>
    </row>
    <row r="20" spans="2:63" s="293" customFormat="1" ht="15" customHeight="1" x14ac:dyDescent="0.25">
      <c r="B20" s="296"/>
      <c r="AI20" s="294"/>
      <c r="BJ20" s="294"/>
      <c r="BK20" s="295"/>
    </row>
    <row r="21" spans="2:63" s="293" customFormat="1" ht="15" customHeight="1" x14ac:dyDescent="0.25">
      <c r="B21" s="296"/>
      <c r="AI21" s="294"/>
      <c r="BJ21" s="294"/>
      <c r="BK21" s="295"/>
    </row>
    <row r="22" spans="2:63" s="293" customFormat="1" ht="15" customHeight="1" x14ac:dyDescent="0.25">
      <c r="B22" s="296"/>
      <c r="AI22" s="294"/>
      <c r="BJ22" s="294"/>
      <c r="BK22" s="295"/>
    </row>
    <row r="23" spans="2:63" s="293" customFormat="1" ht="15" customHeight="1" x14ac:dyDescent="0.25">
      <c r="B23" s="296"/>
      <c r="AI23" s="294"/>
      <c r="BJ23" s="294"/>
      <c r="BK23" s="295"/>
    </row>
    <row r="24" spans="2:63" s="293" customFormat="1" ht="15" customHeight="1" x14ac:dyDescent="0.25">
      <c r="B24" s="296"/>
      <c r="AI24" s="294"/>
      <c r="BJ24" s="294"/>
      <c r="BK24" s="295"/>
    </row>
    <row r="25" spans="2:63" s="293" customFormat="1" ht="15" customHeight="1" x14ac:dyDescent="0.25">
      <c r="B25" s="296"/>
      <c r="AI25" s="294"/>
      <c r="BJ25" s="294"/>
      <c r="BK25" s="295"/>
    </row>
    <row r="26" spans="2:63" s="293" customFormat="1" ht="15" customHeight="1" x14ac:dyDescent="0.25">
      <c r="B26" s="296"/>
      <c r="AI26" s="294"/>
      <c r="BJ26" s="294"/>
      <c r="BK26" s="295"/>
    </row>
    <row r="27" spans="2:63" s="293" customFormat="1" ht="15" customHeight="1" x14ac:dyDescent="0.25">
      <c r="B27" s="296"/>
      <c r="AI27" s="294"/>
      <c r="BJ27" s="294"/>
      <c r="BK27" s="295"/>
    </row>
    <row r="28" spans="2:63" s="293" customFormat="1" ht="15" customHeight="1" x14ac:dyDescent="0.25">
      <c r="B28" s="296"/>
      <c r="AI28" s="294"/>
      <c r="BJ28" s="294"/>
      <c r="BK28" s="295"/>
    </row>
    <row r="29" spans="2:63" s="293" customFormat="1" ht="15" customHeight="1" x14ac:dyDescent="0.25">
      <c r="B29" s="296"/>
      <c r="AI29" s="294"/>
      <c r="BJ29" s="294"/>
      <c r="BK29" s="295"/>
    </row>
    <row r="30" spans="2:63" s="293" customFormat="1" ht="15" customHeight="1" x14ac:dyDescent="0.25">
      <c r="B30" s="296"/>
      <c r="AI30" s="294"/>
      <c r="BJ30" s="294"/>
      <c r="BK30" s="295"/>
    </row>
    <row r="31" spans="2:63" s="293" customFormat="1" ht="15" customHeight="1" x14ac:dyDescent="0.25">
      <c r="B31" s="296"/>
      <c r="AI31" s="294"/>
      <c r="BJ31" s="294"/>
      <c r="BK31" s="295"/>
    </row>
    <row r="32" spans="2:63" s="293" customFormat="1" ht="15" customHeight="1" x14ac:dyDescent="0.25">
      <c r="B32" s="296"/>
      <c r="AI32" s="294"/>
      <c r="BJ32" s="294"/>
      <c r="BK32" s="295"/>
    </row>
    <row r="33" spans="2:63" s="293" customFormat="1" ht="15" customHeight="1" x14ac:dyDescent="0.25">
      <c r="B33" s="296"/>
      <c r="AI33" s="294"/>
      <c r="BJ33" s="294"/>
      <c r="BK33" s="295"/>
    </row>
    <row r="34" spans="2:63" s="293" customFormat="1" ht="15" customHeight="1" x14ac:dyDescent="0.25">
      <c r="B34" s="296"/>
      <c r="AI34" s="294"/>
      <c r="BJ34" s="294"/>
      <c r="BK34" s="295"/>
    </row>
    <row r="35" spans="2:63" s="293" customFormat="1" ht="15" customHeight="1" x14ac:dyDescent="0.25">
      <c r="B35" s="296"/>
      <c r="AI35" s="294"/>
      <c r="BJ35" s="294"/>
      <c r="BK35" s="295"/>
    </row>
    <row r="36" spans="2:63" s="293" customFormat="1" ht="15" customHeight="1" x14ac:dyDescent="0.25">
      <c r="B36" s="296"/>
      <c r="AI36" s="294"/>
      <c r="BJ36" s="294"/>
      <c r="BK36" s="295"/>
    </row>
    <row r="37" spans="2:63" s="293" customFormat="1" ht="15" customHeight="1" x14ac:dyDescent="0.25">
      <c r="B37" s="296"/>
      <c r="AI37" s="294"/>
      <c r="BJ37" s="294"/>
      <c r="BK37" s="295"/>
    </row>
    <row r="38" spans="2:63" s="293" customFormat="1" ht="15" customHeight="1" x14ac:dyDescent="0.25">
      <c r="B38" s="296"/>
      <c r="AI38" s="294"/>
      <c r="BJ38" s="294"/>
      <c r="BK38" s="295"/>
    </row>
    <row r="39" spans="2:63" s="293" customFormat="1" ht="15" customHeight="1" x14ac:dyDescent="0.25">
      <c r="B39" s="296"/>
      <c r="AI39" s="294"/>
      <c r="BJ39" s="294"/>
      <c r="BK39" s="295"/>
    </row>
    <row r="40" spans="2:63" s="293" customFormat="1" ht="15" customHeight="1" x14ac:dyDescent="0.25">
      <c r="B40" s="296"/>
      <c r="AI40" s="294"/>
      <c r="BJ40" s="294"/>
      <c r="BK40" s="295"/>
    </row>
    <row r="41" spans="2:63" s="293" customFormat="1" ht="15" customHeight="1" x14ac:dyDescent="0.25">
      <c r="B41" s="296"/>
      <c r="AI41" s="294"/>
      <c r="BJ41" s="294"/>
      <c r="BK41" s="295"/>
    </row>
    <row r="42" spans="2:63" s="293" customFormat="1" ht="15" customHeight="1" x14ac:dyDescent="0.25">
      <c r="B42" s="296"/>
      <c r="AI42" s="294"/>
      <c r="BJ42" s="294"/>
      <c r="BK42" s="295"/>
    </row>
    <row r="43" spans="2:63" s="293" customFormat="1" ht="15" customHeight="1" x14ac:dyDescent="0.25">
      <c r="B43" s="296"/>
      <c r="AI43" s="294"/>
      <c r="BJ43" s="294"/>
      <c r="BK43" s="295"/>
    </row>
    <row r="44" spans="2:63" s="293" customFormat="1" ht="15" customHeight="1" x14ac:dyDescent="0.25">
      <c r="B44" s="296"/>
      <c r="AI44" s="294"/>
      <c r="BJ44" s="294"/>
      <c r="BK44" s="295"/>
    </row>
    <row r="45" spans="2:63" s="293" customFormat="1" ht="15" customHeight="1" x14ac:dyDescent="0.25">
      <c r="B45" s="296"/>
      <c r="AI45" s="294"/>
      <c r="BJ45" s="294"/>
      <c r="BK45" s="295"/>
    </row>
    <row r="46" spans="2:63" s="293" customFormat="1" ht="15" customHeight="1" x14ac:dyDescent="0.25">
      <c r="B46" s="296"/>
      <c r="AI46" s="294"/>
      <c r="BJ46" s="294"/>
      <c r="BK46" s="295"/>
    </row>
    <row r="47" spans="2:63" s="293" customFormat="1" ht="15" customHeight="1" x14ac:dyDescent="0.25">
      <c r="B47" s="296"/>
      <c r="AI47" s="294"/>
      <c r="BJ47" s="294"/>
      <c r="BK47" s="295"/>
    </row>
    <row r="48" spans="2:63" s="293" customFormat="1" ht="15" customHeight="1" x14ac:dyDescent="0.25">
      <c r="B48" s="296"/>
      <c r="AI48" s="294"/>
      <c r="BJ48" s="294"/>
      <c r="BK48" s="295"/>
    </row>
    <row r="49" spans="1:63" s="293" customFormat="1" ht="15" customHeight="1" x14ac:dyDescent="0.25">
      <c r="B49" s="296"/>
      <c r="AI49" s="294"/>
      <c r="BJ49" s="294"/>
      <c r="BK49" s="295"/>
    </row>
    <row r="50" spans="1:63" s="293" customFormat="1" ht="15" customHeight="1" x14ac:dyDescent="0.25">
      <c r="B50" s="296"/>
      <c r="AI50" s="294"/>
      <c r="BJ50" s="294"/>
      <c r="BK50" s="295"/>
    </row>
    <row r="51" spans="1:63" s="293" customFormat="1" ht="15" customHeight="1" x14ac:dyDescent="0.25">
      <c r="B51" s="296"/>
      <c r="AI51" s="294"/>
      <c r="BJ51" s="294"/>
      <c r="BK51" s="295"/>
    </row>
    <row r="52" spans="1:63" s="293" customFormat="1" ht="15" customHeight="1" x14ac:dyDescent="0.25">
      <c r="B52" s="296"/>
      <c r="AI52" s="294"/>
      <c r="BJ52" s="294"/>
      <c r="BK52" s="295"/>
    </row>
    <row r="53" spans="1:63" s="293" customFormat="1" ht="15" customHeight="1" x14ac:dyDescent="0.25">
      <c r="B53" s="296"/>
      <c r="AI53" s="294"/>
      <c r="BJ53" s="294"/>
      <c r="BK53" s="295"/>
    </row>
    <row r="54" spans="1:63" ht="15" customHeight="1" x14ac:dyDescent="0.25">
      <c r="B54" s="17"/>
      <c r="AI54" s="19"/>
      <c r="BJ54" s="19"/>
      <c r="BK54" s="11"/>
    </row>
    <row r="55" spans="1:63" ht="15" customHeight="1" x14ac:dyDescent="0.25">
      <c r="B55" s="17"/>
      <c r="AI55" s="19"/>
      <c r="BJ55" s="19"/>
      <c r="BK55" s="11"/>
    </row>
    <row r="56" spans="1:63" ht="15" customHeight="1" x14ac:dyDescent="0.25">
      <c r="B56" s="17"/>
      <c r="AI56" s="19"/>
      <c r="BJ56" s="19"/>
      <c r="BK56" s="11"/>
    </row>
    <row r="57" spans="1:63" ht="15" customHeight="1" x14ac:dyDescent="0.25">
      <c r="B57" s="17"/>
      <c r="AI57" s="19"/>
      <c r="BJ57" s="19"/>
      <c r="BK57" s="11"/>
    </row>
    <row r="58" spans="1:63" ht="15" customHeight="1" x14ac:dyDescent="0.25">
      <c r="B58" s="17"/>
      <c r="AI58" s="19"/>
      <c r="BJ58" s="19"/>
      <c r="BK58" s="11"/>
    </row>
    <row r="59" spans="1:63" ht="15" customHeight="1" x14ac:dyDescent="0.25">
      <c r="B59" s="17"/>
      <c r="AI59" s="19"/>
      <c r="BJ59" s="19"/>
      <c r="BK59" s="11"/>
    </row>
    <row r="60" spans="1:63" ht="15" customHeight="1" x14ac:dyDescent="0.25">
      <c r="B60" s="17"/>
      <c r="AI60" s="19"/>
      <c r="BJ60" s="19"/>
      <c r="BK60" s="11"/>
    </row>
    <row r="61" spans="1:63" ht="15" customHeight="1" x14ac:dyDescent="0.25">
      <c r="A61" s="9"/>
      <c r="B61" s="18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20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20"/>
      <c r="BK61" s="10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18" t="s">
        <v>62</v>
      </c>
      <c r="B1" s="219"/>
      <c r="C1" s="219"/>
      <c r="D1" s="219"/>
      <c r="E1" s="219"/>
      <c r="F1" s="219"/>
      <c r="G1" s="219"/>
      <c r="H1" s="219"/>
      <c r="I1" s="219"/>
      <c r="J1" s="220"/>
      <c r="K1" s="218" t="s">
        <v>63</v>
      </c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20"/>
      <c r="W1" s="221" t="str">
        <f>IF(表紙!W1="","",表紙!W1)</f>
        <v>詳細設計書</v>
      </c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3"/>
      <c r="AP1" s="131" t="s">
        <v>65</v>
      </c>
      <c r="AQ1" s="132"/>
      <c r="AR1" s="132"/>
      <c r="AS1" s="133"/>
      <c r="AT1" s="131" t="s">
        <v>66</v>
      </c>
      <c r="AU1" s="132"/>
      <c r="AV1" s="132"/>
      <c r="AW1" s="132"/>
      <c r="AX1" s="133"/>
      <c r="AY1" s="131" t="s">
        <v>67</v>
      </c>
      <c r="AZ1" s="132"/>
      <c r="BA1" s="132"/>
      <c r="BB1" s="133"/>
      <c r="BC1" s="131" t="s">
        <v>68</v>
      </c>
      <c r="BD1" s="132"/>
      <c r="BE1" s="132"/>
      <c r="BF1" s="132"/>
      <c r="BG1" s="133"/>
      <c r="BH1" s="131" t="s">
        <v>69</v>
      </c>
      <c r="BI1" s="132"/>
      <c r="BJ1" s="132"/>
      <c r="BK1" s="133"/>
    </row>
    <row r="2" spans="1:63" ht="15" customHeight="1" x14ac:dyDescent="0.25">
      <c r="A2" s="74" t="str">
        <f>IF(表紙!A2="","",表紙!A2)</f>
        <v>POSサーバー</v>
      </c>
      <c r="B2" s="75"/>
      <c r="C2" s="75"/>
      <c r="D2" s="75"/>
      <c r="E2" s="75"/>
      <c r="F2" s="75"/>
      <c r="G2" s="75"/>
      <c r="H2" s="75"/>
      <c r="I2" s="75"/>
      <c r="J2" s="76"/>
      <c r="K2" s="74" t="str">
        <f>IF(表紙!K2="","",表紙!K2)</f>
        <v>POSサーバ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224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6"/>
      <c r="AP2" s="140" t="str">
        <f>IF(表紙!AP2="","",表紙!AP2)</f>
        <v>DuNT</v>
      </c>
      <c r="AQ2" s="138"/>
      <c r="AR2" s="138"/>
      <c r="AS2" s="139"/>
      <c r="AT2" s="144">
        <f>IF(表紙!AT2="","",表紙!AT2)</f>
        <v>45461</v>
      </c>
      <c r="AU2" s="145"/>
      <c r="AV2" s="145"/>
      <c r="AW2" s="145"/>
      <c r="AX2" s="146"/>
      <c r="AY2" s="140" t="str">
        <f>IF(表紙!AY2="","",表紙!AY2)</f>
        <v>DuNT</v>
      </c>
      <c r="AZ2" s="138"/>
      <c r="BA2" s="138"/>
      <c r="BB2" s="139"/>
      <c r="BC2" s="144">
        <f>IF(表紙!BC2="","",表紙!BC2)</f>
        <v>45509</v>
      </c>
      <c r="BD2" s="145"/>
      <c r="BE2" s="145"/>
      <c r="BF2" s="145"/>
      <c r="BG2" s="146"/>
      <c r="BH2" s="140">
        <f>IF(表紙!BH2="","",表紙!BH2)</f>
        <v>0.2</v>
      </c>
      <c r="BI2" s="138"/>
      <c r="BJ2" s="138"/>
      <c r="BK2" s="139"/>
    </row>
    <row r="3" spans="1:63" ht="15" customHeight="1" x14ac:dyDescent="0.25">
      <c r="A3" s="77"/>
      <c r="B3" s="78"/>
      <c r="C3" s="78"/>
      <c r="D3" s="78"/>
      <c r="E3" s="78"/>
      <c r="F3" s="78"/>
      <c r="G3" s="78"/>
      <c r="H3" s="78"/>
      <c r="I3" s="78"/>
      <c r="J3" s="79"/>
      <c r="K3" s="77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  <c r="W3" s="227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9"/>
      <c r="AP3" s="150"/>
      <c r="AQ3" s="151"/>
      <c r="AR3" s="151"/>
      <c r="AS3" s="152"/>
      <c r="AT3" s="156"/>
      <c r="AU3" s="157"/>
      <c r="AV3" s="157"/>
      <c r="AW3" s="157"/>
      <c r="AX3" s="158"/>
      <c r="AY3" s="150"/>
      <c r="AZ3" s="151"/>
      <c r="BA3" s="151"/>
      <c r="BB3" s="152"/>
      <c r="BC3" s="156"/>
      <c r="BD3" s="157"/>
      <c r="BE3" s="157"/>
      <c r="BF3" s="157"/>
      <c r="BG3" s="158"/>
      <c r="BH3" s="150"/>
      <c r="BI3" s="151"/>
      <c r="BJ3" s="151"/>
      <c r="BK3" s="152"/>
    </row>
    <row r="4" spans="1:63" ht="24.95" customHeight="1" x14ac:dyDescent="0.25">
      <c r="A4" s="218" t="s">
        <v>71</v>
      </c>
      <c r="B4" s="219"/>
      <c r="C4" s="219"/>
      <c r="D4" s="219"/>
      <c r="E4" s="219"/>
      <c r="F4" s="219"/>
      <c r="G4" s="220"/>
      <c r="H4" s="92" t="str">
        <f>IF(表紙!H4="","",表紙!H4)</f>
        <v>AP1503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218" t="s">
        <v>72</v>
      </c>
      <c r="V4" s="219"/>
      <c r="W4" s="219"/>
      <c r="X4" s="219"/>
      <c r="Y4" s="220"/>
      <c r="Z4" s="92" t="str">
        <f>IF(表紙!Z4="","",表紙!Z4)</f>
        <v>API設計書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5" t="str">
        <f ca="1">MID(CELL("filename",A1),FIND("]",CELL("filename",A1))+1,255)</f>
        <v>テンプレート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93" customFormat="1" ht="15" customHeight="1" x14ac:dyDescent="0.25">
      <c r="BK7" s="295"/>
    </row>
    <row r="8" spans="1:63" s="293" customFormat="1" ht="15" customHeight="1" x14ac:dyDescent="0.25">
      <c r="BK8" s="295"/>
    </row>
    <row r="9" spans="1:63" s="293" customFormat="1" ht="15" customHeight="1" x14ac:dyDescent="0.25">
      <c r="BK9" s="295"/>
    </row>
    <row r="10" spans="1:63" s="293" customFormat="1" ht="15" customHeight="1" x14ac:dyDescent="0.25">
      <c r="BK10" s="295"/>
    </row>
    <row r="11" spans="1:63" s="293" customFormat="1" ht="15" customHeight="1" x14ac:dyDescent="0.25">
      <c r="BK11" s="295"/>
    </row>
    <row r="12" spans="1:63" s="293" customFormat="1" ht="15" customHeight="1" x14ac:dyDescent="0.25">
      <c r="BK12" s="295"/>
    </row>
    <row r="13" spans="1:63" s="293" customFormat="1" ht="15" customHeight="1" x14ac:dyDescent="0.25">
      <c r="BK13" s="295"/>
    </row>
    <row r="14" spans="1:63" s="293" customFormat="1" ht="15" customHeight="1" x14ac:dyDescent="0.25">
      <c r="BK14" s="295"/>
    </row>
    <row r="15" spans="1:63" s="293" customFormat="1" ht="15" customHeight="1" x14ac:dyDescent="0.25">
      <c r="BK15" s="295"/>
    </row>
    <row r="16" spans="1:63" s="293" customFormat="1" ht="15" customHeight="1" x14ac:dyDescent="0.25">
      <c r="BK16" s="295"/>
    </row>
    <row r="17" spans="63:63" s="293" customFormat="1" ht="15" customHeight="1" x14ac:dyDescent="0.25">
      <c r="BK17" s="295"/>
    </row>
    <row r="18" spans="63:63" s="293" customFormat="1" ht="15" customHeight="1" x14ac:dyDescent="0.25">
      <c r="BK18" s="295"/>
    </row>
    <row r="19" spans="63:63" s="293" customFormat="1" ht="15" customHeight="1" x14ac:dyDescent="0.25">
      <c r="BK19" s="295"/>
    </row>
    <row r="20" spans="63:63" s="293" customFormat="1" ht="15" customHeight="1" x14ac:dyDescent="0.25">
      <c r="BK20" s="295"/>
    </row>
    <row r="21" spans="63:63" s="293" customFormat="1" ht="15" customHeight="1" x14ac:dyDescent="0.25">
      <c r="BK21" s="295"/>
    </row>
    <row r="22" spans="63:63" s="293" customFormat="1" ht="15" customHeight="1" x14ac:dyDescent="0.25">
      <c r="BK22" s="295"/>
    </row>
    <row r="23" spans="63:63" s="293" customFormat="1" ht="15" customHeight="1" x14ac:dyDescent="0.25">
      <c r="BK23" s="295"/>
    </row>
    <row r="24" spans="63:63" s="293" customFormat="1" ht="15" customHeight="1" x14ac:dyDescent="0.25">
      <c r="BK24" s="295"/>
    </row>
    <row r="25" spans="63:63" s="293" customFormat="1" ht="15" customHeight="1" x14ac:dyDescent="0.25">
      <c r="BK25" s="295"/>
    </row>
    <row r="26" spans="63:63" s="293" customFormat="1" ht="15" customHeight="1" x14ac:dyDescent="0.25">
      <c r="BK26" s="295"/>
    </row>
    <row r="27" spans="63:63" s="293" customFormat="1" ht="15" customHeight="1" x14ac:dyDescent="0.25">
      <c r="BK27" s="295"/>
    </row>
    <row r="28" spans="63:63" s="293" customFormat="1" ht="15" customHeight="1" x14ac:dyDescent="0.25">
      <c r="BK28" s="295"/>
    </row>
    <row r="29" spans="63:63" s="293" customFormat="1" ht="15" customHeight="1" x14ac:dyDescent="0.25">
      <c r="BK29" s="295"/>
    </row>
    <row r="30" spans="63:63" s="293" customFormat="1" ht="15" customHeight="1" x14ac:dyDescent="0.25">
      <c r="BK30" s="295"/>
    </row>
    <row r="31" spans="63:63" s="293" customFormat="1" ht="15" customHeight="1" x14ac:dyDescent="0.25">
      <c r="BK31" s="295"/>
    </row>
    <row r="32" spans="63:63" s="293" customFormat="1" ht="15" customHeight="1" x14ac:dyDescent="0.25">
      <c r="BK32" s="295"/>
    </row>
    <row r="33" spans="63:63" s="293" customFormat="1" ht="15" customHeight="1" x14ac:dyDescent="0.25">
      <c r="BK33" s="295"/>
    </row>
    <row r="34" spans="63:63" s="293" customFormat="1" ht="15" customHeight="1" x14ac:dyDescent="0.25">
      <c r="BK34" s="295"/>
    </row>
    <row r="35" spans="63:63" s="293" customFormat="1" ht="15" customHeight="1" x14ac:dyDescent="0.25">
      <c r="BK35" s="295"/>
    </row>
    <row r="36" spans="63:63" s="293" customFormat="1" ht="15" customHeight="1" x14ac:dyDescent="0.25">
      <c r="BK36" s="295"/>
    </row>
    <row r="37" spans="63:63" s="293" customFormat="1" ht="15" customHeight="1" x14ac:dyDescent="0.25">
      <c r="BK37" s="295"/>
    </row>
    <row r="38" spans="63:63" s="293" customFormat="1" ht="15" customHeight="1" x14ac:dyDescent="0.25">
      <c r="BK38" s="295"/>
    </row>
    <row r="39" spans="63:63" s="293" customFormat="1" ht="15" customHeight="1" x14ac:dyDescent="0.25">
      <c r="BK39" s="295"/>
    </row>
    <row r="40" spans="63:63" s="293" customFormat="1" ht="15" customHeight="1" x14ac:dyDescent="0.25">
      <c r="BK40" s="295"/>
    </row>
    <row r="41" spans="63:63" s="293" customFormat="1" ht="15" customHeight="1" x14ac:dyDescent="0.25">
      <c r="BK41" s="295"/>
    </row>
    <row r="42" spans="63:63" s="293" customFormat="1" ht="15" customHeight="1" x14ac:dyDescent="0.25">
      <c r="BK42" s="295"/>
    </row>
    <row r="43" spans="63:63" s="293" customFormat="1" ht="15" customHeight="1" x14ac:dyDescent="0.25">
      <c r="BK43" s="295"/>
    </row>
    <row r="44" spans="63:63" s="293" customFormat="1" ht="15" customHeight="1" x14ac:dyDescent="0.25">
      <c r="BK44" s="295"/>
    </row>
    <row r="45" spans="63:63" s="293" customFormat="1" ht="15" customHeight="1" x14ac:dyDescent="0.25">
      <c r="BK45" s="295"/>
    </row>
    <row r="46" spans="63:63" s="293" customFormat="1" ht="15" customHeight="1" x14ac:dyDescent="0.25">
      <c r="BK46" s="295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0C2118-AB24-433D-9D3A-FEAB827B31DE}"/>
</file>

<file path=customXml/itemProps2.xml><?xml version="1.0" encoding="utf-8"?>
<ds:datastoreItem xmlns:ds="http://schemas.openxmlformats.org/officeDocument/2006/customXml" ds:itemID="{8161CAF4-E99D-4906-808C-B01D92AA396A}"/>
</file>

<file path=customXml/itemProps3.xml><?xml version="1.0" encoding="utf-8"?>
<ds:datastoreItem xmlns:ds="http://schemas.openxmlformats.org/officeDocument/2006/customXml" ds:itemID="{35DA802C-B764-441C-99B8-0D92A02F5E2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AP1503</vt:lpstr>
      <vt:lpstr>処理フロー</vt:lpstr>
      <vt:lpstr>テンプレート</vt:lpstr>
      <vt:lpstr>'AP1503'!Print_Area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2024-08-07T07:11:48Z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