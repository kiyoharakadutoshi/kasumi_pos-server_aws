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0A4A935-EBA0-4A78-BC68-B75DED3A14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0" sheetId="8" r:id="rId4"/>
    <sheet name="処理フロー" sheetId="9" r:id="rId5"/>
    <sheet name="テンプレート" sheetId="7" r:id="rId6"/>
  </sheets>
  <definedNames>
    <definedName name="_xlnm.Print_Area" localSheetId="3">'AP1510'!$A$1:$BK$69</definedName>
    <definedName name="_xlnm.Print_Area" localSheetId="5">テンプレート!$A$1:$BK$54</definedName>
    <definedName name="_xlnm.Print_Area" localSheetId="4">処理フロー!$A$1:$BK$42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P2" i="8"/>
  <c r="K2" i="8"/>
  <c r="A2" i="8"/>
  <c r="W1" i="8"/>
  <c r="AP4" i="10"/>
  <c r="Z4" i="10"/>
  <c r="H4" i="10"/>
  <c r="AT2" i="10"/>
  <c r="K2" i="10"/>
  <c r="A2" i="10"/>
  <c r="W1" i="10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8" s="1"/>
  <c r="AP2" i="4"/>
  <c r="AP2" i="10" s="1"/>
  <c r="BC2" i="3" l="1"/>
  <c r="BC2" i="10"/>
  <c r="BH2" i="8"/>
  <c r="AY2" i="7"/>
  <c r="AY2" i="8"/>
  <c r="BC2" i="9"/>
  <c r="AP2" i="7"/>
  <c r="BH2" i="7"/>
  <c r="AY2" i="3"/>
  <c r="AY2" i="10"/>
  <c r="BC2" i="8"/>
  <c r="AP2" i="9"/>
  <c r="BH2" i="9"/>
  <c r="AT2" i="7"/>
  <c r="AP2" i="3"/>
  <c r="BH2" i="3"/>
</calcChain>
</file>

<file path=xl/sharedStrings.xml><?xml version="1.0" encoding="utf-8"?>
<sst xmlns="http://schemas.openxmlformats.org/spreadsheetml/2006/main" count="164" uniqueCount="81">
  <si>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</si>
  <si>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</si>
  <si>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</si>
  <si>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</si>
  <si>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</si>
  <si>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</si>
  <si>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</si>
  <si>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</si>
  <si>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</si>
  <si>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</si>
  <si>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</si>
  <si>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</si>
  <si>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</si>
  <si>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</si>
  <si>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</si>
  <si>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</si>
  <si>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</si>
  <si>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</si>
  <si>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</si>
  <si>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</si>
  <si>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application/json</t>
    </r>
  </si>
  <si>
    <t>{</t>
  </si>
  <si>
    <t>}</t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</si>
  <si>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</si>
  <si>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store_code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</si>
  <si>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</si>
  <si>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</si>
  <si>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</si>
  <si>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</si>
  <si>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StoreMaster.Code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</si>
  <si>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</si>
  <si>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</si>
  <si>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</si>
  <si>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</si>
  <si>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</si>
  <si>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AP1510</t>
    </r>
  </si>
  <si>
    <r>
      <rPr>
        <sz val="11"/>
        <color rgb="FF000000"/>
        <rFont val="Meiryo UI"/>
        <family val="2"/>
      </rPr>
      <t>数値のみを生成対象とする。</t>
    </r>
  </si>
  <si>
    <r>
      <rPr>
        <sz val="11"/>
        <color rgb="FF000000"/>
        <rFont val="Meiryo UI"/>
        <family val="2"/>
      </rPr>
      <t>target_stores</t>
    </r>
  </si>
  <si>
    <r>
      <rPr>
        <sz val="11"/>
        <color rgb="FF000000"/>
        <rFont val="Meiryo UI"/>
        <family val="2"/>
      </rPr>
      <t>idの値を生成する店舗一覧</t>
    </r>
  </si>
  <si>
    <r>
      <rPr>
        <sz val="11"/>
        <color rgb="FF000000"/>
        <rFont val="Meiryo UI"/>
        <family val="2"/>
      </rPr>
      <t>id_value</t>
    </r>
  </si>
  <si>
    <r>
      <rPr>
        <sz val="11"/>
        <color rgb="FF000000"/>
        <rFont val="Meiryo UI"/>
        <family val="2"/>
      </rPr>
      <t>コピー時にプリセットレイアウトの情報が重複する場合、プリセットレイアウトコードを自動生成する。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</si>
  <si>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</si>
  <si>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api/v1/preset/generate-code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</si>
  <si>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</si>
  <si>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</si>
  <si>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</si>
  <si>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</si>
  <si>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</si>
  <si>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</si>
  <si>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</si>
  <si>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</si>
  <si>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</si>
  <si>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</si>
  <si>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</si>
  <si>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</si>
  <si>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</si>
  <si>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</si>
  <si>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</si>
  <si>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</si>
  <si>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</si>
  <si>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</si>
  <si>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</si>
  <si>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</si>
  <si>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</si>
  <si>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</si>
  <si>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</si>
  <si>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</si>
  <si>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</si>
  <si>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</si>
  <si>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</si>
  <si>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</si>
  <si>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</si>
  <si>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</si>
  <si>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"target_stores": "09154, 09156"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</si>
  <si>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</si>
  <si>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</si>
  <si>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</si>
  <si>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"items": [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</si>
  <si>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</si>
  <si>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"id_value":"101"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</si>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</sst>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7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11</xdr:row>
      <xdr:rowOff>0</xdr:rowOff>
    </xdr:from>
    <xdr:to>
      <xdr:col>62</xdr:col>
      <xdr:colOff>0</xdr:colOff>
      <xdr:row>13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381000"/>
        </a:xfrm>
        <a:prstGeom prst="borderCallout1">
          <a:avLst>
            <a:gd name="adj1" fmla="val 51887"/>
            <a:gd name="adj2" fmla="val 470"/>
            <a:gd name="adj3" fmla="val 52498"/>
            <a:gd name="adj4" fmla="val -9636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リクエストの店舗一覧配列をループする。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36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781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35</xdr:col>
      <xdr:colOff>0</xdr:colOff>
      <xdr:row>17</xdr:row>
      <xdr:rowOff>0</xdr:rowOff>
    </xdr:from>
    <xdr:to>
      <xdr:col>62</xdr:col>
      <xdr:colOff>0</xdr:colOff>
      <xdr:row>25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3352800"/>
          <a:ext cx="7200900" cy="1524000"/>
        </a:xfrm>
        <a:prstGeom prst="borderCallout1">
          <a:avLst>
            <a:gd name="adj1" fmla="val 51887"/>
            <a:gd name="adj2" fmla="val 470"/>
            <a:gd name="adj3" fmla="val 42682"/>
            <a:gd name="adj4" fmla="val -974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：現在作成対象idを含む列の値を確認する。1から始めて、欠けている値に出会ったら、その値を返す。その後、以下のステップを実行する。「3.対象店舗配列の最後の要素であるかを確認する」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LPAD(s.button_layout_code::text, 4, '0') AS missing_ids FROM generate_series(1, 9999) s(button_layout_code) WHERE NOT EXISTS (SELECT 1 FROM preset_menu_button_master WHERE LPAD(button_layout_code::text, 4, '0') = LPAD(s.button_layout_code::text, 4, '0') AND company_code = '1234567891' AND store_code = '1234' limit 1) limit 1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自動的にIDを生成する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232524</xdr:colOff>
      <xdr:row>22</xdr:row>
      <xdr:rowOff>0</xdr:rowOff>
    </xdr:from>
    <xdr:to>
      <xdr:col>6</xdr:col>
      <xdr:colOff>1</xdr:colOff>
      <xdr:row>25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9" idx="0"/>
        </xdr:cNvCxnSpPr>
      </xdr:nvCxnSpPr>
      <xdr:spPr>
        <a:xfrm flipH="1">
          <a:off x="1562100" y="4305300"/>
          <a:ext cx="3810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2209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対象店舗配列をループする。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5" idx="2"/>
          <a:endCxn id="8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232523</xdr:colOff>
      <xdr:row>25</xdr:row>
      <xdr:rowOff>0</xdr:rowOff>
    </xdr:from>
    <xdr:to>
      <xdr:col>9</xdr:col>
      <xdr:colOff>232524</xdr:colOff>
      <xdr:row>30</xdr:row>
      <xdr:rowOff>0</xdr:rowOff>
    </xdr:to>
    <xdr:sp macro="" textlink="" fLocksText="0">
      <xdr:nvSpPr>
        <xdr:cNvPr id="19" name="Flowchart: Decision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95300" y="4876800"/>
          <a:ext cx="21336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対象店舗配列の最後の要素であるかを確認する</a:t>
          </a:r>
        </a:p>
      </xdr:txBody>
    </xdr:sp>
    <xdr:clientData/>
  </xdr:twoCellAnchor>
  <xdr:twoCellAnchor>
    <xdr:from>
      <xdr:col>5</xdr:col>
      <xdr:colOff>0</xdr:colOff>
      <xdr:row>29</xdr:row>
      <xdr:rowOff>180975</xdr:rowOff>
    </xdr:from>
    <xdr:to>
      <xdr:col>7</xdr:col>
      <xdr:colOff>0</xdr:colOff>
      <xdr:row>31</xdr:row>
      <xdr:rowOff>0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333500" y="58197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12</xdr:col>
      <xdr:colOff>0</xdr:colOff>
      <xdr:row>28</xdr:row>
      <xdr:rowOff>0</xdr:rowOff>
    </xdr:to>
    <xdr:sp macro="" textlink="" fLocksText="0">
      <xdr:nvSpPr>
        <xdr:cNvPr id="21" name="Flowchart: Process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2667000" y="5257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</xdr:colOff>
      <xdr:row>35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11" idx="0"/>
        </xdr:cNvCxnSpPr>
      </xdr:nvCxnSpPr>
      <xdr:spPr>
        <a:xfrm flipH="1">
          <a:off x="1600200" y="6019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12</xdr:col>
      <xdr:colOff>0</xdr:colOff>
      <xdr:row>27</xdr:row>
      <xdr:rowOff>95250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1" idx="3"/>
          <a:endCxn id="5" idx="3"/>
        </xdr:cNvCxnSpPr>
      </xdr:nvCxnSpPr>
      <xdr:spPr>
        <a:xfrm flipH="1" flipV="1">
          <a:off x="2400300" y="2590800"/>
          <a:ext cx="800100" cy="2762250"/>
        </a:xfrm>
        <a:prstGeom prst="bentConnector3">
          <a:avLst>
            <a:gd name="adj1" fmla="val -323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43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44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97" t="s">
        <v>45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1" t="s">
        <v>51</v>
      </c>
      <c r="B2" s="101"/>
      <c r="C2" s="101"/>
      <c r="D2" s="101"/>
      <c r="E2" s="101"/>
      <c r="F2" s="101"/>
      <c r="G2" s="101"/>
      <c r="H2" s="101"/>
      <c r="I2" s="101"/>
      <c r="J2" s="102"/>
      <c r="K2" s="103" t="s">
        <v>1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改訂履歴!$H$11</f>
        <v>DuNT</v>
      </c>
      <c r="AQ2" s="101"/>
      <c r="AR2" s="101"/>
      <c r="AS2" s="102"/>
      <c r="AT2" s="107">
        <f>改訂履歴!$B$11</f>
        <v>45519</v>
      </c>
      <c r="AU2" s="108"/>
      <c r="AV2" s="108"/>
      <c r="AW2" s="108"/>
      <c r="AX2" s="109"/>
      <c r="AY2" s="103" t="str">
        <f>LOOKUP(2,1/(改訂履歴!H11:H30000&lt;&gt;""),改訂履歴!H11:H30000)</f>
        <v>DuNT</v>
      </c>
      <c r="AZ2" s="101"/>
      <c r="BA2" s="101"/>
      <c r="BB2" s="102"/>
      <c r="BC2" s="107">
        <f>LOOKUP(2,1/(改訂履歴!B11:B30000&lt;&gt;""),改訂履歴!B11:B30000)</f>
        <v>45519</v>
      </c>
      <c r="BD2" s="108"/>
      <c r="BE2" s="108"/>
      <c r="BF2" s="108"/>
      <c r="BG2" s="109"/>
      <c r="BH2" s="110">
        <f>LOOKUP(2,1/(改訂履歴!O11:O30000&lt;&gt;""),改訂履歴!O11:O30000)</f>
        <v>0.1</v>
      </c>
      <c r="BI2" s="111"/>
      <c r="BJ2" s="111"/>
      <c r="BK2" s="11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22"/>
      <c r="BI3" s="123"/>
      <c r="BJ3" s="123"/>
      <c r="BK3" s="124"/>
    </row>
    <row r="4" spans="1:63" ht="24.95" customHeight="1" x14ac:dyDescent="0.25">
      <c r="A4" s="94" t="s">
        <v>52</v>
      </c>
      <c r="B4" s="95"/>
      <c r="C4" s="95"/>
      <c r="D4" s="95"/>
      <c r="E4" s="95"/>
      <c r="F4" s="95"/>
      <c r="G4" s="96"/>
      <c r="H4" s="125" t="s">
        <v>35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53</v>
      </c>
      <c r="V4" s="95"/>
      <c r="W4" s="95"/>
      <c r="X4" s="95"/>
      <c r="Y4" s="96"/>
      <c r="Z4" s="46" t="s">
        <v>54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表紙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K10" s="132"/>
    </row>
    <row r="11" spans="1:63" ht="15" customHeight="1" x14ac:dyDescent="0.25">
      <c r="A11" s="131"/>
      <c r="BK11" s="132"/>
    </row>
    <row r="12" spans="1:63" ht="15" customHeight="1" x14ac:dyDescent="0.25">
      <c r="A12" s="131"/>
      <c r="BK12" s="132"/>
    </row>
    <row r="13" spans="1:63" ht="15" customHeight="1" x14ac:dyDescent="0.25">
      <c r="A13" s="131"/>
      <c r="BK13" s="132"/>
    </row>
    <row r="14" spans="1:63" ht="15" customHeight="1" thickBot="1" x14ac:dyDescent="0.3">
      <c r="A14" s="131"/>
      <c r="BK14" s="132"/>
    </row>
    <row r="15" spans="1:63" ht="15" customHeight="1" thickTop="1" x14ac:dyDescent="0.25">
      <c r="A15" s="131"/>
      <c r="K15" s="133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5"/>
      <c r="BK15" s="132"/>
    </row>
    <row r="16" spans="1:63" ht="15" customHeight="1" x14ac:dyDescent="0.25">
      <c r="A16" s="131"/>
      <c r="K16" s="136"/>
      <c r="L16" s="137" t="s">
        <v>55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9"/>
      <c r="BK16" s="132"/>
    </row>
    <row r="17" spans="1:63" ht="15" customHeight="1" x14ac:dyDescent="0.25">
      <c r="A17" s="131"/>
      <c r="K17" s="136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9"/>
      <c r="BK17" s="132"/>
    </row>
    <row r="18" spans="1:63" ht="15" customHeight="1" x14ac:dyDescent="0.25">
      <c r="A18" s="131"/>
      <c r="K18" s="136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9"/>
      <c r="BK18" s="132"/>
    </row>
    <row r="19" spans="1:63" ht="15" customHeight="1" x14ac:dyDescent="0.25">
      <c r="A19" s="131"/>
      <c r="K19" s="136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9"/>
      <c r="BK19" s="132"/>
    </row>
    <row r="20" spans="1:63" ht="15" customHeight="1" x14ac:dyDescent="0.25">
      <c r="A20" s="131"/>
      <c r="K20" s="136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9"/>
      <c r="BK20" s="132"/>
    </row>
    <row r="21" spans="1:63" ht="15" customHeight="1" x14ac:dyDescent="0.25">
      <c r="A21" s="131"/>
      <c r="K21" s="136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9"/>
      <c r="BK21" s="132"/>
    </row>
    <row r="22" spans="1:63" ht="15" customHeight="1" thickBot="1" x14ac:dyDescent="0.3">
      <c r="A22" s="131"/>
      <c r="K22" s="136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39"/>
      <c r="BK22" s="132"/>
    </row>
    <row r="23" spans="1:63" ht="15" customHeight="1" x14ac:dyDescent="0.25">
      <c r="A23" s="131"/>
      <c r="K23" s="136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1"/>
      <c r="AV23" s="141"/>
      <c r="AW23" s="141"/>
      <c r="AX23" s="141"/>
      <c r="AY23" s="141"/>
      <c r="AZ23" s="141"/>
      <c r="BA23" s="139"/>
      <c r="BK23" s="132"/>
    </row>
    <row r="24" spans="1:63" ht="15" customHeight="1" x14ac:dyDescent="0.25">
      <c r="A24" s="131"/>
      <c r="K24" s="136"/>
      <c r="L24" s="138" t="str">
        <f>K2&amp;"/"&amp;H4&amp;"/"&amp;Z4</f>
        <v>POSサーバ/AP1510/API設計書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9"/>
      <c r="BK24" s="132"/>
    </row>
    <row r="25" spans="1:63" ht="15" customHeight="1" x14ac:dyDescent="0.25">
      <c r="A25" s="131"/>
      <c r="K25" s="136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9"/>
      <c r="BK25" s="132"/>
    </row>
    <row r="26" spans="1:63" ht="15" customHeight="1" x14ac:dyDescent="0.25">
      <c r="A26" s="131"/>
      <c r="K26" s="136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9"/>
      <c r="BK26" s="132"/>
    </row>
    <row r="27" spans="1:63" ht="15" customHeight="1" x14ac:dyDescent="0.25">
      <c r="A27" s="131"/>
      <c r="K27" s="136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9"/>
      <c r="BK27" s="132"/>
    </row>
    <row r="28" spans="1:63" ht="15" customHeight="1" x14ac:dyDescent="0.25">
      <c r="A28" s="131"/>
      <c r="K28" s="136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9"/>
      <c r="BK28" s="132"/>
    </row>
    <row r="29" spans="1:63" ht="15" customHeight="1" x14ac:dyDescent="0.25">
      <c r="A29" s="131"/>
      <c r="K29" s="136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9"/>
      <c r="BK29" s="132"/>
    </row>
    <row r="30" spans="1:63" ht="15" customHeight="1" x14ac:dyDescent="0.25">
      <c r="A30" s="131"/>
      <c r="K30" s="136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9"/>
      <c r="BK30" s="132"/>
    </row>
    <row r="31" spans="1:63" ht="15" customHeight="1" x14ac:dyDescent="0.25">
      <c r="A31" s="131"/>
      <c r="K31" s="136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9"/>
      <c r="BK31" s="132"/>
    </row>
    <row r="32" spans="1:63" ht="15" customHeight="1" x14ac:dyDescent="0.25">
      <c r="A32" s="131"/>
      <c r="K32" s="136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8"/>
      <c r="AX32" s="138"/>
      <c r="AY32" s="138"/>
      <c r="AZ32" s="138"/>
      <c r="BA32" s="139"/>
      <c r="BK32" s="132"/>
    </row>
    <row r="33" spans="1:63" ht="15" customHeight="1" x14ac:dyDescent="0.25">
      <c r="A33" s="131"/>
      <c r="K33" s="136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8"/>
      <c r="AD33" s="138"/>
      <c r="AE33" s="138"/>
      <c r="AF33" s="138"/>
      <c r="AG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9"/>
      <c r="BK33" s="132"/>
    </row>
    <row r="34" spans="1:63" ht="15" customHeight="1" x14ac:dyDescent="0.25">
      <c r="A34" s="131"/>
      <c r="K34" s="136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9"/>
      <c r="BK34" s="132"/>
    </row>
    <row r="35" spans="1:63" ht="15" customHeight="1" x14ac:dyDescent="0.25">
      <c r="A35" s="131"/>
      <c r="K35" s="136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9"/>
      <c r="BK35" s="132"/>
    </row>
    <row r="36" spans="1:63" ht="15" customHeight="1" x14ac:dyDescent="0.25">
      <c r="A36" s="131"/>
      <c r="K36" s="136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8"/>
      <c r="AX36" s="138"/>
      <c r="AY36" s="138"/>
      <c r="AZ36" s="138"/>
      <c r="BA36" s="139"/>
      <c r="BK36" s="132"/>
    </row>
    <row r="37" spans="1:63" ht="15" customHeight="1" thickBot="1" x14ac:dyDescent="0.3">
      <c r="A37" s="131"/>
      <c r="K37" s="142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4"/>
      <c r="BK37" s="132"/>
    </row>
    <row r="38" spans="1:63" ht="15" customHeight="1" thickTop="1" x14ac:dyDescent="0.25">
      <c r="A38" s="131"/>
      <c r="BK38" s="132"/>
    </row>
    <row r="39" spans="1:63" ht="15" customHeight="1" x14ac:dyDescent="0.25">
      <c r="A39" s="131"/>
      <c r="BK39" s="132"/>
    </row>
    <row r="40" spans="1:63" ht="15" customHeight="1" x14ac:dyDescent="0.25">
      <c r="A40" s="131"/>
      <c r="BK40" s="132"/>
    </row>
    <row r="41" spans="1:63" ht="15" customHeight="1" x14ac:dyDescent="0.25">
      <c r="A41" s="131"/>
      <c r="BK41" s="132"/>
    </row>
    <row r="42" spans="1:63" ht="15" customHeight="1" x14ac:dyDescent="0.25">
      <c r="A42" s="131"/>
      <c r="BK42" s="132"/>
    </row>
    <row r="43" spans="1:63" ht="15" customHeight="1" x14ac:dyDescent="0.25">
      <c r="A43" s="131"/>
      <c r="BK43" s="132"/>
    </row>
    <row r="44" spans="1:63" ht="15" customHeight="1" x14ac:dyDescent="0.25">
      <c r="A44" s="131"/>
      <c r="Q44" s="145" t="s">
        <v>56</v>
      </c>
      <c r="R44" s="146"/>
      <c r="S44" s="146"/>
      <c r="T44" s="146"/>
      <c r="U44" s="146"/>
      <c r="V44" s="146"/>
      <c r="W44" s="146"/>
      <c r="X44" s="146"/>
      <c r="Y44" s="146"/>
      <c r="Z44" s="147"/>
      <c r="AA44" s="145" t="s">
        <v>57</v>
      </c>
      <c r="AB44" s="146"/>
      <c r="AC44" s="146"/>
      <c r="AD44" s="146"/>
      <c r="AE44" s="146"/>
      <c r="AF44" s="146"/>
      <c r="AG44" s="146"/>
      <c r="AH44" s="146"/>
      <c r="AI44" s="146"/>
      <c r="AJ44" s="146"/>
      <c r="AK44" s="146"/>
      <c r="AL44" s="146"/>
      <c r="AM44" s="146"/>
      <c r="AN44" s="146"/>
      <c r="AO44" s="146"/>
      <c r="AP44" s="147"/>
      <c r="AQ44" s="145" t="s">
        <v>50</v>
      </c>
      <c r="AR44" s="146"/>
      <c r="AS44" s="146"/>
      <c r="AT44" s="146"/>
      <c r="AU44" s="147"/>
      <c r="BK44" s="132"/>
    </row>
    <row r="45" spans="1:63" ht="15" customHeight="1" x14ac:dyDescent="0.25">
      <c r="A45" s="131"/>
      <c r="Q45" s="148"/>
      <c r="R45" s="149"/>
      <c r="S45" s="149"/>
      <c r="T45" s="149"/>
      <c r="U45" s="149"/>
      <c r="V45" s="149"/>
      <c r="W45" s="149"/>
      <c r="X45" s="149"/>
      <c r="Y45" s="149"/>
      <c r="Z45" s="150"/>
      <c r="AA45" s="148"/>
      <c r="AB45" s="149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50"/>
      <c r="AQ45" s="148"/>
      <c r="AR45" s="149"/>
      <c r="AS45" s="149"/>
      <c r="AT45" s="149"/>
      <c r="AU45" s="150"/>
      <c r="BK45" s="132"/>
    </row>
    <row r="46" spans="1:63" ht="15" customHeight="1" x14ac:dyDescent="0.25">
      <c r="A46" s="131"/>
      <c r="Q46" s="103"/>
      <c r="R46" s="101"/>
      <c r="S46" s="101"/>
      <c r="T46" s="101"/>
      <c r="U46" s="101"/>
      <c r="V46" s="101"/>
      <c r="W46" s="101"/>
      <c r="X46" s="101"/>
      <c r="Y46" s="101"/>
      <c r="Z46" s="102"/>
      <c r="AA46" s="103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2"/>
      <c r="AQ46" s="103"/>
      <c r="AR46" s="101"/>
      <c r="AS46" s="101"/>
      <c r="AT46" s="101"/>
      <c r="AU46" s="102"/>
      <c r="BK46" s="132"/>
    </row>
    <row r="47" spans="1:63" ht="15" customHeight="1" x14ac:dyDescent="0.25">
      <c r="A47" s="131"/>
      <c r="Q47" s="151"/>
      <c r="R47" s="152"/>
      <c r="S47" s="152"/>
      <c r="T47" s="152"/>
      <c r="U47" s="152"/>
      <c r="V47" s="152"/>
      <c r="W47" s="152"/>
      <c r="X47" s="152"/>
      <c r="Y47" s="152"/>
      <c r="Z47" s="153"/>
      <c r="AA47" s="151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3"/>
      <c r="AQ47" s="151"/>
      <c r="AR47" s="152"/>
      <c r="AS47" s="152"/>
      <c r="AT47" s="152"/>
      <c r="AU47" s="153"/>
      <c r="BK47" s="132"/>
    </row>
    <row r="48" spans="1:63" ht="15" customHeight="1" x14ac:dyDescent="0.25">
      <c r="A48" s="131"/>
      <c r="Q48" s="151"/>
      <c r="R48" s="152"/>
      <c r="S48" s="152"/>
      <c r="T48" s="152"/>
      <c r="U48" s="152"/>
      <c r="V48" s="152"/>
      <c r="W48" s="152"/>
      <c r="X48" s="152"/>
      <c r="Y48" s="152"/>
      <c r="Z48" s="153"/>
      <c r="AA48" s="151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3"/>
      <c r="AQ48" s="151"/>
      <c r="AR48" s="152"/>
      <c r="AS48" s="152"/>
      <c r="AT48" s="152"/>
      <c r="AU48" s="153"/>
      <c r="BK48" s="132"/>
    </row>
    <row r="49" spans="1:63" ht="15" customHeight="1" x14ac:dyDescent="0.25">
      <c r="A49" s="131"/>
      <c r="Q49" s="113"/>
      <c r="R49" s="114"/>
      <c r="S49" s="114"/>
      <c r="T49" s="114"/>
      <c r="U49" s="114"/>
      <c r="V49" s="114"/>
      <c r="W49" s="114"/>
      <c r="X49" s="114"/>
      <c r="Y49" s="114"/>
      <c r="Z49" s="115"/>
      <c r="AA49" s="113"/>
      <c r="AB49" s="114"/>
      <c r="AC49" s="114"/>
      <c r="AD49" s="114"/>
      <c r="AE49" s="114"/>
      <c r="AF49" s="114"/>
      <c r="AG49" s="114"/>
      <c r="AH49" s="114"/>
      <c r="AI49" s="114"/>
      <c r="AJ49" s="114"/>
      <c r="AK49" s="114"/>
      <c r="AL49" s="114"/>
      <c r="AM49" s="114"/>
      <c r="AN49" s="114"/>
      <c r="AO49" s="114"/>
      <c r="AP49" s="115"/>
      <c r="AQ49" s="113"/>
      <c r="AR49" s="114"/>
      <c r="AS49" s="114"/>
      <c r="AT49" s="114"/>
      <c r="AU49" s="115"/>
      <c r="BK49" s="132"/>
    </row>
    <row r="50" spans="1:63" ht="15" customHeight="1" x14ac:dyDescent="0.25">
      <c r="A50" s="131"/>
      <c r="BK50" s="132"/>
    </row>
    <row r="51" spans="1:63" ht="15" customHeight="1" x14ac:dyDescent="0.25">
      <c r="A51" s="131"/>
      <c r="BK51" s="132"/>
    </row>
    <row r="52" spans="1:63" ht="15" customHeight="1" x14ac:dyDescent="0.25">
      <c r="A52" s="131"/>
      <c r="BK52" s="132"/>
    </row>
    <row r="53" spans="1:63" ht="15" customHeight="1" x14ac:dyDescent="0.25">
      <c r="A53" s="131"/>
      <c r="BK53" s="132"/>
    </row>
    <row r="54" spans="1:63" ht="15" customHeight="1" x14ac:dyDescent="0.25">
      <c r="A54" s="131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00" customWidth="1"/>
    <col min="61" max="16384" width="2.77734375" style="100"/>
  </cols>
  <sheetData>
    <row r="1" spans="1:63" ht="24.95" customHeight="1" x14ac:dyDescent="0.25">
      <c r="A1" s="94" t="s">
        <v>43</v>
      </c>
      <c r="B1" s="95"/>
      <c r="C1" s="95"/>
      <c r="D1" s="95"/>
      <c r="E1" s="95"/>
      <c r="F1" s="95"/>
      <c r="G1" s="95"/>
      <c r="H1" s="95"/>
      <c r="I1" s="95"/>
      <c r="J1" s="96"/>
      <c r="K1" s="94" t="s">
        <v>44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6"/>
      <c r="W1" s="154" t="str">
        <f>IF(表紙!W1="","",表紙!W1)</f>
        <v>詳細設計書</v>
      </c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9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103" t="str">
        <f>IF(表紙!A2="","",表紙!A2)</f>
        <v>POSサーバー</v>
      </c>
      <c r="B2" s="101"/>
      <c r="C2" s="101"/>
      <c r="D2" s="101"/>
      <c r="E2" s="101"/>
      <c r="F2" s="101"/>
      <c r="G2" s="101"/>
      <c r="H2" s="101"/>
      <c r="I2" s="101"/>
      <c r="J2" s="102"/>
      <c r="K2" s="103" t="str">
        <f>IF(表紙!K2="","",表紙!K2)</f>
        <v>POSサーバ</v>
      </c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2"/>
      <c r="W2" s="104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6"/>
      <c r="AP2" s="103" t="str">
        <f>IF(表紙!AP2="","",表紙!AP2)</f>
        <v>DuNT</v>
      </c>
      <c r="AQ2" s="101"/>
      <c r="AR2" s="101"/>
      <c r="AS2" s="102"/>
      <c r="AT2" s="107">
        <f>IF(表紙!AT2="","",表紙!AT2)</f>
        <v>45519</v>
      </c>
      <c r="AU2" s="108"/>
      <c r="AV2" s="108"/>
      <c r="AW2" s="108"/>
      <c r="AX2" s="109"/>
      <c r="AY2" s="103" t="str">
        <f>IF(表紙!AY2="","",表紙!AY2)</f>
        <v>DuNT</v>
      </c>
      <c r="AZ2" s="101"/>
      <c r="BA2" s="101"/>
      <c r="BB2" s="102"/>
      <c r="BC2" s="107">
        <f>IF(表紙!BC2="","",表紙!BC2)</f>
        <v>45519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5"/>
      <c r="K3" s="113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5"/>
      <c r="W3" s="116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8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94" t="s">
        <v>58</v>
      </c>
      <c r="B4" s="95"/>
      <c r="C4" s="95"/>
      <c r="D4" s="95"/>
      <c r="E4" s="95"/>
      <c r="F4" s="95"/>
      <c r="G4" s="96"/>
      <c r="H4" s="125" t="str">
        <f>IF(表紙!H4="","",表紙!H4)</f>
        <v>AP1510</v>
      </c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94" t="s">
        <v>53</v>
      </c>
      <c r="V4" s="95"/>
      <c r="W4" s="95"/>
      <c r="X4" s="95"/>
      <c r="Y4" s="96"/>
      <c r="Z4" s="125" t="str">
        <f>IF(表紙!Z4="","",表紙!Z4)</f>
        <v>API設計書</v>
      </c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7"/>
      <c r="AP4" s="125" t="str">
        <f t="array" aca="1" ref="AP4" ca="1">RIGHT(CELL("filename",$A$1),LEN(CELL("filename",$A$1))-FIND("]",CELL("filename",$A$1)))</f>
        <v>改訂履歴</v>
      </c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7"/>
    </row>
    <row r="5" spans="1:63" ht="5.0999999999999996" customHeight="1" x14ac:dyDescent="0.25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30"/>
    </row>
    <row r="6" spans="1:63" ht="15" customHeight="1" x14ac:dyDescent="0.25">
      <c r="A6" s="131"/>
      <c r="BK6" s="132"/>
    </row>
    <row r="7" spans="1:63" ht="15" customHeight="1" x14ac:dyDescent="0.25">
      <c r="A7" s="131"/>
      <c r="BK7" s="132"/>
    </row>
    <row r="8" spans="1:63" ht="15" customHeight="1" x14ac:dyDescent="0.25">
      <c r="A8" s="131"/>
      <c r="B8" s="100" t="s">
        <v>0</v>
      </c>
      <c r="BK8" s="132"/>
    </row>
    <row r="9" spans="1:63" ht="15" customHeight="1" x14ac:dyDescent="0.25">
      <c r="A9" s="131"/>
      <c r="BK9" s="132"/>
    </row>
    <row r="10" spans="1:63" ht="15" customHeight="1" x14ac:dyDescent="0.25">
      <c r="A10" s="131"/>
      <c r="B10" s="155" t="s">
        <v>49</v>
      </c>
      <c r="C10" s="155"/>
      <c r="D10" s="155"/>
      <c r="E10" s="155"/>
      <c r="F10" s="155"/>
      <c r="G10" s="155"/>
      <c r="H10" s="155" t="s">
        <v>48</v>
      </c>
      <c r="I10" s="155"/>
      <c r="J10" s="155"/>
      <c r="K10" s="155"/>
      <c r="L10" s="155"/>
      <c r="M10" s="155"/>
      <c r="N10" s="155"/>
      <c r="O10" s="155" t="s">
        <v>50</v>
      </c>
      <c r="P10" s="155"/>
      <c r="Q10" s="155"/>
      <c r="R10" s="155"/>
      <c r="S10" s="155" t="s">
        <v>59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 t="s">
        <v>56</v>
      </c>
      <c r="AY10" s="155"/>
      <c r="AZ10" s="155"/>
      <c r="BA10" s="155"/>
      <c r="BB10" s="155"/>
      <c r="BC10" s="155"/>
      <c r="BD10" s="155" t="s">
        <v>57</v>
      </c>
      <c r="BE10" s="155"/>
      <c r="BF10" s="155"/>
      <c r="BG10" s="155"/>
      <c r="BH10" s="155"/>
      <c r="BI10" s="155"/>
      <c r="BJ10" s="155"/>
      <c r="BK10" s="132"/>
    </row>
    <row r="11" spans="1:63" ht="15" customHeight="1" x14ac:dyDescent="0.25">
      <c r="A11" s="131"/>
      <c r="B11" s="107">
        <v>45519</v>
      </c>
      <c r="C11" s="101"/>
      <c r="D11" s="101"/>
      <c r="E11" s="101"/>
      <c r="F11" s="101"/>
      <c r="G11" s="102"/>
      <c r="H11" s="1" t="s">
        <v>60</v>
      </c>
      <c r="I11" s="101"/>
      <c r="J11" s="101"/>
      <c r="K11" s="101"/>
      <c r="L11" s="101"/>
      <c r="M11" s="101"/>
      <c r="N11" s="102"/>
      <c r="O11" s="103">
        <v>0.1</v>
      </c>
      <c r="P11" s="101"/>
      <c r="Q11" s="101"/>
      <c r="R11" s="101"/>
      <c r="S11" s="156" t="s">
        <v>2</v>
      </c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8"/>
      <c r="AX11" s="159"/>
      <c r="AY11" s="159"/>
      <c r="AZ11" s="159"/>
      <c r="BA11" s="159"/>
      <c r="BB11" s="159"/>
      <c r="BC11" s="160"/>
      <c r="BD11" s="161"/>
      <c r="BE11" s="159"/>
      <c r="BF11" s="159"/>
      <c r="BG11" s="159"/>
      <c r="BH11" s="159"/>
      <c r="BI11" s="159"/>
      <c r="BJ11" s="160"/>
      <c r="BK11" s="132"/>
    </row>
    <row r="12" spans="1:63" ht="15" customHeight="1" x14ac:dyDescent="0.25">
      <c r="A12" s="131"/>
      <c r="B12" s="113"/>
      <c r="C12" s="114"/>
      <c r="D12" s="114"/>
      <c r="E12" s="114"/>
      <c r="F12" s="114"/>
      <c r="G12" s="115"/>
      <c r="H12" s="113"/>
      <c r="I12" s="114"/>
      <c r="J12" s="114"/>
      <c r="K12" s="114"/>
      <c r="L12" s="114"/>
      <c r="M12" s="114"/>
      <c r="N12" s="115"/>
      <c r="O12" s="113"/>
      <c r="P12" s="114"/>
      <c r="Q12" s="114"/>
      <c r="R12" s="114"/>
      <c r="S12" s="162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4"/>
      <c r="AX12" s="165"/>
      <c r="AY12" s="165"/>
      <c r="AZ12" s="165"/>
      <c r="BA12" s="165"/>
      <c r="BB12" s="165"/>
      <c r="BC12" s="166"/>
      <c r="BD12" s="167"/>
      <c r="BE12" s="165"/>
      <c r="BF12" s="165"/>
      <c r="BG12" s="165"/>
      <c r="BH12" s="165"/>
      <c r="BI12" s="165"/>
      <c r="BJ12" s="166"/>
      <c r="BK12" s="132"/>
    </row>
    <row r="13" spans="1:63" ht="15" customHeight="1" x14ac:dyDescent="0.25">
      <c r="A13" s="131"/>
      <c r="B13" s="107"/>
      <c r="C13" s="101"/>
      <c r="D13" s="101"/>
      <c r="E13" s="101"/>
      <c r="F13" s="101"/>
      <c r="G13" s="102"/>
      <c r="H13" s="103"/>
      <c r="I13" s="101"/>
      <c r="J13" s="101"/>
      <c r="K13" s="101"/>
      <c r="L13" s="101"/>
      <c r="M13" s="101"/>
      <c r="N13" s="102"/>
      <c r="O13" s="103"/>
      <c r="P13" s="101"/>
      <c r="Q13" s="101"/>
      <c r="R13" s="101"/>
      <c r="S13" s="156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8"/>
      <c r="AX13" s="159"/>
      <c r="AY13" s="159"/>
      <c r="AZ13" s="159"/>
      <c r="BA13" s="159"/>
      <c r="BB13" s="159"/>
      <c r="BC13" s="160"/>
      <c r="BD13" s="161"/>
      <c r="BE13" s="159"/>
      <c r="BF13" s="159"/>
      <c r="BG13" s="159"/>
      <c r="BH13" s="159"/>
      <c r="BI13" s="159"/>
      <c r="BJ13" s="160"/>
      <c r="BK13" s="132"/>
    </row>
    <row r="14" spans="1:63" ht="15" customHeight="1" x14ac:dyDescent="0.25">
      <c r="A14" s="131"/>
      <c r="B14" s="113"/>
      <c r="C14" s="114"/>
      <c r="D14" s="114"/>
      <c r="E14" s="114"/>
      <c r="F14" s="114"/>
      <c r="G14" s="115"/>
      <c r="H14" s="113"/>
      <c r="I14" s="114"/>
      <c r="J14" s="114"/>
      <c r="K14" s="114"/>
      <c r="L14" s="114"/>
      <c r="M14" s="114"/>
      <c r="N14" s="115"/>
      <c r="O14" s="113"/>
      <c r="P14" s="114"/>
      <c r="Q14" s="114"/>
      <c r="R14" s="114"/>
      <c r="S14" s="162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3"/>
      <c r="AM14" s="163"/>
      <c r="AN14" s="163"/>
      <c r="AO14" s="163"/>
      <c r="AP14" s="163"/>
      <c r="AQ14" s="163"/>
      <c r="AR14" s="163"/>
      <c r="AS14" s="163"/>
      <c r="AT14" s="163"/>
      <c r="AU14" s="163"/>
      <c r="AV14" s="163"/>
      <c r="AW14" s="164"/>
      <c r="AX14" s="165"/>
      <c r="AY14" s="165"/>
      <c r="AZ14" s="165"/>
      <c r="BA14" s="165"/>
      <c r="BB14" s="165"/>
      <c r="BC14" s="166"/>
      <c r="BD14" s="167"/>
      <c r="BE14" s="165"/>
      <c r="BF14" s="165"/>
      <c r="BG14" s="165"/>
      <c r="BH14" s="165"/>
      <c r="BI14" s="165"/>
      <c r="BJ14" s="166"/>
      <c r="BK14" s="132"/>
    </row>
    <row r="15" spans="1:63" ht="15" customHeight="1" x14ac:dyDescent="0.25">
      <c r="A15" s="131"/>
      <c r="B15" s="103"/>
      <c r="C15" s="101"/>
      <c r="D15" s="101"/>
      <c r="E15" s="101"/>
      <c r="F15" s="101"/>
      <c r="G15" s="102"/>
      <c r="H15" s="103"/>
      <c r="I15" s="101"/>
      <c r="J15" s="101"/>
      <c r="K15" s="101"/>
      <c r="L15" s="101"/>
      <c r="M15" s="101"/>
      <c r="N15" s="102"/>
      <c r="O15" s="103"/>
      <c r="P15" s="101"/>
      <c r="Q15" s="101"/>
      <c r="R15" s="101"/>
      <c r="S15" s="156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8"/>
      <c r="AX15" s="159"/>
      <c r="AY15" s="159"/>
      <c r="AZ15" s="159"/>
      <c r="BA15" s="159"/>
      <c r="BB15" s="159"/>
      <c r="BC15" s="160"/>
      <c r="BD15" s="161"/>
      <c r="BE15" s="159"/>
      <c r="BF15" s="159"/>
      <c r="BG15" s="159"/>
      <c r="BH15" s="159"/>
      <c r="BI15" s="159"/>
      <c r="BJ15" s="160"/>
      <c r="BK15" s="132"/>
    </row>
    <row r="16" spans="1:63" ht="15" customHeight="1" x14ac:dyDescent="0.25">
      <c r="A16" s="131"/>
      <c r="B16" s="113"/>
      <c r="C16" s="114"/>
      <c r="D16" s="114"/>
      <c r="E16" s="114"/>
      <c r="F16" s="114"/>
      <c r="G16" s="115"/>
      <c r="H16" s="113"/>
      <c r="I16" s="114"/>
      <c r="J16" s="114"/>
      <c r="K16" s="114"/>
      <c r="L16" s="114"/>
      <c r="M16" s="114"/>
      <c r="N16" s="115"/>
      <c r="O16" s="113"/>
      <c r="P16" s="114"/>
      <c r="Q16" s="114"/>
      <c r="R16" s="114"/>
      <c r="S16" s="162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4"/>
      <c r="AX16" s="165"/>
      <c r="AY16" s="165"/>
      <c r="AZ16" s="165"/>
      <c r="BA16" s="165"/>
      <c r="BB16" s="165"/>
      <c r="BC16" s="166"/>
      <c r="BD16" s="167"/>
      <c r="BE16" s="165"/>
      <c r="BF16" s="165"/>
      <c r="BG16" s="165"/>
      <c r="BH16" s="165"/>
      <c r="BI16" s="165"/>
      <c r="BJ16" s="166"/>
      <c r="BK16" s="132"/>
    </row>
    <row r="17" spans="1:63" ht="15" customHeight="1" x14ac:dyDescent="0.25">
      <c r="A17" s="131"/>
      <c r="B17" s="103"/>
      <c r="C17" s="101"/>
      <c r="D17" s="101"/>
      <c r="E17" s="101"/>
      <c r="F17" s="101"/>
      <c r="G17" s="102"/>
      <c r="H17" s="103"/>
      <c r="I17" s="101"/>
      <c r="J17" s="101"/>
      <c r="K17" s="101"/>
      <c r="L17" s="101"/>
      <c r="M17" s="101"/>
      <c r="N17" s="102"/>
      <c r="O17" s="103"/>
      <c r="P17" s="101"/>
      <c r="Q17" s="101"/>
      <c r="R17" s="101"/>
      <c r="S17" s="156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8"/>
      <c r="AX17" s="159"/>
      <c r="AY17" s="159"/>
      <c r="AZ17" s="159"/>
      <c r="BA17" s="159"/>
      <c r="BB17" s="159"/>
      <c r="BC17" s="160"/>
      <c r="BD17" s="161"/>
      <c r="BE17" s="159"/>
      <c r="BF17" s="159"/>
      <c r="BG17" s="159"/>
      <c r="BH17" s="159"/>
      <c r="BI17" s="159"/>
      <c r="BJ17" s="160"/>
      <c r="BK17" s="132"/>
    </row>
    <row r="18" spans="1:63" ht="15" customHeight="1" x14ac:dyDescent="0.25">
      <c r="A18" s="131"/>
      <c r="B18" s="113"/>
      <c r="C18" s="114"/>
      <c r="D18" s="114"/>
      <c r="E18" s="114"/>
      <c r="F18" s="114"/>
      <c r="G18" s="115"/>
      <c r="H18" s="113"/>
      <c r="I18" s="114"/>
      <c r="J18" s="114"/>
      <c r="K18" s="114"/>
      <c r="L18" s="114"/>
      <c r="M18" s="114"/>
      <c r="N18" s="115"/>
      <c r="O18" s="113"/>
      <c r="P18" s="114"/>
      <c r="Q18" s="114"/>
      <c r="R18" s="114"/>
      <c r="S18" s="162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4"/>
      <c r="AX18" s="165"/>
      <c r="AY18" s="165"/>
      <c r="AZ18" s="165"/>
      <c r="BA18" s="165"/>
      <c r="BB18" s="165"/>
      <c r="BC18" s="166"/>
      <c r="BD18" s="167"/>
      <c r="BE18" s="165"/>
      <c r="BF18" s="165"/>
      <c r="BG18" s="165"/>
      <c r="BH18" s="165"/>
      <c r="BI18" s="165"/>
      <c r="BJ18" s="166"/>
      <c r="BK18" s="132"/>
    </row>
    <row r="19" spans="1:63" ht="15" customHeight="1" x14ac:dyDescent="0.25">
      <c r="A19" s="131"/>
      <c r="B19" s="103"/>
      <c r="C19" s="101"/>
      <c r="D19" s="101"/>
      <c r="E19" s="101"/>
      <c r="F19" s="101"/>
      <c r="G19" s="102"/>
      <c r="H19" s="103"/>
      <c r="I19" s="101"/>
      <c r="J19" s="101"/>
      <c r="K19" s="101"/>
      <c r="L19" s="101"/>
      <c r="M19" s="101"/>
      <c r="N19" s="102"/>
      <c r="O19" s="103"/>
      <c r="P19" s="101"/>
      <c r="Q19" s="101"/>
      <c r="R19" s="101"/>
      <c r="S19" s="156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8"/>
      <c r="AX19" s="159"/>
      <c r="AY19" s="159"/>
      <c r="AZ19" s="159"/>
      <c r="BA19" s="159"/>
      <c r="BB19" s="159"/>
      <c r="BC19" s="160"/>
      <c r="BD19" s="161"/>
      <c r="BE19" s="159"/>
      <c r="BF19" s="159"/>
      <c r="BG19" s="159"/>
      <c r="BH19" s="159"/>
      <c r="BI19" s="159"/>
      <c r="BJ19" s="160"/>
      <c r="BK19" s="132"/>
    </row>
    <row r="20" spans="1:63" ht="15" customHeight="1" x14ac:dyDescent="0.25">
      <c r="A20" s="131"/>
      <c r="B20" s="113"/>
      <c r="C20" s="114"/>
      <c r="D20" s="114"/>
      <c r="E20" s="114"/>
      <c r="F20" s="114"/>
      <c r="G20" s="115"/>
      <c r="H20" s="113"/>
      <c r="I20" s="114"/>
      <c r="J20" s="114"/>
      <c r="K20" s="114"/>
      <c r="L20" s="114"/>
      <c r="M20" s="114"/>
      <c r="N20" s="115"/>
      <c r="O20" s="113"/>
      <c r="P20" s="114"/>
      <c r="Q20" s="114"/>
      <c r="R20" s="114"/>
      <c r="S20" s="162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4"/>
      <c r="AX20" s="165"/>
      <c r="AY20" s="165"/>
      <c r="AZ20" s="165"/>
      <c r="BA20" s="165"/>
      <c r="BB20" s="165"/>
      <c r="BC20" s="166"/>
      <c r="BD20" s="167"/>
      <c r="BE20" s="165"/>
      <c r="BF20" s="165"/>
      <c r="BG20" s="165"/>
      <c r="BH20" s="165"/>
      <c r="BI20" s="165"/>
      <c r="BJ20" s="166"/>
      <c r="BK20" s="132"/>
    </row>
    <row r="21" spans="1:63" ht="15" customHeight="1" x14ac:dyDescent="0.25">
      <c r="A21" s="131"/>
      <c r="B21" s="103"/>
      <c r="C21" s="101"/>
      <c r="D21" s="101"/>
      <c r="E21" s="101"/>
      <c r="F21" s="101"/>
      <c r="G21" s="102"/>
      <c r="H21" s="103"/>
      <c r="I21" s="101"/>
      <c r="J21" s="101"/>
      <c r="K21" s="101"/>
      <c r="L21" s="101"/>
      <c r="M21" s="101"/>
      <c r="N21" s="102"/>
      <c r="O21" s="103"/>
      <c r="P21" s="101"/>
      <c r="Q21" s="101"/>
      <c r="R21" s="101"/>
      <c r="S21" s="156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8"/>
      <c r="AX21" s="159"/>
      <c r="AY21" s="159"/>
      <c r="AZ21" s="159"/>
      <c r="BA21" s="159"/>
      <c r="BB21" s="159"/>
      <c r="BC21" s="160"/>
      <c r="BD21" s="161"/>
      <c r="BE21" s="159"/>
      <c r="BF21" s="159"/>
      <c r="BG21" s="159"/>
      <c r="BH21" s="159"/>
      <c r="BI21" s="159"/>
      <c r="BJ21" s="160"/>
      <c r="BK21" s="132"/>
    </row>
    <row r="22" spans="1:63" ht="15" customHeight="1" x14ac:dyDescent="0.25">
      <c r="A22" s="131"/>
      <c r="B22" s="113"/>
      <c r="C22" s="114"/>
      <c r="D22" s="114"/>
      <c r="E22" s="114"/>
      <c r="F22" s="114"/>
      <c r="G22" s="115"/>
      <c r="H22" s="113"/>
      <c r="I22" s="114"/>
      <c r="J22" s="114"/>
      <c r="K22" s="114"/>
      <c r="L22" s="114"/>
      <c r="M22" s="114"/>
      <c r="N22" s="115"/>
      <c r="O22" s="113"/>
      <c r="P22" s="114"/>
      <c r="Q22" s="114"/>
      <c r="R22" s="114"/>
      <c r="S22" s="162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4"/>
      <c r="AX22" s="165"/>
      <c r="AY22" s="165"/>
      <c r="AZ22" s="165"/>
      <c r="BA22" s="165"/>
      <c r="BB22" s="165"/>
      <c r="BC22" s="166"/>
      <c r="BD22" s="167"/>
      <c r="BE22" s="165"/>
      <c r="BF22" s="165"/>
      <c r="BG22" s="165"/>
      <c r="BH22" s="165"/>
      <c r="BI22" s="165"/>
      <c r="BJ22" s="166"/>
      <c r="BK22" s="132"/>
    </row>
    <row r="23" spans="1:63" ht="15" customHeight="1" x14ac:dyDescent="0.25">
      <c r="A23" s="131"/>
      <c r="B23" s="103"/>
      <c r="C23" s="101"/>
      <c r="D23" s="101"/>
      <c r="E23" s="101"/>
      <c r="F23" s="101"/>
      <c r="G23" s="102"/>
      <c r="H23" s="103"/>
      <c r="I23" s="101"/>
      <c r="J23" s="101"/>
      <c r="K23" s="101"/>
      <c r="L23" s="101"/>
      <c r="M23" s="101"/>
      <c r="N23" s="102"/>
      <c r="O23" s="103"/>
      <c r="P23" s="101"/>
      <c r="Q23" s="101"/>
      <c r="R23" s="101"/>
      <c r="S23" s="156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8"/>
      <c r="AX23" s="159"/>
      <c r="AY23" s="159"/>
      <c r="AZ23" s="159"/>
      <c r="BA23" s="159"/>
      <c r="BB23" s="159"/>
      <c r="BC23" s="160"/>
      <c r="BD23" s="161"/>
      <c r="BE23" s="159"/>
      <c r="BF23" s="159"/>
      <c r="BG23" s="159"/>
      <c r="BH23" s="159"/>
      <c r="BI23" s="159"/>
      <c r="BJ23" s="160"/>
      <c r="BK23" s="132"/>
    </row>
    <row r="24" spans="1:63" ht="15" customHeight="1" x14ac:dyDescent="0.25">
      <c r="A24" s="131"/>
      <c r="B24" s="113"/>
      <c r="C24" s="114"/>
      <c r="D24" s="114"/>
      <c r="E24" s="114"/>
      <c r="F24" s="114"/>
      <c r="G24" s="115"/>
      <c r="H24" s="113"/>
      <c r="I24" s="114"/>
      <c r="J24" s="114"/>
      <c r="K24" s="114"/>
      <c r="L24" s="114"/>
      <c r="M24" s="114"/>
      <c r="N24" s="115"/>
      <c r="O24" s="113"/>
      <c r="P24" s="114"/>
      <c r="Q24" s="114"/>
      <c r="R24" s="114"/>
      <c r="S24" s="162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4"/>
      <c r="AX24" s="165"/>
      <c r="AY24" s="165"/>
      <c r="AZ24" s="165"/>
      <c r="BA24" s="165"/>
      <c r="BB24" s="165"/>
      <c r="BC24" s="166"/>
      <c r="BD24" s="167"/>
      <c r="BE24" s="165"/>
      <c r="BF24" s="165"/>
      <c r="BG24" s="165"/>
      <c r="BH24" s="165"/>
      <c r="BI24" s="165"/>
      <c r="BJ24" s="166"/>
      <c r="BK24" s="132"/>
    </row>
    <row r="25" spans="1:63" ht="15" customHeight="1" x14ac:dyDescent="0.25">
      <c r="A25" s="131"/>
      <c r="B25" s="103"/>
      <c r="C25" s="101"/>
      <c r="D25" s="101"/>
      <c r="E25" s="101"/>
      <c r="F25" s="101"/>
      <c r="G25" s="102"/>
      <c r="H25" s="103"/>
      <c r="I25" s="101"/>
      <c r="J25" s="101"/>
      <c r="K25" s="101"/>
      <c r="L25" s="101"/>
      <c r="M25" s="101"/>
      <c r="N25" s="102"/>
      <c r="O25" s="103"/>
      <c r="P25" s="101"/>
      <c r="Q25" s="101"/>
      <c r="R25" s="101"/>
      <c r="S25" s="156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8"/>
      <c r="AX25" s="159"/>
      <c r="AY25" s="159"/>
      <c r="AZ25" s="159"/>
      <c r="BA25" s="159"/>
      <c r="BB25" s="159"/>
      <c r="BC25" s="160"/>
      <c r="BD25" s="161"/>
      <c r="BE25" s="159"/>
      <c r="BF25" s="159"/>
      <c r="BG25" s="159"/>
      <c r="BH25" s="159"/>
      <c r="BI25" s="159"/>
      <c r="BJ25" s="160"/>
      <c r="BK25" s="132"/>
    </row>
    <row r="26" spans="1:63" ht="15" customHeight="1" x14ac:dyDescent="0.25">
      <c r="A26" s="131"/>
      <c r="B26" s="113"/>
      <c r="C26" s="114"/>
      <c r="D26" s="114"/>
      <c r="E26" s="114"/>
      <c r="F26" s="114"/>
      <c r="G26" s="115"/>
      <c r="H26" s="113"/>
      <c r="I26" s="114"/>
      <c r="J26" s="114"/>
      <c r="K26" s="114"/>
      <c r="L26" s="114"/>
      <c r="M26" s="114"/>
      <c r="N26" s="115"/>
      <c r="O26" s="113"/>
      <c r="P26" s="114"/>
      <c r="Q26" s="114"/>
      <c r="R26" s="114"/>
      <c r="S26" s="162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4"/>
      <c r="AX26" s="165"/>
      <c r="AY26" s="165"/>
      <c r="AZ26" s="165"/>
      <c r="BA26" s="165"/>
      <c r="BB26" s="165"/>
      <c r="BC26" s="166"/>
      <c r="BD26" s="167"/>
      <c r="BE26" s="165"/>
      <c r="BF26" s="165"/>
      <c r="BG26" s="165"/>
      <c r="BH26" s="165"/>
      <c r="BI26" s="165"/>
      <c r="BJ26" s="166"/>
      <c r="BK26" s="132"/>
    </row>
    <row r="27" spans="1:63" ht="15" customHeight="1" x14ac:dyDescent="0.25">
      <c r="A27" s="131"/>
      <c r="B27" s="103"/>
      <c r="C27" s="101"/>
      <c r="D27" s="101"/>
      <c r="E27" s="101"/>
      <c r="F27" s="101"/>
      <c r="G27" s="102"/>
      <c r="H27" s="103"/>
      <c r="I27" s="101"/>
      <c r="J27" s="101"/>
      <c r="K27" s="101"/>
      <c r="L27" s="101"/>
      <c r="M27" s="101"/>
      <c r="N27" s="102"/>
      <c r="O27" s="103"/>
      <c r="P27" s="101"/>
      <c r="Q27" s="101"/>
      <c r="R27" s="101"/>
      <c r="S27" s="156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8"/>
      <c r="AX27" s="159"/>
      <c r="AY27" s="159"/>
      <c r="AZ27" s="159"/>
      <c r="BA27" s="159"/>
      <c r="BB27" s="159"/>
      <c r="BC27" s="160"/>
      <c r="BD27" s="161"/>
      <c r="BE27" s="159"/>
      <c r="BF27" s="159"/>
      <c r="BG27" s="159"/>
      <c r="BH27" s="159"/>
      <c r="BI27" s="159"/>
      <c r="BJ27" s="160"/>
      <c r="BK27" s="132"/>
    </row>
    <row r="28" spans="1:63" ht="15" customHeight="1" x14ac:dyDescent="0.25">
      <c r="A28" s="131"/>
      <c r="B28" s="113"/>
      <c r="C28" s="114"/>
      <c r="D28" s="114"/>
      <c r="E28" s="114"/>
      <c r="F28" s="114"/>
      <c r="G28" s="115"/>
      <c r="H28" s="113"/>
      <c r="I28" s="114"/>
      <c r="J28" s="114"/>
      <c r="K28" s="114"/>
      <c r="L28" s="114"/>
      <c r="M28" s="114"/>
      <c r="N28" s="115"/>
      <c r="O28" s="113"/>
      <c r="P28" s="114"/>
      <c r="Q28" s="114"/>
      <c r="R28" s="114"/>
      <c r="S28" s="162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4"/>
      <c r="AX28" s="165"/>
      <c r="AY28" s="165"/>
      <c r="AZ28" s="165"/>
      <c r="BA28" s="165"/>
      <c r="BB28" s="165"/>
      <c r="BC28" s="166"/>
      <c r="BD28" s="167"/>
      <c r="BE28" s="165"/>
      <c r="BF28" s="165"/>
      <c r="BG28" s="165"/>
      <c r="BH28" s="165"/>
      <c r="BI28" s="165"/>
      <c r="BJ28" s="166"/>
      <c r="BK28" s="132"/>
    </row>
    <row r="29" spans="1:63" ht="15" customHeight="1" x14ac:dyDescent="0.25">
      <c r="A29" s="131"/>
      <c r="B29" s="103"/>
      <c r="C29" s="101"/>
      <c r="D29" s="101"/>
      <c r="E29" s="101"/>
      <c r="F29" s="101"/>
      <c r="G29" s="102"/>
      <c r="H29" s="103"/>
      <c r="I29" s="101"/>
      <c r="J29" s="101"/>
      <c r="K29" s="101"/>
      <c r="L29" s="101"/>
      <c r="M29" s="101"/>
      <c r="N29" s="102"/>
      <c r="O29" s="103"/>
      <c r="P29" s="101"/>
      <c r="Q29" s="101"/>
      <c r="R29" s="101"/>
      <c r="S29" s="156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8"/>
      <c r="AX29" s="159"/>
      <c r="AY29" s="159"/>
      <c r="AZ29" s="159"/>
      <c r="BA29" s="159"/>
      <c r="BB29" s="159"/>
      <c r="BC29" s="160"/>
      <c r="BD29" s="161"/>
      <c r="BE29" s="159"/>
      <c r="BF29" s="159"/>
      <c r="BG29" s="159"/>
      <c r="BH29" s="159"/>
      <c r="BI29" s="159"/>
      <c r="BJ29" s="160"/>
      <c r="BK29" s="132"/>
    </row>
    <row r="30" spans="1:63" ht="15" customHeight="1" x14ac:dyDescent="0.25">
      <c r="A30" s="131"/>
      <c r="B30" s="113"/>
      <c r="C30" s="114"/>
      <c r="D30" s="114"/>
      <c r="E30" s="114"/>
      <c r="F30" s="114"/>
      <c r="G30" s="115"/>
      <c r="H30" s="113"/>
      <c r="I30" s="114"/>
      <c r="J30" s="114"/>
      <c r="K30" s="114"/>
      <c r="L30" s="114"/>
      <c r="M30" s="114"/>
      <c r="N30" s="115"/>
      <c r="O30" s="113"/>
      <c r="P30" s="114"/>
      <c r="Q30" s="114"/>
      <c r="R30" s="114"/>
      <c r="S30" s="162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4"/>
      <c r="AX30" s="165"/>
      <c r="AY30" s="165"/>
      <c r="AZ30" s="165"/>
      <c r="BA30" s="165"/>
      <c r="BB30" s="165"/>
      <c r="BC30" s="166"/>
      <c r="BD30" s="167"/>
      <c r="BE30" s="165"/>
      <c r="BF30" s="165"/>
      <c r="BG30" s="165"/>
      <c r="BH30" s="165"/>
      <c r="BI30" s="165"/>
      <c r="BJ30" s="166"/>
      <c r="BK30" s="132"/>
    </row>
    <row r="31" spans="1:63" ht="15" customHeight="1" x14ac:dyDescent="0.25">
      <c r="A31" s="131"/>
      <c r="B31" s="103"/>
      <c r="C31" s="101"/>
      <c r="D31" s="101"/>
      <c r="E31" s="101"/>
      <c r="F31" s="101"/>
      <c r="G31" s="102"/>
      <c r="H31" s="103"/>
      <c r="I31" s="101"/>
      <c r="J31" s="101"/>
      <c r="K31" s="101"/>
      <c r="L31" s="101"/>
      <c r="M31" s="101"/>
      <c r="N31" s="102"/>
      <c r="O31" s="103"/>
      <c r="P31" s="101"/>
      <c r="Q31" s="101"/>
      <c r="R31" s="101"/>
      <c r="S31" s="156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8"/>
      <c r="AX31" s="159"/>
      <c r="AY31" s="159"/>
      <c r="AZ31" s="159"/>
      <c r="BA31" s="159"/>
      <c r="BB31" s="159"/>
      <c r="BC31" s="160"/>
      <c r="BD31" s="161"/>
      <c r="BE31" s="159"/>
      <c r="BF31" s="159"/>
      <c r="BG31" s="159"/>
      <c r="BH31" s="159"/>
      <c r="BI31" s="159"/>
      <c r="BJ31" s="160"/>
      <c r="BK31" s="132"/>
    </row>
    <row r="32" spans="1:63" ht="15" customHeight="1" x14ac:dyDescent="0.25">
      <c r="A32" s="131"/>
      <c r="B32" s="113"/>
      <c r="C32" s="114"/>
      <c r="D32" s="114"/>
      <c r="E32" s="114"/>
      <c r="F32" s="114"/>
      <c r="G32" s="115"/>
      <c r="H32" s="113"/>
      <c r="I32" s="114"/>
      <c r="J32" s="114"/>
      <c r="K32" s="114"/>
      <c r="L32" s="114"/>
      <c r="M32" s="114"/>
      <c r="N32" s="115"/>
      <c r="O32" s="113"/>
      <c r="P32" s="114"/>
      <c r="Q32" s="114"/>
      <c r="R32" s="114"/>
      <c r="S32" s="162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4"/>
      <c r="AX32" s="165"/>
      <c r="AY32" s="165"/>
      <c r="AZ32" s="165"/>
      <c r="BA32" s="165"/>
      <c r="BB32" s="165"/>
      <c r="BC32" s="166"/>
      <c r="BD32" s="167"/>
      <c r="BE32" s="165"/>
      <c r="BF32" s="165"/>
      <c r="BG32" s="165"/>
      <c r="BH32" s="165"/>
      <c r="BI32" s="165"/>
      <c r="BJ32" s="166"/>
      <c r="BK32" s="132"/>
    </row>
    <row r="33" spans="1:63" ht="15" customHeight="1" x14ac:dyDescent="0.25">
      <c r="A33" s="131"/>
      <c r="B33" s="103"/>
      <c r="C33" s="101"/>
      <c r="D33" s="101"/>
      <c r="E33" s="101"/>
      <c r="F33" s="101"/>
      <c r="G33" s="102"/>
      <c r="H33" s="103"/>
      <c r="I33" s="101"/>
      <c r="J33" s="101"/>
      <c r="K33" s="101"/>
      <c r="L33" s="101"/>
      <c r="M33" s="101"/>
      <c r="N33" s="102"/>
      <c r="O33" s="103"/>
      <c r="P33" s="101"/>
      <c r="Q33" s="101"/>
      <c r="R33" s="101"/>
      <c r="S33" s="156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8"/>
      <c r="AX33" s="159"/>
      <c r="AY33" s="159"/>
      <c r="AZ33" s="159"/>
      <c r="BA33" s="159"/>
      <c r="BB33" s="159"/>
      <c r="BC33" s="160"/>
      <c r="BD33" s="161"/>
      <c r="BE33" s="159"/>
      <c r="BF33" s="159"/>
      <c r="BG33" s="159"/>
      <c r="BH33" s="159"/>
      <c r="BI33" s="159"/>
      <c r="BJ33" s="160"/>
      <c r="BK33" s="132"/>
    </row>
    <row r="34" spans="1:63" ht="15" customHeight="1" x14ac:dyDescent="0.25">
      <c r="A34" s="131"/>
      <c r="B34" s="113"/>
      <c r="C34" s="114"/>
      <c r="D34" s="114"/>
      <c r="E34" s="114"/>
      <c r="F34" s="114"/>
      <c r="G34" s="115"/>
      <c r="H34" s="113"/>
      <c r="I34" s="114"/>
      <c r="J34" s="114"/>
      <c r="K34" s="114"/>
      <c r="L34" s="114"/>
      <c r="M34" s="114"/>
      <c r="N34" s="115"/>
      <c r="O34" s="113"/>
      <c r="P34" s="114"/>
      <c r="Q34" s="114"/>
      <c r="R34" s="114"/>
      <c r="S34" s="162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4"/>
      <c r="AX34" s="165"/>
      <c r="AY34" s="165"/>
      <c r="AZ34" s="165"/>
      <c r="BA34" s="165"/>
      <c r="BB34" s="165"/>
      <c r="BC34" s="166"/>
      <c r="BD34" s="167"/>
      <c r="BE34" s="165"/>
      <c r="BF34" s="165"/>
      <c r="BG34" s="165"/>
      <c r="BH34" s="165"/>
      <c r="BI34" s="165"/>
      <c r="BJ34" s="166"/>
      <c r="BK34" s="132"/>
    </row>
    <row r="35" spans="1:63" ht="15" customHeight="1" x14ac:dyDescent="0.25">
      <c r="A35" s="131"/>
      <c r="B35" s="103"/>
      <c r="C35" s="101"/>
      <c r="D35" s="101"/>
      <c r="E35" s="101"/>
      <c r="F35" s="101"/>
      <c r="G35" s="102"/>
      <c r="H35" s="103"/>
      <c r="I35" s="101"/>
      <c r="J35" s="101"/>
      <c r="K35" s="101"/>
      <c r="L35" s="101"/>
      <c r="M35" s="101"/>
      <c r="N35" s="102"/>
      <c r="O35" s="103"/>
      <c r="P35" s="101"/>
      <c r="Q35" s="101"/>
      <c r="R35" s="101"/>
      <c r="S35" s="156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8"/>
      <c r="AX35" s="159"/>
      <c r="AY35" s="159"/>
      <c r="AZ35" s="159"/>
      <c r="BA35" s="159"/>
      <c r="BB35" s="159"/>
      <c r="BC35" s="160"/>
      <c r="BD35" s="161"/>
      <c r="BE35" s="159"/>
      <c r="BF35" s="159"/>
      <c r="BG35" s="159"/>
      <c r="BH35" s="159"/>
      <c r="BI35" s="159"/>
      <c r="BJ35" s="160"/>
      <c r="BK35" s="132"/>
    </row>
    <row r="36" spans="1:63" ht="15" customHeight="1" x14ac:dyDescent="0.25">
      <c r="A36" s="131"/>
      <c r="B36" s="113"/>
      <c r="C36" s="114"/>
      <c r="D36" s="114"/>
      <c r="E36" s="114"/>
      <c r="F36" s="114"/>
      <c r="G36" s="115"/>
      <c r="H36" s="113"/>
      <c r="I36" s="114"/>
      <c r="J36" s="114"/>
      <c r="K36" s="114"/>
      <c r="L36" s="114"/>
      <c r="M36" s="114"/>
      <c r="N36" s="115"/>
      <c r="O36" s="113"/>
      <c r="P36" s="114"/>
      <c r="Q36" s="114"/>
      <c r="R36" s="114"/>
      <c r="S36" s="162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4"/>
      <c r="AX36" s="165"/>
      <c r="AY36" s="165"/>
      <c r="AZ36" s="165"/>
      <c r="BA36" s="165"/>
      <c r="BB36" s="165"/>
      <c r="BC36" s="166"/>
      <c r="BD36" s="167"/>
      <c r="BE36" s="165"/>
      <c r="BF36" s="165"/>
      <c r="BG36" s="165"/>
      <c r="BH36" s="165"/>
      <c r="BI36" s="165"/>
      <c r="BJ36" s="166"/>
      <c r="BK36" s="132"/>
    </row>
    <row r="37" spans="1:63" ht="15" customHeight="1" x14ac:dyDescent="0.25">
      <c r="A37" s="131"/>
      <c r="B37" s="103"/>
      <c r="C37" s="101"/>
      <c r="D37" s="101"/>
      <c r="E37" s="101"/>
      <c r="F37" s="101"/>
      <c r="G37" s="102"/>
      <c r="H37" s="103"/>
      <c r="I37" s="101"/>
      <c r="J37" s="101"/>
      <c r="K37" s="101"/>
      <c r="L37" s="101"/>
      <c r="M37" s="101"/>
      <c r="N37" s="102"/>
      <c r="O37" s="103"/>
      <c r="P37" s="101"/>
      <c r="Q37" s="101"/>
      <c r="R37" s="101"/>
      <c r="S37" s="156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8"/>
      <c r="AX37" s="159"/>
      <c r="AY37" s="159"/>
      <c r="AZ37" s="159"/>
      <c r="BA37" s="159"/>
      <c r="BB37" s="159"/>
      <c r="BC37" s="160"/>
      <c r="BD37" s="161"/>
      <c r="BE37" s="159"/>
      <c r="BF37" s="159"/>
      <c r="BG37" s="159"/>
      <c r="BH37" s="159"/>
      <c r="BI37" s="159"/>
      <c r="BJ37" s="160"/>
      <c r="BK37" s="132"/>
    </row>
    <row r="38" spans="1:63" ht="15" customHeight="1" x14ac:dyDescent="0.25">
      <c r="A38" s="131"/>
      <c r="B38" s="113"/>
      <c r="C38" s="114"/>
      <c r="D38" s="114"/>
      <c r="E38" s="114"/>
      <c r="F38" s="114"/>
      <c r="G38" s="115"/>
      <c r="H38" s="113"/>
      <c r="I38" s="114"/>
      <c r="J38" s="114"/>
      <c r="K38" s="114"/>
      <c r="L38" s="114"/>
      <c r="M38" s="114"/>
      <c r="N38" s="115"/>
      <c r="O38" s="113"/>
      <c r="P38" s="114"/>
      <c r="Q38" s="114"/>
      <c r="R38" s="114"/>
      <c r="S38" s="162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4"/>
      <c r="AX38" s="165"/>
      <c r="AY38" s="165"/>
      <c r="AZ38" s="165"/>
      <c r="BA38" s="165"/>
      <c r="BB38" s="165"/>
      <c r="BC38" s="166"/>
      <c r="BD38" s="167"/>
      <c r="BE38" s="165"/>
      <c r="BF38" s="165"/>
      <c r="BG38" s="165"/>
      <c r="BH38" s="165"/>
      <c r="BI38" s="165"/>
      <c r="BJ38" s="166"/>
      <c r="BK38" s="132"/>
    </row>
    <row r="39" spans="1:63" ht="15" customHeight="1" x14ac:dyDescent="0.25">
      <c r="A39" s="131"/>
      <c r="B39" s="103"/>
      <c r="C39" s="101"/>
      <c r="D39" s="101"/>
      <c r="E39" s="101"/>
      <c r="F39" s="101"/>
      <c r="G39" s="102"/>
      <c r="H39" s="103"/>
      <c r="I39" s="101"/>
      <c r="J39" s="101"/>
      <c r="K39" s="101"/>
      <c r="L39" s="101"/>
      <c r="M39" s="101"/>
      <c r="N39" s="102"/>
      <c r="O39" s="103"/>
      <c r="P39" s="101"/>
      <c r="Q39" s="101"/>
      <c r="R39" s="101"/>
      <c r="S39" s="156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8"/>
      <c r="AX39" s="159"/>
      <c r="AY39" s="159"/>
      <c r="AZ39" s="159"/>
      <c r="BA39" s="159"/>
      <c r="BB39" s="159"/>
      <c r="BC39" s="160"/>
      <c r="BD39" s="161"/>
      <c r="BE39" s="159"/>
      <c r="BF39" s="159"/>
      <c r="BG39" s="159"/>
      <c r="BH39" s="159"/>
      <c r="BI39" s="159"/>
      <c r="BJ39" s="160"/>
      <c r="BK39" s="132"/>
    </row>
    <row r="40" spans="1:63" ht="15" customHeight="1" x14ac:dyDescent="0.25">
      <c r="A40" s="131"/>
      <c r="B40" s="113"/>
      <c r="C40" s="114"/>
      <c r="D40" s="114"/>
      <c r="E40" s="114"/>
      <c r="F40" s="114"/>
      <c r="G40" s="115"/>
      <c r="H40" s="113"/>
      <c r="I40" s="114"/>
      <c r="J40" s="114"/>
      <c r="K40" s="114"/>
      <c r="L40" s="114"/>
      <c r="M40" s="114"/>
      <c r="N40" s="115"/>
      <c r="O40" s="113"/>
      <c r="P40" s="114"/>
      <c r="Q40" s="114"/>
      <c r="R40" s="114"/>
      <c r="S40" s="162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4"/>
      <c r="AX40" s="165"/>
      <c r="AY40" s="165"/>
      <c r="AZ40" s="165"/>
      <c r="BA40" s="165"/>
      <c r="BB40" s="165"/>
      <c r="BC40" s="166"/>
      <c r="BD40" s="167"/>
      <c r="BE40" s="165"/>
      <c r="BF40" s="165"/>
      <c r="BG40" s="165"/>
      <c r="BH40" s="165"/>
      <c r="BI40" s="165"/>
      <c r="BJ40" s="166"/>
      <c r="BK40" s="132"/>
    </row>
    <row r="41" spans="1:63" ht="15" customHeight="1" x14ac:dyDescent="0.25">
      <c r="A41" s="131"/>
      <c r="B41" s="103"/>
      <c r="C41" s="101"/>
      <c r="D41" s="101"/>
      <c r="E41" s="101"/>
      <c r="F41" s="101"/>
      <c r="G41" s="102"/>
      <c r="H41" s="103"/>
      <c r="I41" s="101"/>
      <c r="J41" s="101"/>
      <c r="K41" s="101"/>
      <c r="L41" s="101"/>
      <c r="M41" s="101"/>
      <c r="N41" s="102"/>
      <c r="O41" s="103"/>
      <c r="P41" s="101"/>
      <c r="Q41" s="101"/>
      <c r="R41" s="101"/>
      <c r="S41" s="156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8"/>
      <c r="AX41" s="159"/>
      <c r="AY41" s="159"/>
      <c r="AZ41" s="159"/>
      <c r="BA41" s="159"/>
      <c r="BB41" s="159"/>
      <c r="BC41" s="160"/>
      <c r="BD41" s="161"/>
      <c r="BE41" s="159"/>
      <c r="BF41" s="159"/>
      <c r="BG41" s="159"/>
      <c r="BH41" s="159"/>
      <c r="BI41" s="159"/>
      <c r="BJ41" s="160"/>
      <c r="BK41" s="132"/>
    </row>
    <row r="42" spans="1:63" ht="15" customHeight="1" x14ac:dyDescent="0.25">
      <c r="A42" s="131"/>
      <c r="B42" s="113"/>
      <c r="C42" s="114"/>
      <c r="D42" s="114"/>
      <c r="E42" s="114"/>
      <c r="F42" s="114"/>
      <c r="G42" s="115"/>
      <c r="H42" s="113"/>
      <c r="I42" s="114"/>
      <c r="J42" s="114"/>
      <c r="K42" s="114"/>
      <c r="L42" s="114"/>
      <c r="M42" s="114"/>
      <c r="N42" s="115"/>
      <c r="O42" s="113"/>
      <c r="P42" s="114"/>
      <c r="Q42" s="114"/>
      <c r="R42" s="114"/>
      <c r="S42" s="162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4"/>
      <c r="AX42" s="165"/>
      <c r="AY42" s="165"/>
      <c r="AZ42" s="165"/>
      <c r="BA42" s="165"/>
      <c r="BB42" s="165"/>
      <c r="BC42" s="166"/>
      <c r="BD42" s="167"/>
      <c r="BE42" s="165"/>
      <c r="BF42" s="165"/>
      <c r="BG42" s="165"/>
      <c r="BH42" s="165"/>
      <c r="BI42" s="165"/>
      <c r="BJ42" s="166"/>
      <c r="BK42" s="132"/>
    </row>
    <row r="43" spans="1:63" ht="15" customHeight="1" x14ac:dyDescent="0.25">
      <c r="A43" s="131"/>
      <c r="B43" s="103"/>
      <c r="C43" s="101"/>
      <c r="D43" s="101"/>
      <c r="E43" s="101"/>
      <c r="F43" s="101"/>
      <c r="G43" s="102"/>
      <c r="H43" s="103"/>
      <c r="I43" s="101"/>
      <c r="J43" s="101"/>
      <c r="K43" s="101"/>
      <c r="L43" s="101"/>
      <c r="M43" s="101"/>
      <c r="N43" s="102"/>
      <c r="O43" s="103"/>
      <c r="P43" s="101"/>
      <c r="Q43" s="101"/>
      <c r="R43" s="101"/>
      <c r="S43" s="156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8"/>
      <c r="AX43" s="159"/>
      <c r="AY43" s="159"/>
      <c r="AZ43" s="159"/>
      <c r="BA43" s="159"/>
      <c r="BB43" s="159"/>
      <c r="BC43" s="160"/>
      <c r="BD43" s="161"/>
      <c r="BE43" s="159"/>
      <c r="BF43" s="159"/>
      <c r="BG43" s="159"/>
      <c r="BH43" s="159"/>
      <c r="BI43" s="159"/>
      <c r="BJ43" s="160"/>
      <c r="BK43" s="132"/>
    </row>
    <row r="44" spans="1:63" ht="15" customHeight="1" x14ac:dyDescent="0.25">
      <c r="A44" s="131"/>
      <c r="B44" s="113"/>
      <c r="C44" s="114"/>
      <c r="D44" s="114"/>
      <c r="E44" s="114"/>
      <c r="F44" s="114"/>
      <c r="G44" s="115"/>
      <c r="H44" s="113"/>
      <c r="I44" s="114"/>
      <c r="J44" s="114"/>
      <c r="K44" s="114"/>
      <c r="L44" s="114"/>
      <c r="M44" s="114"/>
      <c r="N44" s="115"/>
      <c r="O44" s="113"/>
      <c r="P44" s="114"/>
      <c r="Q44" s="114"/>
      <c r="R44" s="114"/>
      <c r="S44" s="162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4"/>
      <c r="AX44" s="165"/>
      <c r="AY44" s="165"/>
      <c r="AZ44" s="165"/>
      <c r="BA44" s="165"/>
      <c r="BB44" s="165"/>
      <c r="BC44" s="166"/>
      <c r="BD44" s="167"/>
      <c r="BE44" s="165"/>
      <c r="BF44" s="165"/>
      <c r="BG44" s="165"/>
      <c r="BH44" s="165"/>
      <c r="BI44" s="165"/>
      <c r="BJ44" s="166"/>
      <c r="BK44" s="132"/>
    </row>
    <row r="45" spans="1:63" ht="15" customHeight="1" x14ac:dyDescent="0.25">
      <c r="A45" s="131"/>
      <c r="B45" s="103"/>
      <c r="C45" s="101"/>
      <c r="D45" s="101"/>
      <c r="E45" s="101"/>
      <c r="F45" s="101"/>
      <c r="G45" s="102"/>
      <c r="H45" s="103"/>
      <c r="I45" s="101"/>
      <c r="J45" s="101"/>
      <c r="K45" s="101"/>
      <c r="L45" s="101"/>
      <c r="M45" s="101"/>
      <c r="N45" s="102"/>
      <c r="O45" s="103"/>
      <c r="P45" s="101"/>
      <c r="Q45" s="101"/>
      <c r="R45" s="101"/>
      <c r="S45" s="156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8"/>
      <c r="AX45" s="159"/>
      <c r="AY45" s="159"/>
      <c r="AZ45" s="159"/>
      <c r="BA45" s="159"/>
      <c r="BB45" s="159"/>
      <c r="BC45" s="160"/>
      <c r="BD45" s="161"/>
      <c r="BE45" s="159"/>
      <c r="BF45" s="159"/>
      <c r="BG45" s="159"/>
      <c r="BH45" s="159"/>
      <c r="BI45" s="159"/>
      <c r="BJ45" s="160"/>
      <c r="BK45" s="132"/>
    </row>
    <row r="46" spans="1:63" ht="15" customHeight="1" x14ac:dyDescent="0.25">
      <c r="A46" s="131"/>
      <c r="B46" s="113"/>
      <c r="C46" s="114"/>
      <c r="D46" s="114"/>
      <c r="E46" s="114"/>
      <c r="F46" s="114"/>
      <c r="G46" s="115"/>
      <c r="H46" s="113"/>
      <c r="I46" s="114"/>
      <c r="J46" s="114"/>
      <c r="K46" s="114"/>
      <c r="L46" s="114"/>
      <c r="M46" s="114"/>
      <c r="N46" s="115"/>
      <c r="O46" s="113"/>
      <c r="P46" s="114"/>
      <c r="Q46" s="114"/>
      <c r="R46" s="114"/>
      <c r="S46" s="162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4"/>
      <c r="AX46" s="165"/>
      <c r="AY46" s="165"/>
      <c r="AZ46" s="165"/>
      <c r="BA46" s="165"/>
      <c r="BB46" s="165"/>
      <c r="BC46" s="166"/>
      <c r="BD46" s="167"/>
      <c r="BE46" s="165"/>
      <c r="BF46" s="165"/>
      <c r="BG46" s="165"/>
      <c r="BH46" s="165"/>
      <c r="BI46" s="165"/>
      <c r="BJ46" s="166"/>
      <c r="BK46" s="132"/>
    </row>
    <row r="47" spans="1:63" ht="15" customHeight="1" x14ac:dyDescent="0.25">
      <c r="A47" s="131"/>
      <c r="B47" s="103"/>
      <c r="C47" s="101"/>
      <c r="D47" s="101"/>
      <c r="E47" s="101"/>
      <c r="F47" s="101"/>
      <c r="G47" s="102"/>
      <c r="H47" s="103"/>
      <c r="I47" s="101"/>
      <c r="J47" s="101"/>
      <c r="K47" s="101"/>
      <c r="L47" s="101"/>
      <c r="M47" s="101"/>
      <c r="N47" s="102"/>
      <c r="O47" s="103"/>
      <c r="P47" s="101"/>
      <c r="Q47" s="101"/>
      <c r="R47" s="101"/>
      <c r="S47" s="156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8"/>
      <c r="AX47" s="159"/>
      <c r="AY47" s="159"/>
      <c r="AZ47" s="159"/>
      <c r="BA47" s="159"/>
      <c r="BB47" s="159"/>
      <c r="BC47" s="160"/>
      <c r="BD47" s="161"/>
      <c r="BE47" s="159"/>
      <c r="BF47" s="159"/>
      <c r="BG47" s="159"/>
      <c r="BH47" s="159"/>
      <c r="BI47" s="159"/>
      <c r="BJ47" s="160"/>
      <c r="BK47" s="132"/>
    </row>
    <row r="48" spans="1:63" ht="15" customHeight="1" x14ac:dyDescent="0.25">
      <c r="A48" s="131"/>
      <c r="B48" s="113"/>
      <c r="C48" s="114"/>
      <c r="D48" s="114"/>
      <c r="E48" s="114"/>
      <c r="F48" s="114"/>
      <c r="G48" s="115"/>
      <c r="H48" s="113"/>
      <c r="I48" s="114"/>
      <c r="J48" s="114"/>
      <c r="K48" s="114"/>
      <c r="L48" s="114"/>
      <c r="M48" s="114"/>
      <c r="N48" s="115"/>
      <c r="O48" s="113"/>
      <c r="P48" s="114"/>
      <c r="Q48" s="114"/>
      <c r="R48" s="114"/>
      <c r="S48" s="162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4"/>
      <c r="AX48" s="165"/>
      <c r="AY48" s="165"/>
      <c r="AZ48" s="165"/>
      <c r="BA48" s="165"/>
      <c r="BB48" s="165"/>
      <c r="BC48" s="166"/>
      <c r="BD48" s="167"/>
      <c r="BE48" s="165"/>
      <c r="BF48" s="165"/>
      <c r="BG48" s="165"/>
      <c r="BH48" s="165"/>
      <c r="BI48" s="165"/>
      <c r="BJ48" s="166"/>
      <c r="BK48" s="132"/>
    </row>
    <row r="49" spans="1:63" ht="15" customHeight="1" x14ac:dyDescent="0.25">
      <c r="A49" s="131"/>
      <c r="B49" s="103"/>
      <c r="C49" s="101"/>
      <c r="D49" s="101"/>
      <c r="E49" s="101"/>
      <c r="F49" s="101"/>
      <c r="G49" s="102"/>
      <c r="H49" s="103"/>
      <c r="I49" s="101"/>
      <c r="J49" s="101"/>
      <c r="K49" s="101"/>
      <c r="L49" s="101"/>
      <c r="M49" s="101"/>
      <c r="N49" s="102"/>
      <c r="O49" s="103"/>
      <c r="P49" s="101"/>
      <c r="Q49" s="101"/>
      <c r="R49" s="101"/>
      <c r="S49" s="156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8"/>
      <c r="AX49" s="159"/>
      <c r="AY49" s="159"/>
      <c r="AZ49" s="159"/>
      <c r="BA49" s="159"/>
      <c r="BB49" s="159"/>
      <c r="BC49" s="160"/>
      <c r="BD49" s="161"/>
      <c r="BE49" s="159"/>
      <c r="BF49" s="159"/>
      <c r="BG49" s="159"/>
      <c r="BH49" s="159"/>
      <c r="BI49" s="159"/>
      <c r="BJ49" s="160"/>
      <c r="BK49" s="132"/>
    </row>
    <row r="50" spans="1:63" ht="15" customHeight="1" x14ac:dyDescent="0.25">
      <c r="A50" s="131"/>
      <c r="B50" s="113"/>
      <c r="C50" s="114"/>
      <c r="D50" s="114"/>
      <c r="E50" s="114"/>
      <c r="F50" s="114"/>
      <c r="G50" s="115"/>
      <c r="H50" s="113"/>
      <c r="I50" s="114"/>
      <c r="J50" s="114"/>
      <c r="K50" s="114"/>
      <c r="L50" s="114"/>
      <c r="M50" s="114"/>
      <c r="N50" s="115"/>
      <c r="O50" s="113"/>
      <c r="P50" s="114"/>
      <c r="Q50" s="114"/>
      <c r="R50" s="114"/>
      <c r="S50" s="162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4"/>
      <c r="AX50" s="165"/>
      <c r="AY50" s="165"/>
      <c r="AZ50" s="165"/>
      <c r="BA50" s="165"/>
      <c r="BB50" s="165"/>
      <c r="BC50" s="166"/>
      <c r="BD50" s="167"/>
      <c r="BE50" s="165"/>
      <c r="BF50" s="165"/>
      <c r="BG50" s="165"/>
      <c r="BH50" s="165"/>
      <c r="BI50" s="165"/>
      <c r="BJ50" s="166"/>
      <c r="BK50" s="132"/>
    </row>
    <row r="51" spans="1:63" ht="15" customHeight="1" x14ac:dyDescent="0.25">
      <c r="A51" s="131"/>
      <c r="B51" s="103"/>
      <c r="C51" s="101"/>
      <c r="D51" s="101"/>
      <c r="E51" s="101"/>
      <c r="F51" s="101"/>
      <c r="G51" s="102"/>
      <c r="H51" s="103"/>
      <c r="I51" s="101"/>
      <c r="J51" s="101"/>
      <c r="K51" s="101"/>
      <c r="L51" s="101"/>
      <c r="M51" s="101"/>
      <c r="N51" s="102"/>
      <c r="O51" s="103"/>
      <c r="P51" s="101"/>
      <c r="Q51" s="101"/>
      <c r="R51" s="101"/>
      <c r="S51" s="156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8"/>
      <c r="AX51" s="159"/>
      <c r="AY51" s="159"/>
      <c r="AZ51" s="159"/>
      <c r="BA51" s="159"/>
      <c r="BB51" s="159"/>
      <c r="BC51" s="160"/>
      <c r="BD51" s="161"/>
      <c r="BE51" s="159"/>
      <c r="BF51" s="159"/>
      <c r="BG51" s="159"/>
      <c r="BH51" s="159"/>
      <c r="BI51" s="159"/>
      <c r="BJ51" s="160"/>
      <c r="BK51" s="132"/>
    </row>
    <row r="52" spans="1:63" ht="15" customHeight="1" x14ac:dyDescent="0.25">
      <c r="A52" s="131"/>
      <c r="B52" s="113"/>
      <c r="C52" s="114"/>
      <c r="D52" s="114"/>
      <c r="E52" s="114"/>
      <c r="F52" s="114"/>
      <c r="G52" s="115"/>
      <c r="H52" s="113"/>
      <c r="I52" s="114"/>
      <c r="J52" s="114"/>
      <c r="K52" s="114"/>
      <c r="L52" s="114"/>
      <c r="M52" s="114"/>
      <c r="N52" s="115"/>
      <c r="O52" s="113"/>
      <c r="P52" s="114"/>
      <c r="Q52" s="114"/>
      <c r="R52" s="114"/>
      <c r="S52" s="162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4"/>
      <c r="AX52" s="165"/>
      <c r="AY52" s="165"/>
      <c r="AZ52" s="165"/>
      <c r="BA52" s="165"/>
      <c r="BB52" s="165"/>
      <c r="BC52" s="166"/>
      <c r="BD52" s="167"/>
      <c r="BE52" s="165"/>
      <c r="BF52" s="165"/>
      <c r="BG52" s="165"/>
      <c r="BH52" s="165"/>
      <c r="BI52" s="165"/>
      <c r="BJ52" s="166"/>
      <c r="BK52" s="132"/>
    </row>
    <row r="53" spans="1:63" ht="15" customHeight="1" x14ac:dyDescent="0.25">
      <c r="A53" s="131"/>
      <c r="B53" s="103"/>
      <c r="C53" s="101"/>
      <c r="D53" s="101"/>
      <c r="E53" s="101"/>
      <c r="F53" s="101"/>
      <c r="G53" s="102"/>
      <c r="H53" s="103"/>
      <c r="I53" s="101"/>
      <c r="J53" s="101"/>
      <c r="K53" s="101"/>
      <c r="L53" s="101"/>
      <c r="M53" s="101"/>
      <c r="N53" s="102"/>
      <c r="O53" s="103"/>
      <c r="P53" s="101"/>
      <c r="Q53" s="101"/>
      <c r="R53" s="101"/>
      <c r="S53" s="156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8"/>
      <c r="AX53" s="159"/>
      <c r="AY53" s="159"/>
      <c r="AZ53" s="159"/>
      <c r="BA53" s="159"/>
      <c r="BB53" s="159"/>
      <c r="BC53" s="160"/>
      <c r="BD53" s="161"/>
      <c r="BE53" s="159"/>
      <c r="BF53" s="159"/>
      <c r="BG53" s="159"/>
      <c r="BH53" s="159"/>
      <c r="BI53" s="159"/>
      <c r="BJ53" s="160"/>
      <c r="BK53" s="132"/>
    </row>
    <row r="54" spans="1:63" ht="15" customHeight="1" x14ac:dyDescent="0.25">
      <c r="A54" s="131"/>
      <c r="B54" s="113"/>
      <c r="C54" s="114"/>
      <c r="D54" s="114"/>
      <c r="E54" s="114"/>
      <c r="F54" s="114"/>
      <c r="G54" s="115"/>
      <c r="H54" s="113"/>
      <c r="I54" s="114"/>
      <c r="J54" s="114"/>
      <c r="K54" s="114"/>
      <c r="L54" s="114"/>
      <c r="M54" s="114"/>
      <c r="N54" s="115"/>
      <c r="O54" s="113"/>
      <c r="P54" s="114"/>
      <c r="Q54" s="114"/>
      <c r="R54" s="114"/>
      <c r="S54" s="162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4"/>
      <c r="AX54" s="165"/>
      <c r="AY54" s="165"/>
      <c r="AZ54" s="165"/>
      <c r="BA54" s="165"/>
      <c r="BB54" s="165"/>
      <c r="BC54" s="166"/>
      <c r="BD54" s="167"/>
      <c r="BE54" s="165"/>
      <c r="BF54" s="165"/>
      <c r="BG54" s="165"/>
      <c r="BH54" s="165"/>
      <c r="BI54" s="165"/>
      <c r="BJ54" s="166"/>
      <c r="BK54" s="132"/>
    </row>
    <row r="55" spans="1:63" ht="15" customHeight="1" x14ac:dyDescent="0.25">
      <c r="A55" s="128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3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8" t="s">
        <v>43</v>
      </c>
      <c r="B1" s="169"/>
      <c r="C1" s="169"/>
      <c r="D1" s="169"/>
      <c r="E1" s="169"/>
      <c r="F1" s="169"/>
      <c r="G1" s="169"/>
      <c r="H1" s="169"/>
      <c r="I1" s="169"/>
      <c r="J1" s="170"/>
      <c r="K1" s="168" t="s">
        <v>44</v>
      </c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70"/>
      <c r="W1" s="171" t="str">
        <f>IF(表紙!W1="","",表紙!W1)</f>
        <v>詳細設計書</v>
      </c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3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03" t="str">
        <f>IF(表紙!AP2="","",表紙!AP2)</f>
        <v>DuNT</v>
      </c>
      <c r="AQ2" s="101"/>
      <c r="AR2" s="101"/>
      <c r="AS2" s="102"/>
      <c r="AT2" s="107">
        <f>IF(表紙!AT2="","",表紙!AT2)</f>
        <v>45519</v>
      </c>
      <c r="AU2" s="108"/>
      <c r="AV2" s="108"/>
      <c r="AW2" s="108"/>
      <c r="AX2" s="109"/>
      <c r="AY2" s="103" t="str">
        <f>IF(表紙!AY2="","",表紙!AY2)</f>
        <v>DuNT</v>
      </c>
      <c r="AZ2" s="101"/>
      <c r="BA2" s="101"/>
      <c r="BB2" s="102"/>
      <c r="BC2" s="107">
        <f>IF(表紙!BC2="","",表紙!BC2)</f>
        <v>45519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68" t="s">
        <v>52</v>
      </c>
      <c r="B4" s="169"/>
      <c r="C4" s="169"/>
      <c r="D4" s="169"/>
      <c r="E4" s="169"/>
      <c r="F4" s="169"/>
      <c r="G4" s="170"/>
      <c r="H4" s="47" t="str">
        <f>IF(表紙!H4="","",表紙!H4)</f>
        <v>AP1510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8" t="s">
        <v>53</v>
      </c>
      <c r="V4" s="169"/>
      <c r="W4" s="169"/>
      <c r="X4" s="169"/>
      <c r="Y4" s="170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処理フロー凡例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00" customFormat="1" ht="15" customHeight="1" x14ac:dyDescent="0.25">
      <c r="A7" s="180"/>
      <c r="B7" s="181" t="s">
        <v>61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3"/>
      <c r="AF7" s="184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  <c r="BA7" s="182"/>
      <c r="BB7" s="182"/>
      <c r="BC7" s="182"/>
      <c r="BD7" s="182"/>
      <c r="BE7" s="182"/>
      <c r="BF7" s="182"/>
      <c r="BG7" s="182"/>
      <c r="BH7" s="182"/>
      <c r="BI7" s="183"/>
      <c r="BJ7" s="182"/>
      <c r="BK7" s="185"/>
    </row>
    <row r="8" spans="1:63" s="186" customFormat="1" ht="15" customHeight="1" x14ac:dyDescent="0.25">
      <c r="BK8" s="185"/>
    </row>
    <row r="9" spans="1:63" s="186" customFormat="1" ht="15" customHeight="1" x14ac:dyDescent="0.25">
      <c r="BK9" s="185"/>
    </row>
    <row r="10" spans="1:63" s="186" customFormat="1" ht="15" customHeight="1" x14ac:dyDescent="0.25">
      <c r="BK10" s="185"/>
    </row>
    <row r="11" spans="1:63" s="186" customFormat="1" ht="15" customHeight="1" x14ac:dyDescent="0.25">
      <c r="BK11" s="185"/>
    </row>
    <row r="12" spans="1:63" s="186" customFormat="1" ht="15" customHeight="1" x14ac:dyDescent="0.25">
      <c r="BK12" s="185"/>
    </row>
    <row r="13" spans="1:63" s="186" customFormat="1" ht="15" customHeight="1" x14ac:dyDescent="0.25">
      <c r="BK13" s="185"/>
    </row>
    <row r="14" spans="1:63" s="186" customFormat="1" ht="15" customHeight="1" x14ac:dyDescent="0.25">
      <c r="BK14" s="185"/>
    </row>
    <row r="15" spans="1:63" s="186" customFormat="1" ht="15" customHeight="1" x14ac:dyDescent="0.25">
      <c r="BK15" s="185"/>
    </row>
    <row r="16" spans="1:63" s="186" customFormat="1" ht="15" customHeight="1" x14ac:dyDescent="0.25">
      <c r="BK16" s="185"/>
    </row>
    <row r="17" spans="63:63" s="186" customFormat="1" ht="15" customHeight="1" x14ac:dyDescent="0.25">
      <c r="BK17" s="185"/>
    </row>
    <row r="18" spans="63:63" s="186" customFormat="1" ht="15" customHeight="1" x14ac:dyDescent="0.25">
      <c r="BK18" s="185"/>
    </row>
    <row r="19" spans="63:63" s="186" customFormat="1" ht="15" customHeight="1" x14ac:dyDescent="0.25">
      <c r="BK19" s="185"/>
    </row>
    <row r="20" spans="63:63" s="186" customFormat="1" ht="15" customHeight="1" x14ac:dyDescent="0.25">
      <c r="BK20" s="185"/>
    </row>
    <row r="21" spans="63:63" s="186" customFormat="1" ht="15" customHeight="1" x14ac:dyDescent="0.25">
      <c r="BK21" s="185"/>
    </row>
    <row r="22" spans="63:63" s="186" customFormat="1" ht="15" customHeight="1" x14ac:dyDescent="0.25">
      <c r="BK22" s="185"/>
    </row>
    <row r="23" spans="63:63" s="186" customFormat="1" ht="15" customHeight="1" x14ac:dyDescent="0.25">
      <c r="BK23" s="185"/>
    </row>
    <row r="24" spans="63:63" s="186" customFormat="1" ht="15" customHeight="1" x14ac:dyDescent="0.25">
      <c r="BK24" s="185"/>
    </row>
    <row r="25" spans="63:63" s="186" customFormat="1" ht="15" customHeight="1" x14ac:dyDescent="0.25">
      <c r="BK25" s="185"/>
    </row>
    <row r="26" spans="63:63" s="186" customFormat="1" ht="15" customHeight="1" x14ac:dyDescent="0.25">
      <c r="BK26" s="185"/>
    </row>
    <row r="27" spans="63:63" s="186" customFormat="1" ht="15" customHeight="1" x14ac:dyDescent="0.25">
      <c r="BK27" s="185"/>
    </row>
    <row r="28" spans="63:63" s="186" customFormat="1" ht="15" customHeight="1" x14ac:dyDescent="0.25">
      <c r="BK28" s="185"/>
    </row>
    <row r="29" spans="63:63" s="186" customFormat="1" ht="15" customHeight="1" x14ac:dyDescent="0.25">
      <c r="BK29" s="185"/>
    </row>
    <row r="30" spans="63:63" s="186" customFormat="1" ht="15" customHeight="1" x14ac:dyDescent="0.25">
      <c r="BK30" s="185"/>
    </row>
    <row r="31" spans="63:63" s="186" customFormat="1" ht="15" customHeight="1" x14ac:dyDescent="0.25">
      <c r="BK31" s="185"/>
    </row>
    <row r="32" spans="63:63" s="186" customFormat="1" ht="15" customHeight="1" x14ac:dyDescent="0.25">
      <c r="BK32" s="185"/>
    </row>
    <row r="33" spans="63:63" s="186" customFormat="1" ht="15" customHeight="1" x14ac:dyDescent="0.25">
      <c r="BK33" s="185"/>
    </row>
    <row r="34" spans="63:63" s="186" customFormat="1" ht="15" customHeight="1" x14ac:dyDescent="0.25">
      <c r="BK34" s="185"/>
    </row>
    <row r="35" spans="63:63" s="186" customFormat="1" ht="15" customHeight="1" x14ac:dyDescent="0.25">
      <c r="BK35" s="185"/>
    </row>
    <row r="36" spans="63:63" s="186" customFormat="1" ht="15" customHeight="1" x14ac:dyDescent="0.25">
      <c r="BK36" s="185"/>
    </row>
    <row r="37" spans="63:63" s="186" customFormat="1" ht="15" customHeight="1" x14ac:dyDescent="0.25">
      <c r="BK37" s="185"/>
    </row>
    <row r="38" spans="63:63" s="186" customFormat="1" ht="15" customHeight="1" x14ac:dyDescent="0.25">
      <c r="BK38" s="185"/>
    </row>
    <row r="39" spans="63:63" s="186" customFormat="1" ht="15" customHeight="1" x14ac:dyDescent="0.25">
      <c r="BK39" s="185"/>
    </row>
    <row r="40" spans="63:63" s="186" customFormat="1" ht="15" customHeight="1" x14ac:dyDescent="0.25">
      <c r="BK40" s="185"/>
    </row>
    <row r="41" spans="63:63" s="186" customFormat="1" ht="15" customHeight="1" x14ac:dyDescent="0.25">
      <c r="BK41" s="185"/>
    </row>
    <row r="42" spans="63:63" s="186" customFormat="1" ht="15" customHeight="1" x14ac:dyDescent="0.25">
      <c r="BK42" s="185"/>
    </row>
    <row r="43" spans="63:63" s="186" customFormat="1" ht="15" customHeight="1" x14ac:dyDescent="0.25">
      <c r="BK43" s="185"/>
    </row>
    <row r="44" spans="63:63" s="186" customFormat="1" ht="15" customHeight="1" x14ac:dyDescent="0.25">
      <c r="BK44" s="185"/>
    </row>
    <row r="45" spans="63:63" s="186" customFormat="1" ht="15" customHeight="1" x14ac:dyDescent="0.25">
      <c r="BK45" s="185"/>
    </row>
    <row r="46" spans="63:63" s="186" customFormat="1" ht="15" customHeight="1" x14ac:dyDescent="0.25">
      <c r="BK46" s="185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8" t="s">
        <v>43</v>
      </c>
      <c r="B1" s="169"/>
      <c r="C1" s="169"/>
      <c r="D1" s="169"/>
      <c r="E1" s="169"/>
      <c r="F1" s="169"/>
      <c r="G1" s="169"/>
      <c r="H1" s="169"/>
      <c r="I1" s="169"/>
      <c r="J1" s="170"/>
      <c r="K1" s="168" t="s">
        <v>44</v>
      </c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70"/>
      <c r="W1" s="171" t="str">
        <f>IF(表紙!W1="","",表紙!W1)</f>
        <v>詳細設計書</v>
      </c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3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03" t="str">
        <f>IF(表紙!AP2="","",表紙!AP2)</f>
        <v>DuNT</v>
      </c>
      <c r="AQ2" s="101"/>
      <c r="AR2" s="101"/>
      <c r="AS2" s="102"/>
      <c r="AT2" s="107">
        <f>IF(表紙!AT2="","",表紙!AT2)</f>
        <v>45519</v>
      </c>
      <c r="AU2" s="108"/>
      <c r="AV2" s="108"/>
      <c r="AW2" s="108"/>
      <c r="AX2" s="109"/>
      <c r="AY2" s="103" t="str">
        <f>IF(表紙!AY2="","",表紙!AY2)</f>
        <v>DuNT</v>
      </c>
      <c r="AZ2" s="101"/>
      <c r="BA2" s="101"/>
      <c r="BB2" s="102"/>
      <c r="BC2" s="107">
        <f>IF(表紙!BC2="","",表紙!BC2)</f>
        <v>45519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68" t="s">
        <v>52</v>
      </c>
      <c r="B4" s="169"/>
      <c r="C4" s="169"/>
      <c r="D4" s="169"/>
      <c r="E4" s="169"/>
      <c r="F4" s="169"/>
      <c r="G4" s="170"/>
      <c r="H4" s="47" t="str">
        <f>IF(表紙!H4="","",表紙!H4)</f>
        <v>AP1510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8" t="s">
        <v>53</v>
      </c>
      <c r="V4" s="169"/>
      <c r="W4" s="169"/>
      <c r="X4" s="169"/>
      <c r="Y4" s="170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AP1510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62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87"/>
      <c r="AQ7" s="187"/>
      <c r="AR7" s="187"/>
      <c r="AS7" s="187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188"/>
      <c r="AQ8" s="188"/>
      <c r="AR8" s="188"/>
      <c r="AS8" s="188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40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188"/>
      <c r="AQ9" s="188"/>
      <c r="AR9" s="188"/>
      <c r="AS9" s="188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0"/>
      <c r="C10" s="21" t="s">
        <v>36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188"/>
      <c r="AQ10" s="188"/>
      <c r="AR10" s="188"/>
      <c r="AS10" s="188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188"/>
      <c r="AQ11" s="188"/>
      <c r="AR11" s="188"/>
      <c r="AS11" s="188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2"/>
      <c r="BI11" s="22"/>
      <c r="BJ11" s="22"/>
      <c r="BK11" s="18"/>
    </row>
    <row r="12" spans="1:63" s="19" customFormat="1" ht="15" customHeight="1" x14ac:dyDescent="0.25">
      <c r="A12" s="14"/>
      <c r="B12" s="23" t="s">
        <v>63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7"/>
      <c r="BI12" s="17"/>
      <c r="BJ12" s="17"/>
      <c r="BK12" s="18"/>
    </row>
    <row r="13" spans="1:63" s="19" customFormat="1" ht="15" customHeight="1" x14ac:dyDescent="0.25">
      <c r="A13" s="14"/>
      <c r="B13" s="21"/>
      <c r="C13" s="24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4" t="s">
        <v>64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2"/>
      <c r="BI15" s="22"/>
      <c r="BJ15" s="22"/>
      <c r="BK15" s="18"/>
    </row>
    <row r="16" spans="1:63" s="19" customFormat="1" ht="15" customHeight="1" x14ac:dyDescent="0.25">
      <c r="A16" s="14"/>
      <c r="B16" s="21"/>
      <c r="C16" s="69" t="s">
        <v>12</v>
      </c>
      <c r="D16" s="70"/>
      <c r="E16" s="69" t="s">
        <v>13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0"/>
      <c r="AG16" s="69" t="s">
        <v>14</v>
      </c>
      <c r="AH16" s="71"/>
      <c r="AI16" s="71"/>
      <c r="AJ16" s="71"/>
      <c r="AK16" s="71"/>
      <c r="AL16" s="71"/>
      <c r="AM16" s="71"/>
      <c r="AN16" s="71"/>
      <c r="AO16" s="71"/>
      <c r="AP16" s="70"/>
      <c r="AQ16" s="69" t="s">
        <v>15</v>
      </c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0"/>
      <c r="BK16" s="18"/>
    </row>
    <row r="17" spans="1:63" s="19" customFormat="1" ht="15" customHeight="1" x14ac:dyDescent="0.25">
      <c r="A17" s="14"/>
      <c r="B17" s="21"/>
      <c r="C17" s="57">
        <v>1</v>
      </c>
      <c r="D17" s="59"/>
      <c r="E17" s="189" t="s">
        <v>42</v>
      </c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1"/>
      <c r="AG17" s="57" t="s">
        <v>34</v>
      </c>
      <c r="AH17" s="58"/>
      <c r="AI17" s="58"/>
      <c r="AJ17" s="58"/>
      <c r="AK17" s="58"/>
      <c r="AL17" s="58"/>
      <c r="AM17" s="58"/>
      <c r="AN17" s="58"/>
      <c r="AO17" s="58"/>
      <c r="AP17" s="59"/>
      <c r="AQ17" s="72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4"/>
      <c r="BK17" s="18"/>
    </row>
    <row r="18" spans="1:63" s="19" customFormat="1" ht="15" customHeight="1" x14ac:dyDescent="0.25">
      <c r="A18" s="14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 t="s">
        <v>65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24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2"/>
      <c r="BI20" s="22"/>
      <c r="BJ20" s="22"/>
      <c r="BK20" s="18"/>
    </row>
    <row r="21" spans="1:63" s="19" customFormat="1" ht="15" customHeight="1" x14ac:dyDescent="0.25">
      <c r="A21" s="14"/>
      <c r="B21" s="21"/>
      <c r="C21" s="80" t="s">
        <v>66</v>
      </c>
      <c r="D21" s="84"/>
      <c r="E21" s="80" t="s">
        <v>67</v>
      </c>
      <c r="F21" s="83"/>
      <c r="G21" s="83"/>
      <c r="H21" s="83"/>
      <c r="I21" s="83"/>
      <c r="J21" s="83"/>
      <c r="K21" s="84"/>
      <c r="L21" s="69" t="s">
        <v>16</v>
      </c>
      <c r="M21" s="71"/>
      <c r="N21" s="70"/>
      <c r="O21" s="69" t="s">
        <v>17</v>
      </c>
      <c r="P21" s="71"/>
      <c r="Q21" s="71"/>
      <c r="R21" s="70"/>
      <c r="S21" s="69" t="s">
        <v>18</v>
      </c>
      <c r="T21" s="71"/>
      <c r="U21" s="71"/>
      <c r="V21" s="71"/>
      <c r="W21" s="71"/>
      <c r="X21" s="71"/>
      <c r="Y21" s="70"/>
      <c r="Z21" s="80" t="s">
        <v>68</v>
      </c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69" t="s">
        <v>15</v>
      </c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0"/>
      <c r="BK21" s="18"/>
    </row>
    <row r="22" spans="1:63" s="19" customFormat="1" ht="15" customHeight="1" x14ac:dyDescent="0.25">
      <c r="A22" s="14"/>
      <c r="B22" s="21"/>
      <c r="C22" s="57">
        <v>1</v>
      </c>
      <c r="D22" s="59"/>
      <c r="E22" s="192" t="s">
        <v>3</v>
      </c>
      <c r="F22" s="193"/>
      <c r="G22" s="193"/>
      <c r="H22" s="193"/>
      <c r="I22" s="193"/>
      <c r="J22" s="193"/>
      <c r="K22" s="194"/>
      <c r="L22" s="60" t="s">
        <v>4</v>
      </c>
      <c r="M22" s="61"/>
      <c r="N22" s="62"/>
      <c r="O22" s="57" t="s">
        <v>5</v>
      </c>
      <c r="P22" s="58"/>
      <c r="Q22" s="58"/>
      <c r="R22" s="59"/>
      <c r="S22" s="57" t="s">
        <v>6</v>
      </c>
      <c r="T22" s="58"/>
      <c r="U22" s="58"/>
      <c r="V22" s="58"/>
      <c r="W22" s="58"/>
      <c r="X22" s="58"/>
      <c r="Y22" s="59"/>
      <c r="Z22" s="192" t="s">
        <v>7</v>
      </c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4"/>
      <c r="AQ22" s="195" t="s">
        <v>69</v>
      </c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1"/>
      <c r="BK22" s="18"/>
    </row>
    <row r="23" spans="1:63" s="19" customFormat="1" ht="15" customHeight="1" x14ac:dyDescent="0.25">
      <c r="A23" s="14"/>
      <c r="B23" s="21"/>
      <c r="C23" s="57">
        <v>2</v>
      </c>
      <c r="D23" s="59"/>
      <c r="E23" s="192" t="s">
        <v>8</v>
      </c>
      <c r="F23" s="193"/>
      <c r="G23" s="193"/>
      <c r="H23" s="193"/>
      <c r="I23" s="193"/>
      <c r="J23" s="193"/>
      <c r="K23" s="194"/>
      <c r="L23" s="60" t="s">
        <v>6</v>
      </c>
      <c r="M23" s="61"/>
      <c r="N23" s="62"/>
      <c r="O23" s="57" t="s">
        <v>5</v>
      </c>
      <c r="P23" s="58"/>
      <c r="Q23" s="58"/>
      <c r="R23" s="59"/>
      <c r="S23" s="57" t="s">
        <v>6</v>
      </c>
      <c r="T23" s="58"/>
      <c r="U23" s="58"/>
      <c r="V23" s="58"/>
      <c r="W23" s="58"/>
      <c r="X23" s="58"/>
      <c r="Y23" s="59"/>
      <c r="Z23" s="192" t="s">
        <v>8</v>
      </c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4"/>
      <c r="AQ23" s="189"/>
      <c r="AR23" s="190"/>
      <c r="AS23" s="190"/>
      <c r="AT23" s="190"/>
      <c r="AU23" s="190"/>
      <c r="AV23" s="190"/>
      <c r="AW23" s="190"/>
      <c r="AX23" s="190"/>
      <c r="AY23" s="190"/>
      <c r="AZ23" s="190"/>
      <c r="BA23" s="190"/>
      <c r="BB23" s="190"/>
      <c r="BC23" s="190"/>
      <c r="BD23" s="190"/>
      <c r="BE23" s="190"/>
      <c r="BF23" s="190"/>
      <c r="BG23" s="190"/>
      <c r="BH23" s="190"/>
      <c r="BI23" s="190"/>
      <c r="BJ23" s="191"/>
      <c r="BK23" s="18"/>
    </row>
    <row r="24" spans="1:63" s="19" customFormat="1" ht="15" customHeight="1" x14ac:dyDescent="0.25">
      <c r="A24" s="14"/>
      <c r="B24" s="21"/>
      <c r="C24" s="63">
        <v>3</v>
      </c>
      <c r="D24" s="64"/>
      <c r="E24" s="196" t="s">
        <v>9</v>
      </c>
      <c r="F24" s="197"/>
      <c r="G24" s="197"/>
      <c r="H24" s="197"/>
      <c r="I24" s="197"/>
      <c r="J24" s="197"/>
      <c r="K24" s="198"/>
      <c r="L24" s="199" t="s">
        <v>4</v>
      </c>
      <c r="M24" s="200"/>
      <c r="N24" s="201"/>
      <c r="O24" s="202" t="s">
        <v>5</v>
      </c>
      <c r="P24" s="203"/>
      <c r="Q24" s="203"/>
      <c r="R24" s="204"/>
      <c r="S24" s="202" t="s">
        <v>20</v>
      </c>
      <c r="T24" s="203"/>
      <c r="U24" s="203"/>
      <c r="V24" s="203"/>
      <c r="W24" s="203"/>
      <c r="X24" s="203"/>
      <c r="Y24" s="204"/>
      <c r="Z24" s="205" t="s">
        <v>20</v>
      </c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7"/>
      <c r="AQ24" s="208"/>
      <c r="AR24" s="208"/>
      <c r="AS24" s="208"/>
      <c r="AT24" s="208"/>
      <c r="AU24" s="208"/>
      <c r="AV24" s="208"/>
      <c r="AW24" s="208"/>
      <c r="AX24" s="208"/>
      <c r="AY24" s="208"/>
      <c r="AZ24" s="208"/>
      <c r="BA24" s="208"/>
      <c r="BB24" s="208"/>
      <c r="BC24" s="208"/>
      <c r="BD24" s="208"/>
      <c r="BE24" s="208"/>
      <c r="BF24" s="208"/>
      <c r="BG24" s="208"/>
      <c r="BH24" s="208"/>
      <c r="BI24" s="208"/>
      <c r="BJ24" s="209"/>
      <c r="BK24" s="18"/>
    </row>
    <row r="25" spans="1:63" s="19" customFormat="1" ht="15" customHeight="1" x14ac:dyDescent="0.25">
      <c r="A25" s="14"/>
      <c r="B25" s="21"/>
      <c r="C25" s="65"/>
      <c r="D25" s="66"/>
      <c r="E25" s="210"/>
      <c r="F25" s="211"/>
      <c r="G25" s="211"/>
      <c r="H25" s="211"/>
      <c r="I25" s="211"/>
      <c r="J25" s="211"/>
      <c r="K25" s="212"/>
      <c r="L25" s="213"/>
      <c r="M25" s="214"/>
      <c r="N25" s="215"/>
      <c r="O25" s="216"/>
      <c r="P25" s="217"/>
      <c r="Q25" s="217"/>
      <c r="R25" s="218"/>
      <c r="S25" s="216"/>
      <c r="T25" s="217"/>
      <c r="U25" s="217"/>
      <c r="V25" s="217"/>
      <c r="W25" s="217"/>
      <c r="X25" s="217"/>
      <c r="Y25" s="218"/>
      <c r="Z25" s="219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1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3"/>
      <c r="BK25" s="18"/>
    </row>
    <row r="26" spans="1:63" s="19" customFormat="1" ht="15" customHeight="1" x14ac:dyDescent="0.25">
      <c r="A26" s="14"/>
      <c r="B26" s="21"/>
      <c r="C26" s="67"/>
      <c r="D26" s="68"/>
      <c r="E26" s="224"/>
      <c r="F26" s="225"/>
      <c r="G26" s="225"/>
      <c r="H26" s="225"/>
      <c r="I26" s="225"/>
      <c r="J26" s="225"/>
      <c r="K26" s="226"/>
      <c r="L26" s="227"/>
      <c r="M26" s="228"/>
      <c r="N26" s="229"/>
      <c r="O26" s="230"/>
      <c r="P26" s="231"/>
      <c r="Q26" s="231"/>
      <c r="R26" s="232"/>
      <c r="S26" s="230"/>
      <c r="T26" s="231"/>
      <c r="U26" s="231"/>
      <c r="V26" s="231"/>
      <c r="W26" s="231"/>
      <c r="X26" s="231"/>
      <c r="Y26" s="232"/>
      <c r="Z26" s="233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4"/>
      <c r="AM26" s="234"/>
      <c r="AN26" s="234"/>
      <c r="AO26" s="234"/>
      <c r="AP26" s="235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7"/>
      <c r="BK26" s="18"/>
    </row>
    <row r="27" spans="1:63" s="19" customFormat="1" ht="15" customHeight="1" x14ac:dyDescent="0.25">
      <c r="A27" s="14"/>
      <c r="B27" s="21"/>
      <c r="C27" s="57">
        <v>4</v>
      </c>
      <c r="D27" s="59"/>
      <c r="E27" s="192" t="s">
        <v>10</v>
      </c>
      <c r="F27" s="193"/>
      <c r="G27" s="193"/>
      <c r="H27" s="193"/>
      <c r="I27" s="193"/>
      <c r="J27" s="193"/>
      <c r="K27" s="194"/>
      <c r="L27" s="60" t="s">
        <v>6</v>
      </c>
      <c r="M27" s="61"/>
      <c r="N27" s="62"/>
      <c r="O27" s="57" t="s">
        <v>5</v>
      </c>
      <c r="P27" s="58"/>
      <c r="Q27" s="58"/>
      <c r="R27" s="59"/>
      <c r="S27" s="57" t="s">
        <v>6</v>
      </c>
      <c r="T27" s="58"/>
      <c r="U27" s="58"/>
      <c r="V27" s="58"/>
      <c r="W27" s="58"/>
      <c r="X27" s="58"/>
      <c r="Y27" s="59"/>
      <c r="Z27" s="192" t="s">
        <v>10</v>
      </c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4"/>
      <c r="AQ27" s="189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1"/>
      <c r="BK27" s="18"/>
    </row>
    <row r="28" spans="1:63" s="19" customFormat="1" ht="15" customHeight="1" x14ac:dyDescent="0.25">
      <c r="A28" s="14"/>
      <c r="B28" s="21"/>
      <c r="C28" s="57">
        <v>5</v>
      </c>
      <c r="D28" s="59"/>
      <c r="E28" s="192" t="s">
        <v>11</v>
      </c>
      <c r="F28" s="193"/>
      <c r="G28" s="193"/>
      <c r="H28" s="193"/>
      <c r="I28" s="193"/>
      <c r="J28" s="193"/>
      <c r="K28" s="194"/>
      <c r="L28" s="60" t="s">
        <v>6</v>
      </c>
      <c r="M28" s="61"/>
      <c r="N28" s="62"/>
      <c r="O28" s="57" t="s">
        <v>5</v>
      </c>
      <c r="P28" s="58"/>
      <c r="Q28" s="58"/>
      <c r="R28" s="59"/>
      <c r="S28" s="57" t="s">
        <v>6</v>
      </c>
      <c r="T28" s="58"/>
      <c r="U28" s="58"/>
      <c r="V28" s="58"/>
      <c r="W28" s="58"/>
      <c r="X28" s="58"/>
      <c r="Y28" s="59"/>
      <c r="Z28" s="192" t="s">
        <v>11</v>
      </c>
      <c r="AA28" s="193"/>
      <c r="AB28" s="193"/>
      <c r="AC28" s="193"/>
      <c r="AD28" s="193"/>
      <c r="AE28" s="193"/>
      <c r="AF28" s="193"/>
      <c r="AG28" s="193"/>
      <c r="AH28" s="193"/>
      <c r="AI28" s="193"/>
      <c r="AJ28" s="193"/>
      <c r="AK28" s="193"/>
      <c r="AL28" s="193"/>
      <c r="AM28" s="193"/>
      <c r="AN28" s="193"/>
      <c r="AO28" s="193"/>
      <c r="AP28" s="194"/>
      <c r="AQ28" s="189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1"/>
      <c r="BK28" s="18"/>
    </row>
    <row r="29" spans="1:63" s="19" customFormat="1" ht="15" customHeight="1" x14ac:dyDescent="0.25">
      <c r="A29" s="14"/>
      <c r="B29" s="21"/>
      <c r="C29" s="21"/>
      <c r="D29" s="21"/>
      <c r="E29" s="188"/>
      <c r="F29" s="188"/>
      <c r="G29" s="188"/>
      <c r="H29" s="188"/>
      <c r="I29" s="21"/>
      <c r="J29" s="21"/>
      <c r="K29" s="21"/>
      <c r="L29" s="238"/>
      <c r="M29" s="188"/>
      <c r="N29" s="188"/>
      <c r="O29" s="188"/>
      <c r="P29" s="188"/>
      <c r="Q29" s="21"/>
      <c r="R29" s="21"/>
      <c r="S29" s="21"/>
      <c r="T29" s="21"/>
      <c r="U29" s="21"/>
      <c r="V29" s="21"/>
      <c r="W29" s="21"/>
      <c r="X29" s="21"/>
      <c r="Y29" s="21"/>
      <c r="Z29" s="28"/>
      <c r="AA29" s="21"/>
      <c r="AB29" s="21"/>
      <c r="AC29" s="21"/>
      <c r="AD29" s="21"/>
      <c r="AE29" s="21"/>
      <c r="AF29" s="21"/>
      <c r="AG29" s="188"/>
      <c r="AH29" s="188"/>
      <c r="AI29" s="188"/>
      <c r="AJ29" s="188"/>
      <c r="AK29" s="188"/>
      <c r="AL29" s="188"/>
      <c r="AM29" s="188"/>
      <c r="AN29" s="188"/>
      <c r="AO29" s="188"/>
      <c r="AP29" s="21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21"/>
      <c r="D30" s="21"/>
      <c r="E30" s="188"/>
      <c r="F30" s="188"/>
      <c r="G30" s="188"/>
      <c r="H30" s="188"/>
      <c r="I30" s="21"/>
      <c r="J30" s="21"/>
      <c r="K30" s="21"/>
      <c r="L30" s="30"/>
      <c r="M30" s="188"/>
      <c r="N30" s="188"/>
      <c r="O30" s="188"/>
      <c r="P30" s="188"/>
      <c r="Q30" s="21"/>
      <c r="R30" s="21"/>
      <c r="S30" s="21"/>
      <c r="T30" s="21"/>
      <c r="U30" s="21"/>
      <c r="V30" s="21"/>
      <c r="W30" s="21"/>
      <c r="X30" s="21"/>
      <c r="Y30" s="21"/>
      <c r="Z30" s="28"/>
      <c r="AA30" s="21"/>
      <c r="AB30" s="21"/>
      <c r="AC30" s="21"/>
      <c r="AD30" s="21"/>
      <c r="AE30" s="21"/>
      <c r="AF30" s="21"/>
      <c r="AG30" s="188"/>
      <c r="AH30" s="188"/>
      <c r="AI30" s="188"/>
      <c r="AJ30" s="188"/>
      <c r="AK30" s="188"/>
      <c r="AL30" s="188"/>
      <c r="AM30" s="188"/>
      <c r="AN30" s="188"/>
      <c r="AO30" s="188"/>
      <c r="AP30" s="21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2"/>
      <c r="BI30" s="22"/>
      <c r="BJ30" s="22"/>
      <c r="BK30" s="18"/>
    </row>
    <row r="31" spans="1:63" s="19" customFormat="1" ht="15" customHeight="1" x14ac:dyDescent="0.25">
      <c r="A31" s="14"/>
      <c r="B31" s="21"/>
      <c r="C31" s="24" t="s">
        <v>70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2"/>
      <c r="BI31" s="22"/>
      <c r="BJ31" s="22"/>
      <c r="BK31" s="18"/>
    </row>
    <row r="32" spans="1:63" s="19" customFormat="1" ht="15" customHeight="1" x14ac:dyDescent="0.25">
      <c r="A32" s="14"/>
      <c r="B32" s="21"/>
      <c r="C32" s="21"/>
      <c r="D32" s="21" t="s">
        <v>41</v>
      </c>
      <c r="E32" s="188"/>
      <c r="F32" s="188"/>
      <c r="G32" s="188"/>
      <c r="H32" s="188"/>
      <c r="I32" s="188"/>
      <c r="J32" s="188"/>
      <c r="K32" s="188"/>
      <c r="L32" s="44"/>
      <c r="M32" s="45"/>
      <c r="N32" s="45"/>
      <c r="O32" s="21"/>
      <c r="P32" s="21"/>
      <c r="Q32" s="21"/>
      <c r="R32" s="21"/>
      <c r="S32" s="28"/>
      <c r="T32" s="21"/>
      <c r="U32" s="21"/>
      <c r="V32" s="21"/>
      <c r="W32" s="21"/>
      <c r="X32" s="21"/>
      <c r="Y32" s="21"/>
      <c r="Z32" s="23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18"/>
    </row>
    <row r="33" spans="1:63" s="19" customFormat="1" ht="15" customHeight="1" x14ac:dyDescent="0.25">
      <c r="A33" s="14"/>
      <c r="B33" s="21"/>
      <c r="C33" s="21"/>
      <c r="D33" s="21"/>
      <c r="E33" s="188"/>
      <c r="F33" s="188"/>
      <c r="G33" s="188"/>
      <c r="H33" s="188"/>
      <c r="I33" s="188"/>
      <c r="J33" s="188"/>
      <c r="K33" s="188"/>
      <c r="L33" s="44"/>
      <c r="M33" s="45"/>
      <c r="N33" s="45"/>
      <c r="O33" s="21"/>
      <c r="P33" s="21"/>
      <c r="Q33" s="21"/>
      <c r="R33" s="21"/>
      <c r="S33" s="28"/>
      <c r="T33" s="21"/>
      <c r="U33" s="21"/>
      <c r="V33" s="21"/>
      <c r="W33" s="21"/>
      <c r="X33" s="21"/>
      <c r="Y33" s="21"/>
      <c r="Z33" s="23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18"/>
    </row>
    <row r="34" spans="1:63" s="19" customFormat="1" ht="15" customHeight="1" x14ac:dyDescent="0.25">
      <c r="A34" s="14"/>
      <c r="B34" s="21"/>
      <c r="C34" s="24" t="s">
        <v>71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2"/>
      <c r="BI35" s="22"/>
      <c r="BJ35" s="22"/>
      <c r="BK35" s="18"/>
    </row>
    <row r="36" spans="1:63" s="19" customFormat="1" ht="15" customHeight="1" x14ac:dyDescent="0.25">
      <c r="A36" s="14"/>
      <c r="B36" s="21"/>
      <c r="C36" s="78" t="s">
        <v>12</v>
      </c>
      <c r="D36" s="79"/>
      <c r="E36" s="239" t="s">
        <v>19</v>
      </c>
      <c r="F36" s="240"/>
      <c r="G36" s="240"/>
      <c r="H36" s="240"/>
      <c r="I36" s="240"/>
      <c r="J36" s="240"/>
      <c r="K36" s="241"/>
      <c r="L36" s="69" t="s">
        <v>16</v>
      </c>
      <c r="M36" s="71"/>
      <c r="N36" s="70"/>
      <c r="O36" s="69" t="s">
        <v>17</v>
      </c>
      <c r="P36" s="71"/>
      <c r="Q36" s="71"/>
      <c r="R36" s="70"/>
      <c r="S36" s="69" t="s">
        <v>18</v>
      </c>
      <c r="T36" s="71"/>
      <c r="U36" s="71"/>
      <c r="V36" s="71"/>
      <c r="W36" s="71"/>
      <c r="X36" s="71"/>
      <c r="Y36" s="70"/>
      <c r="Z36" s="80" t="s">
        <v>68</v>
      </c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4"/>
      <c r="AQ36" s="75" t="s">
        <v>15</v>
      </c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7"/>
      <c r="BK36" s="18"/>
    </row>
    <row r="37" spans="1:63" s="19" customFormat="1" ht="15" customHeight="1" x14ac:dyDescent="0.25">
      <c r="A37" s="14"/>
      <c r="B37" s="21"/>
      <c r="C37" s="57">
        <v>1</v>
      </c>
      <c r="D37" s="59"/>
      <c r="E37" s="192" t="s">
        <v>37</v>
      </c>
      <c r="F37" s="193"/>
      <c r="G37" s="193"/>
      <c r="H37" s="193"/>
      <c r="I37" s="193"/>
      <c r="J37" s="193"/>
      <c r="K37" s="194"/>
      <c r="L37" s="82" t="s">
        <v>4</v>
      </c>
      <c r="M37" s="61"/>
      <c r="N37" s="62"/>
      <c r="O37" s="57" t="s">
        <v>31</v>
      </c>
      <c r="P37" s="58"/>
      <c r="Q37" s="58"/>
      <c r="R37" s="59"/>
      <c r="S37" s="81" t="s">
        <v>6</v>
      </c>
      <c r="T37" s="58"/>
      <c r="U37" s="58"/>
      <c r="V37" s="58"/>
      <c r="W37" s="58"/>
      <c r="X37" s="58"/>
      <c r="Y37" s="59"/>
      <c r="Z37" s="189" t="s">
        <v>38</v>
      </c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4"/>
      <c r="AQ37" s="72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4"/>
      <c r="BK37" s="18"/>
    </row>
    <row r="38" spans="1:63" s="19" customFormat="1" ht="15" customHeight="1" x14ac:dyDescent="0.25">
      <c r="A38" s="14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2"/>
      <c r="BI38" s="22"/>
      <c r="BJ38" s="22"/>
      <c r="BK38" s="18"/>
    </row>
    <row r="39" spans="1:63" s="19" customFormat="1" ht="15" customHeight="1" x14ac:dyDescent="0.25">
      <c r="A39" s="14"/>
      <c r="B39" s="21"/>
      <c r="C39" s="24" t="s">
        <v>72</v>
      </c>
      <c r="D39" s="21"/>
      <c r="E39" s="188"/>
      <c r="F39" s="21"/>
      <c r="G39" s="188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18"/>
    </row>
    <row r="40" spans="1:63" s="19" customFormat="1" ht="15" customHeight="1" x14ac:dyDescent="0.25">
      <c r="A40" s="14"/>
      <c r="B40" s="21"/>
      <c r="C40" s="24"/>
      <c r="D40" s="188"/>
      <c r="E40" s="188"/>
      <c r="F40" s="21"/>
      <c r="G40" s="18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18"/>
    </row>
    <row r="41" spans="1:63" s="19" customFormat="1" ht="15" customHeight="1" x14ac:dyDescent="0.25">
      <c r="A41" s="14"/>
      <c r="B41" s="21"/>
      <c r="C41" s="242" t="s">
        <v>21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25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18"/>
    </row>
    <row r="42" spans="1:63" s="19" customFormat="1" ht="15" customHeight="1" x14ac:dyDescent="0.25">
      <c r="A42" s="14"/>
      <c r="B42" s="21"/>
      <c r="C42" s="243" t="s">
        <v>73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6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18"/>
    </row>
    <row r="43" spans="1:63" s="19" customFormat="1" ht="15" customHeight="1" x14ac:dyDescent="0.25">
      <c r="A43" s="14"/>
      <c r="B43" s="21"/>
      <c r="C43" s="244" t="s">
        <v>22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27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18"/>
    </row>
    <row r="44" spans="1:63" s="19" customFormat="1" ht="15" customHeight="1" x14ac:dyDescent="0.25">
      <c r="A44" s="14"/>
      <c r="B44" s="20"/>
      <c r="C44" s="2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2"/>
      <c r="BI44" s="22"/>
      <c r="BJ44" s="22"/>
      <c r="BK44" s="18"/>
    </row>
    <row r="45" spans="1:63" s="19" customFormat="1" ht="15" customHeight="1" x14ac:dyDescent="0.25">
      <c r="A45" s="14"/>
      <c r="B45" s="15" t="s">
        <v>74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7"/>
      <c r="BI45" s="17"/>
      <c r="BJ45" s="17"/>
      <c r="BK45" s="18"/>
    </row>
    <row r="46" spans="1:63" s="19" customFormat="1" ht="15" customHeight="1" x14ac:dyDescent="0.25">
      <c r="A46" s="14"/>
      <c r="B46" s="20"/>
      <c r="C46" s="2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2"/>
      <c r="BI46" s="22"/>
      <c r="BJ46" s="22"/>
      <c r="BK46" s="18"/>
    </row>
    <row r="47" spans="1:63" s="19" customFormat="1" ht="15" customHeight="1" x14ac:dyDescent="0.25">
      <c r="A47" s="14"/>
      <c r="B47" s="20"/>
      <c r="C47" s="24" t="s">
        <v>75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2"/>
      <c r="BI47" s="22"/>
      <c r="BJ47" s="22"/>
      <c r="BK47" s="18"/>
    </row>
    <row r="48" spans="1:63" s="19" customFormat="1" ht="15" customHeight="1" x14ac:dyDescent="0.25">
      <c r="A48" s="14"/>
      <c r="B48" s="20"/>
      <c r="C48" s="2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"/>
      <c r="BI48" s="22"/>
      <c r="BJ48" s="22"/>
      <c r="BK48" s="18"/>
    </row>
    <row r="49" spans="1:63" s="19" customFormat="1" ht="15" customHeight="1" x14ac:dyDescent="0.25">
      <c r="A49" s="14"/>
      <c r="B49" s="21"/>
      <c r="C49" s="69" t="s">
        <v>12</v>
      </c>
      <c r="D49" s="70"/>
      <c r="E49" s="80" t="s">
        <v>76</v>
      </c>
      <c r="F49" s="71"/>
      <c r="G49" s="71"/>
      <c r="H49" s="71"/>
      <c r="I49" s="71"/>
      <c r="J49" s="71"/>
      <c r="K49" s="70"/>
      <c r="L49" s="69" t="s">
        <v>17</v>
      </c>
      <c r="M49" s="71"/>
      <c r="N49" s="71"/>
      <c r="O49" s="71"/>
      <c r="P49" s="71"/>
      <c r="Q49" s="71"/>
      <c r="R49" s="70"/>
      <c r="S49" s="88" t="s">
        <v>68</v>
      </c>
      <c r="T49" s="89"/>
      <c r="U49" s="89"/>
      <c r="V49" s="89"/>
      <c r="W49" s="89"/>
      <c r="X49" s="89"/>
      <c r="Y49" s="89"/>
      <c r="Z49" s="89"/>
      <c r="AA49" s="89"/>
      <c r="AB49" s="90"/>
      <c r="AC49" s="69" t="s">
        <v>15</v>
      </c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0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2"/>
      <c r="BI49" s="22"/>
      <c r="BJ49" s="22"/>
      <c r="BK49" s="18"/>
    </row>
    <row r="50" spans="1:63" s="19" customFormat="1" ht="15" customHeight="1" x14ac:dyDescent="0.25">
      <c r="A50" s="14"/>
      <c r="B50" s="21"/>
      <c r="C50" s="57">
        <v>1</v>
      </c>
      <c r="D50" s="59"/>
      <c r="E50" s="57" t="s">
        <v>32</v>
      </c>
      <c r="F50" s="58"/>
      <c r="G50" s="58"/>
      <c r="H50" s="58"/>
      <c r="I50" s="58"/>
      <c r="J50" s="58"/>
      <c r="K50" s="59"/>
      <c r="L50" s="57" t="s">
        <v>23</v>
      </c>
      <c r="M50" s="58"/>
      <c r="N50" s="58"/>
      <c r="O50" s="58"/>
      <c r="P50" s="58"/>
      <c r="Q50" s="58"/>
      <c r="R50" s="59"/>
      <c r="S50" s="91" t="s">
        <v>28</v>
      </c>
      <c r="T50" s="92"/>
      <c r="U50" s="92"/>
      <c r="V50" s="92"/>
      <c r="W50" s="92"/>
      <c r="X50" s="92"/>
      <c r="Y50" s="92"/>
      <c r="Z50" s="92"/>
      <c r="AA50" s="92"/>
      <c r="AB50" s="93"/>
      <c r="AC50" s="57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9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2"/>
      <c r="BI50" s="22"/>
      <c r="BJ50" s="22"/>
      <c r="BK50" s="18"/>
    </row>
    <row r="51" spans="1:63" s="19" customFormat="1" ht="15" customHeight="1" x14ac:dyDescent="0.25">
      <c r="A51" s="14"/>
      <c r="B51" s="21"/>
      <c r="C51" s="57">
        <v>2</v>
      </c>
      <c r="D51" s="59"/>
      <c r="E51" s="85" t="s">
        <v>24</v>
      </c>
      <c r="F51" s="86"/>
      <c r="G51" s="86"/>
      <c r="H51" s="86"/>
      <c r="I51" s="86"/>
      <c r="J51" s="86"/>
      <c r="K51" s="87"/>
      <c r="L51" s="57" t="s">
        <v>5</v>
      </c>
      <c r="M51" s="58"/>
      <c r="N51" s="58"/>
      <c r="O51" s="58"/>
      <c r="P51" s="58"/>
      <c r="Q51" s="58"/>
      <c r="R51" s="59"/>
      <c r="S51" s="91" t="s">
        <v>29</v>
      </c>
      <c r="T51" s="92"/>
      <c r="U51" s="92"/>
      <c r="V51" s="92"/>
      <c r="W51" s="92"/>
      <c r="X51" s="92"/>
      <c r="Y51" s="92"/>
      <c r="Z51" s="92"/>
      <c r="AA51" s="92"/>
      <c r="AB51" s="93"/>
      <c r="AC51" s="57" t="s">
        <v>33</v>
      </c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9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2"/>
      <c r="BI51" s="22"/>
      <c r="BJ51" s="22"/>
      <c r="BK51" s="18"/>
    </row>
    <row r="52" spans="1:63" s="19" customFormat="1" ht="15" customHeight="1" x14ac:dyDescent="0.25">
      <c r="A52" s="14"/>
      <c r="B52" s="21"/>
      <c r="C52" s="57">
        <v>3</v>
      </c>
      <c r="D52" s="59"/>
      <c r="E52" s="85" t="s">
        <v>39</v>
      </c>
      <c r="F52" s="86"/>
      <c r="G52" s="86"/>
      <c r="H52" s="86"/>
      <c r="I52" s="86"/>
      <c r="J52" s="86"/>
      <c r="K52" s="87"/>
      <c r="L52" s="57" t="s">
        <v>5</v>
      </c>
      <c r="M52" s="58"/>
      <c r="N52" s="58"/>
      <c r="O52" s="58"/>
      <c r="P52" s="58"/>
      <c r="Q52" s="58"/>
      <c r="R52" s="59"/>
      <c r="S52" s="91"/>
      <c r="T52" s="92"/>
      <c r="U52" s="92"/>
      <c r="V52" s="92"/>
      <c r="W52" s="92"/>
      <c r="X52" s="92"/>
      <c r="Y52" s="92"/>
      <c r="Z52" s="92"/>
      <c r="AA52" s="92"/>
      <c r="AB52" s="93"/>
      <c r="AC52" s="57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9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2"/>
      <c r="BI52" s="22"/>
      <c r="BJ52" s="22"/>
      <c r="BK52" s="18"/>
    </row>
    <row r="53" spans="1:63" s="19" customFormat="1" ht="15" customHeight="1" x14ac:dyDescent="0.25">
      <c r="A53" s="14"/>
      <c r="B53" s="21"/>
      <c r="C53" s="21"/>
      <c r="D53" s="21"/>
      <c r="E53" s="188"/>
      <c r="F53" s="188"/>
      <c r="G53" s="188"/>
      <c r="H53" s="188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188"/>
      <c r="T53" s="188"/>
      <c r="U53" s="188"/>
      <c r="V53" s="188"/>
      <c r="W53" s="188"/>
      <c r="X53" s="188"/>
      <c r="Y53" s="188"/>
      <c r="Z53" s="188"/>
      <c r="AA53" s="188"/>
      <c r="AB53" s="21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2"/>
      <c r="BI53" s="22"/>
      <c r="BJ53" s="22"/>
      <c r="BK53" s="18"/>
    </row>
    <row r="54" spans="1:63" s="19" customFormat="1" ht="15" customHeight="1" x14ac:dyDescent="0.25">
      <c r="A54" s="14"/>
      <c r="B54" s="21"/>
      <c r="C54" s="24" t="s">
        <v>72</v>
      </c>
      <c r="D54" s="21"/>
      <c r="E54" s="188"/>
      <c r="F54" s="21"/>
      <c r="G54" s="188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2"/>
      <c r="BI54" s="22"/>
      <c r="BJ54" s="22"/>
      <c r="BK54" s="18"/>
    </row>
    <row r="55" spans="1:63" s="19" customFormat="1" ht="15" customHeight="1" x14ac:dyDescent="0.25">
      <c r="A55" s="14"/>
      <c r="B55" s="21"/>
      <c r="C55" s="24"/>
      <c r="D55" s="188"/>
      <c r="E55" s="188"/>
      <c r="F55" s="21"/>
      <c r="G55" s="188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2"/>
      <c r="BI55" s="22"/>
      <c r="BJ55" s="22"/>
      <c r="BK55" s="18"/>
    </row>
    <row r="56" spans="1:63" s="19" customFormat="1" ht="15" customHeight="1" x14ac:dyDescent="0.25">
      <c r="A56" s="14"/>
      <c r="B56" s="21"/>
      <c r="C56" s="242" t="s">
        <v>21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25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2"/>
      <c r="BI56" s="22"/>
      <c r="BJ56" s="22"/>
      <c r="BK56" s="18"/>
    </row>
    <row r="57" spans="1:63" s="19" customFormat="1" ht="15" customHeight="1" x14ac:dyDescent="0.25">
      <c r="A57" s="14"/>
      <c r="B57" s="21"/>
      <c r="C57" s="243" t="s">
        <v>77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6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2"/>
      <c r="BI57" s="22"/>
      <c r="BJ57" s="22"/>
      <c r="BK57" s="18"/>
    </row>
    <row r="58" spans="1:63" s="19" customFormat="1" ht="15" customHeight="1" x14ac:dyDescent="0.25">
      <c r="A58" s="14"/>
      <c r="B58" s="21"/>
      <c r="C58" s="243" t="s">
        <v>25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6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2"/>
      <c r="BI58" s="22"/>
      <c r="BJ58" s="22"/>
      <c r="BK58" s="18"/>
    </row>
    <row r="59" spans="1:63" s="19" customFormat="1" ht="15" customHeight="1" x14ac:dyDescent="0.25">
      <c r="A59" s="14"/>
      <c r="B59" s="21"/>
      <c r="C59" s="243" t="s">
        <v>78</v>
      </c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6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2"/>
      <c r="BI59" s="22"/>
      <c r="BJ59" s="22"/>
      <c r="BK59" s="18"/>
    </row>
    <row r="60" spans="1:63" s="19" customFormat="1" ht="15" customHeight="1" x14ac:dyDescent="0.25">
      <c r="A60" s="14"/>
      <c r="B60" s="21"/>
      <c r="C60" s="243" t="s">
        <v>79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6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1"/>
      <c r="C61" s="243" t="s">
        <v>26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6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2"/>
      <c r="BI61" s="22"/>
      <c r="BJ61" s="22"/>
      <c r="BK61" s="18"/>
    </row>
    <row r="62" spans="1:63" s="19" customFormat="1" ht="15" customHeight="1" x14ac:dyDescent="0.25">
      <c r="A62" s="14"/>
      <c r="B62" s="21"/>
      <c r="C62" s="243" t="s">
        <v>27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6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1"/>
      <c r="C63" s="244" t="s">
        <v>22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27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1"/>
      <c r="C64" s="21"/>
      <c r="D64" s="188"/>
      <c r="E64" s="188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20" t="s">
        <v>80</v>
      </c>
      <c r="D65" s="21"/>
      <c r="E65" s="188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20"/>
      <c r="D66" s="21"/>
      <c r="E66" s="188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0" t="s">
        <v>30</v>
      </c>
      <c r="D67" s="21"/>
      <c r="E67" s="188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0"/>
      <c r="D68" s="21"/>
      <c r="E68" s="188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41" customFormat="1" ht="15" customHeight="1" x14ac:dyDescent="0.25">
      <c r="A69" s="36"/>
      <c r="B69" s="37"/>
      <c r="C69" s="37"/>
      <c r="D69" s="37"/>
      <c r="E69" s="38"/>
      <c r="F69" s="38"/>
      <c r="G69" s="38"/>
      <c r="H69" s="38"/>
      <c r="I69" s="38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9"/>
      <c r="BI69" s="39"/>
      <c r="BJ69" s="39"/>
      <c r="BK69" s="40"/>
    </row>
  </sheetData>
  <mergeCells count="104">
    <mergeCell ref="L51:R51"/>
    <mergeCell ref="C52:D52"/>
    <mergeCell ref="AC49:AU49"/>
    <mergeCell ref="AC50:AU50"/>
    <mergeCell ref="AC52:AU52"/>
    <mergeCell ref="AC51:AU51"/>
    <mergeCell ref="E50:K50"/>
    <mergeCell ref="E52:K52"/>
    <mergeCell ref="S49:AB49"/>
    <mergeCell ref="S50:AB50"/>
    <mergeCell ref="S51:AB51"/>
    <mergeCell ref="C49:D49"/>
    <mergeCell ref="C50:D50"/>
    <mergeCell ref="C51:D51"/>
    <mergeCell ref="L52:R52"/>
    <mergeCell ref="S52:AB52"/>
    <mergeCell ref="E51:K51"/>
    <mergeCell ref="C28:D28"/>
    <mergeCell ref="C27:D2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1:K21"/>
    <mergeCell ref="C21:D21"/>
    <mergeCell ref="S21:Y21"/>
    <mergeCell ref="Z21:AP21"/>
    <mergeCell ref="AQ36:BJ36"/>
    <mergeCell ref="C37:D37"/>
    <mergeCell ref="E37:K37"/>
    <mergeCell ref="C36:D36"/>
    <mergeCell ref="L49:R49"/>
    <mergeCell ref="L50:R50"/>
    <mergeCell ref="E49:K49"/>
    <mergeCell ref="S37:Y37"/>
    <mergeCell ref="AQ37:BJ37"/>
    <mergeCell ref="O37:R37"/>
    <mergeCell ref="E36:K36"/>
    <mergeCell ref="S36:Y36"/>
    <mergeCell ref="L37:N37"/>
    <mergeCell ref="L36:N36"/>
    <mergeCell ref="O36:R36"/>
    <mergeCell ref="Z36:AP36"/>
    <mergeCell ref="Z37:AP37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G17:AP17"/>
    <mergeCell ref="E22:K22"/>
    <mergeCell ref="E23:K23"/>
    <mergeCell ref="C24:D26"/>
    <mergeCell ref="E24:K26"/>
    <mergeCell ref="C22:D22"/>
    <mergeCell ref="C23:D23"/>
    <mergeCell ref="E27:K27"/>
    <mergeCell ref="BC1:BG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O22:R22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4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8" t="s">
        <v>43</v>
      </c>
      <c r="B1" s="169"/>
      <c r="C1" s="169"/>
      <c r="D1" s="169"/>
      <c r="E1" s="169"/>
      <c r="F1" s="169"/>
      <c r="G1" s="169"/>
      <c r="H1" s="169"/>
      <c r="I1" s="169"/>
      <c r="J1" s="170"/>
      <c r="K1" s="168" t="s">
        <v>44</v>
      </c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70"/>
      <c r="W1" s="171" t="str">
        <f>IF(表紙!W1="","",表紙!W1)</f>
        <v>詳細設計書</v>
      </c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3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03" t="str">
        <f>IF(表紙!AP2="","",表紙!AP2)</f>
        <v>DuNT</v>
      </c>
      <c r="AQ2" s="101"/>
      <c r="AR2" s="101"/>
      <c r="AS2" s="102"/>
      <c r="AT2" s="107">
        <f>IF(表紙!AT2="","",表紙!AT2)</f>
        <v>45519</v>
      </c>
      <c r="AU2" s="108"/>
      <c r="AV2" s="108"/>
      <c r="AW2" s="108"/>
      <c r="AX2" s="109"/>
      <c r="AY2" s="103" t="str">
        <f>IF(表紙!AY2="","",表紙!AY2)</f>
        <v>DuNT</v>
      </c>
      <c r="AZ2" s="101"/>
      <c r="BA2" s="101"/>
      <c r="BB2" s="102"/>
      <c r="BC2" s="107">
        <f>IF(表紙!BC2="","",表紙!BC2)</f>
        <v>45519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68" t="s">
        <v>52</v>
      </c>
      <c r="B4" s="169"/>
      <c r="C4" s="169"/>
      <c r="D4" s="169"/>
      <c r="E4" s="169"/>
      <c r="F4" s="169"/>
      <c r="G4" s="170"/>
      <c r="H4" s="47" t="str">
        <f>IF(表紙!H4="","",表紙!H4)</f>
        <v>AP1510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8" t="s">
        <v>53</v>
      </c>
      <c r="V4" s="169"/>
      <c r="W4" s="169"/>
      <c r="X4" s="169"/>
      <c r="Y4" s="170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処理フロー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6" customFormat="1" ht="15" customHeight="1" x14ac:dyDescent="0.25">
      <c r="B7" s="42"/>
      <c r="C7" s="22"/>
      <c r="D7" s="22"/>
      <c r="E7" s="22"/>
      <c r="F7" s="22"/>
      <c r="G7" s="22"/>
      <c r="AI7" s="245"/>
      <c r="BJ7" s="245"/>
      <c r="BK7" s="185"/>
    </row>
    <row r="8" spans="1:63" s="186" customFormat="1" ht="15" customHeight="1" x14ac:dyDescent="0.25">
      <c r="B8" s="42"/>
      <c r="C8" s="22"/>
      <c r="D8" s="22"/>
      <c r="E8" s="22"/>
      <c r="F8" s="22"/>
      <c r="G8" s="22"/>
      <c r="AI8" s="245"/>
      <c r="BJ8" s="245"/>
      <c r="BK8" s="185"/>
    </row>
    <row r="9" spans="1:63" s="186" customFormat="1" ht="15" customHeight="1" x14ac:dyDescent="0.25">
      <c r="B9" s="42"/>
      <c r="C9" s="22"/>
      <c r="D9" s="22"/>
      <c r="E9" s="22"/>
      <c r="F9" s="22"/>
      <c r="G9" s="22"/>
      <c r="AI9" s="245"/>
      <c r="BJ9" s="245"/>
      <c r="BK9" s="185"/>
    </row>
    <row r="10" spans="1:63" s="186" customFormat="1" ht="15" customHeight="1" x14ac:dyDescent="0.25">
      <c r="B10" s="42"/>
      <c r="C10" s="22"/>
      <c r="D10" s="22"/>
      <c r="E10" s="22"/>
      <c r="F10" s="22"/>
      <c r="G10" s="22"/>
      <c r="AI10" s="245"/>
      <c r="BJ10" s="245"/>
      <c r="BK10" s="185"/>
    </row>
    <row r="11" spans="1:63" s="186" customFormat="1" ht="15" customHeight="1" x14ac:dyDescent="0.25">
      <c r="B11" s="246"/>
      <c r="AI11" s="245"/>
      <c r="BJ11" s="245"/>
      <c r="BK11" s="185"/>
    </row>
    <row r="12" spans="1:63" s="186" customFormat="1" ht="15" customHeight="1" x14ac:dyDescent="0.25">
      <c r="B12" s="246"/>
      <c r="AI12" s="245"/>
      <c r="BJ12" s="245"/>
      <c r="BK12" s="185"/>
    </row>
    <row r="13" spans="1:63" s="186" customFormat="1" ht="15" customHeight="1" x14ac:dyDescent="0.25">
      <c r="B13" s="246"/>
      <c r="AI13" s="245"/>
      <c r="BJ13" s="245"/>
      <c r="BK13" s="185"/>
    </row>
    <row r="14" spans="1:63" s="186" customFormat="1" ht="15" customHeight="1" x14ac:dyDescent="0.25">
      <c r="B14" s="246"/>
      <c r="AI14" s="245"/>
      <c r="BJ14" s="245"/>
      <c r="BK14" s="185"/>
    </row>
    <row r="15" spans="1:63" s="186" customFormat="1" ht="15" customHeight="1" x14ac:dyDescent="0.25">
      <c r="B15" s="246"/>
      <c r="AI15" s="245"/>
      <c r="BJ15" s="245"/>
      <c r="BK15" s="185"/>
    </row>
    <row r="16" spans="1:63" s="186" customFormat="1" ht="15" customHeight="1" x14ac:dyDescent="0.25">
      <c r="B16" s="246"/>
      <c r="AI16" s="245"/>
      <c r="BJ16" s="245"/>
      <c r="BK16" s="185"/>
    </row>
    <row r="17" spans="2:63" s="186" customFormat="1" ht="15" customHeight="1" x14ac:dyDescent="0.25">
      <c r="B17" s="246"/>
      <c r="AI17" s="245"/>
      <c r="BJ17" s="245"/>
      <c r="BK17" s="185"/>
    </row>
    <row r="18" spans="2:63" s="186" customFormat="1" ht="15" customHeight="1" x14ac:dyDescent="0.25">
      <c r="B18" s="246"/>
      <c r="AI18" s="245"/>
      <c r="BJ18" s="245"/>
      <c r="BK18" s="185"/>
    </row>
    <row r="19" spans="2:63" s="186" customFormat="1" ht="15" customHeight="1" x14ac:dyDescent="0.25">
      <c r="B19" s="246"/>
      <c r="AI19" s="245"/>
      <c r="BJ19" s="245"/>
      <c r="BK19" s="185"/>
    </row>
    <row r="20" spans="2:63" s="186" customFormat="1" ht="15" customHeight="1" x14ac:dyDescent="0.25">
      <c r="B20" s="246"/>
      <c r="AI20" s="245"/>
      <c r="BJ20" s="245"/>
      <c r="BK20" s="185"/>
    </row>
    <row r="21" spans="2:63" s="186" customFormat="1" ht="15" customHeight="1" x14ac:dyDescent="0.25">
      <c r="B21" s="246"/>
      <c r="AI21" s="245"/>
      <c r="BJ21" s="245"/>
      <c r="BK21" s="185"/>
    </row>
    <row r="22" spans="2:63" s="186" customFormat="1" ht="15" customHeight="1" x14ac:dyDescent="0.25">
      <c r="B22" s="246"/>
      <c r="AI22" s="245"/>
      <c r="BJ22" s="245"/>
      <c r="BK22" s="185"/>
    </row>
    <row r="23" spans="2:63" s="186" customFormat="1" ht="15" customHeight="1" x14ac:dyDescent="0.25">
      <c r="B23" s="246"/>
      <c r="AI23" s="245"/>
      <c r="BJ23" s="245"/>
      <c r="BK23" s="185"/>
    </row>
    <row r="24" spans="2:63" s="186" customFormat="1" ht="15" customHeight="1" x14ac:dyDescent="0.25">
      <c r="B24" s="246"/>
      <c r="AI24" s="245"/>
      <c r="BJ24" s="245"/>
      <c r="BK24" s="185"/>
    </row>
    <row r="25" spans="2:63" s="186" customFormat="1" ht="15" customHeight="1" x14ac:dyDescent="0.25">
      <c r="B25" s="246"/>
      <c r="AI25" s="245"/>
      <c r="BJ25" s="245"/>
      <c r="BK25" s="185"/>
    </row>
    <row r="26" spans="2:63" s="186" customFormat="1" ht="15" customHeight="1" x14ac:dyDescent="0.25">
      <c r="B26" s="246"/>
      <c r="AI26" s="245"/>
      <c r="BJ26" s="245"/>
      <c r="BK26" s="185"/>
    </row>
    <row r="27" spans="2:63" s="186" customFormat="1" ht="15" customHeight="1" x14ac:dyDescent="0.25">
      <c r="B27" s="246"/>
      <c r="AI27" s="245"/>
      <c r="BJ27" s="245"/>
      <c r="BK27" s="185"/>
    </row>
    <row r="28" spans="2:63" s="186" customFormat="1" ht="15" customHeight="1" x14ac:dyDescent="0.25">
      <c r="B28" s="246"/>
      <c r="AI28" s="245"/>
      <c r="BJ28" s="245"/>
      <c r="BK28" s="185"/>
    </row>
    <row r="29" spans="2:63" s="186" customFormat="1" ht="15" customHeight="1" x14ac:dyDescent="0.25">
      <c r="B29" s="246"/>
      <c r="AI29" s="245"/>
      <c r="BJ29" s="245"/>
      <c r="BK29" s="185"/>
    </row>
    <row r="30" spans="2:63" s="186" customFormat="1" ht="15" customHeight="1" x14ac:dyDescent="0.25">
      <c r="B30" s="246"/>
      <c r="AI30" s="245"/>
      <c r="BJ30" s="245"/>
      <c r="BK30" s="185"/>
    </row>
    <row r="31" spans="2:63" s="186" customFormat="1" ht="15" customHeight="1" x14ac:dyDescent="0.25">
      <c r="B31" s="246"/>
      <c r="AI31" s="245"/>
      <c r="BJ31" s="245"/>
      <c r="BK31" s="185"/>
    </row>
    <row r="32" spans="2:63" s="186" customFormat="1" ht="15" customHeight="1" x14ac:dyDescent="0.25">
      <c r="B32" s="246"/>
      <c r="AI32" s="245"/>
      <c r="BJ32" s="245"/>
      <c r="BK32" s="185"/>
    </row>
    <row r="33" spans="1:63" s="186" customFormat="1" ht="15" customHeight="1" x14ac:dyDescent="0.25">
      <c r="B33" s="246"/>
      <c r="AI33" s="245"/>
      <c r="BJ33" s="245"/>
      <c r="BK33" s="185"/>
    </row>
    <row r="34" spans="1:63" s="186" customFormat="1" ht="15" customHeight="1" x14ac:dyDescent="0.25">
      <c r="B34" s="246"/>
      <c r="AI34" s="245"/>
      <c r="BJ34" s="245"/>
      <c r="BK34" s="185"/>
    </row>
    <row r="35" spans="1:63" ht="15" customHeight="1" x14ac:dyDescent="0.25">
      <c r="B35" s="10"/>
      <c r="AI35" s="12"/>
      <c r="BJ35" s="12"/>
      <c r="BK35" s="6"/>
    </row>
    <row r="36" spans="1:63" ht="15" customHeight="1" x14ac:dyDescent="0.25">
      <c r="B36" s="10"/>
      <c r="AI36" s="12"/>
      <c r="BJ36" s="12"/>
      <c r="BK36" s="6"/>
    </row>
    <row r="37" spans="1:63" ht="15" customHeight="1" x14ac:dyDescent="0.25">
      <c r="B37" s="10"/>
      <c r="AI37" s="12"/>
      <c r="BJ37" s="12"/>
      <c r="BK37" s="6"/>
    </row>
    <row r="38" spans="1:63" ht="15" customHeight="1" x14ac:dyDescent="0.25">
      <c r="B38" s="10"/>
      <c r="AI38" s="12"/>
      <c r="BJ38" s="12"/>
      <c r="BK38" s="6"/>
    </row>
    <row r="39" spans="1:63" ht="15" customHeight="1" x14ac:dyDescent="0.25">
      <c r="B39" s="10"/>
      <c r="AI39" s="12"/>
      <c r="BJ39" s="12"/>
      <c r="BK39" s="6"/>
    </row>
    <row r="40" spans="1:63" ht="15" customHeight="1" x14ac:dyDescent="0.25">
      <c r="B40" s="10"/>
      <c r="AI40" s="12"/>
      <c r="BJ40" s="12"/>
      <c r="BK40" s="6"/>
    </row>
    <row r="41" spans="1:63" ht="15" customHeight="1" x14ac:dyDescent="0.25">
      <c r="B41" s="10"/>
      <c r="AI41" s="12"/>
      <c r="BJ41" s="12"/>
      <c r="BK41" s="6"/>
    </row>
    <row r="42" spans="1:63" ht="15" customHeight="1" x14ac:dyDescent="0.25">
      <c r="A42" s="4"/>
      <c r="B42" s="1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3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13"/>
      <c r="BK42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68" t="s">
        <v>43</v>
      </c>
      <c r="B1" s="169"/>
      <c r="C1" s="169"/>
      <c r="D1" s="169"/>
      <c r="E1" s="169"/>
      <c r="F1" s="169"/>
      <c r="G1" s="169"/>
      <c r="H1" s="169"/>
      <c r="I1" s="169"/>
      <c r="J1" s="170"/>
      <c r="K1" s="168" t="s">
        <v>44</v>
      </c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70"/>
      <c r="W1" s="171" t="str">
        <f>IF(表紙!W1="","",表紙!W1)</f>
        <v>詳細設計書</v>
      </c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  <c r="AO1" s="173"/>
      <c r="AP1" s="94" t="s">
        <v>46</v>
      </c>
      <c r="AQ1" s="95"/>
      <c r="AR1" s="95"/>
      <c r="AS1" s="96"/>
      <c r="AT1" s="94" t="s">
        <v>47</v>
      </c>
      <c r="AU1" s="95"/>
      <c r="AV1" s="95"/>
      <c r="AW1" s="95"/>
      <c r="AX1" s="96"/>
      <c r="AY1" s="94" t="s">
        <v>48</v>
      </c>
      <c r="AZ1" s="95"/>
      <c r="BA1" s="95"/>
      <c r="BB1" s="96"/>
      <c r="BC1" s="94" t="s">
        <v>49</v>
      </c>
      <c r="BD1" s="95"/>
      <c r="BE1" s="95"/>
      <c r="BF1" s="95"/>
      <c r="BG1" s="96"/>
      <c r="BH1" s="94" t="s">
        <v>50</v>
      </c>
      <c r="BI1" s="95"/>
      <c r="BJ1" s="95"/>
      <c r="BK1" s="96"/>
    </row>
    <row r="2" spans="1:63" ht="15" customHeight="1" x14ac:dyDescent="0.25">
      <c r="A2" s="51" t="str">
        <f>IF(表紙!A2="","",表紙!A2)</f>
        <v>POSサーバー</v>
      </c>
      <c r="B2" s="52"/>
      <c r="C2" s="52"/>
      <c r="D2" s="52"/>
      <c r="E2" s="52"/>
      <c r="F2" s="52"/>
      <c r="G2" s="52"/>
      <c r="H2" s="52"/>
      <c r="I2" s="52"/>
      <c r="J2" s="53"/>
      <c r="K2" s="51" t="str">
        <f>IF(表紙!K2="","",表紙!K2)</f>
        <v>POSサーバ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3"/>
      <c r="W2" s="174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6"/>
      <c r="AP2" s="103" t="str">
        <f>IF(表紙!AP2="","",表紙!AP2)</f>
        <v>DuNT</v>
      </c>
      <c r="AQ2" s="101"/>
      <c r="AR2" s="101"/>
      <c r="AS2" s="102"/>
      <c r="AT2" s="107">
        <f>IF(表紙!AT2="","",表紙!AT2)</f>
        <v>45519</v>
      </c>
      <c r="AU2" s="108"/>
      <c r="AV2" s="108"/>
      <c r="AW2" s="108"/>
      <c r="AX2" s="109"/>
      <c r="AY2" s="103" t="str">
        <f>IF(表紙!AY2="","",表紙!AY2)</f>
        <v>DuNT</v>
      </c>
      <c r="AZ2" s="101"/>
      <c r="BA2" s="101"/>
      <c r="BB2" s="102"/>
      <c r="BC2" s="107">
        <f>IF(表紙!BC2="","",表紙!BC2)</f>
        <v>45519</v>
      </c>
      <c r="BD2" s="108"/>
      <c r="BE2" s="108"/>
      <c r="BF2" s="108"/>
      <c r="BG2" s="109"/>
      <c r="BH2" s="103">
        <f>IF(表紙!BH2="","",表紙!BH2)</f>
        <v>0.1</v>
      </c>
      <c r="BI2" s="101"/>
      <c r="BJ2" s="101"/>
      <c r="BK2" s="102"/>
    </row>
    <row r="3" spans="1:63" ht="15" customHeight="1" x14ac:dyDescent="0.25">
      <c r="A3" s="54"/>
      <c r="B3" s="55"/>
      <c r="C3" s="55"/>
      <c r="D3" s="55"/>
      <c r="E3" s="55"/>
      <c r="F3" s="55"/>
      <c r="G3" s="55"/>
      <c r="H3" s="55"/>
      <c r="I3" s="55"/>
      <c r="J3" s="56"/>
      <c r="K3" s="54"/>
      <c r="L3" s="55"/>
      <c r="M3" s="55"/>
      <c r="N3" s="55"/>
      <c r="O3" s="55"/>
      <c r="P3" s="55"/>
      <c r="Q3" s="55"/>
      <c r="R3" s="55"/>
      <c r="S3" s="55"/>
      <c r="T3" s="55"/>
      <c r="U3" s="55"/>
      <c r="V3" s="56"/>
      <c r="W3" s="177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9"/>
      <c r="AP3" s="113"/>
      <c r="AQ3" s="114"/>
      <c r="AR3" s="114"/>
      <c r="AS3" s="115"/>
      <c r="AT3" s="119"/>
      <c r="AU3" s="120"/>
      <c r="AV3" s="120"/>
      <c r="AW3" s="120"/>
      <c r="AX3" s="121"/>
      <c r="AY3" s="113"/>
      <c r="AZ3" s="114"/>
      <c r="BA3" s="114"/>
      <c r="BB3" s="115"/>
      <c r="BC3" s="119"/>
      <c r="BD3" s="120"/>
      <c r="BE3" s="120"/>
      <c r="BF3" s="120"/>
      <c r="BG3" s="121"/>
      <c r="BH3" s="113"/>
      <c r="BI3" s="114"/>
      <c r="BJ3" s="114"/>
      <c r="BK3" s="115"/>
    </row>
    <row r="4" spans="1:63" ht="24.95" customHeight="1" x14ac:dyDescent="0.25">
      <c r="A4" s="168" t="s">
        <v>52</v>
      </c>
      <c r="B4" s="169"/>
      <c r="C4" s="169"/>
      <c r="D4" s="169"/>
      <c r="E4" s="169"/>
      <c r="F4" s="169"/>
      <c r="G4" s="170"/>
      <c r="H4" s="47" t="str">
        <f>IF(表紙!H4="","",表紙!H4)</f>
        <v>AP1510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/>
      <c r="U4" s="168" t="s">
        <v>53</v>
      </c>
      <c r="V4" s="169"/>
      <c r="W4" s="169"/>
      <c r="X4" s="169"/>
      <c r="Y4" s="170"/>
      <c r="Z4" s="47" t="str">
        <f>IF(表紙!Z4="","",表紙!Z4)</f>
        <v>API設計書</v>
      </c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9"/>
      <c r="AP4" s="50" t="str">
        <f ca="1">MID(CELL("filename",A1),FIND("]",CELL("filename",A1))+1,255)</f>
        <v>テンプレート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9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86" customFormat="1" ht="15" customHeight="1" x14ac:dyDescent="0.25">
      <c r="BK7" s="185"/>
    </row>
    <row r="8" spans="1:63" s="186" customFormat="1" ht="15" customHeight="1" x14ac:dyDescent="0.25">
      <c r="BK8" s="185"/>
    </row>
    <row r="9" spans="1:63" s="186" customFormat="1" ht="15" customHeight="1" x14ac:dyDescent="0.25">
      <c r="BK9" s="185"/>
    </row>
    <row r="10" spans="1:63" s="186" customFormat="1" ht="15" customHeight="1" x14ac:dyDescent="0.25">
      <c r="BK10" s="185"/>
    </row>
    <row r="11" spans="1:63" s="186" customFormat="1" ht="15" customHeight="1" x14ac:dyDescent="0.25">
      <c r="BK11" s="185"/>
    </row>
    <row r="12" spans="1:63" s="186" customFormat="1" ht="15" customHeight="1" x14ac:dyDescent="0.25">
      <c r="BK12" s="185"/>
    </row>
    <row r="13" spans="1:63" s="186" customFormat="1" ht="15" customHeight="1" x14ac:dyDescent="0.25">
      <c r="BK13" s="185"/>
    </row>
    <row r="14" spans="1:63" s="186" customFormat="1" ht="15" customHeight="1" x14ac:dyDescent="0.25">
      <c r="BK14" s="185"/>
    </row>
    <row r="15" spans="1:63" s="186" customFormat="1" ht="15" customHeight="1" x14ac:dyDescent="0.25">
      <c r="BK15" s="185"/>
    </row>
    <row r="16" spans="1:63" s="186" customFormat="1" ht="15" customHeight="1" x14ac:dyDescent="0.25">
      <c r="BK16" s="185"/>
    </row>
    <row r="17" spans="63:63" s="186" customFormat="1" ht="15" customHeight="1" x14ac:dyDescent="0.25">
      <c r="BK17" s="185"/>
    </row>
    <row r="18" spans="63:63" s="186" customFormat="1" ht="15" customHeight="1" x14ac:dyDescent="0.25">
      <c r="BK18" s="185"/>
    </row>
    <row r="19" spans="63:63" s="186" customFormat="1" ht="15" customHeight="1" x14ac:dyDescent="0.25">
      <c r="BK19" s="185"/>
    </row>
    <row r="20" spans="63:63" s="186" customFormat="1" ht="15" customHeight="1" x14ac:dyDescent="0.25">
      <c r="BK20" s="185"/>
    </row>
    <row r="21" spans="63:63" s="186" customFormat="1" ht="15" customHeight="1" x14ac:dyDescent="0.25">
      <c r="BK21" s="185"/>
    </row>
    <row r="22" spans="63:63" s="186" customFormat="1" ht="15" customHeight="1" x14ac:dyDescent="0.25">
      <c r="BK22" s="185"/>
    </row>
    <row r="23" spans="63:63" s="186" customFormat="1" ht="15" customHeight="1" x14ac:dyDescent="0.25">
      <c r="BK23" s="185"/>
    </row>
    <row r="24" spans="63:63" s="186" customFormat="1" ht="15" customHeight="1" x14ac:dyDescent="0.25">
      <c r="BK24" s="185"/>
    </row>
    <row r="25" spans="63:63" s="186" customFormat="1" ht="15" customHeight="1" x14ac:dyDescent="0.25">
      <c r="BK25" s="185"/>
    </row>
    <row r="26" spans="63:63" s="186" customFormat="1" ht="15" customHeight="1" x14ac:dyDescent="0.25">
      <c r="BK26" s="185"/>
    </row>
    <row r="27" spans="63:63" s="186" customFormat="1" ht="15" customHeight="1" x14ac:dyDescent="0.25">
      <c r="BK27" s="185"/>
    </row>
    <row r="28" spans="63:63" s="186" customFormat="1" ht="15" customHeight="1" x14ac:dyDescent="0.25">
      <c r="BK28" s="185"/>
    </row>
    <row r="29" spans="63:63" s="186" customFormat="1" ht="15" customHeight="1" x14ac:dyDescent="0.25">
      <c r="BK29" s="185"/>
    </row>
    <row r="30" spans="63:63" s="186" customFormat="1" ht="15" customHeight="1" x14ac:dyDescent="0.25">
      <c r="BK30" s="185"/>
    </row>
    <row r="31" spans="63:63" s="186" customFormat="1" ht="15" customHeight="1" x14ac:dyDescent="0.25">
      <c r="BK31" s="185"/>
    </row>
    <row r="32" spans="63:63" s="186" customFormat="1" ht="15" customHeight="1" x14ac:dyDescent="0.25">
      <c r="BK32" s="185"/>
    </row>
    <row r="33" spans="63:63" s="186" customFormat="1" ht="15" customHeight="1" x14ac:dyDescent="0.25">
      <c r="BK33" s="185"/>
    </row>
    <row r="34" spans="63:63" s="186" customFormat="1" ht="15" customHeight="1" x14ac:dyDescent="0.25">
      <c r="BK34" s="185"/>
    </row>
    <row r="35" spans="63:63" s="186" customFormat="1" ht="15" customHeight="1" x14ac:dyDescent="0.25">
      <c r="BK35" s="185"/>
    </row>
    <row r="36" spans="63:63" s="186" customFormat="1" ht="15" customHeight="1" x14ac:dyDescent="0.25">
      <c r="BK36" s="185"/>
    </row>
    <row r="37" spans="63:63" s="186" customFormat="1" ht="15" customHeight="1" x14ac:dyDescent="0.25">
      <c r="BK37" s="185"/>
    </row>
    <row r="38" spans="63:63" s="186" customFormat="1" ht="15" customHeight="1" x14ac:dyDescent="0.25">
      <c r="BK38" s="185"/>
    </row>
    <row r="39" spans="63:63" s="186" customFormat="1" ht="15" customHeight="1" x14ac:dyDescent="0.25">
      <c r="BK39" s="185"/>
    </row>
    <row r="40" spans="63:63" s="186" customFormat="1" ht="15" customHeight="1" x14ac:dyDescent="0.25">
      <c r="BK40" s="185"/>
    </row>
    <row r="41" spans="63:63" s="186" customFormat="1" ht="15" customHeight="1" x14ac:dyDescent="0.25">
      <c r="BK41" s="185"/>
    </row>
    <row r="42" spans="63:63" s="186" customFormat="1" ht="15" customHeight="1" x14ac:dyDescent="0.25">
      <c r="BK42" s="185"/>
    </row>
    <row r="43" spans="63:63" s="186" customFormat="1" ht="15" customHeight="1" x14ac:dyDescent="0.25">
      <c r="BK43" s="185"/>
    </row>
    <row r="44" spans="63:63" s="186" customFormat="1" ht="15" customHeight="1" x14ac:dyDescent="0.25">
      <c r="BK44" s="185"/>
    </row>
    <row r="45" spans="63:63" s="186" customFormat="1" ht="15" customHeight="1" x14ac:dyDescent="0.25">
      <c r="BK45" s="185"/>
    </row>
    <row r="46" spans="63:63" s="186" customFormat="1" ht="15" customHeight="1" x14ac:dyDescent="0.25">
      <c r="BK46" s="185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3CDD8-ACBC-4A08-825F-1024E65A3396}"/>
</file>

<file path=customXml/itemProps2.xml><?xml version="1.0" encoding="utf-8"?>
<ds:datastoreItem xmlns:ds="http://schemas.openxmlformats.org/officeDocument/2006/customXml" ds:itemID="{F1C8E804-F3EC-46F3-8385-D38C182421C4}"/>
</file>

<file path=customXml/itemProps3.xml><?xml version="1.0" encoding="utf-8"?>
<ds:datastoreItem xmlns:ds="http://schemas.openxmlformats.org/officeDocument/2006/customXml" ds:itemID="{1450DD6B-360A-490A-A8C1-9BED372AE93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AP1510</vt:lpstr>
      <vt:lpstr>処理フロー</vt:lpstr>
      <vt:lpstr>テンプレート</vt:lpstr>
      <vt:lpstr>'AP1510'!Print_Area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2024-08-20T09:02:15Z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