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7A5A0B75-51C4-45B8-B9C4-9F316A31F365}"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1502" sheetId="8" r:id="rId4"/>
    <sheet name="処理フロー" sheetId="9" r:id="rId5"/>
    <sheet name="テンプレート" sheetId="7" r:id="rId6"/>
  </sheets>
  <definedNames>
    <definedName name="_xlnm.Print_Area" localSheetId="3">'AP1502'!$A$1:$BK$125</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AP4" i="8"/>
  <c r="Z4" i="8"/>
  <c r="H4" i="8"/>
  <c r="K2" i="8"/>
  <c r="A2" i="8"/>
  <c r="W1" i="8"/>
  <c r="AP4" i="10"/>
  <c r="Z4" i="10"/>
  <c r="H4" i="10"/>
  <c r="AT2" i="10"/>
  <c r="K2" i="10"/>
  <c r="A2" i="10"/>
  <c r="W1" i="10"/>
  <c r="AP4" i="3" a="1"/>
  <c r="AP4" i="3" s="1"/>
  <c r="Z4" i="3"/>
  <c r="H4" i="3"/>
  <c r="AT2" i="3"/>
  <c r="K2" i="3"/>
  <c r="A2" i="3"/>
  <c r="W1" i="3"/>
  <c r="L24" i="4"/>
  <c r="AP4" i="4" a="1"/>
  <c r="AP4" i="4" s="1"/>
  <c r="BH2" i="4"/>
  <c r="BH2" i="10" s="1"/>
  <c r="BC2" i="4"/>
  <c r="BC2" i="7" s="1"/>
  <c r="AY2" i="4"/>
  <c r="AY2" i="9" s="1"/>
  <c r="AT2" i="4"/>
  <c r="AT2" i="8" s="1"/>
  <c r="AP2" i="4"/>
  <c r="AP2" i="10" s="1"/>
  <c r="AY2" i="8" l="1"/>
  <c r="BC2" i="9"/>
  <c r="AP2" i="7"/>
  <c r="BH2" i="7"/>
  <c r="AY2" i="3"/>
  <c r="AY2" i="10"/>
  <c r="BC2" i="8"/>
  <c r="AP2" i="9"/>
  <c r="BH2" i="9"/>
  <c r="AT2" i="7"/>
  <c r="BC2" i="3"/>
  <c r="BC2" i="10"/>
  <c r="AP2" i="8"/>
  <c r="BH2" i="8"/>
  <c r="AT2" i="9"/>
  <c r="AY2" i="7"/>
  <c r="AP2" i="3"/>
  <c r="BH2" i="3"/>
</calcChain>
</file>

<file path=xl/sharedStrings.xml><?xml version="1.0" encoding="utf-8"?>
<sst xmlns="http://schemas.openxmlformats.org/spreadsheetml/2006/main" count="329" uniqueCount="233">
  <si>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</si>
  <si>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</si>
  <si>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</si>
  <si>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</si>
  <si>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</si>
  <si>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</si>
  <si>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</si>
  <si>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</si>
  <si>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</si>
  <si>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</si>
  <si>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</si>
  <si>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</si>
  <si>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</si>
  <si>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</si>
  <si>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</si>
  <si>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</si>
  <si>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</si>
  <si>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</si>
  <si>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</si>
  <si>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</si>
  <si>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b/>
        <sz val="11"/>
        <color rgb="FF000000"/>
        <rFont val="Meiryo UI"/>
        <family val="2"/>
      </rPr>
      <t>JSON name</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</si>
  <si>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</si>
  <si>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</si>
  <si>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</si>
  <si>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</si>
  <si>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</si>
  <si>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</si>
  <si>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</si>
  <si>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</si>
  <si>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</si>
  <si>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</si>
  <si>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</si>
  <si>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</si>
  <si>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</si>
  <si>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</si>
  <si>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</si>
  <si>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</si>
  <si>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</si>
  <si>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</si>
  <si>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</si>
  <si>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</si>
  <si>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</si>
  <si>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sz val="11"/>
        <color rgb="FF000000"/>
        <rFont val="Meiryo UI"/>
        <family val="2"/>
      </rPr>
      <t>店舗と検索条件（プリセットレイアウトコード、名称）に従ってプリセットレイアウト一覧を取得する。</t>
    </r>
  </si>
  <si>
    <r>
      <rPr>
        <sz val="11"/>
        <color rgb="FF000000"/>
        <rFont val="Meiryo UI"/>
        <family val="2"/>
      </rPr>
      <t>形式：</t>
    </r>
    <r>
      <rPr>
        <sz val="11"/>
        <color rgb="FF000000"/>
        <rFont val="Meiryo UI"/>
        <family val="2"/>
      </rPr>
      <t>"Bearer {api_key}"</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</si>
  <si>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</si>
  <si>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</si>
  <si>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</si>
  <si>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</si>
  <si>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string</t>
    </r>
  </si>
  <si>
    <t>{</t>
  </si>
  <si>
    <t>}</t>
  </si>
  <si>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</si>
  <si>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</si>
  <si>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</si>
  <si>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</si>
  <si>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</si>
  <si>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 xml:space="preserve">            </t>
    </r>
    <r>
      <rPr>
        <sz val="11"/>
        <color rgb="FF000000"/>
        <rFont val="Meiryo UI"/>
        <family val="2"/>
      </rPr>
      <t>"preset_layout_code":"2201",</t>
    </r>
  </si>
  <si>
    <r>
      <rPr>
        <sz val="11"/>
        <color rgb="FF000000"/>
        <rFont val="Meiryo UI"/>
        <family val="2"/>
      </rPr>
      <t xml:space="preserve">            </t>
    </r>
    <r>
      <rPr>
        <sz val="11"/>
        <color rgb="FF000000"/>
        <rFont val="Meiryo UI"/>
        <family val="2"/>
      </rPr>
      <t>"store_code":"09176",</t>
    </r>
  </si>
  <si>
    <r>
      <rPr>
        <sz val="11"/>
        <color rgb="FF000000"/>
        <rFont val="Meiryo UI"/>
        <family val="2"/>
      </rPr>
      <t>フォーマット: yyyy/mm/dd</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</si>
  <si>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</si>
  <si>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"preset_layout_name":"通常レジ",</t>
    </r>
  </si>
  <si>
    <r>
      <rPr>
        <sz val="11"/>
        <color rgb="FF000000"/>
        <rFont val="Meiryo UI"/>
        <family val="2"/>
      </rPr>
      <t>GET</t>
    </r>
  </si>
  <si>
    <r>
      <rPr>
        <sz val="11"/>
        <color rgb="FF000000"/>
        <rFont val="Meiryo UI"/>
        <family val="2"/>
      </rPr>
      <t>page_number</t>
    </r>
  </si>
  <si>
    <r>
      <rPr>
        <sz val="11"/>
        <color rgb="FF000000"/>
        <rFont val="Meiryo UI"/>
        <family val="2"/>
      </rPr>
      <t>PresetMenuMaster.Description</t>
    </r>
  </si>
  <si>
    <r>
      <rPr>
        <sz val="11"/>
        <color rgb="FF000000"/>
        <rFont val="Meiryo UI"/>
        <family val="2"/>
      </rPr>
      <t>PresetMenuMaster.StoreCode</t>
    </r>
  </si>
  <si>
    <r>
      <rPr>
        <sz val="11"/>
        <color rgb="FF000000"/>
        <rFont val="Meiryo UI"/>
        <family val="2"/>
      </rPr>
      <t>Int</t>
    </r>
  </si>
  <si>
    <r>
      <rPr>
        <sz val="11"/>
        <color rgb="FF000000"/>
        <rFont val="Meiryo UI"/>
        <family val="2"/>
      </rPr>
      <t>PresetMenuMaster.ButtonColumnCount</t>
    </r>
  </si>
  <si>
    <r>
      <rPr>
        <sz val="11"/>
        <color rgb="FF000000"/>
        <rFont val="Meiryo UI"/>
        <family val="2"/>
      </rPr>
      <t>PresetMenuMaster.ButtonRowCount</t>
    </r>
  </si>
  <si>
    <r>
      <rPr>
        <sz val="11"/>
        <color rgb="FF000000"/>
        <rFont val="Meiryo UI"/>
        <family val="2"/>
      </rPr>
      <t>style_key</t>
    </r>
  </si>
  <si>
    <r>
      <rPr>
        <sz val="11"/>
        <color rgb="FF000000"/>
        <rFont val="Meiryo UI"/>
        <family val="2"/>
      </rPr>
      <t>PresetMenuMaster.PageNumber</t>
    </r>
  </si>
  <si>
    <r>
      <rPr>
        <sz val="11"/>
        <color rgb="FF000000"/>
        <rFont val="Meiryo UI"/>
        <family val="2"/>
      </rPr>
      <t>PresetMenuMaster.StyleKey</t>
    </r>
  </si>
  <si>
    <r>
      <rPr>
        <sz val="11"/>
        <color rgb="FF000000"/>
        <rFont val="Meiryo UI"/>
        <family val="2"/>
      </rPr>
      <t>PresetMenuButtonMaster.SettingData</t>
    </r>
  </si>
  <si>
    <r>
      <rPr>
        <sz val="11"/>
        <color rgb="FF000000"/>
        <rFont val="Meiryo UI"/>
        <family val="2"/>
      </rPr>
      <t>PresetMenuButtonMaster.StyleKey</t>
    </r>
  </si>
  <si>
    <r>
      <rPr>
        <sz val="11"/>
        <color rgb="FF000000"/>
        <rFont val="Meiryo UI"/>
        <family val="2"/>
      </rPr>
      <t>PresetMenuButtonMaster.Description</t>
    </r>
  </si>
  <si>
    <r>
      <rPr>
        <sz val="11"/>
        <color rgb="FF000000"/>
        <rFont val="Meiryo UI"/>
        <family val="2"/>
      </rPr>
      <t>PresetMenuButtonMaster.ButtonColumnNumber</t>
    </r>
  </si>
  <si>
    <r>
      <rPr>
        <sz val="11"/>
        <color rgb="FF000000"/>
        <rFont val="Meiryo UI"/>
        <family val="2"/>
      </rPr>
      <t>PresetMenuButtonMaster.ButtonRowNumber</t>
    </r>
  </si>
  <si>
    <r>
      <rPr>
        <sz val="11"/>
        <color rgb="FF000000"/>
        <rFont val="Meiryo UI"/>
        <family val="2"/>
      </rPr>
      <t>PresetMenuButtonMaster.ButtonColumnSpan</t>
    </r>
  </si>
  <si>
    <r>
      <rPr>
        <sz val="11"/>
        <color rgb="FF000000"/>
        <rFont val="Meiryo UI"/>
        <family val="2"/>
      </rPr>
      <t>PresetMenuButtonMaster.ButtonRowSpan</t>
    </r>
  </si>
  <si>
    <r>
      <rPr>
        <sz val="11"/>
        <color rgb="FF000000"/>
        <rFont val="Meiryo UI"/>
        <family val="2"/>
      </rPr>
      <t>PresetMenuMaster.ButtonLayoutCode</t>
    </r>
  </si>
  <si>
    <r>
      <rPr>
        <sz val="11"/>
        <color rgb="FF000000"/>
        <rFont val="Meiryo UI"/>
        <family val="2"/>
      </rPr>
      <t>PresetMenuMaster.ButtonLayoutName</t>
    </r>
  </si>
  <si>
    <r>
      <rPr>
        <sz val="11"/>
        <color rgb="FF000000"/>
        <rFont val="Meiryo UI"/>
        <family val="2"/>
      </rPr>
      <t>PresetMenuMaster.ApplyDate</t>
    </r>
  </si>
  <si>
    <r>
      <rPr>
        <sz val="11"/>
        <color rgb="FF000000"/>
        <rFont val="Meiryo UI"/>
        <family val="2"/>
      </rPr>
      <t>event_group_code</t>
    </r>
  </si>
  <si>
    <r>
      <rPr>
        <sz val="11"/>
        <color rgb="FF000000"/>
        <rFont val="Meiryo UI"/>
        <family val="2"/>
      </rPr>
      <t>PresetMenuButtonMaster.EventGroupCode</t>
    </r>
  </si>
  <si>
    <r>
      <rPr>
        <sz val="11"/>
        <color rgb="FF000000"/>
        <rFont val="Meiryo UI"/>
        <family val="2"/>
      </rPr>
      <t>description</t>
    </r>
  </si>
  <si>
    <r>
      <rPr>
        <sz val="11"/>
        <color rgb="FF000000"/>
        <rFont val="Meiryo UI"/>
        <family val="2"/>
      </rPr>
      <t>button_column_count</t>
    </r>
  </si>
  <si>
    <r>
      <rPr>
        <sz val="11"/>
        <color rgb="FF000000"/>
        <rFont val="Meiryo UI"/>
        <family val="2"/>
      </rPr>
      <t>button_row_count</t>
    </r>
  </si>
  <si>
    <r>
      <rPr>
        <sz val="11"/>
        <color rgb="FF000000"/>
        <rFont val="Meiryo UI"/>
        <family val="2"/>
      </rPr>
      <t>button_column_span</t>
    </r>
  </si>
  <si>
    <r>
      <rPr>
        <sz val="11"/>
        <color rgb="FF000000"/>
        <rFont val="Meiryo UI"/>
        <family val="2"/>
      </rPr>
      <t>button_row_span</t>
    </r>
  </si>
  <si>
    <r>
      <rPr>
        <sz val="11"/>
        <color rgb="FF000000"/>
        <rFont val="Meiryo UI"/>
        <family val="2"/>
      </rPr>
      <t>button_row_number</t>
    </r>
  </si>
  <si>
    <r>
      <rPr>
        <sz val="11"/>
        <color rgb="FF000000"/>
        <rFont val="Meiryo UI"/>
        <family val="2"/>
      </rPr>
      <t>button_column_number</t>
    </r>
  </si>
  <si>
    <r>
      <rPr>
        <sz val="11"/>
        <color rgb="FF000000"/>
        <rFont val="Meiryo UI"/>
        <family val="2"/>
      </rPr>
      <t>setting_data</t>
    </r>
  </si>
  <si>
    <r>
      <rPr>
        <sz val="11"/>
        <color rgb="FF000000"/>
        <rFont val="Meiryo UI"/>
        <family val="2"/>
      </rPr>
      <t>タブ表示位置</t>
    </r>
  </si>
  <si>
    <r>
      <rPr>
        <sz val="11"/>
        <color rgb="FF000000"/>
        <rFont val="Meiryo UI"/>
        <family val="2"/>
      </rPr>
      <t>タブ名</t>
    </r>
  </si>
  <si>
    <r>
      <rPr>
        <sz val="11"/>
        <color rgb="FF000000"/>
        <rFont val="Meiryo UI"/>
        <family val="2"/>
      </rPr>
      <t>n行に分割されたタブ</t>
    </r>
  </si>
  <si>
    <r>
      <rPr>
        <sz val="11"/>
        <color rgb="FF000000"/>
        <rFont val="Meiryo UI"/>
        <family val="2"/>
      </rPr>
      <t>n列に分割されたタブ</t>
    </r>
  </si>
  <si>
    <r>
      <rPr>
        <sz val="11"/>
        <color rgb="FF000000"/>
        <rFont val="Meiryo UI"/>
        <family val="2"/>
      </rPr>
      <t>タブの色</t>
    </r>
  </si>
  <si>
    <r>
      <rPr>
        <sz val="11"/>
        <color rgb="FF000000"/>
        <rFont val="Meiryo UI"/>
        <family val="2"/>
      </rPr>
      <t>ボタンの横</t>
    </r>
  </si>
  <si>
    <r>
      <rPr>
        <sz val="11"/>
        <color rgb="FF000000"/>
        <rFont val="Meiryo UI"/>
        <family val="2"/>
      </rPr>
      <t>ボタンの縦</t>
    </r>
  </si>
  <si>
    <r>
      <rPr>
        <sz val="11"/>
        <color rgb="FF000000"/>
        <rFont val="Meiryo UI"/>
        <family val="2"/>
      </rPr>
      <t>ボタン名称</t>
    </r>
  </si>
  <si>
    <r>
      <rPr>
        <sz val="11"/>
        <color rgb="FF000000"/>
        <rFont val="Meiryo UI"/>
        <family val="2"/>
      </rPr>
      <t>ボタンタイプ</t>
    </r>
  </si>
  <si>
    <r>
      <rPr>
        <sz val="11"/>
        <color rgb="FF000000"/>
        <rFont val="Meiryo UI"/>
        <family val="2"/>
      </rPr>
      <t>List&lt;MenuButton&gt;</t>
    </r>
  </si>
  <si>
    <r>
      <rPr>
        <sz val="11"/>
        <color rgb="FF000000"/>
        <rFont val="Meiryo UI"/>
        <family val="2"/>
      </rPr>
      <t>amount</t>
    </r>
  </si>
  <si>
    <r>
      <rPr>
        <sz val="11"/>
        <color rgb="FF000000"/>
        <rFont val="Meiryo UI"/>
        <family val="2"/>
      </rPr>
      <t>Double</t>
    </r>
  </si>
  <si>
    <r>
      <rPr>
        <sz val="11"/>
        <color rgb="FF000000"/>
        <rFont val="Meiryo UI"/>
        <family val="2"/>
      </rPr>
      <t>金額</t>
    </r>
    <r>
      <rPr>
        <sz val="11"/>
        <color rgb="FF000000"/>
        <rFont val="Meiryo UI"/>
        <family val="2"/>
      </rPr>
      <t xml:space="preserve"> </t>
    </r>
  </si>
  <si>
    <r>
      <rPr>
        <sz val="11"/>
        <color rgb="FF000000"/>
        <rFont val="Meiryo UI"/>
        <family val="2"/>
      </rPr>
      <t>record_id</t>
    </r>
  </si>
  <si>
    <r>
      <rPr>
        <sz val="11"/>
        <color rgb="FF000000"/>
        <rFont val="Meiryo UI"/>
        <family val="2"/>
      </rPr>
      <t>BigInt</t>
    </r>
  </si>
  <si>
    <r>
      <rPr>
        <sz val="11"/>
        <color rgb="FF000000"/>
        <rFont val="Meiryo UI"/>
        <family val="2"/>
      </rPr>
      <t>PresetMenuButtonMaster.ID</t>
    </r>
  </si>
  <si>
    <r>
      <rPr>
        <sz val="11"/>
        <color rgb="FF000000"/>
        <rFont val="Meiryo UI"/>
        <family val="2"/>
      </rPr>
      <t>PresetMenuMaster.ID</t>
    </r>
  </si>
  <si>
    <r>
      <rPr>
        <sz val="11"/>
        <color rgb="FF000000"/>
        <rFont val="Meiryo UI"/>
        <family val="2"/>
      </rPr>
      <t>preset_menu</t>
    </r>
  </si>
  <si>
    <r>
      <rPr>
        <sz val="11"/>
        <color rgb="FF000000"/>
        <rFont val="Meiryo UI"/>
        <family val="2"/>
      </rPr>
      <t>preset_menu_button</t>
    </r>
  </si>
  <si>
    <r>
      <rPr>
        <sz val="11"/>
        <color rgb="FF000000"/>
        <rFont val="Meiryo UI"/>
        <family val="2"/>
      </rPr>
      <t>AP1502</t>
    </r>
  </si>
  <si>
    <r>
      <rPr>
        <sz val="11"/>
        <color rgb="FF000000"/>
        <rFont val="Meiryo UI"/>
        <family val="2"/>
      </rPr>
      <t>List&lt;Menu&gt;</t>
    </r>
  </si>
  <si>
    <r>
      <rPr>
        <sz val="11"/>
        <color rgb="FF000000"/>
        <rFont val="Meiryo UI"/>
        <family val="2"/>
      </rPr>
      <t>PresetMenuButtonMaster.StoreCode</t>
    </r>
  </si>
  <si>
    <r>
      <rPr>
        <sz val="11"/>
        <color rgb="FF000000"/>
        <rFont val="Meiryo UI"/>
        <family val="2"/>
      </rPr>
      <t>PresetMenuButtonMaster.ButtonLayoutCode</t>
    </r>
  </si>
  <si>
    <r>
      <rPr>
        <sz val="11"/>
        <color rgb="FF000000"/>
        <rFont val="Meiryo UI"/>
        <family val="2"/>
      </rPr>
      <t>PresetMenuButtonMaster.PageNumber</t>
    </r>
  </si>
  <si>
    <r>
      <rPr>
        <sz val="11"/>
        <color rgb="FF000000"/>
        <rFont val="Meiryo UI"/>
        <family val="2"/>
      </rPr>
      <t>PresetMenuButtonMaster.ApplyDate</t>
    </r>
  </si>
  <si>
    <r>
      <rPr>
        <sz val="11"/>
        <color rgb="FF000000"/>
        <rFont val="Meiryo UI"/>
        <family val="2"/>
      </rPr>
      <t>列nにある</t>
    </r>
  </si>
  <si>
    <r>
      <rPr>
        <sz val="11"/>
        <color rgb="FF000000"/>
        <rFont val="Meiryo UI"/>
        <family val="2"/>
      </rPr>
      <t>行nにある</t>
    </r>
  </si>
  <si>
    <r>
      <rPr>
        <sz val="11"/>
        <color rgb="FF000000"/>
        <rFont val="Meiryo UI"/>
        <family val="2"/>
      </rPr>
      <t xml:space="preserve"> </t>
    </r>
    <r>
      <rPr>
        <sz val="11"/>
        <color rgb="FF000000"/>
        <rFont val="Meiryo UI"/>
        <family val="2"/>
      </rPr>
      <t>ボタンの色</t>
    </r>
  </si>
  <si>
    <r>
      <rPr>
        <sz val="11"/>
        <color rgb="FF000000"/>
        <rFont val="Meiryo UI"/>
        <family val="2"/>
      </rPr>
      <t>ボタンのデータ</t>
    </r>
  </si>
  <si>
    <r>
      <rPr>
        <sz val="11"/>
        <color rgb="FF000000"/>
        <rFont val="Meiryo UI"/>
        <family val="2"/>
      </rPr>
      <t>ボタンの高さ</t>
    </r>
  </si>
  <si>
    <r>
      <rPr>
        <sz val="11"/>
        <color rgb="FF000000"/>
        <rFont val="Meiryo UI"/>
        <family val="2"/>
      </rPr>
      <t>ボタンの幅</t>
    </r>
  </si>
  <si>
    <r>
      <rPr>
        <sz val="11"/>
        <color rgb="FF000000"/>
        <rFont val="Meiryo UI"/>
        <family val="2"/>
      </rPr>
      <t>style_info</t>
    </r>
  </si>
  <si>
    <r>
      <rPr>
        <sz val="11"/>
        <color rgb="FF000000"/>
        <rFont val="Meiryo UI"/>
        <family val="2"/>
      </rPr>
      <t>PresetMenuButtonMaster.StyleInfo</t>
    </r>
  </si>
  <si>
    <r>
      <rPr>
        <sz val="11"/>
        <color rgb="FF000000"/>
        <rFont val="Meiryo UI"/>
        <family val="2"/>
      </rPr>
      <t>プリセットメニューボタン表示状態: 1- 表示, 0 - 非表示</t>
    </r>
  </si>
  <si>
    <r>
      <rPr>
        <sz val="11"/>
        <color rgb="FF000000"/>
        <rFont val="Meiryo UI"/>
        <family val="2"/>
      </rPr>
      <t>display_status</t>
    </r>
  </si>
  <si>
    <r>
      <rPr>
        <sz val="11"/>
        <color rgb="FF000000"/>
        <rFont val="Meiryo UI"/>
        <family val="2"/>
      </rPr>
      <t>SmallInt</t>
    </r>
  </si>
  <si>
    <r>
      <rPr>
        <sz val="11"/>
        <color rgb="FF000000"/>
        <rFont val="Meiryo UI"/>
        <family val="2"/>
      </rPr>
      <t>PresetMenuButtonMaster.DisplayStatus</t>
    </r>
  </si>
  <si>
    <r>
      <rPr>
        <sz val="11"/>
        <color rgb="FF000000"/>
        <rFont val="Meiryo UI"/>
        <family val="2"/>
      </rPr>
      <t xml:space="preserve">    </t>
    </r>
    <r>
      <rPr>
        <sz val="11"/>
        <color rgb="FF000000"/>
        <rFont val="Meiryo UI"/>
        <family val="2"/>
      </rPr>
      <t>"preset_menu": [</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</si>
  <si>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</si>
  <si>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</si>
  <si>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"description":"野菜",</t>
    </r>
  </si>
  <si>
    <r>
      <rPr>
        <sz val="11"/>
        <color rgb="FF000000"/>
        <rFont val="Meiryo UI"/>
        <family val="2"/>
      </rPr>
      <t xml:space="preserve">            </t>
    </r>
    <r>
      <rPr>
        <sz val="11"/>
        <color rgb="FF000000"/>
        <rFont val="Meiryo UI"/>
        <family val="2"/>
      </rPr>
      <t>"button_column_count":　10,</t>
    </r>
  </si>
  <si>
    <r>
      <rPr>
        <sz val="11"/>
        <color rgb="FF000000"/>
        <rFont val="Meiryo UI"/>
        <family val="2"/>
      </rPr>
      <t xml:space="preserve">            </t>
    </r>
    <r>
      <rPr>
        <sz val="11"/>
        <color rgb="FF000000"/>
        <rFont val="Meiryo UI"/>
        <family val="2"/>
      </rPr>
      <t>"button_row_count":５,</t>
    </r>
  </si>
  <si>
    <r>
      <rPr>
        <sz val="11"/>
        <color rgb="FF000000"/>
        <rFont val="Meiryo UI"/>
        <family val="2"/>
      </rPr>
      <t xml:space="preserve">            </t>
    </r>
    <r>
      <rPr>
        <sz val="11"/>
        <color rgb="FF000000"/>
        <rFont val="Meiryo UI"/>
        <family val="2"/>
      </rPr>
      <t>"preset_menu_button": [</t>
    </r>
  </si>
  <si>
    <r>
      <rPr>
        <sz val="11"/>
        <color rgb="FF000000"/>
        <rFont val="Meiryo UI"/>
        <family val="2"/>
      </rPr>
      <t xml:space="preserve">            </t>
    </r>
    <r>
      <rPr>
        <sz val="11"/>
        <color rgb="FF000000"/>
        <rFont val="Meiryo UI"/>
        <family val="2"/>
      </rPr>
      <t>"record_id":</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</si>
  <si>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"store_code":</t>
    </r>
    <r>
      <rPr>
        <sz val="11"/>
        <color rgb="FF000000"/>
        <rFont val="Meiryo UI"/>
        <family val="2"/>
      </rPr>
      <t xml:space="preserve"> </t>
    </r>
    <r>
      <rPr>
        <sz val="11"/>
        <color rgb="FF000000"/>
        <rFont val="Meiryo UI"/>
        <family val="2"/>
      </rPr>
      <t>"09176",</t>
    </r>
  </si>
  <si>
    <r>
      <rPr>
        <sz val="11"/>
        <color rgb="FF000000"/>
        <rFont val="Meiryo UI"/>
        <family val="2"/>
      </rPr>
      <t xml:space="preserve">            </t>
    </r>
    <r>
      <rPr>
        <sz val="11"/>
        <color rgb="FF000000"/>
        <rFont val="Meiryo UI"/>
        <family val="2"/>
      </rPr>
      <t>"preset_layout_code":</t>
    </r>
    <r>
      <rPr>
        <sz val="11"/>
        <color rgb="FF000000"/>
        <rFont val="Meiryo UI"/>
        <family val="2"/>
      </rPr>
      <t xml:space="preserve"> </t>
    </r>
    <r>
      <rPr>
        <sz val="11"/>
        <color rgb="FF000000"/>
        <rFont val="Meiryo UI"/>
        <family val="2"/>
      </rPr>
      <t>"2201",</t>
    </r>
  </si>
  <si>
    <r>
      <rPr>
        <sz val="11"/>
        <color rgb="FF000000"/>
        <rFont val="Meiryo UI"/>
        <family val="2"/>
      </rPr>
      <t xml:space="preserve">            </t>
    </r>
    <r>
      <rPr>
        <sz val="11"/>
        <color rgb="FF000000"/>
        <rFont val="Meiryo UI"/>
        <family val="2"/>
      </rPr>
      <t>"button_column_number":1,</t>
    </r>
  </si>
  <si>
    <r>
      <rPr>
        <sz val="11"/>
        <color rgb="FF000000"/>
        <rFont val="Meiryo UI"/>
        <family val="2"/>
      </rPr>
      <t xml:space="preserve">            </t>
    </r>
    <r>
      <rPr>
        <sz val="11"/>
        <color rgb="FF000000"/>
        <rFont val="Meiryo UI"/>
        <family val="2"/>
      </rPr>
      <t>"button_row_number":1,</t>
    </r>
  </si>
  <si>
    <r>
      <rPr>
        <sz val="11"/>
        <color rgb="FF000000"/>
        <rFont val="Meiryo UI"/>
        <family val="2"/>
      </rPr>
      <t xml:space="preserve">            </t>
    </r>
    <r>
      <rPr>
        <sz val="11"/>
        <color rgb="FF000000"/>
        <rFont val="Meiryo UI"/>
        <family val="2"/>
      </rPr>
      <t>"button_row_span":2,</t>
    </r>
  </si>
  <si>
    <r>
      <rPr>
        <sz val="11"/>
        <color rgb="FF000000"/>
        <rFont val="Meiryo UI"/>
        <family val="2"/>
      </rPr>
      <t xml:space="preserve">            </t>
    </r>
    <r>
      <rPr>
        <sz val="11"/>
        <color rgb="FF000000"/>
        <rFont val="Meiryo UI"/>
        <family val="2"/>
      </rPr>
      <t>"button_column_span":1,</t>
    </r>
  </si>
  <si>
    <r>
      <rPr>
        <sz val="11"/>
        <color rgb="FF000000"/>
        <rFont val="Meiryo UI"/>
        <family val="2"/>
      </rPr>
      <t xml:space="preserve">            </t>
    </r>
    <r>
      <rPr>
        <sz val="11"/>
        <color rgb="FF000000"/>
        <rFont val="Meiryo UI"/>
        <family val="2"/>
      </rPr>
      <t>"description":　"レタス”,</t>
    </r>
  </si>
  <si>
    <r>
      <rPr>
        <sz val="11"/>
        <color rgb="FF000000"/>
        <rFont val="Meiryo UI"/>
        <family val="2"/>
      </rPr>
      <t xml:space="preserve">            </t>
    </r>
    <r>
      <rPr>
        <sz val="11"/>
        <color rgb="FF000000"/>
        <rFont val="Meiryo UI"/>
        <family val="2"/>
      </rPr>
      <t>"event_group_code":1,</t>
    </r>
  </si>
  <si>
    <r>
      <rPr>
        <sz val="11"/>
        <color rgb="FF000000"/>
        <rFont val="Meiryo UI"/>
        <family val="2"/>
      </rPr>
      <t xml:space="preserve">            </t>
    </r>
    <r>
      <rPr>
        <sz val="11"/>
        <color rgb="FF000000"/>
        <rFont val="Meiryo UI"/>
        <family val="2"/>
      </rPr>
      <t>"style_info":" ",</t>
    </r>
  </si>
  <si>
    <r>
      <rPr>
        <sz val="11"/>
        <color rgb="FF000000"/>
        <rFont val="Meiryo UI"/>
        <family val="2"/>
      </rPr>
      <t xml:space="preserve">            </t>
    </r>
    <r>
      <rPr>
        <sz val="11"/>
        <color rgb="FF000000"/>
        <rFont val="Meiryo UI"/>
        <family val="2"/>
      </rPr>
      <t>"display_status":1,</t>
    </r>
  </si>
  <si>
    <r>
      <rPr>
        <sz val="11"/>
        <color rgb="FF000000"/>
        <rFont val="Meiryo UI"/>
        <family val="2"/>
      </rPr>
      <t xml:space="preserve">            </t>
    </r>
    <r>
      <rPr>
        <sz val="11"/>
        <color rgb="FF000000"/>
        <rFont val="Meiryo UI"/>
        <family val="2"/>
      </rPr>
      <t>"amount":　100,</t>
    </r>
  </si>
  <si>
    <r>
      <rPr>
        <sz val="11"/>
        <color rgb="FF000000"/>
        <rFont val="Meiryo UI"/>
        <family val="2"/>
      </rPr>
      <t xml:space="preserve">            </t>
    </r>
    <r>
      <rPr>
        <sz val="11"/>
        <color rgb="FF000000"/>
        <rFont val="Meiryo UI"/>
        <family val="2"/>
      </rPr>
      <t>"setting_data":"EOS0000008017736",</t>
    </r>
  </si>
  <si>
    <r>
      <rPr>
        <sz val="11"/>
        <color rgb="FF000000"/>
        <rFont val="Meiryo UI"/>
        <family val="2"/>
      </rPr>
      <t xml:space="preserve">            </t>
    </r>
    <r>
      <rPr>
        <sz val="11"/>
        <color rgb="FF000000"/>
        <rFont val="Meiryo UI"/>
        <family val="2"/>
      </rPr>
      <t>"style_key":"PresetRadioButtonLeftStyle1",</t>
    </r>
  </si>
  <si>
    <r>
      <rPr>
        <b/>
        <sz val="11"/>
        <color rgb="FF000000"/>
        <rFont val="Meiryo UI"/>
        <family val="2"/>
      </rPr>
      <t>「30_機能設計_00_共通.xlsx」ファイルの「共通APIレスポンス」シートをご参照ください。</t>
    </r>
  </si>
  <si>
    <r>
      <rPr>
        <sz val="11"/>
        <color rgb="FF000000"/>
        <rFont val="Meiryo UI"/>
        <family val="2"/>
      </rPr>
      <t>group_code</t>
    </r>
  </si>
  <si>
    <r>
      <rPr>
        <sz val="11"/>
        <color rgb="FF000000"/>
        <rFont val="Meiryo UI"/>
        <family val="2"/>
      </rPr>
      <t>PresetMenuButtonMaster.GroupCode</t>
    </r>
  </si>
  <si>
    <r>
      <rPr>
        <sz val="11"/>
        <color rgb="FF000000"/>
        <rFont val="Meiryo UI"/>
        <family val="2"/>
      </rPr>
      <t>・1:</t>
    </r>
    <r>
      <rPr>
        <sz val="11"/>
        <color rgb="FF000000"/>
        <rFont val="Meiryo UI"/>
        <family val="2"/>
      </rPr>
      <t xml:space="preserve"> </t>
    </r>
    <r>
      <rPr>
        <sz val="11"/>
        <color rgb="FF000000"/>
        <rFont val="Meiryo UI"/>
        <family val="2"/>
      </rPr>
      <t>商品</t>
    </r>
    <r>
      <rPr>
        <sz val="11"/>
        <color rgb="FF000000"/>
        <rFont val="Meiryo UI"/>
        <family val="2"/>
      </rPr>
      <t xml:space="preserve">
</t>
    </r>
    <r>
      <rPr>
        <sz val="11"/>
        <color rgb="FF000000"/>
        <rFont val="Meiryo UI"/>
        <family val="2"/>
      </rPr>
      <t>・2：品種</t>
    </r>
    <r>
      <rPr>
        <sz val="11"/>
        <color rgb="FF000000"/>
        <rFont val="Meiryo UI"/>
        <family val="2"/>
      </rPr>
      <t xml:space="preserve">
</t>
    </r>
    <r>
      <rPr>
        <sz val="11"/>
        <color rgb="FF000000"/>
        <rFont val="Meiryo UI"/>
        <family val="2"/>
      </rPr>
      <t>・3: 機能</t>
    </r>
  </si>
  <si>
    <r>
      <rPr>
        <sz val="11"/>
        <color rgb="FF000000"/>
        <rFont val="Meiryo UI"/>
        <family val="2"/>
      </rPr>
      <t>PresetMenuButtonMaster.Amount</t>
    </r>
  </si>
  <si>
    <r>
      <rPr>
        <sz val="11"/>
        <color rgb="FF000000"/>
        <rFont val="Meiryo UI"/>
        <family val="2"/>
      </rPr>
      <t>is_display_on_cash_machine</t>
    </r>
  </si>
  <si>
    <r>
      <rPr>
        <sz val="11"/>
        <color rgb="FF000000"/>
        <rFont val="Meiryo UI"/>
        <family val="2"/>
      </rPr>
      <t>is_display_on_customer_screen</t>
    </r>
  </si>
  <si>
    <r>
      <rPr>
        <sz val="11"/>
        <color rgb="FF000000"/>
        <rFont val="Meiryo UI"/>
        <family val="2"/>
      </rPr>
      <t>Boolean</t>
    </r>
  </si>
  <si>
    <r>
      <rPr>
        <sz val="11"/>
        <color rgb="FF000000"/>
        <rFont val="Meiryo UI"/>
        <family val="2"/>
      </rPr>
      <t>PresetMenuMaster.IsDisplayOnCashMachine</t>
    </r>
  </si>
  <si>
    <r>
      <rPr>
        <sz val="11"/>
        <color rgb="FF000000"/>
        <rFont val="Meiryo UI"/>
        <family val="2"/>
      </rPr>
      <t>PresetMenuMaster.IsDisplayOnCustomerScreen</t>
    </r>
  </si>
  <si>
    <r>
      <rPr>
        <sz val="11"/>
        <color rgb="FF000000"/>
        <rFont val="Meiryo UI"/>
        <family val="2"/>
      </rPr>
      <t>レジ画面表示許可設定</t>
    </r>
  </si>
  <si>
    <r>
      <rPr>
        <sz val="11"/>
        <color rgb="FF000000"/>
        <rFont val="Meiryo UI"/>
        <family val="2"/>
      </rPr>
      <t>客用画面表示許可設定</t>
    </r>
  </si>
  <si>
    <r>
      <rPr>
        <sz val="11"/>
        <color rgb="FF000000"/>
        <rFont val="Meiryo UI"/>
        <family val="2"/>
      </rPr>
      <t xml:space="preserve">            </t>
    </r>
    <r>
      <rPr>
        <sz val="11"/>
        <color rgb="FF000000"/>
        <rFont val="Meiryo UI"/>
        <family val="2"/>
      </rPr>
      <t>"is_display_on_cash_machine":true,</t>
    </r>
  </si>
  <si>
    <r>
      <rPr>
        <sz val="11"/>
        <color rgb="FF000000"/>
        <rFont val="Meiryo UI"/>
        <family val="2"/>
      </rPr>
      <t xml:space="preserve">            </t>
    </r>
    <r>
      <rPr>
        <sz val="11"/>
        <color rgb="FF000000"/>
        <rFont val="Meiryo UI"/>
        <family val="2"/>
      </rPr>
      <t>"is_display_on_customer_screen": true,</t>
    </r>
  </si>
  <si>
    <r>
      <rPr>
        <sz val="11"/>
        <color rgb="FF000000"/>
        <rFont val="Meiryo UI"/>
        <family val="2"/>
      </rPr>
      <t>apply_date</t>
    </r>
  </si>
  <si>
    <r>
      <rPr>
        <sz val="11"/>
        <color rgb="FF000000"/>
        <rFont val="Meiryo UI"/>
        <family val="2"/>
      </rPr>
      <t>AP1502シート：リクエスト：preset_layout_name, apply_dateを追加</t>
    </r>
  </si>
  <si>
    <r>
      <rPr>
        <sz val="11"/>
        <color rgb="FF000000"/>
        <rFont val="Meiryo UI"/>
        <family val="2"/>
      </rPr>
      <t>api/v1/presets/detail</t>
    </r>
  </si>
  <si>
    <r>
      <rPr>
        <sz val="11"/>
        <color rgb="FF000000"/>
        <rFont val="Meiryo UI"/>
        <family val="2"/>
      </rPr>
      <t>Querry parameter:詳細情報を取得する必要がある対象プリセットレイアウトを含む店舗ID</t>
    </r>
  </si>
  <si>
    <r>
      <rPr>
        <sz val="11"/>
        <color rgb="FF000000"/>
        <rFont val="Meiryo UI"/>
        <family val="2"/>
      </rPr>
      <t>Querry parameter: 対象プリセットレイアウトコード</t>
    </r>
    <r>
      <rPr>
        <sz val="11"/>
        <color rgb="FF000000"/>
        <rFont val="Meiryo UI"/>
        <family val="2"/>
      </rPr>
      <t xml:space="preserve"> </t>
    </r>
  </si>
  <si>
    <r>
      <rPr>
        <sz val="11"/>
        <color rgb="FF000000"/>
        <rFont val="Meiryo UI"/>
        <family val="2"/>
      </rPr>
      <t>Querry parameter: 予約日</t>
    </r>
  </si>
  <si>
    <r>
      <rPr>
        <sz val="11"/>
        <color rgb="FF000000"/>
        <rFont val="Meiryo UI"/>
        <family val="2"/>
      </rPr>
      <t>Querry parameter: 対象プリセットレイアウト名称</t>
    </r>
    <r>
      <rPr>
        <sz val="11"/>
        <color rgb="FF000000"/>
        <rFont val="Meiryo UI"/>
        <family val="2"/>
      </rPr>
      <t xml:space="preserve"> </t>
    </r>
  </si>
  <si>
    <r>
      <rPr>
        <sz val="11"/>
        <color rgb="FF00B050"/>
        <rFont val="Meiryo UI"/>
        <family val="2"/>
      </rPr>
      <t>is_hidden</t>
    </r>
  </si>
  <si>
    <r>
      <rPr>
        <sz val="11"/>
        <color rgb="FF00B050"/>
        <rFont val="Meiryo UI"/>
        <family val="2"/>
      </rPr>
      <t>PresetMenuMaster.IsHidden</t>
    </r>
  </si>
  <si>
    <r>
      <rPr>
        <sz val="11"/>
        <color rgb="FF00B050"/>
        <rFont val="Meiryo UI"/>
        <family val="2"/>
      </rPr>
      <t>タブ無効化設定</t>
    </r>
    <r>
      <rPr>
        <sz val="11"/>
        <color rgb="FF00B050"/>
        <rFont val="Meiryo UI"/>
        <family val="2"/>
      </rPr>
      <t xml:space="preserve"> </t>
    </r>
  </si>
  <si>
    <r>
      <rPr>
        <sz val="11"/>
        <color rgb="FF000000"/>
        <rFont val="Meiryo UI"/>
        <family val="2"/>
      </rPr>
      <t>ボタンのイメージ  (形式: ドメイン + PresetMenuButtonMaster.StyleInfo)</t>
    </r>
  </si>
  <si>
    <r>
      <rPr>
        <sz val="11"/>
        <color rgb="FF00B050"/>
        <rFont val="Meiryo UI"/>
        <family val="2"/>
      </rPr>
      <t xml:space="preserve">            </t>
    </r>
    <r>
      <rPr>
        <sz val="11"/>
        <color rgb="FF00B050"/>
        <rFont val="Meiryo UI"/>
        <family val="2"/>
      </rPr>
      <t>"is_hidden":false,</t>
    </r>
  </si>
  <si>
    <r>
      <rPr>
        <sz val="11"/>
        <color rgb="FF000000"/>
        <rFont val="Meiryo UI"/>
        <family val="2"/>
      </rPr>
      <t>DuNT</t>
    </r>
  </si>
  <si>
    <r>
      <rPr>
        <b/>
        <sz val="11"/>
        <color rgb="FF000000"/>
        <rFont val="Meiryo UI"/>
        <family val="2"/>
      </rPr>
      <t xml:space="preserve">No. </t>
    </r>
    <r>
      <rPr>
        <sz val="11"/>
        <color rgb="FF000000"/>
        <rFont val="Meiryo UI"/>
        <family val="2"/>
      </rPr>
      <t xml:space="preserve"> </t>
    </r>
  </si>
  <si>
    <r>
      <rPr>
        <b/>
        <sz val="11"/>
        <color rgb="FF000000"/>
        <rFont val="Meiryo UI"/>
        <family val="2"/>
      </rPr>
      <t>※サンプル</t>
    </r>
  </si>
  <si>
    <r>
      <rPr>
        <sz val="11"/>
        <color rgb="FF000000"/>
        <rFont val="Meiryo UI"/>
        <family val="2"/>
      </rPr>
      <t xml:space="preserve">            </t>
    </r>
    <r>
      <rPr>
        <sz val="11"/>
        <color rgb="FF000000"/>
        <rFont val="Meiryo UI"/>
        <family val="2"/>
      </rPr>
      <t>"preset_layout_code":1,</t>
    </r>
  </si>
  <si>
    <r>
      <rPr>
        <sz val="11"/>
        <color rgb="FF000000"/>
        <rFont val="Meiryo UI"/>
        <family val="2"/>
      </rPr>
      <t xml:space="preserve">            </t>
    </r>
    <r>
      <rPr>
        <sz val="11"/>
        <color rgb="FF000000"/>
        <rFont val="Meiryo UI"/>
        <family val="2"/>
      </rPr>
      <t>"booking_date":"2019/06/12",</t>
    </r>
  </si>
  <si>
    <r>
      <rPr>
        <sz val="11"/>
        <color rgb="FF000000"/>
        <rFont val="Meiryo UI"/>
        <family val="2"/>
      </rPr>
      <t xml:space="preserve">            </t>
    </r>
    <r>
      <rPr>
        <sz val="11"/>
        <color rgb="FF000000"/>
        <rFont val="Meiryo UI"/>
        <family val="2"/>
      </rPr>
      <t>"page_number":</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</si>
  <si>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"style_key":"PresetRadioButtonLeftStyle1",</t>
    </r>
  </si>
  <si>
    <r>
      <rPr>
        <sz val="11"/>
        <color rgb="FF000000"/>
        <rFont val="Meiryo UI"/>
        <family val="2"/>
      </rPr>
      <t>NA</t>
    </r>
  </si>
  <si>
    <r>
      <rPr>
        <sz val="11"/>
        <color rgb="FF000000"/>
        <rFont val="Meiryo UI"/>
        <family val="2"/>
      </rPr>
      <t>Accept</t>
    </r>
  </si>
  <si>
    <r>
      <rPr>
        <sz val="11"/>
        <color rgb="FF000000"/>
        <rFont val="Meiryo UI"/>
        <family val="2"/>
      </rPr>
      <t>User-Agent</t>
    </r>
  </si>
  <si>
    <r>
      <rPr>
        <sz val="11"/>
        <color rgb="FF000000"/>
        <rFont val="Meiryo UI"/>
        <family val="2"/>
      </rPr>
      <t>Accept-Encoding</t>
    </r>
  </si>
  <si>
    <r>
      <rPr>
        <sz val="11"/>
        <color rgb="FF000000"/>
        <rFont val="Meiryo UI"/>
        <family val="2"/>
      </rPr>
      <t>store_code</t>
    </r>
  </si>
  <si>
    <r>
      <rPr>
        <sz val="11"/>
        <color rgb="FF000000"/>
        <rFont val="Meiryo UI"/>
        <family val="2"/>
      </rPr>
      <t>preset_layout_code</t>
    </r>
  </si>
  <si>
    <r>
      <rPr>
        <sz val="11"/>
        <color rgb="FF000000"/>
        <rFont val="Meiryo UI"/>
        <family val="2"/>
      </rPr>
      <t>preset_layout_name</t>
    </r>
  </si>
  <si>
    <r>
      <rPr>
        <sz val="11"/>
        <color rgb="FF000000"/>
        <rFont val="Meiryo UI"/>
        <family val="2"/>
      </rPr>
      <t>record_id</t>
    </r>
  </si>
  <si>
    <r>
      <rPr>
        <sz val="11"/>
        <color rgb="FF000000"/>
        <rFont val="Meiryo UI"/>
        <family val="2"/>
      </rPr>
      <t>booking_date</t>
    </r>
  </si>
  <si>
    <r>
      <rPr>
        <sz val="11"/>
        <color rgb="FF000000"/>
        <rFont val="Meiryo UI"/>
        <family val="2"/>
      </rPr>
      <t>page_number</t>
    </r>
  </si>
  <si>
    <r>
      <rPr>
        <sz val="11"/>
        <color rgb="FF000000"/>
        <rFont val="Meiryo UI"/>
        <family val="2"/>
      </rPr>
      <t>description</t>
    </r>
  </si>
  <si>
    <r>
      <rPr>
        <sz val="11"/>
        <color rgb="FF000000"/>
        <rFont val="Meiryo UI"/>
        <family val="2"/>
      </rPr>
      <t>style_key</t>
    </r>
  </si>
  <si>
    <r>
      <rPr>
        <b/>
        <sz val="11"/>
        <color rgb="FF000000"/>
        <rFont val="Meiryo UI"/>
        <family val="2"/>
      </rPr>
      <t>必須</t>
    </r>
  </si>
  <si>
    <r>
      <rPr>
        <sz val="11"/>
        <color rgb="FF000000"/>
        <rFont val="Meiryo UI"/>
        <family val="2"/>
      </rPr>
      <t>BigInt</t>
    </r>
  </si>
  <si>
    <r>
      <rPr>
        <sz val="11"/>
        <color rgb="FF000000"/>
        <rFont val="Meiryo UI"/>
        <family val="2"/>
      </rPr>
      <t>Int</t>
    </r>
  </si>
  <si>
    <r>
      <rPr>
        <sz val="11"/>
        <color rgb="FF00B050"/>
        <rFont val="Meiryo UI"/>
        <family val="2"/>
      </rPr>
      <t>Boolean</t>
    </r>
  </si>
  <si>
    <r>
      <rPr>
        <sz val="11"/>
        <color rgb="FF000000"/>
        <rFont val="Meiryo UI"/>
        <family val="2"/>
      </rPr>
      <t>Boolean</t>
    </r>
  </si>
  <si>
    <r>
      <rPr>
        <sz val="11"/>
        <color rgb="FF000000"/>
        <rFont val="Meiryo UI"/>
        <family val="2"/>
      </rPr>
      <t>SmallInt</t>
    </r>
  </si>
  <si>
    <r>
      <rPr>
        <b/>
        <sz val="11"/>
        <color rgb="FF000000"/>
        <rFont val="Meiryo UI"/>
        <family val="2"/>
      </rPr>
      <t>型</t>
    </r>
  </si>
  <si>
    <r>
      <rPr>
        <sz val="11"/>
        <color rgb="FF000000"/>
        <rFont val="Meiryo UI"/>
        <family val="2"/>
      </rPr>
      <t>String</t>
    </r>
  </si>
  <si>
    <r>
      <rPr>
        <sz val="11"/>
        <color rgb="FF000000"/>
        <rFont val="Meiryo UI"/>
        <family val="2"/>
      </rPr>
      <t>string</t>
    </r>
  </si>
  <si>
    <r>
      <rPr>
        <b/>
        <sz val="11"/>
        <color rgb="FF000000"/>
        <rFont val="Meiryo UI"/>
        <family val="2"/>
      </rPr>
      <t>デフォルト値</t>
    </r>
  </si>
  <si>
    <r>
      <rPr>
        <sz val="11"/>
        <color rgb="FF000000"/>
        <rFont val="Meiryo UI"/>
        <family val="2"/>
      </rPr>
      <t>application/json</t>
    </r>
  </si>
  <si>
    <r>
      <rPr>
        <b/>
        <sz val="11"/>
        <color rgb="FF000000"/>
        <rFont val="Meiryo UI"/>
        <family val="2"/>
      </rPr>
      <t>項目説明</t>
    </r>
  </si>
  <si>
    <r>
      <rPr>
        <sz val="11"/>
        <color rgb="FF000000"/>
        <rFont val="Meiryo UI"/>
        <family val="2"/>
      </rPr>
      <t>フォーマット: yyyy/mm/dd</t>
    </r>
  </si>
  <si>
    <r>
      <rPr>
        <b/>
        <sz val="11"/>
        <color rgb="FF000000"/>
        <rFont val="Meiryo UI"/>
        <family val="2"/>
      </rPr>
      <t>備考</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</si>
  <si>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</si>
  <si>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</si>
  <si>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</si>
  <si>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</si>
  <si>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</si>
  <si>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</si>
  <si>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</si>
  <si>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</si>
  <si>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</si>
  <si>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</si>
  <si>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</si>
  <si>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</si>
  <si>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</si>
  <si>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</si>
  <si>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</si>
  <si>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</si>
  <si>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</si>
  <si>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r>
      <rPr>
        <sz val="11"/>
        <color rgb="FF000000"/>
        <rFont val="Meiryo UI"/>
        <family val="2"/>
      </rPr>
      <t>AP1502 Amountテーブルの列を追加</t>
    </r>
  </si>
  <si>
    <r>
      <rPr>
        <sz val="11"/>
        <color rgb="FF000000"/>
        <rFont val="Meiryo UI"/>
        <family val="2"/>
      </rPr>
      <t xml:space="preserve">AP1502 is_display_on_cash_machine、is_display_on_customer_screenのフィールドを追加する。	 </t>
    </r>
  </si>
  <si>
    <r>
      <rPr>
        <sz val="11"/>
        <color rgb="FF000000"/>
        <rFont val="Meiryo UI"/>
        <family val="2"/>
      </rPr>
      <t>処理フロー：結合条件を追加</t>
    </r>
  </si>
  <si>
    <r>
      <rPr>
        <sz val="11"/>
        <color rgb="FF000000"/>
        <rFont val="Meiryo UI"/>
        <family val="2"/>
      </rPr>
      <t>AP1502 url更新 Request parameterをquerry parameterに変換</t>
    </r>
  </si>
  <si>
    <r>
      <rPr>
        <sz val="11"/>
        <color rgb="FF000000"/>
        <rFont val="Meiryo UI"/>
        <family val="2"/>
      </rPr>
      <t>処理フロー：CompanyCodeの結合条件を追加</t>
    </r>
  </si>
  <si>
    <t>AP1502:is_hiddenを追加</t>
  </si>
  <si>
    <t>AP1502: プリセットイメージurlの説明を追加</t>
  </si>
  <si>
    <t>●API処理フロー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</si>
</sst>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4"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6" fillId="0" borderId="0">
      <alignment vertical="center"/>
    </xf>
    <xf numFmtId="0" fontId="5" fillId="0" borderId="0">
      <alignment vertical="center"/>
    </xf>
  </cellStyleXfs>
  <cellXfs count="292">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0" fillId="0" borderId="16" xfId="0" applyBorder="1" applyAlignment="1">
      <alignment horizontal="left" vertical="center"/>
    </xf>
    <xf numFmtId="0" fontId="6" fillId="0" borderId="4" xfId="0" applyFont="1" applyBorder="1" applyAlignment="1">
      <alignment horizontal="left" vertical="center"/>
    </xf>
    <xf numFmtId="0" fontId="0" fillId="0" borderId="1" xfId="0" applyBorder="1" applyAlignment="1">
      <alignment horizontal="left" vertical="center"/>
    </xf>
    <xf numFmtId="0" fontId="0" fillId="0" borderId="0" xfId="0" quotePrefix="1" applyAlignment="1">
      <alignment horizontal="left" vertical="center"/>
    </xf>
    <xf numFmtId="0" fontId="6" fillId="0" borderId="5" xfId="0" applyFont="1" applyBorder="1" applyAlignment="1">
      <alignment horizontal="left" vertical="center"/>
    </xf>
    <xf numFmtId="0" fontId="0" fillId="0" borderId="2" xfId="0"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7" fillId="0" borderId="0" xfId="0" applyFont="1" applyAlignment="1">
      <alignment horizontal="left" vertical="center"/>
    </xf>
    <xf numFmtId="0" fontId="6" fillId="0" borderId="1" xfId="0" applyFont="1" applyBorder="1" applyAlignment="1">
      <alignment horizontal="left" vertical="center" indent="1"/>
    </xf>
    <xf numFmtId="0" fontId="6" fillId="0" borderId="0" xfId="0" applyFont="1" applyAlignment="1">
      <alignment horizontal="left" vertical="center" indent="1"/>
    </xf>
    <xf numFmtId="0" fontId="6" fillId="0" borderId="4" xfId="0" applyFont="1" applyBorder="1" applyAlignment="1">
      <alignment horizontal="left" vertical="center" indent="1"/>
    </xf>
    <xf numFmtId="0" fontId="6" fillId="3" borderId="0" xfId="0" applyFont="1" applyFill="1" applyAlignment="1">
      <alignment horizontal="left" vertical="center" indent="1"/>
    </xf>
    <xf numFmtId="0" fontId="0" fillId="0" borderId="1" xfId="0" applyBorder="1" applyAlignment="1">
      <alignment horizontal="left" vertical="center" indent="2"/>
    </xf>
    <xf numFmtId="0" fontId="12" fillId="0" borderId="0" xfId="0" applyFont="1" applyAlignment="1">
      <alignment horizontal="left" vertical="center" indent="2"/>
    </xf>
    <xf numFmtId="0" fontId="0" fillId="0" borderId="1" xfId="0" applyBorder="1" applyAlignment="1">
      <alignment horizontal="left" vertical="center" indent="3"/>
    </xf>
    <xf numFmtId="0" fontId="0" fillId="0" borderId="0" xfId="0" applyAlignment="1">
      <alignment horizontal="left" vertical="center" indent="2"/>
    </xf>
    <xf numFmtId="0" fontId="6" fillId="0" borderId="0" xfId="0" applyFont="1" applyAlignment="1">
      <alignment horizontal="left" vertical="center" indent="2"/>
    </xf>
    <xf numFmtId="0" fontId="10" fillId="0" borderId="0" xfId="0" applyFont="1" applyAlignment="1">
      <alignment vertical="center"/>
    </xf>
    <xf numFmtId="0" fontId="10" fillId="0" borderId="1" xfId="0" applyFont="1" applyBorder="1" applyAlignment="1">
      <alignment horizontal="left" vertical="center"/>
    </xf>
    <xf numFmtId="0" fontId="15" fillId="0" borderId="0" xfId="0" applyFont="1" applyAlignment="1">
      <alignment horizontal="left" vertical="center"/>
    </xf>
    <xf numFmtId="0" fontId="10" fillId="0" borderId="0" xfId="0" applyFont="1" applyAlignment="1">
      <alignment horizontal="left" vertical="center"/>
    </xf>
    <xf numFmtId="0" fontId="10" fillId="0" borderId="4" xfId="0" applyFont="1" applyBorder="1" applyAlignment="1">
      <alignment vertical="center"/>
    </xf>
    <xf numFmtId="0" fontId="10" fillId="3" borderId="0" xfId="0" applyFont="1" applyFill="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6" xfId="0" applyFont="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0" fillId="0" borderId="23" xfId="0" quotePrefix="1"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4" xfId="0" quotePrefix="1" applyBorder="1" applyAlignment="1">
      <alignment horizontal="left" vertical="center"/>
    </xf>
    <xf numFmtId="0" fontId="0" fillId="0" borderId="25" xfId="0" quotePrefix="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0" fillId="0" borderId="23" xfId="0" applyBorder="1" applyAlignment="1">
      <alignment horizontal="left" vertical="center"/>
    </xf>
    <xf numFmtId="0" fontId="0" fillId="0" borderId="23" xfId="0" quotePrefix="1" applyBorder="1" applyAlignment="1">
      <alignment horizontal="center"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0" fillId="0" borderId="23" xfId="0" applyBorder="1" applyAlignment="1">
      <alignment horizontal="left" vertical="center" indent="2"/>
    </xf>
    <xf numFmtId="0" fontId="0" fillId="0" borderId="24" xfId="0" applyBorder="1" applyAlignment="1">
      <alignment horizontal="left" vertical="center" indent="2"/>
    </xf>
    <xf numFmtId="0" fontId="0" fillId="0" borderId="25" xfId="0" applyBorder="1" applyAlignment="1">
      <alignment horizontal="left" vertical="center" indent="2"/>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3" xfId="0" quotePrefix="1" applyBorder="1" applyAlignment="1">
      <alignment horizontal="left" vertical="center" wrapText="1"/>
    </xf>
    <xf numFmtId="0" fontId="0" fillId="0" borderId="23" xfId="0" applyBorder="1" applyAlignment="1">
      <alignment horizontal="left" vertical="center" indent="1"/>
    </xf>
    <xf numFmtId="0" fontId="0" fillId="0" borderId="24" xfId="0" applyBorder="1" applyAlignment="1">
      <alignment horizontal="left" vertical="center" indent="1"/>
    </xf>
    <xf numFmtId="0" fontId="0" fillId="0" borderId="25" xfId="0" applyBorder="1" applyAlignment="1">
      <alignment horizontal="left" vertical="center" indent="1"/>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0" fillId="5" borderId="23" xfId="0" applyFill="1" applyBorder="1" applyAlignment="1">
      <alignment horizontal="left" vertical="center"/>
    </xf>
    <xf numFmtId="0" fontId="0" fillId="5" borderId="24" xfId="0" applyFill="1" applyBorder="1" applyAlignment="1">
      <alignment horizontal="left" vertical="center"/>
    </xf>
    <xf numFmtId="0" fontId="0" fillId="5" borderId="25" xfId="0" applyFill="1" applyBorder="1" applyAlignment="1">
      <alignment horizontal="left" vertical="center"/>
    </xf>
    <xf numFmtId="0" fontId="9" fillId="5" borderId="23" xfId="0" applyFont="1" applyFill="1" applyBorder="1" applyAlignment="1">
      <alignment horizontal="lef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10" fillId="0" borderId="23" xfId="0" applyFont="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10" fillId="0" borderId="23" xfId="0" applyFont="1" applyBorder="1" applyAlignment="1">
      <alignment horizontal="left" vertical="center" indent="1"/>
    </xf>
    <xf numFmtId="0" fontId="10" fillId="0" borderId="24" xfId="0" applyFont="1" applyBorder="1" applyAlignment="1">
      <alignment horizontal="left" vertical="center" indent="1"/>
    </xf>
    <xf numFmtId="0" fontId="10" fillId="0" borderId="25" xfId="0" applyFont="1" applyBorder="1" applyAlignment="1">
      <alignment horizontal="left" vertical="center" inden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10" fillId="0" borderId="23" xfId="0" applyFont="1" applyBorder="1" applyAlignment="1">
      <alignment vertical="center"/>
    </xf>
    <xf numFmtId="0" fontId="10" fillId="0" borderId="24" xfId="0" applyFont="1" applyBorder="1" applyAlignment="1">
      <alignment vertical="center"/>
    </xf>
    <xf numFmtId="0" fontId="10" fillId="0" borderId="25" xfId="0" applyFont="1" applyBorder="1" applyAlignment="1">
      <alignment vertical="center"/>
    </xf>
    <xf numFmtId="0" fontId="17" fillId="4" borderId="23" xfId="0" applyFont="1" applyFill="1" applyBorder="1" applyAlignment="1">
      <alignment horizontal="center" vertical="center"/>
    </xf>
    <xf numFmtId="0" fontId="17" fillId="4" borderId="24" xfId="0" applyFont="1" applyFill="1" applyBorder="1" applyAlignment="1">
      <alignment horizontal="center" vertical="center"/>
    </xf>
    <xf numFmtId="0" fontId="17" fillId="4" borderId="25" xfId="0" applyFont="1" applyFill="1" applyBorder="1" applyAlignment="1">
      <alignment horizontal="center" vertical="center"/>
    </xf>
    <xf numFmtId="0" fontId="19"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1" fillId="0" borderId="0" xfId="0" applyFont="1"/>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14" fontId="21" fillId="0" borderId="16" xfId="0" applyNumberFormat="1" applyFont="1" applyBorder="1" applyAlignment="1">
      <alignment horizontal="center" vertical="center"/>
    </xf>
    <xf numFmtId="14" fontId="21" fillId="0" borderId="17" xfId="0" applyNumberFormat="1" applyFont="1" applyBorder="1" applyAlignment="1">
      <alignment horizontal="center" vertical="center"/>
    </xf>
    <xf numFmtId="14" fontId="21" fillId="0" borderId="18" xfId="0" applyNumberFormat="1" applyFont="1" applyBorder="1" applyAlignment="1">
      <alignment horizontal="center" vertical="center"/>
    </xf>
    <xf numFmtId="2" fontId="21" fillId="0" borderId="16"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8" xfId="0" applyNumberFormat="1"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14" fontId="21" fillId="0" borderId="2"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21" fillId="0" borderId="5"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3" xfId="0" applyNumberFormat="1" applyFont="1" applyBorder="1" applyAlignment="1">
      <alignment horizontal="center" vertical="center"/>
    </xf>
    <xf numFmtId="2" fontId="21" fillId="0" borderId="5" xfId="0" applyNumberFormat="1" applyFont="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21" fillId="0" borderId="2" xfId="0" applyFont="1" applyBorder="1"/>
    <xf numFmtId="0" fontId="21" fillId="0" borderId="3" xfId="0" applyFont="1" applyBorder="1"/>
    <xf numFmtId="0" fontId="21" fillId="0" borderId="5" xfId="0" applyFont="1" applyBorder="1"/>
    <xf numFmtId="0" fontId="21" fillId="0" borderId="1" xfId="0" applyFont="1" applyBorder="1"/>
    <xf numFmtId="0" fontId="21" fillId="0" borderId="4" xfId="0" applyFont="1" applyBorder="1"/>
    <xf numFmtId="0" fontId="21" fillId="0" borderId="7" xfId="0" applyFont="1" applyBorder="1"/>
    <xf numFmtId="0" fontId="21" fillId="0" borderId="8" xfId="0" applyFont="1" applyBorder="1"/>
    <xf numFmtId="0" fontId="21" fillId="0" borderId="11" xfId="0" applyFont="1" applyBorder="1"/>
    <xf numFmtId="0" fontId="21" fillId="0" borderId="6" xfId="0" applyFont="1" applyBorder="1"/>
    <xf numFmtId="0" fontId="22" fillId="0" borderId="0" xfId="0" applyFont="1" applyAlignment="1">
      <alignment horizontal="center" vertical="center"/>
    </xf>
    <xf numFmtId="0" fontId="23" fillId="0" borderId="0" xfId="0" applyFont="1" applyAlignment="1">
      <alignment horizontal="center" vertical="center"/>
    </xf>
    <xf numFmtId="0" fontId="21" fillId="0" borderId="12" xfId="0" applyFont="1" applyBorder="1"/>
    <xf numFmtId="0" fontId="21" fillId="0" borderId="14" xfId="0" applyFont="1" applyBorder="1"/>
    <xf numFmtId="0" fontId="21" fillId="0" borderId="15" xfId="0" applyFont="1" applyBorder="1"/>
    <xf numFmtId="0" fontId="21" fillId="0" borderId="9" xfId="0" applyFont="1" applyBorder="1"/>
    <xf numFmtId="0" fontId="21" fillId="0" borderId="10" xfId="0" applyFont="1" applyBorder="1"/>
    <xf numFmtId="0" fontId="21" fillId="0" borderId="13" xfId="0" applyFont="1" applyBorder="1"/>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5" xfId="0" applyFont="1" applyFill="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0" fillId="0" borderId="16" xfId="0" applyFont="1" applyBorder="1" applyAlignment="1">
      <alignment horizontal="center" vertical="center"/>
    </xf>
    <xf numFmtId="0" fontId="17" fillId="4" borderId="0" xfId="0" applyFont="1" applyFill="1"/>
    <xf numFmtId="0" fontId="21" fillId="0" borderId="26" xfId="0" applyFont="1" applyBorder="1"/>
    <xf numFmtId="0" fontId="21" fillId="0" borderId="27" xfId="0" applyFont="1" applyBorder="1"/>
    <xf numFmtId="0" fontId="21" fillId="0" borderId="28" xfId="0" applyFont="1" applyBorder="1"/>
    <xf numFmtId="0" fontId="21" fillId="0" borderId="17" xfId="0" applyFont="1" applyBorder="1"/>
    <xf numFmtId="0" fontId="21" fillId="0" borderId="18" xfId="0" applyFont="1" applyBorder="1"/>
    <xf numFmtId="0" fontId="21" fillId="0" borderId="16" xfId="0" applyFont="1" applyBorder="1"/>
    <xf numFmtId="0" fontId="21" fillId="0" borderId="29" xfId="0" applyFont="1" applyBorder="1"/>
    <xf numFmtId="0" fontId="21" fillId="0" borderId="30" xfId="0" applyFont="1" applyBorder="1"/>
    <xf numFmtId="0" fontId="21" fillId="0" borderId="31" xfId="0" applyFont="1" applyBorder="1"/>
    <xf numFmtId="0" fontId="21" fillId="0" borderId="3" xfId="0" applyFont="1" applyBorder="1"/>
    <xf numFmtId="0" fontId="21" fillId="0" borderId="5" xfId="0" applyFont="1" applyBorder="1"/>
    <xf numFmtId="0" fontId="21" fillId="0" borderId="2" xfId="0" applyFont="1" applyBorder="1"/>
    <xf numFmtId="0" fontId="17" fillId="4" borderId="23" xfId="6" applyFont="1" applyFill="1" applyBorder="1" applyAlignment="1">
      <alignment horizontal="center" vertical="center"/>
    </xf>
    <xf numFmtId="0" fontId="17" fillId="4" borderId="24" xfId="6" applyFont="1" applyFill="1" applyBorder="1" applyAlignment="1">
      <alignment horizontal="center" vertical="center"/>
    </xf>
    <xf numFmtId="0" fontId="17" fillId="4" borderId="25" xfId="6" applyFont="1" applyFill="1" applyBorder="1" applyAlignment="1">
      <alignment horizontal="center" vertical="center"/>
    </xf>
    <xf numFmtId="0" fontId="20" fillId="0" borderId="16" xfId="6" applyFont="1" applyBorder="1" applyAlignment="1">
      <alignment horizontal="center" vertical="center"/>
    </xf>
    <xf numFmtId="0" fontId="20" fillId="0" borderId="17" xfId="6" applyFont="1" applyBorder="1" applyAlignment="1">
      <alignment horizontal="center" vertical="center"/>
    </xf>
    <xf numFmtId="0" fontId="20" fillId="0" borderId="18" xfId="6" applyFont="1" applyBorder="1" applyAlignment="1">
      <alignment horizontal="center" vertic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4" xfId="6" applyFont="1" applyBorder="1" applyAlignment="1">
      <alignment horizontal="center" vertical="center"/>
    </xf>
    <xf numFmtId="0" fontId="20" fillId="0" borderId="2" xfId="6" applyFont="1" applyBorder="1" applyAlignment="1">
      <alignment horizontal="center" vertical="center"/>
    </xf>
    <xf numFmtId="0" fontId="20" fillId="0" borderId="3" xfId="6" applyFont="1" applyBorder="1" applyAlignment="1">
      <alignment horizontal="center" vertical="center"/>
    </xf>
    <xf numFmtId="0" fontId="20" fillId="0" borderId="5" xfId="6" applyFont="1" applyBorder="1" applyAlignment="1">
      <alignment horizontal="center" vertical="center"/>
    </xf>
    <xf numFmtId="0" fontId="21" fillId="0" borderId="1" xfId="0" applyFont="1" applyBorder="1" applyAlignment="1">
      <alignment vertical="center"/>
    </xf>
    <xf numFmtId="0" fontId="18" fillId="4" borderId="19" xfId="0" applyFont="1" applyFill="1" applyBorder="1" applyAlignment="1">
      <alignment vertical="center"/>
    </xf>
    <xf numFmtId="0" fontId="17" fillId="4" borderId="0" xfId="0" applyFont="1" applyFill="1" applyAlignment="1">
      <alignment vertical="center"/>
    </xf>
    <xf numFmtId="0" fontId="17" fillId="4" borderId="21" xfId="0" applyFont="1" applyFill="1" applyBorder="1" applyAlignment="1">
      <alignment vertical="center"/>
    </xf>
    <xf numFmtId="0" fontId="17" fillId="4" borderId="19" xfId="0" applyFont="1" applyFill="1" applyBorder="1" applyAlignment="1">
      <alignment vertical="center"/>
    </xf>
    <xf numFmtId="0" fontId="21" fillId="0" borderId="4" xfId="0" applyFont="1" applyBorder="1" applyAlignment="1">
      <alignment vertical="center"/>
    </xf>
    <xf numFmtId="0" fontId="21" fillId="0" borderId="0" xfId="0" applyFont="1" applyAlignment="1">
      <alignment vertical="center"/>
    </xf>
    <xf numFmtId="0" fontId="21" fillId="0" borderId="21" xfId="0" applyFont="1" applyBorder="1" applyAlignment="1">
      <alignment vertical="center"/>
    </xf>
    <xf numFmtId="0" fontId="21"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7</xdr:row>
      <xdr:rowOff>0</xdr:rowOff>
    </xdr:from>
    <xdr:to>
      <xdr:col>62</xdr:col>
      <xdr:colOff>0</xdr:colOff>
      <xdr:row>24</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447800"/>
          <a:ext cx="7200900" cy="3238500"/>
        </a:xfrm>
        <a:prstGeom prst="borderCallout1">
          <a:avLst>
            <a:gd name="adj1" fmla="val 51887"/>
            <a:gd name="adj2" fmla="val 470"/>
            <a:gd name="adj3" fmla="val 30988"/>
            <a:gd name="adj4" fmla="val -981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以下の条件を満たすPresetMenuMasterテーブルのレコード一覧を取得する。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LEFT JOIN PresetMenuButtonMaster ON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PresetMenuButtonMaster.CompanyCode = PresetMenuMaster.CompanyCode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PresetMenuButtonMaster.StoreCode = PresetMenuMaster.StoreCode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PresetMenuButtonMaster.ButtonLayoutCode = PresetMenuMaster.ButtonLayoutCode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PresetMenuButtonMaster.CompanyCode = PresetMenuMaster.CompanyCode PresetMenuButtonMaster.ApplyDate = PresetMenuMaster.ApplyDate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PresetMenuButtonMaster.PageNumber = PresetMenuMaster.PageNumber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WHERE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PresetMenuButtonMaster.CompanyCode = User.CompanyCode &amp; PresetMenuButtonMaster.StoreCode = params.store_code &amp; PresetMenuButtonMaster.ButtonLayoutCode = params.preset_layout_code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PresetMenuButtonMaster.ApplyDate = params.apply_date &amp;</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PresetMenuMaster.ButtonLayoutName = params.preset_layout_name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ORDER BY PresetLayoutMaster.PageNumber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10</xdr:row>
      <xdr:rowOff>0</xdr:rowOff>
    </xdr:from>
    <xdr:to>
      <xdr:col>9</xdr:col>
      <xdr:colOff>0</xdr:colOff>
      <xdr:row>14</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019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プリセットメニュー一覧取得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10</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28</xdr:row>
      <xdr:rowOff>0</xdr:rowOff>
    </xdr:from>
    <xdr:to>
      <xdr:col>8</xdr:col>
      <xdr:colOff>0</xdr:colOff>
      <xdr:row>29</xdr:row>
      <xdr:rowOff>168088</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5448300"/>
          <a:ext cx="1066800" cy="3619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17</xdr:row>
      <xdr:rowOff>0</xdr:rowOff>
    </xdr:from>
    <xdr:to>
      <xdr:col>9</xdr:col>
      <xdr:colOff>0</xdr:colOff>
      <xdr:row>21</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3352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21</xdr:row>
      <xdr:rowOff>179294</xdr:rowOff>
    </xdr:from>
    <xdr:to>
      <xdr:col>7</xdr:col>
      <xdr:colOff>0</xdr:colOff>
      <xdr:row>22</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18</xdr:row>
      <xdr:rowOff>179294</xdr:rowOff>
    </xdr:from>
    <xdr:to>
      <xdr:col>11</xdr:col>
      <xdr:colOff>0</xdr:colOff>
      <xdr:row>19</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3724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19</xdr:row>
      <xdr:rowOff>84044</xdr:rowOff>
    </xdr:from>
    <xdr:to>
      <xdr:col>11</xdr:col>
      <xdr:colOff>0</xdr:colOff>
      <xdr:row>28</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3819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14</xdr:row>
      <xdr:rowOff>0</xdr:rowOff>
    </xdr:from>
    <xdr:to>
      <xdr:col>6</xdr:col>
      <xdr:colOff>1</xdr:colOff>
      <xdr:row>17</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22</xdr:row>
      <xdr:rowOff>179294</xdr:rowOff>
    </xdr:from>
    <xdr:to>
      <xdr:col>6</xdr:col>
      <xdr:colOff>1</xdr:colOff>
      <xdr:row>28</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4486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25</xdr:row>
      <xdr:rowOff>0</xdr:rowOff>
    </xdr:from>
    <xdr:to>
      <xdr:col>62</xdr:col>
      <xdr:colOff>0</xdr:colOff>
      <xdr:row>32</xdr:row>
      <xdr:rowOff>0</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9334500" y="4876800"/>
          <a:ext cx="7200900" cy="1333500"/>
        </a:xfrm>
        <a:prstGeom prst="borderCallout1">
          <a:avLst>
            <a:gd name="adj1" fmla="val 51887"/>
            <a:gd name="adj2" fmla="val 470"/>
            <a:gd name="adj3" fmla="val -60502"/>
            <a:gd name="adj4" fmla="val -1041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▪レコードが存在している場合、以下のレスポンスが返される。 status code = 200、レスポンスデータがAP1502シートの説明とマッピングされる。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・データ：空き</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03" customWidth="1"/>
    <col min="61" max="16384" width="2.77734375" style="203"/>
  </cols>
  <sheetData>
    <row r="1" spans="1:63" ht="24.95" customHeight="1" x14ac:dyDescent="0.25">
      <c r="A1" s="197" t="s">
        <v>208</v>
      </c>
      <c r="B1" s="198"/>
      <c r="C1" s="198"/>
      <c r="D1" s="198"/>
      <c r="E1" s="198"/>
      <c r="F1" s="198"/>
      <c r="G1" s="198"/>
      <c r="H1" s="198"/>
      <c r="I1" s="198"/>
      <c r="J1" s="199"/>
      <c r="K1" s="197" t="s">
        <v>209</v>
      </c>
      <c r="L1" s="198"/>
      <c r="M1" s="198"/>
      <c r="N1" s="198"/>
      <c r="O1" s="198"/>
      <c r="P1" s="198"/>
      <c r="Q1" s="198"/>
      <c r="R1" s="198"/>
      <c r="S1" s="198"/>
      <c r="T1" s="198"/>
      <c r="U1" s="198"/>
      <c r="V1" s="199"/>
      <c r="W1" s="200" t="s">
        <v>210</v>
      </c>
      <c r="X1" s="201"/>
      <c r="Y1" s="201"/>
      <c r="Z1" s="201"/>
      <c r="AA1" s="201"/>
      <c r="AB1" s="201"/>
      <c r="AC1" s="201"/>
      <c r="AD1" s="201"/>
      <c r="AE1" s="201"/>
      <c r="AF1" s="201"/>
      <c r="AG1" s="201"/>
      <c r="AH1" s="201"/>
      <c r="AI1" s="201"/>
      <c r="AJ1" s="201"/>
      <c r="AK1" s="201"/>
      <c r="AL1" s="201"/>
      <c r="AM1" s="201"/>
      <c r="AN1" s="201"/>
      <c r="AO1" s="202"/>
      <c r="AP1" s="197" t="s">
        <v>211</v>
      </c>
      <c r="AQ1" s="198"/>
      <c r="AR1" s="198"/>
      <c r="AS1" s="199"/>
      <c r="AT1" s="197" t="s">
        <v>212</v>
      </c>
      <c r="AU1" s="198"/>
      <c r="AV1" s="198"/>
      <c r="AW1" s="198"/>
      <c r="AX1" s="199"/>
      <c r="AY1" s="197" t="s">
        <v>213</v>
      </c>
      <c r="AZ1" s="198"/>
      <c r="BA1" s="198"/>
      <c r="BB1" s="199"/>
      <c r="BC1" s="197" t="s">
        <v>214</v>
      </c>
      <c r="BD1" s="198"/>
      <c r="BE1" s="198"/>
      <c r="BF1" s="198"/>
      <c r="BG1" s="199"/>
      <c r="BH1" s="197" t="s">
        <v>215</v>
      </c>
      <c r="BI1" s="198"/>
      <c r="BJ1" s="198"/>
      <c r="BK1" s="199"/>
    </row>
    <row r="2" spans="1:63" ht="15" customHeight="1" x14ac:dyDescent="0.25">
      <c r="A2" s="1" t="s">
        <v>216</v>
      </c>
      <c r="B2" s="204"/>
      <c r="C2" s="204"/>
      <c r="D2" s="204"/>
      <c r="E2" s="204"/>
      <c r="F2" s="204"/>
      <c r="G2" s="204"/>
      <c r="H2" s="204"/>
      <c r="I2" s="204"/>
      <c r="J2" s="205"/>
      <c r="K2" s="206" t="s">
        <v>1</v>
      </c>
      <c r="L2" s="204"/>
      <c r="M2" s="204"/>
      <c r="N2" s="204"/>
      <c r="O2" s="204"/>
      <c r="P2" s="204"/>
      <c r="Q2" s="204"/>
      <c r="R2" s="204"/>
      <c r="S2" s="204"/>
      <c r="T2" s="204"/>
      <c r="U2" s="204"/>
      <c r="V2" s="205"/>
      <c r="W2" s="207"/>
      <c r="X2" s="208"/>
      <c r="Y2" s="208"/>
      <c r="Z2" s="208"/>
      <c r="AA2" s="208"/>
      <c r="AB2" s="208"/>
      <c r="AC2" s="208"/>
      <c r="AD2" s="208"/>
      <c r="AE2" s="208"/>
      <c r="AF2" s="208"/>
      <c r="AG2" s="208"/>
      <c r="AH2" s="208"/>
      <c r="AI2" s="208"/>
      <c r="AJ2" s="208"/>
      <c r="AK2" s="208"/>
      <c r="AL2" s="208"/>
      <c r="AM2" s="208"/>
      <c r="AN2" s="208"/>
      <c r="AO2" s="209"/>
      <c r="AP2" s="206" t="str">
        <f>改訂履歴!$H$11</f>
        <v>DuNT</v>
      </c>
      <c r="AQ2" s="204"/>
      <c r="AR2" s="204"/>
      <c r="AS2" s="205"/>
      <c r="AT2" s="210">
        <f>改訂履歴!$B$11</f>
        <v>45469</v>
      </c>
      <c r="AU2" s="211"/>
      <c r="AV2" s="211"/>
      <c r="AW2" s="211"/>
      <c r="AX2" s="212"/>
      <c r="AY2" s="206" t="str">
        <f>LOOKUP(2,1/(改訂履歴!H11:H30000&lt;&gt;""),改訂履歴!H11:H30000)</f>
        <v>DuNT</v>
      </c>
      <c r="AZ2" s="204"/>
      <c r="BA2" s="204"/>
      <c r="BB2" s="205"/>
      <c r="BC2" s="210">
        <f>LOOKUP(2,1/(改訂履歴!B11:B30000&lt;&gt;""),改訂履歴!B11:B30000)</f>
        <v>45551</v>
      </c>
      <c r="BD2" s="211"/>
      <c r="BE2" s="211"/>
      <c r="BF2" s="211"/>
      <c r="BG2" s="212"/>
      <c r="BH2" s="213">
        <f>LOOKUP(2,1/(改訂履歴!O11:O30000&lt;&gt;""),改訂履歴!O11:O30000)</f>
        <v>0.5</v>
      </c>
      <c r="BI2" s="214"/>
      <c r="BJ2" s="214"/>
      <c r="BK2" s="215"/>
    </row>
    <row r="3" spans="1:63" ht="15" customHeight="1" x14ac:dyDescent="0.25">
      <c r="A3" s="216"/>
      <c r="B3" s="217"/>
      <c r="C3" s="217"/>
      <c r="D3" s="217"/>
      <c r="E3" s="217"/>
      <c r="F3" s="217"/>
      <c r="G3" s="217"/>
      <c r="H3" s="217"/>
      <c r="I3" s="217"/>
      <c r="J3" s="218"/>
      <c r="K3" s="216"/>
      <c r="L3" s="217"/>
      <c r="M3" s="217"/>
      <c r="N3" s="217"/>
      <c r="O3" s="217"/>
      <c r="P3" s="217"/>
      <c r="Q3" s="217"/>
      <c r="R3" s="217"/>
      <c r="S3" s="217"/>
      <c r="T3" s="217"/>
      <c r="U3" s="217"/>
      <c r="V3" s="218"/>
      <c r="W3" s="219"/>
      <c r="X3" s="220"/>
      <c r="Y3" s="220"/>
      <c r="Z3" s="220"/>
      <c r="AA3" s="220"/>
      <c r="AB3" s="220"/>
      <c r="AC3" s="220"/>
      <c r="AD3" s="220"/>
      <c r="AE3" s="220"/>
      <c r="AF3" s="220"/>
      <c r="AG3" s="220"/>
      <c r="AH3" s="220"/>
      <c r="AI3" s="220"/>
      <c r="AJ3" s="220"/>
      <c r="AK3" s="220"/>
      <c r="AL3" s="220"/>
      <c r="AM3" s="220"/>
      <c r="AN3" s="220"/>
      <c r="AO3" s="221"/>
      <c r="AP3" s="216"/>
      <c r="AQ3" s="217"/>
      <c r="AR3" s="217"/>
      <c r="AS3" s="218"/>
      <c r="AT3" s="222"/>
      <c r="AU3" s="223"/>
      <c r="AV3" s="223"/>
      <c r="AW3" s="223"/>
      <c r="AX3" s="224"/>
      <c r="AY3" s="216"/>
      <c r="AZ3" s="217"/>
      <c r="BA3" s="217"/>
      <c r="BB3" s="218"/>
      <c r="BC3" s="222"/>
      <c r="BD3" s="223"/>
      <c r="BE3" s="223"/>
      <c r="BF3" s="223"/>
      <c r="BG3" s="224"/>
      <c r="BH3" s="225"/>
      <c r="BI3" s="226"/>
      <c r="BJ3" s="226"/>
      <c r="BK3" s="227"/>
    </row>
    <row r="4" spans="1:63" ht="24.95" customHeight="1" x14ac:dyDescent="0.25">
      <c r="A4" s="197" t="s">
        <v>217</v>
      </c>
      <c r="B4" s="198"/>
      <c r="C4" s="198"/>
      <c r="D4" s="198"/>
      <c r="E4" s="198"/>
      <c r="F4" s="198"/>
      <c r="G4" s="199"/>
      <c r="H4" s="228" t="s">
        <v>110</v>
      </c>
      <c r="I4" s="229"/>
      <c r="J4" s="229"/>
      <c r="K4" s="229"/>
      <c r="L4" s="229"/>
      <c r="M4" s="229"/>
      <c r="N4" s="229"/>
      <c r="O4" s="229"/>
      <c r="P4" s="229"/>
      <c r="Q4" s="229"/>
      <c r="R4" s="229"/>
      <c r="S4" s="229"/>
      <c r="T4" s="230"/>
      <c r="U4" s="197" t="s">
        <v>218</v>
      </c>
      <c r="V4" s="198"/>
      <c r="W4" s="198"/>
      <c r="X4" s="198"/>
      <c r="Y4" s="199"/>
      <c r="Z4" s="78" t="s">
        <v>219</v>
      </c>
      <c r="AA4" s="229"/>
      <c r="AB4" s="229"/>
      <c r="AC4" s="229"/>
      <c r="AD4" s="229"/>
      <c r="AE4" s="229"/>
      <c r="AF4" s="229"/>
      <c r="AG4" s="229"/>
      <c r="AH4" s="229"/>
      <c r="AI4" s="229"/>
      <c r="AJ4" s="229"/>
      <c r="AK4" s="229"/>
      <c r="AL4" s="229"/>
      <c r="AM4" s="229"/>
      <c r="AN4" s="229"/>
      <c r="AO4" s="230"/>
      <c r="AP4" s="228" t="str">
        <f t="array" aca="1" ref="AP4" ca="1">RIGHT(CELL("filename",$A$1),LEN(CELL("filename",$A$1))-FIND("]",CELL("filename",$A$1)))</f>
        <v>表紙</v>
      </c>
      <c r="AQ4" s="229"/>
      <c r="AR4" s="229"/>
      <c r="AS4" s="229"/>
      <c r="AT4" s="229"/>
      <c r="AU4" s="229"/>
      <c r="AV4" s="229"/>
      <c r="AW4" s="229"/>
      <c r="AX4" s="229"/>
      <c r="AY4" s="229"/>
      <c r="AZ4" s="229"/>
      <c r="BA4" s="229"/>
      <c r="BB4" s="229"/>
      <c r="BC4" s="229"/>
      <c r="BD4" s="229"/>
      <c r="BE4" s="229"/>
      <c r="BF4" s="229"/>
      <c r="BG4" s="229"/>
      <c r="BH4" s="229"/>
      <c r="BI4" s="229"/>
      <c r="BJ4" s="229"/>
      <c r="BK4" s="230"/>
    </row>
    <row r="5" spans="1:63" ht="5.0999999999999996" customHeight="1" x14ac:dyDescent="0.25">
      <c r="A5" s="231"/>
      <c r="B5" s="232"/>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3"/>
    </row>
    <row r="6" spans="1:63" ht="15" customHeight="1" x14ac:dyDescent="0.25">
      <c r="A6" s="234"/>
      <c r="BK6" s="235"/>
    </row>
    <row r="7" spans="1:63" ht="15" customHeight="1" x14ac:dyDescent="0.25">
      <c r="A7" s="234"/>
      <c r="BK7" s="235"/>
    </row>
    <row r="8" spans="1:63" ht="15" customHeight="1" x14ac:dyDescent="0.25">
      <c r="A8" s="234"/>
      <c r="BK8" s="235"/>
    </row>
    <row r="9" spans="1:63" ht="15" customHeight="1" x14ac:dyDescent="0.25">
      <c r="A9" s="234"/>
      <c r="BK9" s="235"/>
    </row>
    <row r="10" spans="1:63" ht="15" customHeight="1" x14ac:dyDescent="0.25">
      <c r="A10" s="234"/>
      <c r="BK10" s="235"/>
    </row>
    <row r="11" spans="1:63" ht="15" customHeight="1" x14ac:dyDescent="0.25">
      <c r="A11" s="234"/>
      <c r="BK11" s="235"/>
    </row>
    <row r="12" spans="1:63" ht="15" customHeight="1" x14ac:dyDescent="0.25">
      <c r="A12" s="234"/>
      <c r="BK12" s="235"/>
    </row>
    <row r="13" spans="1:63" ht="15" customHeight="1" x14ac:dyDescent="0.25">
      <c r="A13" s="234"/>
      <c r="BK13" s="235"/>
    </row>
    <row r="14" spans="1:63" ht="15" customHeight="1" thickBot="1" x14ac:dyDescent="0.3">
      <c r="A14" s="234"/>
      <c r="BK14" s="235"/>
    </row>
    <row r="15" spans="1:63" ht="15" customHeight="1" thickTop="1" x14ac:dyDescent="0.25">
      <c r="A15" s="234"/>
      <c r="K15" s="236"/>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8"/>
      <c r="BK15" s="235"/>
    </row>
    <row r="16" spans="1:63" ht="15" customHeight="1" x14ac:dyDescent="0.25">
      <c r="A16" s="234"/>
      <c r="K16" s="239"/>
      <c r="L16" s="240" t="s">
        <v>220</v>
      </c>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2"/>
      <c r="BK16" s="235"/>
    </row>
    <row r="17" spans="1:63" ht="15" customHeight="1" x14ac:dyDescent="0.25">
      <c r="A17" s="234"/>
      <c r="K17" s="239"/>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2"/>
      <c r="BK17" s="235"/>
    </row>
    <row r="18" spans="1:63" ht="15" customHeight="1" x14ac:dyDescent="0.25">
      <c r="A18" s="234"/>
      <c r="K18" s="239"/>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2"/>
      <c r="BK18" s="235"/>
    </row>
    <row r="19" spans="1:63" ht="15" customHeight="1" x14ac:dyDescent="0.25">
      <c r="A19" s="234"/>
      <c r="K19" s="239"/>
      <c r="L19" s="241"/>
      <c r="M19" s="241"/>
      <c r="N19" s="241"/>
      <c r="O19" s="241"/>
      <c r="P19" s="241"/>
      <c r="Q19" s="24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2"/>
      <c r="BK19" s="235"/>
    </row>
    <row r="20" spans="1:63" ht="15" customHeight="1" x14ac:dyDescent="0.25">
      <c r="A20" s="234"/>
      <c r="K20" s="239"/>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2"/>
      <c r="BK20" s="235"/>
    </row>
    <row r="21" spans="1:63" ht="15" customHeight="1" x14ac:dyDescent="0.25">
      <c r="A21" s="234"/>
      <c r="K21" s="239"/>
      <c r="L21" s="241"/>
      <c r="M21" s="241"/>
      <c r="N21" s="241"/>
      <c r="O21" s="241"/>
      <c r="P21" s="241"/>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2"/>
      <c r="BK21" s="235"/>
    </row>
    <row r="22" spans="1:63" ht="15" customHeight="1" thickBot="1" x14ac:dyDescent="0.3">
      <c r="A22" s="234"/>
      <c r="K22" s="239"/>
      <c r="L22" s="243"/>
      <c r="M22" s="243"/>
      <c r="N22" s="243"/>
      <c r="O22" s="243"/>
      <c r="P22" s="243"/>
      <c r="Q22" s="243"/>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2"/>
      <c r="BK22" s="235"/>
    </row>
    <row r="23" spans="1:63" ht="15" customHeight="1" x14ac:dyDescent="0.25">
      <c r="A23" s="234"/>
      <c r="K23" s="239"/>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2"/>
      <c r="BK23" s="235"/>
    </row>
    <row r="24" spans="1:63" ht="15" customHeight="1" x14ac:dyDescent="0.25">
      <c r="A24" s="234"/>
      <c r="K24" s="239"/>
      <c r="L24" s="241" t="str">
        <f>K2&amp;"/"&amp;H4&amp;"/"&amp;Z4</f>
        <v>POSサーバー/AP1502/API設計書</v>
      </c>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2"/>
      <c r="BK24" s="235"/>
    </row>
    <row r="25" spans="1:63" ht="15" customHeight="1" x14ac:dyDescent="0.25">
      <c r="A25" s="234"/>
      <c r="K25" s="239"/>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2"/>
      <c r="BK25" s="235"/>
    </row>
    <row r="26" spans="1:63" ht="15" customHeight="1" x14ac:dyDescent="0.25">
      <c r="A26" s="234"/>
      <c r="K26" s="239"/>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2"/>
      <c r="BK26" s="235"/>
    </row>
    <row r="27" spans="1:63" ht="15" customHeight="1" x14ac:dyDescent="0.25">
      <c r="A27" s="234"/>
      <c r="K27" s="239"/>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2"/>
      <c r="BK27" s="235"/>
    </row>
    <row r="28" spans="1:63" ht="15" customHeight="1" x14ac:dyDescent="0.25">
      <c r="A28" s="234"/>
      <c r="K28" s="239"/>
      <c r="L28" s="241"/>
      <c r="M28" s="241"/>
      <c r="N28" s="241"/>
      <c r="O28" s="241"/>
      <c r="P28" s="241"/>
      <c r="Q28" s="24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2"/>
      <c r="BK28" s="235"/>
    </row>
    <row r="29" spans="1:63" ht="15" customHeight="1" x14ac:dyDescent="0.25">
      <c r="A29" s="234"/>
      <c r="K29" s="239"/>
      <c r="L29" s="241"/>
      <c r="M29" s="241"/>
      <c r="N29" s="241"/>
      <c r="O29" s="241"/>
      <c r="P29" s="241"/>
      <c r="Q29" s="24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2"/>
      <c r="BK29" s="235"/>
    </row>
    <row r="30" spans="1:63" ht="15" customHeight="1" x14ac:dyDescent="0.25">
      <c r="A30" s="234"/>
      <c r="K30" s="239"/>
      <c r="L30" s="241"/>
      <c r="M30" s="241"/>
      <c r="N30" s="241"/>
      <c r="O30" s="241"/>
      <c r="P30" s="241"/>
      <c r="Q30" s="24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2"/>
      <c r="BK30" s="235"/>
    </row>
    <row r="31" spans="1:63" ht="15" customHeight="1" x14ac:dyDescent="0.25">
      <c r="A31" s="234"/>
      <c r="K31" s="239"/>
      <c r="L31" s="241"/>
      <c r="M31" s="241"/>
      <c r="N31" s="241"/>
      <c r="O31" s="241"/>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2"/>
      <c r="BK31" s="235"/>
    </row>
    <row r="32" spans="1:63" ht="15" customHeight="1" x14ac:dyDescent="0.25">
      <c r="A32" s="234"/>
      <c r="K32" s="239"/>
      <c r="L32" s="241"/>
      <c r="M32" s="241"/>
      <c r="N32" s="241"/>
      <c r="O32" s="241"/>
      <c r="P32" s="241"/>
      <c r="Q32" s="24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2"/>
      <c r="BK32" s="235"/>
    </row>
    <row r="33" spans="1:63" ht="15" customHeight="1" x14ac:dyDescent="0.25">
      <c r="A33" s="234"/>
      <c r="K33" s="239"/>
      <c r="L33" s="241"/>
      <c r="M33" s="241"/>
      <c r="N33" s="241"/>
      <c r="O33" s="241"/>
      <c r="P33" s="241"/>
      <c r="Q33" s="241"/>
      <c r="R33" s="241"/>
      <c r="S33" s="241"/>
      <c r="T33" s="241"/>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2"/>
      <c r="BK33" s="235"/>
    </row>
    <row r="34" spans="1:63" ht="15" customHeight="1" x14ac:dyDescent="0.25">
      <c r="A34" s="234"/>
      <c r="K34" s="239"/>
      <c r="L34" s="241"/>
      <c r="M34" s="241"/>
      <c r="N34" s="241"/>
      <c r="O34" s="241"/>
      <c r="P34" s="241"/>
      <c r="Q34" s="24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2"/>
      <c r="BK34" s="235"/>
    </row>
    <row r="35" spans="1:63" ht="15" customHeight="1" x14ac:dyDescent="0.25">
      <c r="A35" s="234"/>
      <c r="K35" s="239"/>
      <c r="L35" s="241"/>
      <c r="M35" s="241"/>
      <c r="N35" s="241"/>
      <c r="O35" s="241"/>
      <c r="P35" s="241"/>
      <c r="Q35" s="241"/>
      <c r="R35" s="241"/>
      <c r="S35" s="241"/>
      <c r="T35" s="241"/>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c r="BA35" s="242"/>
      <c r="BK35" s="235"/>
    </row>
    <row r="36" spans="1:63" ht="15" customHeight="1" x14ac:dyDescent="0.25">
      <c r="A36" s="234"/>
      <c r="K36" s="239"/>
      <c r="L36" s="241"/>
      <c r="M36" s="241"/>
      <c r="N36" s="241"/>
      <c r="O36" s="241"/>
      <c r="P36" s="241"/>
      <c r="Q36" s="241"/>
      <c r="R36" s="241"/>
      <c r="S36" s="241"/>
      <c r="T36" s="241"/>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c r="BA36" s="242"/>
      <c r="BK36" s="235"/>
    </row>
    <row r="37" spans="1:63" ht="15" customHeight="1" thickBot="1" x14ac:dyDescent="0.3">
      <c r="A37" s="234"/>
      <c r="K37" s="245"/>
      <c r="L37" s="246"/>
      <c r="M37" s="246"/>
      <c r="N37" s="246"/>
      <c r="O37" s="246"/>
      <c r="P37" s="246"/>
      <c r="Q37" s="246"/>
      <c r="R37" s="246"/>
      <c r="S37" s="246"/>
      <c r="T37" s="246"/>
      <c r="U37" s="246"/>
      <c r="V37" s="246"/>
      <c r="W37" s="246"/>
      <c r="X37" s="246"/>
      <c r="Y37" s="246"/>
      <c r="Z37" s="246"/>
      <c r="AA37" s="246"/>
      <c r="AB37" s="246"/>
      <c r="AC37" s="246"/>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7"/>
      <c r="BK37" s="235"/>
    </row>
    <row r="38" spans="1:63" ht="15" customHeight="1" thickTop="1" x14ac:dyDescent="0.25">
      <c r="A38" s="234"/>
      <c r="BK38" s="235"/>
    </row>
    <row r="39" spans="1:63" ht="15" customHeight="1" x14ac:dyDescent="0.25">
      <c r="A39" s="234"/>
      <c r="BK39" s="235"/>
    </row>
    <row r="40" spans="1:63" ht="15" customHeight="1" x14ac:dyDescent="0.25">
      <c r="A40" s="234"/>
      <c r="BK40" s="235"/>
    </row>
    <row r="41" spans="1:63" ht="15" customHeight="1" x14ac:dyDescent="0.25">
      <c r="A41" s="234"/>
      <c r="BK41" s="235"/>
    </row>
    <row r="42" spans="1:63" ht="15" customHeight="1" x14ac:dyDescent="0.25">
      <c r="A42" s="234"/>
      <c r="BK42" s="235"/>
    </row>
    <row r="43" spans="1:63" ht="15" customHeight="1" x14ac:dyDescent="0.25">
      <c r="A43" s="234"/>
      <c r="BK43" s="235"/>
    </row>
    <row r="44" spans="1:63" ht="15" customHeight="1" x14ac:dyDescent="0.25">
      <c r="A44" s="234"/>
      <c r="Q44" s="248" t="s">
        <v>221</v>
      </c>
      <c r="R44" s="249"/>
      <c r="S44" s="249"/>
      <c r="T44" s="249"/>
      <c r="U44" s="249"/>
      <c r="V44" s="249"/>
      <c r="W44" s="249"/>
      <c r="X44" s="249"/>
      <c r="Y44" s="249"/>
      <c r="Z44" s="250"/>
      <c r="AA44" s="248" t="s">
        <v>222</v>
      </c>
      <c r="AB44" s="249"/>
      <c r="AC44" s="249"/>
      <c r="AD44" s="249"/>
      <c r="AE44" s="249"/>
      <c r="AF44" s="249"/>
      <c r="AG44" s="249"/>
      <c r="AH44" s="249"/>
      <c r="AI44" s="249"/>
      <c r="AJ44" s="249"/>
      <c r="AK44" s="249"/>
      <c r="AL44" s="249"/>
      <c r="AM44" s="249"/>
      <c r="AN44" s="249"/>
      <c r="AO44" s="249"/>
      <c r="AP44" s="250"/>
      <c r="AQ44" s="248" t="s">
        <v>215</v>
      </c>
      <c r="AR44" s="249"/>
      <c r="AS44" s="249"/>
      <c r="AT44" s="249"/>
      <c r="AU44" s="250"/>
      <c r="BK44" s="235"/>
    </row>
    <row r="45" spans="1:63" ht="15" customHeight="1" x14ac:dyDescent="0.25">
      <c r="A45" s="234"/>
      <c r="Q45" s="251"/>
      <c r="R45" s="252"/>
      <c r="S45" s="252"/>
      <c r="T45" s="252"/>
      <c r="U45" s="252"/>
      <c r="V45" s="252"/>
      <c r="W45" s="252"/>
      <c r="X45" s="252"/>
      <c r="Y45" s="252"/>
      <c r="Z45" s="253"/>
      <c r="AA45" s="251"/>
      <c r="AB45" s="252"/>
      <c r="AC45" s="252"/>
      <c r="AD45" s="252"/>
      <c r="AE45" s="252"/>
      <c r="AF45" s="252"/>
      <c r="AG45" s="252"/>
      <c r="AH45" s="252"/>
      <c r="AI45" s="252"/>
      <c r="AJ45" s="252"/>
      <c r="AK45" s="252"/>
      <c r="AL45" s="252"/>
      <c r="AM45" s="252"/>
      <c r="AN45" s="252"/>
      <c r="AO45" s="252"/>
      <c r="AP45" s="253"/>
      <c r="AQ45" s="251"/>
      <c r="AR45" s="252"/>
      <c r="AS45" s="252"/>
      <c r="AT45" s="252"/>
      <c r="AU45" s="253"/>
      <c r="BK45" s="235"/>
    </row>
    <row r="46" spans="1:63" ht="15" customHeight="1" x14ac:dyDescent="0.25">
      <c r="A46" s="234"/>
      <c r="Q46" s="206"/>
      <c r="R46" s="204"/>
      <c r="S46" s="204"/>
      <c r="T46" s="204"/>
      <c r="U46" s="204"/>
      <c r="V46" s="204"/>
      <c r="W46" s="204"/>
      <c r="X46" s="204"/>
      <c r="Y46" s="204"/>
      <c r="Z46" s="205"/>
      <c r="AA46" s="206"/>
      <c r="AB46" s="204"/>
      <c r="AC46" s="204"/>
      <c r="AD46" s="204"/>
      <c r="AE46" s="204"/>
      <c r="AF46" s="204"/>
      <c r="AG46" s="204"/>
      <c r="AH46" s="204"/>
      <c r="AI46" s="204"/>
      <c r="AJ46" s="204"/>
      <c r="AK46" s="204"/>
      <c r="AL46" s="204"/>
      <c r="AM46" s="204"/>
      <c r="AN46" s="204"/>
      <c r="AO46" s="204"/>
      <c r="AP46" s="205"/>
      <c r="AQ46" s="206"/>
      <c r="AR46" s="204"/>
      <c r="AS46" s="204"/>
      <c r="AT46" s="204"/>
      <c r="AU46" s="205"/>
      <c r="BK46" s="235"/>
    </row>
    <row r="47" spans="1:63" ht="15" customHeight="1" x14ac:dyDescent="0.25">
      <c r="A47" s="234"/>
      <c r="Q47" s="254"/>
      <c r="R47" s="255"/>
      <c r="S47" s="255"/>
      <c r="T47" s="255"/>
      <c r="U47" s="255"/>
      <c r="V47" s="255"/>
      <c r="W47" s="255"/>
      <c r="X47" s="255"/>
      <c r="Y47" s="255"/>
      <c r="Z47" s="256"/>
      <c r="AA47" s="254"/>
      <c r="AB47" s="255"/>
      <c r="AC47" s="255"/>
      <c r="AD47" s="255"/>
      <c r="AE47" s="255"/>
      <c r="AF47" s="255"/>
      <c r="AG47" s="255"/>
      <c r="AH47" s="255"/>
      <c r="AI47" s="255"/>
      <c r="AJ47" s="255"/>
      <c r="AK47" s="255"/>
      <c r="AL47" s="255"/>
      <c r="AM47" s="255"/>
      <c r="AN47" s="255"/>
      <c r="AO47" s="255"/>
      <c r="AP47" s="256"/>
      <c r="AQ47" s="254"/>
      <c r="AR47" s="255"/>
      <c r="AS47" s="255"/>
      <c r="AT47" s="255"/>
      <c r="AU47" s="256"/>
      <c r="BK47" s="235"/>
    </row>
    <row r="48" spans="1:63" ht="15" customHeight="1" x14ac:dyDescent="0.25">
      <c r="A48" s="234"/>
      <c r="Q48" s="254"/>
      <c r="R48" s="255"/>
      <c r="S48" s="255"/>
      <c r="T48" s="255"/>
      <c r="U48" s="255"/>
      <c r="V48" s="255"/>
      <c r="W48" s="255"/>
      <c r="X48" s="255"/>
      <c r="Y48" s="255"/>
      <c r="Z48" s="256"/>
      <c r="AA48" s="254"/>
      <c r="AB48" s="255"/>
      <c r="AC48" s="255"/>
      <c r="AD48" s="255"/>
      <c r="AE48" s="255"/>
      <c r="AF48" s="255"/>
      <c r="AG48" s="255"/>
      <c r="AH48" s="255"/>
      <c r="AI48" s="255"/>
      <c r="AJ48" s="255"/>
      <c r="AK48" s="255"/>
      <c r="AL48" s="255"/>
      <c r="AM48" s="255"/>
      <c r="AN48" s="255"/>
      <c r="AO48" s="255"/>
      <c r="AP48" s="256"/>
      <c r="AQ48" s="254"/>
      <c r="AR48" s="255"/>
      <c r="AS48" s="255"/>
      <c r="AT48" s="255"/>
      <c r="AU48" s="256"/>
      <c r="BK48" s="235"/>
    </row>
    <row r="49" spans="1:63" ht="15" customHeight="1" x14ac:dyDescent="0.25">
      <c r="A49" s="234"/>
      <c r="Q49" s="216"/>
      <c r="R49" s="217"/>
      <c r="S49" s="217"/>
      <c r="T49" s="217"/>
      <c r="U49" s="217"/>
      <c r="V49" s="217"/>
      <c r="W49" s="217"/>
      <c r="X49" s="217"/>
      <c r="Y49" s="217"/>
      <c r="Z49" s="218"/>
      <c r="AA49" s="216"/>
      <c r="AB49" s="217"/>
      <c r="AC49" s="217"/>
      <c r="AD49" s="217"/>
      <c r="AE49" s="217"/>
      <c r="AF49" s="217"/>
      <c r="AG49" s="217"/>
      <c r="AH49" s="217"/>
      <c r="AI49" s="217"/>
      <c r="AJ49" s="217"/>
      <c r="AK49" s="217"/>
      <c r="AL49" s="217"/>
      <c r="AM49" s="217"/>
      <c r="AN49" s="217"/>
      <c r="AO49" s="217"/>
      <c r="AP49" s="218"/>
      <c r="AQ49" s="216"/>
      <c r="AR49" s="217"/>
      <c r="AS49" s="217"/>
      <c r="AT49" s="217"/>
      <c r="AU49" s="218"/>
      <c r="BK49" s="235"/>
    </row>
    <row r="50" spans="1:63" ht="15" customHeight="1" x14ac:dyDescent="0.25">
      <c r="A50" s="234"/>
      <c r="BK50" s="235"/>
    </row>
    <row r="51" spans="1:63" ht="15" customHeight="1" x14ac:dyDescent="0.25">
      <c r="A51" s="234"/>
      <c r="BK51" s="235"/>
    </row>
    <row r="52" spans="1:63" ht="15" customHeight="1" x14ac:dyDescent="0.25">
      <c r="A52" s="234"/>
      <c r="BK52" s="235"/>
    </row>
    <row r="53" spans="1:63" ht="15" customHeight="1" x14ac:dyDescent="0.25">
      <c r="A53" s="234"/>
      <c r="BK53" s="235"/>
    </row>
    <row r="54" spans="1:63" ht="15" customHeight="1" x14ac:dyDescent="0.25">
      <c r="A54" s="234"/>
      <c r="BK54" s="235"/>
    </row>
    <row r="55" spans="1:63" ht="15" customHeight="1" x14ac:dyDescent="0.25">
      <c r="A55" s="231"/>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232"/>
      <c r="AX55" s="232"/>
      <c r="AY55" s="232"/>
      <c r="AZ55" s="232"/>
      <c r="BA55" s="232"/>
      <c r="BB55" s="232"/>
      <c r="BC55" s="232"/>
      <c r="BD55" s="232"/>
      <c r="BE55" s="232"/>
      <c r="BF55" s="232"/>
      <c r="BG55" s="232"/>
      <c r="BH55" s="232"/>
      <c r="BI55" s="232"/>
      <c r="BJ55" s="232"/>
      <c r="BK55" s="23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03" customWidth="1"/>
    <col min="61" max="16384" width="2.77734375" style="203"/>
  </cols>
  <sheetData>
    <row r="1" spans="1:63" ht="24.95" customHeight="1" x14ac:dyDescent="0.25">
      <c r="A1" s="197" t="s">
        <v>208</v>
      </c>
      <c r="B1" s="198"/>
      <c r="C1" s="198"/>
      <c r="D1" s="198"/>
      <c r="E1" s="198"/>
      <c r="F1" s="198"/>
      <c r="G1" s="198"/>
      <c r="H1" s="198"/>
      <c r="I1" s="198"/>
      <c r="J1" s="199"/>
      <c r="K1" s="197" t="s">
        <v>209</v>
      </c>
      <c r="L1" s="198"/>
      <c r="M1" s="198"/>
      <c r="N1" s="198"/>
      <c r="O1" s="198"/>
      <c r="P1" s="198"/>
      <c r="Q1" s="198"/>
      <c r="R1" s="198"/>
      <c r="S1" s="198"/>
      <c r="T1" s="198"/>
      <c r="U1" s="198"/>
      <c r="V1" s="199"/>
      <c r="W1" s="257" t="str">
        <f>IF(表紙!W1="","",表紙!W1)</f>
        <v>詳細設計書</v>
      </c>
      <c r="X1" s="201"/>
      <c r="Y1" s="201"/>
      <c r="Z1" s="201"/>
      <c r="AA1" s="201"/>
      <c r="AB1" s="201"/>
      <c r="AC1" s="201"/>
      <c r="AD1" s="201"/>
      <c r="AE1" s="201"/>
      <c r="AF1" s="201"/>
      <c r="AG1" s="201"/>
      <c r="AH1" s="201"/>
      <c r="AI1" s="201"/>
      <c r="AJ1" s="201"/>
      <c r="AK1" s="201"/>
      <c r="AL1" s="201"/>
      <c r="AM1" s="201"/>
      <c r="AN1" s="201"/>
      <c r="AO1" s="202"/>
      <c r="AP1" s="197" t="s">
        <v>211</v>
      </c>
      <c r="AQ1" s="198"/>
      <c r="AR1" s="198"/>
      <c r="AS1" s="199"/>
      <c r="AT1" s="197" t="s">
        <v>212</v>
      </c>
      <c r="AU1" s="198"/>
      <c r="AV1" s="198"/>
      <c r="AW1" s="198"/>
      <c r="AX1" s="199"/>
      <c r="AY1" s="197" t="s">
        <v>213</v>
      </c>
      <c r="AZ1" s="198"/>
      <c r="BA1" s="198"/>
      <c r="BB1" s="199"/>
      <c r="BC1" s="197" t="s">
        <v>214</v>
      </c>
      <c r="BD1" s="198"/>
      <c r="BE1" s="198"/>
      <c r="BF1" s="198"/>
      <c r="BG1" s="199"/>
      <c r="BH1" s="197" t="s">
        <v>215</v>
      </c>
      <c r="BI1" s="198"/>
      <c r="BJ1" s="198"/>
      <c r="BK1" s="199"/>
    </row>
    <row r="2" spans="1:63" ht="15" customHeight="1" x14ac:dyDescent="0.25">
      <c r="A2" s="206" t="str">
        <f>IF(表紙!A2="","",表紙!A2)</f>
        <v>POSサーバー</v>
      </c>
      <c r="B2" s="204"/>
      <c r="C2" s="204"/>
      <c r="D2" s="204"/>
      <c r="E2" s="204"/>
      <c r="F2" s="204"/>
      <c r="G2" s="204"/>
      <c r="H2" s="204"/>
      <c r="I2" s="204"/>
      <c r="J2" s="205"/>
      <c r="K2" s="206" t="str">
        <f>IF(表紙!K2="","",表紙!K2)</f>
        <v>POSサーバー</v>
      </c>
      <c r="L2" s="204"/>
      <c r="M2" s="204"/>
      <c r="N2" s="204"/>
      <c r="O2" s="204"/>
      <c r="P2" s="204"/>
      <c r="Q2" s="204"/>
      <c r="R2" s="204"/>
      <c r="S2" s="204"/>
      <c r="T2" s="204"/>
      <c r="U2" s="204"/>
      <c r="V2" s="205"/>
      <c r="W2" s="207"/>
      <c r="X2" s="208"/>
      <c r="Y2" s="208"/>
      <c r="Z2" s="208"/>
      <c r="AA2" s="208"/>
      <c r="AB2" s="208"/>
      <c r="AC2" s="208"/>
      <c r="AD2" s="208"/>
      <c r="AE2" s="208"/>
      <c r="AF2" s="208"/>
      <c r="AG2" s="208"/>
      <c r="AH2" s="208"/>
      <c r="AI2" s="208"/>
      <c r="AJ2" s="208"/>
      <c r="AK2" s="208"/>
      <c r="AL2" s="208"/>
      <c r="AM2" s="208"/>
      <c r="AN2" s="208"/>
      <c r="AO2" s="209"/>
      <c r="AP2" s="206" t="str">
        <f>IF(表紙!AP2="","",表紙!AP2)</f>
        <v>DuNT</v>
      </c>
      <c r="AQ2" s="204"/>
      <c r="AR2" s="204"/>
      <c r="AS2" s="205"/>
      <c r="AT2" s="210">
        <f>IF(表紙!AT2="","",表紙!AT2)</f>
        <v>45469</v>
      </c>
      <c r="AU2" s="211"/>
      <c r="AV2" s="211"/>
      <c r="AW2" s="211"/>
      <c r="AX2" s="212"/>
      <c r="AY2" s="206" t="str">
        <f>IF(表紙!AY2="","",表紙!AY2)</f>
        <v>DuNT</v>
      </c>
      <c r="AZ2" s="204"/>
      <c r="BA2" s="204"/>
      <c r="BB2" s="205"/>
      <c r="BC2" s="210">
        <f>IF(表紙!BC2="","",表紙!BC2)</f>
        <v>45551</v>
      </c>
      <c r="BD2" s="211"/>
      <c r="BE2" s="211"/>
      <c r="BF2" s="211"/>
      <c r="BG2" s="212"/>
      <c r="BH2" s="206">
        <f>IF(表紙!BH2="","",表紙!BH2)</f>
        <v>0.5</v>
      </c>
      <c r="BI2" s="204"/>
      <c r="BJ2" s="204"/>
      <c r="BK2" s="205"/>
    </row>
    <row r="3" spans="1:63" ht="15" customHeight="1" x14ac:dyDescent="0.25">
      <c r="A3" s="216"/>
      <c r="B3" s="217"/>
      <c r="C3" s="217"/>
      <c r="D3" s="217"/>
      <c r="E3" s="217"/>
      <c r="F3" s="217"/>
      <c r="G3" s="217"/>
      <c r="H3" s="217"/>
      <c r="I3" s="217"/>
      <c r="J3" s="218"/>
      <c r="K3" s="216"/>
      <c r="L3" s="217"/>
      <c r="M3" s="217"/>
      <c r="N3" s="217"/>
      <c r="O3" s="217"/>
      <c r="P3" s="217"/>
      <c r="Q3" s="217"/>
      <c r="R3" s="217"/>
      <c r="S3" s="217"/>
      <c r="T3" s="217"/>
      <c r="U3" s="217"/>
      <c r="V3" s="218"/>
      <c r="W3" s="219"/>
      <c r="X3" s="220"/>
      <c r="Y3" s="220"/>
      <c r="Z3" s="220"/>
      <c r="AA3" s="220"/>
      <c r="AB3" s="220"/>
      <c r="AC3" s="220"/>
      <c r="AD3" s="220"/>
      <c r="AE3" s="220"/>
      <c r="AF3" s="220"/>
      <c r="AG3" s="220"/>
      <c r="AH3" s="220"/>
      <c r="AI3" s="220"/>
      <c r="AJ3" s="220"/>
      <c r="AK3" s="220"/>
      <c r="AL3" s="220"/>
      <c r="AM3" s="220"/>
      <c r="AN3" s="220"/>
      <c r="AO3" s="221"/>
      <c r="AP3" s="216"/>
      <c r="AQ3" s="217"/>
      <c r="AR3" s="217"/>
      <c r="AS3" s="218"/>
      <c r="AT3" s="222"/>
      <c r="AU3" s="223"/>
      <c r="AV3" s="223"/>
      <c r="AW3" s="223"/>
      <c r="AX3" s="224"/>
      <c r="AY3" s="216"/>
      <c r="AZ3" s="217"/>
      <c r="BA3" s="217"/>
      <c r="BB3" s="218"/>
      <c r="BC3" s="222"/>
      <c r="BD3" s="223"/>
      <c r="BE3" s="223"/>
      <c r="BF3" s="223"/>
      <c r="BG3" s="224"/>
      <c r="BH3" s="216"/>
      <c r="BI3" s="217"/>
      <c r="BJ3" s="217"/>
      <c r="BK3" s="218"/>
    </row>
    <row r="4" spans="1:63" ht="24.95" customHeight="1" x14ac:dyDescent="0.25">
      <c r="A4" s="197" t="s">
        <v>217</v>
      </c>
      <c r="B4" s="198"/>
      <c r="C4" s="198"/>
      <c r="D4" s="198"/>
      <c r="E4" s="198"/>
      <c r="F4" s="198"/>
      <c r="G4" s="199"/>
      <c r="H4" s="228" t="str">
        <f>IF(表紙!H4="","",表紙!H4)</f>
        <v>AP1502</v>
      </c>
      <c r="I4" s="229"/>
      <c r="J4" s="229"/>
      <c r="K4" s="229"/>
      <c r="L4" s="229"/>
      <c r="M4" s="229"/>
      <c r="N4" s="229"/>
      <c r="O4" s="229"/>
      <c r="P4" s="229"/>
      <c r="Q4" s="229"/>
      <c r="R4" s="229"/>
      <c r="S4" s="229"/>
      <c r="T4" s="230"/>
      <c r="U4" s="197" t="s">
        <v>218</v>
      </c>
      <c r="V4" s="198"/>
      <c r="W4" s="198"/>
      <c r="X4" s="198"/>
      <c r="Y4" s="199"/>
      <c r="Z4" s="228" t="str">
        <f>IF(表紙!Z4="","",表紙!Z4)</f>
        <v>API設計書</v>
      </c>
      <c r="AA4" s="229"/>
      <c r="AB4" s="229"/>
      <c r="AC4" s="229"/>
      <c r="AD4" s="229"/>
      <c r="AE4" s="229"/>
      <c r="AF4" s="229"/>
      <c r="AG4" s="229"/>
      <c r="AH4" s="229"/>
      <c r="AI4" s="229"/>
      <c r="AJ4" s="229"/>
      <c r="AK4" s="229"/>
      <c r="AL4" s="229"/>
      <c r="AM4" s="229"/>
      <c r="AN4" s="229"/>
      <c r="AO4" s="230"/>
      <c r="AP4" s="228" t="str">
        <f t="array" aca="1" ref="AP4" ca="1">RIGHT(CELL("filename",$A$1),LEN(CELL("filename",$A$1))-FIND("]",CELL("filename",$A$1)))</f>
        <v>改訂履歴</v>
      </c>
      <c r="AQ4" s="229"/>
      <c r="AR4" s="229"/>
      <c r="AS4" s="229"/>
      <c r="AT4" s="229"/>
      <c r="AU4" s="229"/>
      <c r="AV4" s="229"/>
      <c r="AW4" s="229"/>
      <c r="AX4" s="229"/>
      <c r="AY4" s="229"/>
      <c r="AZ4" s="229"/>
      <c r="BA4" s="229"/>
      <c r="BB4" s="229"/>
      <c r="BC4" s="229"/>
      <c r="BD4" s="229"/>
      <c r="BE4" s="229"/>
      <c r="BF4" s="229"/>
      <c r="BG4" s="229"/>
      <c r="BH4" s="229"/>
      <c r="BI4" s="229"/>
      <c r="BJ4" s="229"/>
      <c r="BK4" s="230"/>
    </row>
    <row r="5" spans="1:63" ht="5.0999999999999996" customHeight="1" x14ac:dyDescent="0.25">
      <c r="A5" s="231"/>
      <c r="B5" s="232"/>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3"/>
    </row>
    <row r="6" spans="1:63" ht="15" customHeight="1" x14ac:dyDescent="0.25">
      <c r="A6" s="234"/>
      <c r="BK6" s="235"/>
    </row>
    <row r="7" spans="1:63" ht="15" customHeight="1" x14ac:dyDescent="0.25">
      <c r="A7" s="234"/>
      <c r="BK7" s="235"/>
    </row>
    <row r="8" spans="1:63" ht="15" customHeight="1" x14ac:dyDescent="0.25">
      <c r="A8" s="234"/>
      <c r="B8" s="203" t="s">
        <v>0</v>
      </c>
      <c r="BK8" s="235"/>
    </row>
    <row r="9" spans="1:63" ht="15" customHeight="1" x14ac:dyDescent="0.25">
      <c r="A9" s="234"/>
      <c r="BK9" s="235"/>
    </row>
    <row r="10" spans="1:63" ht="15" customHeight="1" x14ac:dyDescent="0.25">
      <c r="A10" s="234"/>
      <c r="B10" s="258" t="s">
        <v>214</v>
      </c>
      <c r="C10" s="258"/>
      <c r="D10" s="258"/>
      <c r="E10" s="258"/>
      <c r="F10" s="258"/>
      <c r="G10" s="258"/>
      <c r="H10" s="258" t="s">
        <v>213</v>
      </c>
      <c r="I10" s="258"/>
      <c r="J10" s="258"/>
      <c r="K10" s="258"/>
      <c r="L10" s="258"/>
      <c r="M10" s="258"/>
      <c r="N10" s="258"/>
      <c r="O10" s="258" t="s">
        <v>215</v>
      </c>
      <c r="P10" s="258"/>
      <c r="Q10" s="258"/>
      <c r="R10" s="258"/>
      <c r="S10" s="258" t="s">
        <v>223</v>
      </c>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t="s">
        <v>221</v>
      </c>
      <c r="AY10" s="258"/>
      <c r="AZ10" s="258"/>
      <c r="BA10" s="258"/>
      <c r="BB10" s="258"/>
      <c r="BC10" s="258"/>
      <c r="BD10" s="258" t="s">
        <v>222</v>
      </c>
      <c r="BE10" s="258"/>
      <c r="BF10" s="258"/>
      <c r="BG10" s="258"/>
      <c r="BH10" s="258"/>
      <c r="BI10" s="258"/>
      <c r="BJ10" s="258"/>
      <c r="BK10" s="235"/>
    </row>
    <row r="11" spans="1:63" ht="15" customHeight="1" x14ac:dyDescent="0.25">
      <c r="A11" s="234"/>
      <c r="B11" s="210">
        <v>45469</v>
      </c>
      <c r="C11" s="204"/>
      <c r="D11" s="204"/>
      <c r="E11" s="204"/>
      <c r="F11" s="204"/>
      <c r="G11" s="205"/>
      <c r="H11" s="1" t="s">
        <v>224</v>
      </c>
      <c r="I11" s="204"/>
      <c r="J11" s="204"/>
      <c r="K11" s="204"/>
      <c r="L11" s="204"/>
      <c r="M11" s="204"/>
      <c r="N11" s="205"/>
      <c r="O11" s="206">
        <v>0.1</v>
      </c>
      <c r="P11" s="204"/>
      <c r="Q11" s="204"/>
      <c r="R11" s="204"/>
      <c r="S11" s="259" t="s">
        <v>2</v>
      </c>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1"/>
      <c r="AX11" s="262"/>
      <c r="AY11" s="262"/>
      <c r="AZ11" s="262"/>
      <c r="BA11" s="262"/>
      <c r="BB11" s="262"/>
      <c r="BC11" s="263"/>
      <c r="BD11" s="264"/>
      <c r="BE11" s="262"/>
      <c r="BF11" s="262"/>
      <c r="BG11" s="262"/>
      <c r="BH11" s="262"/>
      <c r="BI11" s="262"/>
      <c r="BJ11" s="263"/>
      <c r="BK11" s="235"/>
    </row>
    <row r="12" spans="1:63" ht="15" customHeight="1" x14ac:dyDescent="0.25">
      <c r="A12" s="234"/>
      <c r="B12" s="216"/>
      <c r="C12" s="217"/>
      <c r="D12" s="217"/>
      <c r="E12" s="217"/>
      <c r="F12" s="217"/>
      <c r="G12" s="218"/>
      <c r="H12" s="216"/>
      <c r="I12" s="217"/>
      <c r="J12" s="217"/>
      <c r="K12" s="217"/>
      <c r="L12" s="217"/>
      <c r="M12" s="217"/>
      <c r="N12" s="218"/>
      <c r="O12" s="216"/>
      <c r="P12" s="217"/>
      <c r="Q12" s="217"/>
      <c r="R12" s="217"/>
      <c r="S12" s="265"/>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7"/>
      <c r="AX12" s="268"/>
      <c r="AY12" s="268"/>
      <c r="AZ12" s="268"/>
      <c r="BA12" s="268"/>
      <c r="BB12" s="268"/>
      <c r="BC12" s="269"/>
      <c r="BD12" s="270"/>
      <c r="BE12" s="268"/>
      <c r="BF12" s="268"/>
      <c r="BG12" s="268"/>
      <c r="BH12" s="268"/>
      <c r="BI12" s="268"/>
      <c r="BJ12" s="269"/>
      <c r="BK12" s="235"/>
    </row>
    <row r="13" spans="1:63" ht="15" customHeight="1" x14ac:dyDescent="0.25">
      <c r="A13" s="234"/>
      <c r="B13" s="210">
        <v>45503</v>
      </c>
      <c r="C13" s="204"/>
      <c r="D13" s="204"/>
      <c r="E13" s="204"/>
      <c r="F13" s="204"/>
      <c r="G13" s="205"/>
      <c r="H13" s="206" t="s">
        <v>175</v>
      </c>
      <c r="I13" s="204"/>
      <c r="J13" s="204"/>
      <c r="K13" s="204"/>
      <c r="L13" s="204"/>
      <c r="M13" s="204"/>
      <c r="N13" s="205"/>
      <c r="O13" s="206">
        <v>0.2</v>
      </c>
      <c r="P13" s="204"/>
      <c r="Q13" s="204"/>
      <c r="R13" s="204"/>
      <c r="S13" s="259" t="s">
        <v>225</v>
      </c>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1"/>
      <c r="AX13" s="262"/>
      <c r="AY13" s="262"/>
      <c r="AZ13" s="262"/>
      <c r="BA13" s="262"/>
      <c r="BB13" s="262"/>
      <c r="BC13" s="263"/>
      <c r="BD13" s="264"/>
      <c r="BE13" s="262"/>
      <c r="BF13" s="262"/>
      <c r="BG13" s="262"/>
      <c r="BH13" s="262"/>
      <c r="BI13" s="262"/>
      <c r="BJ13" s="263"/>
      <c r="BK13" s="235"/>
    </row>
    <row r="14" spans="1:63" ht="15" customHeight="1" x14ac:dyDescent="0.25">
      <c r="A14" s="234"/>
      <c r="B14" s="216"/>
      <c r="C14" s="217"/>
      <c r="D14" s="217"/>
      <c r="E14" s="217"/>
      <c r="F14" s="217"/>
      <c r="G14" s="218"/>
      <c r="H14" s="216"/>
      <c r="I14" s="217"/>
      <c r="J14" s="217"/>
      <c r="K14" s="217"/>
      <c r="L14" s="217"/>
      <c r="M14" s="217"/>
      <c r="N14" s="218"/>
      <c r="O14" s="216"/>
      <c r="P14" s="217"/>
      <c r="Q14" s="217"/>
      <c r="R14" s="217"/>
      <c r="S14" s="265" t="s">
        <v>226</v>
      </c>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7"/>
      <c r="AX14" s="268"/>
      <c r="AY14" s="268"/>
      <c r="AZ14" s="268"/>
      <c r="BA14" s="268"/>
      <c r="BB14" s="268"/>
      <c r="BC14" s="269"/>
      <c r="BD14" s="270"/>
      <c r="BE14" s="268"/>
      <c r="BF14" s="268"/>
      <c r="BG14" s="268"/>
      <c r="BH14" s="268"/>
      <c r="BI14" s="268"/>
      <c r="BJ14" s="269"/>
      <c r="BK14" s="235"/>
    </row>
    <row r="15" spans="1:63" ht="15" customHeight="1" x14ac:dyDescent="0.25">
      <c r="A15" s="234"/>
      <c r="B15" s="210">
        <v>45540</v>
      </c>
      <c r="C15" s="204"/>
      <c r="D15" s="204"/>
      <c r="E15" s="204"/>
      <c r="F15" s="204"/>
      <c r="G15" s="205"/>
      <c r="H15" s="206" t="s">
        <v>175</v>
      </c>
      <c r="I15" s="204"/>
      <c r="J15" s="204"/>
      <c r="K15" s="204"/>
      <c r="L15" s="204"/>
      <c r="M15" s="204"/>
      <c r="N15" s="205"/>
      <c r="O15" s="206">
        <v>0.3</v>
      </c>
      <c r="P15" s="204"/>
      <c r="Q15" s="204"/>
      <c r="R15" s="204"/>
      <c r="S15" s="259" t="s">
        <v>227</v>
      </c>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1"/>
      <c r="AX15" s="262"/>
      <c r="AY15" s="262"/>
      <c r="AZ15" s="262"/>
      <c r="BA15" s="262"/>
      <c r="BB15" s="262"/>
      <c r="BC15" s="263"/>
      <c r="BD15" s="264"/>
      <c r="BE15" s="262"/>
      <c r="BF15" s="262"/>
      <c r="BG15" s="262"/>
      <c r="BH15" s="262"/>
      <c r="BI15" s="262"/>
      <c r="BJ15" s="263"/>
      <c r="BK15" s="235"/>
    </row>
    <row r="16" spans="1:63" ht="15" customHeight="1" x14ac:dyDescent="0.25">
      <c r="A16" s="234"/>
      <c r="B16" s="216"/>
      <c r="C16" s="217"/>
      <c r="D16" s="217"/>
      <c r="E16" s="217"/>
      <c r="F16" s="217"/>
      <c r="G16" s="218"/>
      <c r="H16" s="216"/>
      <c r="I16" s="217"/>
      <c r="J16" s="217"/>
      <c r="K16" s="217"/>
      <c r="L16" s="217"/>
      <c r="M16" s="217"/>
      <c r="N16" s="218"/>
      <c r="O16" s="216"/>
      <c r="P16" s="217"/>
      <c r="Q16" s="217"/>
      <c r="R16" s="217"/>
      <c r="S16" s="265" t="s">
        <v>164</v>
      </c>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7"/>
      <c r="AX16" s="268"/>
      <c r="AY16" s="268"/>
      <c r="AZ16" s="268"/>
      <c r="BA16" s="268"/>
      <c r="BB16" s="268"/>
      <c r="BC16" s="269"/>
      <c r="BD16" s="270"/>
      <c r="BE16" s="268"/>
      <c r="BF16" s="268"/>
      <c r="BG16" s="268"/>
      <c r="BH16" s="268"/>
      <c r="BI16" s="268"/>
      <c r="BJ16" s="269"/>
      <c r="BK16" s="235"/>
    </row>
    <row r="17" spans="1:63" ht="15" customHeight="1" x14ac:dyDescent="0.25">
      <c r="A17" s="234"/>
      <c r="B17" s="210">
        <v>45544</v>
      </c>
      <c r="C17" s="204"/>
      <c r="D17" s="204"/>
      <c r="E17" s="204"/>
      <c r="F17" s="204"/>
      <c r="G17" s="205"/>
      <c r="H17" s="206" t="s">
        <v>175</v>
      </c>
      <c r="I17" s="204"/>
      <c r="J17" s="204"/>
      <c r="K17" s="204"/>
      <c r="L17" s="204"/>
      <c r="M17" s="204"/>
      <c r="N17" s="205"/>
      <c r="O17" s="206">
        <v>0.4</v>
      </c>
      <c r="P17" s="204"/>
      <c r="Q17" s="204"/>
      <c r="R17" s="204"/>
      <c r="S17" s="259" t="s">
        <v>228</v>
      </c>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1"/>
      <c r="AX17" s="262"/>
      <c r="AY17" s="262"/>
      <c r="AZ17" s="262"/>
      <c r="BA17" s="262"/>
      <c r="BB17" s="262"/>
      <c r="BC17" s="263"/>
      <c r="BD17" s="264"/>
      <c r="BE17" s="262"/>
      <c r="BF17" s="262"/>
      <c r="BG17" s="262"/>
      <c r="BH17" s="262"/>
      <c r="BI17" s="262"/>
      <c r="BJ17" s="263"/>
      <c r="BK17" s="235"/>
    </row>
    <row r="18" spans="1:63" ht="15" customHeight="1" x14ac:dyDescent="0.25">
      <c r="A18" s="234"/>
      <c r="B18" s="216"/>
      <c r="C18" s="217"/>
      <c r="D18" s="217"/>
      <c r="E18" s="217"/>
      <c r="F18" s="217"/>
      <c r="G18" s="218"/>
      <c r="H18" s="216"/>
      <c r="I18" s="217"/>
      <c r="J18" s="217"/>
      <c r="K18" s="217"/>
      <c r="L18" s="217"/>
      <c r="M18" s="217"/>
      <c r="N18" s="218"/>
      <c r="O18" s="216"/>
      <c r="P18" s="217"/>
      <c r="Q18" s="217"/>
      <c r="R18" s="217"/>
      <c r="S18" s="265" t="s">
        <v>229</v>
      </c>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7"/>
      <c r="AX18" s="268"/>
      <c r="AY18" s="268"/>
      <c r="AZ18" s="268"/>
      <c r="BA18" s="268"/>
      <c r="BB18" s="268"/>
      <c r="BC18" s="269"/>
      <c r="BD18" s="270"/>
      <c r="BE18" s="268"/>
      <c r="BF18" s="268"/>
      <c r="BG18" s="268"/>
      <c r="BH18" s="268"/>
      <c r="BI18" s="268"/>
      <c r="BJ18" s="269"/>
      <c r="BK18" s="235"/>
    </row>
    <row r="19" spans="1:63" ht="15" customHeight="1" x14ac:dyDescent="0.25">
      <c r="A19" s="234"/>
      <c r="B19" s="85">
        <v>45551</v>
      </c>
      <c r="C19" s="86"/>
      <c r="D19" s="86"/>
      <c r="E19" s="86"/>
      <c r="F19" s="86"/>
      <c r="G19" s="87"/>
      <c r="H19" s="91" t="s">
        <v>224</v>
      </c>
      <c r="I19" s="86"/>
      <c r="J19" s="86"/>
      <c r="K19" s="86"/>
      <c r="L19" s="86"/>
      <c r="M19" s="86"/>
      <c r="N19" s="87"/>
      <c r="O19" s="91">
        <v>0.5</v>
      </c>
      <c r="P19" s="86"/>
      <c r="Q19" s="86"/>
      <c r="R19" s="86"/>
      <c r="S19" s="92" t="s">
        <v>230</v>
      </c>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4"/>
      <c r="AX19" s="262"/>
      <c r="AY19" s="262"/>
      <c r="AZ19" s="262"/>
      <c r="BA19" s="262"/>
      <c r="BB19" s="262"/>
      <c r="BC19" s="263"/>
      <c r="BD19" s="264"/>
      <c r="BE19" s="262"/>
      <c r="BF19" s="262"/>
      <c r="BG19" s="262"/>
      <c r="BH19" s="262"/>
      <c r="BI19" s="262"/>
      <c r="BJ19" s="263"/>
      <c r="BK19" s="235"/>
    </row>
    <row r="20" spans="1:63" ht="15" customHeight="1" x14ac:dyDescent="0.25">
      <c r="A20" s="234"/>
      <c r="B20" s="88"/>
      <c r="C20" s="89"/>
      <c r="D20" s="89"/>
      <c r="E20" s="89"/>
      <c r="F20" s="89"/>
      <c r="G20" s="90"/>
      <c r="H20" s="88"/>
      <c r="I20" s="89"/>
      <c r="J20" s="89"/>
      <c r="K20" s="89"/>
      <c r="L20" s="89"/>
      <c r="M20" s="89"/>
      <c r="N20" s="90"/>
      <c r="O20" s="88"/>
      <c r="P20" s="89"/>
      <c r="Q20" s="89"/>
      <c r="R20" s="89"/>
      <c r="S20" s="92" t="s">
        <v>231</v>
      </c>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4"/>
      <c r="AX20" s="268"/>
      <c r="AY20" s="268"/>
      <c r="AZ20" s="268"/>
      <c r="BA20" s="268"/>
      <c r="BB20" s="268"/>
      <c r="BC20" s="269"/>
      <c r="BD20" s="270"/>
      <c r="BE20" s="268"/>
      <c r="BF20" s="268"/>
      <c r="BG20" s="268"/>
      <c r="BH20" s="268"/>
      <c r="BI20" s="268"/>
      <c r="BJ20" s="269"/>
      <c r="BK20" s="235"/>
    </row>
    <row r="21" spans="1:63" ht="15" customHeight="1" x14ac:dyDescent="0.25">
      <c r="A21" s="234"/>
      <c r="B21" s="206"/>
      <c r="C21" s="204"/>
      <c r="D21" s="204"/>
      <c r="E21" s="204"/>
      <c r="F21" s="204"/>
      <c r="G21" s="205"/>
      <c r="H21" s="206"/>
      <c r="I21" s="204"/>
      <c r="J21" s="204"/>
      <c r="K21" s="204"/>
      <c r="L21" s="204"/>
      <c r="M21" s="204"/>
      <c r="N21" s="205"/>
      <c r="O21" s="206"/>
      <c r="P21" s="204"/>
      <c r="Q21" s="204"/>
      <c r="R21" s="204"/>
      <c r="S21" s="259"/>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1"/>
      <c r="AX21" s="262"/>
      <c r="AY21" s="262"/>
      <c r="AZ21" s="262"/>
      <c r="BA21" s="262"/>
      <c r="BB21" s="262"/>
      <c r="BC21" s="263"/>
      <c r="BD21" s="264"/>
      <c r="BE21" s="262"/>
      <c r="BF21" s="262"/>
      <c r="BG21" s="262"/>
      <c r="BH21" s="262"/>
      <c r="BI21" s="262"/>
      <c r="BJ21" s="263"/>
      <c r="BK21" s="235"/>
    </row>
    <row r="22" spans="1:63" ht="15" customHeight="1" x14ac:dyDescent="0.25">
      <c r="A22" s="234"/>
      <c r="B22" s="216"/>
      <c r="C22" s="217"/>
      <c r="D22" s="217"/>
      <c r="E22" s="217"/>
      <c r="F22" s="217"/>
      <c r="G22" s="218"/>
      <c r="H22" s="216"/>
      <c r="I22" s="217"/>
      <c r="J22" s="217"/>
      <c r="K22" s="217"/>
      <c r="L22" s="217"/>
      <c r="M22" s="217"/>
      <c r="N22" s="218"/>
      <c r="O22" s="216"/>
      <c r="P22" s="217"/>
      <c r="Q22" s="217"/>
      <c r="R22" s="217"/>
      <c r="S22" s="265"/>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7"/>
      <c r="AX22" s="268"/>
      <c r="AY22" s="268"/>
      <c r="AZ22" s="268"/>
      <c r="BA22" s="268"/>
      <c r="BB22" s="268"/>
      <c r="BC22" s="269"/>
      <c r="BD22" s="270"/>
      <c r="BE22" s="268"/>
      <c r="BF22" s="268"/>
      <c r="BG22" s="268"/>
      <c r="BH22" s="268"/>
      <c r="BI22" s="268"/>
      <c r="BJ22" s="269"/>
      <c r="BK22" s="235"/>
    </row>
    <row r="23" spans="1:63" ht="15" customHeight="1" x14ac:dyDescent="0.25">
      <c r="A23" s="234"/>
      <c r="B23" s="206"/>
      <c r="C23" s="204"/>
      <c r="D23" s="204"/>
      <c r="E23" s="204"/>
      <c r="F23" s="204"/>
      <c r="G23" s="205"/>
      <c r="H23" s="206"/>
      <c r="I23" s="204"/>
      <c r="J23" s="204"/>
      <c r="K23" s="204"/>
      <c r="L23" s="204"/>
      <c r="M23" s="204"/>
      <c r="N23" s="205"/>
      <c r="O23" s="206"/>
      <c r="P23" s="204"/>
      <c r="Q23" s="204"/>
      <c r="R23" s="204"/>
      <c r="S23" s="259"/>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0"/>
      <c r="AS23" s="260"/>
      <c r="AT23" s="260"/>
      <c r="AU23" s="260"/>
      <c r="AV23" s="260"/>
      <c r="AW23" s="261"/>
      <c r="AX23" s="262"/>
      <c r="AY23" s="262"/>
      <c r="AZ23" s="262"/>
      <c r="BA23" s="262"/>
      <c r="BB23" s="262"/>
      <c r="BC23" s="263"/>
      <c r="BD23" s="264"/>
      <c r="BE23" s="262"/>
      <c r="BF23" s="262"/>
      <c r="BG23" s="262"/>
      <c r="BH23" s="262"/>
      <c r="BI23" s="262"/>
      <c r="BJ23" s="263"/>
      <c r="BK23" s="235"/>
    </row>
    <row r="24" spans="1:63" ht="15" customHeight="1" x14ac:dyDescent="0.25">
      <c r="A24" s="234"/>
      <c r="B24" s="216"/>
      <c r="C24" s="217"/>
      <c r="D24" s="217"/>
      <c r="E24" s="217"/>
      <c r="F24" s="217"/>
      <c r="G24" s="218"/>
      <c r="H24" s="216"/>
      <c r="I24" s="217"/>
      <c r="J24" s="217"/>
      <c r="K24" s="217"/>
      <c r="L24" s="217"/>
      <c r="M24" s="217"/>
      <c r="N24" s="218"/>
      <c r="O24" s="216"/>
      <c r="P24" s="217"/>
      <c r="Q24" s="217"/>
      <c r="R24" s="217"/>
      <c r="S24" s="265"/>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7"/>
      <c r="AX24" s="268"/>
      <c r="AY24" s="268"/>
      <c r="AZ24" s="268"/>
      <c r="BA24" s="268"/>
      <c r="BB24" s="268"/>
      <c r="BC24" s="269"/>
      <c r="BD24" s="270"/>
      <c r="BE24" s="268"/>
      <c r="BF24" s="268"/>
      <c r="BG24" s="268"/>
      <c r="BH24" s="268"/>
      <c r="BI24" s="268"/>
      <c r="BJ24" s="269"/>
      <c r="BK24" s="235"/>
    </row>
    <row r="25" spans="1:63" ht="15" customHeight="1" x14ac:dyDescent="0.25">
      <c r="A25" s="234"/>
      <c r="B25" s="206"/>
      <c r="C25" s="204"/>
      <c r="D25" s="204"/>
      <c r="E25" s="204"/>
      <c r="F25" s="204"/>
      <c r="G25" s="205"/>
      <c r="H25" s="206"/>
      <c r="I25" s="204"/>
      <c r="J25" s="204"/>
      <c r="K25" s="204"/>
      <c r="L25" s="204"/>
      <c r="M25" s="204"/>
      <c r="N25" s="205"/>
      <c r="O25" s="206"/>
      <c r="P25" s="204"/>
      <c r="Q25" s="204"/>
      <c r="R25" s="204"/>
      <c r="S25" s="259"/>
      <c r="T25" s="260"/>
      <c r="U25" s="260"/>
      <c r="V25" s="260"/>
      <c r="W25" s="260"/>
      <c r="X25" s="260"/>
      <c r="Y25" s="260"/>
      <c r="Z25" s="260"/>
      <c r="AA25" s="260"/>
      <c r="AB25" s="260"/>
      <c r="AC25" s="260"/>
      <c r="AD25" s="260"/>
      <c r="AE25" s="260"/>
      <c r="AF25" s="260"/>
      <c r="AG25" s="260"/>
      <c r="AH25" s="260"/>
      <c r="AI25" s="260"/>
      <c r="AJ25" s="260"/>
      <c r="AK25" s="260"/>
      <c r="AL25" s="260"/>
      <c r="AM25" s="260"/>
      <c r="AN25" s="260"/>
      <c r="AO25" s="260"/>
      <c r="AP25" s="260"/>
      <c r="AQ25" s="260"/>
      <c r="AR25" s="260"/>
      <c r="AS25" s="260"/>
      <c r="AT25" s="260"/>
      <c r="AU25" s="260"/>
      <c r="AV25" s="260"/>
      <c r="AW25" s="261"/>
      <c r="AX25" s="262"/>
      <c r="AY25" s="262"/>
      <c r="AZ25" s="262"/>
      <c r="BA25" s="262"/>
      <c r="BB25" s="262"/>
      <c r="BC25" s="263"/>
      <c r="BD25" s="264"/>
      <c r="BE25" s="262"/>
      <c r="BF25" s="262"/>
      <c r="BG25" s="262"/>
      <c r="BH25" s="262"/>
      <c r="BI25" s="262"/>
      <c r="BJ25" s="263"/>
      <c r="BK25" s="235"/>
    </row>
    <row r="26" spans="1:63" ht="15" customHeight="1" x14ac:dyDescent="0.25">
      <c r="A26" s="234"/>
      <c r="B26" s="216"/>
      <c r="C26" s="217"/>
      <c r="D26" s="217"/>
      <c r="E26" s="217"/>
      <c r="F26" s="217"/>
      <c r="G26" s="218"/>
      <c r="H26" s="216"/>
      <c r="I26" s="217"/>
      <c r="J26" s="217"/>
      <c r="K26" s="217"/>
      <c r="L26" s="217"/>
      <c r="M26" s="217"/>
      <c r="N26" s="218"/>
      <c r="O26" s="216"/>
      <c r="P26" s="217"/>
      <c r="Q26" s="217"/>
      <c r="R26" s="217"/>
      <c r="S26" s="265"/>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7"/>
      <c r="AX26" s="268"/>
      <c r="AY26" s="268"/>
      <c r="AZ26" s="268"/>
      <c r="BA26" s="268"/>
      <c r="BB26" s="268"/>
      <c r="BC26" s="269"/>
      <c r="BD26" s="270"/>
      <c r="BE26" s="268"/>
      <c r="BF26" s="268"/>
      <c r="BG26" s="268"/>
      <c r="BH26" s="268"/>
      <c r="BI26" s="268"/>
      <c r="BJ26" s="269"/>
      <c r="BK26" s="235"/>
    </row>
    <row r="27" spans="1:63" ht="15" customHeight="1" x14ac:dyDescent="0.25">
      <c r="A27" s="234"/>
      <c r="B27" s="206"/>
      <c r="C27" s="204"/>
      <c r="D27" s="204"/>
      <c r="E27" s="204"/>
      <c r="F27" s="204"/>
      <c r="G27" s="205"/>
      <c r="H27" s="206"/>
      <c r="I27" s="204"/>
      <c r="J27" s="204"/>
      <c r="K27" s="204"/>
      <c r="L27" s="204"/>
      <c r="M27" s="204"/>
      <c r="N27" s="205"/>
      <c r="O27" s="206"/>
      <c r="P27" s="204"/>
      <c r="Q27" s="204"/>
      <c r="R27" s="204"/>
      <c r="S27" s="259"/>
      <c r="T27" s="260"/>
      <c r="U27" s="260"/>
      <c r="V27" s="260"/>
      <c r="W27" s="260"/>
      <c r="X27" s="260"/>
      <c r="Y27" s="260"/>
      <c r="Z27" s="260"/>
      <c r="AA27" s="260"/>
      <c r="AB27" s="260"/>
      <c r="AC27" s="260"/>
      <c r="AD27" s="260"/>
      <c r="AE27" s="260"/>
      <c r="AF27" s="260"/>
      <c r="AG27" s="260"/>
      <c r="AH27" s="260"/>
      <c r="AI27" s="260"/>
      <c r="AJ27" s="260"/>
      <c r="AK27" s="260"/>
      <c r="AL27" s="260"/>
      <c r="AM27" s="260"/>
      <c r="AN27" s="260"/>
      <c r="AO27" s="260"/>
      <c r="AP27" s="260"/>
      <c r="AQ27" s="260"/>
      <c r="AR27" s="260"/>
      <c r="AS27" s="260"/>
      <c r="AT27" s="260"/>
      <c r="AU27" s="260"/>
      <c r="AV27" s="260"/>
      <c r="AW27" s="261"/>
      <c r="AX27" s="262"/>
      <c r="AY27" s="262"/>
      <c r="AZ27" s="262"/>
      <c r="BA27" s="262"/>
      <c r="BB27" s="262"/>
      <c r="BC27" s="263"/>
      <c r="BD27" s="264"/>
      <c r="BE27" s="262"/>
      <c r="BF27" s="262"/>
      <c r="BG27" s="262"/>
      <c r="BH27" s="262"/>
      <c r="BI27" s="262"/>
      <c r="BJ27" s="263"/>
      <c r="BK27" s="235"/>
    </row>
    <row r="28" spans="1:63" ht="15" customHeight="1" x14ac:dyDescent="0.25">
      <c r="A28" s="234"/>
      <c r="B28" s="216"/>
      <c r="C28" s="217"/>
      <c r="D28" s="217"/>
      <c r="E28" s="217"/>
      <c r="F28" s="217"/>
      <c r="G28" s="218"/>
      <c r="H28" s="216"/>
      <c r="I28" s="217"/>
      <c r="J28" s="217"/>
      <c r="K28" s="217"/>
      <c r="L28" s="217"/>
      <c r="M28" s="217"/>
      <c r="N28" s="218"/>
      <c r="O28" s="216"/>
      <c r="P28" s="217"/>
      <c r="Q28" s="217"/>
      <c r="R28" s="217"/>
      <c r="S28" s="265"/>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7"/>
      <c r="AX28" s="268"/>
      <c r="AY28" s="268"/>
      <c r="AZ28" s="268"/>
      <c r="BA28" s="268"/>
      <c r="BB28" s="268"/>
      <c r="BC28" s="269"/>
      <c r="BD28" s="270"/>
      <c r="BE28" s="268"/>
      <c r="BF28" s="268"/>
      <c r="BG28" s="268"/>
      <c r="BH28" s="268"/>
      <c r="BI28" s="268"/>
      <c r="BJ28" s="269"/>
      <c r="BK28" s="235"/>
    </row>
    <row r="29" spans="1:63" ht="15" customHeight="1" x14ac:dyDescent="0.25">
      <c r="A29" s="234"/>
      <c r="B29" s="206"/>
      <c r="C29" s="204"/>
      <c r="D29" s="204"/>
      <c r="E29" s="204"/>
      <c r="F29" s="204"/>
      <c r="G29" s="205"/>
      <c r="H29" s="206"/>
      <c r="I29" s="204"/>
      <c r="J29" s="204"/>
      <c r="K29" s="204"/>
      <c r="L29" s="204"/>
      <c r="M29" s="204"/>
      <c r="N29" s="205"/>
      <c r="O29" s="206"/>
      <c r="P29" s="204"/>
      <c r="Q29" s="204"/>
      <c r="R29" s="204"/>
      <c r="S29" s="259"/>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1"/>
      <c r="AX29" s="262"/>
      <c r="AY29" s="262"/>
      <c r="AZ29" s="262"/>
      <c r="BA29" s="262"/>
      <c r="BB29" s="262"/>
      <c r="BC29" s="263"/>
      <c r="BD29" s="264"/>
      <c r="BE29" s="262"/>
      <c r="BF29" s="262"/>
      <c r="BG29" s="262"/>
      <c r="BH29" s="262"/>
      <c r="BI29" s="262"/>
      <c r="BJ29" s="263"/>
      <c r="BK29" s="235"/>
    </row>
    <row r="30" spans="1:63" ht="15" customHeight="1" x14ac:dyDescent="0.25">
      <c r="A30" s="234"/>
      <c r="B30" s="216"/>
      <c r="C30" s="217"/>
      <c r="D30" s="217"/>
      <c r="E30" s="217"/>
      <c r="F30" s="217"/>
      <c r="G30" s="218"/>
      <c r="H30" s="216"/>
      <c r="I30" s="217"/>
      <c r="J30" s="217"/>
      <c r="K30" s="217"/>
      <c r="L30" s="217"/>
      <c r="M30" s="217"/>
      <c r="N30" s="218"/>
      <c r="O30" s="216"/>
      <c r="P30" s="217"/>
      <c r="Q30" s="217"/>
      <c r="R30" s="217"/>
      <c r="S30" s="265"/>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7"/>
      <c r="AX30" s="268"/>
      <c r="AY30" s="268"/>
      <c r="AZ30" s="268"/>
      <c r="BA30" s="268"/>
      <c r="BB30" s="268"/>
      <c r="BC30" s="269"/>
      <c r="BD30" s="270"/>
      <c r="BE30" s="268"/>
      <c r="BF30" s="268"/>
      <c r="BG30" s="268"/>
      <c r="BH30" s="268"/>
      <c r="BI30" s="268"/>
      <c r="BJ30" s="269"/>
      <c r="BK30" s="235"/>
    </row>
    <row r="31" spans="1:63" ht="15" customHeight="1" x14ac:dyDescent="0.25">
      <c r="A31" s="234"/>
      <c r="B31" s="206"/>
      <c r="C31" s="204"/>
      <c r="D31" s="204"/>
      <c r="E31" s="204"/>
      <c r="F31" s="204"/>
      <c r="G31" s="205"/>
      <c r="H31" s="206"/>
      <c r="I31" s="204"/>
      <c r="J31" s="204"/>
      <c r="K31" s="204"/>
      <c r="L31" s="204"/>
      <c r="M31" s="204"/>
      <c r="N31" s="205"/>
      <c r="O31" s="206"/>
      <c r="P31" s="204"/>
      <c r="Q31" s="204"/>
      <c r="R31" s="204"/>
      <c r="S31" s="259"/>
      <c r="T31" s="260"/>
      <c r="U31" s="260"/>
      <c r="V31" s="260"/>
      <c r="W31" s="260"/>
      <c r="X31" s="260"/>
      <c r="Y31" s="260"/>
      <c r="Z31" s="260"/>
      <c r="AA31" s="260"/>
      <c r="AB31" s="260"/>
      <c r="AC31" s="260"/>
      <c r="AD31" s="260"/>
      <c r="AE31" s="260"/>
      <c r="AF31" s="260"/>
      <c r="AG31" s="260"/>
      <c r="AH31" s="260"/>
      <c r="AI31" s="260"/>
      <c r="AJ31" s="260"/>
      <c r="AK31" s="260"/>
      <c r="AL31" s="260"/>
      <c r="AM31" s="260"/>
      <c r="AN31" s="260"/>
      <c r="AO31" s="260"/>
      <c r="AP31" s="260"/>
      <c r="AQ31" s="260"/>
      <c r="AR31" s="260"/>
      <c r="AS31" s="260"/>
      <c r="AT31" s="260"/>
      <c r="AU31" s="260"/>
      <c r="AV31" s="260"/>
      <c r="AW31" s="261"/>
      <c r="AX31" s="262"/>
      <c r="AY31" s="262"/>
      <c r="AZ31" s="262"/>
      <c r="BA31" s="262"/>
      <c r="BB31" s="262"/>
      <c r="BC31" s="263"/>
      <c r="BD31" s="264"/>
      <c r="BE31" s="262"/>
      <c r="BF31" s="262"/>
      <c r="BG31" s="262"/>
      <c r="BH31" s="262"/>
      <c r="BI31" s="262"/>
      <c r="BJ31" s="263"/>
      <c r="BK31" s="235"/>
    </row>
    <row r="32" spans="1:63" ht="15" customHeight="1" x14ac:dyDescent="0.25">
      <c r="A32" s="234"/>
      <c r="B32" s="216"/>
      <c r="C32" s="217"/>
      <c r="D32" s="217"/>
      <c r="E32" s="217"/>
      <c r="F32" s="217"/>
      <c r="G32" s="218"/>
      <c r="H32" s="216"/>
      <c r="I32" s="217"/>
      <c r="J32" s="217"/>
      <c r="K32" s="217"/>
      <c r="L32" s="217"/>
      <c r="M32" s="217"/>
      <c r="N32" s="218"/>
      <c r="O32" s="216"/>
      <c r="P32" s="217"/>
      <c r="Q32" s="217"/>
      <c r="R32" s="217"/>
      <c r="S32" s="265"/>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7"/>
      <c r="AX32" s="268"/>
      <c r="AY32" s="268"/>
      <c r="AZ32" s="268"/>
      <c r="BA32" s="268"/>
      <c r="BB32" s="268"/>
      <c r="BC32" s="269"/>
      <c r="BD32" s="270"/>
      <c r="BE32" s="268"/>
      <c r="BF32" s="268"/>
      <c r="BG32" s="268"/>
      <c r="BH32" s="268"/>
      <c r="BI32" s="268"/>
      <c r="BJ32" s="269"/>
      <c r="BK32" s="235"/>
    </row>
    <row r="33" spans="1:63" ht="15" customHeight="1" x14ac:dyDescent="0.25">
      <c r="A33" s="234"/>
      <c r="B33" s="206"/>
      <c r="C33" s="204"/>
      <c r="D33" s="204"/>
      <c r="E33" s="204"/>
      <c r="F33" s="204"/>
      <c r="G33" s="205"/>
      <c r="H33" s="206"/>
      <c r="I33" s="204"/>
      <c r="J33" s="204"/>
      <c r="K33" s="204"/>
      <c r="L33" s="204"/>
      <c r="M33" s="204"/>
      <c r="N33" s="205"/>
      <c r="O33" s="206"/>
      <c r="P33" s="204"/>
      <c r="Q33" s="204"/>
      <c r="R33" s="204"/>
      <c r="S33" s="259"/>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1"/>
      <c r="AX33" s="262"/>
      <c r="AY33" s="262"/>
      <c r="AZ33" s="262"/>
      <c r="BA33" s="262"/>
      <c r="BB33" s="262"/>
      <c r="BC33" s="263"/>
      <c r="BD33" s="264"/>
      <c r="BE33" s="262"/>
      <c r="BF33" s="262"/>
      <c r="BG33" s="262"/>
      <c r="BH33" s="262"/>
      <c r="BI33" s="262"/>
      <c r="BJ33" s="263"/>
      <c r="BK33" s="235"/>
    </row>
    <row r="34" spans="1:63" ht="15" customHeight="1" x14ac:dyDescent="0.25">
      <c r="A34" s="234"/>
      <c r="B34" s="216"/>
      <c r="C34" s="217"/>
      <c r="D34" s="217"/>
      <c r="E34" s="217"/>
      <c r="F34" s="217"/>
      <c r="G34" s="218"/>
      <c r="H34" s="216"/>
      <c r="I34" s="217"/>
      <c r="J34" s="217"/>
      <c r="K34" s="217"/>
      <c r="L34" s="217"/>
      <c r="M34" s="217"/>
      <c r="N34" s="218"/>
      <c r="O34" s="216"/>
      <c r="P34" s="217"/>
      <c r="Q34" s="217"/>
      <c r="R34" s="217"/>
      <c r="S34" s="265"/>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7"/>
      <c r="AX34" s="268"/>
      <c r="AY34" s="268"/>
      <c r="AZ34" s="268"/>
      <c r="BA34" s="268"/>
      <c r="BB34" s="268"/>
      <c r="BC34" s="269"/>
      <c r="BD34" s="270"/>
      <c r="BE34" s="268"/>
      <c r="BF34" s="268"/>
      <c r="BG34" s="268"/>
      <c r="BH34" s="268"/>
      <c r="BI34" s="268"/>
      <c r="BJ34" s="269"/>
      <c r="BK34" s="235"/>
    </row>
    <row r="35" spans="1:63" ht="15" customHeight="1" x14ac:dyDescent="0.25">
      <c r="A35" s="234"/>
      <c r="B35" s="206"/>
      <c r="C35" s="204"/>
      <c r="D35" s="204"/>
      <c r="E35" s="204"/>
      <c r="F35" s="204"/>
      <c r="G35" s="205"/>
      <c r="H35" s="206"/>
      <c r="I35" s="204"/>
      <c r="J35" s="204"/>
      <c r="K35" s="204"/>
      <c r="L35" s="204"/>
      <c r="M35" s="204"/>
      <c r="N35" s="205"/>
      <c r="O35" s="206"/>
      <c r="P35" s="204"/>
      <c r="Q35" s="204"/>
      <c r="R35" s="204"/>
      <c r="S35" s="259"/>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c r="AU35" s="260"/>
      <c r="AV35" s="260"/>
      <c r="AW35" s="261"/>
      <c r="AX35" s="262"/>
      <c r="AY35" s="262"/>
      <c r="AZ35" s="262"/>
      <c r="BA35" s="262"/>
      <c r="BB35" s="262"/>
      <c r="BC35" s="263"/>
      <c r="BD35" s="264"/>
      <c r="BE35" s="262"/>
      <c r="BF35" s="262"/>
      <c r="BG35" s="262"/>
      <c r="BH35" s="262"/>
      <c r="BI35" s="262"/>
      <c r="BJ35" s="263"/>
      <c r="BK35" s="235"/>
    </row>
    <row r="36" spans="1:63" ht="15" customHeight="1" x14ac:dyDescent="0.25">
      <c r="A36" s="234"/>
      <c r="B36" s="216"/>
      <c r="C36" s="217"/>
      <c r="D36" s="217"/>
      <c r="E36" s="217"/>
      <c r="F36" s="217"/>
      <c r="G36" s="218"/>
      <c r="H36" s="216"/>
      <c r="I36" s="217"/>
      <c r="J36" s="217"/>
      <c r="K36" s="217"/>
      <c r="L36" s="217"/>
      <c r="M36" s="217"/>
      <c r="N36" s="218"/>
      <c r="O36" s="216"/>
      <c r="P36" s="217"/>
      <c r="Q36" s="217"/>
      <c r="R36" s="217"/>
      <c r="S36" s="265"/>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7"/>
      <c r="AX36" s="268"/>
      <c r="AY36" s="268"/>
      <c r="AZ36" s="268"/>
      <c r="BA36" s="268"/>
      <c r="BB36" s="268"/>
      <c r="BC36" s="269"/>
      <c r="BD36" s="270"/>
      <c r="BE36" s="268"/>
      <c r="BF36" s="268"/>
      <c r="BG36" s="268"/>
      <c r="BH36" s="268"/>
      <c r="BI36" s="268"/>
      <c r="BJ36" s="269"/>
      <c r="BK36" s="235"/>
    </row>
    <row r="37" spans="1:63" ht="15" customHeight="1" x14ac:dyDescent="0.25">
      <c r="A37" s="234"/>
      <c r="B37" s="206"/>
      <c r="C37" s="204"/>
      <c r="D37" s="204"/>
      <c r="E37" s="204"/>
      <c r="F37" s="204"/>
      <c r="G37" s="205"/>
      <c r="H37" s="206"/>
      <c r="I37" s="204"/>
      <c r="J37" s="204"/>
      <c r="K37" s="204"/>
      <c r="L37" s="204"/>
      <c r="M37" s="204"/>
      <c r="N37" s="205"/>
      <c r="O37" s="206"/>
      <c r="P37" s="204"/>
      <c r="Q37" s="204"/>
      <c r="R37" s="204"/>
      <c r="S37" s="259"/>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1"/>
      <c r="AX37" s="262"/>
      <c r="AY37" s="262"/>
      <c r="AZ37" s="262"/>
      <c r="BA37" s="262"/>
      <c r="BB37" s="262"/>
      <c r="BC37" s="263"/>
      <c r="BD37" s="264"/>
      <c r="BE37" s="262"/>
      <c r="BF37" s="262"/>
      <c r="BG37" s="262"/>
      <c r="BH37" s="262"/>
      <c r="BI37" s="262"/>
      <c r="BJ37" s="263"/>
      <c r="BK37" s="235"/>
    </row>
    <row r="38" spans="1:63" ht="15" customHeight="1" x14ac:dyDescent="0.25">
      <c r="A38" s="234"/>
      <c r="B38" s="216"/>
      <c r="C38" s="217"/>
      <c r="D38" s="217"/>
      <c r="E38" s="217"/>
      <c r="F38" s="217"/>
      <c r="G38" s="218"/>
      <c r="H38" s="216"/>
      <c r="I38" s="217"/>
      <c r="J38" s="217"/>
      <c r="K38" s="217"/>
      <c r="L38" s="217"/>
      <c r="M38" s="217"/>
      <c r="N38" s="218"/>
      <c r="O38" s="216"/>
      <c r="P38" s="217"/>
      <c r="Q38" s="217"/>
      <c r="R38" s="217"/>
      <c r="S38" s="265"/>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7"/>
      <c r="AX38" s="268"/>
      <c r="AY38" s="268"/>
      <c r="AZ38" s="268"/>
      <c r="BA38" s="268"/>
      <c r="BB38" s="268"/>
      <c r="BC38" s="269"/>
      <c r="BD38" s="270"/>
      <c r="BE38" s="268"/>
      <c r="BF38" s="268"/>
      <c r="BG38" s="268"/>
      <c r="BH38" s="268"/>
      <c r="BI38" s="268"/>
      <c r="BJ38" s="269"/>
      <c r="BK38" s="235"/>
    </row>
    <row r="39" spans="1:63" ht="15" customHeight="1" x14ac:dyDescent="0.25">
      <c r="A39" s="234"/>
      <c r="B39" s="206"/>
      <c r="C39" s="204"/>
      <c r="D39" s="204"/>
      <c r="E39" s="204"/>
      <c r="F39" s="204"/>
      <c r="G39" s="205"/>
      <c r="H39" s="206"/>
      <c r="I39" s="204"/>
      <c r="J39" s="204"/>
      <c r="K39" s="204"/>
      <c r="L39" s="204"/>
      <c r="M39" s="204"/>
      <c r="N39" s="205"/>
      <c r="O39" s="206"/>
      <c r="P39" s="204"/>
      <c r="Q39" s="204"/>
      <c r="R39" s="204"/>
      <c r="S39" s="259"/>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1"/>
      <c r="AX39" s="262"/>
      <c r="AY39" s="262"/>
      <c r="AZ39" s="262"/>
      <c r="BA39" s="262"/>
      <c r="BB39" s="262"/>
      <c r="BC39" s="263"/>
      <c r="BD39" s="264"/>
      <c r="BE39" s="262"/>
      <c r="BF39" s="262"/>
      <c r="BG39" s="262"/>
      <c r="BH39" s="262"/>
      <c r="BI39" s="262"/>
      <c r="BJ39" s="263"/>
      <c r="BK39" s="235"/>
    </row>
    <row r="40" spans="1:63" ht="15" customHeight="1" x14ac:dyDescent="0.25">
      <c r="A40" s="234"/>
      <c r="B40" s="216"/>
      <c r="C40" s="217"/>
      <c r="D40" s="217"/>
      <c r="E40" s="217"/>
      <c r="F40" s="217"/>
      <c r="G40" s="218"/>
      <c r="H40" s="216"/>
      <c r="I40" s="217"/>
      <c r="J40" s="217"/>
      <c r="K40" s="217"/>
      <c r="L40" s="217"/>
      <c r="M40" s="217"/>
      <c r="N40" s="218"/>
      <c r="O40" s="216"/>
      <c r="P40" s="217"/>
      <c r="Q40" s="217"/>
      <c r="R40" s="217"/>
      <c r="S40" s="265"/>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7"/>
      <c r="AX40" s="268"/>
      <c r="AY40" s="268"/>
      <c r="AZ40" s="268"/>
      <c r="BA40" s="268"/>
      <c r="BB40" s="268"/>
      <c r="BC40" s="269"/>
      <c r="BD40" s="270"/>
      <c r="BE40" s="268"/>
      <c r="BF40" s="268"/>
      <c r="BG40" s="268"/>
      <c r="BH40" s="268"/>
      <c r="BI40" s="268"/>
      <c r="BJ40" s="269"/>
      <c r="BK40" s="235"/>
    </row>
    <row r="41" spans="1:63" ht="15" customHeight="1" x14ac:dyDescent="0.25">
      <c r="A41" s="234"/>
      <c r="B41" s="206"/>
      <c r="C41" s="204"/>
      <c r="D41" s="204"/>
      <c r="E41" s="204"/>
      <c r="F41" s="204"/>
      <c r="G41" s="205"/>
      <c r="H41" s="206"/>
      <c r="I41" s="204"/>
      <c r="J41" s="204"/>
      <c r="K41" s="204"/>
      <c r="L41" s="204"/>
      <c r="M41" s="204"/>
      <c r="N41" s="205"/>
      <c r="O41" s="206"/>
      <c r="P41" s="204"/>
      <c r="Q41" s="204"/>
      <c r="R41" s="204"/>
      <c r="S41" s="259"/>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260"/>
      <c r="AW41" s="261"/>
      <c r="AX41" s="262"/>
      <c r="AY41" s="262"/>
      <c r="AZ41" s="262"/>
      <c r="BA41" s="262"/>
      <c r="BB41" s="262"/>
      <c r="BC41" s="263"/>
      <c r="BD41" s="264"/>
      <c r="BE41" s="262"/>
      <c r="BF41" s="262"/>
      <c r="BG41" s="262"/>
      <c r="BH41" s="262"/>
      <c r="BI41" s="262"/>
      <c r="BJ41" s="263"/>
      <c r="BK41" s="235"/>
    </row>
    <row r="42" spans="1:63" ht="15" customHeight="1" x14ac:dyDescent="0.25">
      <c r="A42" s="234"/>
      <c r="B42" s="216"/>
      <c r="C42" s="217"/>
      <c r="D42" s="217"/>
      <c r="E42" s="217"/>
      <c r="F42" s="217"/>
      <c r="G42" s="218"/>
      <c r="H42" s="216"/>
      <c r="I42" s="217"/>
      <c r="J42" s="217"/>
      <c r="K42" s="217"/>
      <c r="L42" s="217"/>
      <c r="M42" s="217"/>
      <c r="N42" s="218"/>
      <c r="O42" s="216"/>
      <c r="P42" s="217"/>
      <c r="Q42" s="217"/>
      <c r="R42" s="217"/>
      <c r="S42" s="265"/>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7"/>
      <c r="AX42" s="268"/>
      <c r="AY42" s="268"/>
      <c r="AZ42" s="268"/>
      <c r="BA42" s="268"/>
      <c r="BB42" s="268"/>
      <c r="BC42" s="269"/>
      <c r="BD42" s="270"/>
      <c r="BE42" s="268"/>
      <c r="BF42" s="268"/>
      <c r="BG42" s="268"/>
      <c r="BH42" s="268"/>
      <c r="BI42" s="268"/>
      <c r="BJ42" s="269"/>
      <c r="BK42" s="235"/>
    </row>
    <row r="43" spans="1:63" ht="15" customHeight="1" x14ac:dyDescent="0.25">
      <c r="A43" s="234"/>
      <c r="B43" s="206"/>
      <c r="C43" s="204"/>
      <c r="D43" s="204"/>
      <c r="E43" s="204"/>
      <c r="F43" s="204"/>
      <c r="G43" s="205"/>
      <c r="H43" s="206"/>
      <c r="I43" s="204"/>
      <c r="J43" s="204"/>
      <c r="K43" s="204"/>
      <c r="L43" s="204"/>
      <c r="M43" s="204"/>
      <c r="N43" s="205"/>
      <c r="O43" s="206"/>
      <c r="P43" s="204"/>
      <c r="Q43" s="204"/>
      <c r="R43" s="204"/>
      <c r="S43" s="259"/>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c r="AU43" s="260"/>
      <c r="AV43" s="260"/>
      <c r="AW43" s="261"/>
      <c r="AX43" s="262"/>
      <c r="AY43" s="262"/>
      <c r="AZ43" s="262"/>
      <c r="BA43" s="262"/>
      <c r="BB43" s="262"/>
      <c r="BC43" s="263"/>
      <c r="BD43" s="264"/>
      <c r="BE43" s="262"/>
      <c r="BF43" s="262"/>
      <c r="BG43" s="262"/>
      <c r="BH43" s="262"/>
      <c r="BI43" s="262"/>
      <c r="BJ43" s="263"/>
      <c r="BK43" s="235"/>
    </row>
    <row r="44" spans="1:63" ht="15" customHeight="1" x14ac:dyDescent="0.25">
      <c r="A44" s="234"/>
      <c r="B44" s="216"/>
      <c r="C44" s="217"/>
      <c r="D44" s="217"/>
      <c r="E44" s="217"/>
      <c r="F44" s="217"/>
      <c r="G44" s="218"/>
      <c r="H44" s="216"/>
      <c r="I44" s="217"/>
      <c r="J44" s="217"/>
      <c r="K44" s="217"/>
      <c r="L44" s="217"/>
      <c r="M44" s="217"/>
      <c r="N44" s="218"/>
      <c r="O44" s="216"/>
      <c r="P44" s="217"/>
      <c r="Q44" s="217"/>
      <c r="R44" s="217"/>
      <c r="S44" s="265"/>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7"/>
      <c r="AX44" s="268"/>
      <c r="AY44" s="268"/>
      <c r="AZ44" s="268"/>
      <c r="BA44" s="268"/>
      <c r="BB44" s="268"/>
      <c r="BC44" s="269"/>
      <c r="BD44" s="270"/>
      <c r="BE44" s="268"/>
      <c r="BF44" s="268"/>
      <c r="BG44" s="268"/>
      <c r="BH44" s="268"/>
      <c r="BI44" s="268"/>
      <c r="BJ44" s="269"/>
      <c r="BK44" s="235"/>
    </row>
    <row r="45" spans="1:63" ht="15" customHeight="1" x14ac:dyDescent="0.25">
      <c r="A45" s="234"/>
      <c r="B45" s="206"/>
      <c r="C45" s="204"/>
      <c r="D45" s="204"/>
      <c r="E45" s="204"/>
      <c r="F45" s="204"/>
      <c r="G45" s="205"/>
      <c r="H45" s="206"/>
      <c r="I45" s="204"/>
      <c r="J45" s="204"/>
      <c r="K45" s="204"/>
      <c r="L45" s="204"/>
      <c r="M45" s="204"/>
      <c r="N45" s="205"/>
      <c r="O45" s="206"/>
      <c r="P45" s="204"/>
      <c r="Q45" s="204"/>
      <c r="R45" s="204"/>
      <c r="S45" s="259"/>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c r="AU45" s="260"/>
      <c r="AV45" s="260"/>
      <c r="AW45" s="261"/>
      <c r="AX45" s="262"/>
      <c r="AY45" s="262"/>
      <c r="AZ45" s="262"/>
      <c r="BA45" s="262"/>
      <c r="BB45" s="262"/>
      <c r="BC45" s="263"/>
      <c r="BD45" s="264"/>
      <c r="BE45" s="262"/>
      <c r="BF45" s="262"/>
      <c r="BG45" s="262"/>
      <c r="BH45" s="262"/>
      <c r="BI45" s="262"/>
      <c r="BJ45" s="263"/>
      <c r="BK45" s="235"/>
    </row>
    <row r="46" spans="1:63" ht="15" customHeight="1" x14ac:dyDescent="0.25">
      <c r="A46" s="234"/>
      <c r="B46" s="216"/>
      <c r="C46" s="217"/>
      <c r="D46" s="217"/>
      <c r="E46" s="217"/>
      <c r="F46" s="217"/>
      <c r="G46" s="218"/>
      <c r="H46" s="216"/>
      <c r="I46" s="217"/>
      <c r="J46" s="217"/>
      <c r="K46" s="217"/>
      <c r="L46" s="217"/>
      <c r="M46" s="217"/>
      <c r="N46" s="218"/>
      <c r="O46" s="216"/>
      <c r="P46" s="217"/>
      <c r="Q46" s="217"/>
      <c r="R46" s="217"/>
      <c r="S46" s="265"/>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7"/>
      <c r="AX46" s="268"/>
      <c r="AY46" s="268"/>
      <c r="AZ46" s="268"/>
      <c r="BA46" s="268"/>
      <c r="BB46" s="268"/>
      <c r="BC46" s="269"/>
      <c r="BD46" s="270"/>
      <c r="BE46" s="268"/>
      <c r="BF46" s="268"/>
      <c r="BG46" s="268"/>
      <c r="BH46" s="268"/>
      <c r="BI46" s="268"/>
      <c r="BJ46" s="269"/>
      <c r="BK46" s="235"/>
    </row>
    <row r="47" spans="1:63" ht="15" customHeight="1" x14ac:dyDescent="0.25">
      <c r="A47" s="234"/>
      <c r="B47" s="206"/>
      <c r="C47" s="204"/>
      <c r="D47" s="204"/>
      <c r="E47" s="204"/>
      <c r="F47" s="204"/>
      <c r="G47" s="205"/>
      <c r="H47" s="206"/>
      <c r="I47" s="204"/>
      <c r="J47" s="204"/>
      <c r="K47" s="204"/>
      <c r="L47" s="204"/>
      <c r="M47" s="204"/>
      <c r="N47" s="205"/>
      <c r="O47" s="206"/>
      <c r="P47" s="204"/>
      <c r="Q47" s="204"/>
      <c r="R47" s="204"/>
      <c r="S47" s="259"/>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c r="AU47" s="260"/>
      <c r="AV47" s="260"/>
      <c r="AW47" s="261"/>
      <c r="AX47" s="262"/>
      <c r="AY47" s="262"/>
      <c r="AZ47" s="262"/>
      <c r="BA47" s="262"/>
      <c r="BB47" s="262"/>
      <c r="BC47" s="263"/>
      <c r="BD47" s="264"/>
      <c r="BE47" s="262"/>
      <c r="BF47" s="262"/>
      <c r="BG47" s="262"/>
      <c r="BH47" s="262"/>
      <c r="BI47" s="262"/>
      <c r="BJ47" s="263"/>
      <c r="BK47" s="235"/>
    </row>
    <row r="48" spans="1:63" ht="15" customHeight="1" x14ac:dyDescent="0.25">
      <c r="A48" s="234"/>
      <c r="B48" s="216"/>
      <c r="C48" s="217"/>
      <c r="D48" s="217"/>
      <c r="E48" s="217"/>
      <c r="F48" s="217"/>
      <c r="G48" s="218"/>
      <c r="H48" s="216"/>
      <c r="I48" s="217"/>
      <c r="J48" s="217"/>
      <c r="K48" s="217"/>
      <c r="L48" s="217"/>
      <c r="M48" s="217"/>
      <c r="N48" s="218"/>
      <c r="O48" s="216"/>
      <c r="P48" s="217"/>
      <c r="Q48" s="217"/>
      <c r="R48" s="217"/>
      <c r="S48" s="265"/>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7"/>
      <c r="AX48" s="268"/>
      <c r="AY48" s="268"/>
      <c r="AZ48" s="268"/>
      <c r="BA48" s="268"/>
      <c r="BB48" s="268"/>
      <c r="BC48" s="269"/>
      <c r="BD48" s="270"/>
      <c r="BE48" s="268"/>
      <c r="BF48" s="268"/>
      <c r="BG48" s="268"/>
      <c r="BH48" s="268"/>
      <c r="BI48" s="268"/>
      <c r="BJ48" s="269"/>
      <c r="BK48" s="235"/>
    </row>
    <row r="49" spans="1:63" ht="15" customHeight="1" x14ac:dyDescent="0.25">
      <c r="A49" s="234"/>
      <c r="B49" s="206"/>
      <c r="C49" s="204"/>
      <c r="D49" s="204"/>
      <c r="E49" s="204"/>
      <c r="F49" s="204"/>
      <c r="G49" s="205"/>
      <c r="H49" s="206"/>
      <c r="I49" s="204"/>
      <c r="J49" s="204"/>
      <c r="K49" s="204"/>
      <c r="L49" s="204"/>
      <c r="M49" s="204"/>
      <c r="N49" s="205"/>
      <c r="O49" s="206"/>
      <c r="P49" s="204"/>
      <c r="Q49" s="204"/>
      <c r="R49" s="204"/>
      <c r="S49" s="259"/>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0"/>
      <c r="AS49" s="260"/>
      <c r="AT49" s="260"/>
      <c r="AU49" s="260"/>
      <c r="AV49" s="260"/>
      <c r="AW49" s="261"/>
      <c r="AX49" s="262"/>
      <c r="AY49" s="262"/>
      <c r="AZ49" s="262"/>
      <c r="BA49" s="262"/>
      <c r="BB49" s="262"/>
      <c r="BC49" s="263"/>
      <c r="BD49" s="264"/>
      <c r="BE49" s="262"/>
      <c r="BF49" s="262"/>
      <c r="BG49" s="262"/>
      <c r="BH49" s="262"/>
      <c r="BI49" s="262"/>
      <c r="BJ49" s="263"/>
      <c r="BK49" s="235"/>
    </row>
    <row r="50" spans="1:63" ht="15" customHeight="1" x14ac:dyDescent="0.25">
      <c r="A50" s="234"/>
      <c r="B50" s="216"/>
      <c r="C50" s="217"/>
      <c r="D50" s="217"/>
      <c r="E50" s="217"/>
      <c r="F50" s="217"/>
      <c r="G50" s="218"/>
      <c r="H50" s="216"/>
      <c r="I50" s="217"/>
      <c r="J50" s="217"/>
      <c r="K50" s="217"/>
      <c r="L50" s="217"/>
      <c r="M50" s="217"/>
      <c r="N50" s="218"/>
      <c r="O50" s="216"/>
      <c r="P50" s="217"/>
      <c r="Q50" s="217"/>
      <c r="R50" s="217"/>
      <c r="S50" s="265"/>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7"/>
      <c r="AX50" s="268"/>
      <c r="AY50" s="268"/>
      <c r="AZ50" s="268"/>
      <c r="BA50" s="268"/>
      <c r="BB50" s="268"/>
      <c r="BC50" s="269"/>
      <c r="BD50" s="270"/>
      <c r="BE50" s="268"/>
      <c r="BF50" s="268"/>
      <c r="BG50" s="268"/>
      <c r="BH50" s="268"/>
      <c r="BI50" s="268"/>
      <c r="BJ50" s="269"/>
      <c r="BK50" s="235"/>
    </row>
    <row r="51" spans="1:63" ht="15" customHeight="1" x14ac:dyDescent="0.25">
      <c r="A51" s="234"/>
      <c r="B51" s="206"/>
      <c r="C51" s="204"/>
      <c r="D51" s="204"/>
      <c r="E51" s="204"/>
      <c r="F51" s="204"/>
      <c r="G51" s="205"/>
      <c r="H51" s="206"/>
      <c r="I51" s="204"/>
      <c r="J51" s="204"/>
      <c r="K51" s="204"/>
      <c r="L51" s="204"/>
      <c r="M51" s="204"/>
      <c r="N51" s="205"/>
      <c r="O51" s="206"/>
      <c r="P51" s="204"/>
      <c r="Q51" s="204"/>
      <c r="R51" s="204"/>
      <c r="S51" s="259"/>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c r="AU51" s="260"/>
      <c r="AV51" s="260"/>
      <c r="AW51" s="261"/>
      <c r="AX51" s="262"/>
      <c r="AY51" s="262"/>
      <c r="AZ51" s="262"/>
      <c r="BA51" s="262"/>
      <c r="BB51" s="262"/>
      <c r="BC51" s="263"/>
      <c r="BD51" s="264"/>
      <c r="BE51" s="262"/>
      <c r="BF51" s="262"/>
      <c r="BG51" s="262"/>
      <c r="BH51" s="262"/>
      <c r="BI51" s="262"/>
      <c r="BJ51" s="263"/>
      <c r="BK51" s="235"/>
    </row>
    <row r="52" spans="1:63" ht="15" customHeight="1" x14ac:dyDescent="0.25">
      <c r="A52" s="234"/>
      <c r="B52" s="216"/>
      <c r="C52" s="217"/>
      <c r="D52" s="217"/>
      <c r="E52" s="217"/>
      <c r="F52" s="217"/>
      <c r="G52" s="218"/>
      <c r="H52" s="216"/>
      <c r="I52" s="217"/>
      <c r="J52" s="217"/>
      <c r="K52" s="217"/>
      <c r="L52" s="217"/>
      <c r="M52" s="217"/>
      <c r="N52" s="218"/>
      <c r="O52" s="216"/>
      <c r="P52" s="217"/>
      <c r="Q52" s="217"/>
      <c r="R52" s="217"/>
      <c r="S52" s="265"/>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7"/>
      <c r="AX52" s="268"/>
      <c r="AY52" s="268"/>
      <c r="AZ52" s="268"/>
      <c r="BA52" s="268"/>
      <c r="BB52" s="268"/>
      <c r="BC52" s="269"/>
      <c r="BD52" s="270"/>
      <c r="BE52" s="268"/>
      <c r="BF52" s="268"/>
      <c r="BG52" s="268"/>
      <c r="BH52" s="268"/>
      <c r="BI52" s="268"/>
      <c r="BJ52" s="269"/>
      <c r="BK52" s="235"/>
    </row>
    <row r="53" spans="1:63" ht="15" customHeight="1" x14ac:dyDescent="0.25">
      <c r="A53" s="234"/>
      <c r="B53" s="206"/>
      <c r="C53" s="204"/>
      <c r="D53" s="204"/>
      <c r="E53" s="204"/>
      <c r="F53" s="204"/>
      <c r="G53" s="205"/>
      <c r="H53" s="206"/>
      <c r="I53" s="204"/>
      <c r="J53" s="204"/>
      <c r="K53" s="204"/>
      <c r="L53" s="204"/>
      <c r="M53" s="204"/>
      <c r="N53" s="205"/>
      <c r="O53" s="206"/>
      <c r="P53" s="204"/>
      <c r="Q53" s="204"/>
      <c r="R53" s="204"/>
      <c r="S53" s="259"/>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1"/>
      <c r="AX53" s="262"/>
      <c r="AY53" s="262"/>
      <c r="AZ53" s="262"/>
      <c r="BA53" s="262"/>
      <c r="BB53" s="262"/>
      <c r="BC53" s="263"/>
      <c r="BD53" s="264"/>
      <c r="BE53" s="262"/>
      <c r="BF53" s="262"/>
      <c r="BG53" s="262"/>
      <c r="BH53" s="262"/>
      <c r="BI53" s="262"/>
      <c r="BJ53" s="263"/>
      <c r="BK53" s="235"/>
    </row>
    <row r="54" spans="1:63" ht="15" customHeight="1" x14ac:dyDescent="0.25">
      <c r="A54" s="234"/>
      <c r="B54" s="216"/>
      <c r="C54" s="217"/>
      <c r="D54" s="217"/>
      <c r="E54" s="217"/>
      <c r="F54" s="217"/>
      <c r="G54" s="218"/>
      <c r="H54" s="216"/>
      <c r="I54" s="217"/>
      <c r="J54" s="217"/>
      <c r="K54" s="217"/>
      <c r="L54" s="217"/>
      <c r="M54" s="217"/>
      <c r="N54" s="218"/>
      <c r="O54" s="216"/>
      <c r="P54" s="217"/>
      <c r="Q54" s="217"/>
      <c r="R54" s="217"/>
      <c r="S54" s="265"/>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7"/>
      <c r="AX54" s="268"/>
      <c r="AY54" s="268"/>
      <c r="AZ54" s="268"/>
      <c r="BA54" s="268"/>
      <c r="BB54" s="268"/>
      <c r="BC54" s="269"/>
      <c r="BD54" s="270"/>
      <c r="BE54" s="268"/>
      <c r="BF54" s="268"/>
      <c r="BG54" s="268"/>
      <c r="BH54" s="268"/>
      <c r="BI54" s="268"/>
      <c r="BJ54" s="269"/>
      <c r="BK54" s="235"/>
    </row>
    <row r="55" spans="1:63" ht="15" customHeight="1" x14ac:dyDescent="0.25">
      <c r="A55" s="231"/>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232"/>
      <c r="AX55" s="232"/>
      <c r="AY55" s="232"/>
      <c r="AZ55" s="232"/>
      <c r="BA55" s="232"/>
      <c r="BB55" s="232"/>
      <c r="BC55" s="232"/>
      <c r="BD55" s="232"/>
      <c r="BE55" s="232"/>
      <c r="BF55" s="232"/>
      <c r="BG55" s="232"/>
      <c r="BH55" s="232"/>
      <c r="BI55" s="232"/>
      <c r="BJ55" s="232"/>
      <c r="BK55" s="23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71" t="s">
        <v>208</v>
      </c>
      <c r="B1" s="272"/>
      <c r="C1" s="272"/>
      <c r="D1" s="272"/>
      <c r="E1" s="272"/>
      <c r="F1" s="272"/>
      <c r="G1" s="272"/>
      <c r="H1" s="272"/>
      <c r="I1" s="272"/>
      <c r="J1" s="273"/>
      <c r="K1" s="271" t="s">
        <v>209</v>
      </c>
      <c r="L1" s="272"/>
      <c r="M1" s="272"/>
      <c r="N1" s="272"/>
      <c r="O1" s="272"/>
      <c r="P1" s="272"/>
      <c r="Q1" s="272"/>
      <c r="R1" s="272"/>
      <c r="S1" s="272"/>
      <c r="T1" s="272"/>
      <c r="U1" s="272"/>
      <c r="V1" s="273"/>
      <c r="W1" s="274" t="str">
        <f>IF(表紙!W1="","",表紙!W1)</f>
        <v>詳細設計書</v>
      </c>
      <c r="X1" s="275"/>
      <c r="Y1" s="275"/>
      <c r="Z1" s="275"/>
      <c r="AA1" s="275"/>
      <c r="AB1" s="275"/>
      <c r="AC1" s="275"/>
      <c r="AD1" s="275"/>
      <c r="AE1" s="275"/>
      <c r="AF1" s="275"/>
      <c r="AG1" s="275"/>
      <c r="AH1" s="275"/>
      <c r="AI1" s="275"/>
      <c r="AJ1" s="275"/>
      <c r="AK1" s="275"/>
      <c r="AL1" s="275"/>
      <c r="AM1" s="275"/>
      <c r="AN1" s="275"/>
      <c r="AO1" s="276"/>
      <c r="AP1" s="197" t="s">
        <v>211</v>
      </c>
      <c r="AQ1" s="198"/>
      <c r="AR1" s="198"/>
      <c r="AS1" s="199"/>
      <c r="AT1" s="197" t="s">
        <v>212</v>
      </c>
      <c r="AU1" s="198"/>
      <c r="AV1" s="198"/>
      <c r="AW1" s="198"/>
      <c r="AX1" s="199"/>
      <c r="AY1" s="197" t="s">
        <v>213</v>
      </c>
      <c r="AZ1" s="198"/>
      <c r="BA1" s="198"/>
      <c r="BB1" s="199"/>
      <c r="BC1" s="197" t="s">
        <v>214</v>
      </c>
      <c r="BD1" s="198"/>
      <c r="BE1" s="198"/>
      <c r="BF1" s="198"/>
      <c r="BG1" s="199"/>
      <c r="BH1" s="197" t="s">
        <v>215</v>
      </c>
      <c r="BI1" s="198"/>
      <c r="BJ1" s="198"/>
      <c r="BK1" s="199"/>
    </row>
    <row r="2" spans="1:63" ht="15" customHeight="1" x14ac:dyDescent="0.25">
      <c r="A2" s="102" t="str">
        <f>IF(表紙!A2="","",表紙!A2)</f>
        <v>POSサーバー</v>
      </c>
      <c r="B2" s="103"/>
      <c r="C2" s="103"/>
      <c r="D2" s="103"/>
      <c r="E2" s="103"/>
      <c r="F2" s="103"/>
      <c r="G2" s="103"/>
      <c r="H2" s="103"/>
      <c r="I2" s="103"/>
      <c r="J2" s="104"/>
      <c r="K2" s="102" t="str">
        <f>IF(表紙!K2="","",表紙!K2)</f>
        <v>POSサーバー</v>
      </c>
      <c r="L2" s="103"/>
      <c r="M2" s="103"/>
      <c r="N2" s="103"/>
      <c r="O2" s="103"/>
      <c r="P2" s="103"/>
      <c r="Q2" s="103"/>
      <c r="R2" s="103"/>
      <c r="S2" s="103"/>
      <c r="T2" s="103"/>
      <c r="U2" s="103"/>
      <c r="V2" s="104"/>
      <c r="W2" s="277"/>
      <c r="X2" s="278"/>
      <c r="Y2" s="278"/>
      <c r="Z2" s="278"/>
      <c r="AA2" s="278"/>
      <c r="AB2" s="278"/>
      <c r="AC2" s="278"/>
      <c r="AD2" s="278"/>
      <c r="AE2" s="278"/>
      <c r="AF2" s="278"/>
      <c r="AG2" s="278"/>
      <c r="AH2" s="278"/>
      <c r="AI2" s="278"/>
      <c r="AJ2" s="278"/>
      <c r="AK2" s="278"/>
      <c r="AL2" s="278"/>
      <c r="AM2" s="278"/>
      <c r="AN2" s="278"/>
      <c r="AO2" s="279"/>
      <c r="AP2" s="206" t="str">
        <f>IF(表紙!AP2="","",表紙!AP2)</f>
        <v>DuNT</v>
      </c>
      <c r="AQ2" s="204"/>
      <c r="AR2" s="204"/>
      <c r="AS2" s="205"/>
      <c r="AT2" s="210">
        <f>IF(表紙!AT2="","",表紙!AT2)</f>
        <v>45469</v>
      </c>
      <c r="AU2" s="211"/>
      <c r="AV2" s="211"/>
      <c r="AW2" s="211"/>
      <c r="AX2" s="212"/>
      <c r="AY2" s="206" t="str">
        <f>IF(表紙!AY2="","",表紙!AY2)</f>
        <v>DuNT</v>
      </c>
      <c r="AZ2" s="204"/>
      <c r="BA2" s="204"/>
      <c r="BB2" s="205"/>
      <c r="BC2" s="210">
        <f>IF(表紙!BC2="","",表紙!BC2)</f>
        <v>45551</v>
      </c>
      <c r="BD2" s="211"/>
      <c r="BE2" s="211"/>
      <c r="BF2" s="211"/>
      <c r="BG2" s="212"/>
      <c r="BH2" s="206">
        <f>IF(表紙!BH2="","",表紙!BH2)</f>
        <v>0.5</v>
      </c>
      <c r="BI2" s="204"/>
      <c r="BJ2" s="204"/>
      <c r="BK2" s="205"/>
    </row>
    <row r="3" spans="1:63" ht="15" customHeight="1" x14ac:dyDescent="0.25">
      <c r="A3" s="105"/>
      <c r="B3" s="106"/>
      <c r="C3" s="106"/>
      <c r="D3" s="106"/>
      <c r="E3" s="106"/>
      <c r="F3" s="106"/>
      <c r="G3" s="106"/>
      <c r="H3" s="106"/>
      <c r="I3" s="106"/>
      <c r="J3" s="107"/>
      <c r="K3" s="105"/>
      <c r="L3" s="106"/>
      <c r="M3" s="106"/>
      <c r="N3" s="106"/>
      <c r="O3" s="106"/>
      <c r="P3" s="106"/>
      <c r="Q3" s="106"/>
      <c r="R3" s="106"/>
      <c r="S3" s="106"/>
      <c r="T3" s="106"/>
      <c r="U3" s="106"/>
      <c r="V3" s="107"/>
      <c r="W3" s="280"/>
      <c r="X3" s="281"/>
      <c r="Y3" s="281"/>
      <c r="Z3" s="281"/>
      <c r="AA3" s="281"/>
      <c r="AB3" s="281"/>
      <c r="AC3" s="281"/>
      <c r="AD3" s="281"/>
      <c r="AE3" s="281"/>
      <c r="AF3" s="281"/>
      <c r="AG3" s="281"/>
      <c r="AH3" s="281"/>
      <c r="AI3" s="281"/>
      <c r="AJ3" s="281"/>
      <c r="AK3" s="281"/>
      <c r="AL3" s="281"/>
      <c r="AM3" s="281"/>
      <c r="AN3" s="281"/>
      <c r="AO3" s="282"/>
      <c r="AP3" s="216"/>
      <c r="AQ3" s="217"/>
      <c r="AR3" s="217"/>
      <c r="AS3" s="218"/>
      <c r="AT3" s="222"/>
      <c r="AU3" s="223"/>
      <c r="AV3" s="223"/>
      <c r="AW3" s="223"/>
      <c r="AX3" s="224"/>
      <c r="AY3" s="216"/>
      <c r="AZ3" s="217"/>
      <c r="BA3" s="217"/>
      <c r="BB3" s="218"/>
      <c r="BC3" s="222"/>
      <c r="BD3" s="223"/>
      <c r="BE3" s="223"/>
      <c r="BF3" s="223"/>
      <c r="BG3" s="224"/>
      <c r="BH3" s="216"/>
      <c r="BI3" s="217"/>
      <c r="BJ3" s="217"/>
      <c r="BK3" s="218"/>
    </row>
    <row r="4" spans="1:63" ht="24.95" customHeight="1" x14ac:dyDescent="0.25">
      <c r="A4" s="271" t="s">
        <v>217</v>
      </c>
      <c r="B4" s="272"/>
      <c r="C4" s="272"/>
      <c r="D4" s="272"/>
      <c r="E4" s="272"/>
      <c r="F4" s="272"/>
      <c r="G4" s="273"/>
      <c r="H4" s="98" t="str">
        <f>IF(表紙!H4="","",表紙!H4)</f>
        <v>AP1502</v>
      </c>
      <c r="I4" s="99"/>
      <c r="J4" s="99"/>
      <c r="K4" s="99"/>
      <c r="L4" s="99"/>
      <c r="M4" s="99"/>
      <c r="N4" s="99"/>
      <c r="O4" s="99"/>
      <c r="P4" s="99"/>
      <c r="Q4" s="99"/>
      <c r="R4" s="99"/>
      <c r="S4" s="99"/>
      <c r="T4" s="100"/>
      <c r="U4" s="271" t="s">
        <v>218</v>
      </c>
      <c r="V4" s="272"/>
      <c r="W4" s="272"/>
      <c r="X4" s="272"/>
      <c r="Y4" s="273"/>
      <c r="Z4" s="98" t="str">
        <f>IF(表紙!Z4="","",表紙!Z4)</f>
        <v>API設計書</v>
      </c>
      <c r="AA4" s="99"/>
      <c r="AB4" s="99"/>
      <c r="AC4" s="99"/>
      <c r="AD4" s="99"/>
      <c r="AE4" s="99"/>
      <c r="AF4" s="99"/>
      <c r="AG4" s="99"/>
      <c r="AH4" s="99"/>
      <c r="AI4" s="99"/>
      <c r="AJ4" s="99"/>
      <c r="AK4" s="99"/>
      <c r="AL4" s="99"/>
      <c r="AM4" s="99"/>
      <c r="AN4" s="99"/>
      <c r="AO4" s="100"/>
      <c r="AP4" s="101" t="str">
        <f ca="1">MID(CELL("filename",A1),FIND("]",CELL("filename",A1))+1,255)</f>
        <v>処理フロー凡例</v>
      </c>
      <c r="AQ4" s="99"/>
      <c r="AR4" s="99"/>
      <c r="AS4" s="99"/>
      <c r="AT4" s="99"/>
      <c r="AU4" s="99"/>
      <c r="AV4" s="99"/>
      <c r="AW4" s="99"/>
      <c r="AX4" s="99"/>
      <c r="AY4" s="99"/>
      <c r="AZ4" s="99"/>
      <c r="BA4" s="99"/>
      <c r="BB4" s="99"/>
      <c r="BC4" s="99"/>
      <c r="BD4" s="99"/>
      <c r="BE4" s="99"/>
      <c r="BF4" s="99"/>
      <c r="BG4" s="99"/>
      <c r="BH4" s="99"/>
      <c r="BI4" s="99"/>
      <c r="BJ4" s="99"/>
      <c r="BK4" s="100"/>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03" customFormat="1" ht="15" customHeight="1" x14ac:dyDescent="0.25">
      <c r="A7" s="283"/>
      <c r="B7" s="284" t="s">
        <v>232</v>
      </c>
      <c r="C7" s="285"/>
      <c r="D7" s="285"/>
      <c r="E7" s="285"/>
      <c r="F7" s="285"/>
      <c r="G7" s="285"/>
      <c r="H7" s="285"/>
      <c r="I7" s="285"/>
      <c r="J7" s="285"/>
      <c r="K7" s="285"/>
      <c r="L7" s="285"/>
      <c r="M7" s="285"/>
      <c r="N7" s="285"/>
      <c r="O7" s="285"/>
      <c r="P7" s="285"/>
      <c r="Q7" s="285"/>
      <c r="R7" s="285"/>
      <c r="S7" s="285"/>
      <c r="T7" s="285"/>
      <c r="U7" s="285"/>
      <c r="V7" s="285"/>
      <c r="W7" s="285"/>
      <c r="X7" s="285"/>
      <c r="Y7" s="285"/>
      <c r="Z7" s="285"/>
      <c r="AA7" s="285"/>
      <c r="AB7" s="285"/>
      <c r="AC7" s="285"/>
      <c r="AD7" s="285"/>
      <c r="AE7" s="286"/>
      <c r="AF7" s="287"/>
      <c r="AG7" s="285"/>
      <c r="AH7" s="285"/>
      <c r="AI7" s="285"/>
      <c r="AJ7" s="285"/>
      <c r="AK7" s="285"/>
      <c r="AL7" s="285"/>
      <c r="AM7" s="285"/>
      <c r="AN7" s="285"/>
      <c r="AO7" s="285"/>
      <c r="AP7" s="285"/>
      <c r="AQ7" s="285"/>
      <c r="AR7" s="285"/>
      <c r="AS7" s="285"/>
      <c r="AT7" s="285"/>
      <c r="AU7" s="285"/>
      <c r="AV7" s="285"/>
      <c r="AW7" s="285"/>
      <c r="AX7" s="285"/>
      <c r="AY7" s="285"/>
      <c r="AZ7" s="285"/>
      <c r="BA7" s="285"/>
      <c r="BB7" s="285"/>
      <c r="BC7" s="285"/>
      <c r="BD7" s="285"/>
      <c r="BE7" s="285"/>
      <c r="BF7" s="285"/>
      <c r="BG7" s="285"/>
      <c r="BH7" s="285"/>
      <c r="BI7" s="286"/>
      <c r="BJ7" s="285"/>
      <c r="BK7" s="288"/>
    </row>
    <row r="8" spans="1:63" s="289" customFormat="1" ht="15" customHeight="1" x14ac:dyDescent="0.25">
      <c r="BK8" s="288"/>
    </row>
    <row r="9" spans="1:63" s="289" customFormat="1" ht="15" customHeight="1" x14ac:dyDescent="0.25">
      <c r="BK9" s="288"/>
    </row>
    <row r="10" spans="1:63" s="289" customFormat="1" ht="15" customHeight="1" x14ac:dyDescent="0.25">
      <c r="BK10" s="288"/>
    </row>
    <row r="11" spans="1:63" s="289" customFormat="1" ht="15" customHeight="1" x14ac:dyDescent="0.25">
      <c r="BK11" s="288"/>
    </row>
    <row r="12" spans="1:63" s="289" customFormat="1" ht="15" customHeight="1" x14ac:dyDescent="0.25">
      <c r="BK12" s="288"/>
    </row>
    <row r="13" spans="1:63" s="289" customFormat="1" ht="15" customHeight="1" x14ac:dyDescent="0.25">
      <c r="BK13" s="288"/>
    </row>
    <row r="14" spans="1:63" s="289" customFormat="1" ht="15" customHeight="1" x14ac:dyDescent="0.25">
      <c r="BK14" s="288"/>
    </row>
    <row r="15" spans="1:63" s="289" customFormat="1" ht="15" customHeight="1" x14ac:dyDescent="0.25">
      <c r="BK15" s="288"/>
    </row>
    <row r="16" spans="1:63" s="289" customFormat="1" ht="15" customHeight="1" x14ac:dyDescent="0.25">
      <c r="BK16" s="288"/>
    </row>
    <row r="17" spans="63:63" s="289" customFormat="1" ht="15" customHeight="1" x14ac:dyDescent="0.25">
      <c r="BK17" s="288"/>
    </row>
    <row r="18" spans="63:63" s="289" customFormat="1" ht="15" customHeight="1" x14ac:dyDescent="0.25">
      <c r="BK18" s="288"/>
    </row>
    <row r="19" spans="63:63" s="289" customFormat="1" ht="15" customHeight="1" x14ac:dyDescent="0.25">
      <c r="BK19" s="288"/>
    </row>
    <row r="20" spans="63:63" s="289" customFormat="1" ht="15" customHeight="1" x14ac:dyDescent="0.25">
      <c r="BK20" s="288"/>
    </row>
    <row r="21" spans="63:63" s="289" customFormat="1" ht="15" customHeight="1" x14ac:dyDescent="0.25">
      <c r="BK21" s="288"/>
    </row>
    <row r="22" spans="63:63" s="289" customFormat="1" ht="15" customHeight="1" x14ac:dyDescent="0.25">
      <c r="BK22" s="288"/>
    </row>
    <row r="23" spans="63:63" s="289" customFormat="1" ht="15" customHeight="1" x14ac:dyDescent="0.25">
      <c r="BK23" s="288"/>
    </row>
    <row r="24" spans="63:63" s="289" customFormat="1" ht="15" customHeight="1" x14ac:dyDescent="0.25">
      <c r="BK24" s="288"/>
    </row>
    <row r="25" spans="63:63" s="289" customFormat="1" ht="15" customHeight="1" x14ac:dyDescent="0.25">
      <c r="BK25" s="288"/>
    </row>
    <row r="26" spans="63:63" s="289" customFormat="1" ht="15" customHeight="1" x14ac:dyDescent="0.25">
      <c r="BK26" s="288"/>
    </row>
    <row r="27" spans="63:63" s="289" customFormat="1" ht="15" customHeight="1" x14ac:dyDescent="0.25">
      <c r="BK27" s="288"/>
    </row>
    <row r="28" spans="63:63" s="289" customFormat="1" ht="15" customHeight="1" x14ac:dyDescent="0.25">
      <c r="BK28" s="288"/>
    </row>
    <row r="29" spans="63:63" s="289" customFormat="1" ht="15" customHeight="1" x14ac:dyDescent="0.25">
      <c r="BK29" s="288"/>
    </row>
    <row r="30" spans="63:63" s="289" customFormat="1" ht="15" customHeight="1" x14ac:dyDescent="0.25">
      <c r="BK30" s="288"/>
    </row>
    <row r="31" spans="63:63" s="289" customFormat="1" ht="15" customHeight="1" x14ac:dyDescent="0.25">
      <c r="BK31" s="288"/>
    </row>
    <row r="32" spans="63:63" s="289" customFormat="1" ht="15" customHeight="1" x14ac:dyDescent="0.25">
      <c r="BK32" s="288"/>
    </row>
    <row r="33" spans="63:63" s="289" customFormat="1" ht="15" customHeight="1" x14ac:dyDescent="0.25">
      <c r="BK33" s="288"/>
    </row>
    <row r="34" spans="63:63" s="289" customFormat="1" ht="15" customHeight="1" x14ac:dyDescent="0.25">
      <c r="BK34" s="288"/>
    </row>
    <row r="35" spans="63:63" s="289" customFormat="1" ht="15" customHeight="1" x14ac:dyDescent="0.25">
      <c r="BK35" s="288"/>
    </row>
    <row r="36" spans="63:63" s="289" customFormat="1" ht="15" customHeight="1" x14ac:dyDescent="0.25">
      <c r="BK36" s="288"/>
    </row>
    <row r="37" spans="63:63" s="289" customFormat="1" ht="15" customHeight="1" x14ac:dyDescent="0.25">
      <c r="BK37" s="288"/>
    </row>
    <row r="38" spans="63:63" s="289" customFormat="1" ht="15" customHeight="1" x14ac:dyDescent="0.25">
      <c r="BK38" s="288"/>
    </row>
    <row r="39" spans="63:63" s="289" customFormat="1" ht="15" customHeight="1" x14ac:dyDescent="0.25">
      <c r="BK39" s="288"/>
    </row>
    <row r="40" spans="63:63" s="289" customFormat="1" ht="15" customHeight="1" x14ac:dyDescent="0.25">
      <c r="BK40" s="288"/>
    </row>
    <row r="41" spans="63:63" s="289" customFormat="1" ht="15" customHeight="1" x14ac:dyDescent="0.25">
      <c r="BK41" s="288"/>
    </row>
    <row r="42" spans="63:63" s="289" customFormat="1" ht="15" customHeight="1" x14ac:dyDescent="0.25">
      <c r="BK42" s="288"/>
    </row>
    <row r="43" spans="63:63" s="289" customFormat="1" ht="15" customHeight="1" x14ac:dyDescent="0.25">
      <c r="BK43" s="288"/>
    </row>
    <row r="44" spans="63:63" s="289" customFormat="1" ht="15" customHeight="1" x14ac:dyDescent="0.25">
      <c r="BK44" s="288"/>
    </row>
    <row r="45" spans="63:63" s="289" customFormat="1" ht="15" customHeight="1" x14ac:dyDescent="0.25">
      <c r="BK45" s="288"/>
    </row>
    <row r="46" spans="63:63" s="289" customFormat="1" ht="15" customHeight="1" x14ac:dyDescent="0.25">
      <c r="BK46" s="288"/>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125"/>
  <sheetViews>
    <sheetView zoomScale="85" zoomScaleNormal="85" zoomScaleSheetLayoutView="14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95" t="s">
        <v>21</v>
      </c>
      <c r="B1" s="96"/>
      <c r="C1" s="96"/>
      <c r="D1" s="96"/>
      <c r="E1" s="96"/>
      <c r="F1" s="96"/>
      <c r="G1" s="96"/>
      <c r="H1" s="96"/>
      <c r="I1" s="96"/>
      <c r="J1" s="97"/>
      <c r="K1" s="95" t="s">
        <v>22</v>
      </c>
      <c r="L1" s="96"/>
      <c r="M1" s="96"/>
      <c r="N1" s="96"/>
      <c r="O1" s="96"/>
      <c r="P1" s="96"/>
      <c r="Q1" s="96"/>
      <c r="R1" s="96"/>
      <c r="S1" s="96"/>
      <c r="T1" s="96"/>
      <c r="U1" s="96"/>
      <c r="V1" s="97"/>
      <c r="W1" s="108" t="str">
        <f>IF(表紙!W1="","",表紙!W1)</f>
        <v>詳細設計書</v>
      </c>
      <c r="X1" s="109"/>
      <c r="Y1" s="109"/>
      <c r="Z1" s="109"/>
      <c r="AA1" s="109"/>
      <c r="AB1" s="109"/>
      <c r="AC1" s="109"/>
      <c r="AD1" s="109"/>
      <c r="AE1" s="109"/>
      <c r="AF1" s="109"/>
      <c r="AG1" s="109"/>
      <c r="AH1" s="109"/>
      <c r="AI1" s="109"/>
      <c r="AJ1" s="109"/>
      <c r="AK1" s="109"/>
      <c r="AL1" s="109"/>
      <c r="AM1" s="109"/>
      <c r="AN1" s="109"/>
      <c r="AO1" s="110"/>
      <c r="AP1" s="10" t="s">
        <v>23</v>
      </c>
      <c r="AQ1" s="9"/>
      <c r="AR1" s="9"/>
      <c r="AS1" s="8"/>
      <c r="AT1" s="10" t="s">
        <v>24</v>
      </c>
      <c r="AU1" s="9"/>
      <c r="AV1" s="9"/>
      <c r="AW1" s="9"/>
      <c r="AX1" s="8"/>
      <c r="AY1" s="10" t="s">
        <v>25</v>
      </c>
      <c r="AZ1" s="9"/>
      <c r="BA1" s="9"/>
      <c r="BB1" s="8"/>
      <c r="BC1" s="10" t="s">
        <v>26</v>
      </c>
      <c r="BD1" s="9"/>
      <c r="BE1" s="9"/>
      <c r="BF1" s="9"/>
      <c r="BG1" s="8"/>
      <c r="BH1" s="10" t="s">
        <v>27</v>
      </c>
      <c r="BI1" s="9"/>
      <c r="BJ1" s="9"/>
      <c r="BK1" s="8"/>
    </row>
    <row r="2" spans="1:63" ht="15" customHeight="1" x14ac:dyDescent="0.25">
      <c r="A2" s="102" t="str">
        <f>IF(表紙!A2="","",表紙!A2)</f>
        <v>POSサーバー</v>
      </c>
      <c r="B2" s="103"/>
      <c r="C2" s="103"/>
      <c r="D2" s="103"/>
      <c r="E2" s="103"/>
      <c r="F2" s="103"/>
      <c r="G2" s="103"/>
      <c r="H2" s="103"/>
      <c r="I2" s="103"/>
      <c r="J2" s="104"/>
      <c r="K2" s="102" t="str">
        <f>IF(表紙!K2="","",表紙!K2)</f>
        <v>POSサーバー</v>
      </c>
      <c r="L2" s="103"/>
      <c r="M2" s="103"/>
      <c r="N2" s="103"/>
      <c r="O2" s="103"/>
      <c r="P2" s="103"/>
      <c r="Q2" s="103"/>
      <c r="R2" s="103"/>
      <c r="S2" s="103"/>
      <c r="T2" s="103"/>
      <c r="U2" s="103"/>
      <c r="V2" s="104"/>
      <c r="W2" s="111"/>
      <c r="X2" s="112"/>
      <c r="Y2" s="112"/>
      <c r="Z2" s="112"/>
      <c r="AA2" s="112"/>
      <c r="AB2" s="112"/>
      <c r="AC2" s="112"/>
      <c r="AD2" s="112"/>
      <c r="AE2" s="112"/>
      <c r="AF2" s="112"/>
      <c r="AG2" s="112"/>
      <c r="AH2" s="112"/>
      <c r="AI2" s="112"/>
      <c r="AJ2" s="112"/>
      <c r="AK2" s="112"/>
      <c r="AL2" s="112"/>
      <c r="AM2" s="112"/>
      <c r="AN2" s="112"/>
      <c r="AO2" s="113"/>
      <c r="AP2" s="7" t="str">
        <f>IF(表紙!AP2="","",表紙!AP2)</f>
        <v>DuNT</v>
      </c>
      <c r="AQ2" s="6"/>
      <c r="AR2" s="6"/>
      <c r="AS2" s="5"/>
      <c r="AT2" s="79">
        <f>IF(表紙!AT2="","",表紙!AT2)</f>
        <v>45469</v>
      </c>
      <c r="AU2" s="80"/>
      <c r="AV2" s="80"/>
      <c r="AW2" s="80"/>
      <c r="AX2" s="81"/>
      <c r="AY2" s="7" t="str">
        <f>IF(表紙!AY2="","",表紙!AY2)</f>
        <v>DuNT</v>
      </c>
      <c r="AZ2" s="6"/>
      <c r="BA2" s="6"/>
      <c r="BB2" s="5"/>
      <c r="BC2" s="79">
        <f>IF(表紙!BC2="","",表紙!BC2)</f>
        <v>45551</v>
      </c>
      <c r="BD2" s="80"/>
      <c r="BE2" s="80"/>
      <c r="BF2" s="80"/>
      <c r="BG2" s="81"/>
      <c r="BH2" s="7">
        <f>IF(表紙!BH2="","",表紙!BH2)</f>
        <v>0.5</v>
      </c>
      <c r="BI2" s="6"/>
      <c r="BJ2" s="6"/>
      <c r="BK2" s="5"/>
    </row>
    <row r="3" spans="1:63" ht="15" customHeight="1" x14ac:dyDescent="0.25">
      <c r="A3" s="105"/>
      <c r="B3" s="106"/>
      <c r="C3" s="106"/>
      <c r="D3" s="106"/>
      <c r="E3" s="106"/>
      <c r="F3" s="106"/>
      <c r="G3" s="106"/>
      <c r="H3" s="106"/>
      <c r="I3" s="106"/>
      <c r="J3" s="107"/>
      <c r="K3" s="105"/>
      <c r="L3" s="106"/>
      <c r="M3" s="106"/>
      <c r="N3" s="106"/>
      <c r="O3" s="106"/>
      <c r="P3" s="106"/>
      <c r="Q3" s="106"/>
      <c r="R3" s="106"/>
      <c r="S3" s="106"/>
      <c r="T3" s="106"/>
      <c r="U3" s="106"/>
      <c r="V3" s="107"/>
      <c r="W3" s="114"/>
      <c r="X3" s="115"/>
      <c r="Y3" s="115"/>
      <c r="Z3" s="115"/>
      <c r="AA3" s="115"/>
      <c r="AB3" s="115"/>
      <c r="AC3" s="115"/>
      <c r="AD3" s="115"/>
      <c r="AE3" s="115"/>
      <c r="AF3" s="115"/>
      <c r="AG3" s="115"/>
      <c r="AH3" s="115"/>
      <c r="AI3" s="115"/>
      <c r="AJ3" s="115"/>
      <c r="AK3" s="115"/>
      <c r="AL3" s="115"/>
      <c r="AM3" s="115"/>
      <c r="AN3" s="115"/>
      <c r="AO3" s="116"/>
      <c r="AP3" s="4"/>
      <c r="AQ3" s="3"/>
      <c r="AR3" s="3"/>
      <c r="AS3" s="2"/>
      <c r="AT3" s="82"/>
      <c r="AU3" s="83"/>
      <c r="AV3" s="83"/>
      <c r="AW3" s="83"/>
      <c r="AX3" s="84"/>
      <c r="AY3" s="4"/>
      <c r="AZ3" s="3"/>
      <c r="BA3" s="3"/>
      <c r="BB3" s="2"/>
      <c r="BC3" s="82"/>
      <c r="BD3" s="83"/>
      <c r="BE3" s="83"/>
      <c r="BF3" s="83"/>
      <c r="BG3" s="84"/>
      <c r="BH3" s="4"/>
      <c r="BI3" s="3"/>
      <c r="BJ3" s="3"/>
      <c r="BK3" s="2"/>
    </row>
    <row r="4" spans="1:63" ht="24.95" customHeight="1" x14ac:dyDescent="0.25">
      <c r="A4" s="95" t="s">
        <v>28</v>
      </c>
      <c r="B4" s="96"/>
      <c r="C4" s="96"/>
      <c r="D4" s="96"/>
      <c r="E4" s="96"/>
      <c r="F4" s="96"/>
      <c r="G4" s="97"/>
      <c r="H4" s="98" t="str">
        <f>IF(表紙!H4="","",表紙!H4)</f>
        <v>AP1502</v>
      </c>
      <c r="I4" s="99"/>
      <c r="J4" s="99"/>
      <c r="K4" s="99"/>
      <c r="L4" s="99"/>
      <c r="M4" s="99"/>
      <c r="N4" s="99"/>
      <c r="O4" s="99"/>
      <c r="P4" s="99"/>
      <c r="Q4" s="99"/>
      <c r="R4" s="99"/>
      <c r="S4" s="99"/>
      <c r="T4" s="100"/>
      <c r="U4" s="95" t="s">
        <v>29</v>
      </c>
      <c r="V4" s="96"/>
      <c r="W4" s="96"/>
      <c r="X4" s="96"/>
      <c r="Y4" s="97"/>
      <c r="Z4" s="98" t="str">
        <f>IF(表紙!Z4="","",表紙!Z4)</f>
        <v>API設計書</v>
      </c>
      <c r="AA4" s="99"/>
      <c r="AB4" s="99"/>
      <c r="AC4" s="99"/>
      <c r="AD4" s="99"/>
      <c r="AE4" s="99"/>
      <c r="AF4" s="99"/>
      <c r="AG4" s="99"/>
      <c r="AH4" s="99"/>
      <c r="AI4" s="99"/>
      <c r="AJ4" s="99"/>
      <c r="AK4" s="99"/>
      <c r="AL4" s="99"/>
      <c r="AM4" s="99"/>
      <c r="AN4" s="99"/>
      <c r="AO4" s="100"/>
      <c r="AP4" s="101" t="str">
        <f ca="1">MID(CELL("filename",A1),FIND("]",CELL("filename",A1))+1,255)</f>
        <v>AP1502</v>
      </c>
      <c r="AQ4" s="99"/>
      <c r="AR4" s="99"/>
      <c r="AS4" s="99"/>
      <c r="AT4" s="99"/>
      <c r="AU4" s="99"/>
      <c r="AV4" s="99"/>
      <c r="AW4" s="99"/>
      <c r="AX4" s="99"/>
      <c r="AY4" s="99"/>
      <c r="AZ4" s="99"/>
      <c r="BA4" s="99"/>
      <c r="BB4" s="99"/>
      <c r="BC4" s="99"/>
      <c r="BD4" s="99"/>
      <c r="BE4" s="99"/>
      <c r="BF4" s="99"/>
      <c r="BG4" s="99"/>
      <c r="BH4" s="99"/>
      <c r="BI4" s="99"/>
      <c r="BJ4" s="99"/>
      <c r="BK4" s="100"/>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1" customFormat="1" ht="15" customHeight="1" x14ac:dyDescent="0.25">
      <c r="A7" s="25"/>
      <c r="B7" s="26" t="s">
        <v>30</v>
      </c>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8"/>
      <c r="AQ7" s="28"/>
      <c r="AR7" s="28"/>
      <c r="AS7" s="28"/>
      <c r="AT7" s="27"/>
      <c r="AU7" s="27"/>
      <c r="AV7" s="27"/>
      <c r="AW7" s="27"/>
      <c r="AX7" s="27"/>
      <c r="AY7" s="27"/>
      <c r="AZ7" s="27"/>
      <c r="BA7" s="27"/>
      <c r="BB7" s="27"/>
      <c r="BC7" s="27"/>
      <c r="BD7" s="27"/>
      <c r="BE7" s="27"/>
      <c r="BF7" s="27"/>
      <c r="BG7" s="27"/>
      <c r="BH7" s="29"/>
      <c r="BI7" s="29"/>
      <c r="BJ7" s="29"/>
      <c r="BK7" s="30"/>
    </row>
    <row r="8" spans="1:63" s="31" customFormat="1" ht="15" customHeight="1" x14ac:dyDescent="0.25">
      <c r="A8" s="25"/>
      <c r="B8" s="32"/>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4"/>
      <c r="AQ8" s="34"/>
      <c r="AR8" s="34"/>
      <c r="AS8" s="34"/>
      <c r="AT8" s="33"/>
      <c r="AU8" s="33"/>
      <c r="AV8" s="33"/>
      <c r="AW8" s="33"/>
      <c r="AX8" s="33"/>
      <c r="AY8" s="33"/>
      <c r="AZ8" s="33"/>
      <c r="BA8" s="33"/>
      <c r="BB8" s="33"/>
      <c r="BC8" s="33"/>
      <c r="BD8" s="33"/>
      <c r="BE8" s="33"/>
      <c r="BF8" s="33"/>
      <c r="BG8" s="33"/>
      <c r="BH8" s="35"/>
      <c r="BI8" s="35"/>
      <c r="BJ8" s="35"/>
      <c r="BK8" s="30"/>
    </row>
    <row r="9" spans="1:63" s="31" customFormat="1" ht="15" customHeight="1" x14ac:dyDescent="0.25">
      <c r="A9" s="25"/>
      <c r="B9" s="32"/>
      <c r="C9" s="33" t="s">
        <v>42</v>
      </c>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4"/>
      <c r="AQ9" s="34"/>
      <c r="AR9" s="34"/>
      <c r="AS9" s="34"/>
      <c r="AT9" s="33"/>
      <c r="AU9" s="33"/>
      <c r="AV9" s="33"/>
      <c r="AW9" s="33"/>
      <c r="AX9" s="33"/>
      <c r="AY9" s="33"/>
      <c r="AZ9" s="33"/>
      <c r="BA9" s="33"/>
      <c r="BB9" s="33"/>
      <c r="BC9" s="33"/>
      <c r="BD9" s="33"/>
      <c r="BE9" s="33"/>
      <c r="BF9" s="33"/>
      <c r="BG9" s="33"/>
      <c r="BH9" s="35"/>
      <c r="BI9" s="35"/>
      <c r="BJ9" s="35"/>
      <c r="BK9" s="30"/>
    </row>
    <row r="10" spans="1:63" s="31" customFormat="1" ht="15" customHeight="1" x14ac:dyDescent="0.25">
      <c r="A10" s="25"/>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4"/>
      <c r="AQ10" s="34"/>
      <c r="AR10" s="34"/>
      <c r="AS10" s="34"/>
      <c r="AT10" s="33"/>
      <c r="AU10" s="33"/>
      <c r="AV10" s="33"/>
      <c r="AW10" s="33"/>
      <c r="AX10" s="33"/>
      <c r="AY10" s="33"/>
      <c r="AZ10" s="33"/>
      <c r="BA10" s="33"/>
      <c r="BB10" s="33"/>
      <c r="BC10" s="33"/>
      <c r="BD10" s="33"/>
      <c r="BE10" s="33"/>
      <c r="BF10" s="33"/>
      <c r="BG10" s="33"/>
      <c r="BH10" s="35"/>
      <c r="BI10" s="35"/>
      <c r="BJ10" s="35"/>
      <c r="BK10" s="30"/>
    </row>
    <row r="11" spans="1:63" s="31" customFormat="1" ht="15" customHeight="1" x14ac:dyDescent="0.25">
      <c r="A11" s="25"/>
      <c r="B11" s="36" t="s">
        <v>14</v>
      </c>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9"/>
      <c r="BI11" s="29"/>
      <c r="BJ11" s="29"/>
      <c r="BK11" s="30"/>
    </row>
    <row r="12" spans="1:63" s="31" customFormat="1" ht="15" customHeight="1" x14ac:dyDescent="0.25">
      <c r="A12" s="25"/>
      <c r="B12" s="33"/>
      <c r="C12" s="37"/>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5"/>
      <c r="BI12" s="35"/>
      <c r="BJ12" s="35"/>
      <c r="BK12" s="30"/>
    </row>
    <row r="13" spans="1:63" s="31" customFormat="1" ht="15" customHeight="1" x14ac:dyDescent="0.25">
      <c r="A13" s="25"/>
      <c r="B13" s="33"/>
      <c r="C13" s="37" t="s">
        <v>15</v>
      </c>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5"/>
      <c r="BI13" s="35"/>
      <c r="BJ13" s="35"/>
      <c r="BK13" s="30"/>
    </row>
    <row r="14" spans="1:63" s="31" customFormat="1" ht="15" customHeight="1" x14ac:dyDescent="0.25">
      <c r="A14" s="25"/>
      <c r="B14" s="33"/>
      <c r="C14" s="32"/>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5"/>
      <c r="BI14" s="35"/>
      <c r="BJ14" s="35"/>
      <c r="BK14" s="30"/>
    </row>
    <row r="15" spans="1:63" s="31" customFormat="1" ht="15" customHeight="1" x14ac:dyDescent="0.25">
      <c r="A15" s="25"/>
      <c r="B15" s="33"/>
      <c r="C15" s="149" t="s">
        <v>176</v>
      </c>
      <c r="D15" s="150"/>
      <c r="E15" s="149" t="s">
        <v>31</v>
      </c>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0"/>
      <c r="AG15" s="149" t="s">
        <v>32</v>
      </c>
      <c r="AH15" s="151"/>
      <c r="AI15" s="151"/>
      <c r="AJ15" s="151"/>
      <c r="AK15" s="151"/>
      <c r="AL15" s="151"/>
      <c r="AM15" s="151"/>
      <c r="AN15" s="151"/>
      <c r="AO15" s="151"/>
      <c r="AP15" s="150"/>
      <c r="AQ15" s="149" t="s">
        <v>207</v>
      </c>
      <c r="AR15" s="151"/>
      <c r="AS15" s="151"/>
      <c r="AT15" s="151"/>
      <c r="AU15" s="151"/>
      <c r="AV15" s="151"/>
      <c r="AW15" s="151"/>
      <c r="AX15" s="151"/>
      <c r="AY15" s="151"/>
      <c r="AZ15" s="151"/>
      <c r="BA15" s="151"/>
      <c r="BB15" s="151"/>
      <c r="BC15" s="151"/>
      <c r="BD15" s="151"/>
      <c r="BE15" s="151"/>
      <c r="BF15" s="151"/>
      <c r="BG15" s="151"/>
      <c r="BH15" s="151"/>
      <c r="BI15" s="151"/>
      <c r="BJ15" s="150"/>
      <c r="BK15" s="30"/>
    </row>
    <row r="16" spans="1:63" s="31" customFormat="1" ht="15" customHeight="1" x14ac:dyDescent="0.25">
      <c r="A16" s="25"/>
      <c r="B16" s="33"/>
      <c r="C16" s="130">
        <v>1</v>
      </c>
      <c r="D16" s="132"/>
      <c r="E16" s="117" t="s">
        <v>165</v>
      </c>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1"/>
      <c r="AG16" s="130" t="s">
        <v>61</v>
      </c>
      <c r="AH16" s="131"/>
      <c r="AI16" s="131"/>
      <c r="AJ16" s="131"/>
      <c r="AK16" s="131"/>
      <c r="AL16" s="131"/>
      <c r="AM16" s="131"/>
      <c r="AN16" s="131"/>
      <c r="AO16" s="131"/>
      <c r="AP16" s="132"/>
      <c r="AQ16" s="122"/>
      <c r="AR16" s="123"/>
      <c r="AS16" s="123"/>
      <c r="AT16" s="123"/>
      <c r="AU16" s="123"/>
      <c r="AV16" s="123"/>
      <c r="AW16" s="123"/>
      <c r="AX16" s="123"/>
      <c r="AY16" s="123"/>
      <c r="AZ16" s="123"/>
      <c r="BA16" s="123"/>
      <c r="BB16" s="123"/>
      <c r="BC16" s="123"/>
      <c r="BD16" s="123"/>
      <c r="BE16" s="123"/>
      <c r="BF16" s="123"/>
      <c r="BG16" s="123"/>
      <c r="BH16" s="123"/>
      <c r="BI16" s="123"/>
      <c r="BJ16" s="124"/>
      <c r="BK16" s="30"/>
    </row>
    <row r="17" spans="1:63" s="31" customFormat="1" ht="15" customHeight="1" x14ac:dyDescent="0.25">
      <c r="A17" s="25"/>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5"/>
      <c r="BI17" s="35"/>
      <c r="BJ17" s="35"/>
      <c r="BK17" s="30"/>
    </row>
    <row r="18" spans="1:63" s="31" customFormat="1" ht="15" customHeight="1" x14ac:dyDescent="0.25">
      <c r="A18" s="25"/>
      <c r="B18" s="33"/>
      <c r="C18" s="37" t="s">
        <v>16</v>
      </c>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5"/>
      <c r="BI18" s="35"/>
      <c r="BJ18" s="35"/>
      <c r="BK18" s="30"/>
    </row>
    <row r="19" spans="1:63" s="31" customFormat="1" ht="15" customHeight="1" x14ac:dyDescent="0.25">
      <c r="A19" s="25"/>
      <c r="B19" s="33"/>
      <c r="C19" s="37"/>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5"/>
      <c r="BI19" s="35"/>
      <c r="BJ19" s="35"/>
      <c r="BK19" s="30"/>
    </row>
    <row r="20" spans="1:63" s="31" customFormat="1" ht="15" customHeight="1" x14ac:dyDescent="0.25">
      <c r="A20" s="25"/>
      <c r="B20" s="33"/>
      <c r="C20" s="166" t="s">
        <v>13</v>
      </c>
      <c r="D20" s="168"/>
      <c r="E20" s="166" t="s">
        <v>3</v>
      </c>
      <c r="F20" s="167"/>
      <c r="G20" s="167"/>
      <c r="H20" s="167"/>
      <c r="I20" s="167"/>
      <c r="J20" s="167"/>
      <c r="K20" s="168"/>
      <c r="L20" s="149" t="s">
        <v>194</v>
      </c>
      <c r="M20" s="151"/>
      <c r="N20" s="150"/>
      <c r="O20" s="149" t="s">
        <v>200</v>
      </c>
      <c r="P20" s="151"/>
      <c r="Q20" s="151"/>
      <c r="R20" s="150"/>
      <c r="S20" s="149" t="s">
        <v>203</v>
      </c>
      <c r="T20" s="151"/>
      <c r="U20" s="151"/>
      <c r="V20" s="151"/>
      <c r="W20" s="151"/>
      <c r="X20" s="151"/>
      <c r="Y20" s="150"/>
      <c r="Z20" s="166" t="s">
        <v>205</v>
      </c>
      <c r="AA20" s="167"/>
      <c r="AB20" s="167"/>
      <c r="AC20" s="167"/>
      <c r="AD20" s="167"/>
      <c r="AE20" s="167"/>
      <c r="AF20" s="167"/>
      <c r="AG20" s="167"/>
      <c r="AH20" s="167"/>
      <c r="AI20" s="167"/>
      <c r="AJ20" s="167"/>
      <c r="AK20" s="167"/>
      <c r="AL20" s="167"/>
      <c r="AM20" s="167"/>
      <c r="AN20" s="167"/>
      <c r="AO20" s="167"/>
      <c r="AP20" s="168"/>
      <c r="AQ20" s="149" t="s">
        <v>207</v>
      </c>
      <c r="AR20" s="151"/>
      <c r="AS20" s="151"/>
      <c r="AT20" s="151"/>
      <c r="AU20" s="151"/>
      <c r="AV20" s="151"/>
      <c r="AW20" s="151"/>
      <c r="AX20" s="151"/>
      <c r="AY20" s="151"/>
      <c r="AZ20" s="151"/>
      <c r="BA20" s="151"/>
      <c r="BB20" s="151"/>
      <c r="BC20" s="151"/>
      <c r="BD20" s="151"/>
      <c r="BE20" s="151"/>
      <c r="BF20" s="151"/>
      <c r="BG20" s="151"/>
      <c r="BH20" s="151"/>
      <c r="BI20" s="151"/>
      <c r="BJ20" s="150"/>
      <c r="BK20" s="30"/>
    </row>
    <row r="21" spans="1:63" s="31" customFormat="1" ht="15" customHeight="1" x14ac:dyDescent="0.25">
      <c r="A21" s="25"/>
      <c r="B21" s="33"/>
      <c r="C21" s="130">
        <v>1</v>
      </c>
      <c r="D21" s="132"/>
      <c r="E21" s="125" t="s">
        <v>4</v>
      </c>
      <c r="F21" s="118"/>
      <c r="G21" s="118"/>
      <c r="H21" s="118"/>
      <c r="I21" s="118"/>
      <c r="J21" s="118"/>
      <c r="K21" s="119"/>
      <c r="L21" s="155" t="s">
        <v>5</v>
      </c>
      <c r="M21" s="156"/>
      <c r="N21" s="157"/>
      <c r="O21" s="130" t="s">
        <v>201</v>
      </c>
      <c r="P21" s="131"/>
      <c r="Q21" s="131"/>
      <c r="R21" s="132"/>
      <c r="S21" s="130" t="s">
        <v>7</v>
      </c>
      <c r="T21" s="131"/>
      <c r="U21" s="131"/>
      <c r="V21" s="131"/>
      <c r="W21" s="131"/>
      <c r="X21" s="131"/>
      <c r="Y21" s="132"/>
      <c r="Z21" s="125" t="s">
        <v>8</v>
      </c>
      <c r="AA21" s="118"/>
      <c r="AB21" s="118"/>
      <c r="AC21" s="118"/>
      <c r="AD21" s="118"/>
      <c r="AE21" s="118"/>
      <c r="AF21" s="118"/>
      <c r="AG21" s="118"/>
      <c r="AH21" s="118"/>
      <c r="AI21" s="118"/>
      <c r="AJ21" s="118"/>
      <c r="AK21" s="118"/>
      <c r="AL21" s="118"/>
      <c r="AM21" s="118"/>
      <c r="AN21" s="118"/>
      <c r="AO21" s="118"/>
      <c r="AP21" s="119"/>
      <c r="AQ21" s="142" t="s">
        <v>43</v>
      </c>
      <c r="AR21" s="120"/>
      <c r="AS21" s="120"/>
      <c r="AT21" s="120"/>
      <c r="AU21" s="120"/>
      <c r="AV21" s="120"/>
      <c r="AW21" s="120"/>
      <c r="AX21" s="120"/>
      <c r="AY21" s="120"/>
      <c r="AZ21" s="120"/>
      <c r="BA21" s="120"/>
      <c r="BB21" s="120"/>
      <c r="BC21" s="120"/>
      <c r="BD21" s="120"/>
      <c r="BE21" s="120"/>
      <c r="BF21" s="120"/>
      <c r="BG21" s="120"/>
      <c r="BH21" s="120"/>
      <c r="BI21" s="120"/>
      <c r="BJ21" s="121"/>
      <c r="BK21" s="30"/>
    </row>
    <row r="22" spans="1:63" s="31" customFormat="1" ht="15" customHeight="1" x14ac:dyDescent="0.25">
      <c r="A22" s="25"/>
      <c r="B22" s="33"/>
      <c r="C22" s="130">
        <v>2</v>
      </c>
      <c r="D22" s="132"/>
      <c r="E22" s="125" t="s">
        <v>183</v>
      </c>
      <c r="F22" s="118"/>
      <c r="G22" s="118"/>
      <c r="H22" s="118"/>
      <c r="I22" s="118"/>
      <c r="J22" s="118"/>
      <c r="K22" s="119"/>
      <c r="L22" s="155" t="s">
        <v>7</v>
      </c>
      <c r="M22" s="156"/>
      <c r="N22" s="157"/>
      <c r="O22" s="130" t="s">
        <v>201</v>
      </c>
      <c r="P22" s="131"/>
      <c r="Q22" s="131"/>
      <c r="R22" s="132"/>
      <c r="S22" s="130" t="s">
        <v>7</v>
      </c>
      <c r="T22" s="131"/>
      <c r="U22" s="131"/>
      <c r="V22" s="131"/>
      <c r="W22" s="131"/>
      <c r="X22" s="131"/>
      <c r="Y22" s="132"/>
      <c r="Z22" s="125" t="s">
        <v>9</v>
      </c>
      <c r="AA22" s="118"/>
      <c r="AB22" s="118"/>
      <c r="AC22" s="118"/>
      <c r="AD22" s="118"/>
      <c r="AE22" s="118"/>
      <c r="AF22" s="118"/>
      <c r="AG22" s="118"/>
      <c r="AH22" s="118"/>
      <c r="AI22" s="118"/>
      <c r="AJ22" s="118"/>
      <c r="AK22" s="118"/>
      <c r="AL22" s="118"/>
      <c r="AM22" s="118"/>
      <c r="AN22" s="118"/>
      <c r="AO22" s="118"/>
      <c r="AP22" s="119"/>
      <c r="AQ22" s="117"/>
      <c r="AR22" s="120"/>
      <c r="AS22" s="120"/>
      <c r="AT22" s="120"/>
      <c r="AU22" s="120"/>
      <c r="AV22" s="120"/>
      <c r="AW22" s="120"/>
      <c r="AX22" s="120"/>
      <c r="AY22" s="120"/>
      <c r="AZ22" s="120"/>
      <c r="BA22" s="120"/>
      <c r="BB22" s="120"/>
      <c r="BC22" s="120"/>
      <c r="BD22" s="120"/>
      <c r="BE22" s="120"/>
      <c r="BF22" s="120"/>
      <c r="BG22" s="120"/>
      <c r="BH22" s="120"/>
      <c r="BI22" s="120"/>
      <c r="BJ22" s="121"/>
      <c r="BK22" s="30"/>
    </row>
    <row r="23" spans="1:63" s="31" customFormat="1" ht="15" customHeight="1" x14ac:dyDescent="0.25">
      <c r="A23" s="25"/>
      <c r="B23" s="33"/>
      <c r="C23" s="172">
        <v>3</v>
      </c>
      <c r="D23" s="173"/>
      <c r="E23" s="174" t="s">
        <v>10</v>
      </c>
      <c r="F23" s="175"/>
      <c r="G23" s="175"/>
      <c r="H23" s="175"/>
      <c r="I23" s="175"/>
      <c r="J23" s="175"/>
      <c r="K23" s="176"/>
      <c r="L23" s="179" t="s">
        <v>5</v>
      </c>
      <c r="M23" s="180"/>
      <c r="N23" s="181"/>
      <c r="O23" s="182" t="s">
        <v>201</v>
      </c>
      <c r="P23" s="183"/>
      <c r="Q23" s="183"/>
      <c r="R23" s="184"/>
      <c r="S23" s="182" t="s">
        <v>204</v>
      </c>
      <c r="T23" s="183"/>
      <c r="U23" s="183"/>
      <c r="V23" s="183"/>
      <c r="W23" s="183"/>
      <c r="X23" s="183"/>
      <c r="Y23" s="184"/>
      <c r="Z23" s="169" t="s">
        <v>44</v>
      </c>
      <c r="AA23" s="170"/>
      <c r="AB23" s="170"/>
      <c r="AC23" s="170"/>
      <c r="AD23" s="170"/>
      <c r="AE23" s="170"/>
      <c r="AF23" s="170"/>
      <c r="AG23" s="170"/>
      <c r="AH23" s="170"/>
      <c r="AI23" s="170"/>
      <c r="AJ23" s="170"/>
      <c r="AK23" s="170"/>
      <c r="AL23" s="170"/>
      <c r="AM23" s="170"/>
      <c r="AN23" s="170"/>
      <c r="AO23" s="170"/>
      <c r="AP23" s="171"/>
      <c r="AQ23" s="177"/>
      <c r="AR23" s="177"/>
      <c r="AS23" s="177"/>
      <c r="AT23" s="177"/>
      <c r="AU23" s="177"/>
      <c r="AV23" s="177"/>
      <c r="AW23" s="177"/>
      <c r="AX23" s="177"/>
      <c r="AY23" s="177"/>
      <c r="AZ23" s="177"/>
      <c r="BA23" s="177"/>
      <c r="BB23" s="177"/>
      <c r="BC23" s="177"/>
      <c r="BD23" s="177"/>
      <c r="BE23" s="177"/>
      <c r="BF23" s="177"/>
      <c r="BG23" s="177"/>
      <c r="BH23" s="177"/>
      <c r="BI23" s="177"/>
      <c r="BJ23" s="178"/>
      <c r="BK23" s="30"/>
    </row>
    <row r="24" spans="1:63" s="31" customFormat="1" ht="15" customHeight="1" x14ac:dyDescent="0.25">
      <c r="A24" s="25"/>
      <c r="B24" s="33"/>
      <c r="C24" s="130">
        <v>4</v>
      </c>
      <c r="D24" s="132"/>
      <c r="E24" s="125" t="s">
        <v>184</v>
      </c>
      <c r="F24" s="118"/>
      <c r="G24" s="118"/>
      <c r="H24" s="118"/>
      <c r="I24" s="118"/>
      <c r="J24" s="118"/>
      <c r="K24" s="119"/>
      <c r="L24" s="155" t="s">
        <v>7</v>
      </c>
      <c r="M24" s="156"/>
      <c r="N24" s="157"/>
      <c r="O24" s="130" t="s">
        <v>201</v>
      </c>
      <c r="P24" s="131"/>
      <c r="Q24" s="131"/>
      <c r="R24" s="132"/>
      <c r="S24" s="130" t="s">
        <v>7</v>
      </c>
      <c r="T24" s="131"/>
      <c r="U24" s="131"/>
      <c r="V24" s="131"/>
      <c r="W24" s="131"/>
      <c r="X24" s="131"/>
      <c r="Y24" s="132"/>
      <c r="Z24" s="125" t="s">
        <v>11</v>
      </c>
      <c r="AA24" s="118"/>
      <c r="AB24" s="118"/>
      <c r="AC24" s="118"/>
      <c r="AD24" s="118"/>
      <c r="AE24" s="118"/>
      <c r="AF24" s="118"/>
      <c r="AG24" s="118"/>
      <c r="AH24" s="118"/>
      <c r="AI24" s="118"/>
      <c r="AJ24" s="118"/>
      <c r="AK24" s="118"/>
      <c r="AL24" s="118"/>
      <c r="AM24" s="118"/>
      <c r="AN24" s="118"/>
      <c r="AO24" s="118"/>
      <c r="AP24" s="119"/>
      <c r="AQ24" s="117"/>
      <c r="AR24" s="120"/>
      <c r="AS24" s="120"/>
      <c r="AT24" s="120"/>
      <c r="AU24" s="120"/>
      <c r="AV24" s="120"/>
      <c r="AW24" s="120"/>
      <c r="AX24" s="120"/>
      <c r="AY24" s="120"/>
      <c r="AZ24" s="120"/>
      <c r="BA24" s="120"/>
      <c r="BB24" s="120"/>
      <c r="BC24" s="120"/>
      <c r="BD24" s="120"/>
      <c r="BE24" s="120"/>
      <c r="BF24" s="120"/>
      <c r="BG24" s="120"/>
      <c r="BH24" s="120"/>
      <c r="BI24" s="120"/>
      <c r="BJ24" s="121"/>
      <c r="BK24" s="30"/>
    </row>
    <row r="25" spans="1:63" s="31" customFormat="1" ht="15" customHeight="1" x14ac:dyDescent="0.25">
      <c r="A25" s="25"/>
      <c r="B25" s="33"/>
      <c r="C25" s="130">
        <v>5</v>
      </c>
      <c r="D25" s="132"/>
      <c r="E25" s="125" t="s">
        <v>185</v>
      </c>
      <c r="F25" s="118"/>
      <c r="G25" s="118"/>
      <c r="H25" s="118"/>
      <c r="I25" s="118"/>
      <c r="J25" s="118"/>
      <c r="K25" s="119"/>
      <c r="L25" s="155" t="s">
        <v>7</v>
      </c>
      <c r="M25" s="156"/>
      <c r="N25" s="157"/>
      <c r="O25" s="130" t="s">
        <v>6</v>
      </c>
      <c r="P25" s="131"/>
      <c r="Q25" s="131"/>
      <c r="R25" s="132"/>
      <c r="S25" s="130" t="s">
        <v>7</v>
      </c>
      <c r="T25" s="131"/>
      <c r="U25" s="131"/>
      <c r="V25" s="131"/>
      <c r="W25" s="131"/>
      <c r="X25" s="131"/>
      <c r="Y25" s="132"/>
      <c r="Z25" s="125" t="s">
        <v>12</v>
      </c>
      <c r="AA25" s="118"/>
      <c r="AB25" s="118"/>
      <c r="AC25" s="118"/>
      <c r="AD25" s="118"/>
      <c r="AE25" s="118"/>
      <c r="AF25" s="118"/>
      <c r="AG25" s="118"/>
      <c r="AH25" s="118"/>
      <c r="AI25" s="118"/>
      <c r="AJ25" s="118"/>
      <c r="AK25" s="118"/>
      <c r="AL25" s="118"/>
      <c r="AM25" s="118"/>
      <c r="AN25" s="118"/>
      <c r="AO25" s="118"/>
      <c r="AP25" s="119"/>
      <c r="AQ25" s="117"/>
      <c r="AR25" s="120"/>
      <c r="AS25" s="120"/>
      <c r="AT25" s="120"/>
      <c r="AU25" s="120"/>
      <c r="AV25" s="120"/>
      <c r="AW25" s="120"/>
      <c r="AX25" s="120"/>
      <c r="AY25" s="120"/>
      <c r="AZ25" s="120"/>
      <c r="BA25" s="120"/>
      <c r="BB25" s="120"/>
      <c r="BC25" s="120"/>
      <c r="BD25" s="120"/>
      <c r="BE25" s="120"/>
      <c r="BF25" s="120"/>
      <c r="BG25" s="120"/>
      <c r="BH25" s="120"/>
      <c r="BI25" s="120"/>
      <c r="BJ25" s="121"/>
      <c r="BK25" s="30"/>
    </row>
    <row r="26" spans="1:63" s="31" customFormat="1" ht="15" customHeight="1" x14ac:dyDescent="0.25">
      <c r="A26" s="25"/>
      <c r="B26" s="33"/>
      <c r="C26" s="33"/>
      <c r="D26" s="33"/>
      <c r="E26" s="34"/>
      <c r="F26" s="34"/>
      <c r="G26" s="34"/>
      <c r="H26" s="34"/>
      <c r="I26" s="33"/>
      <c r="J26" s="33"/>
      <c r="K26" s="33"/>
      <c r="L26" s="42"/>
      <c r="M26" s="34"/>
      <c r="N26" s="34"/>
      <c r="O26" s="34"/>
      <c r="P26" s="34"/>
      <c r="Q26" s="33"/>
      <c r="R26" s="33"/>
      <c r="S26" s="33"/>
      <c r="T26" s="33"/>
      <c r="U26" s="33"/>
      <c r="V26" s="33"/>
      <c r="W26" s="33"/>
      <c r="X26" s="33"/>
      <c r="Y26" s="33"/>
      <c r="Z26" s="45"/>
      <c r="AA26" s="33"/>
      <c r="AB26" s="33"/>
      <c r="AC26" s="33"/>
      <c r="AD26" s="33"/>
      <c r="AE26" s="33"/>
      <c r="AF26" s="33"/>
      <c r="AG26" s="34"/>
      <c r="AH26" s="34"/>
      <c r="AI26" s="34"/>
      <c r="AJ26" s="34"/>
      <c r="AK26" s="34"/>
      <c r="AL26" s="34"/>
      <c r="AM26" s="34"/>
      <c r="AN26" s="34"/>
      <c r="AO26" s="34"/>
      <c r="AP26" s="33"/>
      <c r="AQ26" s="46"/>
      <c r="AR26" s="46"/>
      <c r="AS26" s="46"/>
      <c r="AT26" s="46"/>
      <c r="AU26" s="46"/>
      <c r="AV26" s="46"/>
      <c r="AW26" s="46"/>
      <c r="AX26" s="46"/>
      <c r="AY26" s="46"/>
      <c r="AZ26" s="46"/>
      <c r="BA26" s="46"/>
      <c r="BB26" s="46"/>
      <c r="BC26" s="46"/>
      <c r="BD26" s="46"/>
      <c r="BE26" s="46"/>
      <c r="BF26" s="46"/>
      <c r="BG26" s="46"/>
      <c r="BH26" s="35"/>
      <c r="BI26" s="35"/>
      <c r="BJ26" s="35"/>
      <c r="BK26" s="30"/>
    </row>
    <row r="27" spans="1:63" s="31" customFormat="1" ht="15" customHeight="1" x14ac:dyDescent="0.25">
      <c r="A27" s="25"/>
      <c r="B27" s="33"/>
      <c r="C27" s="33"/>
      <c r="D27" s="33"/>
      <c r="E27" s="34"/>
      <c r="F27" s="34"/>
      <c r="G27" s="34"/>
      <c r="H27" s="34"/>
      <c r="I27" s="33"/>
      <c r="J27" s="33"/>
      <c r="K27" s="33"/>
      <c r="L27" s="47"/>
      <c r="M27" s="34"/>
      <c r="N27" s="34"/>
      <c r="O27" s="34"/>
      <c r="P27" s="34"/>
      <c r="Q27" s="33"/>
      <c r="R27" s="33"/>
      <c r="S27" s="33"/>
      <c r="T27" s="33"/>
      <c r="U27" s="33"/>
      <c r="V27" s="33"/>
      <c r="W27" s="33"/>
      <c r="X27" s="33"/>
      <c r="Y27" s="33"/>
      <c r="Z27" s="45"/>
      <c r="AA27" s="33"/>
      <c r="AB27" s="33"/>
      <c r="AC27" s="33"/>
      <c r="AD27" s="33"/>
      <c r="AE27" s="33"/>
      <c r="AF27" s="33"/>
      <c r="AG27" s="34"/>
      <c r="AH27" s="34"/>
      <c r="AI27" s="34"/>
      <c r="AJ27" s="34"/>
      <c r="AK27" s="34"/>
      <c r="AL27" s="34"/>
      <c r="AM27" s="34"/>
      <c r="AN27" s="34"/>
      <c r="AO27" s="34"/>
      <c r="AP27" s="33"/>
      <c r="AQ27" s="46"/>
      <c r="AR27" s="46"/>
      <c r="AS27" s="46"/>
      <c r="AT27" s="46"/>
      <c r="AU27" s="46"/>
      <c r="AV27" s="46"/>
      <c r="AW27" s="46"/>
      <c r="AX27" s="46"/>
      <c r="AY27" s="46"/>
      <c r="AZ27" s="46"/>
      <c r="BA27" s="46"/>
      <c r="BB27" s="46"/>
      <c r="BC27" s="46"/>
      <c r="BD27" s="46"/>
      <c r="BE27" s="46"/>
      <c r="BF27" s="46"/>
      <c r="BG27" s="46"/>
      <c r="BH27" s="35"/>
      <c r="BI27" s="35"/>
      <c r="BJ27" s="35"/>
      <c r="BK27" s="30"/>
    </row>
    <row r="28" spans="1:63" s="31" customFormat="1" ht="15" customHeight="1" x14ac:dyDescent="0.25">
      <c r="A28" s="25"/>
      <c r="B28" s="33"/>
      <c r="C28" s="37" t="s">
        <v>19</v>
      </c>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5"/>
      <c r="BI28" s="35"/>
      <c r="BJ28" s="35"/>
      <c r="BK28" s="30"/>
    </row>
    <row r="29" spans="1:63" s="31" customFormat="1" ht="15" customHeight="1" x14ac:dyDescent="0.25">
      <c r="A29" s="25"/>
      <c r="B29" s="33"/>
      <c r="C29" s="161" t="s">
        <v>13</v>
      </c>
      <c r="D29" s="162"/>
      <c r="E29" s="163" t="s">
        <v>37</v>
      </c>
      <c r="F29" s="164"/>
      <c r="G29" s="164"/>
      <c r="H29" s="164"/>
      <c r="I29" s="164"/>
      <c r="J29" s="164"/>
      <c r="K29" s="165"/>
      <c r="L29" s="149" t="s">
        <v>34</v>
      </c>
      <c r="M29" s="151"/>
      <c r="N29" s="150"/>
      <c r="O29" s="149" t="s">
        <v>35</v>
      </c>
      <c r="P29" s="151"/>
      <c r="Q29" s="151"/>
      <c r="R29" s="150"/>
      <c r="S29" s="149" t="s">
        <v>36</v>
      </c>
      <c r="T29" s="151"/>
      <c r="U29" s="151"/>
      <c r="V29" s="151"/>
      <c r="W29" s="151"/>
      <c r="X29" s="151"/>
      <c r="Y29" s="150"/>
      <c r="Z29" s="166" t="s">
        <v>18</v>
      </c>
      <c r="AA29" s="167"/>
      <c r="AB29" s="167"/>
      <c r="AC29" s="167"/>
      <c r="AD29" s="167"/>
      <c r="AE29" s="167"/>
      <c r="AF29" s="167"/>
      <c r="AG29" s="167"/>
      <c r="AH29" s="167"/>
      <c r="AI29" s="167"/>
      <c r="AJ29" s="167"/>
      <c r="AK29" s="167"/>
      <c r="AL29" s="167"/>
      <c r="AM29" s="167"/>
      <c r="AN29" s="167"/>
      <c r="AO29" s="167"/>
      <c r="AP29" s="168"/>
      <c r="AQ29" s="152" t="s">
        <v>33</v>
      </c>
      <c r="AR29" s="153"/>
      <c r="AS29" s="153"/>
      <c r="AT29" s="153"/>
      <c r="AU29" s="153"/>
      <c r="AV29" s="153"/>
      <c r="AW29" s="153"/>
      <c r="AX29" s="153"/>
      <c r="AY29" s="153"/>
      <c r="AZ29" s="153"/>
      <c r="BA29" s="153"/>
      <c r="BB29" s="153"/>
      <c r="BC29" s="153"/>
      <c r="BD29" s="153"/>
      <c r="BE29" s="153"/>
      <c r="BF29" s="153"/>
      <c r="BG29" s="153"/>
      <c r="BH29" s="153"/>
      <c r="BI29" s="153"/>
      <c r="BJ29" s="154"/>
      <c r="BK29" s="30"/>
    </row>
    <row r="30" spans="1:63" s="31" customFormat="1" ht="15" customHeight="1" x14ac:dyDescent="0.25">
      <c r="A30" s="25"/>
      <c r="B30" s="33"/>
      <c r="C30" s="125">
        <v>1</v>
      </c>
      <c r="D30" s="119"/>
      <c r="E30" s="125" t="s">
        <v>186</v>
      </c>
      <c r="F30" s="118"/>
      <c r="G30" s="118"/>
      <c r="H30" s="118"/>
      <c r="I30" s="118"/>
      <c r="J30" s="118"/>
      <c r="K30" s="119"/>
      <c r="L30" s="126" t="s">
        <v>5</v>
      </c>
      <c r="M30" s="76"/>
      <c r="N30" s="77"/>
      <c r="O30" s="125" t="s">
        <v>202</v>
      </c>
      <c r="P30" s="118"/>
      <c r="Q30" s="118"/>
      <c r="R30" s="119"/>
      <c r="S30" s="117" t="s">
        <v>7</v>
      </c>
      <c r="T30" s="118"/>
      <c r="U30" s="118"/>
      <c r="V30" s="118"/>
      <c r="W30" s="118"/>
      <c r="X30" s="118"/>
      <c r="Y30" s="119"/>
      <c r="Z30" s="117" t="s">
        <v>166</v>
      </c>
      <c r="AA30" s="118"/>
      <c r="AB30" s="118"/>
      <c r="AC30" s="118"/>
      <c r="AD30" s="118"/>
      <c r="AE30" s="118"/>
      <c r="AF30" s="118"/>
      <c r="AG30" s="118"/>
      <c r="AH30" s="118"/>
      <c r="AI30" s="118"/>
      <c r="AJ30" s="118"/>
      <c r="AK30" s="118"/>
      <c r="AL30" s="118"/>
      <c r="AM30" s="118"/>
      <c r="AN30" s="118"/>
      <c r="AO30" s="118"/>
      <c r="AP30" s="119"/>
      <c r="AQ30" s="122"/>
      <c r="AR30" s="123"/>
      <c r="AS30" s="123"/>
      <c r="AT30" s="123"/>
      <c r="AU30" s="123"/>
      <c r="AV30" s="123"/>
      <c r="AW30" s="123"/>
      <c r="AX30" s="123"/>
      <c r="AY30" s="123"/>
      <c r="AZ30" s="123"/>
      <c r="BA30" s="123"/>
      <c r="BB30" s="123"/>
      <c r="BC30" s="123"/>
      <c r="BD30" s="123"/>
      <c r="BE30" s="123"/>
      <c r="BF30" s="123"/>
      <c r="BG30" s="123"/>
      <c r="BH30" s="123"/>
      <c r="BI30" s="123"/>
      <c r="BJ30" s="124"/>
      <c r="BK30" s="30"/>
    </row>
    <row r="31" spans="1:63" s="31" customFormat="1" ht="15" customHeight="1" x14ac:dyDescent="0.25">
      <c r="A31" s="25"/>
      <c r="B31" s="33"/>
      <c r="C31" s="125">
        <v>2</v>
      </c>
      <c r="D31" s="119"/>
      <c r="E31" s="125" t="s">
        <v>187</v>
      </c>
      <c r="F31" s="118"/>
      <c r="G31" s="118"/>
      <c r="H31" s="118"/>
      <c r="I31" s="118"/>
      <c r="J31" s="118"/>
      <c r="K31" s="119"/>
      <c r="L31" s="126" t="s">
        <v>5</v>
      </c>
      <c r="M31" s="76"/>
      <c r="N31" s="77"/>
      <c r="O31" s="125" t="s">
        <v>202</v>
      </c>
      <c r="P31" s="118"/>
      <c r="Q31" s="118"/>
      <c r="R31" s="119"/>
      <c r="S31" s="117" t="s">
        <v>7</v>
      </c>
      <c r="T31" s="118"/>
      <c r="U31" s="118"/>
      <c r="V31" s="118"/>
      <c r="W31" s="118"/>
      <c r="X31" s="118"/>
      <c r="Y31" s="119"/>
      <c r="Z31" s="117" t="s">
        <v>167</v>
      </c>
      <c r="AA31" s="118"/>
      <c r="AB31" s="118"/>
      <c r="AC31" s="118"/>
      <c r="AD31" s="118"/>
      <c r="AE31" s="118"/>
      <c r="AF31" s="118"/>
      <c r="AG31" s="118"/>
      <c r="AH31" s="118"/>
      <c r="AI31" s="118"/>
      <c r="AJ31" s="118"/>
      <c r="AK31" s="118"/>
      <c r="AL31" s="118"/>
      <c r="AM31" s="118"/>
      <c r="AN31" s="118"/>
      <c r="AO31" s="118"/>
      <c r="AP31" s="119"/>
      <c r="AQ31" s="122"/>
      <c r="AR31" s="123"/>
      <c r="AS31" s="123"/>
      <c r="AT31" s="123"/>
      <c r="AU31" s="123"/>
      <c r="AV31" s="123"/>
      <c r="AW31" s="123"/>
      <c r="AX31" s="123"/>
      <c r="AY31" s="123"/>
      <c r="AZ31" s="123"/>
      <c r="BA31" s="123"/>
      <c r="BB31" s="123"/>
      <c r="BC31" s="123"/>
      <c r="BD31" s="123"/>
      <c r="BE31" s="123"/>
      <c r="BF31" s="123"/>
      <c r="BG31" s="123"/>
      <c r="BH31" s="123"/>
      <c r="BI31" s="123"/>
      <c r="BJ31" s="124"/>
      <c r="BK31" s="30"/>
    </row>
    <row r="32" spans="1:63" s="31" customFormat="1" ht="15" customHeight="1" x14ac:dyDescent="0.25">
      <c r="A32" s="25"/>
      <c r="B32" s="33"/>
      <c r="C32" s="125">
        <v>3</v>
      </c>
      <c r="D32" s="119"/>
      <c r="E32" s="125" t="s">
        <v>163</v>
      </c>
      <c r="F32" s="118"/>
      <c r="G32" s="118"/>
      <c r="H32" s="118"/>
      <c r="I32" s="118"/>
      <c r="J32" s="118"/>
      <c r="K32" s="119"/>
      <c r="L32" s="126" t="s">
        <v>5</v>
      </c>
      <c r="M32" s="76"/>
      <c r="N32" s="77"/>
      <c r="O32" s="125" t="s">
        <v>202</v>
      </c>
      <c r="P32" s="118"/>
      <c r="Q32" s="118"/>
      <c r="R32" s="119"/>
      <c r="S32" s="117" t="s">
        <v>7</v>
      </c>
      <c r="T32" s="118"/>
      <c r="U32" s="118"/>
      <c r="V32" s="118"/>
      <c r="W32" s="118"/>
      <c r="X32" s="118"/>
      <c r="Y32" s="119"/>
      <c r="Z32" s="117" t="s">
        <v>168</v>
      </c>
      <c r="AA32" s="118"/>
      <c r="AB32" s="118"/>
      <c r="AC32" s="118"/>
      <c r="AD32" s="118"/>
      <c r="AE32" s="118"/>
      <c r="AF32" s="118"/>
      <c r="AG32" s="118"/>
      <c r="AH32" s="118"/>
      <c r="AI32" s="118"/>
      <c r="AJ32" s="118"/>
      <c r="AK32" s="118"/>
      <c r="AL32" s="118"/>
      <c r="AM32" s="118"/>
      <c r="AN32" s="118"/>
      <c r="AO32" s="118"/>
      <c r="AP32" s="119"/>
      <c r="AQ32" s="122"/>
      <c r="AR32" s="123"/>
      <c r="AS32" s="123"/>
      <c r="AT32" s="123"/>
      <c r="AU32" s="123"/>
      <c r="AV32" s="123"/>
      <c r="AW32" s="123"/>
      <c r="AX32" s="123"/>
      <c r="AY32" s="123"/>
      <c r="AZ32" s="123"/>
      <c r="BA32" s="123"/>
      <c r="BB32" s="123"/>
      <c r="BC32" s="123"/>
      <c r="BD32" s="123"/>
      <c r="BE32" s="123"/>
      <c r="BF32" s="123"/>
      <c r="BG32" s="123"/>
      <c r="BH32" s="123"/>
      <c r="BI32" s="123"/>
      <c r="BJ32" s="124"/>
      <c r="BK32" s="30"/>
    </row>
    <row r="33" spans="1:63" s="31" customFormat="1" ht="15" customHeight="1" x14ac:dyDescent="0.25">
      <c r="A33" s="25"/>
      <c r="B33" s="33"/>
      <c r="C33" s="125">
        <v>4</v>
      </c>
      <c r="D33" s="119"/>
      <c r="E33" s="125" t="s">
        <v>188</v>
      </c>
      <c r="F33" s="118"/>
      <c r="G33" s="118"/>
      <c r="H33" s="118"/>
      <c r="I33" s="118"/>
      <c r="J33" s="118"/>
      <c r="K33" s="119"/>
      <c r="L33" s="126" t="s">
        <v>5</v>
      </c>
      <c r="M33" s="76"/>
      <c r="N33" s="77"/>
      <c r="O33" s="125" t="s">
        <v>48</v>
      </c>
      <c r="P33" s="118"/>
      <c r="Q33" s="118"/>
      <c r="R33" s="119"/>
      <c r="S33" s="117" t="s">
        <v>7</v>
      </c>
      <c r="T33" s="118"/>
      <c r="U33" s="118"/>
      <c r="V33" s="118"/>
      <c r="W33" s="118"/>
      <c r="X33" s="118"/>
      <c r="Y33" s="119"/>
      <c r="Z33" s="117" t="s">
        <v>169</v>
      </c>
      <c r="AA33" s="120"/>
      <c r="AB33" s="120"/>
      <c r="AC33" s="120"/>
      <c r="AD33" s="120"/>
      <c r="AE33" s="120"/>
      <c r="AF33" s="120"/>
      <c r="AG33" s="120"/>
      <c r="AH33" s="120"/>
      <c r="AI33" s="120"/>
      <c r="AJ33" s="120"/>
      <c r="AK33" s="120"/>
      <c r="AL33" s="120"/>
      <c r="AM33" s="120"/>
      <c r="AN33" s="120"/>
      <c r="AO33" s="120"/>
      <c r="AP33" s="121"/>
      <c r="AQ33" s="122"/>
      <c r="AR33" s="123"/>
      <c r="AS33" s="123"/>
      <c r="AT33" s="123"/>
      <c r="AU33" s="123"/>
      <c r="AV33" s="123"/>
      <c r="AW33" s="123"/>
      <c r="AX33" s="123"/>
      <c r="AY33" s="123"/>
      <c r="AZ33" s="123"/>
      <c r="BA33" s="123"/>
      <c r="BB33" s="123"/>
      <c r="BC33" s="123"/>
      <c r="BD33" s="123"/>
      <c r="BE33" s="123"/>
      <c r="BF33" s="123"/>
      <c r="BG33" s="123"/>
      <c r="BH33" s="123"/>
      <c r="BI33" s="123"/>
      <c r="BJ33" s="124"/>
      <c r="BK33" s="30"/>
    </row>
    <row r="34" spans="1:63" s="31" customFormat="1" ht="15" customHeight="1" x14ac:dyDescent="0.25">
      <c r="A34" s="25"/>
      <c r="B34" s="33"/>
      <c r="C34" s="72" t="s">
        <v>17</v>
      </c>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3"/>
      <c r="AR34" s="33"/>
      <c r="AS34" s="33"/>
      <c r="AT34" s="33"/>
      <c r="AU34" s="33"/>
      <c r="AV34" s="33"/>
      <c r="AW34" s="33"/>
      <c r="AX34" s="33"/>
      <c r="AY34" s="33"/>
      <c r="AZ34" s="33"/>
      <c r="BA34" s="33"/>
      <c r="BB34" s="33"/>
      <c r="BC34" s="33"/>
      <c r="BD34" s="33"/>
      <c r="BE34" s="33"/>
      <c r="BF34" s="33"/>
      <c r="BG34" s="33"/>
      <c r="BH34" s="35"/>
      <c r="BI34" s="35"/>
      <c r="BJ34" s="35"/>
      <c r="BK34" s="30"/>
    </row>
    <row r="35" spans="1:63" s="31" customFormat="1" ht="15" customHeight="1" x14ac:dyDescent="0.25">
      <c r="A35" s="25"/>
      <c r="B35" s="33"/>
      <c r="C35" s="32"/>
      <c r="D35" s="33" t="s">
        <v>182</v>
      </c>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5"/>
      <c r="BI35" s="35"/>
      <c r="BJ35" s="35"/>
      <c r="BK35" s="30"/>
    </row>
    <row r="36" spans="1:63" s="31" customFormat="1" ht="15" customHeight="1" x14ac:dyDescent="0.25">
      <c r="A36" s="25"/>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5"/>
      <c r="BI36" s="35"/>
      <c r="BJ36" s="35"/>
      <c r="BK36" s="30"/>
    </row>
    <row r="37" spans="1:63" s="31" customFormat="1" ht="15" customHeight="1" x14ac:dyDescent="0.25">
      <c r="A37" s="25"/>
      <c r="B37" s="33"/>
      <c r="C37" s="37" t="s">
        <v>177</v>
      </c>
      <c r="D37" s="33"/>
      <c r="E37" s="34"/>
      <c r="F37" s="33"/>
      <c r="G37" s="34"/>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60"/>
      <c r="AW37" s="60"/>
      <c r="AX37" s="60"/>
      <c r="AY37" s="60"/>
      <c r="AZ37" s="60"/>
      <c r="BA37" s="60"/>
      <c r="BB37" s="60"/>
      <c r="BC37" s="60"/>
      <c r="BD37" s="60"/>
      <c r="BE37" s="60"/>
      <c r="BF37" s="60"/>
      <c r="BG37" s="60"/>
      <c r="BH37" s="60"/>
      <c r="BI37" s="60"/>
      <c r="BJ37" s="60"/>
      <c r="BK37" s="30"/>
    </row>
    <row r="38" spans="1:63" s="31" customFormat="1" ht="15" customHeight="1" x14ac:dyDescent="0.25">
      <c r="A38" s="25"/>
      <c r="B38" s="33"/>
      <c r="C38" s="37"/>
      <c r="D38" s="33" t="s">
        <v>45</v>
      </c>
      <c r="E38" s="34"/>
      <c r="F38" s="33"/>
      <c r="G38" s="34"/>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60"/>
      <c r="AW38" s="60"/>
      <c r="AX38" s="60"/>
      <c r="AY38" s="60"/>
      <c r="AZ38" s="60"/>
      <c r="BA38" s="60"/>
      <c r="BB38" s="60"/>
      <c r="BC38" s="60"/>
      <c r="BD38" s="60"/>
      <c r="BE38" s="60"/>
      <c r="BF38" s="60"/>
      <c r="BG38" s="60"/>
      <c r="BH38" s="60"/>
      <c r="BI38" s="60"/>
      <c r="BJ38" s="60"/>
      <c r="BK38" s="30"/>
    </row>
    <row r="39" spans="1:63" s="31" customFormat="1" ht="15" customHeight="1" x14ac:dyDescent="0.25">
      <c r="A39" s="25"/>
      <c r="B39" s="32"/>
      <c r="C39" s="37"/>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5"/>
      <c r="BI39" s="35"/>
      <c r="BJ39" s="35"/>
      <c r="BK39" s="30"/>
    </row>
    <row r="40" spans="1:63" s="31" customFormat="1" ht="15" customHeight="1" x14ac:dyDescent="0.25">
      <c r="A40" s="25"/>
      <c r="B40" s="26" t="s">
        <v>38</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9"/>
      <c r="BI40" s="29"/>
      <c r="BJ40" s="29"/>
      <c r="BK40" s="30"/>
    </row>
    <row r="41" spans="1:63" s="31" customFormat="1" ht="15" customHeight="1" x14ac:dyDescent="0.25">
      <c r="A41" s="25"/>
      <c r="B41" s="32"/>
      <c r="C41" s="37"/>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5"/>
      <c r="BI41" s="35"/>
      <c r="BJ41" s="35"/>
      <c r="BK41" s="30"/>
    </row>
    <row r="42" spans="1:63" s="31" customFormat="1" ht="15" customHeight="1" x14ac:dyDescent="0.25">
      <c r="A42" s="25"/>
      <c r="B42" s="32"/>
      <c r="C42" s="37" t="s">
        <v>39</v>
      </c>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5"/>
      <c r="BI42" s="35"/>
      <c r="BJ42" s="35"/>
      <c r="BK42" s="30"/>
    </row>
    <row r="43" spans="1:63" s="31" customFormat="1" ht="15" customHeight="1" x14ac:dyDescent="0.25">
      <c r="A43" s="25"/>
      <c r="B43" s="32"/>
      <c r="C43" s="37"/>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5"/>
      <c r="BI43" s="35"/>
      <c r="BJ43" s="35"/>
      <c r="BK43" s="30"/>
    </row>
    <row r="44" spans="1:63" s="31" customFormat="1" ht="15" customHeight="1" x14ac:dyDescent="0.25">
      <c r="A44" s="25"/>
      <c r="B44" s="33"/>
      <c r="C44" s="149" t="s">
        <v>13</v>
      </c>
      <c r="D44" s="150"/>
      <c r="E44" s="166" t="s">
        <v>20</v>
      </c>
      <c r="F44" s="151"/>
      <c r="G44" s="151"/>
      <c r="H44" s="151"/>
      <c r="I44" s="151"/>
      <c r="J44" s="151"/>
      <c r="K44" s="150"/>
      <c r="L44" s="149" t="s">
        <v>35</v>
      </c>
      <c r="M44" s="151"/>
      <c r="N44" s="151"/>
      <c r="O44" s="151"/>
      <c r="P44" s="151"/>
      <c r="Q44" s="151"/>
      <c r="R44" s="150"/>
      <c r="S44" s="158" t="s">
        <v>18</v>
      </c>
      <c r="T44" s="159"/>
      <c r="U44" s="159"/>
      <c r="V44" s="159"/>
      <c r="W44" s="159"/>
      <c r="X44" s="159"/>
      <c r="Y44" s="159"/>
      <c r="Z44" s="159"/>
      <c r="AA44" s="159"/>
      <c r="AB44" s="160"/>
      <c r="AC44" s="149" t="s">
        <v>33</v>
      </c>
      <c r="AD44" s="151"/>
      <c r="AE44" s="151"/>
      <c r="AF44" s="151"/>
      <c r="AG44" s="151"/>
      <c r="AH44" s="151"/>
      <c r="AI44" s="151"/>
      <c r="AJ44" s="151"/>
      <c r="AK44" s="151"/>
      <c r="AL44" s="151"/>
      <c r="AM44" s="151"/>
      <c r="AN44" s="151"/>
      <c r="AO44" s="151"/>
      <c r="AP44" s="151"/>
      <c r="AQ44" s="151"/>
      <c r="AR44" s="151"/>
      <c r="AS44" s="151"/>
      <c r="AT44" s="151"/>
      <c r="AU44" s="150"/>
      <c r="AV44" s="33"/>
      <c r="AW44" s="33"/>
      <c r="AX44" s="33"/>
      <c r="AY44" s="33"/>
      <c r="AZ44" s="33"/>
      <c r="BA44" s="33"/>
      <c r="BB44" s="33"/>
      <c r="BC44" s="33"/>
      <c r="BD44" s="33"/>
      <c r="BE44" s="33"/>
      <c r="BF44" s="33"/>
      <c r="BG44" s="33"/>
      <c r="BH44" s="35"/>
      <c r="BI44" s="35"/>
      <c r="BJ44" s="35"/>
      <c r="BK44" s="30"/>
    </row>
    <row r="45" spans="1:63" s="31" customFormat="1" ht="15" customHeight="1" x14ac:dyDescent="0.25">
      <c r="A45" s="25"/>
      <c r="B45" s="33"/>
      <c r="C45" s="130">
        <v>1</v>
      </c>
      <c r="D45" s="132"/>
      <c r="E45" s="125" t="s">
        <v>108</v>
      </c>
      <c r="F45" s="118"/>
      <c r="G45" s="118"/>
      <c r="H45" s="118"/>
      <c r="I45" s="118"/>
      <c r="J45" s="118"/>
      <c r="K45" s="119"/>
      <c r="L45" s="130" t="s">
        <v>111</v>
      </c>
      <c r="M45" s="131"/>
      <c r="N45" s="131"/>
      <c r="O45" s="131"/>
      <c r="P45" s="131"/>
      <c r="Q45" s="131"/>
      <c r="R45" s="132"/>
      <c r="S45" s="127"/>
      <c r="T45" s="128"/>
      <c r="U45" s="128"/>
      <c r="V45" s="128"/>
      <c r="W45" s="128"/>
      <c r="X45" s="128"/>
      <c r="Y45" s="128"/>
      <c r="Z45" s="128"/>
      <c r="AA45" s="128"/>
      <c r="AB45" s="129"/>
      <c r="AC45" s="130"/>
      <c r="AD45" s="131"/>
      <c r="AE45" s="131"/>
      <c r="AF45" s="131"/>
      <c r="AG45" s="131"/>
      <c r="AH45" s="131"/>
      <c r="AI45" s="131"/>
      <c r="AJ45" s="131"/>
      <c r="AK45" s="131"/>
      <c r="AL45" s="131"/>
      <c r="AM45" s="131"/>
      <c r="AN45" s="131"/>
      <c r="AO45" s="131"/>
      <c r="AP45" s="131"/>
      <c r="AQ45" s="131"/>
      <c r="AR45" s="131"/>
      <c r="AS45" s="131"/>
      <c r="AT45" s="131"/>
      <c r="AU45" s="132"/>
      <c r="AV45" s="33"/>
      <c r="AW45" s="33"/>
      <c r="AX45" s="33"/>
      <c r="AY45" s="33"/>
      <c r="AZ45" s="33"/>
      <c r="BA45" s="33"/>
      <c r="BB45" s="33"/>
      <c r="BC45" s="33"/>
      <c r="BD45" s="33"/>
      <c r="BE45" s="33"/>
      <c r="BF45" s="33"/>
      <c r="BG45" s="33"/>
      <c r="BH45" s="35"/>
      <c r="BI45" s="35"/>
      <c r="BJ45" s="35"/>
      <c r="BK45" s="30"/>
    </row>
    <row r="46" spans="1:63" s="31" customFormat="1" ht="15" customHeight="1" x14ac:dyDescent="0.25">
      <c r="A46" s="25"/>
      <c r="B46" s="33"/>
      <c r="C46" s="130">
        <v>2</v>
      </c>
      <c r="D46" s="132"/>
      <c r="E46" s="133" t="s">
        <v>189</v>
      </c>
      <c r="F46" s="134"/>
      <c r="G46" s="134"/>
      <c r="H46" s="134"/>
      <c r="I46" s="134"/>
      <c r="J46" s="134"/>
      <c r="K46" s="135"/>
      <c r="L46" s="133" t="s">
        <v>195</v>
      </c>
      <c r="M46" s="134"/>
      <c r="N46" s="134"/>
      <c r="O46" s="134"/>
      <c r="P46" s="134"/>
      <c r="Q46" s="134"/>
      <c r="R46" s="135"/>
      <c r="S46" s="127" t="s">
        <v>107</v>
      </c>
      <c r="T46" s="128"/>
      <c r="U46" s="128"/>
      <c r="V46" s="128"/>
      <c r="W46" s="128"/>
      <c r="X46" s="128"/>
      <c r="Y46" s="128"/>
      <c r="Z46" s="128"/>
      <c r="AA46" s="128"/>
      <c r="AB46" s="129"/>
      <c r="AC46" s="130"/>
      <c r="AD46" s="131"/>
      <c r="AE46" s="131"/>
      <c r="AF46" s="131"/>
      <c r="AG46" s="131"/>
      <c r="AH46" s="131"/>
      <c r="AI46" s="131"/>
      <c r="AJ46" s="131"/>
      <c r="AK46" s="131"/>
      <c r="AL46" s="131"/>
      <c r="AM46" s="131"/>
      <c r="AN46" s="131"/>
      <c r="AO46" s="131"/>
      <c r="AP46" s="131"/>
      <c r="AQ46" s="131"/>
      <c r="AR46" s="131"/>
      <c r="AS46" s="131"/>
      <c r="AT46" s="131"/>
      <c r="AU46" s="132"/>
      <c r="AV46" s="33"/>
      <c r="AW46" s="33"/>
      <c r="AX46" s="33"/>
      <c r="AY46" s="33"/>
      <c r="AZ46" s="33"/>
      <c r="BA46" s="33"/>
      <c r="BB46" s="33"/>
      <c r="BC46" s="33"/>
      <c r="BD46" s="33"/>
      <c r="BE46" s="33"/>
      <c r="BF46" s="33"/>
      <c r="BG46" s="33"/>
      <c r="BH46" s="35"/>
      <c r="BI46" s="35"/>
      <c r="BJ46" s="35"/>
      <c r="BK46" s="30"/>
    </row>
    <row r="47" spans="1:63" s="31" customFormat="1" ht="15" customHeight="1" x14ac:dyDescent="0.25">
      <c r="A47" s="25"/>
      <c r="B47" s="33"/>
      <c r="C47" s="130">
        <v>3</v>
      </c>
      <c r="D47" s="132"/>
      <c r="E47" s="133" t="s">
        <v>186</v>
      </c>
      <c r="F47" s="134"/>
      <c r="G47" s="134"/>
      <c r="H47" s="134"/>
      <c r="I47" s="134"/>
      <c r="J47" s="134"/>
      <c r="K47" s="135"/>
      <c r="L47" s="133" t="s">
        <v>6</v>
      </c>
      <c r="M47" s="134"/>
      <c r="N47" s="134"/>
      <c r="O47" s="134"/>
      <c r="P47" s="134"/>
      <c r="Q47" s="134"/>
      <c r="R47" s="135"/>
      <c r="S47" s="127" t="s">
        <v>64</v>
      </c>
      <c r="T47" s="128"/>
      <c r="U47" s="128"/>
      <c r="V47" s="128"/>
      <c r="W47" s="128"/>
      <c r="X47" s="128"/>
      <c r="Y47" s="128"/>
      <c r="Z47" s="128"/>
      <c r="AA47" s="128"/>
      <c r="AB47" s="129"/>
      <c r="AC47" s="130"/>
      <c r="AD47" s="131"/>
      <c r="AE47" s="131"/>
      <c r="AF47" s="131"/>
      <c r="AG47" s="131"/>
      <c r="AH47" s="131"/>
      <c r="AI47" s="131"/>
      <c r="AJ47" s="131"/>
      <c r="AK47" s="131"/>
      <c r="AL47" s="131"/>
      <c r="AM47" s="131"/>
      <c r="AN47" s="131"/>
      <c r="AO47" s="131"/>
      <c r="AP47" s="131"/>
      <c r="AQ47" s="131"/>
      <c r="AR47" s="131"/>
      <c r="AS47" s="131"/>
      <c r="AT47" s="131"/>
      <c r="AU47" s="132"/>
      <c r="AV47" s="33"/>
      <c r="AW47" s="33"/>
      <c r="AX47" s="33"/>
      <c r="AY47" s="33"/>
      <c r="AZ47" s="33"/>
      <c r="BA47" s="33"/>
      <c r="BB47" s="33"/>
      <c r="BC47" s="33"/>
      <c r="BD47" s="33"/>
      <c r="BE47" s="33"/>
      <c r="BF47" s="33"/>
      <c r="BG47" s="33"/>
      <c r="BH47" s="35"/>
      <c r="BI47" s="35"/>
      <c r="BJ47" s="35"/>
      <c r="BK47" s="30"/>
    </row>
    <row r="48" spans="1:63" s="31" customFormat="1" ht="15" customHeight="1" x14ac:dyDescent="0.25">
      <c r="A48" s="25"/>
      <c r="B48" s="33"/>
      <c r="C48" s="130">
        <v>4</v>
      </c>
      <c r="D48" s="132"/>
      <c r="E48" s="143" t="s">
        <v>187</v>
      </c>
      <c r="F48" s="144"/>
      <c r="G48" s="144"/>
      <c r="H48" s="144"/>
      <c r="I48" s="144"/>
      <c r="J48" s="144"/>
      <c r="K48" s="145"/>
      <c r="L48" s="133" t="s">
        <v>6</v>
      </c>
      <c r="M48" s="134"/>
      <c r="N48" s="134"/>
      <c r="O48" s="134"/>
      <c r="P48" s="134"/>
      <c r="Q48" s="134"/>
      <c r="R48" s="135"/>
      <c r="S48" s="127" t="s">
        <v>78</v>
      </c>
      <c r="T48" s="128"/>
      <c r="U48" s="128"/>
      <c r="V48" s="128"/>
      <c r="W48" s="128"/>
      <c r="X48" s="128"/>
      <c r="Y48" s="128"/>
      <c r="Z48" s="128"/>
      <c r="AA48" s="128"/>
      <c r="AB48" s="129"/>
      <c r="AC48" s="130"/>
      <c r="AD48" s="131"/>
      <c r="AE48" s="131"/>
      <c r="AF48" s="131"/>
      <c r="AG48" s="131"/>
      <c r="AH48" s="131"/>
      <c r="AI48" s="131"/>
      <c r="AJ48" s="131"/>
      <c r="AK48" s="131"/>
      <c r="AL48" s="131"/>
      <c r="AM48" s="131"/>
      <c r="AN48" s="131"/>
      <c r="AO48" s="131"/>
      <c r="AP48" s="131"/>
      <c r="AQ48" s="131"/>
      <c r="AR48" s="131"/>
      <c r="AS48" s="131"/>
      <c r="AT48" s="131"/>
      <c r="AU48" s="132"/>
      <c r="AV48" s="33"/>
      <c r="AW48" s="33"/>
      <c r="AX48" s="33"/>
      <c r="AY48" s="33"/>
      <c r="AZ48" s="33"/>
      <c r="BA48" s="33"/>
      <c r="BB48" s="33"/>
      <c r="BC48" s="33"/>
      <c r="BD48" s="33"/>
      <c r="BE48" s="33"/>
      <c r="BF48" s="33"/>
      <c r="BG48" s="33"/>
      <c r="BH48" s="35"/>
      <c r="BI48" s="35"/>
      <c r="BJ48" s="35"/>
      <c r="BK48" s="30"/>
    </row>
    <row r="49" spans="1:63" s="31" customFormat="1" ht="15" customHeight="1" x14ac:dyDescent="0.25">
      <c r="A49" s="25"/>
      <c r="B49" s="33"/>
      <c r="C49" s="130">
        <v>5</v>
      </c>
      <c r="D49" s="132"/>
      <c r="E49" s="143" t="s">
        <v>47</v>
      </c>
      <c r="F49" s="144"/>
      <c r="G49" s="144"/>
      <c r="H49" s="144"/>
      <c r="I49" s="144"/>
      <c r="J49" s="144"/>
      <c r="K49" s="145"/>
      <c r="L49" s="133" t="s">
        <v>6</v>
      </c>
      <c r="M49" s="134"/>
      <c r="N49" s="134"/>
      <c r="O49" s="134"/>
      <c r="P49" s="134"/>
      <c r="Q49" s="134"/>
      <c r="R49" s="135"/>
      <c r="S49" s="127" t="s">
        <v>79</v>
      </c>
      <c r="T49" s="128"/>
      <c r="U49" s="128"/>
      <c r="V49" s="128"/>
      <c r="W49" s="128"/>
      <c r="X49" s="128"/>
      <c r="Y49" s="128"/>
      <c r="Z49" s="128"/>
      <c r="AA49" s="128"/>
      <c r="AB49" s="129"/>
      <c r="AC49" s="185"/>
      <c r="AD49" s="186"/>
      <c r="AE49" s="186"/>
      <c r="AF49" s="186"/>
      <c r="AG49" s="186"/>
      <c r="AH49" s="186"/>
      <c r="AI49" s="186"/>
      <c r="AJ49" s="186"/>
      <c r="AK49" s="186"/>
      <c r="AL49" s="186"/>
      <c r="AM49" s="186"/>
      <c r="AN49" s="186"/>
      <c r="AO49" s="186"/>
      <c r="AP49" s="186"/>
      <c r="AQ49" s="186"/>
      <c r="AR49" s="186"/>
      <c r="AS49" s="186"/>
      <c r="AT49" s="186"/>
      <c r="AU49" s="187"/>
      <c r="AV49" s="33"/>
      <c r="AW49" s="33"/>
      <c r="AX49" s="33"/>
      <c r="AY49" s="33"/>
      <c r="AZ49" s="33"/>
      <c r="BA49" s="33"/>
      <c r="BB49" s="33"/>
      <c r="BC49" s="33"/>
      <c r="BD49" s="33"/>
      <c r="BE49" s="33"/>
      <c r="BF49" s="33"/>
      <c r="BG49" s="33"/>
      <c r="BH49" s="35"/>
      <c r="BI49" s="35"/>
      <c r="BJ49" s="35"/>
      <c r="BK49" s="30"/>
    </row>
    <row r="50" spans="1:63" s="31" customFormat="1" ht="15" customHeight="1" x14ac:dyDescent="0.25">
      <c r="A50" s="25"/>
      <c r="B50" s="33"/>
      <c r="C50" s="130">
        <v>6</v>
      </c>
      <c r="D50" s="132"/>
      <c r="E50" s="143" t="s">
        <v>190</v>
      </c>
      <c r="F50" s="144"/>
      <c r="G50" s="144"/>
      <c r="H50" s="144"/>
      <c r="I50" s="144"/>
      <c r="J50" s="144"/>
      <c r="K50" s="145"/>
      <c r="L50" s="133" t="s">
        <v>6</v>
      </c>
      <c r="M50" s="134"/>
      <c r="N50" s="134"/>
      <c r="O50" s="134"/>
      <c r="P50" s="134"/>
      <c r="Q50" s="134"/>
      <c r="R50" s="135"/>
      <c r="S50" s="127" t="s">
        <v>80</v>
      </c>
      <c r="T50" s="128"/>
      <c r="U50" s="128"/>
      <c r="V50" s="128"/>
      <c r="W50" s="128"/>
      <c r="X50" s="128"/>
      <c r="Y50" s="128"/>
      <c r="Z50" s="128"/>
      <c r="AA50" s="128"/>
      <c r="AB50" s="129"/>
      <c r="AC50" s="130" t="s">
        <v>206</v>
      </c>
      <c r="AD50" s="131"/>
      <c r="AE50" s="131"/>
      <c r="AF50" s="131"/>
      <c r="AG50" s="131"/>
      <c r="AH50" s="131"/>
      <c r="AI50" s="131"/>
      <c r="AJ50" s="131"/>
      <c r="AK50" s="131"/>
      <c r="AL50" s="131"/>
      <c r="AM50" s="131"/>
      <c r="AN50" s="131"/>
      <c r="AO50" s="131"/>
      <c r="AP50" s="131"/>
      <c r="AQ50" s="131"/>
      <c r="AR50" s="131"/>
      <c r="AS50" s="131"/>
      <c r="AT50" s="131"/>
      <c r="AU50" s="132"/>
      <c r="AV50" s="33"/>
      <c r="AW50" s="33"/>
      <c r="AX50" s="33"/>
      <c r="AY50" s="33"/>
      <c r="AZ50" s="33"/>
      <c r="BA50" s="33"/>
      <c r="BB50" s="33"/>
      <c r="BC50" s="33"/>
      <c r="BD50" s="33"/>
      <c r="BE50" s="33"/>
      <c r="BF50" s="33"/>
      <c r="BG50" s="33"/>
      <c r="BH50" s="35"/>
      <c r="BI50" s="35"/>
      <c r="BJ50" s="35"/>
      <c r="BK50" s="30"/>
    </row>
    <row r="51" spans="1:63" s="31" customFormat="1" ht="15" customHeight="1" x14ac:dyDescent="0.25">
      <c r="A51" s="25"/>
      <c r="B51" s="33"/>
      <c r="C51" s="130">
        <v>7</v>
      </c>
      <c r="D51" s="132"/>
      <c r="E51" s="143" t="s">
        <v>191</v>
      </c>
      <c r="F51" s="144"/>
      <c r="G51" s="144"/>
      <c r="H51" s="144"/>
      <c r="I51" s="144"/>
      <c r="J51" s="144"/>
      <c r="K51" s="145"/>
      <c r="L51" s="133" t="s">
        <v>196</v>
      </c>
      <c r="M51" s="134"/>
      <c r="N51" s="134"/>
      <c r="O51" s="134"/>
      <c r="P51" s="134"/>
      <c r="Q51" s="134"/>
      <c r="R51" s="135"/>
      <c r="S51" s="127" t="s">
        <v>69</v>
      </c>
      <c r="T51" s="128"/>
      <c r="U51" s="128"/>
      <c r="V51" s="128"/>
      <c r="W51" s="128"/>
      <c r="X51" s="128"/>
      <c r="Y51" s="128"/>
      <c r="Z51" s="128"/>
      <c r="AA51" s="128"/>
      <c r="AB51" s="129"/>
      <c r="AC51" s="130" t="s">
        <v>91</v>
      </c>
      <c r="AD51" s="131"/>
      <c r="AE51" s="131"/>
      <c r="AF51" s="131"/>
      <c r="AG51" s="131"/>
      <c r="AH51" s="131"/>
      <c r="AI51" s="131"/>
      <c r="AJ51" s="131"/>
      <c r="AK51" s="131"/>
      <c r="AL51" s="131"/>
      <c r="AM51" s="131"/>
      <c r="AN51" s="131"/>
      <c r="AO51" s="131"/>
      <c r="AP51" s="131"/>
      <c r="AQ51" s="131"/>
      <c r="AR51" s="131"/>
      <c r="AS51" s="131"/>
      <c r="AT51" s="131"/>
      <c r="AU51" s="132"/>
      <c r="AV51" s="33"/>
      <c r="AW51" s="33"/>
      <c r="AX51" s="33"/>
      <c r="AY51" s="33"/>
      <c r="AZ51" s="33"/>
      <c r="BA51" s="33"/>
      <c r="BB51" s="33"/>
      <c r="BC51" s="33"/>
      <c r="BD51" s="33"/>
      <c r="BE51" s="33"/>
      <c r="BF51" s="33"/>
      <c r="BG51" s="33"/>
      <c r="BH51" s="35"/>
      <c r="BI51" s="35"/>
      <c r="BJ51" s="35"/>
      <c r="BK51" s="30"/>
    </row>
    <row r="52" spans="1:63" s="31" customFormat="1" ht="15" customHeight="1" x14ac:dyDescent="0.25">
      <c r="A52" s="25"/>
      <c r="B52" s="33"/>
      <c r="C52" s="130">
        <v>8</v>
      </c>
      <c r="D52" s="132"/>
      <c r="E52" s="143" t="s">
        <v>192</v>
      </c>
      <c r="F52" s="144"/>
      <c r="G52" s="144"/>
      <c r="H52" s="144"/>
      <c r="I52" s="144"/>
      <c r="J52" s="144"/>
      <c r="K52" s="145"/>
      <c r="L52" s="133" t="s">
        <v>6</v>
      </c>
      <c r="M52" s="134"/>
      <c r="N52" s="134"/>
      <c r="O52" s="134"/>
      <c r="P52" s="134"/>
      <c r="Q52" s="134"/>
      <c r="R52" s="135"/>
      <c r="S52" s="127" t="s">
        <v>63</v>
      </c>
      <c r="T52" s="128"/>
      <c r="U52" s="128"/>
      <c r="V52" s="128"/>
      <c r="W52" s="128"/>
      <c r="X52" s="128"/>
      <c r="Y52" s="128"/>
      <c r="Z52" s="128"/>
      <c r="AA52" s="128"/>
      <c r="AB52" s="129"/>
      <c r="AC52" s="130" t="s">
        <v>92</v>
      </c>
      <c r="AD52" s="131"/>
      <c r="AE52" s="131"/>
      <c r="AF52" s="131"/>
      <c r="AG52" s="131"/>
      <c r="AH52" s="131"/>
      <c r="AI52" s="131"/>
      <c r="AJ52" s="131"/>
      <c r="AK52" s="131"/>
      <c r="AL52" s="131"/>
      <c r="AM52" s="131"/>
      <c r="AN52" s="131"/>
      <c r="AO52" s="131"/>
      <c r="AP52" s="131"/>
      <c r="AQ52" s="131"/>
      <c r="AR52" s="131"/>
      <c r="AS52" s="131"/>
      <c r="AT52" s="131"/>
      <c r="AU52" s="132"/>
      <c r="AV52" s="33"/>
      <c r="AW52" s="33"/>
      <c r="AX52" s="33"/>
      <c r="AY52" s="33"/>
      <c r="AZ52" s="33"/>
      <c r="BA52" s="33"/>
      <c r="BB52" s="33"/>
      <c r="BC52" s="33"/>
      <c r="BD52" s="33"/>
      <c r="BE52" s="33"/>
      <c r="BF52" s="33"/>
      <c r="BG52" s="33"/>
      <c r="BH52" s="35"/>
      <c r="BI52" s="35"/>
      <c r="BJ52" s="35"/>
      <c r="BK52" s="30"/>
    </row>
    <row r="53" spans="1:63" s="31" customFormat="1" ht="15" customHeight="1" x14ac:dyDescent="0.25">
      <c r="A53" s="25"/>
      <c r="B53" s="33"/>
      <c r="C53" s="130">
        <v>9</v>
      </c>
      <c r="D53" s="132"/>
      <c r="E53" s="133" t="s">
        <v>84</v>
      </c>
      <c r="F53" s="134"/>
      <c r="G53" s="134"/>
      <c r="H53" s="134"/>
      <c r="I53" s="134"/>
      <c r="J53" s="134"/>
      <c r="K53" s="135"/>
      <c r="L53" s="133" t="s">
        <v>196</v>
      </c>
      <c r="M53" s="134"/>
      <c r="N53" s="134"/>
      <c r="O53" s="134"/>
      <c r="P53" s="134"/>
      <c r="Q53" s="134"/>
      <c r="R53" s="135"/>
      <c r="S53" s="127" t="s">
        <v>66</v>
      </c>
      <c r="T53" s="128"/>
      <c r="U53" s="128"/>
      <c r="V53" s="128"/>
      <c r="W53" s="128"/>
      <c r="X53" s="128"/>
      <c r="Y53" s="128"/>
      <c r="Z53" s="128"/>
      <c r="AA53" s="128"/>
      <c r="AB53" s="129"/>
      <c r="AC53" s="130" t="s">
        <v>93</v>
      </c>
      <c r="AD53" s="131"/>
      <c r="AE53" s="131"/>
      <c r="AF53" s="131"/>
      <c r="AG53" s="131"/>
      <c r="AH53" s="131"/>
      <c r="AI53" s="131"/>
      <c r="AJ53" s="131"/>
      <c r="AK53" s="131"/>
      <c r="AL53" s="131"/>
      <c r="AM53" s="131"/>
      <c r="AN53" s="131"/>
      <c r="AO53" s="131"/>
      <c r="AP53" s="131"/>
      <c r="AQ53" s="131"/>
      <c r="AR53" s="131"/>
      <c r="AS53" s="131"/>
      <c r="AT53" s="131"/>
      <c r="AU53" s="132"/>
      <c r="AV53" s="33"/>
      <c r="AW53" s="33"/>
      <c r="AX53" s="33"/>
      <c r="AY53" s="33"/>
      <c r="AZ53" s="33"/>
      <c r="BA53" s="33"/>
      <c r="BB53" s="33"/>
      <c r="BC53" s="33"/>
      <c r="BD53" s="33"/>
      <c r="BE53" s="33"/>
      <c r="BF53" s="33"/>
      <c r="BG53" s="33"/>
      <c r="BH53" s="35"/>
      <c r="BI53" s="35"/>
      <c r="BJ53" s="35"/>
      <c r="BK53" s="30"/>
    </row>
    <row r="54" spans="1:63" s="31" customFormat="1" ht="15" customHeight="1" x14ac:dyDescent="0.25">
      <c r="A54" s="25"/>
      <c r="B54" s="33"/>
      <c r="C54" s="130">
        <v>10</v>
      </c>
      <c r="D54" s="132"/>
      <c r="E54" s="133" t="s">
        <v>85</v>
      </c>
      <c r="F54" s="134"/>
      <c r="G54" s="134"/>
      <c r="H54" s="134"/>
      <c r="I54" s="134"/>
      <c r="J54" s="134"/>
      <c r="K54" s="135"/>
      <c r="L54" s="133" t="s">
        <v>196</v>
      </c>
      <c r="M54" s="134"/>
      <c r="N54" s="134"/>
      <c r="O54" s="134"/>
      <c r="P54" s="134"/>
      <c r="Q54" s="134"/>
      <c r="R54" s="135"/>
      <c r="S54" s="127" t="s">
        <v>67</v>
      </c>
      <c r="T54" s="128"/>
      <c r="U54" s="128"/>
      <c r="V54" s="128"/>
      <c r="W54" s="128"/>
      <c r="X54" s="128"/>
      <c r="Y54" s="128"/>
      <c r="Z54" s="128"/>
      <c r="AA54" s="128"/>
      <c r="AB54" s="129"/>
      <c r="AC54" s="130" t="s">
        <v>94</v>
      </c>
      <c r="AD54" s="131"/>
      <c r="AE54" s="131"/>
      <c r="AF54" s="131"/>
      <c r="AG54" s="131"/>
      <c r="AH54" s="131"/>
      <c r="AI54" s="131"/>
      <c r="AJ54" s="131"/>
      <c r="AK54" s="131"/>
      <c r="AL54" s="131"/>
      <c r="AM54" s="131"/>
      <c r="AN54" s="131"/>
      <c r="AO54" s="131"/>
      <c r="AP54" s="131"/>
      <c r="AQ54" s="131"/>
      <c r="AR54" s="131"/>
      <c r="AS54" s="131"/>
      <c r="AT54" s="131"/>
      <c r="AU54" s="132"/>
      <c r="AV54" s="33"/>
      <c r="AW54" s="33"/>
      <c r="AX54" s="33"/>
      <c r="AY54" s="33"/>
      <c r="AZ54" s="33"/>
      <c r="BA54" s="33"/>
      <c r="BB54" s="33"/>
      <c r="BC54" s="33"/>
      <c r="BD54" s="33"/>
      <c r="BE54" s="33"/>
      <c r="BF54" s="33"/>
      <c r="BG54" s="33"/>
      <c r="BH54" s="35"/>
      <c r="BI54" s="35"/>
      <c r="BJ54" s="35"/>
      <c r="BK54" s="30"/>
    </row>
    <row r="55" spans="1:63" s="75" customFormat="1" ht="15" customHeight="1" x14ac:dyDescent="0.25">
      <c r="A55" s="71"/>
      <c r="B55" s="73"/>
      <c r="C55" s="185">
        <v>11</v>
      </c>
      <c r="D55" s="187"/>
      <c r="E55" s="188" t="s">
        <v>170</v>
      </c>
      <c r="F55" s="189"/>
      <c r="G55" s="189"/>
      <c r="H55" s="189"/>
      <c r="I55" s="189"/>
      <c r="J55" s="189"/>
      <c r="K55" s="190"/>
      <c r="L55" s="188" t="s">
        <v>197</v>
      </c>
      <c r="M55" s="189"/>
      <c r="N55" s="189"/>
      <c r="O55" s="189"/>
      <c r="P55" s="189"/>
      <c r="Q55" s="189"/>
      <c r="R55" s="190"/>
      <c r="S55" s="194" t="s">
        <v>171</v>
      </c>
      <c r="T55" s="195"/>
      <c r="U55" s="195"/>
      <c r="V55" s="195"/>
      <c r="W55" s="195"/>
      <c r="X55" s="195"/>
      <c r="Y55" s="195"/>
      <c r="Z55" s="195"/>
      <c r="AA55" s="195"/>
      <c r="AB55" s="196"/>
      <c r="AC55" s="185" t="s">
        <v>172</v>
      </c>
      <c r="AD55" s="186"/>
      <c r="AE55" s="186"/>
      <c r="AF55" s="186"/>
      <c r="AG55" s="186"/>
      <c r="AH55" s="186"/>
      <c r="AI55" s="186"/>
      <c r="AJ55" s="186"/>
      <c r="AK55" s="186"/>
      <c r="AL55" s="186"/>
      <c r="AM55" s="186"/>
      <c r="AN55" s="186"/>
      <c r="AO55" s="186"/>
      <c r="AP55" s="186"/>
      <c r="AQ55" s="186"/>
      <c r="AR55" s="186"/>
      <c r="AS55" s="186"/>
      <c r="AT55" s="186"/>
      <c r="AU55" s="187"/>
      <c r="AV55" s="73"/>
      <c r="AW55" s="73"/>
      <c r="AX55" s="73"/>
      <c r="AY55" s="73"/>
      <c r="AZ55" s="73"/>
      <c r="BA55" s="73"/>
      <c r="BB55" s="73"/>
      <c r="BC55" s="73"/>
      <c r="BD55" s="73"/>
      <c r="BE55" s="73"/>
      <c r="BF55" s="73"/>
      <c r="BG55" s="73"/>
      <c r="BH55" s="70"/>
      <c r="BI55" s="70"/>
      <c r="BJ55" s="70"/>
      <c r="BK55" s="74"/>
    </row>
    <row r="56" spans="1:63" s="31" customFormat="1" ht="15" customHeight="1" x14ac:dyDescent="0.25">
      <c r="A56" s="25"/>
      <c r="B56" s="33"/>
      <c r="C56" s="130">
        <v>12</v>
      </c>
      <c r="D56" s="132"/>
      <c r="E56" s="143" t="s">
        <v>154</v>
      </c>
      <c r="F56" s="144"/>
      <c r="G56" s="144"/>
      <c r="H56" s="144"/>
      <c r="I56" s="144"/>
      <c r="J56" s="144"/>
      <c r="K56" s="145"/>
      <c r="L56" s="143" t="s">
        <v>198</v>
      </c>
      <c r="M56" s="144"/>
      <c r="N56" s="144"/>
      <c r="O56" s="144"/>
      <c r="P56" s="144"/>
      <c r="Q56" s="144"/>
      <c r="R56" s="145"/>
      <c r="S56" s="139" t="s">
        <v>157</v>
      </c>
      <c r="T56" s="140"/>
      <c r="U56" s="140"/>
      <c r="V56" s="140"/>
      <c r="W56" s="140"/>
      <c r="X56" s="140"/>
      <c r="Y56" s="140"/>
      <c r="Z56" s="140"/>
      <c r="AA56" s="140"/>
      <c r="AB56" s="141"/>
      <c r="AC56" s="125" t="s">
        <v>159</v>
      </c>
      <c r="AD56" s="118"/>
      <c r="AE56" s="118"/>
      <c r="AF56" s="118"/>
      <c r="AG56" s="118"/>
      <c r="AH56" s="118"/>
      <c r="AI56" s="118"/>
      <c r="AJ56" s="118"/>
      <c r="AK56" s="118"/>
      <c r="AL56" s="118"/>
      <c r="AM56" s="118"/>
      <c r="AN56" s="118"/>
      <c r="AO56" s="118"/>
      <c r="AP56" s="118"/>
      <c r="AQ56" s="118"/>
      <c r="AR56" s="118"/>
      <c r="AS56" s="118"/>
      <c r="AT56" s="118"/>
      <c r="AU56" s="119"/>
      <c r="AV56" s="33"/>
      <c r="AW56" s="33"/>
      <c r="AX56" s="33"/>
      <c r="AY56" s="33"/>
      <c r="AZ56" s="33"/>
      <c r="BA56" s="33"/>
      <c r="BB56" s="33"/>
      <c r="BC56" s="33"/>
      <c r="BD56" s="33"/>
      <c r="BE56" s="33"/>
      <c r="BF56" s="33"/>
      <c r="BG56" s="33"/>
      <c r="BH56" s="35"/>
      <c r="BI56" s="35"/>
      <c r="BJ56" s="35"/>
      <c r="BK56" s="30"/>
    </row>
    <row r="57" spans="1:63" s="31" customFormat="1" ht="15" customHeight="1" x14ac:dyDescent="0.25">
      <c r="A57" s="25"/>
      <c r="B57" s="33"/>
      <c r="C57" s="130">
        <v>13</v>
      </c>
      <c r="D57" s="132"/>
      <c r="E57" s="143" t="s">
        <v>155</v>
      </c>
      <c r="F57" s="144"/>
      <c r="G57" s="144"/>
      <c r="H57" s="144"/>
      <c r="I57" s="144"/>
      <c r="J57" s="144"/>
      <c r="K57" s="145"/>
      <c r="L57" s="143" t="s">
        <v>156</v>
      </c>
      <c r="M57" s="144"/>
      <c r="N57" s="144"/>
      <c r="O57" s="144"/>
      <c r="P57" s="144"/>
      <c r="Q57" s="144"/>
      <c r="R57" s="145"/>
      <c r="S57" s="139" t="s">
        <v>158</v>
      </c>
      <c r="T57" s="140"/>
      <c r="U57" s="140"/>
      <c r="V57" s="140"/>
      <c r="W57" s="140"/>
      <c r="X57" s="140"/>
      <c r="Y57" s="140"/>
      <c r="Z57" s="140"/>
      <c r="AA57" s="140"/>
      <c r="AB57" s="141"/>
      <c r="AC57" s="125" t="s">
        <v>160</v>
      </c>
      <c r="AD57" s="118"/>
      <c r="AE57" s="118"/>
      <c r="AF57" s="118"/>
      <c r="AG57" s="118"/>
      <c r="AH57" s="118"/>
      <c r="AI57" s="118"/>
      <c r="AJ57" s="118"/>
      <c r="AK57" s="118"/>
      <c r="AL57" s="118"/>
      <c r="AM57" s="118"/>
      <c r="AN57" s="118"/>
      <c r="AO57" s="118"/>
      <c r="AP57" s="118"/>
      <c r="AQ57" s="118"/>
      <c r="AR57" s="118"/>
      <c r="AS57" s="118"/>
      <c r="AT57" s="118"/>
      <c r="AU57" s="119"/>
      <c r="AV57" s="33"/>
      <c r="AW57" s="33"/>
      <c r="AX57" s="33"/>
      <c r="AY57" s="33"/>
      <c r="AZ57" s="33"/>
      <c r="BA57" s="33"/>
      <c r="BB57" s="33"/>
      <c r="BC57" s="33"/>
      <c r="BD57" s="33"/>
      <c r="BE57" s="33"/>
      <c r="BF57" s="33"/>
      <c r="BG57" s="33"/>
      <c r="BH57" s="35"/>
      <c r="BI57" s="35"/>
      <c r="BJ57" s="35"/>
      <c r="BK57" s="30"/>
    </row>
    <row r="58" spans="1:63" s="31" customFormat="1" ht="15" customHeight="1" x14ac:dyDescent="0.25">
      <c r="A58" s="25"/>
      <c r="B58" s="33"/>
      <c r="C58" s="130">
        <v>14</v>
      </c>
      <c r="D58" s="132"/>
      <c r="E58" s="143" t="s">
        <v>193</v>
      </c>
      <c r="F58" s="144"/>
      <c r="G58" s="144"/>
      <c r="H58" s="144"/>
      <c r="I58" s="144"/>
      <c r="J58" s="144"/>
      <c r="K58" s="145"/>
      <c r="L58" s="143" t="s">
        <v>6</v>
      </c>
      <c r="M58" s="144"/>
      <c r="N58" s="144"/>
      <c r="O58" s="144"/>
      <c r="P58" s="144"/>
      <c r="Q58" s="144"/>
      <c r="R58" s="145"/>
      <c r="S58" s="139" t="s">
        <v>70</v>
      </c>
      <c r="T58" s="140"/>
      <c r="U58" s="140"/>
      <c r="V58" s="140"/>
      <c r="W58" s="140"/>
      <c r="X58" s="140"/>
      <c r="Y58" s="140"/>
      <c r="Z58" s="140"/>
      <c r="AA58" s="140"/>
      <c r="AB58" s="141"/>
      <c r="AC58" s="125" t="s">
        <v>95</v>
      </c>
      <c r="AD58" s="118"/>
      <c r="AE58" s="118"/>
      <c r="AF58" s="118"/>
      <c r="AG58" s="118"/>
      <c r="AH58" s="118"/>
      <c r="AI58" s="118"/>
      <c r="AJ58" s="118"/>
      <c r="AK58" s="118"/>
      <c r="AL58" s="118"/>
      <c r="AM58" s="118"/>
      <c r="AN58" s="118"/>
      <c r="AO58" s="118"/>
      <c r="AP58" s="118"/>
      <c r="AQ58" s="118"/>
      <c r="AR58" s="118"/>
      <c r="AS58" s="118"/>
      <c r="AT58" s="118"/>
      <c r="AU58" s="119"/>
      <c r="AV58" s="33"/>
      <c r="AW58" s="33"/>
      <c r="AX58" s="33"/>
      <c r="AY58" s="33"/>
      <c r="AZ58" s="33"/>
      <c r="BA58" s="33"/>
      <c r="BB58" s="33"/>
      <c r="BC58" s="33"/>
      <c r="BD58" s="33"/>
      <c r="BE58" s="33"/>
      <c r="BF58" s="33"/>
      <c r="BG58" s="33"/>
      <c r="BH58" s="35"/>
      <c r="BI58" s="35"/>
      <c r="BJ58" s="35"/>
      <c r="BK58" s="30"/>
    </row>
    <row r="59" spans="1:63" s="31" customFormat="1" ht="15" customHeight="1" x14ac:dyDescent="0.25">
      <c r="A59" s="25"/>
      <c r="B59" s="33"/>
      <c r="C59" s="130">
        <v>15</v>
      </c>
      <c r="D59" s="132"/>
      <c r="E59" s="143" t="s">
        <v>109</v>
      </c>
      <c r="F59" s="144"/>
      <c r="G59" s="144"/>
      <c r="H59" s="144"/>
      <c r="I59" s="144"/>
      <c r="J59" s="144"/>
      <c r="K59" s="145"/>
      <c r="L59" s="143" t="s">
        <v>100</v>
      </c>
      <c r="M59" s="144"/>
      <c r="N59" s="144"/>
      <c r="O59" s="144"/>
      <c r="P59" s="144"/>
      <c r="Q59" s="144"/>
      <c r="R59" s="145"/>
      <c r="S59" s="139"/>
      <c r="T59" s="140"/>
      <c r="U59" s="140"/>
      <c r="V59" s="140"/>
      <c r="W59" s="140"/>
      <c r="X59" s="140"/>
      <c r="Y59" s="140"/>
      <c r="Z59" s="140"/>
      <c r="AA59" s="140"/>
      <c r="AB59" s="141"/>
      <c r="AC59" s="125"/>
      <c r="AD59" s="118"/>
      <c r="AE59" s="118"/>
      <c r="AF59" s="118"/>
      <c r="AG59" s="118"/>
      <c r="AH59" s="118"/>
      <c r="AI59" s="118"/>
      <c r="AJ59" s="118"/>
      <c r="AK59" s="118"/>
      <c r="AL59" s="118"/>
      <c r="AM59" s="118"/>
      <c r="AN59" s="118"/>
      <c r="AO59" s="118"/>
      <c r="AP59" s="118"/>
      <c r="AQ59" s="118"/>
      <c r="AR59" s="118"/>
      <c r="AS59" s="118"/>
      <c r="AT59" s="118"/>
      <c r="AU59" s="119"/>
      <c r="AV59" s="33"/>
      <c r="AW59" s="33"/>
      <c r="AX59" s="33"/>
      <c r="AY59" s="33"/>
      <c r="AZ59" s="33"/>
      <c r="BA59" s="33"/>
      <c r="BB59" s="33"/>
      <c r="BC59" s="33"/>
      <c r="BD59" s="33"/>
      <c r="BE59" s="33"/>
      <c r="BF59" s="33"/>
      <c r="BG59" s="33"/>
      <c r="BH59" s="35"/>
      <c r="BI59" s="35"/>
      <c r="BJ59" s="35"/>
      <c r="BK59" s="30"/>
    </row>
    <row r="60" spans="1:63" s="31" customFormat="1" ht="15" customHeight="1" x14ac:dyDescent="0.25">
      <c r="A60" s="25"/>
      <c r="B60" s="33"/>
      <c r="C60" s="133">
        <v>16</v>
      </c>
      <c r="D60" s="135"/>
      <c r="E60" s="136" t="s">
        <v>104</v>
      </c>
      <c r="F60" s="137"/>
      <c r="G60" s="137"/>
      <c r="H60" s="137"/>
      <c r="I60" s="137"/>
      <c r="J60" s="137"/>
      <c r="K60" s="138"/>
      <c r="L60" s="136" t="s">
        <v>105</v>
      </c>
      <c r="M60" s="137"/>
      <c r="N60" s="137"/>
      <c r="O60" s="137"/>
      <c r="P60" s="137"/>
      <c r="Q60" s="137"/>
      <c r="R60" s="138"/>
      <c r="S60" s="139" t="s">
        <v>106</v>
      </c>
      <c r="T60" s="140"/>
      <c r="U60" s="140"/>
      <c r="V60" s="140"/>
      <c r="W60" s="140"/>
      <c r="X60" s="140"/>
      <c r="Y60" s="140"/>
      <c r="Z60" s="140"/>
      <c r="AA60" s="140"/>
      <c r="AB60" s="141"/>
      <c r="AC60" s="125"/>
      <c r="AD60" s="118"/>
      <c r="AE60" s="118"/>
      <c r="AF60" s="118"/>
      <c r="AG60" s="118"/>
      <c r="AH60" s="118"/>
      <c r="AI60" s="118"/>
      <c r="AJ60" s="118"/>
      <c r="AK60" s="118"/>
      <c r="AL60" s="118"/>
      <c r="AM60" s="118"/>
      <c r="AN60" s="118"/>
      <c r="AO60" s="118"/>
      <c r="AP60" s="118"/>
      <c r="AQ60" s="118"/>
      <c r="AR60" s="118"/>
      <c r="AS60" s="118"/>
      <c r="AT60" s="118"/>
      <c r="AU60" s="119"/>
      <c r="AV60" s="33"/>
      <c r="AW60" s="33"/>
      <c r="AX60" s="33"/>
      <c r="AY60" s="33"/>
      <c r="AZ60" s="33"/>
      <c r="BA60" s="33"/>
      <c r="BB60" s="33"/>
      <c r="BC60" s="33"/>
      <c r="BD60" s="33"/>
      <c r="BE60" s="33"/>
      <c r="BF60" s="33"/>
      <c r="BG60" s="33"/>
      <c r="BH60" s="35"/>
      <c r="BI60" s="35"/>
      <c r="BJ60" s="35"/>
      <c r="BK60" s="30"/>
    </row>
    <row r="61" spans="1:63" s="31" customFormat="1" ht="15" customHeight="1" x14ac:dyDescent="0.25">
      <c r="A61" s="25"/>
      <c r="B61" s="33"/>
      <c r="C61" s="133">
        <v>17</v>
      </c>
      <c r="D61" s="135"/>
      <c r="E61" s="136" t="s">
        <v>52</v>
      </c>
      <c r="F61" s="137"/>
      <c r="G61" s="137"/>
      <c r="H61" s="137"/>
      <c r="I61" s="137"/>
      <c r="J61" s="137"/>
      <c r="K61" s="138"/>
      <c r="L61" s="136" t="s">
        <v>6</v>
      </c>
      <c r="M61" s="137"/>
      <c r="N61" s="137"/>
      <c r="O61" s="137"/>
      <c r="P61" s="137"/>
      <c r="Q61" s="137"/>
      <c r="R61" s="138"/>
      <c r="S61" s="139" t="s">
        <v>112</v>
      </c>
      <c r="T61" s="140"/>
      <c r="U61" s="140"/>
      <c r="V61" s="140"/>
      <c r="W61" s="140"/>
      <c r="X61" s="140"/>
      <c r="Y61" s="140"/>
      <c r="Z61" s="140"/>
      <c r="AA61" s="140"/>
      <c r="AB61" s="141"/>
      <c r="AC61" s="125"/>
      <c r="AD61" s="118"/>
      <c r="AE61" s="118"/>
      <c r="AF61" s="118"/>
      <c r="AG61" s="118"/>
      <c r="AH61" s="118"/>
      <c r="AI61" s="118"/>
      <c r="AJ61" s="118"/>
      <c r="AK61" s="118"/>
      <c r="AL61" s="118"/>
      <c r="AM61" s="118"/>
      <c r="AN61" s="118"/>
      <c r="AO61" s="118"/>
      <c r="AP61" s="118"/>
      <c r="AQ61" s="118"/>
      <c r="AR61" s="118"/>
      <c r="AS61" s="118"/>
      <c r="AT61" s="118"/>
      <c r="AU61" s="119"/>
      <c r="AV61" s="33"/>
      <c r="AW61" s="33"/>
      <c r="AX61" s="33"/>
      <c r="AY61" s="33"/>
      <c r="AZ61" s="33"/>
      <c r="BA61" s="33"/>
      <c r="BB61" s="33"/>
      <c r="BC61" s="33"/>
      <c r="BD61" s="33"/>
      <c r="BE61" s="33"/>
      <c r="BF61" s="33"/>
      <c r="BG61" s="33"/>
      <c r="BH61" s="35"/>
      <c r="BI61" s="35"/>
      <c r="BJ61" s="35"/>
      <c r="BK61" s="30"/>
    </row>
    <row r="62" spans="1:63" s="31" customFormat="1" ht="15" customHeight="1" x14ac:dyDescent="0.25">
      <c r="A62" s="25"/>
      <c r="B62" s="33"/>
      <c r="C62" s="133">
        <v>18</v>
      </c>
      <c r="D62" s="135"/>
      <c r="E62" s="136" t="s">
        <v>46</v>
      </c>
      <c r="F62" s="137"/>
      <c r="G62" s="137"/>
      <c r="H62" s="137"/>
      <c r="I62" s="137"/>
      <c r="J62" s="137"/>
      <c r="K62" s="138"/>
      <c r="L62" s="136" t="s">
        <v>6</v>
      </c>
      <c r="M62" s="137"/>
      <c r="N62" s="137"/>
      <c r="O62" s="137"/>
      <c r="P62" s="137"/>
      <c r="Q62" s="137"/>
      <c r="R62" s="138"/>
      <c r="S62" s="139" t="s">
        <v>113</v>
      </c>
      <c r="T62" s="140"/>
      <c r="U62" s="140"/>
      <c r="V62" s="140"/>
      <c r="W62" s="140"/>
      <c r="X62" s="140"/>
      <c r="Y62" s="140"/>
      <c r="Z62" s="140"/>
      <c r="AA62" s="140"/>
      <c r="AB62" s="141"/>
      <c r="AC62" s="125" t="s">
        <v>96</v>
      </c>
      <c r="AD62" s="118"/>
      <c r="AE62" s="118"/>
      <c r="AF62" s="118"/>
      <c r="AG62" s="118"/>
      <c r="AH62" s="118"/>
      <c r="AI62" s="118"/>
      <c r="AJ62" s="118"/>
      <c r="AK62" s="118"/>
      <c r="AL62" s="118"/>
      <c r="AM62" s="118"/>
      <c r="AN62" s="118"/>
      <c r="AO62" s="118"/>
      <c r="AP62" s="118"/>
      <c r="AQ62" s="118"/>
      <c r="AR62" s="118"/>
      <c r="AS62" s="118"/>
      <c r="AT62" s="118"/>
      <c r="AU62" s="119"/>
      <c r="AV62" s="33"/>
      <c r="AW62" s="33"/>
      <c r="AX62" s="33"/>
      <c r="AY62" s="33"/>
      <c r="AZ62" s="33"/>
      <c r="BA62" s="33"/>
      <c r="BB62" s="33"/>
      <c r="BC62" s="33"/>
      <c r="BD62" s="33"/>
      <c r="BE62" s="33"/>
      <c r="BF62" s="33"/>
      <c r="BG62" s="33"/>
      <c r="BH62" s="35"/>
      <c r="BI62" s="35"/>
      <c r="BJ62" s="35"/>
      <c r="BK62" s="30"/>
    </row>
    <row r="63" spans="1:63" s="31" customFormat="1" ht="15" customHeight="1" x14ac:dyDescent="0.25">
      <c r="A63" s="25"/>
      <c r="B63" s="33"/>
      <c r="C63" s="133">
        <v>19</v>
      </c>
      <c r="D63" s="135"/>
      <c r="E63" s="136" t="s">
        <v>62</v>
      </c>
      <c r="F63" s="137"/>
      <c r="G63" s="137"/>
      <c r="H63" s="137"/>
      <c r="I63" s="137"/>
      <c r="J63" s="137"/>
      <c r="K63" s="138"/>
      <c r="L63" s="136" t="s">
        <v>196</v>
      </c>
      <c r="M63" s="137"/>
      <c r="N63" s="137"/>
      <c r="O63" s="137"/>
      <c r="P63" s="137"/>
      <c r="Q63" s="137"/>
      <c r="R63" s="138"/>
      <c r="S63" s="139" t="s">
        <v>114</v>
      </c>
      <c r="T63" s="140"/>
      <c r="U63" s="140"/>
      <c r="V63" s="140"/>
      <c r="W63" s="140"/>
      <c r="X63" s="140"/>
      <c r="Y63" s="140"/>
      <c r="Z63" s="140"/>
      <c r="AA63" s="140"/>
      <c r="AB63" s="141"/>
      <c r="AC63" s="125" t="s">
        <v>97</v>
      </c>
      <c r="AD63" s="118"/>
      <c r="AE63" s="118"/>
      <c r="AF63" s="118"/>
      <c r="AG63" s="118"/>
      <c r="AH63" s="118"/>
      <c r="AI63" s="118"/>
      <c r="AJ63" s="118"/>
      <c r="AK63" s="118"/>
      <c r="AL63" s="118"/>
      <c r="AM63" s="118"/>
      <c r="AN63" s="118"/>
      <c r="AO63" s="118"/>
      <c r="AP63" s="118"/>
      <c r="AQ63" s="118"/>
      <c r="AR63" s="118"/>
      <c r="AS63" s="118"/>
      <c r="AT63" s="118"/>
      <c r="AU63" s="119"/>
      <c r="AV63" s="33"/>
      <c r="AW63" s="33"/>
      <c r="AX63" s="33"/>
      <c r="AY63" s="33"/>
      <c r="AZ63" s="33"/>
      <c r="BA63" s="33"/>
      <c r="BB63" s="33"/>
      <c r="BC63" s="33"/>
      <c r="BD63" s="33"/>
      <c r="BE63" s="33"/>
      <c r="BF63" s="33"/>
      <c r="BG63" s="33"/>
      <c r="BH63" s="35"/>
      <c r="BI63" s="35"/>
      <c r="BJ63" s="35"/>
      <c r="BK63" s="30"/>
    </row>
    <row r="64" spans="1:63" s="31" customFormat="1" ht="15" customHeight="1" x14ac:dyDescent="0.25">
      <c r="A64" s="25"/>
      <c r="B64" s="33"/>
      <c r="C64" s="133">
        <v>20</v>
      </c>
      <c r="D64" s="135"/>
      <c r="E64" s="136" t="s">
        <v>51</v>
      </c>
      <c r="F64" s="137"/>
      <c r="G64" s="137"/>
      <c r="H64" s="137"/>
      <c r="I64" s="137"/>
      <c r="J64" s="137"/>
      <c r="K64" s="138"/>
      <c r="L64" s="136" t="s">
        <v>6</v>
      </c>
      <c r="M64" s="137"/>
      <c r="N64" s="137"/>
      <c r="O64" s="137"/>
      <c r="P64" s="137"/>
      <c r="Q64" s="137"/>
      <c r="R64" s="138"/>
      <c r="S64" s="139" t="s">
        <v>115</v>
      </c>
      <c r="T64" s="140"/>
      <c r="U64" s="140"/>
      <c r="V64" s="140"/>
      <c r="W64" s="140"/>
      <c r="X64" s="140"/>
      <c r="Y64" s="140"/>
      <c r="Z64" s="140"/>
      <c r="AA64" s="140"/>
      <c r="AB64" s="141"/>
      <c r="AC64" s="125" t="s">
        <v>58</v>
      </c>
      <c r="AD64" s="118"/>
      <c r="AE64" s="118"/>
      <c r="AF64" s="118"/>
      <c r="AG64" s="118"/>
      <c r="AH64" s="118"/>
      <c r="AI64" s="118"/>
      <c r="AJ64" s="118"/>
      <c r="AK64" s="118"/>
      <c r="AL64" s="118"/>
      <c r="AM64" s="118"/>
      <c r="AN64" s="118"/>
      <c r="AO64" s="118"/>
      <c r="AP64" s="118"/>
      <c r="AQ64" s="118"/>
      <c r="AR64" s="118"/>
      <c r="AS64" s="118"/>
      <c r="AT64" s="118"/>
      <c r="AU64" s="119"/>
      <c r="AV64" s="33"/>
      <c r="AW64" s="33"/>
      <c r="AX64" s="33"/>
      <c r="AY64" s="33"/>
      <c r="AZ64" s="33"/>
      <c r="BA64" s="33"/>
      <c r="BB64" s="33"/>
      <c r="BC64" s="33"/>
      <c r="BD64" s="33"/>
      <c r="BE64" s="33"/>
      <c r="BF64" s="33"/>
      <c r="BG64" s="33"/>
      <c r="BH64" s="35"/>
      <c r="BI64" s="35"/>
      <c r="BJ64" s="35"/>
      <c r="BK64" s="30"/>
    </row>
    <row r="65" spans="1:63" s="31" customFormat="1" ht="45.75" customHeight="1" x14ac:dyDescent="0.25">
      <c r="A65" s="25"/>
      <c r="B65" s="33"/>
      <c r="C65" s="133">
        <v>21</v>
      </c>
      <c r="D65" s="135"/>
      <c r="E65" s="136" t="s">
        <v>150</v>
      </c>
      <c r="F65" s="137"/>
      <c r="G65" s="137"/>
      <c r="H65" s="137"/>
      <c r="I65" s="137"/>
      <c r="J65" s="137"/>
      <c r="K65" s="138"/>
      <c r="L65" s="136" t="s">
        <v>65</v>
      </c>
      <c r="M65" s="137"/>
      <c r="N65" s="137"/>
      <c r="O65" s="137"/>
      <c r="P65" s="137"/>
      <c r="Q65" s="137"/>
      <c r="R65" s="138"/>
      <c r="S65" s="139" t="s">
        <v>151</v>
      </c>
      <c r="T65" s="140"/>
      <c r="U65" s="140"/>
      <c r="V65" s="140"/>
      <c r="W65" s="140"/>
      <c r="X65" s="140"/>
      <c r="Y65" s="140"/>
      <c r="Z65" s="140"/>
      <c r="AA65" s="140"/>
      <c r="AB65" s="141"/>
      <c r="AC65" s="142" t="s">
        <v>152</v>
      </c>
      <c r="AD65" s="118"/>
      <c r="AE65" s="118"/>
      <c r="AF65" s="118"/>
      <c r="AG65" s="118"/>
      <c r="AH65" s="118"/>
      <c r="AI65" s="118"/>
      <c r="AJ65" s="118"/>
      <c r="AK65" s="118"/>
      <c r="AL65" s="118"/>
      <c r="AM65" s="118"/>
      <c r="AN65" s="118"/>
      <c r="AO65" s="118"/>
      <c r="AP65" s="118"/>
      <c r="AQ65" s="118"/>
      <c r="AR65" s="118"/>
      <c r="AS65" s="118"/>
      <c r="AT65" s="118"/>
      <c r="AU65" s="119"/>
      <c r="AV65" s="33"/>
      <c r="AW65" s="33"/>
      <c r="AX65" s="33"/>
      <c r="AY65" s="33"/>
      <c r="AZ65" s="33"/>
      <c r="BA65" s="33"/>
      <c r="BB65" s="33"/>
      <c r="BC65" s="33"/>
      <c r="BD65" s="33"/>
      <c r="BE65" s="33"/>
      <c r="BF65" s="33"/>
      <c r="BG65" s="33"/>
      <c r="BH65" s="35"/>
      <c r="BI65" s="35"/>
      <c r="BJ65" s="35"/>
      <c r="BK65" s="30"/>
    </row>
    <row r="66" spans="1:63" s="64" customFormat="1" ht="15" customHeight="1" x14ac:dyDescent="0.25">
      <c r="A66" s="61"/>
      <c r="B66" s="62"/>
      <c r="C66" s="133">
        <v>22</v>
      </c>
      <c r="D66" s="135"/>
      <c r="E66" s="136" t="s">
        <v>89</v>
      </c>
      <c r="F66" s="137"/>
      <c r="G66" s="137"/>
      <c r="H66" s="137"/>
      <c r="I66" s="137"/>
      <c r="J66" s="137"/>
      <c r="K66" s="138"/>
      <c r="L66" s="136" t="s">
        <v>199</v>
      </c>
      <c r="M66" s="137"/>
      <c r="N66" s="137"/>
      <c r="O66" s="137"/>
      <c r="P66" s="137"/>
      <c r="Q66" s="137"/>
      <c r="R66" s="138"/>
      <c r="S66" s="139" t="s">
        <v>74</v>
      </c>
      <c r="T66" s="140"/>
      <c r="U66" s="140"/>
      <c r="V66" s="140"/>
      <c r="W66" s="140"/>
      <c r="X66" s="140"/>
      <c r="Y66" s="140"/>
      <c r="Z66" s="140"/>
      <c r="AA66" s="140"/>
      <c r="AB66" s="141"/>
      <c r="AC66" s="125" t="s">
        <v>116</v>
      </c>
      <c r="AD66" s="118"/>
      <c r="AE66" s="118"/>
      <c r="AF66" s="118"/>
      <c r="AG66" s="118"/>
      <c r="AH66" s="118"/>
      <c r="AI66" s="118"/>
      <c r="AJ66" s="118"/>
      <c r="AK66" s="118"/>
      <c r="AL66" s="118"/>
      <c r="AM66" s="118"/>
      <c r="AN66" s="118"/>
      <c r="AO66" s="118"/>
      <c r="AP66" s="118"/>
      <c r="AQ66" s="118"/>
      <c r="AR66" s="118"/>
      <c r="AS66" s="118"/>
      <c r="AT66" s="118"/>
      <c r="AU66" s="119"/>
      <c r="AV66" s="62"/>
      <c r="AW66" s="62"/>
      <c r="AX66" s="62"/>
      <c r="AY66" s="62"/>
      <c r="AZ66" s="62"/>
      <c r="BA66" s="62"/>
      <c r="BB66" s="62"/>
      <c r="BC66" s="62"/>
      <c r="BD66" s="62"/>
      <c r="BE66" s="62"/>
      <c r="BF66" s="62"/>
      <c r="BG66" s="62"/>
      <c r="BH66" s="62"/>
      <c r="BI66" s="62"/>
      <c r="BJ66" s="62"/>
      <c r="BK66" s="63"/>
    </row>
    <row r="67" spans="1:63" s="64" customFormat="1" ht="15" customHeight="1" x14ac:dyDescent="0.25">
      <c r="A67" s="61"/>
      <c r="B67" s="62"/>
      <c r="C67" s="133">
        <v>23</v>
      </c>
      <c r="D67" s="135"/>
      <c r="E67" s="136" t="s">
        <v>88</v>
      </c>
      <c r="F67" s="137"/>
      <c r="G67" s="137"/>
      <c r="H67" s="137"/>
      <c r="I67" s="137"/>
      <c r="J67" s="137"/>
      <c r="K67" s="138"/>
      <c r="L67" s="136" t="s">
        <v>199</v>
      </c>
      <c r="M67" s="137"/>
      <c r="N67" s="137"/>
      <c r="O67" s="137"/>
      <c r="P67" s="137"/>
      <c r="Q67" s="137"/>
      <c r="R67" s="138"/>
      <c r="S67" s="139" t="s">
        <v>75</v>
      </c>
      <c r="T67" s="140"/>
      <c r="U67" s="140"/>
      <c r="V67" s="140"/>
      <c r="W67" s="140"/>
      <c r="X67" s="140"/>
      <c r="Y67" s="140"/>
      <c r="Z67" s="140"/>
      <c r="AA67" s="140"/>
      <c r="AB67" s="141"/>
      <c r="AC67" s="125" t="s">
        <v>117</v>
      </c>
      <c r="AD67" s="118"/>
      <c r="AE67" s="118"/>
      <c r="AF67" s="118"/>
      <c r="AG67" s="118"/>
      <c r="AH67" s="118"/>
      <c r="AI67" s="118"/>
      <c r="AJ67" s="118"/>
      <c r="AK67" s="118"/>
      <c r="AL67" s="118"/>
      <c r="AM67" s="118"/>
      <c r="AN67" s="118"/>
      <c r="AO67" s="118"/>
      <c r="AP67" s="118"/>
      <c r="AQ67" s="118"/>
      <c r="AR67" s="118"/>
      <c r="AS67" s="118"/>
      <c r="AT67" s="118"/>
      <c r="AU67" s="119"/>
      <c r="AV67" s="62"/>
      <c r="AW67" s="62"/>
      <c r="AX67" s="62"/>
      <c r="AY67" s="62"/>
      <c r="AZ67" s="62"/>
      <c r="BA67" s="62"/>
      <c r="BB67" s="62"/>
      <c r="BC67" s="62"/>
      <c r="BD67" s="62"/>
      <c r="BE67" s="62"/>
      <c r="BF67" s="62"/>
      <c r="BG67" s="62"/>
      <c r="BH67" s="62"/>
      <c r="BI67" s="62"/>
      <c r="BJ67" s="62"/>
      <c r="BK67" s="63"/>
    </row>
    <row r="68" spans="1:63" s="31" customFormat="1" ht="15" customHeight="1" x14ac:dyDescent="0.25">
      <c r="A68" s="25"/>
      <c r="B68" s="33"/>
      <c r="C68" s="133">
        <v>24</v>
      </c>
      <c r="D68" s="135"/>
      <c r="E68" s="136" t="s">
        <v>86</v>
      </c>
      <c r="F68" s="137"/>
      <c r="G68" s="137"/>
      <c r="H68" s="137"/>
      <c r="I68" s="137"/>
      <c r="J68" s="137"/>
      <c r="K68" s="138"/>
      <c r="L68" s="136" t="s">
        <v>199</v>
      </c>
      <c r="M68" s="137"/>
      <c r="N68" s="137"/>
      <c r="O68" s="137"/>
      <c r="P68" s="137"/>
      <c r="Q68" s="137"/>
      <c r="R68" s="138"/>
      <c r="S68" s="139" t="s">
        <v>76</v>
      </c>
      <c r="T68" s="140"/>
      <c r="U68" s="140"/>
      <c r="V68" s="140"/>
      <c r="W68" s="140"/>
      <c r="X68" s="140"/>
      <c r="Y68" s="140"/>
      <c r="Z68" s="140"/>
      <c r="AA68" s="140"/>
      <c r="AB68" s="141"/>
      <c r="AC68" s="117" t="s">
        <v>121</v>
      </c>
      <c r="AD68" s="118"/>
      <c r="AE68" s="118"/>
      <c r="AF68" s="118"/>
      <c r="AG68" s="118"/>
      <c r="AH68" s="118"/>
      <c r="AI68" s="118"/>
      <c r="AJ68" s="118"/>
      <c r="AK68" s="118"/>
      <c r="AL68" s="118"/>
      <c r="AM68" s="118"/>
      <c r="AN68" s="118"/>
      <c r="AO68" s="118"/>
      <c r="AP68" s="118"/>
      <c r="AQ68" s="118"/>
      <c r="AR68" s="118"/>
      <c r="AS68" s="118"/>
      <c r="AT68" s="118"/>
      <c r="AU68" s="119"/>
      <c r="AV68" s="33"/>
      <c r="AW68" s="33"/>
      <c r="AX68" s="33"/>
      <c r="AY68" s="33"/>
      <c r="AZ68" s="33"/>
      <c r="BA68" s="33"/>
      <c r="BB68" s="33"/>
      <c r="BC68" s="33"/>
      <c r="BD68" s="33"/>
      <c r="BE68" s="33"/>
      <c r="BF68" s="33"/>
      <c r="BG68" s="33"/>
      <c r="BH68" s="35"/>
      <c r="BI68" s="35"/>
      <c r="BJ68" s="35"/>
      <c r="BK68" s="30"/>
    </row>
    <row r="69" spans="1:63" s="31" customFormat="1" ht="15" customHeight="1" x14ac:dyDescent="0.25">
      <c r="A69" s="25"/>
      <c r="B69" s="33"/>
      <c r="C69" s="133">
        <v>25</v>
      </c>
      <c r="D69" s="135"/>
      <c r="E69" s="136" t="s">
        <v>87</v>
      </c>
      <c r="F69" s="137"/>
      <c r="G69" s="137"/>
      <c r="H69" s="137"/>
      <c r="I69" s="137"/>
      <c r="J69" s="137"/>
      <c r="K69" s="138"/>
      <c r="L69" s="136" t="s">
        <v>199</v>
      </c>
      <c r="M69" s="137"/>
      <c r="N69" s="137"/>
      <c r="O69" s="137"/>
      <c r="P69" s="137"/>
      <c r="Q69" s="137"/>
      <c r="R69" s="138"/>
      <c r="S69" s="139" t="s">
        <v>77</v>
      </c>
      <c r="T69" s="140"/>
      <c r="U69" s="140"/>
      <c r="V69" s="140"/>
      <c r="W69" s="140"/>
      <c r="X69" s="140"/>
      <c r="Y69" s="140"/>
      <c r="Z69" s="140"/>
      <c r="AA69" s="140"/>
      <c r="AB69" s="141"/>
      <c r="AC69" s="125" t="s">
        <v>120</v>
      </c>
      <c r="AD69" s="118"/>
      <c r="AE69" s="118"/>
      <c r="AF69" s="118"/>
      <c r="AG69" s="118"/>
      <c r="AH69" s="118"/>
      <c r="AI69" s="118"/>
      <c r="AJ69" s="118"/>
      <c r="AK69" s="118"/>
      <c r="AL69" s="118"/>
      <c r="AM69" s="118"/>
      <c r="AN69" s="118"/>
      <c r="AO69" s="118"/>
      <c r="AP69" s="118"/>
      <c r="AQ69" s="118"/>
      <c r="AR69" s="118"/>
      <c r="AS69" s="118"/>
      <c r="AT69" s="118"/>
      <c r="AU69" s="119"/>
      <c r="AV69" s="33"/>
      <c r="AW69" s="33"/>
      <c r="AX69" s="33"/>
      <c r="AY69" s="33"/>
      <c r="AZ69" s="33"/>
      <c r="BA69" s="33"/>
      <c r="BB69" s="33"/>
      <c r="BC69" s="33"/>
      <c r="BD69" s="33"/>
      <c r="BE69" s="33"/>
      <c r="BF69" s="33"/>
      <c r="BG69" s="33"/>
      <c r="BH69" s="35"/>
      <c r="BI69" s="35"/>
      <c r="BJ69" s="35"/>
      <c r="BK69" s="30"/>
    </row>
    <row r="70" spans="1:63" s="31" customFormat="1" ht="15" customHeight="1" x14ac:dyDescent="0.25">
      <c r="A70" s="25"/>
      <c r="B70" s="33"/>
      <c r="C70" s="133">
        <v>26</v>
      </c>
      <c r="D70" s="135"/>
      <c r="E70" s="136" t="s">
        <v>83</v>
      </c>
      <c r="F70" s="137"/>
      <c r="G70" s="137"/>
      <c r="H70" s="137"/>
      <c r="I70" s="137"/>
      <c r="J70" s="137"/>
      <c r="K70" s="138"/>
      <c r="L70" s="136" t="s">
        <v>6</v>
      </c>
      <c r="M70" s="137"/>
      <c r="N70" s="137"/>
      <c r="O70" s="137"/>
      <c r="P70" s="137"/>
      <c r="Q70" s="137"/>
      <c r="R70" s="138"/>
      <c r="S70" s="139" t="s">
        <v>73</v>
      </c>
      <c r="T70" s="140"/>
      <c r="U70" s="140"/>
      <c r="V70" s="140"/>
      <c r="W70" s="140"/>
      <c r="X70" s="140"/>
      <c r="Y70" s="140"/>
      <c r="Z70" s="140"/>
      <c r="AA70" s="140"/>
      <c r="AB70" s="141"/>
      <c r="AC70" s="125" t="s">
        <v>98</v>
      </c>
      <c r="AD70" s="118"/>
      <c r="AE70" s="118"/>
      <c r="AF70" s="118"/>
      <c r="AG70" s="118"/>
      <c r="AH70" s="118"/>
      <c r="AI70" s="118"/>
      <c r="AJ70" s="118"/>
      <c r="AK70" s="118"/>
      <c r="AL70" s="118"/>
      <c r="AM70" s="118"/>
      <c r="AN70" s="118"/>
      <c r="AO70" s="118"/>
      <c r="AP70" s="118"/>
      <c r="AQ70" s="118"/>
      <c r="AR70" s="118"/>
      <c r="AS70" s="118"/>
      <c r="AT70" s="118"/>
      <c r="AU70" s="119"/>
      <c r="AV70" s="33"/>
      <c r="AW70" s="33"/>
      <c r="AX70" s="33"/>
      <c r="AY70" s="33"/>
      <c r="AZ70" s="33"/>
      <c r="BA70" s="33"/>
      <c r="BB70" s="33"/>
      <c r="BC70" s="33"/>
      <c r="BD70" s="33"/>
      <c r="BE70" s="33"/>
      <c r="BF70" s="33"/>
      <c r="BG70" s="33"/>
      <c r="BH70" s="35"/>
      <c r="BI70" s="35"/>
      <c r="BJ70" s="35"/>
      <c r="BK70" s="30"/>
    </row>
    <row r="71" spans="1:63" s="31" customFormat="1" ht="15" customHeight="1" x14ac:dyDescent="0.25">
      <c r="A71" s="25"/>
      <c r="B71" s="33"/>
      <c r="C71" s="133">
        <v>27</v>
      </c>
      <c r="D71" s="135"/>
      <c r="E71" s="136" t="s">
        <v>68</v>
      </c>
      <c r="F71" s="137"/>
      <c r="G71" s="137"/>
      <c r="H71" s="137"/>
      <c r="I71" s="137"/>
      <c r="J71" s="137"/>
      <c r="K71" s="138"/>
      <c r="L71" s="136" t="s">
        <v>6</v>
      </c>
      <c r="M71" s="137"/>
      <c r="N71" s="137"/>
      <c r="O71" s="137"/>
      <c r="P71" s="137"/>
      <c r="Q71" s="137"/>
      <c r="R71" s="138"/>
      <c r="S71" s="139" t="s">
        <v>72</v>
      </c>
      <c r="T71" s="140"/>
      <c r="U71" s="140"/>
      <c r="V71" s="140"/>
      <c r="W71" s="140"/>
      <c r="X71" s="140"/>
      <c r="Y71" s="140"/>
      <c r="Z71" s="140"/>
      <c r="AA71" s="140"/>
      <c r="AB71" s="141"/>
      <c r="AC71" s="125" t="s">
        <v>118</v>
      </c>
      <c r="AD71" s="118"/>
      <c r="AE71" s="118"/>
      <c r="AF71" s="118"/>
      <c r="AG71" s="118"/>
      <c r="AH71" s="118"/>
      <c r="AI71" s="118"/>
      <c r="AJ71" s="118"/>
      <c r="AK71" s="118"/>
      <c r="AL71" s="118"/>
      <c r="AM71" s="118"/>
      <c r="AN71" s="118"/>
      <c r="AO71" s="118"/>
      <c r="AP71" s="118"/>
      <c r="AQ71" s="118"/>
      <c r="AR71" s="118"/>
      <c r="AS71" s="118"/>
      <c r="AT71" s="118"/>
      <c r="AU71" s="119"/>
      <c r="AV71" s="33"/>
      <c r="AW71" s="33"/>
      <c r="AX71" s="33"/>
      <c r="AY71" s="33"/>
      <c r="AZ71" s="33"/>
      <c r="BA71" s="33"/>
      <c r="BB71" s="33"/>
      <c r="BC71" s="33"/>
      <c r="BD71" s="33"/>
      <c r="BE71" s="33"/>
      <c r="BF71" s="33"/>
      <c r="BG71" s="33"/>
      <c r="BH71" s="35"/>
      <c r="BI71" s="35"/>
      <c r="BJ71" s="35"/>
      <c r="BK71" s="30"/>
    </row>
    <row r="72" spans="1:63" s="31" customFormat="1" ht="15" customHeight="1" x14ac:dyDescent="0.25">
      <c r="A72" s="25"/>
      <c r="B72" s="33"/>
      <c r="C72" s="133">
        <v>28</v>
      </c>
      <c r="D72" s="135"/>
      <c r="E72" s="136" t="s">
        <v>81</v>
      </c>
      <c r="F72" s="137"/>
      <c r="G72" s="137"/>
      <c r="H72" s="137"/>
      <c r="I72" s="137"/>
      <c r="J72" s="137"/>
      <c r="K72" s="138"/>
      <c r="L72" s="136" t="s">
        <v>6</v>
      </c>
      <c r="M72" s="137"/>
      <c r="N72" s="137"/>
      <c r="O72" s="137"/>
      <c r="P72" s="137"/>
      <c r="Q72" s="137"/>
      <c r="R72" s="138"/>
      <c r="S72" s="139" t="s">
        <v>82</v>
      </c>
      <c r="T72" s="140"/>
      <c r="U72" s="140"/>
      <c r="V72" s="140"/>
      <c r="W72" s="140"/>
      <c r="X72" s="140"/>
      <c r="Y72" s="140"/>
      <c r="Z72" s="140"/>
      <c r="AA72" s="140"/>
      <c r="AB72" s="141"/>
      <c r="AC72" s="125" t="s">
        <v>99</v>
      </c>
      <c r="AD72" s="118"/>
      <c r="AE72" s="118"/>
      <c r="AF72" s="118"/>
      <c r="AG72" s="118"/>
      <c r="AH72" s="118"/>
      <c r="AI72" s="118"/>
      <c r="AJ72" s="118"/>
      <c r="AK72" s="118"/>
      <c r="AL72" s="118"/>
      <c r="AM72" s="118"/>
      <c r="AN72" s="118"/>
      <c r="AO72" s="118"/>
      <c r="AP72" s="118"/>
      <c r="AQ72" s="118"/>
      <c r="AR72" s="118"/>
      <c r="AS72" s="118"/>
      <c r="AT72" s="118"/>
      <c r="AU72" s="119"/>
      <c r="AV72" s="33"/>
      <c r="AW72" s="33"/>
      <c r="AX72" s="33"/>
      <c r="AY72" s="33"/>
      <c r="AZ72" s="33"/>
      <c r="BA72" s="33"/>
      <c r="BB72" s="33"/>
      <c r="BC72" s="33"/>
      <c r="BD72" s="33"/>
      <c r="BE72" s="33"/>
      <c r="BF72" s="33"/>
      <c r="BG72" s="33"/>
      <c r="BH72" s="35"/>
      <c r="BI72" s="35"/>
      <c r="BJ72" s="35"/>
      <c r="BK72" s="30"/>
    </row>
    <row r="73" spans="1:63" s="31" customFormat="1" ht="30" customHeight="1" x14ac:dyDescent="0.25">
      <c r="A73" s="25"/>
      <c r="B73" s="33"/>
      <c r="C73" s="133">
        <v>29</v>
      </c>
      <c r="D73" s="135"/>
      <c r="E73" s="136" t="s">
        <v>90</v>
      </c>
      <c r="F73" s="137"/>
      <c r="G73" s="137"/>
      <c r="H73" s="137"/>
      <c r="I73" s="137"/>
      <c r="J73" s="137"/>
      <c r="K73" s="138"/>
      <c r="L73" s="136" t="s">
        <v>6</v>
      </c>
      <c r="M73" s="137"/>
      <c r="N73" s="137"/>
      <c r="O73" s="137"/>
      <c r="P73" s="137"/>
      <c r="Q73" s="137"/>
      <c r="R73" s="138"/>
      <c r="S73" s="139" t="s">
        <v>71</v>
      </c>
      <c r="T73" s="140"/>
      <c r="U73" s="140"/>
      <c r="V73" s="140"/>
      <c r="W73" s="140"/>
      <c r="X73" s="140"/>
      <c r="Y73" s="140"/>
      <c r="Z73" s="140"/>
      <c r="AA73" s="140"/>
      <c r="AB73" s="141"/>
      <c r="AC73" s="191" t="s">
        <v>119</v>
      </c>
      <c r="AD73" s="192"/>
      <c r="AE73" s="192"/>
      <c r="AF73" s="192"/>
      <c r="AG73" s="192"/>
      <c r="AH73" s="192"/>
      <c r="AI73" s="192"/>
      <c r="AJ73" s="192"/>
      <c r="AK73" s="192"/>
      <c r="AL73" s="192"/>
      <c r="AM73" s="192"/>
      <c r="AN73" s="192"/>
      <c r="AO73" s="192"/>
      <c r="AP73" s="192"/>
      <c r="AQ73" s="192"/>
      <c r="AR73" s="192"/>
      <c r="AS73" s="192"/>
      <c r="AT73" s="192"/>
      <c r="AU73" s="193"/>
      <c r="AV73" s="33"/>
      <c r="AW73" s="33"/>
      <c r="AX73" s="33"/>
      <c r="AY73" s="33"/>
      <c r="AZ73" s="33"/>
      <c r="BA73" s="33"/>
      <c r="BB73" s="33"/>
      <c r="BC73" s="33"/>
      <c r="BD73" s="33"/>
      <c r="BE73" s="33"/>
      <c r="BF73" s="33"/>
      <c r="BG73" s="33"/>
      <c r="BH73" s="35"/>
      <c r="BI73" s="35"/>
      <c r="BJ73" s="35"/>
      <c r="BK73" s="30"/>
    </row>
    <row r="74" spans="1:63" s="31" customFormat="1" ht="30.75" customHeight="1" x14ac:dyDescent="0.25">
      <c r="A74" s="25"/>
      <c r="B74" s="33"/>
      <c r="C74" s="133">
        <v>30</v>
      </c>
      <c r="D74" s="135"/>
      <c r="E74" s="136" t="s">
        <v>122</v>
      </c>
      <c r="F74" s="137"/>
      <c r="G74" s="137"/>
      <c r="H74" s="137"/>
      <c r="I74" s="137"/>
      <c r="J74" s="137"/>
      <c r="K74" s="138"/>
      <c r="L74" s="136" t="s">
        <v>6</v>
      </c>
      <c r="M74" s="137"/>
      <c r="N74" s="137"/>
      <c r="O74" s="137"/>
      <c r="P74" s="137"/>
      <c r="Q74" s="137"/>
      <c r="R74" s="138"/>
      <c r="S74" s="139" t="s">
        <v>123</v>
      </c>
      <c r="T74" s="140"/>
      <c r="U74" s="140"/>
      <c r="V74" s="140"/>
      <c r="W74" s="140"/>
      <c r="X74" s="140"/>
      <c r="Y74" s="140"/>
      <c r="Z74" s="140"/>
      <c r="AA74" s="140"/>
      <c r="AB74" s="141"/>
      <c r="AC74" s="146" t="s">
        <v>173</v>
      </c>
      <c r="AD74" s="147"/>
      <c r="AE74" s="147"/>
      <c r="AF74" s="147"/>
      <c r="AG74" s="147"/>
      <c r="AH74" s="147"/>
      <c r="AI74" s="147"/>
      <c r="AJ74" s="147"/>
      <c r="AK74" s="147"/>
      <c r="AL74" s="147"/>
      <c r="AM74" s="147"/>
      <c r="AN74" s="147"/>
      <c r="AO74" s="147"/>
      <c r="AP74" s="147"/>
      <c r="AQ74" s="147"/>
      <c r="AR74" s="147"/>
      <c r="AS74" s="147"/>
      <c r="AT74" s="147"/>
      <c r="AU74" s="148"/>
      <c r="AV74" s="33"/>
      <c r="AW74" s="33"/>
      <c r="AX74" s="33"/>
      <c r="AY74" s="33"/>
      <c r="AZ74" s="33"/>
      <c r="BA74" s="33"/>
      <c r="BB74" s="33"/>
      <c r="BC74" s="33"/>
      <c r="BD74" s="33"/>
      <c r="BE74" s="33"/>
      <c r="BF74" s="33"/>
      <c r="BG74" s="33"/>
      <c r="BH74" s="35"/>
      <c r="BI74" s="35"/>
      <c r="BJ74" s="35"/>
      <c r="BK74" s="30"/>
    </row>
    <row r="75" spans="1:63" s="31" customFormat="1" ht="30.75" customHeight="1" x14ac:dyDescent="0.25">
      <c r="A75" s="25"/>
      <c r="B75" s="33"/>
      <c r="C75" s="133">
        <v>31</v>
      </c>
      <c r="D75" s="135"/>
      <c r="E75" s="136" t="s">
        <v>125</v>
      </c>
      <c r="F75" s="137"/>
      <c r="G75" s="137"/>
      <c r="H75" s="137"/>
      <c r="I75" s="137"/>
      <c r="J75" s="137"/>
      <c r="K75" s="138"/>
      <c r="L75" s="136" t="s">
        <v>126</v>
      </c>
      <c r="M75" s="137"/>
      <c r="N75" s="137"/>
      <c r="O75" s="137"/>
      <c r="P75" s="137"/>
      <c r="Q75" s="137"/>
      <c r="R75" s="138"/>
      <c r="S75" s="139" t="s">
        <v>127</v>
      </c>
      <c r="T75" s="140"/>
      <c r="U75" s="140"/>
      <c r="V75" s="140"/>
      <c r="W75" s="140"/>
      <c r="X75" s="140"/>
      <c r="Y75" s="140"/>
      <c r="Z75" s="140"/>
      <c r="AA75" s="140"/>
      <c r="AB75" s="141"/>
      <c r="AC75" s="191" t="s">
        <v>124</v>
      </c>
      <c r="AD75" s="192"/>
      <c r="AE75" s="192"/>
      <c r="AF75" s="192"/>
      <c r="AG75" s="192"/>
      <c r="AH75" s="192"/>
      <c r="AI75" s="192"/>
      <c r="AJ75" s="192"/>
      <c r="AK75" s="192"/>
      <c r="AL75" s="192"/>
      <c r="AM75" s="192"/>
      <c r="AN75" s="192"/>
      <c r="AO75" s="192"/>
      <c r="AP75" s="192"/>
      <c r="AQ75" s="192"/>
      <c r="AR75" s="192"/>
      <c r="AS75" s="192"/>
      <c r="AT75" s="192"/>
      <c r="AU75" s="193"/>
      <c r="AV75" s="33"/>
      <c r="AW75" s="33"/>
      <c r="AX75" s="33"/>
      <c r="AY75" s="33"/>
      <c r="AZ75" s="33"/>
      <c r="BA75" s="33"/>
      <c r="BB75" s="33"/>
      <c r="BC75" s="33"/>
      <c r="BD75" s="33"/>
      <c r="BE75" s="33"/>
      <c r="BF75" s="33"/>
      <c r="BG75" s="33"/>
      <c r="BH75" s="35"/>
      <c r="BI75" s="35"/>
      <c r="BJ75" s="35"/>
      <c r="BK75" s="30"/>
    </row>
    <row r="76" spans="1:63" s="31" customFormat="1" ht="15" customHeight="1" x14ac:dyDescent="0.25">
      <c r="A76" s="25"/>
      <c r="B76" s="33"/>
      <c r="C76" s="133">
        <v>32</v>
      </c>
      <c r="D76" s="135"/>
      <c r="E76" s="136" t="s">
        <v>101</v>
      </c>
      <c r="F76" s="137"/>
      <c r="G76" s="137"/>
      <c r="H76" s="137"/>
      <c r="I76" s="137"/>
      <c r="J76" s="137"/>
      <c r="K76" s="138"/>
      <c r="L76" s="136" t="s">
        <v>102</v>
      </c>
      <c r="M76" s="137"/>
      <c r="N76" s="137"/>
      <c r="O76" s="137"/>
      <c r="P76" s="137"/>
      <c r="Q76" s="137"/>
      <c r="R76" s="138"/>
      <c r="S76" s="139" t="s">
        <v>153</v>
      </c>
      <c r="T76" s="140"/>
      <c r="U76" s="140"/>
      <c r="V76" s="140"/>
      <c r="W76" s="140"/>
      <c r="X76" s="140"/>
      <c r="Y76" s="140"/>
      <c r="Z76" s="140"/>
      <c r="AA76" s="140"/>
      <c r="AB76" s="141"/>
      <c r="AC76" s="125" t="s">
        <v>103</v>
      </c>
      <c r="AD76" s="118"/>
      <c r="AE76" s="118"/>
      <c r="AF76" s="118"/>
      <c r="AG76" s="118"/>
      <c r="AH76" s="118"/>
      <c r="AI76" s="118"/>
      <c r="AJ76" s="118"/>
      <c r="AK76" s="118"/>
      <c r="AL76" s="118"/>
      <c r="AM76" s="118"/>
      <c r="AN76" s="118"/>
      <c r="AO76" s="118"/>
      <c r="AP76" s="118"/>
      <c r="AQ76" s="118"/>
      <c r="AR76" s="118"/>
      <c r="AS76" s="118"/>
      <c r="AT76" s="118"/>
      <c r="AU76" s="119"/>
      <c r="AV76" s="33"/>
      <c r="AW76" s="33"/>
      <c r="AX76" s="33"/>
      <c r="AY76" s="33"/>
      <c r="AZ76" s="33"/>
      <c r="BA76" s="33"/>
      <c r="BB76" s="33"/>
      <c r="BC76" s="33"/>
      <c r="BD76" s="33"/>
      <c r="BE76" s="33"/>
      <c r="BF76" s="33"/>
      <c r="BG76" s="33"/>
      <c r="BH76" s="35"/>
      <c r="BI76" s="35"/>
      <c r="BJ76" s="35"/>
      <c r="BK76" s="30"/>
    </row>
    <row r="77" spans="1:63" s="31" customFormat="1" ht="15" customHeight="1" x14ac:dyDescent="0.25">
      <c r="A77" s="25"/>
      <c r="B77" s="33"/>
      <c r="C77" s="62"/>
      <c r="D77" s="62"/>
      <c r="E77" s="68"/>
      <c r="F77" s="68"/>
      <c r="G77" s="68"/>
      <c r="H77" s="68"/>
      <c r="I77" s="68"/>
      <c r="J77" s="68"/>
      <c r="K77" s="68"/>
      <c r="L77" s="69"/>
      <c r="M77" s="69"/>
      <c r="N77" s="69"/>
      <c r="O77" s="69"/>
      <c r="P77" s="69"/>
      <c r="Q77" s="69"/>
      <c r="R77" s="69"/>
      <c r="S77" s="70"/>
      <c r="T77" s="70"/>
      <c r="U77" s="70"/>
      <c r="V77" s="70"/>
      <c r="W77" s="70"/>
      <c r="X77" s="70"/>
      <c r="Y77" s="70"/>
      <c r="Z77" s="70"/>
      <c r="AA77" s="70"/>
      <c r="AB77" s="70"/>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5"/>
      <c r="BI77" s="35"/>
      <c r="BJ77" s="35"/>
      <c r="BK77" s="30"/>
    </row>
    <row r="78" spans="1:63" s="31" customFormat="1" ht="15" customHeight="1" x14ac:dyDescent="0.25">
      <c r="A78" s="25"/>
      <c r="B78" s="33"/>
      <c r="C78" s="37" t="s">
        <v>40</v>
      </c>
      <c r="D78" s="33"/>
      <c r="E78" s="34"/>
      <c r="F78" s="33"/>
      <c r="G78" s="34"/>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5"/>
      <c r="BI78" s="35"/>
      <c r="BJ78" s="35"/>
      <c r="BK78" s="30"/>
    </row>
    <row r="79" spans="1:63" s="31" customFormat="1" ht="15" customHeight="1" x14ac:dyDescent="0.25">
      <c r="A79" s="25"/>
      <c r="B79" s="33"/>
      <c r="C79" s="37"/>
      <c r="D79" s="34"/>
      <c r="E79" s="34"/>
      <c r="F79" s="33"/>
      <c r="G79" s="34"/>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5"/>
      <c r="BI79" s="35"/>
      <c r="BJ79" s="35"/>
      <c r="BK79" s="30"/>
    </row>
    <row r="80" spans="1:63" s="31" customFormat="1" ht="15" customHeight="1" x14ac:dyDescent="0.25">
      <c r="A80" s="25"/>
      <c r="B80" s="33"/>
      <c r="C80" s="39" t="s">
        <v>49</v>
      </c>
      <c r="D80" s="48"/>
      <c r="E80" s="48"/>
      <c r="F80" s="48"/>
      <c r="G80" s="48"/>
      <c r="H80" s="48"/>
      <c r="I80" s="48"/>
      <c r="J80" s="48"/>
      <c r="K80" s="48"/>
      <c r="L80" s="48"/>
      <c r="M80" s="48"/>
      <c r="N80" s="48"/>
      <c r="O80" s="48"/>
      <c r="P80" s="48"/>
      <c r="Q80" s="48"/>
      <c r="R80" s="48"/>
      <c r="S80" s="48"/>
      <c r="T80" s="48"/>
      <c r="U80" s="48"/>
      <c r="V80" s="48"/>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38"/>
      <c r="AV80" s="33"/>
      <c r="AW80" s="33"/>
      <c r="AX80" s="33"/>
      <c r="AY80" s="33"/>
      <c r="AZ80" s="33"/>
      <c r="BA80" s="33"/>
      <c r="BB80" s="33"/>
      <c r="BC80" s="33"/>
      <c r="BD80" s="33"/>
      <c r="BE80" s="33"/>
      <c r="BF80" s="33"/>
      <c r="BG80" s="33"/>
      <c r="BH80" s="35"/>
      <c r="BI80" s="35"/>
      <c r="BJ80" s="35"/>
      <c r="BK80" s="30"/>
    </row>
    <row r="81" spans="1:63" s="31" customFormat="1" ht="15" customHeight="1" x14ac:dyDescent="0.25">
      <c r="A81" s="25"/>
      <c r="B81" s="33"/>
      <c r="C81" s="41" t="s">
        <v>128</v>
      </c>
      <c r="D81" s="50"/>
      <c r="E81" s="50"/>
      <c r="F81" s="50"/>
      <c r="G81" s="50"/>
      <c r="H81" s="50"/>
      <c r="I81" s="50"/>
      <c r="J81" s="50"/>
      <c r="K81" s="50"/>
      <c r="L81" s="50"/>
      <c r="M81" s="50"/>
      <c r="N81" s="50"/>
      <c r="O81" s="50"/>
      <c r="P81" s="50"/>
      <c r="Q81" s="50"/>
      <c r="R81" s="50"/>
      <c r="S81" s="50"/>
      <c r="T81" s="50"/>
      <c r="U81" s="50"/>
      <c r="V81" s="50"/>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40"/>
      <c r="AV81" s="33"/>
      <c r="AW81" s="33"/>
      <c r="AX81" s="33"/>
      <c r="AY81" s="33"/>
      <c r="AZ81" s="33"/>
      <c r="BA81" s="33"/>
      <c r="BB81" s="33"/>
      <c r="BC81" s="33"/>
      <c r="BD81" s="33"/>
      <c r="BE81" s="33"/>
      <c r="BF81" s="33"/>
      <c r="BG81" s="33"/>
      <c r="BH81" s="35"/>
      <c r="BI81" s="35"/>
      <c r="BJ81" s="35"/>
      <c r="BK81" s="30"/>
    </row>
    <row r="82" spans="1:63" s="31" customFormat="1" ht="15" customHeight="1" x14ac:dyDescent="0.25">
      <c r="A82" s="25"/>
      <c r="B82" s="33"/>
      <c r="C82" s="41" t="s">
        <v>53</v>
      </c>
      <c r="D82" s="50"/>
      <c r="E82" s="50"/>
      <c r="F82" s="50"/>
      <c r="G82" s="50"/>
      <c r="H82" s="50"/>
      <c r="I82" s="50"/>
      <c r="J82" s="50"/>
      <c r="K82" s="50"/>
      <c r="L82" s="50"/>
      <c r="M82" s="50"/>
      <c r="N82" s="50"/>
      <c r="O82" s="50"/>
      <c r="P82" s="50"/>
      <c r="Q82" s="50"/>
      <c r="R82" s="50"/>
      <c r="S82" s="50"/>
      <c r="T82" s="50"/>
      <c r="U82" s="50"/>
      <c r="V82" s="50"/>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40"/>
      <c r="AV82" s="33"/>
      <c r="AW82" s="33"/>
      <c r="AX82" s="33"/>
      <c r="AY82" s="33"/>
      <c r="AZ82" s="33"/>
      <c r="BA82" s="33"/>
      <c r="BB82" s="33"/>
      <c r="BC82" s="33"/>
      <c r="BD82" s="33"/>
      <c r="BE82" s="33"/>
      <c r="BF82" s="33"/>
      <c r="BG82" s="33"/>
      <c r="BH82" s="35"/>
      <c r="BI82" s="35"/>
      <c r="BJ82" s="35"/>
      <c r="BK82" s="30"/>
    </row>
    <row r="83" spans="1:63" s="31" customFormat="1" ht="15" customHeight="1" x14ac:dyDescent="0.25">
      <c r="A83" s="25"/>
      <c r="B83" s="33"/>
      <c r="C83" s="41" t="s">
        <v>178</v>
      </c>
      <c r="D83" s="50"/>
      <c r="E83" s="50"/>
      <c r="F83" s="50"/>
      <c r="G83" s="50"/>
      <c r="H83" s="50"/>
      <c r="I83" s="50"/>
      <c r="J83" s="50"/>
      <c r="K83" s="50"/>
      <c r="L83" s="50"/>
      <c r="M83" s="50"/>
      <c r="N83" s="50"/>
      <c r="O83" s="50"/>
      <c r="P83" s="50"/>
      <c r="Q83" s="50"/>
      <c r="R83" s="50"/>
      <c r="S83" s="50"/>
      <c r="T83" s="50"/>
      <c r="U83" s="50"/>
      <c r="V83" s="50"/>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40"/>
      <c r="AV83" s="33"/>
      <c r="AW83" s="33"/>
      <c r="AX83" s="33"/>
      <c r="AY83" s="33"/>
      <c r="AZ83" s="33"/>
      <c r="BA83" s="33"/>
      <c r="BB83" s="33"/>
      <c r="BC83" s="33"/>
      <c r="BD83" s="33"/>
      <c r="BE83" s="33"/>
      <c r="BF83" s="33"/>
      <c r="BG83" s="33"/>
      <c r="BH83" s="35"/>
      <c r="BI83" s="35"/>
      <c r="BJ83" s="35"/>
      <c r="BK83" s="30"/>
    </row>
    <row r="84" spans="1:63" s="31" customFormat="1" ht="15" customHeight="1" x14ac:dyDescent="0.25">
      <c r="A84" s="25"/>
      <c r="B84" s="33"/>
      <c r="C84" s="41" t="s">
        <v>57</v>
      </c>
      <c r="D84" s="50"/>
      <c r="E84" s="50"/>
      <c r="F84" s="50"/>
      <c r="G84" s="50"/>
      <c r="H84" s="50"/>
      <c r="I84" s="50"/>
      <c r="J84" s="50"/>
      <c r="K84" s="50"/>
      <c r="L84" s="50"/>
      <c r="M84" s="50"/>
      <c r="N84" s="50"/>
      <c r="O84" s="50"/>
      <c r="P84" s="50"/>
      <c r="Q84" s="50"/>
      <c r="R84" s="50"/>
      <c r="S84" s="50"/>
      <c r="T84" s="50"/>
      <c r="U84" s="50"/>
      <c r="V84" s="50"/>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40"/>
      <c r="AV84" s="33"/>
      <c r="AW84" s="33"/>
      <c r="AX84" s="33"/>
      <c r="AY84" s="33"/>
      <c r="AZ84" s="33"/>
      <c r="BA84" s="33"/>
      <c r="BB84" s="33"/>
      <c r="BC84" s="33"/>
      <c r="BD84" s="33"/>
      <c r="BE84" s="33"/>
      <c r="BF84" s="33"/>
      <c r="BG84" s="33"/>
      <c r="BH84" s="35"/>
      <c r="BI84" s="35"/>
      <c r="BJ84" s="35"/>
      <c r="BK84" s="30"/>
    </row>
    <row r="85" spans="1:63" s="31" customFormat="1" ht="15" customHeight="1" x14ac:dyDescent="0.25">
      <c r="A85" s="25"/>
      <c r="B85" s="33"/>
      <c r="C85" s="41" t="s">
        <v>56</v>
      </c>
      <c r="D85" s="50"/>
      <c r="E85" s="50"/>
      <c r="F85" s="50"/>
      <c r="G85" s="50"/>
      <c r="H85" s="50"/>
      <c r="I85" s="50"/>
      <c r="J85" s="50"/>
      <c r="K85" s="50"/>
      <c r="L85" s="50"/>
      <c r="M85" s="50"/>
      <c r="N85" s="50"/>
      <c r="O85" s="50"/>
      <c r="P85" s="50"/>
      <c r="Q85" s="50"/>
      <c r="R85" s="50"/>
      <c r="S85" s="50"/>
      <c r="T85" s="50"/>
      <c r="U85" s="50"/>
      <c r="V85" s="50"/>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40"/>
      <c r="AV85" s="33"/>
      <c r="AW85" s="33"/>
      <c r="AX85" s="33"/>
      <c r="AY85" s="33"/>
      <c r="AZ85" s="33"/>
      <c r="BA85" s="33"/>
      <c r="BB85" s="33"/>
      <c r="BC85" s="33"/>
      <c r="BD85" s="33"/>
      <c r="BE85" s="33"/>
      <c r="BF85" s="33"/>
      <c r="BG85" s="33"/>
      <c r="BH85" s="35"/>
      <c r="BI85" s="35"/>
      <c r="BJ85" s="35"/>
      <c r="BK85" s="30"/>
    </row>
    <row r="86" spans="1:63" s="31" customFormat="1" ht="15" customHeight="1" x14ac:dyDescent="0.25">
      <c r="A86" s="25"/>
      <c r="B86" s="33"/>
      <c r="C86" s="41" t="s">
        <v>60</v>
      </c>
      <c r="D86" s="50"/>
      <c r="E86" s="50"/>
      <c r="F86" s="50"/>
      <c r="G86" s="50"/>
      <c r="H86" s="50"/>
      <c r="I86" s="50"/>
      <c r="J86" s="50"/>
      <c r="K86" s="50"/>
      <c r="L86" s="50"/>
      <c r="M86" s="50"/>
      <c r="N86" s="50"/>
      <c r="O86" s="50"/>
      <c r="P86" s="50"/>
      <c r="Q86" s="50"/>
      <c r="R86" s="50"/>
      <c r="S86" s="50"/>
      <c r="T86" s="50"/>
      <c r="U86" s="50"/>
      <c r="V86" s="50"/>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40"/>
      <c r="AV86" s="33"/>
      <c r="AW86" s="33"/>
      <c r="AX86" s="33"/>
      <c r="AY86" s="33"/>
      <c r="AZ86" s="33"/>
      <c r="BA86" s="33"/>
      <c r="BB86" s="33"/>
      <c r="BC86" s="33"/>
      <c r="BD86" s="33"/>
      <c r="BE86" s="33"/>
      <c r="BF86" s="33"/>
      <c r="BG86" s="33"/>
      <c r="BH86" s="35"/>
      <c r="BI86" s="35"/>
      <c r="BJ86" s="35"/>
      <c r="BK86" s="30"/>
    </row>
    <row r="87" spans="1:63" s="31" customFormat="1" ht="15" customHeight="1" x14ac:dyDescent="0.25">
      <c r="A87" s="25"/>
      <c r="B87" s="33"/>
      <c r="C87" s="41" t="s">
        <v>179</v>
      </c>
      <c r="D87" s="50"/>
      <c r="E87" s="50"/>
      <c r="F87" s="50"/>
      <c r="G87" s="50"/>
      <c r="H87" s="50"/>
      <c r="I87" s="50"/>
      <c r="J87" s="50"/>
      <c r="K87" s="50"/>
      <c r="L87" s="50"/>
      <c r="M87" s="50"/>
      <c r="N87" s="50"/>
      <c r="O87" s="50"/>
      <c r="P87" s="50"/>
      <c r="Q87" s="50"/>
      <c r="R87" s="50"/>
      <c r="S87" s="50"/>
      <c r="T87" s="50"/>
      <c r="U87" s="50"/>
      <c r="V87" s="50"/>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40"/>
      <c r="AV87" s="33"/>
      <c r="AW87" s="33"/>
      <c r="AX87" s="33"/>
      <c r="AY87" s="33"/>
      <c r="AZ87" s="33"/>
      <c r="BA87" s="33"/>
      <c r="BB87" s="33"/>
      <c r="BC87" s="33"/>
      <c r="BD87" s="33"/>
      <c r="BE87" s="33"/>
      <c r="BF87" s="33"/>
      <c r="BG87" s="33"/>
      <c r="BH87" s="35"/>
      <c r="BI87" s="35"/>
      <c r="BJ87" s="35"/>
      <c r="BK87" s="30"/>
    </row>
    <row r="88" spans="1:63" s="31" customFormat="1" ht="15" customHeight="1" x14ac:dyDescent="0.25">
      <c r="A88" s="25"/>
      <c r="B88" s="33"/>
      <c r="C88" s="41" t="s">
        <v>180</v>
      </c>
      <c r="D88" s="50"/>
      <c r="E88" s="50"/>
      <c r="F88" s="50"/>
      <c r="G88" s="50"/>
      <c r="H88" s="50"/>
      <c r="I88" s="50"/>
      <c r="J88" s="50"/>
      <c r="K88" s="50"/>
      <c r="L88" s="50"/>
      <c r="M88" s="50"/>
      <c r="N88" s="50"/>
      <c r="O88" s="50"/>
      <c r="P88" s="50"/>
      <c r="Q88" s="50"/>
      <c r="R88" s="50"/>
      <c r="S88" s="50"/>
      <c r="T88" s="50"/>
      <c r="U88" s="50"/>
      <c r="V88" s="50"/>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40"/>
      <c r="AV88" s="33"/>
      <c r="AW88" s="33"/>
      <c r="AX88" s="33"/>
      <c r="AY88" s="33"/>
      <c r="AZ88" s="33"/>
      <c r="BA88" s="33"/>
      <c r="BB88" s="33"/>
      <c r="BC88" s="33"/>
      <c r="BD88" s="33"/>
      <c r="BE88" s="33"/>
      <c r="BF88" s="33"/>
      <c r="BG88" s="33"/>
      <c r="BH88" s="35"/>
      <c r="BI88" s="35"/>
      <c r="BJ88" s="35"/>
      <c r="BK88" s="30"/>
    </row>
    <row r="89" spans="1:63" s="31" customFormat="1" ht="15" customHeight="1" x14ac:dyDescent="0.25">
      <c r="A89" s="25"/>
      <c r="B89" s="33"/>
      <c r="C89" s="41" t="s">
        <v>131</v>
      </c>
      <c r="D89" s="50"/>
      <c r="E89" s="50"/>
      <c r="F89" s="50"/>
      <c r="G89" s="50"/>
      <c r="H89" s="50"/>
      <c r="I89" s="50"/>
      <c r="J89" s="50"/>
      <c r="K89" s="50"/>
      <c r="L89" s="50"/>
      <c r="M89" s="50"/>
      <c r="N89" s="50"/>
      <c r="O89" s="50"/>
      <c r="P89" s="50"/>
      <c r="Q89" s="50"/>
      <c r="R89" s="50"/>
      <c r="S89" s="50"/>
      <c r="T89" s="50"/>
      <c r="U89" s="50"/>
      <c r="V89" s="50"/>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40"/>
      <c r="AV89" s="33"/>
      <c r="AW89" s="33"/>
      <c r="AX89" s="33"/>
      <c r="AY89" s="33"/>
      <c r="AZ89" s="33"/>
      <c r="BA89" s="33"/>
      <c r="BB89" s="33"/>
      <c r="BC89" s="33"/>
      <c r="BD89" s="33"/>
      <c r="BE89" s="33"/>
      <c r="BF89" s="33"/>
      <c r="BG89" s="33"/>
      <c r="BH89" s="35"/>
      <c r="BI89" s="35"/>
      <c r="BJ89" s="35"/>
      <c r="BK89" s="30"/>
    </row>
    <row r="90" spans="1:63" s="31" customFormat="1" ht="15" customHeight="1" x14ac:dyDescent="0.25">
      <c r="A90" s="25"/>
      <c r="B90" s="33"/>
      <c r="C90" s="41" t="s">
        <v>132</v>
      </c>
      <c r="D90" s="50"/>
      <c r="E90" s="50"/>
      <c r="F90" s="50"/>
      <c r="G90" s="50"/>
      <c r="H90" s="50"/>
      <c r="I90" s="50"/>
      <c r="J90" s="50"/>
      <c r="K90" s="50"/>
      <c r="L90" s="50"/>
      <c r="M90" s="50"/>
      <c r="N90" s="50"/>
      <c r="O90" s="50"/>
      <c r="P90" s="50"/>
      <c r="Q90" s="50"/>
      <c r="R90" s="50"/>
      <c r="S90" s="50"/>
      <c r="T90" s="50"/>
      <c r="U90" s="50"/>
      <c r="V90" s="50"/>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40"/>
      <c r="AV90" s="33"/>
      <c r="AW90" s="33"/>
      <c r="AX90" s="33"/>
      <c r="AY90" s="33"/>
      <c r="AZ90" s="33"/>
      <c r="BA90" s="33"/>
      <c r="BB90" s="33"/>
      <c r="BC90" s="33"/>
      <c r="BD90" s="33"/>
      <c r="BE90" s="33"/>
      <c r="BF90" s="33"/>
      <c r="BG90" s="33"/>
      <c r="BH90" s="35"/>
      <c r="BI90" s="35"/>
      <c r="BJ90" s="35"/>
      <c r="BK90" s="30"/>
    </row>
    <row r="91" spans="1:63" s="31" customFormat="1" ht="15" customHeight="1" x14ac:dyDescent="0.25">
      <c r="A91" s="25"/>
      <c r="B91" s="33"/>
      <c r="C91" s="41" t="s">
        <v>133</v>
      </c>
      <c r="D91" s="50"/>
      <c r="E91" s="50"/>
      <c r="F91" s="50"/>
      <c r="G91" s="50"/>
      <c r="H91" s="50"/>
      <c r="I91" s="50"/>
      <c r="J91" s="50"/>
      <c r="K91" s="50"/>
      <c r="L91" s="50"/>
      <c r="M91" s="50"/>
      <c r="N91" s="50"/>
      <c r="O91" s="50"/>
      <c r="P91" s="50"/>
      <c r="Q91" s="50"/>
      <c r="R91" s="50"/>
      <c r="S91" s="50"/>
      <c r="T91" s="50"/>
      <c r="U91" s="50"/>
      <c r="V91" s="50"/>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40"/>
      <c r="AV91" s="33"/>
      <c r="AW91" s="33"/>
      <c r="AX91" s="33"/>
      <c r="AY91" s="33"/>
      <c r="AZ91" s="33"/>
      <c r="BA91" s="33"/>
      <c r="BB91" s="33"/>
      <c r="BC91" s="33"/>
      <c r="BD91" s="33"/>
      <c r="BE91" s="33"/>
      <c r="BF91" s="33"/>
      <c r="BG91" s="33"/>
      <c r="BH91" s="35"/>
      <c r="BI91" s="35"/>
      <c r="BJ91" s="35"/>
      <c r="BK91" s="30"/>
    </row>
    <row r="92" spans="1:63" s="31" customFormat="1" ht="15" customHeight="1" x14ac:dyDescent="0.25">
      <c r="A92" s="25"/>
      <c r="B92" s="33"/>
      <c r="C92" s="71" t="s">
        <v>174</v>
      </c>
      <c r="D92" s="33"/>
      <c r="E92" s="33"/>
      <c r="F92" s="33"/>
      <c r="G92" s="50"/>
      <c r="H92" s="50"/>
      <c r="I92" s="50"/>
      <c r="J92" s="50"/>
      <c r="K92" s="50"/>
      <c r="L92" s="50"/>
      <c r="M92" s="50"/>
      <c r="N92" s="50"/>
      <c r="O92" s="50"/>
      <c r="P92" s="50"/>
      <c r="Q92" s="50"/>
      <c r="R92" s="50"/>
      <c r="S92" s="50"/>
      <c r="T92" s="50"/>
      <c r="U92" s="50"/>
      <c r="V92" s="50"/>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40"/>
      <c r="AV92" s="33"/>
      <c r="AW92" s="33"/>
      <c r="AX92" s="33"/>
      <c r="AY92" s="33"/>
      <c r="AZ92" s="33"/>
      <c r="BA92" s="33"/>
      <c r="BB92" s="33"/>
      <c r="BC92" s="33"/>
      <c r="BD92" s="33"/>
      <c r="BE92" s="33"/>
      <c r="BF92" s="33"/>
      <c r="BG92" s="33"/>
      <c r="BH92" s="35"/>
      <c r="BI92" s="35"/>
      <c r="BJ92" s="35"/>
      <c r="BK92" s="30"/>
    </row>
    <row r="93" spans="1:63" s="31" customFormat="1" ht="15" customHeight="1" x14ac:dyDescent="0.25">
      <c r="A93" s="25"/>
      <c r="B93" s="33"/>
      <c r="C93" s="25" t="s">
        <v>161</v>
      </c>
      <c r="D93" s="33"/>
      <c r="E93" s="33"/>
      <c r="F93" s="33"/>
      <c r="G93" s="50"/>
      <c r="H93" s="50"/>
      <c r="I93" s="50"/>
      <c r="J93" s="50"/>
      <c r="K93" s="50"/>
      <c r="L93" s="50"/>
      <c r="M93" s="50"/>
      <c r="N93" s="50"/>
      <c r="O93" s="50"/>
      <c r="P93" s="50"/>
      <c r="Q93" s="50"/>
      <c r="R93" s="50"/>
      <c r="S93" s="50"/>
      <c r="T93" s="50"/>
      <c r="U93" s="50"/>
      <c r="V93" s="50"/>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40"/>
      <c r="AV93" s="33"/>
      <c r="AW93" s="33"/>
      <c r="AX93" s="33"/>
      <c r="AY93" s="33"/>
      <c r="AZ93" s="33"/>
      <c r="BA93" s="33"/>
      <c r="BB93" s="33"/>
      <c r="BC93" s="33"/>
      <c r="BD93" s="33"/>
      <c r="BE93" s="33"/>
      <c r="BF93" s="33"/>
      <c r="BG93" s="33"/>
      <c r="BH93" s="35"/>
      <c r="BI93" s="35"/>
      <c r="BJ93" s="35"/>
      <c r="BK93" s="30"/>
    </row>
    <row r="94" spans="1:63" s="31" customFormat="1" ht="15" customHeight="1" x14ac:dyDescent="0.25">
      <c r="A94" s="25"/>
      <c r="B94" s="33"/>
      <c r="C94" s="25" t="s">
        <v>162</v>
      </c>
      <c r="D94" s="33"/>
      <c r="E94" s="33"/>
      <c r="F94" s="33"/>
      <c r="G94" s="50"/>
      <c r="H94" s="50"/>
      <c r="I94" s="50"/>
      <c r="J94" s="50"/>
      <c r="K94" s="50"/>
      <c r="L94" s="50"/>
      <c r="M94" s="50"/>
      <c r="N94" s="50"/>
      <c r="O94" s="50"/>
      <c r="P94" s="50"/>
      <c r="Q94" s="50"/>
      <c r="R94" s="50"/>
      <c r="S94" s="50"/>
      <c r="T94" s="50"/>
      <c r="U94" s="50"/>
      <c r="V94" s="50"/>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40"/>
      <c r="AV94" s="33"/>
      <c r="AW94" s="33"/>
      <c r="AX94" s="33"/>
      <c r="AY94" s="33"/>
      <c r="AZ94" s="33"/>
      <c r="BA94" s="33"/>
      <c r="BB94" s="33"/>
      <c r="BC94" s="33"/>
      <c r="BD94" s="33"/>
      <c r="BE94" s="33"/>
      <c r="BF94" s="33"/>
      <c r="BG94" s="33"/>
      <c r="BH94" s="35"/>
      <c r="BI94" s="35"/>
      <c r="BJ94" s="35"/>
      <c r="BK94" s="30"/>
    </row>
    <row r="95" spans="1:63" s="31" customFormat="1" ht="15" customHeight="1" x14ac:dyDescent="0.25">
      <c r="A95" s="25"/>
      <c r="B95" s="33"/>
      <c r="C95" s="25" t="s">
        <v>129</v>
      </c>
      <c r="D95" s="33"/>
      <c r="E95" s="33"/>
      <c r="F95" s="50"/>
      <c r="G95" s="50"/>
      <c r="H95" s="50"/>
      <c r="I95" s="50"/>
      <c r="J95" s="50"/>
      <c r="K95" s="50"/>
      <c r="L95" s="50"/>
      <c r="M95" s="50"/>
      <c r="N95" s="50"/>
      <c r="O95" s="50"/>
      <c r="P95" s="50"/>
      <c r="Q95" s="50"/>
      <c r="R95" s="50"/>
      <c r="S95" s="50"/>
      <c r="T95" s="50"/>
      <c r="U95" s="50"/>
      <c r="V95" s="50"/>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40"/>
      <c r="AV95" s="33"/>
      <c r="AW95" s="33"/>
      <c r="AX95" s="33"/>
      <c r="AY95" s="33"/>
      <c r="AZ95" s="33"/>
      <c r="BA95" s="33"/>
      <c r="BB95" s="33"/>
      <c r="BC95" s="33"/>
      <c r="BD95" s="33"/>
      <c r="BE95" s="33"/>
      <c r="BF95" s="33"/>
      <c r="BG95" s="33"/>
      <c r="BH95" s="35"/>
      <c r="BI95" s="35"/>
      <c r="BJ95" s="35"/>
      <c r="BK95" s="30"/>
    </row>
    <row r="96" spans="1:63" s="31" customFormat="1" ht="15" customHeight="1" x14ac:dyDescent="0.25">
      <c r="A96" s="25"/>
      <c r="B96" s="33"/>
      <c r="C96" s="41" t="s">
        <v>181</v>
      </c>
      <c r="D96" s="50"/>
      <c r="E96" s="50"/>
      <c r="F96" s="50"/>
      <c r="G96" s="50"/>
      <c r="H96" s="50"/>
      <c r="I96" s="50"/>
      <c r="J96" s="50"/>
      <c r="K96" s="50"/>
      <c r="L96" s="50"/>
      <c r="M96" s="50"/>
      <c r="N96" s="50"/>
      <c r="O96" s="50"/>
      <c r="P96" s="50"/>
      <c r="Q96" s="50"/>
      <c r="R96" s="50"/>
      <c r="S96" s="50"/>
      <c r="T96" s="50"/>
      <c r="U96" s="50"/>
      <c r="V96" s="50"/>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40"/>
      <c r="AV96" s="33"/>
      <c r="AW96" s="33"/>
      <c r="AX96" s="33"/>
      <c r="AY96" s="33"/>
      <c r="AZ96" s="33"/>
      <c r="BA96" s="33"/>
      <c r="BB96" s="33"/>
      <c r="BC96" s="33"/>
      <c r="BD96" s="33"/>
      <c r="BE96" s="33"/>
      <c r="BF96" s="33"/>
      <c r="BG96" s="33"/>
      <c r="BH96" s="35"/>
      <c r="BI96" s="35"/>
      <c r="BJ96" s="35"/>
      <c r="BK96" s="30"/>
    </row>
    <row r="97" spans="1:63" s="31" customFormat="1" ht="15" customHeight="1" x14ac:dyDescent="0.25">
      <c r="A97" s="25"/>
      <c r="B97" s="33"/>
      <c r="C97" s="41" t="s">
        <v>134</v>
      </c>
      <c r="D97" s="50"/>
      <c r="E97" s="50"/>
      <c r="F97" s="50"/>
      <c r="G97" s="50"/>
      <c r="H97" s="50"/>
      <c r="I97" s="50"/>
      <c r="J97" s="50"/>
      <c r="K97" s="50"/>
      <c r="L97" s="50"/>
      <c r="M97" s="50"/>
      <c r="N97" s="50"/>
      <c r="O97" s="50"/>
      <c r="P97" s="50"/>
      <c r="Q97" s="50"/>
      <c r="R97" s="50"/>
      <c r="S97" s="50"/>
      <c r="T97" s="50"/>
      <c r="U97" s="50"/>
      <c r="V97" s="50"/>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40"/>
      <c r="AV97" s="33"/>
      <c r="AW97" s="33"/>
      <c r="AX97" s="33"/>
      <c r="AY97" s="33"/>
      <c r="AZ97" s="33"/>
      <c r="BA97" s="33"/>
      <c r="BB97" s="33"/>
      <c r="BC97" s="33"/>
      <c r="BD97" s="33"/>
      <c r="BE97" s="33"/>
      <c r="BF97" s="33"/>
      <c r="BG97" s="33"/>
      <c r="BH97" s="35"/>
      <c r="BI97" s="35"/>
      <c r="BJ97" s="35"/>
      <c r="BK97" s="30"/>
    </row>
    <row r="98" spans="1:63" s="31" customFormat="1" ht="15" customHeight="1" x14ac:dyDescent="0.25">
      <c r="A98" s="25"/>
      <c r="B98" s="33"/>
      <c r="C98" s="67" t="s">
        <v>53</v>
      </c>
      <c r="D98" s="50"/>
      <c r="E98" s="50"/>
      <c r="F98" s="50"/>
      <c r="G98" s="50"/>
      <c r="H98" s="50"/>
      <c r="I98" s="50"/>
      <c r="J98" s="50"/>
      <c r="K98" s="50"/>
      <c r="L98" s="50"/>
      <c r="M98" s="50"/>
      <c r="N98" s="50"/>
      <c r="O98" s="50"/>
      <c r="P98" s="50"/>
      <c r="Q98" s="50"/>
      <c r="R98" s="50"/>
      <c r="S98" s="50"/>
      <c r="T98" s="50"/>
      <c r="U98" s="50"/>
      <c r="V98" s="50"/>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40"/>
      <c r="AV98" s="33"/>
      <c r="AW98" s="33"/>
      <c r="AX98" s="33"/>
      <c r="AY98" s="33"/>
      <c r="AZ98" s="33"/>
      <c r="BA98" s="33"/>
      <c r="BB98" s="33"/>
      <c r="BC98" s="33"/>
      <c r="BD98" s="33"/>
      <c r="BE98" s="33"/>
      <c r="BF98" s="33"/>
      <c r="BG98" s="33"/>
      <c r="BH98" s="35"/>
      <c r="BI98" s="35"/>
      <c r="BJ98" s="35"/>
      <c r="BK98" s="30"/>
    </row>
    <row r="99" spans="1:63" s="31" customFormat="1" ht="15" customHeight="1" x14ac:dyDescent="0.25">
      <c r="A99" s="25"/>
      <c r="B99" s="33"/>
      <c r="C99" s="65" t="s">
        <v>135</v>
      </c>
      <c r="D99" s="66"/>
      <c r="E99" s="50"/>
      <c r="F99" s="50"/>
      <c r="G99" s="50"/>
      <c r="H99" s="50"/>
      <c r="I99" s="50"/>
      <c r="J99" s="50"/>
      <c r="K99" s="50"/>
      <c r="L99" s="50"/>
      <c r="M99" s="50"/>
      <c r="N99" s="50"/>
      <c r="O99" s="50"/>
      <c r="P99" s="50"/>
      <c r="Q99" s="50"/>
      <c r="R99" s="50"/>
      <c r="S99" s="50"/>
      <c r="T99" s="50"/>
      <c r="U99" s="50"/>
      <c r="V99" s="50"/>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40"/>
      <c r="AV99" s="33"/>
      <c r="AW99" s="33"/>
      <c r="AX99" s="33"/>
      <c r="AY99" s="33"/>
      <c r="AZ99" s="33"/>
      <c r="BA99" s="33"/>
      <c r="BB99" s="33"/>
      <c r="BC99" s="33"/>
      <c r="BD99" s="33"/>
      <c r="BE99" s="33"/>
      <c r="BF99" s="33"/>
      <c r="BG99" s="33"/>
      <c r="BH99" s="35"/>
      <c r="BI99" s="35"/>
      <c r="BJ99" s="35"/>
      <c r="BK99" s="30"/>
    </row>
    <row r="100" spans="1:63" s="31" customFormat="1" ht="15" customHeight="1" x14ac:dyDescent="0.25">
      <c r="A100" s="25"/>
      <c r="B100" s="33"/>
      <c r="C100" s="65" t="s">
        <v>136</v>
      </c>
      <c r="D100" s="66"/>
      <c r="E100" s="50"/>
      <c r="F100" s="50"/>
      <c r="G100" s="50"/>
      <c r="H100" s="50"/>
      <c r="I100" s="50"/>
      <c r="J100" s="50"/>
      <c r="K100" s="50"/>
      <c r="L100" s="50"/>
      <c r="M100" s="50"/>
      <c r="N100" s="50"/>
      <c r="O100" s="50"/>
      <c r="P100" s="50"/>
      <c r="Q100" s="50"/>
      <c r="R100" s="50"/>
      <c r="S100" s="50"/>
      <c r="T100" s="50"/>
      <c r="U100" s="50"/>
      <c r="V100" s="50"/>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40"/>
      <c r="AV100" s="33"/>
      <c r="AW100" s="33"/>
      <c r="AX100" s="33"/>
      <c r="AY100" s="33"/>
      <c r="AZ100" s="33"/>
      <c r="BA100" s="33"/>
      <c r="BB100" s="33"/>
      <c r="BC100" s="33"/>
      <c r="BD100" s="33"/>
      <c r="BE100" s="33"/>
      <c r="BF100" s="33"/>
      <c r="BG100" s="33"/>
      <c r="BH100" s="35"/>
      <c r="BI100" s="35"/>
      <c r="BJ100" s="35"/>
      <c r="BK100" s="30"/>
    </row>
    <row r="101" spans="1:63" s="31" customFormat="1" ht="15" customHeight="1" x14ac:dyDescent="0.25">
      <c r="A101" s="25"/>
      <c r="B101" s="33"/>
      <c r="C101" s="65" t="s">
        <v>137</v>
      </c>
      <c r="D101" s="66"/>
      <c r="E101" s="50"/>
      <c r="F101" s="50"/>
      <c r="G101" s="50"/>
      <c r="H101" s="50"/>
      <c r="I101" s="50"/>
      <c r="J101" s="50"/>
      <c r="K101" s="50"/>
      <c r="L101" s="50"/>
      <c r="M101" s="50"/>
      <c r="N101" s="50"/>
      <c r="O101" s="50"/>
      <c r="P101" s="50"/>
      <c r="Q101" s="50"/>
      <c r="R101" s="50"/>
      <c r="S101" s="50"/>
      <c r="T101" s="50"/>
      <c r="U101" s="50"/>
      <c r="V101" s="50"/>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40"/>
      <c r="AV101" s="33"/>
      <c r="AW101" s="33"/>
      <c r="AX101" s="33"/>
      <c r="AY101" s="33"/>
      <c r="AZ101" s="33"/>
      <c r="BA101" s="33"/>
      <c r="BB101" s="33"/>
      <c r="BC101" s="33"/>
      <c r="BD101" s="33"/>
      <c r="BE101" s="33"/>
      <c r="BF101" s="33"/>
      <c r="BG101" s="33"/>
      <c r="BH101" s="35"/>
      <c r="BI101" s="35"/>
      <c r="BJ101" s="35"/>
      <c r="BK101" s="30"/>
    </row>
    <row r="102" spans="1:63" s="31" customFormat="1" ht="15" customHeight="1" x14ac:dyDescent="0.25">
      <c r="A102" s="25"/>
      <c r="B102" s="33"/>
      <c r="C102" s="65" t="s">
        <v>130</v>
      </c>
      <c r="D102" s="66"/>
      <c r="E102" s="50"/>
      <c r="F102" s="50"/>
      <c r="G102" s="50"/>
      <c r="H102" s="50"/>
      <c r="I102" s="50"/>
      <c r="J102" s="50"/>
      <c r="K102" s="50"/>
      <c r="L102" s="50"/>
      <c r="M102" s="50"/>
      <c r="N102" s="50"/>
      <c r="O102" s="50"/>
      <c r="P102" s="50"/>
      <c r="Q102" s="50"/>
      <c r="R102" s="50"/>
      <c r="S102" s="50"/>
      <c r="T102" s="50"/>
      <c r="U102" s="50"/>
      <c r="V102" s="50"/>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40"/>
      <c r="AV102" s="33"/>
      <c r="AW102" s="33"/>
      <c r="AX102" s="33"/>
      <c r="AY102" s="33"/>
      <c r="AZ102" s="33"/>
      <c r="BA102" s="33"/>
      <c r="BB102" s="33"/>
      <c r="BC102" s="33"/>
      <c r="BD102" s="33"/>
      <c r="BE102" s="33"/>
      <c r="BF102" s="33"/>
      <c r="BG102" s="33"/>
      <c r="BH102" s="35"/>
      <c r="BI102" s="35"/>
      <c r="BJ102" s="35"/>
      <c r="BK102" s="30"/>
    </row>
    <row r="103" spans="1:63" s="31" customFormat="1" ht="15" customHeight="1" x14ac:dyDescent="0.25">
      <c r="A103" s="25"/>
      <c r="B103" s="33"/>
      <c r="C103" s="65" t="s">
        <v>59</v>
      </c>
      <c r="D103" s="66"/>
      <c r="E103" s="50"/>
      <c r="F103" s="50"/>
      <c r="G103" s="50"/>
      <c r="H103" s="50"/>
      <c r="I103" s="50"/>
      <c r="J103" s="50"/>
      <c r="K103" s="50"/>
      <c r="L103" s="50"/>
      <c r="M103" s="50"/>
      <c r="N103" s="50"/>
      <c r="O103" s="50"/>
      <c r="P103" s="50"/>
      <c r="Q103" s="50"/>
      <c r="R103" s="50"/>
      <c r="S103" s="50"/>
      <c r="T103" s="50"/>
      <c r="U103" s="50"/>
      <c r="V103" s="50"/>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40"/>
      <c r="AV103" s="33"/>
      <c r="AW103" s="33"/>
      <c r="AX103" s="33"/>
      <c r="AY103" s="33"/>
      <c r="AZ103" s="33"/>
      <c r="BA103" s="33"/>
      <c r="BB103" s="33"/>
      <c r="BC103" s="33"/>
      <c r="BD103" s="33"/>
      <c r="BE103" s="33"/>
      <c r="BF103" s="33"/>
      <c r="BG103" s="33"/>
      <c r="BH103" s="35"/>
      <c r="BI103" s="35"/>
      <c r="BJ103" s="35"/>
      <c r="BK103" s="30"/>
    </row>
    <row r="104" spans="1:63" s="31" customFormat="1" ht="15" customHeight="1" x14ac:dyDescent="0.25">
      <c r="A104" s="25"/>
      <c r="B104" s="33"/>
      <c r="C104" s="65" t="s">
        <v>138</v>
      </c>
      <c r="D104" s="66"/>
      <c r="E104" s="50"/>
      <c r="F104" s="50"/>
      <c r="G104" s="50"/>
      <c r="H104" s="50"/>
      <c r="I104" s="50"/>
      <c r="J104" s="50"/>
      <c r="K104" s="50"/>
      <c r="L104" s="50"/>
      <c r="M104" s="50"/>
      <c r="N104" s="50"/>
      <c r="O104" s="50"/>
      <c r="P104" s="50"/>
      <c r="Q104" s="50"/>
      <c r="R104" s="50"/>
      <c r="S104" s="50"/>
      <c r="T104" s="50"/>
      <c r="U104" s="50"/>
      <c r="V104" s="50"/>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40"/>
      <c r="AV104" s="33"/>
      <c r="AW104" s="33"/>
      <c r="AX104" s="33"/>
      <c r="AY104" s="33"/>
      <c r="AZ104" s="33"/>
      <c r="BA104" s="33"/>
      <c r="BB104" s="33"/>
      <c r="BC104" s="33"/>
      <c r="BD104" s="33"/>
      <c r="BE104" s="33"/>
      <c r="BF104" s="33"/>
      <c r="BG104" s="33"/>
      <c r="BH104" s="35"/>
      <c r="BI104" s="35"/>
      <c r="BJ104" s="35"/>
      <c r="BK104" s="30"/>
    </row>
    <row r="105" spans="1:63" s="31" customFormat="1" ht="15" customHeight="1" x14ac:dyDescent="0.25">
      <c r="A105" s="25"/>
      <c r="B105" s="33"/>
      <c r="C105" s="65" t="s">
        <v>139</v>
      </c>
      <c r="D105" s="66"/>
      <c r="E105" s="50"/>
      <c r="F105" s="50"/>
      <c r="G105" s="50"/>
      <c r="H105" s="50"/>
      <c r="I105" s="50"/>
      <c r="J105" s="50"/>
      <c r="K105" s="50"/>
      <c r="L105" s="50"/>
      <c r="M105" s="50"/>
      <c r="N105" s="50"/>
      <c r="O105" s="50"/>
      <c r="P105" s="50"/>
      <c r="Q105" s="50"/>
      <c r="R105" s="50"/>
      <c r="S105" s="50"/>
      <c r="T105" s="50"/>
      <c r="U105" s="50"/>
      <c r="V105" s="50"/>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40"/>
      <c r="AV105" s="33"/>
      <c r="AW105" s="33"/>
      <c r="AX105" s="33"/>
      <c r="AY105" s="33"/>
      <c r="AZ105" s="33"/>
      <c r="BA105" s="33"/>
      <c r="BB105" s="33"/>
      <c r="BC105" s="33"/>
      <c r="BD105" s="33"/>
      <c r="BE105" s="33"/>
      <c r="BF105" s="33"/>
      <c r="BG105" s="33"/>
      <c r="BH105" s="35"/>
      <c r="BI105" s="35"/>
      <c r="BJ105" s="35"/>
      <c r="BK105" s="30"/>
    </row>
    <row r="106" spans="1:63" s="31" customFormat="1" ht="15" customHeight="1" x14ac:dyDescent="0.25">
      <c r="A106" s="25"/>
      <c r="B106" s="33"/>
      <c r="C106" s="65" t="s">
        <v>141</v>
      </c>
      <c r="D106" s="66"/>
      <c r="E106" s="50"/>
      <c r="F106" s="50"/>
      <c r="G106" s="50"/>
      <c r="H106" s="50"/>
      <c r="I106" s="50"/>
      <c r="J106" s="50"/>
      <c r="K106" s="50"/>
      <c r="L106" s="50"/>
      <c r="M106" s="50"/>
      <c r="N106" s="50"/>
      <c r="O106" s="50"/>
      <c r="P106" s="50"/>
      <c r="Q106" s="50"/>
      <c r="R106" s="50"/>
      <c r="S106" s="50"/>
      <c r="T106" s="50"/>
      <c r="U106" s="50"/>
      <c r="V106" s="50"/>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40"/>
      <c r="AV106" s="33"/>
      <c r="AW106" s="33"/>
      <c r="AX106" s="33"/>
      <c r="AY106" s="33"/>
      <c r="AZ106" s="33"/>
      <c r="BA106" s="33"/>
      <c r="BB106" s="33"/>
      <c r="BC106" s="33"/>
      <c r="BD106" s="33"/>
      <c r="BE106" s="33"/>
      <c r="BF106" s="33"/>
      <c r="BG106" s="33"/>
      <c r="BH106" s="35"/>
      <c r="BI106" s="35"/>
      <c r="BJ106" s="35"/>
      <c r="BK106" s="30"/>
    </row>
    <row r="107" spans="1:63" s="31" customFormat="1" ht="15" customHeight="1" x14ac:dyDescent="0.25">
      <c r="A107" s="25"/>
      <c r="B107" s="33"/>
      <c r="C107" s="65" t="s">
        <v>140</v>
      </c>
      <c r="D107" s="66"/>
      <c r="E107" s="50"/>
      <c r="F107" s="50"/>
      <c r="G107" s="50"/>
      <c r="H107" s="50"/>
      <c r="I107" s="50"/>
      <c r="J107" s="50"/>
      <c r="K107" s="50"/>
      <c r="L107" s="50"/>
      <c r="M107" s="50"/>
      <c r="N107" s="50"/>
      <c r="O107" s="50"/>
      <c r="P107" s="50"/>
      <c r="Q107" s="50"/>
      <c r="R107" s="50"/>
      <c r="S107" s="50"/>
      <c r="T107" s="50"/>
      <c r="U107" s="50"/>
      <c r="V107" s="50"/>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40"/>
      <c r="AV107" s="33"/>
      <c r="AW107" s="33"/>
      <c r="AX107" s="33"/>
      <c r="AY107" s="33"/>
      <c r="AZ107" s="33"/>
      <c r="BA107" s="33"/>
      <c r="BB107" s="33"/>
      <c r="BC107" s="33"/>
      <c r="BD107" s="33"/>
      <c r="BE107" s="33"/>
      <c r="BF107" s="33"/>
      <c r="BG107" s="33"/>
      <c r="BH107" s="35"/>
      <c r="BI107" s="35"/>
      <c r="BJ107" s="35"/>
      <c r="BK107" s="30"/>
    </row>
    <row r="108" spans="1:63" s="31" customFormat="1" ht="15" customHeight="1" x14ac:dyDescent="0.25">
      <c r="A108" s="25"/>
      <c r="B108" s="33"/>
      <c r="C108" s="65" t="s">
        <v>142</v>
      </c>
      <c r="D108" s="66"/>
      <c r="E108" s="50"/>
      <c r="F108" s="50"/>
      <c r="G108" s="50"/>
      <c r="H108" s="50"/>
      <c r="I108" s="50"/>
      <c r="J108" s="50"/>
      <c r="K108" s="50"/>
      <c r="L108" s="50"/>
      <c r="M108" s="50"/>
      <c r="N108" s="50"/>
      <c r="O108" s="50"/>
      <c r="P108" s="50"/>
      <c r="Q108" s="50"/>
      <c r="R108" s="50"/>
      <c r="S108" s="50"/>
      <c r="T108" s="50"/>
      <c r="U108" s="50"/>
      <c r="V108" s="50"/>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40"/>
      <c r="AV108" s="33"/>
      <c r="AW108" s="33"/>
      <c r="AX108" s="33"/>
      <c r="AY108" s="33"/>
      <c r="AZ108" s="33"/>
      <c r="BA108" s="33"/>
      <c r="BB108" s="33"/>
      <c r="BC108" s="33"/>
      <c r="BD108" s="33"/>
      <c r="BE108" s="33"/>
      <c r="BF108" s="33"/>
      <c r="BG108" s="33"/>
      <c r="BH108" s="35"/>
      <c r="BI108" s="35"/>
      <c r="BJ108" s="35"/>
      <c r="BK108" s="30"/>
    </row>
    <row r="109" spans="1:63" s="31" customFormat="1" ht="15" customHeight="1" x14ac:dyDescent="0.25">
      <c r="A109" s="25"/>
      <c r="B109" s="33"/>
      <c r="C109" s="65" t="s">
        <v>148</v>
      </c>
      <c r="D109" s="66"/>
      <c r="E109" s="50"/>
      <c r="F109" s="50"/>
      <c r="G109" s="50"/>
      <c r="H109" s="50"/>
      <c r="I109" s="50"/>
      <c r="J109" s="50"/>
      <c r="K109" s="50"/>
      <c r="L109" s="50"/>
      <c r="M109" s="50"/>
      <c r="N109" s="50"/>
      <c r="O109" s="50"/>
      <c r="P109" s="50"/>
      <c r="Q109" s="50"/>
      <c r="R109" s="50"/>
      <c r="S109" s="50"/>
      <c r="T109" s="50"/>
      <c r="U109" s="50"/>
      <c r="V109" s="50"/>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40"/>
      <c r="AV109" s="33"/>
      <c r="AW109" s="33"/>
      <c r="AX109" s="33"/>
      <c r="AY109" s="33"/>
      <c r="AZ109" s="33"/>
      <c r="BA109" s="33"/>
      <c r="BB109" s="33"/>
      <c r="BC109" s="33"/>
      <c r="BD109" s="33"/>
      <c r="BE109" s="33"/>
      <c r="BF109" s="33"/>
      <c r="BG109" s="33"/>
      <c r="BH109" s="35"/>
      <c r="BI109" s="35"/>
      <c r="BJ109" s="35"/>
      <c r="BK109" s="30"/>
    </row>
    <row r="110" spans="1:63" s="31" customFormat="1" ht="15" customHeight="1" x14ac:dyDescent="0.25">
      <c r="A110" s="25"/>
      <c r="B110" s="33"/>
      <c r="C110" s="65" t="s">
        <v>143</v>
      </c>
      <c r="D110" s="66"/>
      <c r="E110" s="50"/>
      <c r="F110" s="50"/>
      <c r="G110" s="50"/>
      <c r="H110" s="50"/>
      <c r="I110" s="50"/>
      <c r="J110" s="50"/>
      <c r="K110" s="50"/>
      <c r="L110" s="50"/>
      <c r="M110" s="50"/>
      <c r="N110" s="50"/>
      <c r="O110" s="50"/>
      <c r="P110" s="50"/>
      <c r="Q110" s="50"/>
      <c r="R110" s="50"/>
      <c r="S110" s="50"/>
      <c r="T110" s="50"/>
      <c r="U110" s="50"/>
      <c r="V110" s="50"/>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40"/>
      <c r="AV110" s="33"/>
      <c r="AW110" s="33"/>
      <c r="AX110" s="33"/>
      <c r="AY110" s="33"/>
      <c r="AZ110" s="33"/>
      <c r="BA110" s="33"/>
      <c r="BB110" s="33"/>
      <c r="BC110" s="33"/>
      <c r="BD110" s="33"/>
      <c r="BE110" s="33"/>
      <c r="BF110" s="33"/>
      <c r="BG110" s="33"/>
      <c r="BH110" s="35"/>
      <c r="BI110" s="35"/>
      <c r="BJ110" s="35"/>
      <c r="BK110" s="30"/>
    </row>
    <row r="111" spans="1:63" s="31" customFormat="1" ht="15" customHeight="1" x14ac:dyDescent="0.25">
      <c r="A111" s="25"/>
      <c r="B111" s="33"/>
      <c r="C111" s="65" t="s">
        <v>147</v>
      </c>
      <c r="D111" s="66"/>
      <c r="E111" s="50"/>
      <c r="F111" s="50"/>
      <c r="G111" s="50"/>
      <c r="H111" s="50"/>
      <c r="I111" s="50"/>
      <c r="J111" s="50"/>
      <c r="K111" s="50"/>
      <c r="L111" s="50"/>
      <c r="M111" s="50"/>
      <c r="N111" s="50"/>
      <c r="O111" s="50"/>
      <c r="P111" s="50"/>
      <c r="Q111" s="50"/>
      <c r="R111" s="50"/>
      <c r="S111" s="50"/>
      <c r="T111" s="50"/>
      <c r="U111" s="50"/>
      <c r="V111" s="50"/>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40"/>
      <c r="AV111" s="33"/>
      <c r="AW111" s="33"/>
      <c r="AX111" s="33"/>
      <c r="AY111" s="33"/>
      <c r="AZ111" s="33"/>
      <c r="BA111" s="33"/>
      <c r="BB111" s="33"/>
      <c r="BC111" s="33"/>
      <c r="BD111" s="33"/>
      <c r="BE111" s="33"/>
      <c r="BF111" s="33"/>
      <c r="BG111" s="33"/>
      <c r="BH111" s="35"/>
      <c r="BI111" s="35"/>
      <c r="BJ111" s="35"/>
      <c r="BK111" s="30"/>
    </row>
    <row r="112" spans="1:63" s="31" customFormat="1" ht="15" customHeight="1" x14ac:dyDescent="0.25">
      <c r="A112" s="25"/>
      <c r="B112" s="33"/>
      <c r="C112" s="65" t="s">
        <v>144</v>
      </c>
      <c r="D112" s="66"/>
      <c r="E112" s="50"/>
      <c r="F112" s="50"/>
      <c r="G112" s="50"/>
      <c r="H112" s="50"/>
      <c r="I112" s="50"/>
      <c r="J112" s="50"/>
      <c r="K112" s="50"/>
      <c r="L112" s="50"/>
      <c r="M112" s="50"/>
      <c r="N112" s="50"/>
      <c r="O112" s="50"/>
      <c r="P112" s="50"/>
      <c r="Q112" s="50"/>
      <c r="R112" s="50"/>
      <c r="S112" s="50"/>
      <c r="T112" s="50"/>
      <c r="U112" s="50"/>
      <c r="V112" s="50"/>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40"/>
      <c r="AV112" s="33"/>
      <c r="AW112" s="33"/>
      <c r="AX112" s="33"/>
      <c r="AY112" s="33"/>
      <c r="AZ112" s="33"/>
      <c r="BA112" s="33"/>
      <c r="BB112" s="33"/>
      <c r="BC112" s="33"/>
      <c r="BD112" s="33"/>
      <c r="BE112" s="33"/>
      <c r="BF112" s="33"/>
      <c r="BG112" s="33"/>
      <c r="BH112" s="35"/>
      <c r="BI112" s="35"/>
      <c r="BJ112" s="35"/>
      <c r="BK112" s="30"/>
    </row>
    <row r="113" spans="1:63" s="31" customFormat="1" ht="15" customHeight="1" x14ac:dyDescent="0.25">
      <c r="A113" s="25"/>
      <c r="B113" s="33"/>
      <c r="C113" s="65" t="s">
        <v>145</v>
      </c>
      <c r="D113" s="66"/>
      <c r="E113" s="50"/>
      <c r="F113" s="50"/>
      <c r="G113" s="50"/>
      <c r="H113" s="50"/>
      <c r="I113" s="50"/>
      <c r="J113" s="50"/>
      <c r="K113" s="50"/>
      <c r="L113" s="50"/>
      <c r="M113" s="50"/>
      <c r="N113" s="50"/>
      <c r="O113" s="50"/>
      <c r="P113" s="50"/>
      <c r="Q113" s="50"/>
      <c r="R113" s="50"/>
      <c r="S113" s="50"/>
      <c r="T113" s="50"/>
      <c r="U113" s="50"/>
      <c r="V113" s="50"/>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40"/>
      <c r="AV113" s="33"/>
      <c r="AW113" s="33"/>
      <c r="AX113" s="33"/>
      <c r="AY113" s="33"/>
      <c r="AZ113" s="33"/>
      <c r="BA113" s="33"/>
      <c r="BB113" s="33"/>
      <c r="BC113" s="33"/>
      <c r="BD113" s="33"/>
      <c r="BE113" s="33"/>
      <c r="BF113" s="33"/>
      <c r="BG113" s="33"/>
      <c r="BH113" s="35"/>
      <c r="BI113" s="35"/>
      <c r="BJ113" s="35"/>
      <c r="BK113" s="30"/>
    </row>
    <row r="114" spans="1:63" s="31" customFormat="1" ht="15" customHeight="1" x14ac:dyDescent="0.25">
      <c r="A114" s="25"/>
      <c r="B114" s="33"/>
      <c r="C114" s="65" t="s">
        <v>146</v>
      </c>
      <c r="D114" s="66"/>
      <c r="E114" s="50"/>
      <c r="F114" s="50"/>
      <c r="G114" s="50"/>
      <c r="H114" s="50"/>
      <c r="I114" s="50"/>
      <c r="J114" s="50"/>
      <c r="K114" s="50"/>
      <c r="L114" s="50"/>
      <c r="M114" s="50"/>
      <c r="N114" s="50"/>
      <c r="O114" s="50"/>
      <c r="P114" s="50"/>
      <c r="Q114" s="50"/>
      <c r="R114" s="50"/>
      <c r="S114" s="50"/>
      <c r="T114" s="50"/>
      <c r="U114" s="50"/>
      <c r="V114" s="50"/>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40"/>
      <c r="AV114" s="33"/>
      <c r="AW114" s="33"/>
      <c r="AX114" s="33"/>
      <c r="AY114" s="33"/>
      <c r="AZ114" s="33"/>
      <c r="BA114" s="33"/>
      <c r="BB114" s="33"/>
      <c r="BC114" s="33"/>
      <c r="BD114" s="33"/>
      <c r="BE114" s="33"/>
      <c r="BF114" s="33"/>
      <c r="BG114" s="33"/>
      <c r="BH114" s="35"/>
      <c r="BI114" s="35"/>
      <c r="BJ114" s="35"/>
      <c r="BK114" s="30"/>
    </row>
    <row r="115" spans="1:63" s="31" customFormat="1" ht="15" customHeight="1" x14ac:dyDescent="0.25">
      <c r="A115" s="25"/>
      <c r="B115" s="33"/>
      <c r="C115" s="67" t="s">
        <v>54</v>
      </c>
      <c r="D115" s="50"/>
      <c r="E115" s="50"/>
      <c r="F115" s="50"/>
      <c r="G115" s="50"/>
      <c r="H115" s="50"/>
      <c r="I115" s="50"/>
      <c r="J115" s="50"/>
      <c r="K115" s="50"/>
      <c r="L115" s="50"/>
      <c r="M115" s="50"/>
      <c r="N115" s="50"/>
      <c r="O115" s="50"/>
      <c r="P115" s="50"/>
      <c r="Q115" s="50"/>
      <c r="R115" s="50"/>
      <c r="S115" s="50"/>
      <c r="T115" s="50"/>
      <c r="U115" s="50"/>
      <c r="V115" s="50"/>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40"/>
      <c r="AV115" s="33"/>
      <c r="AW115" s="33"/>
      <c r="AX115" s="33"/>
      <c r="AY115" s="33"/>
      <c r="AZ115" s="33"/>
      <c r="BA115" s="33"/>
      <c r="BB115" s="33"/>
      <c r="BC115" s="33"/>
      <c r="BD115" s="33"/>
      <c r="BE115" s="33"/>
      <c r="BF115" s="33"/>
      <c r="BG115" s="33"/>
      <c r="BH115" s="35"/>
      <c r="BI115" s="35"/>
      <c r="BJ115" s="35"/>
      <c r="BK115" s="30"/>
    </row>
    <row r="116" spans="1:63" s="31" customFormat="1" ht="15" customHeight="1" x14ac:dyDescent="0.25">
      <c r="A116" s="25"/>
      <c r="B116" s="33"/>
      <c r="C116" s="67" t="s">
        <v>55</v>
      </c>
      <c r="D116" s="50"/>
      <c r="E116" s="50"/>
      <c r="F116" s="50"/>
      <c r="G116" s="50"/>
      <c r="H116" s="50"/>
      <c r="I116" s="50"/>
      <c r="J116" s="50"/>
      <c r="K116" s="50"/>
      <c r="L116" s="50"/>
      <c r="M116" s="50"/>
      <c r="N116" s="50"/>
      <c r="O116" s="50"/>
      <c r="P116" s="50"/>
      <c r="Q116" s="50"/>
      <c r="R116" s="50"/>
      <c r="S116" s="50"/>
      <c r="T116" s="50"/>
      <c r="U116" s="50"/>
      <c r="V116" s="50"/>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40"/>
      <c r="AV116" s="33"/>
      <c r="AW116" s="33"/>
      <c r="AX116" s="33"/>
      <c r="AY116" s="33"/>
      <c r="AZ116" s="33"/>
      <c r="BA116" s="33"/>
      <c r="BB116" s="33"/>
      <c r="BC116" s="33"/>
      <c r="BD116" s="33"/>
      <c r="BE116" s="33"/>
      <c r="BF116" s="33"/>
      <c r="BG116" s="33"/>
      <c r="BH116" s="35"/>
      <c r="BI116" s="35"/>
      <c r="BJ116" s="35"/>
      <c r="BK116" s="30"/>
    </row>
    <row r="117" spans="1:63" s="31" customFormat="1" ht="15" customHeight="1" x14ac:dyDescent="0.25">
      <c r="A117" s="25"/>
      <c r="B117" s="33"/>
      <c r="C117" s="41" t="s">
        <v>54</v>
      </c>
      <c r="D117" s="50"/>
      <c r="E117" s="50"/>
      <c r="F117" s="50"/>
      <c r="G117" s="50"/>
      <c r="H117" s="50"/>
      <c r="I117" s="50"/>
      <c r="J117" s="50"/>
      <c r="K117" s="50"/>
      <c r="L117" s="50"/>
      <c r="M117" s="50"/>
      <c r="N117" s="50"/>
      <c r="O117" s="50"/>
      <c r="P117" s="50"/>
      <c r="Q117" s="50"/>
      <c r="R117" s="50"/>
      <c r="S117" s="50"/>
      <c r="T117" s="50"/>
      <c r="U117" s="50"/>
      <c r="V117" s="50"/>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40"/>
      <c r="AV117" s="33"/>
      <c r="AW117" s="33"/>
      <c r="AX117" s="33"/>
      <c r="AY117" s="33"/>
      <c r="AZ117" s="33"/>
      <c r="BA117" s="33"/>
      <c r="BB117" s="33"/>
      <c r="BC117" s="33"/>
      <c r="BD117" s="33"/>
      <c r="BE117" s="33"/>
      <c r="BF117" s="33"/>
      <c r="BG117" s="33"/>
      <c r="BH117" s="35"/>
      <c r="BI117" s="35"/>
      <c r="BJ117" s="35"/>
      <c r="BK117" s="30"/>
    </row>
    <row r="118" spans="1:63" s="31" customFormat="1" ht="15" customHeight="1" x14ac:dyDescent="0.25">
      <c r="A118" s="25"/>
      <c r="B118" s="33"/>
      <c r="C118" s="41" t="s">
        <v>55</v>
      </c>
      <c r="D118" s="50"/>
      <c r="E118" s="50"/>
      <c r="F118" s="50"/>
      <c r="G118" s="50"/>
      <c r="H118" s="50"/>
      <c r="I118" s="50"/>
      <c r="J118" s="50"/>
      <c r="K118" s="50"/>
      <c r="L118" s="50"/>
      <c r="M118" s="50"/>
      <c r="N118" s="50"/>
      <c r="O118" s="50"/>
      <c r="P118" s="50"/>
      <c r="Q118" s="50"/>
      <c r="R118" s="50"/>
      <c r="S118" s="50"/>
      <c r="T118" s="50"/>
      <c r="U118" s="50"/>
      <c r="V118" s="50"/>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40"/>
      <c r="AV118" s="33"/>
      <c r="AW118" s="33"/>
      <c r="AX118" s="33"/>
      <c r="AY118" s="33"/>
      <c r="AZ118" s="33"/>
      <c r="BA118" s="33"/>
      <c r="BB118" s="33"/>
      <c r="BC118" s="33"/>
      <c r="BD118" s="33"/>
      <c r="BE118" s="33"/>
      <c r="BF118" s="33"/>
      <c r="BG118" s="33"/>
      <c r="BH118" s="35"/>
      <c r="BI118" s="35"/>
      <c r="BJ118" s="35"/>
      <c r="BK118" s="30"/>
    </row>
    <row r="119" spans="1:63" s="31" customFormat="1" ht="15" customHeight="1" x14ac:dyDescent="0.25">
      <c r="A119" s="25"/>
      <c r="B119" s="33"/>
      <c r="C119" s="44" t="s">
        <v>50</v>
      </c>
      <c r="D119" s="51"/>
      <c r="E119" s="51"/>
      <c r="F119" s="51"/>
      <c r="G119" s="51"/>
      <c r="H119" s="51"/>
      <c r="I119" s="51"/>
      <c r="J119" s="51"/>
      <c r="K119" s="51"/>
      <c r="L119" s="51"/>
      <c r="M119" s="51"/>
      <c r="N119" s="51"/>
      <c r="O119" s="51"/>
      <c r="P119" s="51"/>
      <c r="Q119" s="51"/>
      <c r="R119" s="51"/>
      <c r="S119" s="51"/>
      <c r="T119" s="51"/>
      <c r="U119" s="51"/>
      <c r="V119" s="51"/>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43"/>
      <c r="AV119" s="33"/>
      <c r="AW119" s="33"/>
      <c r="AX119" s="33"/>
      <c r="AY119" s="33"/>
      <c r="AZ119" s="33"/>
      <c r="BA119" s="33"/>
      <c r="BB119" s="33"/>
      <c r="BC119" s="33"/>
      <c r="BD119" s="33"/>
      <c r="BE119" s="33"/>
      <c r="BF119" s="33"/>
      <c r="BG119" s="33"/>
      <c r="BH119" s="35"/>
      <c r="BI119" s="35"/>
      <c r="BJ119" s="35"/>
      <c r="BK119" s="30"/>
    </row>
    <row r="120" spans="1:63" s="31" customFormat="1" ht="15" customHeight="1" x14ac:dyDescent="0.25">
      <c r="A120" s="25"/>
      <c r="B120" s="33"/>
      <c r="C120" s="33"/>
      <c r="D120" s="34"/>
      <c r="E120" s="34"/>
      <c r="F120" s="50"/>
      <c r="G120" s="50"/>
      <c r="H120" s="50"/>
      <c r="I120" s="50"/>
      <c r="J120" s="50"/>
      <c r="K120" s="50"/>
      <c r="L120" s="50"/>
      <c r="M120" s="50"/>
      <c r="N120" s="50"/>
      <c r="O120" s="50"/>
      <c r="P120" s="50"/>
      <c r="Q120" s="50"/>
      <c r="R120" s="50"/>
      <c r="S120" s="50"/>
      <c r="T120" s="50"/>
      <c r="U120" s="50"/>
      <c r="V120" s="50"/>
      <c r="W120" s="50"/>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5"/>
      <c r="BI120" s="35"/>
      <c r="BJ120" s="35"/>
      <c r="BK120" s="30"/>
    </row>
    <row r="121" spans="1:63" s="31" customFormat="1" ht="15" customHeight="1" x14ac:dyDescent="0.25">
      <c r="A121" s="25"/>
      <c r="B121" s="33"/>
      <c r="C121" s="32" t="s">
        <v>41</v>
      </c>
      <c r="D121" s="33"/>
      <c r="E121" s="34"/>
      <c r="F121" s="50"/>
      <c r="G121" s="50"/>
      <c r="H121" s="50"/>
      <c r="I121" s="50"/>
      <c r="J121" s="50"/>
      <c r="K121" s="50"/>
      <c r="L121" s="50"/>
      <c r="M121" s="50"/>
      <c r="N121" s="50"/>
      <c r="O121" s="50"/>
      <c r="P121" s="50"/>
      <c r="Q121" s="50"/>
      <c r="R121" s="50"/>
      <c r="S121" s="50"/>
      <c r="T121" s="50"/>
      <c r="U121" s="50"/>
      <c r="V121" s="50"/>
      <c r="W121" s="50"/>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5"/>
      <c r="BI121" s="35"/>
      <c r="BJ121" s="35"/>
      <c r="BK121" s="30"/>
    </row>
    <row r="122" spans="1:63" s="31" customFormat="1" ht="15" customHeight="1" x14ac:dyDescent="0.25">
      <c r="A122" s="25"/>
      <c r="B122" s="33"/>
      <c r="C122" s="32"/>
      <c r="D122" s="33"/>
      <c r="E122" s="34"/>
      <c r="F122" s="50"/>
      <c r="G122" s="50"/>
      <c r="H122" s="50"/>
      <c r="I122" s="50"/>
      <c r="J122" s="50"/>
      <c r="K122" s="50"/>
      <c r="L122" s="50"/>
      <c r="M122" s="50"/>
      <c r="N122" s="50"/>
      <c r="O122" s="50"/>
      <c r="P122" s="50"/>
      <c r="Q122" s="50"/>
      <c r="R122" s="50"/>
      <c r="S122" s="50"/>
      <c r="T122" s="50"/>
      <c r="U122" s="50"/>
      <c r="V122" s="50"/>
      <c r="W122" s="50"/>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5"/>
      <c r="BI122" s="35"/>
      <c r="BJ122" s="35"/>
      <c r="BK122" s="30"/>
    </row>
    <row r="123" spans="1:63" s="31" customFormat="1" ht="15" customHeight="1" x14ac:dyDescent="0.25">
      <c r="A123" s="25"/>
      <c r="B123" s="33"/>
      <c r="C123" s="32" t="s">
        <v>149</v>
      </c>
      <c r="D123" s="33"/>
      <c r="E123" s="34"/>
      <c r="F123" s="50"/>
      <c r="G123" s="50"/>
      <c r="H123" s="50"/>
      <c r="I123" s="50"/>
      <c r="J123" s="50"/>
      <c r="K123" s="50"/>
      <c r="L123" s="50"/>
      <c r="M123" s="50"/>
      <c r="N123" s="50"/>
      <c r="O123" s="50"/>
      <c r="P123" s="50"/>
      <c r="Q123" s="50"/>
      <c r="R123" s="50"/>
      <c r="S123" s="50"/>
      <c r="T123" s="50"/>
      <c r="U123" s="50"/>
      <c r="V123" s="50"/>
      <c r="W123" s="50"/>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5"/>
      <c r="BI123" s="35"/>
      <c r="BJ123" s="35"/>
      <c r="BK123" s="30"/>
    </row>
    <row r="124" spans="1:63" s="31" customFormat="1" ht="15" customHeight="1" x14ac:dyDescent="0.25">
      <c r="A124" s="25"/>
      <c r="B124" s="33"/>
      <c r="C124" s="32"/>
      <c r="D124" s="33"/>
      <c r="E124" s="34"/>
      <c r="F124" s="50"/>
      <c r="G124" s="50"/>
      <c r="H124" s="50"/>
      <c r="I124" s="50"/>
      <c r="J124" s="50"/>
      <c r="K124" s="50"/>
      <c r="L124" s="50"/>
      <c r="M124" s="50"/>
      <c r="N124" s="50"/>
      <c r="O124" s="50"/>
      <c r="P124" s="50"/>
      <c r="Q124" s="50"/>
      <c r="R124" s="50"/>
      <c r="S124" s="50"/>
      <c r="T124" s="50"/>
      <c r="U124" s="50"/>
      <c r="V124" s="50"/>
      <c r="W124" s="50"/>
      <c r="X124" s="33"/>
      <c r="Y124" s="33"/>
      <c r="Z124" s="33"/>
      <c r="AA124" s="33"/>
      <c r="AB124" s="33"/>
      <c r="AC124" s="33"/>
      <c r="AD124" s="33"/>
      <c r="AE124" s="33"/>
      <c r="AF124" s="33"/>
      <c r="AG124" s="33"/>
      <c r="AH124" s="33"/>
      <c r="AI124" s="33"/>
      <c r="AJ124" s="33"/>
      <c r="AK124" s="33"/>
      <c r="AL124" s="33"/>
      <c r="AM124" s="33"/>
      <c r="AN124" s="33"/>
      <c r="AO124" s="33"/>
      <c r="AP124" s="52"/>
      <c r="AQ124" s="52"/>
      <c r="AR124" s="52"/>
      <c r="AS124" s="52"/>
      <c r="AT124" s="33"/>
      <c r="AU124" s="33"/>
      <c r="AV124" s="33"/>
      <c r="AW124" s="33"/>
      <c r="AX124" s="33"/>
      <c r="AY124" s="33"/>
      <c r="AZ124" s="33"/>
      <c r="BA124" s="33"/>
      <c r="BB124" s="33"/>
      <c r="BC124" s="33"/>
      <c r="BD124" s="33"/>
      <c r="BE124" s="33"/>
      <c r="BF124" s="33"/>
      <c r="BG124" s="33"/>
      <c r="BH124" s="35"/>
      <c r="BI124" s="35"/>
      <c r="BJ124" s="35"/>
      <c r="BK124" s="30"/>
    </row>
    <row r="125" spans="1:63" s="58" customFormat="1" ht="15" customHeight="1" x14ac:dyDescent="0.25">
      <c r="A125" s="53"/>
      <c r="B125" s="54"/>
      <c r="C125" s="54"/>
      <c r="D125" s="54"/>
      <c r="E125" s="55"/>
      <c r="F125" s="55"/>
      <c r="G125" s="55"/>
      <c r="H125" s="55"/>
      <c r="I125" s="55"/>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6"/>
      <c r="BI125" s="56"/>
      <c r="BJ125" s="56"/>
      <c r="BK125" s="57"/>
    </row>
  </sheetData>
  <mergeCells count="270">
    <mergeCell ref="S55:AB55"/>
    <mergeCell ref="AC55:AU55"/>
    <mergeCell ref="C76:D76"/>
    <mergeCell ref="E76:K76"/>
    <mergeCell ref="L76:R76"/>
    <mergeCell ref="S76:AB76"/>
    <mergeCell ref="AC76:AU76"/>
    <mergeCell ref="C75:D75"/>
    <mergeCell ref="E75:K75"/>
    <mergeCell ref="L75:R75"/>
    <mergeCell ref="S75:AB75"/>
    <mergeCell ref="AC75:AU75"/>
    <mergeCell ref="L58:R58"/>
    <mergeCell ref="S58:AB58"/>
    <mergeCell ref="AC58:AU58"/>
    <mergeCell ref="C59:D59"/>
    <mergeCell ref="E59:K59"/>
    <mergeCell ref="L59:R59"/>
    <mergeCell ref="S59:AB59"/>
    <mergeCell ref="AC59:AU59"/>
    <mergeCell ref="S57:AB57"/>
    <mergeCell ref="C73:D73"/>
    <mergeCell ref="E73:K73"/>
    <mergeCell ref="L73:R73"/>
    <mergeCell ref="S73:AB73"/>
    <mergeCell ref="AC73:AU73"/>
    <mergeCell ref="C71:D71"/>
    <mergeCell ref="E71:K71"/>
    <mergeCell ref="L71:R71"/>
    <mergeCell ref="S71:AB71"/>
    <mergeCell ref="AC71:AU71"/>
    <mergeCell ref="L50:R50"/>
    <mergeCell ref="C46:D46"/>
    <mergeCell ref="E46:K46"/>
    <mergeCell ref="L46:R46"/>
    <mergeCell ref="C56:D56"/>
    <mergeCell ref="E56:K56"/>
    <mergeCell ref="L56:R56"/>
    <mergeCell ref="E51:K51"/>
    <mergeCell ref="L51:R51"/>
    <mergeCell ref="C49:D49"/>
    <mergeCell ref="C52:D52"/>
    <mergeCell ref="C53:D53"/>
    <mergeCell ref="E53:K53"/>
    <mergeCell ref="L53:R53"/>
    <mergeCell ref="C51:D51"/>
    <mergeCell ref="C55:D55"/>
    <mergeCell ref="E55:K55"/>
    <mergeCell ref="L55:R55"/>
    <mergeCell ref="C74:D74"/>
    <mergeCell ref="AC57:AU57"/>
    <mergeCell ref="C58:D58"/>
    <mergeCell ref="E58:K58"/>
    <mergeCell ref="C60:D60"/>
    <mergeCell ref="E60:K60"/>
    <mergeCell ref="L60:R60"/>
    <mergeCell ref="E66:K66"/>
    <mergeCell ref="L66:R66"/>
    <mergeCell ref="S66:AB66"/>
    <mergeCell ref="AC66:AU66"/>
    <mergeCell ref="C67:D67"/>
    <mergeCell ref="E67:K67"/>
    <mergeCell ref="L67:R67"/>
    <mergeCell ref="S67:AB67"/>
    <mergeCell ref="AC67:AU67"/>
    <mergeCell ref="S69:AB69"/>
    <mergeCell ref="E74:K74"/>
    <mergeCell ref="L74:R74"/>
    <mergeCell ref="C70:D70"/>
    <mergeCell ref="E70:K70"/>
    <mergeCell ref="L70:R70"/>
    <mergeCell ref="S70:AB70"/>
    <mergeCell ref="AC70:AU70"/>
    <mergeCell ref="E69:K69"/>
    <mergeCell ref="L69:R69"/>
    <mergeCell ref="C72:D72"/>
    <mergeCell ref="AC72:AU72"/>
    <mergeCell ref="L72:R72"/>
    <mergeCell ref="C62:D62"/>
    <mergeCell ref="E62:K62"/>
    <mergeCell ref="L62:R62"/>
    <mergeCell ref="S62:AB62"/>
    <mergeCell ref="AC62:AU62"/>
    <mergeCell ref="C63:D63"/>
    <mergeCell ref="E63:K63"/>
    <mergeCell ref="L63:R63"/>
    <mergeCell ref="S63:AB63"/>
    <mergeCell ref="AC63:AU63"/>
    <mergeCell ref="C68:D68"/>
    <mergeCell ref="E68:K68"/>
    <mergeCell ref="L68:R68"/>
    <mergeCell ref="S68:AB68"/>
    <mergeCell ref="AC68:AU68"/>
    <mergeCell ref="C66:D66"/>
    <mergeCell ref="C64:D64"/>
    <mergeCell ref="C69:D69"/>
    <mergeCell ref="S74:AB74"/>
    <mergeCell ref="AC44:AU44"/>
    <mergeCell ref="AC45:AU45"/>
    <mergeCell ref="AC47:AU47"/>
    <mergeCell ref="AC48:AU48"/>
    <mergeCell ref="AC49:AU49"/>
    <mergeCell ref="AC52:AU52"/>
    <mergeCell ref="S72:AB72"/>
    <mergeCell ref="E45:K45"/>
    <mergeCell ref="E47:K47"/>
    <mergeCell ref="E48:K48"/>
    <mergeCell ref="E49:K49"/>
    <mergeCell ref="E52:K52"/>
    <mergeCell ref="E72:K72"/>
    <mergeCell ref="L49:R49"/>
    <mergeCell ref="L52:R52"/>
    <mergeCell ref="E44:K44"/>
    <mergeCell ref="L57:R57"/>
    <mergeCell ref="AC69:AU69"/>
    <mergeCell ref="S51:AB51"/>
    <mergeCell ref="AC51:AU51"/>
    <mergeCell ref="E64:K64"/>
    <mergeCell ref="L64:R64"/>
    <mergeCell ref="S64:AB64"/>
    <mergeCell ref="AQ21:BJ21"/>
    <mergeCell ref="Z21:AP21"/>
    <mergeCell ref="AQ22:BJ22"/>
    <mergeCell ref="AQ23:BJ23"/>
    <mergeCell ref="Z22:AP22"/>
    <mergeCell ref="Z24:AP24"/>
    <mergeCell ref="E20:K20"/>
    <mergeCell ref="C20:D20"/>
    <mergeCell ref="S20:Y20"/>
    <mergeCell ref="Z20:AP20"/>
    <mergeCell ref="L22:N22"/>
    <mergeCell ref="L23:N23"/>
    <mergeCell ref="L24:N24"/>
    <mergeCell ref="O20:R20"/>
    <mergeCell ref="L20:N20"/>
    <mergeCell ref="S22:Y22"/>
    <mergeCell ref="S23:Y23"/>
    <mergeCell ref="S21:Y21"/>
    <mergeCell ref="O23:R23"/>
    <mergeCell ref="L21:N21"/>
    <mergeCell ref="Z25:AP25"/>
    <mergeCell ref="Z23:AP23"/>
    <mergeCell ref="C44:D44"/>
    <mergeCell ref="C45:D45"/>
    <mergeCell ref="C47:D47"/>
    <mergeCell ref="C48:D48"/>
    <mergeCell ref="O21:R21"/>
    <mergeCell ref="C22:D22"/>
    <mergeCell ref="C50:D50"/>
    <mergeCell ref="E50:K50"/>
    <mergeCell ref="C31:D31"/>
    <mergeCell ref="E31:K31"/>
    <mergeCell ref="L31:N31"/>
    <mergeCell ref="O31:R31"/>
    <mergeCell ref="E21:K21"/>
    <mergeCell ref="E22:K22"/>
    <mergeCell ref="C23:D23"/>
    <mergeCell ref="E23:K23"/>
    <mergeCell ref="C21:D21"/>
    <mergeCell ref="E24:K24"/>
    <mergeCell ref="E25:K25"/>
    <mergeCell ref="O22:R22"/>
    <mergeCell ref="O24:R24"/>
    <mergeCell ref="O25:R25"/>
    <mergeCell ref="S44:AB44"/>
    <mergeCell ref="S45:AB45"/>
    <mergeCell ref="S47:AB47"/>
    <mergeCell ref="A4:G4"/>
    <mergeCell ref="H4:T4"/>
    <mergeCell ref="U4:Y4"/>
    <mergeCell ref="C30:D30"/>
    <mergeCell ref="E30:K30"/>
    <mergeCell ref="C29:D29"/>
    <mergeCell ref="S24:Y24"/>
    <mergeCell ref="S25:Y25"/>
    <mergeCell ref="C25:D25"/>
    <mergeCell ref="C24:D24"/>
    <mergeCell ref="O30:R30"/>
    <mergeCell ref="E29:K29"/>
    <mergeCell ref="Z29:AP29"/>
    <mergeCell ref="L30:N30"/>
    <mergeCell ref="S30:Y30"/>
    <mergeCell ref="S29:Y29"/>
    <mergeCell ref="Z30:AP30"/>
    <mergeCell ref="C33:D33"/>
    <mergeCell ref="E33:K33"/>
    <mergeCell ref="L33:N33"/>
    <mergeCell ref="O33:R33"/>
    <mergeCell ref="S52:AB52"/>
    <mergeCell ref="AQ31:BJ31"/>
    <mergeCell ref="S46:AB46"/>
    <mergeCell ref="AC46:AU46"/>
    <mergeCell ref="AQ16:BJ16"/>
    <mergeCell ref="AG16:AP16"/>
    <mergeCell ref="S48:AB48"/>
    <mergeCell ref="S49:AB49"/>
    <mergeCell ref="L44:R44"/>
    <mergeCell ref="L45:R45"/>
    <mergeCell ref="L47:R47"/>
    <mergeCell ref="L48:R48"/>
    <mergeCell ref="AQ24:BJ24"/>
    <mergeCell ref="AQ25:BJ25"/>
    <mergeCell ref="AQ30:BJ30"/>
    <mergeCell ref="AQ29:BJ29"/>
    <mergeCell ref="L29:N29"/>
    <mergeCell ref="O29:R29"/>
    <mergeCell ref="L25:N25"/>
    <mergeCell ref="S31:Y31"/>
    <mergeCell ref="Z31:AP31"/>
    <mergeCell ref="S50:AB50"/>
    <mergeCell ref="AC50:AU50"/>
    <mergeCell ref="AQ20:BJ20"/>
    <mergeCell ref="AC74:AU7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Z4:AO4"/>
    <mergeCell ref="AP4:BK4"/>
    <mergeCell ref="C15:D15"/>
    <mergeCell ref="C16:D16"/>
    <mergeCell ref="E15:AF15"/>
    <mergeCell ref="AG15:AP15"/>
    <mergeCell ref="AQ15:BJ15"/>
    <mergeCell ref="E16:AF16"/>
    <mergeCell ref="S53:AB53"/>
    <mergeCell ref="AC53:AU53"/>
    <mergeCell ref="C54:D54"/>
    <mergeCell ref="E54:K54"/>
    <mergeCell ref="L54:R54"/>
    <mergeCell ref="S54:AB54"/>
    <mergeCell ref="AC54:AU54"/>
    <mergeCell ref="C65:D65"/>
    <mergeCell ref="E65:K65"/>
    <mergeCell ref="L65:R65"/>
    <mergeCell ref="S65:AB65"/>
    <mergeCell ref="AC65:AU65"/>
    <mergeCell ref="AC64:AU64"/>
    <mergeCell ref="C61:D61"/>
    <mergeCell ref="E61:K61"/>
    <mergeCell ref="L61:R61"/>
    <mergeCell ref="S61:AB61"/>
    <mergeCell ref="AC61:AU61"/>
    <mergeCell ref="S60:AB60"/>
    <mergeCell ref="AC60:AU60"/>
    <mergeCell ref="S56:AB56"/>
    <mergeCell ref="AC56:AU56"/>
    <mergeCell ref="C57:D57"/>
    <mergeCell ref="E57:K57"/>
    <mergeCell ref="S33:Y33"/>
    <mergeCell ref="Z33:AP33"/>
    <mergeCell ref="AQ33:BJ33"/>
    <mergeCell ref="C32:D32"/>
    <mergeCell ref="E32:K32"/>
    <mergeCell ref="L32:N32"/>
    <mergeCell ref="O32:R32"/>
    <mergeCell ref="S32:Y32"/>
    <mergeCell ref="Z32:AP32"/>
    <mergeCell ref="AQ32:BJ32"/>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71" t="s">
        <v>208</v>
      </c>
      <c r="B1" s="272"/>
      <c r="C1" s="272"/>
      <c r="D1" s="272"/>
      <c r="E1" s="272"/>
      <c r="F1" s="272"/>
      <c r="G1" s="272"/>
      <c r="H1" s="272"/>
      <c r="I1" s="272"/>
      <c r="J1" s="273"/>
      <c r="K1" s="271" t="s">
        <v>209</v>
      </c>
      <c r="L1" s="272"/>
      <c r="M1" s="272"/>
      <c r="N1" s="272"/>
      <c r="O1" s="272"/>
      <c r="P1" s="272"/>
      <c r="Q1" s="272"/>
      <c r="R1" s="272"/>
      <c r="S1" s="272"/>
      <c r="T1" s="272"/>
      <c r="U1" s="272"/>
      <c r="V1" s="273"/>
      <c r="W1" s="274" t="str">
        <f>IF(表紙!W1="","",表紙!W1)</f>
        <v>詳細設計書</v>
      </c>
      <c r="X1" s="275"/>
      <c r="Y1" s="275"/>
      <c r="Z1" s="275"/>
      <c r="AA1" s="275"/>
      <c r="AB1" s="275"/>
      <c r="AC1" s="275"/>
      <c r="AD1" s="275"/>
      <c r="AE1" s="275"/>
      <c r="AF1" s="275"/>
      <c r="AG1" s="275"/>
      <c r="AH1" s="275"/>
      <c r="AI1" s="275"/>
      <c r="AJ1" s="275"/>
      <c r="AK1" s="275"/>
      <c r="AL1" s="275"/>
      <c r="AM1" s="275"/>
      <c r="AN1" s="275"/>
      <c r="AO1" s="276"/>
      <c r="AP1" s="197" t="s">
        <v>211</v>
      </c>
      <c r="AQ1" s="198"/>
      <c r="AR1" s="198"/>
      <c r="AS1" s="199"/>
      <c r="AT1" s="197" t="s">
        <v>212</v>
      </c>
      <c r="AU1" s="198"/>
      <c r="AV1" s="198"/>
      <c r="AW1" s="198"/>
      <c r="AX1" s="199"/>
      <c r="AY1" s="197" t="s">
        <v>213</v>
      </c>
      <c r="AZ1" s="198"/>
      <c r="BA1" s="198"/>
      <c r="BB1" s="199"/>
      <c r="BC1" s="197" t="s">
        <v>214</v>
      </c>
      <c r="BD1" s="198"/>
      <c r="BE1" s="198"/>
      <c r="BF1" s="198"/>
      <c r="BG1" s="199"/>
      <c r="BH1" s="197" t="s">
        <v>215</v>
      </c>
      <c r="BI1" s="198"/>
      <c r="BJ1" s="198"/>
      <c r="BK1" s="199"/>
    </row>
    <row r="2" spans="1:63" ht="15" customHeight="1" x14ac:dyDescent="0.25">
      <c r="A2" s="102" t="str">
        <f>IF(表紙!A2="","",表紙!A2)</f>
        <v>POSサーバー</v>
      </c>
      <c r="B2" s="103"/>
      <c r="C2" s="103"/>
      <c r="D2" s="103"/>
      <c r="E2" s="103"/>
      <c r="F2" s="103"/>
      <c r="G2" s="103"/>
      <c r="H2" s="103"/>
      <c r="I2" s="103"/>
      <c r="J2" s="104"/>
      <c r="K2" s="102" t="str">
        <f>IF(表紙!K2="","",表紙!K2)</f>
        <v>POSサーバー</v>
      </c>
      <c r="L2" s="103"/>
      <c r="M2" s="103"/>
      <c r="N2" s="103"/>
      <c r="O2" s="103"/>
      <c r="P2" s="103"/>
      <c r="Q2" s="103"/>
      <c r="R2" s="103"/>
      <c r="S2" s="103"/>
      <c r="T2" s="103"/>
      <c r="U2" s="103"/>
      <c r="V2" s="104"/>
      <c r="W2" s="277"/>
      <c r="X2" s="278"/>
      <c r="Y2" s="278"/>
      <c r="Z2" s="278"/>
      <c r="AA2" s="278"/>
      <c r="AB2" s="278"/>
      <c r="AC2" s="278"/>
      <c r="AD2" s="278"/>
      <c r="AE2" s="278"/>
      <c r="AF2" s="278"/>
      <c r="AG2" s="278"/>
      <c r="AH2" s="278"/>
      <c r="AI2" s="278"/>
      <c r="AJ2" s="278"/>
      <c r="AK2" s="278"/>
      <c r="AL2" s="278"/>
      <c r="AM2" s="278"/>
      <c r="AN2" s="278"/>
      <c r="AO2" s="279"/>
      <c r="AP2" s="206" t="str">
        <f>IF(表紙!AP2="","",表紙!AP2)</f>
        <v>DuNT</v>
      </c>
      <c r="AQ2" s="204"/>
      <c r="AR2" s="204"/>
      <c r="AS2" s="205"/>
      <c r="AT2" s="210">
        <f>IF(表紙!AT2="","",表紙!AT2)</f>
        <v>45469</v>
      </c>
      <c r="AU2" s="211"/>
      <c r="AV2" s="211"/>
      <c r="AW2" s="211"/>
      <c r="AX2" s="212"/>
      <c r="AY2" s="206" t="str">
        <f>IF(表紙!AY2="","",表紙!AY2)</f>
        <v>DuNT</v>
      </c>
      <c r="AZ2" s="204"/>
      <c r="BA2" s="204"/>
      <c r="BB2" s="205"/>
      <c r="BC2" s="210">
        <f>IF(表紙!BC2="","",表紙!BC2)</f>
        <v>45551</v>
      </c>
      <c r="BD2" s="211"/>
      <c r="BE2" s="211"/>
      <c r="BF2" s="211"/>
      <c r="BG2" s="212"/>
      <c r="BH2" s="206">
        <f>IF(表紙!BH2="","",表紙!BH2)</f>
        <v>0.5</v>
      </c>
      <c r="BI2" s="204"/>
      <c r="BJ2" s="204"/>
      <c r="BK2" s="205"/>
    </row>
    <row r="3" spans="1:63" ht="15" customHeight="1" x14ac:dyDescent="0.25">
      <c r="A3" s="105"/>
      <c r="B3" s="106"/>
      <c r="C3" s="106"/>
      <c r="D3" s="106"/>
      <c r="E3" s="106"/>
      <c r="F3" s="106"/>
      <c r="G3" s="106"/>
      <c r="H3" s="106"/>
      <c r="I3" s="106"/>
      <c r="J3" s="107"/>
      <c r="K3" s="105"/>
      <c r="L3" s="106"/>
      <c r="M3" s="106"/>
      <c r="N3" s="106"/>
      <c r="O3" s="106"/>
      <c r="P3" s="106"/>
      <c r="Q3" s="106"/>
      <c r="R3" s="106"/>
      <c r="S3" s="106"/>
      <c r="T3" s="106"/>
      <c r="U3" s="106"/>
      <c r="V3" s="107"/>
      <c r="W3" s="280"/>
      <c r="X3" s="281"/>
      <c r="Y3" s="281"/>
      <c r="Z3" s="281"/>
      <c r="AA3" s="281"/>
      <c r="AB3" s="281"/>
      <c r="AC3" s="281"/>
      <c r="AD3" s="281"/>
      <c r="AE3" s="281"/>
      <c r="AF3" s="281"/>
      <c r="AG3" s="281"/>
      <c r="AH3" s="281"/>
      <c r="AI3" s="281"/>
      <c r="AJ3" s="281"/>
      <c r="AK3" s="281"/>
      <c r="AL3" s="281"/>
      <c r="AM3" s="281"/>
      <c r="AN3" s="281"/>
      <c r="AO3" s="282"/>
      <c r="AP3" s="216"/>
      <c r="AQ3" s="217"/>
      <c r="AR3" s="217"/>
      <c r="AS3" s="218"/>
      <c r="AT3" s="222"/>
      <c r="AU3" s="223"/>
      <c r="AV3" s="223"/>
      <c r="AW3" s="223"/>
      <c r="AX3" s="224"/>
      <c r="AY3" s="216"/>
      <c r="AZ3" s="217"/>
      <c r="BA3" s="217"/>
      <c r="BB3" s="218"/>
      <c r="BC3" s="222"/>
      <c r="BD3" s="223"/>
      <c r="BE3" s="223"/>
      <c r="BF3" s="223"/>
      <c r="BG3" s="224"/>
      <c r="BH3" s="216"/>
      <c r="BI3" s="217"/>
      <c r="BJ3" s="217"/>
      <c r="BK3" s="218"/>
    </row>
    <row r="4" spans="1:63" ht="24.95" customHeight="1" x14ac:dyDescent="0.25">
      <c r="A4" s="271" t="s">
        <v>217</v>
      </c>
      <c r="B4" s="272"/>
      <c r="C4" s="272"/>
      <c r="D4" s="272"/>
      <c r="E4" s="272"/>
      <c r="F4" s="272"/>
      <c r="G4" s="273"/>
      <c r="H4" s="98" t="str">
        <f>IF(表紙!H4="","",表紙!H4)</f>
        <v>AP1502</v>
      </c>
      <c r="I4" s="99"/>
      <c r="J4" s="99"/>
      <c r="K4" s="99"/>
      <c r="L4" s="99"/>
      <c r="M4" s="99"/>
      <c r="N4" s="99"/>
      <c r="O4" s="99"/>
      <c r="P4" s="99"/>
      <c r="Q4" s="99"/>
      <c r="R4" s="99"/>
      <c r="S4" s="99"/>
      <c r="T4" s="100"/>
      <c r="U4" s="271" t="s">
        <v>218</v>
      </c>
      <c r="V4" s="272"/>
      <c r="W4" s="272"/>
      <c r="X4" s="272"/>
      <c r="Y4" s="273"/>
      <c r="Z4" s="98" t="str">
        <f>IF(表紙!Z4="","",表紙!Z4)</f>
        <v>API設計書</v>
      </c>
      <c r="AA4" s="99"/>
      <c r="AB4" s="99"/>
      <c r="AC4" s="99"/>
      <c r="AD4" s="99"/>
      <c r="AE4" s="99"/>
      <c r="AF4" s="99"/>
      <c r="AG4" s="99"/>
      <c r="AH4" s="99"/>
      <c r="AI4" s="99"/>
      <c r="AJ4" s="99"/>
      <c r="AK4" s="99"/>
      <c r="AL4" s="99"/>
      <c r="AM4" s="99"/>
      <c r="AN4" s="99"/>
      <c r="AO4" s="100"/>
      <c r="AP4" s="101" t="str">
        <f ca="1">MID(CELL("filename",A1),FIND("]",CELL("filename",A1))+1,255)</f>
        <v>処理フロー</v>
      </c>
      <c r="AQ4" s="99"/>
      <c r="AR4" s="99"/>
      <c r="AS4" s="99"/>
      <c r="AT4" s="99"/>
      <c r="AU4" s="99"/>
      <c r="AV4" s="99"/>
      <c r="AW4" s="99"/>
      <c r="AX4" s="99"/>
      <c r="AY4" s="99"/>
      <c r="AZ4" s="99"/>
      <c r="BA4" s="99"/>
      <c r="BB4" s="99"/>
      <c r="BC4" s="99"/>
      <c r="BD4" s="99"/>
      <c r="BE4" s="99"/>
      <c r="BF4" s="99"/>
      <c r="BG4" s="99"/>
      <c r="BH4" s="99"/>
      <c r="BI4" s="99"/>
      <c r="BJ4" s="99"/>
      <c r="BK4" s="100"/>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89" customFormat="1" ht="15" customHeight="1" x14ac:dyDescent="0.25">
      <c r="B7" s="59"/>
      <c r="C7" s="35"/>
      <c r="D7" s="35"/>
      <c r="E7" s="35"/>
      <c r="F7" s="35"/>
      <c r="G7" s="35"/>
      <c r="AI7" s="290"/>
      <c r="BJ7" s="290"/>
      <c r="BK7" s="288"/>
    </row>
    <row r="8" spans="1:63" s="289" customFormat="1" ht="15" customHeight="1" x14ac:dyDescent="0.25">
      <c r="B8" s="59"/>
      <c r="C8" s="35"/>
      <c r="D8" s="35"/>
      <c r="E8" s="35"/>
      <c r="F8" s="35"/>
      <c r="G8" s="35"/>
      <c r="AI8" s="290"/>
      <c r="BJ8" s="290"/>
      <c r="BK8" s="288"/>
    </row>
    <row r="9" spans="1:63" s="289" customFormat="1" ht="15" customHeight="1" x14ac:dyDescent="0.25">
      <c r="B9" s="59"/>
      <c r="C9" s="35"/>
      <c r="D9" s="35"/>
      <c r="E9" s="35"/>
      <c r="F9" s="35"/>
      <c r="G9" s="35"/>
      <c r="AI9" s="290"/>
      <c r="BJ9" s="290"/>
      <c r="BK9" s="288"/>
    </row>
    <row r="10" spans="1:63" s="289" customFormat="1" ht="15" customHeight="1" x14ac:dyDescent="0.25">
      <c r="B10" s="59"/>
      <c r="C10" s="35"/>
      <c r="D10" s="35"/>
      <c r="E10" s="35"/>
      <c r="F10" s="35"/>
      <c r="G10" s="35"/>
      <c r="AI10" s="290"/>
      <c r="BJ10" s="290"/>
      <c r="BK10" s="288"/>
    </row>
    <row r="11" spans="1:63" s="289" customFormat="1" ht="15" customHeight="1" x14ac:dyDescent="0.25">
      <c r="B11" s="291"/>
      <c r="AI11" s="290"/>
      <c r="BJ11" s="290"/>
      <c r="BK11" s="288"/>
    </row>
    <row r="12" spans="1:63" s="289" customFormat="1" ht="15" customHeight="1" x14ac:dyDescent="0.25">
      <c r="B12" s="291"/>
      <c r="AI12" s="290"/>
      <c r="BJ12" s="290"/>
      <c r="BK12" s="288"/>
    </row>
    <row r="13" spans="1:63" s="289" customFormat="1" ht="15" customHeight="1" x14ac:dyDescent="0.25">
      <c r="B13" s="291"/>
      <c r="AI13" s="290"/>
      <c r="BJ13" s="290"/>
      <c r="BK13" s="288"/>
    </row>
    <row r="14" spans="1:63" s="289" customFormat="1" ht="15" customHeight="1" x14ac:dyDescent="0.25">
      <c r="B14" s="291"/>
      <c r="AI14" s="290"/>
      <c r="BJ14" s="290"/>
      <c r="BK14" s="288"/>
    </row>
    <row r="15" spans="1:63" s="289" customFormat="1" ht="15" customHeight="1" x14ac:dyDescent="0.25">
      <c r="B15" s="291"/>
      <c r="AI15" s="290"/>
      <c r="BJ15" s="290"/>
      <c r="BK15" s="288"/>
    </row>
    <row r="16" spans="1:63" s="289" customFormat="1" ht="15" customHeight="1" x14ac:dyDescent="0.25">
      <c r="B16" s="291"/>
      <c r="AI16" s="290"/>
      <c r="BJ16" s="290"/>
      <c r="BK16" s="288"/>
    </row>
    <row r="17" spans="2:63" s="289" customFormat="1" ht="15" customHeight="1" x14ac:dyDescent="0.25">
      <c r="B17" s="291"/>
      <c r="AI17" s="290"/>
      <c r="BJ17" s="290"/>
      <c r="BK17" s="288"/>
    </row>
    <row r="18" spans="2:63" s="289" customFormat="1" ht="15" customHeight="1" x14ac:dyDescent="0.25">
      <c r="B18" s="291"/>
      <c r="AI18" s="290"/>
      <c r="BJ18" s="290"/>
      <c r="BK18" s="288"/>
    </row>
    <row r="19" spans="2:63" s="289" customFormat="1" ht="15" customHeight="1" x14ac:dyDescent="0.25">
      <c r="B19" s="291"/>
      <c r="AI19" s="290"/>
      <c r="BJ19" s="290"/>
      <c r="BK19" s="288"/>
    </row>
    <row r="20" spans="2:63" s="289" customFormat="1" ht="15" customHeight="1" x14ac:dyDescent="0.25">
      <c r="B20" s="291"/>
      <c r="AI20" s="290"/>
      <c r="BJ20" s="290"/>
      <c r="BK20" s="288"/>
    </row>
    <row r="21" spans="2:63" s="289" customFormat="1" ht="15" customHeight="1" x14ac:dyDescent="0.25">
      <c r="B21" s="291"/>
      <c r="AI21" s="290"/>
      <c r="BJ21" s="290"/>
      <c r="BK21" s="288"/>
    </row>
    <row r="22" spans="2:63" s="289" customFormat="1" ht="15" customHeight="1" x14ac:dyDescent="0.25">
      <c r="B22" s="291"/>
      <c r="AI22" s="290"/>
      <c r="BJ22" s="290"/>
      <c r="BK22" s="288"/>
    </row>
    <row r="23" spans="2:63" s="289" customFormat="1" ht="15" customHeight="1" x14ac:dyDescent="0.25">
      <c r="B23" s="291"/>
      <c r="AI23" s="290"/>
      <c r="BJ23" s="290"/>
      <c r="BK23" s="288"/>
    </row>
    <row r="24" spans="2:63" s="289" customFormat="1" ht="15" customHeight="1" x14ac:dyDescent="0.25">
      <c r="B24" s="291"/>
      <c r="AI24" s="290"/>
      <c r="BJ24" s="290"/>
      <c r="BK24" s="288"/>
    </row>
    <row r="25" spans="2:63" s="289" customFormat="1" ht="15" customHeight="1" x14ac:dyDescent="0.25">
      <c r="B25" s="291"/>
      <c r="AI25" s="290"/>
      <c r="BJ25" s="290"/>
      <c r="BK25" s="288"/>
    </row>
    <row r="26" spans="2:63" s="289" customFormat="1" ht="15" customHeight="1" x14ac:dyDescent="0.25">
      <c r="B26" s="291"/>
      <c r="AI26" s="290"/>
      <c r="BJ26" s="290"/>
      <c r="BK26" s="288"/>
    </row>
    <row r="27" spans="2:63" s="289" customFormat="1" ht="15" customHeight="1" x14ac:dyDescent="0.25">
      <c r="B27" s="291"/>
      <c r="AI27" s="290"/>
      <c r="BJ27" s="290"/>
      <c r="BK27" s="288"/>
    </row>
    <row r="28" spans="2:63" s="289" customFormat="1" ht="15" customHeight="1" x14ac:dyDescent="0.25">
      <c r="B28" s="291"/>
      <c r="AI28" s="290"/>
      <c r="BJ28" s="290"/>
      <c r="BK28" s="288"/>
    </row>
    <row r="29" spans="2:63" s="289" customFormat="1" ht="15" customHeight="1" x14ac:dyDescent="0.25">
      <c r="B29" s="291"/>
      <c r="AI29" s="290"/>
      <c r="BJ29" s="290"/>
      <c r="BK29" s="288"/>
    </row>
    <row r="30" spans="2:63" s="289" customFormat="1" ht="15" customHeight="1" x14ac:dyDescent="0.25">
      <c r="B30" s="291"/>
      <c r="AI30" s="290"/>
      <c r="BJ30" s="290"/>
      <c r="BK30" s="288"/>
    </row>
    <row r="31" spans="2:63" s="289" customFormat="1" ht="15" customHeight="1" x14ac:dyDescent="0.25">
      <c r="B31" s="291"/>
      <c r="AI31" s="290"/>
      <c r="BJ31" s="290"/>
      <c r="BK31" s="288"/>
    </row>
    <row r="32" spans="2:63" s="289" customFormat="1" ht="15" customHeight="1" x14ac:dyDescent="0.25">
      <c r="B32" s="291"/>
      <c r="AI32" s="290"/>
      <c r="BJ32" s="290"/>
      <c r="BK32" s="288"/>
    </row>
    <row r="33" spans="2:63" s="289" customFormat="1" ht="15" customHeight="1" x14ac:dyDescent="0.25">
      <c r="B33" s="291"/>
      <c r="AI33" s="290"/>
      <c r="BJ33" s="290"/>
      <c r="BK33" s="288"/>
    </row>
    <row r="34" spans="2:63" s="289" customFormat="1" ht="15" customHeight="1" x14ac:dyDescent="0.25">
      <c r="B34" s="291"/>
      <c r="AI34" s="290"/>
      <c r="BJ34" s="290"/>
      <c r="BK34" s="288"/>
    </row>
    <row r="35" spans="2:63" s="289" customFormat="1" ht="15" customHeight="1" x14ac:dyDescent="0.25">
      <c r="B35" s="291"/>
      <c r="AI35" s="290"/>
      <c r="BJ35" s="290"/>
      <c r="BK35" s="288"/>
    </row>
    <row r="36" spans="2:63" s="289" customFormat="1" ht="15" customHeight="1" x14ac:dyDescent="0.25">
      <c r="B36" s="291"/>
      <c r="AI36" s="290"/>
      <c r="BJ36" s="290"/>
      <c r="BK36" s="288"/>
    </row>
    <row r="37" spans="2:63" s="289" customFormat="1" ht="15" customHeight="1" x14ac:dyDescent="0.25">
      <c r="B37" s="291"/>
      <c r="AI37" s="290"/>
      <c r="BJ37" s="290"/>
      <c r="BK37" s="288"/>
    </row>
    <row r="38" spans="2:63" s="289" customFormat="1" ht="15" customHeight="1" x14ac:dyDescent="0.25">
      <c r="B38" s="291"/>
      <c r="AI38" s="290"/>
      <c r="BJ38" s="290"/>
      <c r="BK38" s="288"/>
    </row>
    <row r="39" spans="2:63" s="289" customFormat="1" ht="15" customHeight="1" x14ac:dyDescent="0.25">
      <c r="B39" s="291"/>
      <c r="AI39" s="290"/>
      <c r="BJ39" s="290"/>
      <c r="BK39" s="288"/>
    </row>
    <row r="40" spans="2:63" s="289" customFormat="1" ht="15" customHeight="1" x14ac:dyDescent="0.25">
      <c r="B40" s="291"/>
      <c r="AI40" s="290"/>
      <c r="BJ40" s="290"/>
      <c r="BK40" s="288"/>
    </row>
    <row r="41" spans="2:63" s="289" customFormat="1" ht="15" customHeight="1" x14ac:dyDescent="0.25">
      <c r="B41" s="291"/>
      <c r="AI41" s="290"/>
      <c r="BJ41" s="290"/>
      <c r="BK41" s="288"/>
    </row>
    <row r="42" spans="2:63" s="289" customFormat="1" ht="15" customHeight="1" x14ac:dyDescent="0.25">
      <c r="B42" s="291"/>
      <c r="AI42" s="290"/>
      <c r="BJ42" s="290"/>
      <c r="BK42" s="288"/>
    </row>
    <row r="43" spans="2:63" s="289" customFormat="1" ht="15" customHeight="1" x14ac:dyDescent="0.25">
      <c r="B43" s="291"/>
      <c r="AI43" s="290"/>
      <c r="BJ43" s="290"/>
      <c r="BK43" s="288"/>
    </row>
    <row r="44" spans="2:63" s="289" customFormat="1" ht="15" customHeight="1" x14ac:dyDescent="0.25">
      <c r="B44" s="291"/>
      <c r="AI44" s="290"/>
      <c r="BJ44" s="290"/>
      <c r="BK44" s="288"/>
    </row>
    <row r="45" spans="2:63" s="289" customFormat="1" ht="15" customHeight="1" x14ac:dyDescent="0.25">
      <c r="B45" s="291"/>
      <c r="AI45" s="290"/>
      <c r="BJ45" s="290"/>
      <c r="BK45" s="288"/>
    </row>
    <row r="46" spans="2:63" s="289" customFormat="1" ht="15" customHeight="1" x14ac:dyDescent="0.25">
      <c r="B46" s="291"/>
      <c r="AI46" s="290"/>
      <c r="BJ46" s="290"/>
      <c r="BK46" s="288"/>
    </row>
    <row r="47" spans="2:63" ht="15" customHeight="1" x14ac:dyDescent="0.25">
      <c r="B47" s="21"/>
      <c r="AI47" s="23"/>
      <c r="BJ47" s="23"/>
      <c r="BK47" s="15"/>
    </row>
    <row r="48" spans="2:63" ht="15" customHeight="1" x14ac:dyDescent="0.25">
      <c r="B48" s="21"/>
      <c r="AI48" s="23"/>
      <c r="BJ48" s="23"/>
      <c r="BK48" s="15"/>
    </row>
    <row r="49" spans="1:63" ht="15" customHeight="1" x14ac:dyDescent="0.25">
      <c r="B49" s="21"/>
      <c r="AI49" s="23"/>
      <c r="BJ49" s="23"/>
      <c r="BK49" s="15"/>
    </row>
    <row r="50" spans="1:63" ht="15" customHeight="1" x14ac:dyDescent="0.25">
      <c r="B50" s="21"/>
      <c r="AI50" s="23"/>
      <c r="BJ50" s="23"/>
      <c r="BK50" s="15"/>
    </row>
    <row r="51" spans="1:63" ht="15" customHeight="1" x14ac:dyDescent="0.25">
      <c r="B51" s="21"/>
      <c r="AI51" s="23"/>
      <c r="BJ51" s="23"/>
      <c r="BK51" s="15"/>
    </row>
    <row r="52" spans="1:63" ht="15" customHeight="1" x14ac:dyDescent="0.25">
      <c r="B52" s="21"/>
      <c r="AI52" s="23"/>
      <c r="BJ52" s="23"/>
      <c r="BK52" s="15"/>
    </row>
    <row r="53" spans="1:63" ht="15" customHeight="1" x14ac:dyDescent="0.25">
      <c r="B53" s="21"/>
      <c r="AI53" s="23"/>
      <c r="BJ53" s="23"/>
      <c r="BK53" s="15"/>
    </row>
    <row r="54" spans="1:63" ht="15" customHeight="1" x14ac:dyDescent="0.25">
      <c r="A54" s="13"/>
      <c r="B54" s="22"/>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24"/>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24"/>
      <c r="BK54"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95" t="s">
        <v>21</v>
      </c>
      <c r="B1" s="96"/>
      <c r="C1" s="96"/>
      <c r="D1" s="96"/>
      <c r="E1" s="96"/>
      <c r="F1" s="96"/>
      <c r="G1" s="96"/>
      <c r="H1" s="96"/>
      <c r="I1" s="96"/>
      <c r="J1" s="97"/>
      <c r="K1" s="95" t="s">
        <v>22</v>
      </c>
      <c r="L1" s="96"/>
      <c r="M1" s="96"/>
      <c r="N1" s="96"/>
      <c r="O1" s="96"/>
      <c r="P1" s="96"/>
      <c r="Q1" s="96"/>
      <c r="R1" s="96"/>
      <c r="S1" s="96"/>
      <c r="T1" s="96"/>
      <c r="U1" s="96"/>
      <c r="V1" s="97"/>
      <c r="W1" s="108" t="str">
        <f>IF(表紙!W1="","",表紙!W1)</f>
        <v>詳細設計書</v>
      </c>
      <c r="X1" s="109"/>
      <c r="Y1" s="109"/>
      <c r="Z1" s="109"/>
      <c r="AA1" s="109"/>
      <c r="AB1" s="109"/>
      <c r="AC1" s="109"/>
      <c r="AD1" s="109"/>
      <c r="AE1" s="109"/>
      <c r="AF1" s="109"/>
      <c r="AG1" s="109"/>
      <c r="AH1" s="109"/>
      <c r="AI1" s="109"/>
      <c r="AJ1" s="109"/>
      <c r="AK1" s="109"/>
      <c r="AL1" s="109"/>
      <c r="AM1" s="109"/>
      <c r="AN1" s="109"/>
      <c r="AO1" s="110"/>
      <c r="AP1" s="10" t="s">
        <v>23</v>
      </c>
      <c r="AQ1" s="9"/>
      <c r="AR1" s="9"/>
      <c r="AS1" s="8"/>
      <c r="AT1" s="10" t="s">
        <v>24</v>
      </c>
      <c r="AU1" s="9"/>
      <c r="AV1" s="9"/>
      <c r="AW1" s="9"/>
      <c r="AX1" s="8"/>
      <c r="AY1" s="10" t="s">
        <v>25</v>
      </c>
      <c r="AZ1" s="9"/>
      <c r="BA1" s="9"/>
      <c r="BB1" s="8"/>
      <c r="BC1" s="10" t="s">
        <v>26</v>
      </c>
      <c r="BD1" s="9"/>
      <c r="BE1" s="9"/>
      <c r="BF1" s="9"/>
      <c r="BG1" s="8"/>
      <c r="BH1" s="10" t="s">
        <v>27</v>
      </c>
      <c r="BI1" s="9"/>
      <c r="BJ1" s="9"/>
      <c r="BK1" s="8"/>
    </row>
    <row r="2" spans="1:63" ht="15" customHeight="1" x14ac:dyDescent="0.25">
      <c r="A2" s="102" t="str">
        <f>IF(表紙!A2="","",表紙!A2)</f>
        <v>POSサーバー</v>
      </c>
      <c r="B2" s="103"/>
      <c r="C2" s="103"/>
      <c r="D2" s="103"/>
      <c r="E2" s="103"/>
      <c r="F2" s="103"/>
      <c r="G2" s="103"/>
      <c r="H2" s="103"/>
      <c r="I2" s="103"/>
      <c r="J2" s="104"/>
      <c r="K2" s="102" t="str">
        <f>IF(表紙!K2="","",表紙!K2)</f>
        <v>POSサーバー</v>
      </c>
      <c r="L2" s="103"/>
      <c r="M2" s="103"/>
      <c r="N2" s="103"/>
      <c r="O2" s="103"/>
      <c r="P2" s="103"/>
      <c r="Q2" s="103"/>
      <c r="R2" s="103"/>
      <c r="S2" s="103"/>
      <c r="T2" s="103"/>
      <c r="U2" s="103"/>
      <c r="V2" s="104"/>
      <c r="W2" s="111"/>
      <c r="X2" s="112"/>
      <c r="Y2" s="112"/>
      <c r="Z2" s="112"/>
      <c r="AA2" s="112"/>
      <c r="AB2" s="112"/>
      <c r="AC2" s="112"/>
      <c r="AD2" s="112"/>
      <c r="AE2" s="112"/>
      <c r="AF2" s="112"/>
      <c r="AG2" s="112"/>
      <c r="AH2" s="112"/>
      <c r="AI2" s="112"/>
      <c r="AJ2" s="112"/>
      <c r="AK2" s="112"/>
      <c r="AL2" s="112"/>
      <c r="AM2" s="112"/>
      <c r="AN2" s="112"/>
      <c r="AO2" s="113"/>
      <c r="AP2" s="7" t="str">
        <f>IF(表紙!AP2="","",表紙!AP2)</f>
        <v>DuNT</v>
      </c>
      <c r="AQ2" s="6"/>
      <c r="AR2" s="6"/>
      <c r="AS2" s="5"/>
      <c r="AT2" s="79">
        <f>IF(表紙!AT2="","",表紙!AT2)</f>
        <v>45469</v>
      </c>
      <c r="AU2" s="80"/>
      <c r="AV2" s="80"/>
      <c r="AW2" s="80"/>
      <c r="AX2" s="81"/>
      <c r="AY2" s="7" t="str">
        <f>IF(表紙!AY2="","",表紙!AY2)</f>
        <v>DuNT</v>
      </c>
      <c r="AZ2" s="6"/>
      <c r="BA2" s="6"/>
      <c r="BB2" s="5"/>
      <c r="BC2" s="79">
        <f>IF(表紙!BC2="","",表紙!BC2)</f>
        <v>45551</v>
      </c>
      <c r="BD2" s="80"/>
      <c r="BE2" s="80"/>
      <c r="BF2" s="80"/>
      <c r="BG2" s="81"/>
      <c r="BH2" s="7">
        <f>IF(表紙!BH2="","",表紙!BH2)</f>
        <v>0.5</v>
      </c>
      <c r="BI2" s="6"/>
      <c r="BJ2" s="6"/>
      <c r="BK2" s="5"/>
    </row>
    <row r="3" spans="1:63" ht="15" customHeight="1" x14ac:dyDescent="0.25">
      <c r="A3" s="105"/>
      <c r="B3" s="106"/>
      <c r="C3" s="106"/>
      <c r="D3" s="106"/>
      <c r="E3" s="106"/>
      <c r="F3" s="106"/>
      <c r="G3" s="106"/>
      <c r="H3" s="106"/>
      <c r="I3" s="106"/>
      <c r="J3" s="107"/>
      <c r="K3" s="105"/>
      <c r="L3" s="106"/>
      <c r="M3" s="106"/>
      <c r="N3" s="106"/>
      <c r="O3" s="106"/>
      <c r="P3" s="106"/>
      <c r="Q3" s="106"/>
      <c r="R3" s="106"/>
      <c r="S3" s="106"/>
      <c r="T3" s="106"/>
      <c r="U3" s="106"/>
      <c r="V3" s="107"/>
      <c r="W3" s="114"/>
      <c r="X3" s="115"/>
      <c r="Y3" s="115"/>
      <c r="Z3" s="115"/>
      <c r="AA3" s="115"/>
      <c r="AB3" s="115"/>
      <c r="AC3" s="115"/>
      <c r="AD3" s="115"/>
      <c r="AE3" s="115"/>
      <c r="AF3" s="115"/>
      <c r="AG3" s="115"/>
      <c r="AH3" s="115"/>
      <c r="AI3" s="115"/>
      <c r="AJ3" s="115"/>
      <c r="AK3" s="115"/>
      <c r="AL3" s="115"/>
      <c r="AM3" s="115"/>
      <c r="AN3" s="115"/>
      <c r="AO3" s="116"/>
      <c r="AP3" s="4"/>
      <c r="AQ3" s="3"/>
      <c r="AR3" s="3"/>
      <c r="AS3" s="2"/>
      <c r="AT3" s="82"/>
      <c r="AU3" s="83"/>
      <c r="AV3" s="83"/>
      <c r="AW3" s="83"/>
      <c r="AX3" s="84"/>
      <c r="AY3" s="4"/>
      <c r="AZ3" s="3"/>
      <c r="BA3" s="3"/>
      <c r="BB3" s="2"/>
      <c r="BC3" s="82"/>
      <c r="BD3" s="83"/>
      <c r="BE3" s="83"/>
      <c r="BF3" s="83"/>
      <c r="BG3" s="84"/>
      <c r="BH3" s="4"/>
      <c r="BI3" s="3"/>
      <c r="BJ3" s="3"/>
      <c r="BK3" s="2"/>
    </row>
    <row r="4" spans="1:63" ht="24.95" customHeight="1" x14ac:dyDescent="0.25">
      <c r="A4" s="95" t="s">
        <v>28</v>
      </c>
      <c r="B4" s="96"/>
      <c r="C4" s="96"/>
      <c r="D4" s="96"/>
      <c r="E4" s="96"/>
      <c r="F4" s="96"/>
      <c r="G4" s="97"/>
      <c r="H4" s="98" t="str">
        <f>IF(表紙!H4="","",表紙!H4)</f>
        <v>AP1502</v>
      </c>
      <c r="I4" s="99"/>
      <c r="J4" s="99"/>
      <c r="K4" s="99"/>
      <c r="L4" s="99"/>
      <c r="M4" s="99"/>
      <c r="N4" s="99"/>
      <c r="O4" s="99"/>
      <c r="P4" s="99"/>
      <c r="Q4" s="99"/>
      <c r="R4" s="99"/>
      <c r="S4" s="99"/>
      <c r="T4" s="100"/>
      <c r="U4" s="95" t="s">
        <v>29</v>
      </c>
      <c r="V4" s="96"/>
      <c r="W4" s="96"/>
      <c r="X4" s="96"/>
      <c r="Y4" s="97"/>
      <c r="Z4" s="98" t="str">
        <f>IF(表紙!Z4="","",表紙!Z4)</f>
        <v>API設計書</v>
      </c>
      <c r="AA4" s="99"/>
      <c r="AB4" s="99"/>
      <c r="AC4" s="99"/>
      <c r="AD4" s="99"/>
      <c r="AE4" s="99"/>
      <c r="AF4" s="99"/>
      <c r="AG4" s="99"/>
      <c r="AH4" s="99"/>
      <c r="AI4" s="99"/>
      <c r="AJ4" s="99"/>
      <c r="AK4" s="99"/>
      <c r="AL4" s="99"/>
      <c r="AM4" s="99"/>
      <c r="AN4" s="99"/>
      <c r="AO4" s="100"/>
      <c r="AP4" s="101" t="str">
        <f ca="1">MID(CELL("filename",A1),FIND("]",CELL("filename",A1))+1,255)</f>
        <v>テンプレート</v>
      </c>
      <c r="AQ4" s="99"/>
      <c r="AR4" s="99"/>
      <c r="AS4" s="99"/>
      <c r="AT4" s="99"/>
      <c r="AU4" s="99"/>
      <c r="AV4" s="99"/>
      <c r="AW4" s="99"/>
      <c r="AX4" s="99"/>
      <c r="AY4" s="99"/>
      <c r="AZ4" s="99"/>
      <c r="BA4" s="99"/>
      <c r="BB4" s="99"/>
      <c r="BC4" s="99"/>
      <c r="BD4" s="99"/>
      <c r="BE4" s="99"/>
      <c r="BF4" s="99"/>
      <c r="BG4" s="99"/>
      <c r="BH4" s="99"/>
      <c r="BI4" s="99"/>
      <c r="BJ4" s="99"/>
      <c r="BK4" s="100"/>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K7" s="20"/>
    </row>
    <row r="8" spans="1:63" s="16" customFormat="1" ht="15" customHeight="1" x14ac:dyDescent="0.25">
      <c r="BK8" s="20"/>
    </row>
    <row r="9" spans="1:63" s="16" customFormat="1" ht="15" customHeight="1" x14ac:dyDescent="0.25">
      <c r="BK9" s="20"/>
    </row>
    <row r="10" spans="1:63" s="16" customFormat="1" ht="15" customHeight="1" x14ac:dyDescent="0.25">
      <c r="BK10" s="20"/>
    </row>
    <row r="11" spans="1:63" s="16" customFormat="1" ht="15" customHeight="1" x14ac:dyDescent="0.25">
      <c r="BK11" s="20"/>
    </row>
    <row r="12" spans="1:63" s="16" customFormat="1" ht="15" customHeight="1" x14ac:dyDescent="0.25">
      <c r="BK12" s="20"/>
    </row>
    <row r="13" spans="1:63" s="16" customFormat="1" ht="15" customHeight="1" x14ac:dyDescent="0.25">
      <c r="BK13" s="20"/>
    </row>
    <row r="14" spans="1:63" s="16" customFormat="1" ht="15" customHeight="1" x14ac:dyDescent="0.25">
      <c r="BK14" s="20"/>
    </row>
    <row r="15" spans="1:63" s="16" customFormat="1" ht="15" customHeight="1" x14ac:dyDescent="0.25">
      <c r="BK15" s="20"/>
    </row>
    <row r="16" spans="1:63" s="16" customFormat="1" ht="15" customHeight="1" x14ac:dyDescent="0.25">
      <c r="BK16" s="20"/>
    </row>
    <row r="17" spans="63:63" s="16" customFormat="1" ht="15" customHeight="1" x14ac:dyDescent="0.25">
      <c r="BK17" s="20"/>
    </row>
    <row r="18" spans="63:63" s="16" customFormat="1" ht="15" customHeight="1" x14ac:dyDescent="0.25">
      <c r="BK18" s="20"/>
    </row>
    <row r="19" spans="63:63" s="16" customFormat="1" ht="15" customHeight="1" x14ac:dyDescent="0.25">
      <c r="BK19" s="20"/>
    </row>
    <row r="20" spans="63:63" s="16" customFormat="1" ht="15" customHeight="1" x14ac:dyDescent="0.25">
      <c r="BK20" s="20"/>
    </row>
    <row r="21" spans="63:63" s="16" customFormat="1" ht="15" customHeight="1" x14ac:dyDescent="0.25">
      <c r="BK21" s="20"/>
    </row>
    <row r="22" spans="63:63" s="16" customFormat="1" ht="15" customHeight="1" x14ac:dyDescent="0.25">
      <c r="BK22" s="20"/>
    </row>
    <row r="23" spans="63:63" s="16" customFormat="1" ht="15" customHeight="1" x14ac:dyDescent="0.25">
      <c r="BK23" s="20"/>
    </row>
    <row r="24" spans="63:63" s="16" customFormat="1" ht="15" customHeight="1" x14ac:dyDescent="0.25">
      <c r="BK24" s="20"/>
    </row>
    <row r="25" spans="63:63" s="16" customFormat="1" ht="15" customHeight="1" x14ac:dyDescent="0.25">
      <c r="BK25" s="20"/>
    </row>
    <row r="26" spans="63:63" s="16" customFormat="1" ht="15" customHeight="1" x14ac:dyDescent="0.25">
      <c r="BK26" s="20"/>
    </row>
    <row r="27" spans="63:63" s="16" customFormat="1" ht="15" customHeight="1" x14ac:dyDescent="0.25">
      <c r="BK27" s="20"/>
    </row>
    <row r="28" spans="63:63" s="16" customFormat="1" ht="15" customHeight="1" x14ac:dyDescent="0.25">
      <c r="BK28" s="20"/>
    </row>
    <row r="29" spans="63:63" s="16" customFormat="1" ht="15" customHeight="1" x14ac:dyDescent="0.25">
      <c r="BK29" s="20"/>
    </row>
    <row r="30" spans="63:63" s="16" customFormat="1" ht="15" customHeight="1" x14ac:dyDescent="0.25">
      <c r="BK30" s="20"/>
    </row>
    <row r="31" spans="63:63" s="16" customFormat="1" ht="15" customHeight="1" x14ac:dyDescent="0.25">
      <c r="BK31" s="20"/>
    </row>
    <row r="32" spans="63:63" s="16" customFormat="1" ht="15" customHeight="1" x14ac:dyDescent="0.25">
      <c r="BK32" s="20"/>
    </row>
    <row r="33" spans="63:63" s="16" customFormat="1" ht="15" customHeight="1" x14ac:dyDescent="0.25">
      <c r="BK33" s="20"/>
    </row>
    <row r="34" spans="63:63" s="16" customFormat="1" ht="15" customHeight="1" x14ac:dyDescent="0.25">
      <c r="BK34" s="20"/>
    </row>
    <row r="35" spans="63:63" s="16" customFormat="1" ht="15" customHeight="1" x14ac:dyDescent="0.25">
      <c r="BK35" s="20"/>
    </row>
    <row r="36" spans="63:63" s="16" customFormat="1" ht="15" customHeight="1" x14ac:dyDescent="0.25">
      <c r="BK36" s="20"/>
    </row>
    <row r="37" spans="63:63" s="16" customFormat="1" ht="15" customHeight="1" x14ac:dyDescent="0.25">
      <c r="BK37" s="20"/>
    </row>
    <row r="38" spans="63:63" s="16" customFormat="1" ht="15" customHeight="1" x14ac:dyDescent="0.25">
      <c r="BK38" s="20"/>
    </row>
    <row r="39" spans="63:63" s="16" customFormat="1" ht="15" customHeight="1" x14ac:dyDescent="0.25">
      <c r="BK39" s="20"/>
    </row>
    <row r="40" spans="63:63" s="16" customFormat="1" ht="15" customHeight="1" x14ac:dyDescent="0.25">
      <c r="BK40" s="20"/>
    </row>
    <row r="41" spans="63:63" s="16" customFormat="1" ht="15" customHeight="1" x14ac:dyDescent="0.25">
      <c r="BK41" s="20"/>
    </row>
    <row r="42" spans="63:63" s="16" customFormat="1" ht="15" customHeight="1" x14ac:dyDescent="0.25">
      <c r="BK42" s="20"/>
    </row>
    <row r="43" spans="63:63" s="16" customFormat="1" ht="15" customHeight="1" x14ac:dyDescent="0.25">
      <c r="BK43" s="20"/>
    </row>
    <row r="44" spans="63:63" s="16" customFormat="1" ht="15" customHeight="1" x14ac:dyDescent="0.25">
      <c r="BK44" s="20"/>
    </row>
    <row r="45" spans="63:63" s="16" customFormat="1" ht="15" customHeight="1" x14ac:dyDescent="0.25">
      <c r="BK45" s="20"/>
    </row>
    <row r="46" spans="63:63" s="16" customFormat="1" ht="15" customHeight="1" x14ac:dyDescent="0.25">
      <c r="BK46" s="20"/>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BF87F7-1168-4434-910A-23119949B459}"/>
</file>

<file path=customXml/itemProps2.xml><?xml version="1.0" encoding="utf-8"?>
<ds:datastoreItem xmlns:ds="http://schemas.openxmlformats.org/officeDocument/2006/customXml" ds:itemID="{1F41DCA3-27C4-4A69-8DE5-9E4DE577480B}"/>
</file>

<file path=customXml/itemProps3.xml><?xml version="1.0" encoding="utf-8"?>
<ds:datastoreItem xmlns:ds="http://schemas.openxmlformats.org/officeDocument/2006/customXml" ds:itemID="{DE98BE2B-A8A0-4133-BBE4-46BD3F1752E2}"/>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AP1502</vt:lpstr>
      <vt:lpstr>処理フロー</vt:lpstr>
      <vt:lpstr>テンプレート</vt:lpstr>
      <vt:lpstr>'AP1502'!Print_Area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2025-03-20T09:14:39Z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