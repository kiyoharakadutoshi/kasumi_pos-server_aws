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20F861C-DC53-44BE-9F76-D2E0BE1BE9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4" sheetId="8" r:id="rId4"/>
    <sheet name="処理フロー" sheetId="9" r:id="rId5"/>
    <sheet name="テンプレート" sheetId="7" r:id="rId6"/>
  </sheets>
  <definedNames>
    <definedName name="_xlnm.Print_Area" localSheetId="3">'AP1504'!$A$1:$BK$79</definedName>
    <definedName name="_xlnm.Print_Area" localSheetId="5">テンプレート!$A$1:$BK$54</definedName>
    <definedName name="_xlnm.Print_Area" localSheetId="4">処理フロー!$A$1:$BK$113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<sst xmlns="http://schemas.openxmlformats.org/spreadsheetml/2006/main" count="220" uniqueCount="102">
  <si>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</si>
  <si>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</si>
  <si>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</si>
  <si>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</si>
  <si>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</si>
  <si>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</si>
  <si>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</si>
  <si>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</si>
  <si>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</si>
  <si>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</si>
  <si>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</si>
  <si>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</si>
  <si>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</si>
  <si>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</si>
  <si>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</si>
  <si>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</si>
  <si>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</si>
  <si>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</si>
  <si>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</si>
  <si>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</si>
  <si>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</si>
  <si>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</si>
  <si>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</si>
  <si>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</si>
  <si>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</si>
  <si>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</si>
  <si>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</si>
  <si>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</si>
  <si>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AP1504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</si>
  <si>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</si>
  <si>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</si>
  <si>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store</t>
    </r>
  </si>
  <si>
    <r>
      <rPr>
        <sz val="11"/>
        <color rgb="FF000000"/>
        <rFont val="Meiryo UI"/>
        <family val="2"/>
      </rPr>
      <t>コピーすることでプリセットレイアウトを新規作成または編集する。</t>
    </r>
  </si>
  <si>
    <r>
      <rPr>
        <sz val="11"/>
        <color rgb="FF000000"/>
        <rFont val="Meiryo UI"/>
        <family val="2"/>
      </rPr>
      <t>api/v1/preset/copy</t>
    </r>
  </si>
  <si>
    <r>
      <rPr>
        <sz val="11"/>
        <color rgb="FF000000"/>
        <rFont val="Meiryo UI"/>
        <family val="2"/>
      </rPr>
      <t>"items": [</t>
    </r>
  </si>
  <si>
    <t>},</t>
  </si>
  <si>
    <r>
      <rPr>
        <sz val="11"/>
        <color rgb="FF000000"/>
        <rFont val="Meiryo UI"/>
        <family val="2"/>
      </rPr>
      <t>"preset_layout_name: "abc",</t>
    </r>
  </si>
  <si>
    <r>
      <rPr>
        <sz val="11"/>
        <color rgb="FF000000"/>
        <rFont val="Meiryo UI"/>
        <family val="2"/>
      </rPr>
      <t>"preset_layout_name: "def",</t>
    </r>
  </si>
  <si>
    <r>
      <rPr>
        <sz val="11"/>
        <color rgb="FF000000"/>
        <rFont val="Meiryo UI"/>
        <family val="2"/>
      </rPr>
      <t>コピー用元プリセットレイアウトを含む店舗</t>
    </r>
  </si>
  <si>
    <r>
      <rPr>
        <sz val="11"/>
        <color rgb="FF000000"/>
        <rFont val="Meiryo UI"/>
        <family val="2"/>
      </rPr>
      <t>コピー用元プリセットレイアウトコード</t>
    </r>
  </si>
  <si>
    <r>
      <rPr>
        <sz val="11"/>
        <color rgb="FF000000"/>
        <rFont val="Meiryo UI"/>
        <family val="2"/>
      </rPr>
      <t>コピー用元プリセットレイアウト名称</t>
    </r>
  </si>
  <si>
    <r>
      <rPr>
        <sz val="11"/>
        <color rgb="FF000000"/>
        <rFont val="Meiryo UI"/>
        <family val="2"/>
      </rPr>
      <t>コピー用元プリセットレイアウトの予約日</t>
    </r>
  </si>
  <si>
    <r>
      <rPr>
        <sz val="11"/>
        <color rgb="FF000000"/>
        <rFont val="Meiryo UI"/>
        <family val="2"/>
      </rPr>
      <t>コピーデータを含む対象一覧</t>
    </r>
  </si>
  <si>
    <r>
      <rPr>
        <sz val="11"/>
        <color rgb="FF000000"/>
        <rFont val="Meiryo UI"/>
        <family val="2"/>
      </rPr>
      <t>PresetMenuMaster.ApplyDate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</si>
  <si>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</si>
  <si>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</si>
  <si>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</si>
  <si>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</si>
  <si>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</si>
  <si>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</si>
  <si>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</si>
  <si>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</si>
  <si>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</si>
  <si>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</si>
  <si>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</si>
  <si>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</si>
  <si>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</si>
  <si>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</si>
  <si>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</si>
  <si>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</si>
  <si>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</si>
  <si>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AP1504: 予約日のバリデーションチェック更新</t>
  </si>
  <si>
    <t>LoiLV</t>
  </si>
  <si>
    <t>プリセットレイアウトコードバリデーションチェック更新</t>
  </si>
  <si>
    <t>店舗権限更新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</si>
  <si>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</si>
  <si>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</si>
  <si>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</si>
  <si>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</si>
  <si>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</si>
  <si>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</si>
  <si>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</si>
  <si>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</si>
  <si>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</si>
  <si>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</si>
  <si>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</si>
  <si>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</si>
  <si>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t>mode</t>
  </si>
  <si>
    <t>Int</t>
  </si>
  <si>
    <t>いなげやの場合、
0 = 保存  (翌日の新規作成・コピーに適用)
1= 確定 (即時に新規作成・コピーに適用)
カスミの場合、以下のみがある。モード1= 確定 (即時に新規作成・コピーに適用)</t>
  </si>
  <si>
    <t>company_code = 100 (カスミ)の場合、「1」以外の場合、エラーメッセージ = MSG_VAL_019
company_code = 800 (いなげや)の場合、「0」又は「1」以外の場合、エラーメッセージ = MSG_VAL_019</t>
  </si>
  <si>
    <r>
      <rPr>
        <sz val="11"/>
        <color rgb="FF000000"/>
        <rFont val="Meiryo UI"/>
        <family val="2"/>
      </rPr>
      <t>PresetMenuMaster.StoreCode
PresetMenuButtonMaster.StoreCode</t>
    </r>
  </si>
  <si>
    <t>バリデーションチェック：数字、4桁 バリデーションチェックNGの場合、エラーメッセージ = MSG_VAL_019</t>
  </si>
  <si>
    <r>
      <rPr>
        <sz val="11"/>
        <color rgb="FF000000"/>
        <rFont val="Meiryo UI"/>
        <family val="2"/>
      </rPr>
      <t>PresetMenuMaster.ButtonLayoutCode
PresetMenuButtonMaster.ButtonLayoutCode</t>
    </r>
  </si>
  <si>
    <r>
      <rPr>
        <sz val="11"/>
        <color rgb="FF000000"/>
        <rFont val="Meiryo UI"/>
        <family val="2"/>
      </rPr>
      <t>PresetMenuMaster.ButtonLayoutName
PresetMenuButtonMaster.ButtonLayoutName</t>
    </r>
  </si>
  <si>
    <t>最大半角50文字（全角25文字）。文字数 &gt; 50の場合、 エラーメッセージ = MSG_VAL_002</t>
  </si>
  <si>
    <t xml:space="preserve"> フォーマット: yyyy/mm/dd 
   + モード = 0の場合、予約日 = 翌日
   + モード = 1の場合、予約日 = 当日
エラーの場合、エラーメッセージ = MSG_VAL_019</t>
  </si>
  <si>
    <t>※サンプル</t>
  </si>
  <si>
    <r>
      <rPr>
        <sz val="11"/>
        <color rgb="FF000000"/>
        <rFont val="Meiryo UI"/>
        <family val="2"/>
      </rPr>
      <t>"operation_type": 1,</t>
    </r>
  </si>
  <si>
    <r>
      <rPr>
        <sz val="11"/>
        <color rgb="FF000000"/>
        <rFont val="Meiryo UI"/>
        <family val="2"/>
      </rPr>
      <t xml:space="preserve">"original_preset_layout": </t>
    </r>
  </si>
  <si>
    <r>
      <rPr>
        <sz val="11"/>
        <color rgb="FF000000"/>
        <rFont val="Meiryo UI"/>
        <family val="2"/>
      </rPr>
      <t>"store_code: "0914",</t>
    </r>
  </si>
  <si>
    <r>
      <rPr>
        <sz val="11"/>
        <color rgb="FF000000"/>
        <rFont val="Meiryo UI"/>
        <family val="2"/>
      </rPr>
      <t>"preset_layout_code: "2201",</t>
    </r>
  </si>
  <si>
    <r>
      <rPr>
        <sz val="11"/>
        <color rgb="FF000000"/>
        <rFont val="Meiryo UI"/>
        <family val="2"/>
      </rPr>
      <t>"booking_date: "2024/07/26"</t>
    </r>
  </si>
  <si>
    <r>
      <rPr>
        <sz val="11"/>
        <color rgb="FF000000"/>
        <rFont val="Meiryo UI"/>
        <family val="2"/>
      </rPr>
      <t xml:space="preserve">"target_preset_layout": </t>
    </r>
  </si>
  <si>
    <r>
      <rPr>
        <sz val="11"/>
        <color rgb="FF000000"/>
        <rFont val="Meiryo UI"/>
        <family val="2"/>
      </rPr>
      <t>"store_code: "2301",</t>
    </r>
  </si>
  <si>
    <r>
      <rPr>
        <sz val="11"/>
        <color rgb="FF000000"/>
        <rFont val="Meiryo UI"/>
        <family val="2"/>
      </rPr>
      <t>"preset_layout_code: "2301",</t>
    </r>
  </si>
  <si>
    <r>
      <rPr>
        <sz val="11"/>
        <color rgb="FF000000"/>
        <rFont val="Meiryo UI"/>
        <family val="2"/>
      </rPr>
      <t>"booking_date: "2024/08/08"</t>
    </r>
  </si>
  <si>
    <t>3. レスポンス</t>
  </si>
  <si>
    <t>3.1. 正常の場合のレスポンスフォーマット</t>
  </si>
  <si>
    <t>「30_機能設計_00_共通.xlsx」ファイルの「共通APIレスポンス」シートをご参照ください。</t>
  </si>
  <si>
    <t>3.2. エラーの場合のレスポンスフォーマット</t>
  </si>
  <si>
    <r>
      <rPr>
        <sz val="11"/>
        <color rgb="FF7030A0"/>
        <rFont val="Meiryo UI"/>
        <family val="2"/>
      </rPr>
      <t xml:space="preserve">バリデーションチェックの新規作成の場合：
</t>
    </r>
    <r>
      <rPr>
        <b/>
        <sz val="11"/>
        <color rgb="FF7030A0"/>
        <rFont val="Meiryo UI"/>
        <family val="2"/>
      </rPr>
      <t>カスミ様：</t>
    </r>
    <r>
      <rPr>
        <sz val="11"/>
        <color rgb="FF7030A0"/>
        <rFont val="Meiryo UI"/>
        <family val="2"/>
      </rPr>
      <t xml:space="preserve">数字4桁 -&gt; 数字ではない場合、エラーメッセージ = MSG_VAL_026、長さが4桁以外の場合、エラーメッセージ= MSG_VAL_002
</t>
    </r>
    <r>
      <rPr>
        <b/>
        <sz val="11"/>
        <color rgb="FF7030A0"/>
        <rFont val="Meiryo UI"/>
        <family val="2"/>
      </rPr>
      <t>いなげや様：</t>
    </r>
    <r>
      <rPr>
        <sz val="11"/>
        <color rgb="FF7030A0"/>
        <rFont val="Meiryo UI"/>
        <family val="2"/>
      </rPr>
      <t xml:space="preserve">形式：8XXX01 8XXX02（6桁、XXX：店舗コード）。エラーメッセージ = MSG_VAL_019。
</t>
    </r>
    <r>
      <rPr>
        <sz val="11"/>
        <color rgb="FF000000"/>
        <rFont val="Meiryo UI"/>
        <family val="2"/>
      </rPr>
      <t xml:space="preserve">・プリセットレイアウトを新規作成する前に存在を確認する。存在した場合、エラーメッセージ = MSG_ERR_003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</si>
</sst>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7030A0"/>
      <name val="Meiryo UI"/>
      <family val="2"/>
    </font>
    <font>
      <b/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9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9" fillId="0" borderId="0" xfId="0" applyFont="1"/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1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3" borderId="16" xfId="0" quotePrefix="1" applyFont="1" applyFill="1" applyBorder="1" applyAlignment="1">
      <alignment vertical="center"/>
    </xf>
    <xf numFmtId="0" fontId="19" fillId="3" borderId="17" xfId="0" quotePrefix="1" applyFont="1" applyFill="1" applyBorder="1" applyAlignment="1">
      <alignment vertical="center"/>
    </xf>
    <xf numFmtId="0" fontId="19" fillId="3" borderId="18" xfId="0" quotePrefix="1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 indent="1"/>
    </xf>
    <xf numFmtId="0" fontId="19" fillId="0" borderId="1" xfId="0" applyFont="1" applyBorder="1" applyAlignment="1">
      <alignment horizontal="left" vertical="center" indent="3"/>
    </xf>
    <xf numFmtId="0" fontId="19" fillId="0" borderId="0" xfId="0" applyFont="1" applyAlignment="1">
      <alignment horizontal="left" vertical="center" indent="2"/>
    </xf>
    <xf numFmtId="0" fontId="19" fillId="0" borderId="21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6" xfId="0" applyFont="1" applyBorder="1"/>
    <xf numFmtId="0" fontId="19" fillId="0" borderId="2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5" fillId="4" borderId="0" xfId="0" applyFont="1" applyFill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14" fontId="12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6" xfId="0" applyFont="1" applyBorder="1"/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18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5" fillId="4" borderId="23" xfId="6" applyFont="1" applyFill="1" applyBorder="1" applyAlignment="1">
      <alignment horizontal="center" vertical="center"/>
    </xf>
    <xf numFmtId="0" fontId="15" fillId="4" borderId="24" xfId="6" applyFont="1" applyFill="1" applyBorder="1" applyAlignment="1">
      <alignment horizontal="center" vertical="center"/>
    </xf>
    <xf numFmtId="0" fontId="15" fillId="4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quotePrefix="1" applyFont="1" applyBorder="1" applyAlignment="1">
      <alignment horizontal="center" vertical="center"/>
    </xf>
    <xf numFmtId="0" fontId="3" fillId="0" borderId="25" xfId="0" quotePrefix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3" xfId="0" quotePrefix="1" applyFont="1" applyBorder="1" applyAlignment="1">
      <alignment horizontal="left" vertical="center" wrapText="1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 indent="1"/>
    </xf>
    <xf numFmtId="0" fontId="19" fillId="0" borderId="24" xfId="0" applyFont="1" applyBorder="1" applyAlignment="1">
      <alignment horizontal="left" vertical="center" indent="1"/>
    </xf>
    <xf numFmtId="0" fontId="19" fillId="0" borderId="25" xfId="0" applyFont="1" applyBorder="1" applyAlignment="1">
      <alignment horizontal="left" vertical="center" indent="1"/>
    </xf>
    <xf numFmtId="0" fontId="19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 wrapText="1"/>
    </xf>
    <xf numFmtId="0" fontId="19" fillId="0" borderId="25" xfId="0" quotePrefix="1" applyFont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0" borderId="16" xfId="0" quotePrefix="1" applyFont="1" applyBorder="1" applyAlignment="1">
      <alignment horizontal="left" vertical="center" wrapText="1"/>
    </xf>
    <xf numFmtId="0" fontId="19" fillId="0" borderId="17" xfId="0" quotePrefix="1" applyFont="1" applyBorder="1" applyAlignment="1">
      <alignment horizontal="left" vertical="center" wrapText="1"/>
    </xf>
    <xf numFmtId="0" fontId="19" fillId="0" borderId="18" xfId="0" quotePrefix="1" applyFont="1" applyBorder="1" applyAlignment="1">
      <alignment horizontal="left" vertical="center" wrapText="1"/>
    </xf>
    <xf numFmtId="0" fontId="19" fillId="0" borderId="2" xfId="0" quotePrefix="1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  <xf numFmtId="0" fontId="19" fillId="0" borderId="5" xfId="0" quotePrefix="1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top" wrapText="1"/>
    </xf>
    <xf numFmtId="0" fontId="4" fillId="0" borderId="24" xfId="0" quotePrefix="1" applyFont="1" applyBorder="1" applyAlignment="1">
      <alignment horizontal="left" vertical="top" wrapText="1"/>
    </xf>
    <xf numFmtId="0" fontId="4" fillId="0" borderId="25" xfId="0" quotePrefix="1" applyFont="1" applyBorder="1" applyAlignment="1">
      <alignment horizontal="left" vertical="top" wrapText="1"/>
    </xf>
    <xf numFmtId="0" fontId="19" fillId="0" borderId="23" xfId="0" applyFont="1" applyBorder="1" applyAlignment="1">
      <alignment horizontal="left" vertical="center" wrapText="1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left" vertical="center" indent="2"/>
    </xf>
    <xf numFmtId="0" fontId="3" fillId="0" borderId="25" xfId="0" applyFont="1" applyBorder="1" applyAlignment="1">
      <alignment horizontal="left" vertical="center" indent="2"/>
    </xf>
    <xf numFmtId="0" fontId="19" fillId="0" borderId="23" xfId="0" applyFont="1" applyBorder="1" applyAlignment="1">
      <alignment horizontal="left" vertical="center" indent="2"/>
    </xf>
    <xf numFmtId="0" fontId="19" fillId="0" borderId="24" xfId="0" applyFont="1" applyBorder="1" applyAlignment="1">
      <alignment horizontal="left" vertical="center" indent="2"/>
    </xf>
    <xf numFmtId="0" fontId="19" fillId="0" borderId="25" xfId="0" applyFont="1" applyBorder="1" applyAlignment="1">
      <alignment horizontal="left" vertical="center" indent="2"/>
    </xf>
    <xf numFmtId="0" fontId="7" fillId="0" borderId="24" xfId="0" quotePrefix="1" applyFont="1" applyBorder="1" applyAlignment="1">
      <alignment horizontal="left" vertical="center" wrapText="1"/>
    </xf>
    <xf numFmtId="0" fontId="7" fillId="0" borderId="25" xfId="0" quotePrefix="1" applyFont="1" applyBorder="1" applyAlignment="1">
      <alignment horizontal="left" vertical="center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11206</xdr:colOff>
      <xdr:row>22</xdr:row>
      <xdr:rowOff>0</xdr:rowOff>
    </xdr:from>
    <xdr:to>
      <xdr:col>62</xdr:col>
      <xdr:colOff>11206</xdr:colOff>
      <xdr:row>27</xdr:row>
      <xdr:rowOff>0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9344025" y="4305300"/>
          <a:ext cx="7200900" cy="952500"/>
        </a:xfrm>
        <a:prstGeom prst="borderCallout1">
          <a:avLst>
            <a:gd name="adj1" fmla="val 20319"/>
            <a:gd name="adj2" fmla="val -58"/>
            <a:gd name="adj3" fmla="val 10085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「ステップ1.オリジナルのレコードを取得する。」の結果を確認する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▪存在している場合、[3. [3.itemsデータ配列をループする]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存在していない場合、status_code = 404、message = MSG_ERR_001のレスポンスを返し、プログラムを停止する。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31</xdr:row>
      <xdr:rowOff>0</xdr:rowOff>
    </xdr:from>
    <xdr:to>
      <xdr:col>62</xdr:col>
      <xdr:colOff>0</xdr:colOff>
      <xdr:row>33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6019800"/>
          <a:ext cx="7200900" cy="381000"/>
        </a:xfrm>
        <a:prstGeom prst="borderCallout1">
          <a:avLst>
            <a:gd name="adj1" fmla="val 48945"/>
            <a:gd name="adj2" fmla="val 117"/>
            <a:gd name="adj3" fmla="val 22422"/>
            <a:gd name="adj4" fmla="val -6867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itemsデータ配列の各レコードをループする。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108</xdr:row>
      <xdr:rowOff>22412</xdr:rowOff>
    </xdr:from>
    <xdr:to>
      <xdr:col>16</xdr:col>
      <xdr:colOff>0</xdr:colOff>
      <xdr:row>110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200400" y="20716875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0</xdr:colOff>
      <xdr:row>108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endCxn id="4" idx="0"/>
        </xdr:cNvCxnSpPr>
      </xdr:nvCxnSpPr>
      <xdr:spPr>
        <a:xfrm>
          <a:off x="3733800" y="19935825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13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85" idx="0"/>
        </xdr:cNvCxnSpPr>
      </xdr:nvCxnSpPr>
      <xdr:spPr>
        <a:xfrm>
          <a:off x="3733800" y="18192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0</xdr:rowOff>
    </xdr:from>
    <xdr:to>
      <xdr:col>17</xdr:col>
      <xdr:colOff>0</xdr:colOff>
      <xdr:row>17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9337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オリジナルレコードを取得する。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17</xdr:col>
      <xdr:colOff>0</xdr:colOff>
      <xdr:row>34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933700" y="582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itemsデータ配列をループする。</a:t>
          </a:r>
        </a:p>
      </xdr:txBody>
    </xdr:sp>
    <xdr:clientData/>
  </xdr:twoCellAnchor>
  <xdr:twoCellAnchor>
    <xdr:from>
      <xdr:col>14</xdr:col>
      <xdr:colOff>1</xdr:colOff>
      <xdr:row>34</xdr:row>
      <xdr:rowOff>0</xdr:rowOff>
    </xdr:from>
    <xdr:to>
      <xdr:col>14</xdr:col>
      <xdr:colOff>1</xdr:colOff>
      <xdr:row>38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  <a:endCxn id="20" idx="0"/>
        </xdr:cNvCxnSpPr>
      </xdr:nvCxnSpPr>
      <xdr:spPr>
        <a:xfrm>
          <a:off x="3733800" y="6591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2801</xdr:colOff>
      <xdr:row>32</xdr:row>
      <xdr:rowOff>1</xdr:rowOff>
    </xdr:from>
    <xdr:to>
      <xdr:col>11</xdr:col>
      <xdr:colOff>0</xdr:colOff>
      <xdr:row>97</xdr:row>
      <xdr:rowOff>95251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280" idx="1"/>
          <a:endCxn id="85" idx="1"/>
        </xdr:cNvCxnSpPr>
      </xdr:nvCxnSpPr>
      <xdr:spPr>
        <a:xfrm rot="10800000" flipH="1">
          <a:off x="2133600" y="6210300"/>
          <a:ext cx="800100" cy="12487275"/>
        </a:xfrm>
        <a:prstGeom prst="bentConnector3">
          <a:avLst>
            <a:gd name="adj1" fmla="val -20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17</xdr:row>
      <xdr:rowOff>0</xdr:rowOff>
    </xdr:from>
    <xdr:to>
      <xdr:col>14</xdr:col>
      <xdr:colOff>1</xdr:colOff>
      <xdr:row>20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37338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0</xdr:rowOff>
    </xdr:from>
    <xdr:to>
      <xdr:col>18</xdr:col>
      <xdr:colOff>0</xdr:colOff>
      <xdr:row>25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2667000" y="3924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15</xdr:col>
      <xdr:colOff>0</xdr:colOff>
      <xdr:row>26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34671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22</xdr:row>
      <xdr:rowOff>0</xdr:rowOff>
    </xdr:from>
    <xdr:to>
      <xdr:col>20</xdr:col>
      <xdr:colOff>0</xdr:colOff>
      <xdr:row>23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4800600" y="430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20</xdr:col>
      <xdr:colOff>0</xdr:colOff>
      <xdr:row>22</xdr:row>
      <xdr:rowOff>95250</xdr:rowOff>
    </xdr:from>
    <xdr:to>
      <xdr:col>31</xdr:col>
      <xdr:colOff>1</xdr:colOff>
      <xdr:row>101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12" idx="0"/>
        </xdr:cNvCxnSpPr>
      </xdr:nvCxnSpPr>
      <xdr:spPr>
        <a:xfrm>
          <a:off x="5334000" y="4400550"/>
          <a:ext cx="2933700" cy="14963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26</xdr:row>
      <xdr:rowOff>0</xdr:rowOff>
    </xdr:from>
    <xdr:to>
      <xdr:col>14</xdr:col>
      <xdr:colOff>1</xdr:colOff>
      <xdr:row>30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85" idx="0"/>
        </xdr:cNvCxnSpPr>
      </xdr:nvCxnSpPr>
      <xdr:spPr>
        <a:xfrm>
          <a:off x="3733800" y="5067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96</xdr:row>
      <xdr:rowOff>0</xdr:rowOff>
    </xdr:from>
    <xdr:to>
      <xdr:col>62</xdr:col>
      <xdr:colOff>0</xdr:colOff>
      <xdr:row>99</xdr:row>
      <xdr:rowOff>188819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8411825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最後の要素の場合、respose code = 200を返す。API処理を終了する。</a:t>
          </a:r>
        </a:p>
      </xdr:txBody>
    </xdr:sp>
    <xdr:clientData/>
  </xdr:twoCellAnchor>
  <xdr:twoCellAnchor>
    <xdr:from>
      <xdr:col>10</xdr:col>
      <xdr:colOff>0</xdr:colOff>
      <xdr:row>95</xdr:row>
      <xdr:rowOff>0</xdr:rowOff>
    </xdr:from>
    <xdr:to>
      <xdr:col>18</xdr:col>
      <xdr:colOff>0</xdr:colOff>
      <xdr:row>100</xdr:row>
      <xdr:rowOff>0</xdr:rowOff>
    </xdr:to>
    <xdr:sp macro="" textlink="" fLocksText="0">
      <xdr:nvSpPr>
        <xdr:cNvPr id="278" name="Flowchart: Decision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2667000" y="182213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99</xdr:row>
      <xdr:rowOff>180975</xdr:rowOff>
    </xdr:from>
    <xdr:to>
      <xdr:col>14</xdr:col>
      <xdr:colOff>238124</xdr:colOff>
      <xdr:row>101</xdr:row>
      <xdr:rowOff>0</xdr:rowOff>
    </xdr:to>
    <xdr:sp macro="" textlink="" fLocksText="0">
      <xdr:nvSpPr>
        <xdr:cNvPr id="279" name="Flowchart: Process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>
          <a:off x="3438525" y="19164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238124</xdr:colOff>
      <xdr:row>97</xdr:row>
      <xdr:rowOff>0</xdr:rowOff>
    </xdr:from>
    <xdr:to>
      <xdr:col>9</xdr:col>
      <xdr:colOff>238124</xdr:colOff>
      <xdr:row>98</xdr:row>
      <xdr:rowOff>0</xdr:rowOff>
    </xdr:to>
    <xdr:sp macro="" textlink="" fLocksText="0">
      <xdr:nvSpPr>
        <xdr:cNvPr id="280" name="Flowchart: Process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>
          <a:off x="2105025" y="1860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0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238124</xdr:colOff>
      <xdr:row>101</xdr:row>
      <xdr:rowOff>0</xdr:rowOff>
    </xdr:from>
    <xdr:to>
      <xdr:col>14</xdr:col>
      <xdr:colOff>0</xdr:colOff>
      <xdr:row>108</xdr:row>
      <xdr:rowOff>22412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CxnSpPr>
          <a:stCxn id="279" idx="2"/>
          <a:endCxn id="4" idx="0"/>
        </xdr:cNvCxnSpPr>
      </xdr:nvCxnSpPr>
      <xdr:spPr>
        <a:xfrm>
          <a:off x="3705225" y="19364325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101</xdr:row>
      <xdr:rowOff>0</xdr:rowOff>
    </xdr:from>
    <xdr:to>
      <xdr:col>32</xdr:col>
      <xdr:colOff>0</xdr:colOff>
      <xdr:row>101</xdr:row>
      <xdr:rowOff>179293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01000" y="193643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No</a:t>
          </a:r>
        </a:p>
      </xdr:txBody>
    </xdr:sp>
    <xdr:clientData/>
  </xdr:twoCellAnchor>
  <xdr:twoCellAnchor>
    <xdr:from>
      <xdr:col>14</xdr:col>
      <xdr:colOff>1</xdr:colOff>
      <xdr:row>101</xdr:row>
      <xdr:rowOff>179293</xdr:rowOff>
    </xdr:from>
    <xdr:to>
      <xdr:col>31</xdr:col>
      <xdr:colOff>2</xdr:colOff>
      <xdr:row>108</xdr:row>
      <xdr:rowOff>22412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2" idx="2"/>
          <a:endCxn id="4" idx="0"/>
        </xdr:cNvCxnSpPr>
      </xdr:nvCxnSpPr>
      <xdr:spPr>
        <a:xfrm rot="5400000">
          <a:off x="3733800" y="19545300"/>
          <a:ext cx="4533900" cy="11715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0</xdr:rowOff>
    </xdr:from>
    <xdr:to>
      <xdr:col>17</xdr:col>
      <xdr:colOff>0</xdr:colOff>
      <xdr:row>42</xdr:row>
      <xdr:rowOff>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2933700" y="735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ターゲットレコードを取得する。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42</xdr:row>
      <xdr:rowOff>0</xdr:rowOff>
    </xdr:from>
    <xdr:to>
      <xdr:col>14</xdr:col>
      <xdr:colOff>1</xdr:colOff>
      <xdr:row>46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20" idx="2"/>
          <a:endCxn id="24" idx="0"/>
        </xdr:cNvCxnSpPr>
      </xdr:nvCxnSpPr>
      <xdr:spPr>
        <a:xfrm>
          <a:off x="3733800" y="8115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46</xdr:row>
      <xdr:rowOff>0</xdr:rowOff>
    </xdr:from>
    <xdr:to>
      <xdr:col>18</xdr:col>
      <xdr:colOff>0</xdr:colOff>
      <xdr:row>51</xdr:row>
      <xdr:rowOff>0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667000" y="8877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</a:p>
      </xdr:txBody>
    </xdr:sp>
    <xdr:clientData/>
  </xdr:twoCellAnchor>
  <xdr:twoCellAnchor>
    <xdr:from>
      <xdr:col>13</xdr:col>
      <xdr:colOff>0</xdr:colOff>
      <xdr:row>51</xdr:row>
      <xdr:rowOff>0</xdr:rowOff>
    </xdr:from>
    <xdr:to>
      <xdr:col>15</xdr:col>
      <xdr:colOff>0</xdr:colOff>
      <xdr:row>52</xdr:row>
      <xdr:rowOff>0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467100" y="9829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48</xdr:row>
      <xdr:rowOff>0</xdr:rowOff>
    </xdr:from>
    <xdr:to>
      <xdr:col>20</xdr:col>
      <xdr:colOff>0</xdr:colOff>
      <xdr:row>49</xdr:row>
      <xdr:rowOff>0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00600" y="925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No</a:t>
          </a:r>
        </a:p>
      </xdr:txBody>
    </xdr:sp>
    <xdr:clientData/>
  </xdr:twoCellAnchor>
  <xdr:twoCellAnchor>
    <xdr:from>
      <xdr:col>14</xdr:col>
      <xdr:colOff>1</xdr:colOff>
      <xdr:row>52</xdr:row>
      <xdr:rowOff>0</xdr:rowOff>
    </xdr:from>
    <xdr:to>
      <xdr:col>14</xdr:col>
      <xdr:colOff>1</xdr:colOff>
      <xdr:row>55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5" idx="2"/>
          <a:endCxn id="36" idx="0"/>
        </xdr:cNvCxnSpPr>
      </xdr:nvCxnSpPr>
      <xdr:spPr>
        <a:xfrm>
          <a:off x="3733800" y="10020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46</xdr:row>
      <xdr:rowOff>0</xdr:rowOff>
    </xdr:from>
    <xdr:to>
      <xdr:col>62</xdr:col>
      <xdr:colOff>0</xdr:colOff>
      <xdr:row>50</xdr:row>
      <xdr:rowOff>11206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8877300"/>
          <a:ext cx="7200900" cy="771525"/>
        </a:xfrm>
        <a:prstGeom prst="borderCallout1">
          <a:avLst>
            <a:gd name="adj1" fmla="val 20319"/>
            <a:gd name="adj2" fmla="val -58"/>
            <a:gd name="adj3" fmla="val 44203"/>
            <a:gd name="adj4" fmla="val -695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「ステップ4.ターゲットレコードを取得する」の結果を確認する。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▪存在している場合、以下のステップを実行する。[6.1.プリセットメニュー更新]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▪存在していない場合、以下のステップを実行する。[6.2.プリセットメニュー新規作成]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0</xdr:colOff>
      <xdr:row>42</xdr:row>
      <xdr:rowOff>11206</xdr:rowOff>
    </xdr:to>
    <xdr:sp macro="" textlink="" fLocksText="0">
      <xdr:nvSpPr>
        <xdr:cNvPr id="34" name="吹き出し: 線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9334500" y="6781800"/>
          <a:ext cx="7200900" cy="1343025"/>
        </a:xfrm>
        <a:prstGeom prst="borderCallout1">
          <a:avLst>
            <a:gd name="adj1" fmla="val 47592"/>
            <a:gd name="adj2" fmla="val 471"/>
            <a:gd name="adj3" fmla="val 73216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以下の条件を満たすPresetMenuMasterテーブルのターゲットレコードを取得する。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PresetMenuMaster.StoreCode = request {item.store_code}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PresetMenuMaster.ButtonLayoutCode = request {item.preset_layout_code}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PresetMenuMaster.ButtonLayoutName = request {item.preset_layout_name}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いなげや会社の場合、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PresetMenuMaster.ApplyDate = request {item.booking_date}</a:t>
          </a: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17</xdr:col>
      <xdr:colOff>0</xdr:colOff>
      <xdr:row>59</xdr:row>
      <xdr:rowOff>0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2933700" y="1059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6.1 プリセットメニュー更新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71</xdr:row>
      <xdr:rowOff>0</xdr:rowOff>
    </xdr:from>
    <xdr:to>
      <xdr:col>27</xdr:col>
      <xdr:colOff>0</xdr:colOff>
      <xdr:row>75</xdr:row>
      <xdr:rowOff>0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5600700" y="1363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6.2 プリセットメニュー新規作成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48</xdr:row>
      <xdr:rowOff>95250</xdr:rowOff>
    </xdr:from>
    <xdr:to>
      <xdr:col>24</xdr:col>
      <xdr:colOff>0</xdr:colOff>
      <xdr:row>71</xdr:row>
      <xdr:rowOff>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26" idx="3"/>
          <a:endCxn id="39" idx="0"/>
        </xdr:cNvCxnSpPr>
      </xdr:nvCxnSpPr>
      <xdr:spPr>
        <a:xfrm>
          <a:off x="5334000" y="9353550"/>
          <a:ext cx="1066800" cy="428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85</xdr:row>
      <xdr:rowOff>11206</xdr:rowOff>
    </xdr:from>
    <xdr:to>
      <xdr:col>18</xdr:col>
      <xdr:colOff>0</xdr:colOff>
      <xdr:row>90</xdr:row>
      <xdr:rowOff>0</xdr:rowOff>
    </xdr:to>
    <xdr:sp macro="" textlink="" fLocksText="0">
      <xdr:nvSpPr>
        <xdr:cNvPr id="47" name="Flowchart: Decision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2667000" y="163163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成功：</a:t>
          </a:r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15</xdr:col>
      <xdr:colOff>0</xdr:colOff>
      <xdr:row>91</xdr:row>
      <xdr:rowOff>0</xdr:rowOff>
    </xdr:to>
    <xdr:sp macro="" textlink="" fLocksText="0">
      <xdr:nvSpPr>
        <xdr:cNvPr id="48" name="Flowchart: Process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3467100" y="17268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87</xdr:row>
      <xdr:rowOff>0</xdr:rowOff>
    </xdr:from>
    <xdr:to>
      <xdr:col>20</xdr:col>
      <xdr:colOff>0</xdr:colOff>
      <xdr:row>88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4800600" y="16697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91</xdr:row>
      <xdr:rowOff>0</xdr:rowOff>
    </xdr:from>
    <xdr:to>
      <xdr:col>14</xdr:col>
      <xdr:colOff>1</xdr:colOff>
      <xdr:row>95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48" idx="2"/>
          <a:endCxn id="278" idx="0"/>
        </xdr:cNvCxnSpPr>
      </xdr:nvCxnSpPr>
      <xdr:spPr>
        <a:xfrm>
          <a:off x="3733800" y="17459325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59</xdr:row>
      <xdr:rowOff>0</xdr:rowOff>
    </xdr:from>
    <xdr:to>
      <xdr:col>14</xdr:col>
      <xdr:colOff>1</xdr:colOff>
      <xdr:row>85</xdr:row>
      <xdr:rowOff>11206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36" idx="2"/>
          <a:endCxn id="47" idx="0"/>
        </xdr:cNvCxnSpPr>
      </xdr:nvCxnSpPr>
      <xdr:spPr>
        <a:xfrm>
          <a:off x="3733800" y="11353800"/>
          <a:ext cx="0" cy="4962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75</xdr:row>
      <xdr:rowOff>1</xdr:rowOff>
    </xdr:from>
    <xdr:to>
      <xdr:col>24</xdr:col>
      <xdr:colOff>0</xdr:colOff>
      <xdr:row>85</xdr:row>
      <xdr:rowOff>11207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39" idx="2"/>
          <a:endCxn id="47" idx="0"/>
        </xdr:cNvCxnSpPr>
      </xdr:nvCxnSpPr>
      <xdr:spPr>
        <a:xfrm rot="5400000">
          <a:off x="3733800" y="14401800"/>
          <a:ext cx="2667000" cy="1914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74</xdr:row>
      <xdr:rowOff>0</xdr:rowOff>
    </xdr:to>
    <xdr:sp macro="" textlink="" fLocksText="0">
      <xdr:nvSpPr>
        <xdr:cNvPr id="60" name="吹き出し: 線 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334500" y="9829800"/>
          <a:ext cx="7200900" cy="4381500"/>
        </a:xfrm>
        <a:prstGeom prst="borderCallout1">
          <a:avLst>
            <a:gd name="adj1" fmla="val 20319"/>
            <a:gd name="adj2" fmla="val -58"/>
            <a:gd name="adj3" fmla="val 30450"/>
            <a:gd name="adj4" fmla="val -672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6.1.1 ステップ4のレコードを全て削除し、その後ステップ[1.オリジナルレコードを取得する]の結果をコピーして{item}リクエストに従ってButtonLayoutCode、ButtonLayoutName、ApplyDateのデータを変更することでステップ[4.ターゲットレコードを取得する]の結果を更新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6.1.2 次を満たすように、ページ番号1から10まで順に、 PresetMenuButtonMasterテーブルからコピーされたデータレコード一覧を取得する。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PresetMenuButtonMaster.CompanyCode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PresetMenuButtonMaster.StoreCode = request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PresetMenuButtonMaster.ButtonLayoutCode = request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PresetMenuButtonMaster.ButtonLayoutName = request {preset_layout_name}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いなげや会社の場合</a:t>
          </a: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PresetMenuButtonMaster.ApplyDate = request {booking_date}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6.1.3 以下の条件を満たすPresetMenuButtonMasterテーブルのレコードを更新する。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PresetMenuButtonMaster.CompanyCode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PresetMenuButtonMaster.StoreCode = request {item.store_code}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PresetMenuButtonMaster.ButtonLayoutCode = request {item.preset_layout_code}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PresetMenuButtonMaster.ButtonLayoutName = request {item.preset_layout_name}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PresetMenuButtonMaster.ApplyDate = request {booking_date}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ステップ6.13で見つかったデータをすべて削除し、その後6.1.2のデータをコピーし、 {item}リクエストに従ってButtonLayoutCode、ButtonLayoutName、ApplyDate のデータを変更することで（コピー後の各ページ番号の件数=6.1.2の件数）、以下の条件を満たすPresetMenuButtonMasterテーブルのレコードを更新する。（コピー後の各ページ番号の件数=6.1.2の件数）</a:t>
          </a:r>
        </a:p>
      </xdr:txBody>
    </xdr:sp>
    <xdr:clientData/>
  </xdr:twoCellAnchor>
  <xdr:twoCellAnchor>
    <xdr:from>
      <xdr:col>20</xdr:col>
      <xdr:colOff>0</xdr:colOff>
      <xdr:row>87</xdr:row>
      <xdr:rowOff>95250</xdr:rowOff>
    </xdr:from>
    <xdr:to>
      <xdr:col>31</xdr:col>
      <xdr:colOff>1</xdr:colOff>
      <xdr:row>101</xdr:row>
      <xdr:rowOff>0</xdr:rowOff>
    </xdr:to>
    <xdr:cxnSp macro="">
      <xdr:nvCxnSpPr>
        <xdr:cNvPr id="449" name="Connector: Elbow 448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CxnSpPr>
          <a:stCxn id="49" idx="3"/>
          <a:endCxn id="12" idx="0"/>
        </xdr:cNvCxnSpPr>
      </xdr:nvCxnSpPr>
      <xdr:spPr>
        <a:xfrm>
          <a:off x="5334000" y="16792575"/>
          <a:ext cx="2933700" cy="2571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89</xdr:row>
      <xdr:rowOff>0</xdr:rowOff>
    </xdr:from>
    <xdr:to>
      <xdr:col>62</xdr:col>
      <xdr:colOff>0</xdr:colOff>
      <xdr:row>94</xdr:row>
      <xdr:rowOff>0</xdr:rowOff>
    </xdr:to>
    <xdr:sp macro="" textlink="" fLocksText="0">
      <xdr:nvSpPr>
        <xdr:cNvPr id="453" name="吹き出し: 線 2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/>
      </xdr:nvSpPr>
      <xdr:spPr>
        <a:xfrm>
          <a:off x="9334500" y="17078325"/>
          <a:ext cx="7200900" cy="952500"/>
        </a:xfrm>
        <a:prstGeom prst="borderCallout1">
          <a:avLst>
            <a:gd name="adj1" fmla="val 20319"/>
            <a:gd name="adj2" fmla="val -58"/>
            <a:gd name="adj3" fmla="val -21680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プリセットレイアウト新規作成・編集の状態確認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▪成功の場合、[8. [8.最後の要素であるかを確認する]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75</xdr:row>
      <xdr:rowOff>0</xdr:rowOff>
    </xdr:from>
    <xdr:to>
      <xdr:col>62</xdr:col>
      <xdr:colOff>0</xdr:colOff>
      <xdr:row>87</xdr:row>
      <xdr:rowOff>179294</xdr:rowOff>
    </xdr:to>
    <xdr:sp macro="" textlink="" fLocksText="0">
      <xdr:nvSpPr>
        <xdr:cNvPr id="456" name="吹き出し: 線 2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9334500" y="14401800"/>
          <a:ext cx="7200900" cy="2476500"/>
        </a:xfrm>
        <a:prstGeom prst="borderCallout1">
          <a:avLst>
            <a:gd name="adj1" fmla="val 20319"/>
            <a:gd name="adj2" fmla="val -58"/>
            <a:gd name="adj3" fmla="val -5406"/>
            <a:gd name="adj4" fmla="val -318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6.2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 「ステップ1.オリジナルレコードを取得する」の結果をコピーして{item}リクエストに従ってButtonLayoutCode、ButtonLayoutName、ApplyDateのデータを変更することで、PresetMenuMasterテーブルに挿入する。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以下の条件を満たすPresetMenuButtonMasterテーブルのプリセットメニューボタンをコピーして{item}リクエストに従ってButtonLayoutCode, ButtonLayoutName, ApplyDateのデータを変更することで、PresetMenuButtonMasterテーブルに挿入する。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PresetMenuButtonMaster.CompanyCode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PresetMenuButtonMaster.StoreCode = request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PresetMenuButtonMaster.ButtonLayoutCode = request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PresetMenuButtonMaster.ButtonLayoutName = request {.preset_layout_name}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いなげや会社の場合、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PresetMenuButtonMaster.ApplyDate = request {booking_date}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、{item}に従ってButtonLayoutCode, ButtonLayoutName, ApplyDateのデータを変更する。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10</xdr:row>
      <xdr:rowOff>0</xdr:rowOff>
    </xdr:from>
    <xdr:to>
      <xdr:col>62</xdr:col>
      <xdr:colOff>0</xdr:colOff>
      <xdr:row>21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2019300"/>
          <a:ext cx="7200900" cy="2095500"/>
        </a:xfrm>
        <a:prstGeom prst="borderCallout1">
          <a:avLst>
            <a:gd name="adj1" fmla="val 47592"/>
            <a:gd name="adj2" fmla="val 471"/>
            <a:gd name="adj3" fmla="val 42735"/>
            <a:gd name="adj4" fmla="val -679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ユーザーにコピー権限があるかを確認する。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店舗権限の場合、エラー403（MSG_ERR_009）を返す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管理者又はヘッドクオーターの権限の場合、処理を続行する。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PresetMenuMasterテーブル内で、以下の条件を満たすオリジナルレコード一覧を取得する。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PresetMenuMaster.CompanyCode = User.CompanyCode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PresetMenuMaster.StoreCode = request {store_code}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PresetMenuMaster.ButtonLayoutCode = request {preset_layout_code}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PresetMenuMaster.ButtonLayoutName = request {preset_layout_name}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PresetMenuMaster.ApplyDate = request {booking_date}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8" customWidth="1"/>
    <col min="61" max="16384" width="2.77734375" style="48"/>
  </cols>
  <sheetData>
    <row r="1" spans="1:63" ht="24.95" customHeight="1" x14ac:dyDescent="0.25">
      <c r="A1" s="99" t="s">
        <v>44</v>
      </c>
      <c r="B1" s="100"/>
      <c r="C1" s="100"/>
      <c r="D1" s="100"/>
      <c r="E1" s="100"/>
      <c r="F1" s="100"/>
      <c r="G1" s="100"/>
      <c r="H1" s="100"/>
      <c r="I1" s="100"/>
      <c r="J1" s="101"/>
      <c r="K1" s="99" t="s">
        <v>45</v>
      </c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1"/>
      <c r="W1" s="121" t="s">
        <v>46</v>
      </c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3"/>
      <c r="AP1" s="99" t="s">
        <v>47</v>
      </c>
      <c r="AQ1" s="100"/>
      <c r="AR1" s="100"/>
      <c r="AS1" s="101"/>
      <c r="AT1" s="99" t="s">
        <v>48</v>
      </c>
      <c r="AU1" s="100"/>
      <c r="AV1" s="100"/>
      <c r="AW1" s="100"/>
      <c r="AX1" s="101"/>
      <c r="AY1" s="99" t="s">
        <v>49</v>
      </c>
      <c r="AZ1" s="100"/>
      <c r="BA1" s="100"/>
      <c r="BB1" s="101"/>
      <c r="BC1" s="99" t="s">
        <v>50</v>
      </c>
      <c r="BD1" s="100"/>
      <c r="BE1" s="100"/>
      <c r="BF1" s="100"/>
      <c r="BG1" s="101"/>
      <c r="BH1" s="99" t="s">
        <v>51</v>
      </c>
      <c r="BI1" s="100"/>
      <c r="BJ1" s="100"/>
      <c r="BK1" s="101"/>
    </row>
    <row r="2" spans="1:63" ht="15" customHeight="1" x14ac:dyDescent="0.25">
      <c r="A2" s="120" t="s">
        <v>52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124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6"/>
      <c r="AP2" s="84" t="str">
        <f>改訂履歴!$H$11</f>
        <v>DuNT</v>
      </c>
      <c r="AQ2" s="85"/>
      <c r="AR2" s="85"/>
      <c r="AS2" s="86"/>
      <c r="AT2" s="114">
        <f>改訂履歴!$B$11</f>
        <v>45516</v>
      </c>
      <c r="AU2" s="115"/>
      <c r="AV2" s="115"/>
      <c r="AW2" s="115"/>
      <c r="AX2" s="116"/>
      <c r="AY2" s="84" t="str">
        <f>LOOKUP(2,1/(改訂履歴!H11:H30000&lt;&gt;""),改訂履歴!H11:H30000)</f>
        <v>LoiLV</v>
      </c>
      <c r="AZ2" s="85"/>
      <c r="BA2" s="85"/>
      <c r="BB2" s="86"/>
      <c r="BC2" s="114">
        <f>LOOKUP(2,1/(改訂履歴!B11:B30000&lt;&gt;""),改訂履歴!B11:B30000)</f>
        <v>45964</v>
      </c>
      <c r="BD2" s="115"/>
      <c r="BE2" s="115"/>
      <c r="BF2" s="115"/>
      <c r="BG2" s="116"/>
      <c r="BH2" s="108">
        <f>LOOKUP(2,1/(改訂履歴!O11:O30000&lt;&gt;""),改訂履歴!O11:O30000)</f>
        <v>0.12</v>
      </c>
      <c r="BI2" s="109"/>
      <c r="BJ2" s="109"/>
      <c r="BK2" s="110"/>
    </row>
    <row r="3" spans="1:63" ht="15" customHeight="1" x14ac:dyDescent="0.25">
      <c r="A3" s="90"/>
      <c r="B3" s="91"/>
      <c r="C3" s="91"/>
      <c r="D3" s="91"/>
      <c r="E3" s="91"/>
      <c r="F3" s="91"/>
      <c r="G3" s="91"/>
      <c r="H3" s="91"/>
      <c r="I3" s="91"/>
      <c r="J3" s="92"/>
      <c r="K3" s="90"/>
      <c r="L3" s="91"/>
      <c r="M3" s="91"/>
      <c r="N3" s="91"/>
      <c r="O3" s="91"/>
      <c r="P3" s="91"/>
      <c r="Q3" s="91"/>
      <c r="R3" s="91"/>
      <c r="S3" s="91"/>
      <c r="T3" s="91"/>
      <c r="U3" s="91"/>
      <c r="V3" s="92"/>
      <c r="W3" s="127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9"/>
      <c r="AP3" s="90"/>
      <c r="AQ3" s="91"/>
      <c r="AR3" s="91"/>
      <c r="AS3" s="92"/>
      <c r="AT3" s="117"/>
      <c r="AU3" s="118"/>
      <c r="AV3" s="118"/>
      <c r="AW3" s="118"/>
      <c r="AX3" s="119"/>
      <c r="AY3" s="90"/>
      <c r="AZ3" s="91"/>
      <c r="BA3" s="91"/>
      <c r="BB3" s="92"/>
      <c r="BC3" s="117"/>
      <c r="BD3" s="118"/>
      <c r="BE3" s="118"/>
      <c r="BF3" s="118"/>
      <c r="BG3" s="119"/>
      <c r="BH3" s="111"/>
      <c r="BI3" s="112"/>
      <c r="BJ3" s="112"/>
      <c r="BK3" s="113"/>
    </row>
    <row r="4" spans="1:63" ht="24.95" customHeight="1" x14ac:dyDescent="0.25">
      <c r="A4" s="99" t="s">
        <v>53</v>
      </c>
      <c r="B4" s="100"/>
      <c r="C4" s="100"/>
      <c r="D4" s="100"/>
      <c r="E4" s="100"/>
      <c r="F4" s="100"/>
      <c r="G4" s="101"/>
      <c r="H4" s="104" t="s">
        <v>28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9" t="s">
        <v>54</v>
      </c>
      <c r="V4" s="100"/>
      <c r="W4" s="100"/>
      <c r="X4" s="100"/>
      <c r="Y4" s="101"/>
      <c r="Z4" s="107" t="s">
        <v>55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6"/>
      <c r="AP4" s="104" t="str">
        <f t="array" aca="1" ref="AP4" ca="1">RIGHT(CELL("filename",$A$1),LEN(CELL("filename",$A$1))-FIND("]",CELL("filename",$A$1)))</f>
        <v>表紙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6"/>
    </row>
    <row r="5" spans="1:63" ht="5.0999999999999996" customHeight="1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1"/>
    </row>
    <row r="6" spans="1:63" ht="15" customHeight="1" x14ac:dyDescent="0.25">
      <c r="A6" s="52"/>
      <c r="BK6" s="53"/>
    </row>
    <row r="7" spans="1:63" ht="15" customHeight="1" x14ac:dyDescent="0.25">
      <c r="A7" s="52"/>
      <c r="BK7" s="53"/>
    </row>
    <row r="8" spans="1:63" ht="15" customHeight="1" x14ac:dyDescent="0.25">
      <c r="A8" s="52"/>
      <c r="BK8" s="53"/>
    </row>
    <row r="9" spans="1:63" ht="15" customHeight="1" x14ac:dyDescent="0.25">
      <c r="A9" s="52"/>
      <c r="BK9" s="53"/>
    </row>
    <row r="10" spans="1:63" ht="15" customHeight="1" x14ac:dyDescent="0.25">
      <c r="A10" s="52"/>
      <c r="BK10" s="53"/>
    </row>
    <row r="11" spans="1:63" ht="15" customHeight="1" x14ac:dyDescent="0.25">
      <c r="A11" s="52"/>
      <c r="BK11" s="53"/>
    </row>
    <row r="12" spans="1:63" ht="15" customHeight="1" x14ac:dyDescent="0.25">
      <c r="A12" s="52"/>
      <c r="BK12" s="53"/>
    </row>
    <row r="13" spans="1:63" ht="15" customHeight="1" x14ac:dyDescent="0.25">
      <c r="A13" s="52"/>
      <c r="BK13" s="53"/>
    </row>
    <row r="14" spans="1:63" ht="15" customHeight="1" thickBot="1" x14ac:dyDescent="0.3">
      <c r="A14" s="52"/>
      <c r="BK14" s="53"/>
    </row>
    <row r="15" spans="1:63" ht="15" customHeight="1" thickTop="1" x14ac:dyDescent="0.25">
      <c r="A15" s="52"/>
      <c r="K15" s="54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6"/>
      <c r="BK15" s="53"/>
    </row>
    <row r="16" spans="1:63" ht="15" customHeight="1" x14ac:dyDescent="0.25">
      <c r="A16" s="52"/>
      <c r="K16" s="57"/>
      <c r="L16" s="102" t="s">
        <v>56</v>
      </c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58"/>
      <c r="BK16" s="53"/>
    </row>
    <row r="17" spans="1:63" ht="15" customHeight="1" x14ac:dyDescent="0.25">
      <c r="A17" s="52"/>
      <c r="K17" s="57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58"/>
      <c r="BK17" s="53"/>
    </row>
    <row r="18" spans="1:63" ht="15" customHeight="1" x14ac:dyDescent="0.25">
      <c r="A18" s="52"/>
      <c r="K18" s="57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58"/>
      <c r="BK18" s="53"/>
    </row>
    <row r="19" spans="1:63" ht="15" customHeight="1" x14ac:dyDescent="0.25">
      <c r="A19" s="52"/>
      <c r="K19" s="57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58"/>
      <c r="BK19" s="53"/>
    </row>
    <row r="20" spans="1:63" ht="15" customHeight="1" x14ac:dyDescent="0.25">
      <c r="A20" s="52"/>
      <c r="K20" s="57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58"/>
      <c r="BK20" s="53"/>
    </row>
    <row r="21" spans="1:63" ht="15" customHeight="1" x14ac:dyDescent="0.25">
      <c r="A21" s="52"/>
      <c r="K21" s="57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58"/>
      <c r="BK21" s="53"/>
    </row>
    <row r="22" spans="1:63" ht="15" customHeight="1" thickBot="1" x14ac:dyDescent="0.3">
      <c r="A22" s="52"/>
      <c r="K22" s="57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8"/>
      <c r="BK22" s="53"/>
    </row>
    <row r="23" spans="1:63" ht="15" customHeight="1" x14ac:dyDescent="0.25">
      <c r="A23" s="52"/>
      <c r="K23" s="57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58"/>
      <c r="BK23" s="53"/>
    </row>
    <row r="24" spans="1:63" ht="15" customHeight="1" x14ac:dyDescent="0.25">
      <c r="A24" s="52"/>
      <c r="K24" s="57"/>
      <c r="L24" s="103" t="str">
        <f>K2&amp;"/"&amp;H4&amp;"/"&amp;Z4</f>
        <v>POSサーバー/AP1504/API設計書</v>
      </c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58"/>
      <c r="BK24" s="53"/>
    </row>
    <row r="25" spans="1:63" ht="15" customHeight="1" x14ac:dyDescent="0.25">
      <c r="A25" s="52"/>
      <c r="K25" s="57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58"/>
      <c r="BK25" s="53"/>
    </row>
    <row r="26" spans="1:63" ht="15" customHeight="1" x14ac:dyDescent="0.25">
      <c r="A26" s="52"/>
      <c r="K26" s="57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58"/>
      <c r="BK26" s="53"/>
    </row>
    <row r="27" spans="1:63" ht="15" customHeight="1" x14ac:dyDescent="0.25">
      <c r="A27" s="52"/>
      <c r="K27" s="57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58"/>
      <c r="BK27" s="53"/>
    </row>
    <row r="28" spans="1:63" ht="15" customHeight="1" x14ac:dyDescent="0.25">
      <c r="A28" s="52"/>
      <c r="K28" s="57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58"/>
      <c r="BK28" s="53"/>
    </row>
    <row r="29" spans="1:63" ht="15" customHeight="1" x14ac:dyDescent="0.25">
      <c r="A29" s="52"/>
      <c r="K29" s="57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58"/>
      <c r="BK29" s="53"/>
    </row>
    <row r="30" spans="1:63" ht="15" customHeight="1" x14ac:dyDescent="0.25">
      <c r="A30" s="52"/>
      <c r="K30" s="57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58"/>
      <c r="BK30" s="53"/>
    </row>
    <row r="31" spans="1:63" ht="15" customHeight="1" x14ac:dyDescent="0.25">
      <c r="A31" s="52"/>
      <c r="K31" s="57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58"/>
      <c r="BK31" s="53"/>
    </row>
    <row r="32" spans="1:63" ht="15" customHeight="1" x14ac:dyDescent="0.25">
      <c r="A32" s="52"/>
      <c r="K32" s="57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58"/>
      <c r="BK32" s="53"/>
    </row>
    <row r="33" spans="1:63" ht="15" customHeight="1" x14ac:dyDescent="0.25">
      <c r="A33" s="52"/>
      <c r="K33" s="57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58"/>
      <c r="BK33" s="53"/>
    </row>
    <row r="34" spans="1:63" ht="15" customHeight="1" x14ac:dyDescent="0.25">
      <c r="A34" s="52"/>
      <c r="K34" s="57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58"/>
      <c r="BK34" s="53"/>
    </row>
    <row r="35" spans="1:63" ht="15" customHeight="1" x14ac:dyDescent="0.25">
      <c r="A35" s="52"/>
      <c r="K35" s="57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58"/>
      <c r="BK35" s="53"/>
    </row>
    <row r="36" spans="1:63" ht="15" customHeight="1" x14ac:dyDescent="0.25">
      <c r="A36" s="52"/>
      <c r="K36" s="57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58"/>
      <c r="BK36" s="53"/>
    </row>
    <row r="37" spans="1:63" ht="15" customHeight="1" thickBot="1" x14ac:dyDescent="0.3">
      <c r="A37" s="52"/>
      <c r="K37" s="61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3"/>
      <c r="BK37" s="53"/>
    </row>
    <row r="38" spans="1:63" ht="15" customHeight="1" thickTop="1" x14ac:dyDescent="0.25">
      <c r="A38" s="52"/>
      <c r="BK38" s="53"/>
    </row>
    <row r="39" spans="1:63" ht="15" customHeight="1" x14ac:dyDescent="0.25">
      <c r="A39" s="52"/>
      <c r="BK39" s="53"/>
    </row>
    <row r="40" spans="1:63" ht="15" customHeight="1" x14ac:dyDescent="0.25">
      <c r="A40" s="52"/>
      <c r="BK40" s="53"/>
    </row>
    <row r="41" spans="1:63" ht="15" customHeight="1" x14ac:dyDescent="0.25">
      <c r="A41" s="52"/>
      <c r="BK41" s="53"/>
    </row>
    <row r="42" spans="1:63" ht="15" customHeight="1" x14ac:dyDescent="0.25">
      <c r="A42" s="52"/>
      <c r="BK42" s="53"/>
    </row>
    <row r="43" spans="1:63" ht="15" customHeight="1" x14ac:dyDescent="0.25">
      <c r="A43" s="52"/>
      <c r="BK43" s="53"/>
    </row>
    <row r="44" spans="1:63" ht="15" customHeight="1" x14ac:dyDescent="0.25">
      <c r="A44" s="52"/>
      <c r="Q44" s="93" t="s">
        <v>57</v>
      </c>
      <c r="R44" s="94"/>
      <c r="S44" s="94"/>
      <c r="T44" s="94"/>
      <c r="U44" s="94"/>
      <c r="V44" s="94"/>
      <c r="W44" s="94"/>
      <c r="X44" s="94"/>
      <c r="Y44" s="94"/>
      <c r="Z44" s="95"/>
      <c r="AA44" s="93" t="s">
        <v>58</v>
      </c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5"/>
      <c r="AQ44" s="93" t="s">
        <v>51</v>
      </c>
      <c r="AR44" s="94"/>
      <c r="AS44" s="94"/>
      <c r="AT44" s="94"/>
      <c r="AU44" s="95"/>
      <c r="BK44" s="53"/>
    </row>
    <row r="45" spans="1:63" ht="15" customHeight="1" x14ac:dyDescent="0.25">
      <c r="A45" s="52"/>
      <c r="Q45" s="96"/>
      <c r="R45" s="97"/>
      <c r="S45" s="97"/>
      <c r="T45" s="97"/>
      <c r="U45" s="97"/>
      <c r="V45" s="97"/>
      <c r="W45" s="97"/>
      <c r="X45" s="97"/>
      <c r="Y45" s="97"/>
      <c r="Z45" s="98"/>
      <c r="AA45" s="96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8"/>
      <c r="AQ45" s="96"/>
      <c r="AR45" s="97"/>
      <c r="AS45" s="97"/>
      <c r="AT45" s="97"/>
      <c r="AU45" s="98"/>
      <c r="BK45" s="53"/>
    </row>
    <row r="46" spans="1:63" ht="15" customHeight="1" x14ac:dyDescent="0.25">
      <c r="A46" s="52"/>
      <c r="Q46" s="84"/>
      <c r="R46" s="85"/>
      <c r="S46" s="85"/>
      <c r="T46" s="85"/>
      <c r="U46" s="85"/>
      <c r="V46" s="85"/>
      <c r="W46" s="85"/>
      <c r="X46" s="85"/>
      <c r="Y46" s="85"/>
      <c r="Z46" s="86"/>
      <c r="AA46" s="84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6"/>
      <c r="AQ46" s="84"/>
      <c r="AR46" s="85"/>
      <c r="AS46" s="85"/>
      <c r="AT46" s="85"/>
      <c r="AU46" s="86"/>
      <c r="BK46" s="53"/>
    </row>
    <row r="47" spans="1:63" ht="15" customHeight="1" x14ac:dyDescent="0.25">
      <c r="A47" s="52"/>
      <c r="Q47" s="87"/>
      <c r="R47" s="88"/>
      <c r="S47" s="88"/>
      <c r="T47" s="88"/>
      <c r="U47" s="88"/>
      <c r="V47" s="88"/>
      <c r="W47" s="88"/>
      <c r="X47" s="88"/>
      <c r="Y47" s="88"/>
      <c r="Z47" s="89"/>
      <c r="AA47" s="87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9"/>
      <c r="AQ47" s="87"/>
      <c r="AR47" s="88"/>
      <c r="AS47" s="88"/>
      <c r="AT47" s="88"/>
      <c r="AU47" s="89"/>
      <c r="BK47" s="53"/>
    </row>
    <row r="48" spans="1:63" ht="15" customHeight="1" x14ac:dyDescent="0.25">
      <c r="A48" s="52"/>
      <c r="Q48" s="87"/>
      <c r="R48" s="88"/>
      <c r="S48" s="88"/>
      <c r="T48" s="88"/>
      <c r="U48" s="88"/>
      <c r="V48" s="88"/>
      <c r="W48" s="88"/>
      <c r="X48" s="88"/>
      <c r="Y48" s="88"/>
      <c r="Z48" s="89"/>
      <c r="AA48" s="87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9"/>
      <c r="AQ48" s="87"/>
      <c r="AR48" s="88"/>
      <c r="AS48" s="88"/>
      <c r="AT48" s="88"/>
      <c r="AU48" s="89"/>
      <c r="BK48" s="53"/>
    </row>
    <row r="49" spans="1:63" ht="15" customHeight="1" x14ac:dyDescent="0.25">
      <c r="A49" s="52"/>
      <c r="Q49" s="90"/>
      <c r="R49" s="91"/>
      <c r="S49" s="91"/>
      <c r="T49" s="91"/>
      <c r="U49" s="91"/>
      <c r="V49" s="91"/>
      <c r="W49" s="91"/>
      <c r="X49" s="91"/>
      <c r="Y49" s="91"/>
      <c r="Z49" s="92"/>
      <c r="AA49" s="90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2"/>
      <c r="AQ49" s="90"/>
      <c r="AR49" s="91"/>
      <c r="AS49" s="91"/>
      <c r="AT49" s="91"/>
      <c r="AU49" s="92"/>
      <c r="BK49" s="53"/>
    </row>
    <row r="50" spans="1:63" ht="15" customHeight="1" x14ac:dyDescent="0.25">
      <c r="A50" s="52"/>
      <c r="BK50" s="53"/>
    </row>
    <row r="51" spans="1:63" ht="15" customHeight="1" x14ac:dyDescent="0.25">
      <c r="A51" s="52"/>
      <c r="BK51" s="53"/>
    </row>
    <row r="52" spans="1:63" ht="15" customHeight="1" x14ac:dyDescent="0.25">
      <c r="A52" s="52"/>
      <c r="BK52" s="53"/>
    </row>
    <row r="53" spans="1:63" ht="15" customHeight="1" x14ac:dyDescent="0.25">
      <c r="A53" s="52"/>
      <c r="BK53" s="53"/>
    </row>
    <row r="54" spans="1:63" ht="15" customHeight="1" x14ac:dyDescent="0.25">
      <c r="A54" s="52"/>
      <c r="BK54" s="53"/>
    </row>
    <row r="55" spans="1:63" ht="15" customHeight="1" x14ac:dyDescent="0.25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1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8" customWidth="1"/>
    <col min="61" max="16384" width="2.77734375" style="48"/>
  </cols>
  <sheetData>
    <row r="1" spans="1:63" ht="24.95" customHeight="1" x14ac:dyDescent="0.25">
      <c r="A1" s="99" t="s">
        <v>44</v>
      </c>
      <c r="B1" s="100"/>
      <c r="C1" s="100"/>
      <c r="D1" s="100"/>
      <c r="E1" s="100"/>
      <c r="F1" s="100"/>
      <c r="G1" s="100"/>
      <c r="H1" s="100"/>
      <c r="I1" s="100"/>
      <c r="J1" s="101"/>
      <c r="K1" s="99" t="s">
        <v>45</v>
      </c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1"/>
      <c r="W1" s="169" t="str">
        <f>IF(表紙!W1="","",表紙!W1)</f>
        <v>詳細設計書</v>
      </c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3"/>
      <c r="AP1" s="99" t="s">
        <v>47</v>
      </c>
      <c r="AQ1" s="100"/>
      <c r="AR1" s="100"/>
      <c r="AS1" s="101"/>
      <c r="AT1" s="99" t="s">
        <v>48</v>
      </c>
      <c r="AU1" s="100"/>
      <c r="AV1" s="100"/>
      <c r="AW1" s="100"/>
      <c r="AX1" s="101"/>
      <c r="AY1" s="99" t="s">
        <v>49</v>
      </c>
      <c r="AZ1" s="100"/>
      <c r="BA1" s="100"/>
      <c r="BB1" s="101"/>
      <c r="BC1" s="99" t="s">
        <v>50</v>
      </c>
      <c r="BD1" s="100"/>
      <c r="BE1" s="100"/>
      <c r="BF1" s="100"/>
      <c r="BG1" s="101"/>
      <c r="BH1" s="99" t="s">
        <v>51</v>
      </c>
      <c r="BI1" s="100"/>
      <c r="BJ1" s="100"/>
      <c r="BK1" s="101"/>
    </row>
    <row r="2" spans="1:63" ht="15" customHeight="1" x14ac:dyDescent="0.25">
      <c r="A2" s="84" t="str">
        <f>IF(表紙!A2="","",表紙!A2)</f>
        <v>POSサーバー</v>
      </c>
      <c r="B2" s="85"/>
      <c r="C2" s="85"/>
      <c r="D2" s="85"/>
      <c r="E2" s="85"/>
      <c r="F2" s="85"/>
      <c r="G2" s="85"/>
      <c r="H2" s="85"/>
      <c r="I2" s="85"/>
      <c r="J2" s="86"/>
      <c r="K2" s="84" t="str">
        <f>IF(表紙!K2="","",表紙!K2)</f>
        <v>POSサーバー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124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6"/>
      <c r="AP2" s="84" t="str">
        <f>IF(表紙!AP2="","",表紙!AP2)</f>
        <v>DuNT</v>
      </c>
      <c r="AQ2" s="85"/>
      <c r="AR2" s="85"/>
      <c r="AS2" s="86"/>
      <c r="AT2" s="114">
        <f>IF(表紙!AT2="","",表紙!AT2)</f>
        <v>45516</v>
      </c>
      <c r="AU2" s="115"/>
      <c r="AV2" s="115"/>
      <c r="AW2" s="115"/>
      <c r="AX2" s="116"/>
      <c r="AY2" s="84" t="str">
        <f>IF(表紙!AY2="","",表紙!AY2)</f>
        <v>LoiLV</v>
      </c>
      <c r="AZ2" s="85"/>
      <c r="BA2" s="85"/>
      <c r="BB2" s="86"/>
      <c r="BC2" s="114">
        <f>IF(表紙!BC2="","",表紙!BC2)</f>
        <v>45964</v>
      </c>
      <c r="BD2" s="115"/>
      <c r="BE2" s="115"/>
      <c r="BF2" s="115"/>
      <c r="BG2" s="116"/>
      <c r="BH2" s="84">
        <f>IF(表紙!BH2="","",表紙!BH2)</f>
        <v>0.12</v>
      </c>
      <c r="BI2" s="85"/>
      <c r="BJ2" s="85"/>
      <c r="BK2" s="86"/>
    </row>
    <row r="3" spans="1:63" ht="15" customHeight="1" x14ac:dyDescent="0.25">
      <c r="A3" s="90"/>
      <c r="B3" s="91"/>
      <c r="C3" s="91"/>
      <c r="D3" s="91"/>
      <c r="E3" s="91"/>
      <c r="F3" s="91"/>
      <c r="G3" s="91"/>
      <c r="H3" s="91"/>
      <c r="I3" s="91"/>
      <c r="J3" s="92"/>
      <c r="K3" s="90"/>
      <c r="L3" s="91"/>
      <c r="M3" s="91"/>
      <c r="N3" s="91"/>
      <c r="O3" s="91"/>
      <c r="P3" s="91"/>
      <c r="Q3" s="91"/>
      <c r="R3" s="91"/>
      <c r="S3" s="91"/>
      <c r="T3" s="91"/>
      <c r="U3" s="91"/>
      <c r="V3" s="92"/>
      <c r="W3" s="127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9"/>
      <c r="AP3" s="90"/>
      <c r="AQ3" s="91"/>
      <c r="AR3" s="91"/>
      <c r="AS3" s="92"/>
      <c r="AT3" s="117"/>
      <c r="AU3" s="118"/>
      <c r="AV3" s="118"/>
      <c r="AW3" s="118"/>
      <c r="AX3" s="119"/>
      <c r="AY3" s="90"/>
      <c r="AZ3" s="91"/>
      <c r="BA3" s="91"/>
      <c r="BB3" s="92"/>
      <c r="BC3" s="117"/>
      <c r="BD3" s="118"/>
      <c r="BE3" s="118"/>
      <c r="BF3" s="118"/>
      <c r="BG3" s="119"/>
      <c r="BH3" s="90"/>
      <c r="BI3" s="91"/>
      <c r="BJ3" s="91"/>
      <c r="BK3" s="92"/>
    </row>
    <row r="4" spans="1:63" ht="24.95" customHeight="1" x14ac:dyDescent="0.25">
      <c r="A4" s="99" t="s">
        <v>53</v>
      </c>
      <c r="B4" s="100"/>
      <c r="C4" s="100"/>
      <c r="D4" s="100"/>
      <c r="E4" s="100"/>
      <c r="F4" s="100"/>
      <c r="G4" s="101"/>
      <c r="H4" s="104" t="str">
        <f>IF(表紙!H4="","",表紙!H4)</f>
        <v>AP1504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9" t="s">
        <v>54</v>
      </c>
      <c r="V4" s="100"/>
      <c r="W4" s="100"/>
      <c r="X4" s="100"/>
      <c r="Y4" s="101"/>
      <c r="Z4" s="104" t="str">
        <f>IF(表紙!Z4="","",表紙!Z4)</f>
        <v>API設計書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6"/>
      <c r="AP4" s="104" t="str">
        <f t="array" aca="1" ref="AP4" ca="1">RIGHT(CELL("filename",$A$1),LEN(CELL("filename",$A$1))-FIND("]",CELL("filename",$A$1)))</f>
        <v>改訂履歴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6"/>
    </row>
    <row r="5" spans="1:63" ht="5.0999999999999996" customHeight="1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1"/>
    </row>
    <row r="6" spans="1:63" ht="15" customHeight="1" x14ac:dyDescent="0.25">
      <c r="A6" s="52"/>
      <c r="BK6" s="53"/>
    </row>
    <row r="7" spans="1:63" ht="15" customHeight="1" x14ac:dyDescent="0.25">
      <c r="A7" s="52"/>
      <c r="BK7" s="53"/>
    </row>
    <row r="8" spans="1:63" ht="15" customHeight="1" x14ac:dyDescent="0.25">
      <c r="A8" s="52"/>
      <c r="B8" s="48" t="s">
        <v>0</v>
      </c>
      <c r="BK8" s="53"/>
    </row>
    <row r="9" spans="1:63" ht="15" customHeight="1" x14ac:dyDescent="0.25">
      <c r="A9" s="52"/>
      <c r="BK9" s="53"/>
    </row>
    <row r="10" spans="1:63" ht="15" customHeight="1" x14ac:dyDescent="0.25">
      <c r="A10" s="52"/>
      <c r="B10" s="142" t="s">
        <v>50</v>
      </c>
      <c r="C10" s="142"/>
      <c r="D10" s="142"/>
      <c r="E10" s="142"/>
      <c r="F10" s="142"/>
      <c r="G10" s="142"/>
      <c r="H10" s="142" t="s">
        <v>49</v>
      </c>
      <c r="I10" s="142"/>
      <c r="J10" s="142"/>
      <c r="K10" s="142"/>
      <c r="L10" s="142"/>
      <c r="M10" s="142"/>
      <c r="N10" s="142"/>
      <c r="O10" s="142" t="s">
        <v>51</v>
      </c>
      <c r="P10" s="142"/>
      <c r="Q10" s="142"/>
      <c r="R10" s="142"/>
      <c r="S10" s="142" t="s">
        <v>59</v>
      </c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 t="s">
        <v>57</v>
      </c>
      <c r="AY10" s="142"/>
      <c r="AZ10" s="142"/>
      <c r="BA10" s="142"/>
      <c r="BB10" s="142"/>
      <c r="BC10" s="142"/>
      <c r="BD10" s="142" t="s">
        <v>58</v>
      </c>
      <c r="BE10" s="142"/>
      <c r="BF10" s="142"/>
      <c r="BG10" s="142"/>
      <c r="BH10" s="142"/>
      <c r="BI10" s="142"/>
      <c r="BJ10" s="142"/>
      <c r="BK10" s="53"/>
    </row>
    <row r="11" spans="1:63" ht="15" customHeight="1" x14ac:dyDescent="0.25">
      <c r="A11" s="52"/>
      <c r="B11" s="114">
        <v>45516</v>
      </c>
      <c r="C11" s="85"/>
      <c r="D11" s="85"/>
      <c r="E11" s="85"/>
      <c r="F11" s="85"/>
      <c r="G11" s="86"/>
      <c r="H11" s="120" t="s">
        <v>60</v>
      </c>
      <c r="I11" s="85"/>
      <c r="J11" s="85"/>
      <c r="K11" s="85"/>
      <c r="L11" s="85"/>
      <c r="M11" s="85"/>
      <c r="N11" s="86"/>
      <c r="O11" s="84">
        <v>0.1</v>
      </c>
      <c r="P11" s="85"/>
      <c r="Q11" s="85"/>
      <c r="R11" s="85"/>
      <c r="S11" s="130" t="s">
        <v>2</v>
      </c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2"/>
      <c r="AX11" s="133"/>
      <c r="AY11" s="133"/>
      <c r="AZ11" s="133"/>
      <c r="BA11" s="133"/>
      <c r="BB11" s="133"/>
      <c r="BC11" s="134"/>
      <c r="BD11" s="137"/>
      <c r="BE11" s="133"/>
      <c r="BF11" s="133"/>
      <c r="BG11" s="133"/>
      <c r="BH11" s="133"/>
      <c r="BI11" s="133"/>
      <c r="BJ11" s="134"/>
      <c r="BK11" s="53"/>
    </row>
    <row r="12" spans="1:63" ht="15" customHeight="1" x14ac:dyDescent="0.25">
      <c r="A12" s="52"/>
      <c r="B12" s="90"/>
      <c r="C12" s="91"/>
      <c r="D12" s="91"/>
      <c r="E12" s="91"/>
      <c r="F12" s="91"/>
      <c r="G12" s="92"/>
      <c r="H12" s="90"/>
      <c r="I12" s="91"/>
      <c r="J12" s="91"/>
      <c r="K12" s="91"/>
      <c r="L12" s="91"/>
      <c r="M12" s="91"/>
      <c r="N12" s="92"/>
      <c r="O12" s="90"/>
      <c r="P12" s="91"/>
      <c r="Q12" s="91"/>
      <c r="R12" s="91"/>
      <c r="S12" s="139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1"/>
      <c r="AX12" s="135"/>
      <c r="AY12" s="135"/>
      <c r="AZ12" s="135"/>
      <c r="BA12" s="135"/>
      <c r="BB12" s="135"/>
      <c r="BC12" s="136"/>
      <c r="BD12" s="138"/>
      <c r="BE12" s="135"/>
      <c r="BF12" s="135"/>
      <c r="BG12" s="135"/>
      <c r="BH12" s="135"/>
      <c r="BI12" s="135"/>
      <c r="BJ12" s="136"/>
      <c r="BK12" s="53"/>
    </row>
    <row r="13" spans="1:63" ht="15" customHeight="1" x14ac:dyDescent="0.25">
      <c r="A13" s="52"/>
      <c r="B13" s="159">
        <v>45607</v>
      </c>
      <c r="C13" s="160"/>
      <c r="D13" s="160"/>
      <c r="E13" s="160"/>
      <c r="F13" s="160"/>
      <c r="G13" s="161"/>
      <c r="H13" s="165" t="s">
        <v>60</v>
      </c>
      <c r="I13" s="160"/>
      <c r="J13" s="160"/>
      <c r="K13" s="160"/>
      <c r="L13" s="160"/>
      <c r="M13" s="160"/>
      <c r="N13" s="161"/>
      <c r="O13" s="165">
        <v>0.11</v>
      </c>
      <c r="P13" s="160"/>
      <c r="Q13" s="160"/>
      <c r="R13" s="160"/>
      <c r="S13" s="166" t="s">
        <v>61</v>
      </c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8"/>
      <c r="AX13" s="133"/>
      <c r="AY13" s="133"/>
      <c r="AZ13" s="133"/>
      <c r="BA13" s="133"/>
      <c r="BB13" s="133"/>
      <c r="BC13" s="134"/>
      <c r="BD13" s="137"/>
      <c r="BE13" s="133"/>
      <c r="BF13" s="133"/>
      <c r="BG13" s="133"/>
      <c r="BH13" s="133"/>
      <c r="BI13" s="133"/>
      <c r="BJ13" s="134"/>
      <c r="BK13" s="53"/>
    </row>
    <row r="14" spans="1:63" ht="15" customHeight="1" x14ac:dyDescent="0.25">
      <c r="A14" s="52"/>
      <c r="B14" s="162"/>
      <c r="C14" s="163"/>
      <c r="D14" s="163"/>
      <c r="E14" s="163"/>
      <c r="F14" s="163"/>
      <c r="G14" s="164"/>
      <c r="H14" s="162"/>
      <c r="I14" s="163"/>
      <c r="J14" s="163"/>
      <c r="K14" s="163"/>
      <c r="L14" s="163"/>
      <c r="M14" s="163"/>
      <c r="N14" s="164"/>
      <c r="O14" s="162"/>
      <c r="P14" s="163"/>
      <c r="Q14" s="163"/>
      <c r="R14" s="163"/>
      <c r="S14" s="143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5"/>
      <c r="AX14" s="135"/>
      <c r="AY14" s="135"/>
      <c r="AZ14" s="135"/>
      <c r="BA14" s="135"/>
      <c r="BB14" s="135"/>
      <c r="BC14" s="136"/>
      <c r="BD14" s="138"/>
      <c r="BE14" s="135"/>
      <c r="BF14" s="135"/>
      <c r="BG14" s="135"/>
      <c r="BH14" s="135"/>
      <c r="BI14" s="135"/>
      <c r="BJ14" s="136"/>
      <c r="BK14" s="53"/>
    </row>
    <row r="15" spans="1:63" ht="15" customHeight="1" x14ac:dyDescent="0.25">
      <c r="A15" s="52"/>
      <c r="B15" s="146">
        <v>45964</v>
      </c>
      <c r="C15" s="147"/>
      <c r="D15" s="147"/>
      <c r="E15" s="147"/>
      <c r="F15" s="147"/>
      <c r="G15" s="148"/>
      <c r="H15" s="152" t="s">
        <v>62</v>
      </c>
      <c r="I15" s="147"/>
      <c r="J15" s="147"/>
      <c r="K15" s="147"/>
      <c r="L15" s="147"/>
      <c r="M15" s="147"/>
      <c r="N15" s="148"/>
      <c r="O15" s="152">
        <v>0.12</v>
      </c>
      <c r="P15" s="147"/>
      <c r="Q15" s="147"/>
      <c r="R15" s="147"/>
      <c r="S15" s="153" t="s">
        <v>63</v>
      </c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5"/>
      <c r="AX15" s="133"/>
      <c r="AY15" s="133"/>
      <c r="AZ15" s="133"/>
      <c r="BA15" s="133"/>
      <c r="BB15" s="133"/>
      <c r="BC15" s="134"/>
      <c r="BD15" s="137"/>
      <c r="BE15" s="133"/>
      <c r="BF15" s="133"/>
      <c r="BG15" s="133"/>
      <c r="BH15" s="133"/>
      <c r="BI15" s="133"/>
      <c r="BJ15" s="134"/>
      <c r="BK15" s="53"/>
    </row>
    <row r="16" spans="1:63" ht="15" customHeight="1" x14ac:dyDescent="0.25">
      <c r="A16" s="52"/>
      <c r="B16" s="149"/>
      <c r="C16" s="150"/>
      <c r="D16" s="150"/>
      <c r="E16" s="150"/>
      <c r="F16" s="150"/>
      <c r="G16" s="151"/>
      <c r="H16" s="149"/>
      <c r="I16" s="150"/>
      <c r="J16" s="150"/>
      <c r="K16" s="150"/>
      <c r="L16" s="150"/>
      <c r="M16" s="150"/>
      <c r="N16" s="151"/>
      <c r="O16" s="149"/>
      <c r="P16" s="150"/>
      <c r="Q16" s="150"/>
      <c r="R16" s="150"/>
      <c r="S16" s="156" t="s">
        <v>64</v>
      </c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8"/>
      <c r="AX16" s="135"/>
      <c r="AY16" s="135"/>
      <c r="AZ16" s="135"/>
      <c r="BA16" s="135"/>
      <c r="BB16" s="135"/>
      <c r="BC16" s="136"/>
      <c r="BD16" s="138"/>
      <c r="BE16" s="135"/>
      <c r="BF16" s="135"/>
      <c r="BG16" s="135"/>
      <c r="BH16" s="135"/>
      <c r="BI16" s="135"/>
      <c r="BJ16" s="136"/>
      <c r="BK16" s="53"/>
    </row>
    <row r="17" spans="1:63" ht="15" customHeight="1" x14ac:dyDescent="0.25">
      <c r="A17" s="52"/>
      <c r="B17" s="84"/>
      <c r="C17" s="85"/>
      <c r="D17" s="85"/>
      <c r="E17" s="85"/>
      <c r="F17" s="85"/>
      <c r="G17" s="86"/>
      <c r="H17" s="84"/>
      <c r="I17" s="85"/>
      <c r="J17" s="85"/>
      <c r="K17" s="85"/>
      <c r="L17" s="85"/>
      <c r="M17" s="85"/>
      <c r="N17" s="86"/>
      <c r="O17" s="84"/>
      <c r="P17" s="85"/>
      <c r="Q17" s="85"/>
      <c r="R17" s="85"/>
      <c r="S17" s="130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2"/>
      <c r="AX17" s="133"/>
      <c r="AY17" s="133"/>
      <c r="AZ17" s="133"/>
      <c r="BA17" s="133"/>
      <c r="BB17" s="133"/>
      <c r="BC17" s="134"/>
      <c r="BD17" s="137"/>
      <c r="BE17" s="133"/>
      <c r="BF17" s="133"/>
      <c r="BG17" s="133"/>
      <c r="BH17" s="133"/>
      <c r="BI17" s="133"/>
      <c r="BJ17" s="134"/>
      <c r="BK17" s="53"/>
    </row>
    <row r="18" spans="1:63" ht="15" customHeight="1" x14ac:dyDescent="0.25">
      <c r="A18" s="52"/>
      <c r="B18" s="90"/>
      <c r="C18" s="91"/>
      <c r="D18" s="91"/>
      <c r="E18" s="91"/>
      <c r="F18" s="91"/>
      <c r="G18" s="92"/>
      <c r="H18" s="90"/>
      <c r="I18" s="91"/>
      <c r="J18" s="91"/>
      <c r="K18" s="91"/>
      <c r="L18" s="91"/>
      <c r="M18" s="91"/>
      <c r="N18" s="92"/>
      <c r="O18" s="90"/>
      <c r="P18" s="91"/>
      <c r="Q18" s="91"/>
      <c r="R18" s="91"/>
      <c r="S18" s="139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1"/>
      <c r="AX18" s="135"/>
      <c r="AY18" s="135"/>
      <c r="AZ18" s="135"/>
      <c r="BA18" s="135"/>
      <c r="BB18" s="135"/>
      <c r="BC18" s="136"/>
      <c r="BD18" s="138"/>
      <c r="BE18" s="135"/>
      <c r="BF18" s="135"/>
      <c r="BG18" s="135"/>
      <c r="BH18" s="135"/>
      <c r="BI18" s="135"/>
      <c r="BJ18" s="136"/>
      <c r="BK18" s="53"/>
    </row>
    <row r="19" spans="1:63" ht="15" customHeight="1" x14ac:dyDescent="0.25">
      <c r="A19" s="52"/>
      <c r="B19" s="84"/>
      <c r="C19" s="85"/>
      <c r="D19" s="85"/>
      <c r="E19" s="85"/>
      <c r="F19" s="85"/>
      <c r="G19" s="86"/>
      <c r="H19" s="84"/>
      <c r="I19" s="85"/>
      <c r="J19" s="85"/>
      <c r="K19" s="85"/>
      <c r="L19" s="85"/>
      <c r="M19" s="85"/>
      <c r="N19" s="86"/>
      <c r="O19" s="84"/>
      <c r="P19" s="85"/>
      <c r="Q19" s="85"/>
      <c r="R19" s="85"/>
      <c r="S19" s="130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2"/>
      <c r="AX19" s="133"/>
      <c r="AY19" s="133"/>
      <c r="AZ19" s="133"/>
      <c r="BA19" s="133"/>
      <c r="BB19" s="133"/>
      <c r="BC19" s="134"/>
      <c r="BD19" s="137"/>
      <c r="BE19" s="133"/>
      <c r="BF19" s="133"/>
      <c r="BG19" s="133"/>
      <c r="BH19" s="133"/>
      <c r="BI19" s="133"/>
      <c r="BJ19" s="134"/>
      <c r="BK19" s="53"/>
    </row>
    <row r="20" spans="1:63" ht="15" customHeight="1" x14ac:dyDescent="0.25">
      <c r="A20" s="52"/>
      <c r="B20" s="90"/>
      <c r="C20" s="91"/>
      <c r="D20" s="91"/>
      <c r="E20" s="91"/>
      <c r="F20" s="91"/>
      <c r="G20" s="92"/>
      <c r="H20" s="90"/>
      <c r="I20" s="91"/>
      <c r="J20" s="91"/>
      <c r="K20" s="91"/>
      <c r="L20" s="91"/>
      <c r="M20" s="91"/>
      <c r="N20" s="92"/>
      <c r="O20" s="90"/>
      <c r="P20" s="91"/>
      <c r="Q20" s="91"/>
      <c r="R20" s="91"/>
      <c r="S20" s="139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1"/>
      <c r="AX20" s="135"/>
      <c r="AY20" s="135"/>
      <c r="AZ20" s="135"/>
      <c r="BA20" s="135"/>
      <c r="BB20" s="135"/>
      <c r="BC20" s="136"/>
      <c r="BD20" s="138"/>
      <c r="BE20" s="135"/>
      <c r="BF20" s="135"/>
      <c r="BG20" s="135"/>
      <c r="BH20" s="135"/>
      <c r="BI20" s="135"/>
      <c r="BJ20" s="136"/>
      <c r="BK20" s="53"/>
    </row>
    <row r="21" spans="1:63" ht="15" customHeight="1" x14ac:dyDescent="0.25">
      <c r="A21" s="52"/>
      <c r="B21" s="84"/>
      <c r="C21" s="85"/>
      <c r="D21" s="85"/>
      <c r="E21" s="85"/>
      <c r="F21" s="85"/>
      <c r="G21" s="86"/>
      <c r="H21" s="84"/>
      <c r="I21" s="85"/>
      <c r="J21" s="85"/>
      <c r="K21" s="85"/>
      <c r="L21" s="85"/>
      <c r="M21" s="85"/>
      <c r="N21" s="86"/>
      <c r="O21" s="84"/>
      <c r="P21" s="85"/>
      <c r="Q21" s="85"/>
      <c r="R21" s="85"/>
      <c r="S21" s="130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2"/>
      <c r="AX21" s="133"/>
      <c r="AY21" s="133"/>
      <c r="AZ21" s="133"/>
      <c r="BA21" s="133"/>
      <c r="BB21" s="133"/>
      <c r="BC21" s="134"/>
      <c r="BD21" s="137"/>
      <c r="BE21" s="133"/>
      <c r="BF21" s="133"/>
      <c r="BG21" s="133"/>
      <c r="BH21" s="133"/>
      <c r="BI21" s="133"/>
      <c r="BJ21" s="134"/>
      <c r="BK21" s="53"/>
    </row>
    <row r="22" spans="1:63" ht="15" customHeight="1" x14ac:dyDescent="0.25">
      <c r="A22" s="52"/>
      <c r="B22" s="90"/>
      <c r="C22" s="91"/>
      <c r="D22" s="91"/>
      <c r="E22" s="91"/>
      <c r="F22" s="91"/>
      <c r="G22" s="92"/>
      <c r="H22" s="90"/>
      <c r="I22" s="91"/>
      <c r="J22" s="91"/>
      <c r="K22" s="91"/>
      <c r="L22" s="91"/>
      <c r="M22" s="91"/>
      <c r="N22" s="92"/>
      <c r="O22" s="90"/>
      <c r="P22" s="91"/>
      <c r="Q22" s="91"/>
      <c r="R22" s="91"/>
      <c r="S22" s="139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1"/>
      <c r="AX22" s="135"/>
      <c r="AY22" s="135"/>
      <c r="AZ22" s="135"/>
      <c r="BA22" s="135"/>
      <c r="BB22" s="135"/>
      <c r="BC22" s="136"/>
      <c r="BD22" s="138"/>
      <c r="BE22" s="135"/>
      <c r="BF22" s="135"/>
      <c r="BG22" s="135"/>
      <c r="BH22" s="135"/>
      <c r="BI22" s="135"/>
      <c r="BJ22" s="136"/>
      <c r="BK22" s="53"/>
    </row>
    <row r="23" spans="1:63" ht="15" customHeight="1" x14ac:dyDescent="0.25">
      <c r="A23" s="52"/>
      <c r="B23" s="84"/>
      <c r="C23" s="85"/>
      <c r="D23" s="85"/>
      <c r="E23" s="85"/>
      <c r="F23" s="85"/>
      <c r="G23" s="86"/>
      <c r="H23" s="84"/>
      <c r="I23" s="85"/>
      <c r="J23" s="85"/>
      <c r="K23" s="85"/>
      <c r="L23" s="85"/>
      <c r="M23" s="85"/>
      <c r="N23" s="86"/>
      <c r="O23" s="84"/>
      <c r="P23" s="85"/>
      <c r="Q23" s="85"/>
      <c r="R23" s="85"/>
      <c r="S23" s="130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2"/>
      <c r="AX23" s="133"/>
      <c r="AY23" s="133"/>
      <c r="AZ23" s="133"/>
      <c r="BA23" s="133"/>
      <c r="BB23" s="133"/>
      <c r="BC23" s="134"/>
      <c r="BD23" s="137"/>
      <c r="BE23" s="133"/>
      <c r="BF23" s="133"/>
      <c r="BG23" s="133"/>
      <c r="BH23" s="133"/>
      <c r="BI23" s="133"/>
      <c r="BJ23" s="134"/>
      <c r="BK23" s="53"/>
    </row>
    <row r="24" spans="1:63" ht="15" customHeight="1" x14ac:dyDescent="0.25">
      <c r="A24" s="52"/>
      <c r="B24" s="90"/>
      <c r="C24" s="91"/>
      <c r="D24" s="91"/>
      <c r="E24" s="91"/>
      <c r="F24" s="91"/>
      <c r="G24" s="92"/>
      <c r="H24" s="90"/>
      <c r="I24" s="91"/>
      <c r="J24" s="91"/>
      <c r="K24" s="91"/>
      <c r="L24" s="91"/>
      <c r="M24" s="91"/>
      <c r="N24" s="92"/>
      <c r="O24" s="90"/>
      <c r="P24" s="91"/>
      <c r="Q24" s="91"/>
      <c r="R24" s="91"/>
      <c r="S24" s="139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1"/>
      <c r="AX24" s="135"/>
      <c r="AY24" s="135"/>
      <c r="AZ24" s="135"/>
      <c r="BA24" s="135"/>
      <c r="BB24" s="135"/>
      <c r="BC24" s="136"/>
      <c r="BD24" s="138"/>
      <c r="BE24" s="135"/>
      <c r="BF24" s="135"/>
      <c r="BG24" s="135"/>
      <c r="BH24" s="135"/>
      <c r="BI24" s="135"/>
      <c r="BJ24" s="136"/>
      <c r="BK24" s="53"/>
    </row>
    <row r="25" spans="1:63" ht="15" customHeight="1" x14ac:dyDescent="0.25">
      <c r="A25" s="52"/>
      <c r="B25" s="84"/>
      <c r="C25" s="85"/>
      <c r="D25" s="85"/>
      <c r="E25" s="85"/>
      <c r="F25" s="85"/>
      <c r="G25" s="86"/>
      <c r="H25" s="84"/>
      <c r="I25" s="85"/>
      <c r="J25" s="85"/>
      <c r="K25" s="85"/>
      <c r="L25" s="85"/>
      <c r="M25" s="85"/>
      <c r="N25" s="86"/>
      <c r="O25" s="84"/>
      <c r="P25" s="85"/>
      <c r="Q25" s="85"/>
      <c r="R25" s="85"/>
      <c r="S25" s="130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2"/>
      <c r="AX25" s="133"/>
      <c r="AY25" s="133"/>
      <c r="AZ25" s="133"/>
      <c r="BA25" s="133"/>
      <c r="BB25" s="133"/>
      <c r="BC25" s="134"/>
      <c r="BD25" s="137"/>
      <c r="BE25" s="133"/>
      <c r="BF25" s="133"/>
      <c r="BG25" s="133"/>
      <c r="BH25" s="133"/>
      <c r="BI25" s="133"/>
      <c r="BJ25" s="134"/>
      <c r="BK25" s="53"/>
    </row>
    <row r="26" spans="1:63" ht="15" customHeight="1" x14ac:dyDescent="0.25">
      <c r="A26" s="52"/>
      <c r="B26" s="90"/>
      <c r="C26" s="91"/>
      <c r="D26" s="91"/>
      <c r="E26" s="91"/>
      <c r="F26" s="91"/>
      <c r="G26" s="92"/>
      <c r="H26" s="90"/>
      <c r="I26" s="91"/>
      <c r="J26" s="91"/>
      <c r="K26" s="91"/>
      <c r="L26" s="91"/>
      <c r="M26" s="91"/>
      <c r="N26" s="92"/>
      <c r="O26" s="90"/>
      <c r="P26" s="91"/>
      <c r="Q26" s="91"/>
      <c r="R26" s="91"/>
      <c r="S26" s="139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1"/>
      <c r="AX26" s="135"/>
      <c r="AY26" s="135"/>
      <c r="AZ26" s="135"/>
      <c r="BA26" s="135"/>
      <c r="BB26" s="135"/>
      <c r="BC26" s="136"/>
      <c r="BD26" s="138"/>
      <c r="BE26" s="135"/>
      <c r="BF26" s="135"/>
      <c r="BG26" s="135"/>
      <c r="BH26" s="135"/>
      <c r="BI26" s="135"/>
      <c r="BJ26" s="136"/>
      <c r="BK26" s="53"/>
    </row>
    <row r="27" spans="1:63" ht="15" customHeight="1" x14ac:dyDescent="0.25">
      <c r="A27" s="52"/>
      <c r="B27" s="84"/>
      <c r="C27" s="85"/>
      <c r="D27" s="85"/>
      <c r="E27" s="85"/>
      <c r="F27" s="85"/>
      <c r="G27" s="86"/>
      <c r="H27" s="84"/>
      <c r="I27" s="85"/>
      <c r="J27" s="85"/>
      <c r="K27" s="85"/>
      <c r="L27" s="85"/>
      <c r="M27" s="85"/>
      <c r="N27" s="86"/>
      <c r="O27" s="84"/>
      <c r="P27" s="85"/>
      <c r="Q27" s="85"/>
      <c r="R27" s="85"/>
      <c r="S27" s="130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2"/>
      <c r="AX27" s="133"/>
      <c r="AY27" s="133"/>
      <c r="AZ27" s="133"/>
      <c r="BA27" s="133"/>
      <c r="BB27" s="133"/>
      <c r="BC27" s="134"/>
      <c r="BD27" s="137"/>
      <c r="BE27" s="133"/>
      <c r="BF27" s="133"/>
      <c r="BG27" s="133"/>
      <c r="BH27" s="133"/>
      <c r="BI27" s="133"/>
      <c r="BJ27" s="134"/>
      <c r="BK27" s="53"/>
    </row>
    <row r="28" spans="1:63" ht="15" customHeight="1" x14ac:dyDescent="0.25">
      <c r="A28" s="52"/>
      <c r="B28" s="90"/>
      <c r="C28" s="91"/>
      <c r="D28" s="91"/>
      <c r="E28" s="91"/>
      <c r="F28" s="91"/>
      <c r="G28" s="92"/>
      <c r="H28" s="90"/>
      <c r="I28" s="91"/>
      <c r="J28" s="91"/>
      <c r="K28" s="91"/>
      <c r="L28" s="91"/>
      <c r="M28" s="91"/>
      <c r="N28" s="92"/>
      <c r="O28" s="90"/>
      <c r="P28" s="91"/>
      <c r="Q28" s="91"/>
      <c r="R28" s="91"/>
      <c r="S28" s="139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1"/>
      <c r="AX28" s="135"/>
      <c r="AY28" s="135"/>
      <c r="AZ28" s="135"/>
      <c r="BA28" s="135"/>
      <c r="BB28" s="135"/>
      <c r="BC28" s="136"/>
      <c r="BD28" s="138"/>
      <c r="BE28" s="135"/>
      <c r="BF28" s="135"/>
      <c r="BG28" s="135"/>
      <c r="BH28" s="135"/>
      <c r="BI28" s="135"/>
      <c r="BJ28" s="136"/>
      <c r="BK28" s="53"/>
    </row>
    <row r="29" spans="1:63" ht="15" customHeight="1" x14ac:dyDescent="0.25">
      <c r="A29" s="52"/>
      <c r="B29" s="84"/>
      <c r="C29" s="85"/>
      <c r="D29" s="85"/>
      <c r="E29" s="85"/>
      <c r="F29" s="85"/>
      <c r="G29" s="86"/>
      <c r="H29" s="84"/>
      <c r="I29" s="85"/>
      <c r="J29" s="85"/>
      <c r="K29" s="85"/>
      <c r="L29" s="85"/>
      <c r="M29" s="85"/>
      <c r="N29" s="86"/>
      <c r="O29" s="84"/>
      <c r="P29" s="85"/>
      <c r="Q29" s="85"/>
      <c r="R29" s="85"/>
      <c r="S29" s="130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2"/>
      <c r="AX29" s="133"/>
      <c r="AY29" s="133"/>
      <c r="AZ29" s="133"/>
      <c r="BA29" s="133"/>
      <c r="BB29" s="133"/>
      <c r="BC29" s="134"/>
      <c r="BD29" s="137"/>
      <c r="BE29" s="133"/>
      <c r="BF29" s="133"/>
      <c r="BG29" s="133"/>
      <c r="BH29" s="133"/>
      <c r="BI29" s="133"/>
      <c r="BJ29" s="134"/>
      <c r="BK29" s="53"/>
    </row>
    <row r="30" spans="1:63" ht="15" customHeight="1" x14ac:dyDescent="0.25">
      <c r="A30" s="52"/>
      <c r="B30" s="90"/>
      <c r="C30" s="91"/>
      <c r="D30" s="91"/>
      <c r="E30" s="91"/>
      <c r="F30" s="91"/>
      <c r="G30" s="92"/>
      <c r="H30" s="90"/>
      <c r="I30" s="91"/>
      <c r="J30" s="91"/>
      <c r="K30" s="91"/>
      <c r="L30" s="91"/>
      <c r="M30" s="91"/>
      <c r="N30" s="92"/>
      <c r="O30" s="90"/>
      <c r="P30" s="91"/>
      <c r="Q30" s="91"/>
      <c r="R30" s="91"/>
      <c r="S30" s="139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1"/>
      <c r="AX30" s="135"/>
      <c r="AY30" s="135"/>
      <c r="AZ30" s="135"/>
      <c r="BA30" s="135"/>
      <c r="BB30" s="135"/>
      <c r="BC30" s="136"/>
      <c r="BD30" s="138"/>
      <c r="BE30" s="135"/>
      <c r="BF30" s="135"/>
      <c r="BG30" s="135"/>
      <c r="BH30" s="135"/>
      <c r="BI30" s="135"/>
      <c r="BJ30" s="136"/>
      <c r="BK30" s="53"/>
    </row>
    <row r="31" spans="1:63" ht="15" customHeight="1" x14ac:dyDescent="0.25">
      <c r="A31" s="52"/>
      <c r="B31" s="84"/>
      <c r="C31" s="85"/>
      <c r="D31" s="85"/>
      <c r="E31" s="85"/>
      <c r="F31" s="85"/>
      <c r="G31" s="86"/>
      <c r="H31" s="84"/>
      <c r="I31" s="85"/>
      <c r="J31" s="85"/>
      <c r="K31" s="85"/>
      <c r="L31" s="85"/>
      <c r="M31" s="85"/>
      <c r="N31" s="86"/>
      <c r="O31" s="84"/>
      <c r="P31" s="85"/>
      <c r="Q31" s="85"/>
      <c r="R31" s="85"/>
      <c r="S31" s="130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2"/>
      <c r="AX31" s="133"/>
      <c r="AY31" s="133"/>
      <c r="AZ31" s="133"/>
      <c r="BA31" s="133"/>
      <c r="BB31" s="133"/>
      <c r="BC31" s="134"/>
      <c r="BD31" s="137"/>
      <c r="BE31" s="133"/>
      <c r="BF31" s="133"/>
      <c r="BG31" s="133"/>
      <c r="BH31" s="133"/>
      <c r="BI31" s="133"/>
      <c r="BJ31" s="134"/>
      <c r="BK31" s="53"/>
    </row>
    <row r="32" spans="1:63" ht="15" customHeight="1" x14ac:dyDescent="0.25">
      <c r="A32" s="52"/>
      <c r="B32" s="90"/>
      <c r="C32" s="91"/>
      <c r="D32" s="91"/>
      <c r="E32" s="91"/>
      <c r="F32" s="91"/>
      <c r="G32" s="92"/>
      <c r="H32" s="90"/>
      <c r="I32" s="91"/>
      <c r="J32" s="91"/>
      <c r="K32" s="91"/>
      <c r="L32" s="91"/>
      <c r="M32" s="91"/>
      <c r="N32" s="92"/>
      <c r="O32" s="90"/>
      <c r="P32" s="91"/>
      <c r="Q32" s="91"/>
      <c r="R32" s="91"/>
      <c r="S32" s="139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1"/>
      <c r="AX32" s="135"/>
      <c r="AY32" s="135"/>
      <c r="AZ32" s="135"/>
      <c r="BA32" s="135"/>
      <c r="BB32" s="135"/>
      <c r="BC32" s="136"/>
      <c r="BD32" s="138"/>
      <c r="BE32" s="135"/>
      <c r="BF32" s="135"/>
      <c r="BG32" s="135"/>
      <c r="BH32" s="135"/>
      <c r="BI32" s="135"/>
      <c r="BJ32" s="136"/>
      <c r="BK32" s="53"/>
    </row>
    <row r="33" spans="1:63" ht="15" customHeight="1" x14ac:dyDescent="0.25">
      <c r="A33" s="52"/>
      <c r="B33" s="84"/>
      <c r="C33" s="85"/>
      <c r="D33" s="85"/>
      <c r="E33" s="85"/>
      <c r="F33" s="85"/>
      <c r="G33" s="86"/>
      <c r="H33" s="84"/>
      <c r="I33" s="85"/>
      <c r="J33" s="85"/>
      <c r="K33" s="85"/>
      <c r="L33" s="85"/>
      <c r="M33" s="85"/>
      <c r="N33" s="86"/>
      <c r="O33" s="84"/>
      <c r="P33" s="85"/>
      <c r="Q33" s="85"/>
      <c r="R33" s="85"/>
      <c r="S33" s="130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2"/>
      <c r="AX33" s="133"/>
      <c r="AY33" s="133"/>
      <c r="AZ33" s="133"/>
      <c r="BA33" s="133"/>
      <c r="BB33" s="133"/>
      <c r="BC33" s="134"/>
      <c r="BD33" s="137"/>
      <c r="BE33" s="133"/>
      <c r="BF33" s="133"/>
      <c r="BG33" s="133"/>
      <c r="BH33" s="133"/>
      <c r="BI33" s="133"/>
      <c r="BJ33" s="134"/>
      <c r="BK33" s="53"/>
    </row>
    <row r="34" spans="1:63" ht="15" customHeight="1" x14ac:dyDescent="0.25">
      <c r="A34" s="52"/>
      <c r="B34" s="90"/>
      <c r="C34" s="91"/>
      <c r="D34" s="91"/>
      <c r="E34" s="91"/>
      <c r="F34" s="91"/>
      <c r="G34" s="92"/>
      <c r="H34" s="90"/>
      <c r="I34" s="91"/>
      <c r="J34" s="91"/>
      <c r="K34" s="91"/>
      <c r="L34" s="91"/>
      <c r="M34" s="91"/>
      <c r="N34" s="92"/>
      <c r="O34" s="90"/>
      <c r="P34" s="91"/>
      <c r="Q34" s="91"/>
      <c r="R34" s="91"/>
      <c r="S34" s="139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1"/>
      <c r="AX34" s="135"/>
      <c r="AY34" s="135"/>
      <c r="AZ34" s="135"/>
      <c r="BA34" s="135"/>
      <c r="BB34" s="135"/>
      <c r="BC34" s="136"/>
      <c r="BD34" s="138"/>
      <c r="BE34" s="135"/>
      <c r="BF34" s="135"/>
      <c r="BG34" s="135"/>
      <c r="BH34" s="135"/>
      <c r="BI34" s="135"/>
      <c r="BJ34" s="136"/>
      <c r="BK34" s="53"/>
    </row>
    <row r="35" spans="1:63" ht="15" customHeight="1" x14ac:dyDescent="0.25">
      <c r="A35" s="52"/>
      <c r="B35" s="84"/>
      <c r="C35" s="85"/>
      <c r="D35" s="85"/>
      <c r="E35" s="85"/>
      <c r="F35" s="85"/>
      <c r="G35" s="86"/>
      <c r="H35" s="84"/>
      <c r="I35" s="85"/>
      <c r="J35" s="85"/>
      <c r="K35" s="85"/>
      <c r="L35" s="85"/>
      <c r="M35" s="85"/>
      <c r="N35" s="86"/>
      <c r="O35" s="84"/>
      <c r="P35" s="85"/>
      <c r="Q35" s="85"/>
      <c r="R35" s="85"/>
      <c r="S35" s="130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2"/>
      <c r="AX35" s="133"/>
      <c r="AY35" s="133"/>
      <c r="AZ35" s="133"/>
      <c r="BA35" s="133"/>
      <c r="BB35" s="133"/>
      <c r="BC35" s="134"/>
      <c r="BD35" s="137"/>
      <c r="BE35" s="133"/>
      <c r="BF35" s="133"/>
      <c r="BG35" s="133"/>
      <c r="BH35" s="133"/>
      <c r="BI35" s="133"/>
      <c r="BJ35" s="134"/>
      <c r="BK35" s="53"/>
    </row>
    <row r="36" spans="1:63" ht="15" customHeight="1" x14ac:dyDescent="0.25">
      <c r="A36" s="52"/>
      <c r="B36" s="90"/>
      <c r="C36" s="91"/>
      <c r="D36" s="91"/>
      <c r="E36" s="91"/>
      <c r="F36" s="91"/>
      <c r="G36" s="92"/>
      <c r="H36" s="90"/>
      <c r="I36" s="91"/>
      <c r="J36" s="91"/>
      <c r="K36" s="91"/>
      <c r="L36" s="91"/>
      <c r="M36" s="91"/>
      <c r="N36" s="92"/>
      <c r="O36" s="90"/>
      <c r="P36" s="91"/>
      <c r="Q36" s="91"/>
      <c r="R36" s="91"/>
      <c r="S36" s="139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1"/>
      <c r="AX36" s="135"/>
      <c r="AY36" s="135"/>
      <c r="AZ36" s="135"/>
      <c r="BA36" s="135"/>
      <c r="BB36" s="135"/>
      <c r="BC36" s="136"/>
      <c r="BD36" s="138"/>
      <c r="BE36" s="135"/>
      <c r="BF36" s="135"/>
      <c r="BG36" s="135"/>
      <c r="BH36" s="135"/>
      <c r="BI36" s="135"/>
      <c r="BJ36" s="136"/>
      <c r="BK36" s="53"/>
    </row>
    <row r="37" spans="1:63" ht="15" customHeight="1" x14ac:dyDescent="0.25">
      <c r="A37" s="52"/>
      <c r="B37" s="84"/>
      <c r="C37" s="85"/>
      <c r="D37" s="85"/>
      <c r="E37" s="85"/>
      <c r="F37" s="85"/>
      <c r="G37" s="86"/>
      <c r="H37" s="84"/>
      <c r="I37" s="85"/>
      <c r="J37" s="85"/>
      <c r="K37" s="85"/>
      <c r="L37" s="85"/>
      <c r="M37" s="85"/>
      <c r="N37" s="86"/>
      <c r="O37" s="84"/>
      <c r="P37" s="85"/>
      <c r="Q37" s="85"/>
      <c r="R37" s="85"/>
      <c r="S37" s="130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2"/>
      <c r="AX37" s="133"/>
      <c r="AY37" s="133"/>
      <c r="AZ37" s="133"/>
      <c r="BA37" s="133"/>
      <c r="BB37" s="133"/>
      <c r="BC37" s="134"/>
      <c r="BD37" s="137"/>
      <c r="BE37" s="133"/>
      <c r="BF37" s="133"/>
      <c r="BG37" s="133"/>
      <c r="BH37" s="133"/>
      <c r="BI37" s="133"/>
      <c r="BJ37" s="134"/>
      <c r="BK37" s="53"/>
    </row>
    <row r="38" spans="1:63" ht="15" customHeight="1" x14ac:dyDescent="0.25">
      <c r="A38" s="52"/>
      <c r="B38" s="90"/>
      <c r="C38" s="91"/>
      <c r="D38" s="91"/>
      <c r="E38" s="91"/>
      <c r="F38" s="91"/>
      <c r="G38" s="92"/>
      <c r="H38" s="90"/>
      <c r="I38" s="91"/>
      <c r="J38" s="91"/>
      <c r="K38" s="91"/>
      <c r="L38" s="91"/>
      <c r="M38" s="91"/>
      <c r="N38" s="92"/>
      <c r="O38" s="90"/>
      <c r="P38" s="91"/>
      <c r="Q38" s="91"/>
      <c r="R38" s="91"/>
      <c r="S38" s="139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1"/>
      <c r="AX38" s="135"/>
      <c r="AY38" s="135"/>
      <c r="AZ38" s="135"/>
      <c r="BA38" s="135"/>
      <c r="BB38" s="135"/>
      <c r="BC38" s="136"/>
      <c r="BD38" s="138"/>
      <c r="BE38" s="135"/>
      <c r="BF38" s="135"/>
      <c r="BG38" s="135"/>
      <c r="BH38" s="135"/>
      <c r="BI38" s="135"/>
      <c r="BJ38" s="136"/>
      <c r="BK38" s="53"/>
    </row>
    <row r="39" spans="1:63" ht="15" customHeight="1" x14ac:dyDescent="0.25">
      <c r="A39" s="52"/>
      <c r="B39" s="84"/>
      <c r="C39" s="85"/>
      <c r="D39" s="85"/>
      <c r="E39" s="85"/>
      <c r="F39" s="85"/>
      <c r="G39" s="86"/>
      <c r="H39" s="84"/>
      <c r="I39" s="85"/>
      <c r="J39" s="85"/>
      <c r="K39" s="85"/>
      <c r="L39" s="85"/>
      <c r="M39" s="85"/>
      <c r="N39" s="86"/>
      <c r="O39" s="84"/>
      <c r="P39" s="85"/>
      <c r="Q39" s="85"/>
      <c r="R39" s="85"/>
      <c r="S39" s="130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2"/>
      <c r="AX39" s="133"/>
      <c r="AY39" s="133"/>
      <c r="AZ39" s="133"/>
      <c r="BA39" s="133"/>
      <c r="BB39" s="133"/>
      <c r="BC39" s="134"/>
      <c r="BD39" s="137"/>
      <c r="BE39" s="133"/>
      <c r="BF39" s="133"/>
      <c r="BG39" s="133"/>
      <c r="BH39" s="133"/>
      <c r="BI39" s="133"/>
      <c r="BJ39" s="134"/>
      <c r="BK39" s="53"/>
    </row>
    <row r="40" spans="1:63" ht="15" customHeight="1" x14ac:dyDescent="0.25">
      <c r="A40" s="52"/>
      <c r="B40" s="90"/>
      <c r="C40" s="91"/>
      <c r="D40" s="91"/>
      <c r="E40" s="91"/>
      <c r="F40" s="91"/>
      <c r="G40" s="92"/>
      <c r="H40" s="90"/>
      <c r="I40" s="91"/>
      <c r="J40" s="91"/>
      <c r="K40" s="91"/>
      <c r="L40" s="91"/>
      <c r="M40" s="91"/>
      <c r="N40" s="92"/>
      <c r="O40" s="90"/>
      <c r="P40" s="91"/>
      <c r="Q40" s="91"/>
      <c r="R40" s="91"/>
      <c r="S40" s="139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1"/>
      <c r="AX40" s="135"/>
      <c r="AY40" s="135"/>
      <c r="AZ40" s="135"/>
      <c r="BA40" s="135"/>
      <c r="BB40" s="135"/>
      <c r="BC40" s="136"/>
      <c r="BD40" s="138"/>
      <c r="BE40" s="135"/>
      <c r="BF40" s="135"/>
      <c r="BG40" s="135"/>
      <c r="BH40" s="135"/>
      <c r="BI40" s="135"/>
      <c r="BJ40" s="136"/>
      <c r="BK40" s="53"/>
    </row>
    <row r="41" spans="1:63" ht="15" customHeight="1" x14ac:dyDescent="0.25">
      <c r="A41" s="52"/>
      <c r="B41" s="84"/>
      <c r="C41" s="85"/>
      <c r="D41" s="85"/>
      <c r="E41" s="85"/>
      <c r="F41" s="85"/>
      <c r="G41" s="86"/>
      <c r="H41" s="84"/>
      <c r="I41" s="85"/>
      <c r="J41" s="85"/>
      <c r="K41" s="85"/>
      <c r="L41" s="85"/>
      <c r="M41" s="85"/>
      <c r="N41" s="86"/>
      <c r="O41" s="84"/>
      <c r="P41" s="85"/>
      <c r="Q41" s="85"/>
      <c r="R41" s="85"/>
      <c r="S41" s="130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2"/>
      <c r="AX41" s="133"/>
      <c r="AY41" s="133"/>
      <c r="AZ41" s="133"/>
      <c r="BA41" s="133"/>
      <c r="BB41" s="133"/>
      <c r="BC41" s="134"/>
      <c r="BD41" s="137"/>
      <c r="BE41" s="133"/>
      <c r="BF41" s="133"/>
      <c r="BG41" s="133"/>
      <c r="BH41" s="133"/>
      <c r="BI41" s="133"/>
      <c r="BJ41" s="134"/>
      <c r="BK41" s="53"/>
    </row>
    <row r="42" spans="1:63" ht="15" customHeight="1" x14ac:dyDescent="0.25">
      <c r="A42" s="52"/>
      <c r="B42" s="90"/>
      <c r="C42" s="91"/>
      <c r="D42" s="91"/>
      <c r="E42" s="91"/>
      <c r="F42" s="91"/>
      <c r="G42" s="92"/>
      <c r="H42" s="90"/>
      <c r="I42" s="91"/>
      <c r="J42" s="91"/>
      <c r="K42" s="91"/>
      <c r="L42" s="91"/>
      <c r="M42" s="91"/>
      <c r="N42" s="92"/>
      <c r="O42" s="90"/>
      <c r="P42" s="91"/>
      <c r="Q42" s="91"/>
      <c r="R42" s="91"/>
      <c r="S42" s="139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1"/>
      <c r="AX42" s="135"/>
      <c r="AY42" s="135"/>
      <c r="AZ42" s="135"/>
      <c r="BA42" s="135"/>
      <c r="BB42" s="135"/>
      <c r="BC42" s="136"/>
      <c r="BD42" s="138"/>
      <c r="BE42" s="135"/>
      <c r="BF42" s="135"/>
      <c r="BG42" s="135"/>
      <c r="BH42" s="135"/>
      <c r="BI42" s="135"/>
      <c r="BJ42" s="136"/>
      <c r="BK42" s="53"/>
    </row>
    <row r="43" spans="1:63" ht="15" customHeight="1" x14ac:dyDescent="0.25">
      <c r="A43" s="52"/>
      <c r="B43" s="84"/>
      <c r="C43" s="85"/>
      <c r="D43" s="85"/>
      <c r="E43" s="85"/>
      <c r="F43" s="85"/>
      <c r="G43" s="86"/>
      <c r="H43" s="84"/>
      <c r="I43" s="85"/>
      <c r="J43" s="85"/>
      <c r="K43" s="85"/>
      <c r="L43" s="85"/>
      <c r="M43" s="85"/>
      <c r="N43" s="86"/>
      <c r="O43" s="84"/>
      <c r="P43" s="85"/>
      <c r="Q43" s="85"/>
      <c r="R43" s="85"/>
      <c r="S43" s="130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2"/>
      <c r="AX43" s="133"/>
      <c r="AY43" s="133"/>
      <c r="AZ43" s="133"/>
      <c r="BA43" s="133"/>
      <c r="BB43" s="133"/>
      <c r="BC43" s="134"/>
      <c r="BD43" s="137"/>
      <c r="BE43" s="133"/>
      <c r="BF43" s="133"/>
      <c r="BG43" s="133"/>
      <c r="BH43" s="133"/>
      <c r="BI43" s="133"/>
      <c r="BJ43" s="134"/>
      <c r="BK43" s="53"/>
    </row>
    <row r="44" spans="1:63" ht="15" customHeight="1" x14ac:dyDescent="0.25">
      <c r="A44" s="52"/>
      <c r="B44" s="90"/>
      <c r="C44" s="91"/>
      <c r="D44" s="91"/>
      <c r="E44" s="91"/>
      <c r="F44" s="91"/>
      <c r="G44" s="92"/>
      <c r="H44" s="90"/>
      <c r="I44" s="91"/>
      <c r="J44" s="91"/>
      <c r="K44" s="91"/>
      <c r="L44" s="91"/>
      <c r="M44" s="91"/>
      <c r="N44" s="92"/>
      <c r="O44" s="90"/>
      <c r="P44" s="91"/>
      <c r="Q44" s="91"/>
      <c r="R44" s="91"/>
      <c r="S44" s="139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1"/>
      <c r="AX44" s="135"/>
      <c r="AY44" s="135"/>
      <c r="AZ44" s="135"/>
      <c r="BA44" s="135"/>
      <c r="BB44" s="135"/>
      <c r="BC44" s="136"/>
      <c r="BD44" s="138"/>
      <c r="BE44" s="135"/>
      <c r="BF44" s="135"/>
      <c r="BG44" s="135"/>
      <c r="BH44" s="135"/>
      <c r="BI44" s="135"/>
      <c r="BJ44" s="136"/>
      <c r="BK44" s="53"/>
    </row>
    <row r="45" spans="1:63" ht="15" customHeight="1" x14ac:dyDescent="0.25">
      <c r="A45" s="52"/>
      <c r="B45" s="84"/>
      <c r="C45" s="85"/>
      <c r="D45" s="85"/>
      <c r="E45" s="85"/>
      <c r="F45" s="85"/>
      <c r="G45" s="86"/>
      <c r="H45" s="84"/>
      <c r="I45" s="85"/>
      <c r="J45" s="85"/>
      <c r="K45" s="85"/>
      <c r="L45" s="85"/>
      <c r="M45" s="85"/>
      <c r="N45" s="86"/>
      <c r="O45" s="84"/>
      <c r="P45" s="85"/>
      <c r="Q45" s="85"/>
      <c r="R45" s="85"/>
      <c r="S45" s="130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2"/>
      <c r="AX45" s="133"/>
      <c r="AY45" s="133"/>
      <c r="AZ45" s="133"/>
      <c r="BA45" s="133"/>
      <c r="BB45" s="133"/>
      <c r="BC45" s="134"/>
      <c r="BD45" s="137"/>
      <c r="BE45" s="133"/>
      <c r="BF45" s="133"/>
      <c r="BG45" s="133"/>
      <c r="BH45" s="133"/>
      <c r="BI45" s="133"/>
      <c r="BJ45" s="134"/>
      <c r="BK45" s="53"/>
    </row>
    <row r="46" spans="1:63" ht="15" customHeight="1" x14ac:dyDescent="0.25">
      <c r="A46" s="52"/>
      <c r="B46" s="90"/>
      <c r="C46" s="91"/>
      <c r="D46" s="91"/>
      <c r="E46" s="91"/>
      <c r="F46" s="91"/>
      <c r="G46" s="92"/>
      <c r="H46" s="90"/>
      <c r="I46" s="91"/>
      <c r="J46" s="91"/>
      <c r="K46" s="91"/>
      <c r="L46" s="91"/>
      <c r="M46" s="91"/>
      <c r="N46" s="92"/>
      <c r="O46" s="90"/>
      <c r="P46" s="91"/>
      <c r="Q46" s="91"/>
      <c r="R46" s="91"/>
      <c r="S46" s="139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1"/>
      <c r="AX46" s="135"/>
      <c r="AY46" s="135"/>
      <c r="AZ46" s="135"/>
      <c r="BA46" s="135"/>
      <c r="BB46" s="135"/>
      <c r="BC46" s="136"/>
      <c r="BD46" s="138"/>
      <c r="BE46" s="135"/>
      <c r="BF46" s="135"/>
      <c r="BG46" s="135"/>
      <c r="BH46" s="135"/>
      <c r="BI46" s="135"/>
      <c r="BJ46" s="136"/>
      <c r="BK46" s="53"/>
    </row>
    <row r="47" spans="1:63" ht="15" customHeight="1" x14ac:dyDescent="0.25">
      <c r="A47" s="52"/>
      <c r="B47" s="84"/>
      <c r="C47" s="85"/>
      <c r="D47" s="85"/>
      <c r="E47" s="85"/>
      <c r="F47" s="85"/>
      <c r="G47" s="86"/>
      <c r="H47" s="84"/>
      <c r="I47" s="85"/>
      <c r="J47" s="85"/>
      <c r="K47" s="85"/>
      <c r="L47" s="85"/>
      <c r="M47" s="85"/>
      <c r="N47" s="86"/>
      <c r="O47" s="84"/>
      <c r="P47" s="85"/>
      <c r="Q47" s="85"/>
      <c r="R47" s="85"/>
      <c r="S47" s="130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2"/>
      <c r="AX47" s="133"/>
      <c r="AY47" s="133"/>
      <c r="AZ47" s="133"/>
      <c r="BA47" s="133"/>
      <c r="BB47" s="133"/>
      <c r="BC47" s="134"/>
      <c r="BD47" s="137"/>
      <c r="BE47" s="133"/>
      <c r="BF47" s="133"/>
      <c r="BG47" s="133"/>
      <c r="BH47" s="133"/>
      <c r="BI47" s="133"/>
      <c r="BJ47" s="134"/>
      <c r="BK47" s="53"/>
    </row>
    <row r="48" spans="1:63" ht="15" customHeight="1" x14ac:dyDescent="0.25">
      <c r="A48" s="52"/>
      <c r="B48" s="90"/>
      <c r="C48" s="91"/>
      <c r="D48" s="91"/>
      <c r="E48" s="91"/>
      <c r="F48" s="91"/>
      <c r="G48" s="92"/>
      <c r="H48" s="90"/>
      <c r="I48" s="91"/>
      <c r="J48" s="91"/>
      <c r="K48" s="91"/>
      <c r="L48" s="91"/>
      <c r="M48" s="91"/>
      <c r="N48" s="92"/>
      <c r="O48" s="90"/>
      <c r="P48" s="91"/>
      <c r="Q48" s="91"/>
      <c r="R48" s="91"/>
      <c r="S48" s="13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1"/>
      <c r="AX48" s="135"/>
      <c r="AY48" s="135"/>
      <c r="AZ48" s="135"/>
      <c r="BA48" s="135"/>
      <c r="BB48" s="135"/>
      <c r="BC48" s="136"/>
      <c r="BD48" s="138"/>
      <c r="BE48" s="135"/>
      <c r="BF48" s="135"/>
      <c r="BG48" s="135"/>
      <c r="BH48" s="135"/>
      <c r="BI48" s="135"/>
      <c r="BJ48" s="136"/>
      <c r="BK48" s="53"/>
    </row>
    <row r="49" spans="1:63" ht="15" customHeight="1" x14ac:dyDescent="0.25">
      <c r="A49" s="52"/>
      <c r="B49" s="84"/>
      <c r="C49" s="85"/>
      <c r="D49" s="85"/>
      <c r="E49" s="85"/>
      <c r="F49" s="85"/>
      <c r="G49" s="86"/>
      <c r="H49" s="84"/>
      <c r="I49" s="85"/>
      <c r="J49" s="85"/>
      <c r="K49" s="85"/>
      <c r="L49" s="85"/>
      <c r="M49" s="85"/>
      <c r="N49" s="86"/>
      <c r="O49" s="84"/>
      <c r="P49" s="85"/>
      <c r="Q49" s="85"/>
      <c r="R49" s="85"/>
      <c r="S49" s="130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2"/>
      <c r="AX49" s="133"/>
      <c r="AY49" s="133"/>
      <c r="AZ49" s="133"/>
      <c r="BA49" s="133"/>
      <c r="BB49" s="133"/>
      <c r="BC49" s="134"/>
      <c r="BD49" s="137"/>
      <c r="BE49" s="133"/>
      <c r="BF49" s="133"/>
      <c r="BG49" s="133"/>
      <c r="BH49" s="133"/>
      <c r="BI49" s="133"/>
      <c r="BJ49" s="134"/>
      <c r="BK49" s="53"/>
    </row>
    <row r="50" spans="1:63" ht="15" customHeight="1" x14ac:dyDescent="0.25">
      <c r="A50" s="52"/>
      <c r="B50" s="90"/>
      <c r="C50" s="91"/>
      <c r="D50" s="91"/>
      <c r="E50" s="91"/>
      <c r="F50" s="91"/>
      <c r="G50" s="92"/>
      <c r="H50" s="90"/>
      <c r="I50" s="91"/>
      <c r="J50" s="91"/>
      <c r="K50" s="91"/>
      <c r="L50" s="91"/>
      <c r="M50" s="91"/>
      <c r="N50" s="92"/>
      <c r="O50" s="90"/>
      <c r="P50" s="91"/>
      <c r="Q50" s="91"/>
      <c r="R50" s="91"/>
      <c r="S50" s="139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1"/>
      <c r="AX50" s="135"/>
      <c r="AY50" s="135"/>
      <c r="AZ50" s="135"/>
      <c r="BA50" s="135"/>
      <c r="BB50" s="135"/>
      <c r="BC50" s="136"/>
      <c r="BD50" s="138"/>
      <c r="BE50" s="135"/>
      <c r="BF50" s="135"/>
      <c r="BG50" s="135"/>
      <c r="BH50" s="135"/>
      <c r="BI50" s="135"/>
      <c r="BJ50" s="136"/>
      <c r="BK50" s="53"/>
    </row>
    <row r="51" spans="1:63" ht="15" customHeight="1" x14ac:dyDescent="0.25">
      <c r="A51" s="52"/>
      <c r="B51" s="84"/>
      <c r="C51" s="85"/>
      <c r="D51" s="85"/>
      <c r="E51" s="85"/>
      <c r="F51" s="85"/>
      <c r="G51" s="86"/>
      <c r="H51" s="84"/>
      <c r="I51" s="85"/>
      <c r="J51" s="85"/>
      <c r="K51" s="85"/>
      <c r="L51" s="85"/>
      <c r="M51" s="85"/>
      <c r="N51" s="86"/>
      <c r="O51" s="84"/>
      <c r="P51" s="85"/>
      <c r="Q51" s="85"/>
      <c r="R51" s="85"/>
      <c r="S51" s="130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2"/>
      <c r="AX51" s="133"/>
      <c r="AY51" s="133"/>
      <c r="AZ51" s="133"/>
      <c r="BA51" s="133"/>
      <c r="BB51" s="133"/>
      <c r="BC51" s="134"/>
      <c r="BD51" s="137"/>
      <c r="BE51" s="133"/>
      <c r="BF51" s="133"/>
      <c r="BG51" s="133"/>
      <c r="BH51" s="133"/>
      <c r="BI51" s="133"/>
      <c r="BJ51" s="134"/>
      <c r="BK51" s="53"/>
    </row>
    <row r="52" spans="1:63" ht="15" customHeight="1" x14ac:dyDescent="0.25">
      <c r="A52" s="52"/>
      <c r="B52" s="90"/>
      <c r="C52" s="91"/>
      <c r="D52" s="91"/>
      <c r="E52" s="91"/>
      <c r="F52" s="91"/>
      <c r="G52" s="92"/>
      <c r="H52" s="90"/>
      <c r="I52" s="91"/>
      <c r="J52" s="91"/>
      <c r="K52" s="91"/>
      <c r="L52" s="91"/>
      <c r="M52" s="91"/>
      <c r="N52" s="92"/>
      <c r="O52" s="90"/>
      <c r="P52" s="91"/>
      <c r="Q52" s="91"/>
      <c r="R52" s="91"/>
      <c r="S52" s="139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1"/>
      <c r="AX52" s="135"/>
      <c r="AY52" s="135"/>
      <c r="AZ52" s="135"/>
      <c r="BA52" s="135"/>
      <c r="BB52" s="135"/>
      <c r="BC52" s="136"/>
      <c r="BD52" s="138"/>
      <c r="BE52" s="135"/>
      <c r="BF52" s="135"/>
      <c r="BG52" s="135"/>
      <c r="BH52" s="135"/>
      <c r="BI52" s="135"/>
      <c r="BJ52" s="136"/>
      <c r="BK52" s="53"/>
    </row>
    <row r="53" spans="1:63" ht="15" customHeight="1" x14ac:dyDescent="0.25">
      <c r="A53" s="52"/>
      <c r="B53" s="84"/>
      <c r="C53" s="85"/>
      <c r="D53" s="85"/>
      <c r="E53" s="85"/>
      <c r="F53" s="85"/>
      <c r="G53" s="86"/>
      <c r="H53" s="84"/>
      <c r="I53" s="85"/>
      <c r="J53" s="85"/>
      <c r="K53" s="85"/>
      <c r="L53" s="85"/>
      <c r="M53" s="85"/>
      <c r="N53" s="86"/>
      <c r="O53" s="84"/>
      <c r="P53" s="85"/>
      <c r="Q53" s="85"/>
      <c r="R53" s="85"/>
      <c r="S53" s="130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2"/>
      <c r="AX53" s="133"/>
      <c r="AY53" s="133"/>
      <c r="AZ53" s="133"/>
      <c r="BA53" s="133"/>
      <c r="BB53" s="133"/>
      <c r="BC53" s="134"/>
      <c r="BD53" s="137"/>
      <c r="BE53" s="133"/>
      <c r="BF53" s="133"/>
      <c r="BG53" s="133"/>
      <c r="BH53" s="133"/>
      <c r="BI53" s="133"/>
      <c r="BJ53" s="134"/>
      <c r="BK53" s="53"/>
    </row>
    <row r="54" spans="1:63" ht="15" customHeight="1" x14ac:dyDescent="0.25">
      <c r="A54" s="52"/>
      <c r="B54" s="90"/>
      <c r="C54" s="91"/>
      <c r="D54" s="91"/>
      <c r="E54" s="91"/>
      <c r="F54" s="91"/>
      <c r="G54" s="92"/>
      <c r="H54" s="90"/>
      <c r="I54" s="91"/>
      <c r="J54" s="91"/>
      <c r="K54" s="91"/>
      <c r="L54" s="91"/>
      <c r="M54" s="91"/>
      <c r="N54" s="92"/>
      <c r="O54" s="90"/>
      <c r="P54" s="91"/>
      <c r="Q54" s="91"/>
      <c r="R54" s="91"/>
      <c r="S54" s="139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1"/>
      <c r="AX54" s="135"/>
      <c r="AY54" s="135"/>
      <c r="AZ54" s="135"/>
      <c r="BA54" s="135"/>
      <c r="BB54" s="135"/>
      <c r="BC54" s="136"/>
      <c r="BD54" s="138"/>
      <c r="BE54" s="135"/>
      <c r="BF54" s="135"/>
      <c r="BG54" s="135"/>
      <c r="BH54" s="135"/>
      <c r="BI54" s="135"/>
      <c r="BJ54" s="136"/>
      <c r="BK54" s="53"/>
    </row>
    <row r="55" spans="1:63" ht="15" customHeight="1" x14ac:dyDescent="0.25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44</v>
      </c>
      <c r="B1" s="177"/>
      <c r="C1" s="177"/>
      <c r="D1" s="177"/>
      <c r="E1" s="177"/>
      <c r="F1" s="177"/>
      <c r="G1" s="177"/>
      <c r="H1" s="177"/>
      <c r="I1" s="177"/>
      <c r="J1" s="178"/>
      <c r="K1" s="176" t="s">
        <v>45</v>
      </c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179" t="str">
        <f>IF(表紙!W1="","",表紙!W1)</f>
        <v>詳細設計書</v>
      </c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1"/>
      <c r="AP1" s="99" t="s">
        <v>47</v>
      </c>
      <c r="AQ1" s="100"/>
      <c r="AR1" s="100"/>
      <c r="AS1" s="101"/>
      <c r="AT1" s="99" t="s">
        <v>48</v>
      </c>
      <c r="AU1" s="100"/>
      <c r="AV1" s="100"/>
      <c r="AW1" s="100"/>
      <c r="AX1" s="101"/>
      <c r="AY1" s="99" t="s">
        <v>49</v>
      </c>
      <c r="AZ1" s="100"/>
      <c r="BA1" s="100"/>
      <c r="BB1" s="101"/>
      <c r="BC1" s="99" t="s">
        <v>50</v>
      </c>
      <c r="BD1" s="100"/>
      <c r="BE1" s="100"/>
      <c r="BF1" s="100"/>
      <c r="BG1" s="101"/>
      <c r="BH1" s="99" t="s">
        <v>51</v>
      </c>
      <c r="BI1" s="100"/>
      <c r="BJ1" s="100"/>
      <c r="BK1" s="101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POSサーバー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82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4"/>
      <c r="AP2" s="84" t="str">
        <f>IF(表紙!AP2="","",表紙!AP2)</f>
        <v>DuNT</v>
      </c>
      <c r="AQ2" s="85"/>
      <c r="AR2" s="85"/>
      <c r="AS2" s="86"/>
      <c r="AT2" s="114">
        <f>IF(表紙!AT2="","",表紙!AT2)</f>
        <v>45516</v>
      </c>
      <c r="AU2" s="115"/>
      <c r="AV2" s="115"/>
      <c r="AW2" s="115"/>
      <c r="AX2" s="116"/>
      <c r="AY2" s="84" t="str">
        <f>IF(表紙!AY2="","",表紙!AY2)</f>
        <v>LoiLV</v>
      </c>
      <c r="AZ2" s="85"/>
      <c r="BA2" s="85"/>
      <c r="BB2" s="86"/>
      <c r="BC2" s="114">
        <f>IF(表紙!BC2="","",表紙!BC2)</f>
        <v>45964</v>
      </c>
      <c r="BD2" s="115"/>
      <c r="BE2" s="115"/>
      <c r="BF2" s="115"/>
      <c r="BG2" s="116"/>
      <c r="BH2" s="84">
        <f>IF(表紙!BH2="","",表紙!BH2)</f>
        <v>0.12</v>
      </c>
      <c r="BI2" s="85"/>
      <c r="BJ2" s="85"/>
      <c r="BK2" s="86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90"/>
      <c r="AQ3" s="91"/>
      <c r="AR3" s="91"/>
      <c r="AS3" s="92"/>
      <c r="AT3" s="117"/>
      <c r="AU3" s="118"/>
      <c r="AV3" s="118"/>
      <c r="AW3" s="118"/>
      <c r="AX3" s="119"/>
      <c r="AY3" s="90"/>
      <c r="AZ3" s="91"/>
      <c r="BA3" s="91"/>
      <c r="BB3" s="92"/>
      <c r="BC3" s="117"/>
      <c r="BD3" s="118"/>
      <c r="BE3" s="118"/>
      <c r="BF3" s="118"/>
      <c r="BG3" s="119"/>
      <c r="BH3" s="90"/>
      <c r="BI3" s="91"/>
      <c r="BJ3" s="91"/>
      <c r="BK3" s="92"/>
    </row>
    <row r="4" spans="1:63" ht="24.95" customHeight="1" x14ac:dyDescent="0.25">
      <c r="A4" s="176" t="s">
        <v>53</v>
      </c>
      <c r="B4" s="177"/>
      <c r="C4" s="177"/>
      <c r="D4" s="177"/>
      <c r="E4" s="177"/>
      <c r="F4" s="177"/>
      <c r="G4" s="178"/>
      <c r="H4" s="188" t="str">
        <f>IF(表紙!H4="","",表紙!H4)</f>
        <v>AP1504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176" t="s">
        <v>54</v>
      </c>
      <c r="V4" s="177"/>
      <c r="W4" s="177"/>
      <c r="X4" s="177"/>
      <c r="Y4" s="178"/>
      <c r="Z4" s="188" t="str">
        <f>IF(表紙!Z4="","",表紙!Z4)</f>
        <v>API設計書</v>
      </c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90"/>
      <c r="AP4" s="191" t="str">
        <f ca="1">MID(CELL("filename",A1),FIND("]",CELL("filename",A1))+1,255)</f>
        <v>処理フロー凡例</v>
      </c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9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8" customFormat="1" ht="15" customHeight="1" x14ac:dyDescent="0.25">
      <c r="A7" s="64"/>
      <c r="B7" s="65" t="s">
        <v>65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  <c r="AF7" s="68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7"/>
      <c r="BJ7" s="66"/>
      <c r="BK7" s="69"/>
    </row>
    <row r="8" spans="1:63" s="70" customFormat="1" ht="15" customHeight="1" x14ac:dyDescent="0.25">
      <c r="BK8" s="69"/>
    </row>
    <row r="9" spans="1:63" s="70" customFormat="1" ht="15" customHeight="1" x14ac:dyDescent="0.25">
      <c r="BK9" s="69"/>
    </row>
    <row r="10" spans="1:63" s="70" customFormat="1" ht="15" customHeight="1" x14ac:dyDescent="0.25">
      <c r="BK10" s="69"/>
    </row>
    <row r="11" spans="1:63" s="70" customFormat="1" ht="15" customHeight="1" x14ac:dyDescent="0.25">
      <c r="BK11" s="69"/>
    </row>
    <row r="12" spans="1:63" s="70" customFormat="1" ht="15" customHeight="1" x14ac:dyDescent="0.25">
      <c r="BK12" s="69"/>
    </row>
    <row r="13" spans="1:63" s="70" customFormat="1" ht="15" customHeight="1" x14ac:dyDescent="0.25">
      <c r="BK13" s="69"/>
    </row>
    <row r="14" spans="1:63" s="70" customFormat="1" ht="15" customHeight="1" x14ac:dyDescent="0.25">
      <c r="BK14" s="69"/>
    </row>
    <row r="15" spans="1:63" s="70" customFormat="1" ht="15" customHeight="1" x14ac:dyDescent="0.25">
      <c r="BK15" s="69"/>
    </row>
    <row r="16" spans="1:63" s="70" customFormat="1" ht="15" customHeight="1" x14ac:dyDescent="0.25">
      <c r="BK16" s="69"/>
    </row>
    <row r="17" spans="63:63" s="70" customFormat="1" ht="15" customHeight="1" x14ac:dyDescent="0.25">
      <c r="BK17" s="69"/>
    </row>
    <row r="18" spans="63:63" s="70" customFormat="1" ht="15" customHeight="1" x14ac:dyDescent="0.25">
      <c r="BK18" s="69"/>
    </row>
    <row r="19" spans="63:63" s="70" customFormat="1" ht="15" customHeight="1" x14ac:dyDescent="0.25">
      <c r="BK19" s="69"/>
    </row>
    <row r="20" spans="63:63" s="70" customFormat="1" ht="15" customHeight="1" x14ac:dyDescent="0.25">
      <c r="BK20" s="69"/>
    </row>
    <row r="21" spans="63:63" s="70" customFormat="1" ht="15" customHeight="1" x14ac:dyDescent="0.25">
      <c r="BK21" s="69"/>
    </row>
    <row r="22" spans="63:63" s="70" customFormat="1" ht="15" customHeight="1" x14ac:dyDescent="0.25">
      <c r="BK22" s="69"/>
    </row>
    <row r="23" spans="63:63" s="70" customFormat="1" ht="15" customHeight="1" x14ac:dyDescent="0.25">
      <c r="BK23" s="69"/>
    </row>
    <row r="24" spans="63:63" s="70" customFormat="1" ht="15" customHeight="1" x14ac:dyDescent="0.25">
      <c r="BK24" s="69"/>
    </row>
    <row r="25" spans="63:63" s="70" customFormat="1" ht="15" customHeight="1" x14ac:dyDescent="0.25">
      <c r="BK25" s="69"/>
    </row>
    <row r="26" spans="63:63" s="70" customFormat="1" ht="15" customHeight="1" x14ac:dyDescent="0.25">
      <c r="BK26" s="69"/>
    </row>
    <row r="27" spans="63:63" s="70" customFormat="1" ht="15" customHeight="1" x14ac:dyDescent="0.25">
      <c r="BK27" s="69"/>
    </row>
    <row r="28" spans="63:63" s="70" customFormat="1" ht="15" customHeight="1" x14ac:dyDescent="0.25">
      <c r="BK28" s="69"/>
    </row>
    <row r="29" spans="63:63" s="70" customFormat="1" ht="15" customHeight="1" x14ac:dyDescent="0.25">
      <c r="BK29" s="69"/>
    </row>
    <row r="30" spans="63:63" s="70" customFormat="1" ht="15" customHeight="1" x14ac:dyDescent="0.25">
      <c r="BK30" s="69"/>
    </row>
    <row r="31" spans="63:63" s="70" customFormat="1" ht="15" customHeight="1" x14ac:dyDescent="0.25">
      <c r="BK31" s="69"/>
    </row>
    <row r="32" spans="63:63" s="70" customFormat="1" ht="15" customHeight="1" x14ac:dyDescent="0.25">
      <c r="BK32" s="69"/>
    </row>
    <row r="33" spans="63:63" s="70" customFormat="1" ht="15" customHeight="1" x14ac:dyDescent="0.25">
      <c r="BK33" s="69"/>
    </row>
    <row r="34" spans="63:63" s="70" customFormat="1" ht="15" customHeight="1" x14ac:dyDescent="0.25">
      <c r="BK34" s="69"/>
    </row>
    <row r="35" spans="63:63" s="70" customFormat="1" ht="15" customHeight="1" x14ac:dyDescent="0.25">
      <c r="BK35" s="69"/>
    </row>
    <row r="36" spans="63:63" s="70" customFormat="1" ht="15" customHeight="1" x14ac:dyDescent="0.25">
      <c r="BK36" s="69"/>
    </row>
    <row r="37" spans="63:63" s="70" customFormat="1" ht="15" customHeight="1" x14ac:dyDescent="0.25">
      <c r="BK37" s="69"/>
    </row>
    <row r="38" spans="63:63" s="70" customFormat="1" ht="15" customHeight="1" x14ac:dyDescent="0.25">
      <c r="BK38" s="69"/>
    </row>
    <row r="39" spans="63:63" s="70" customFormat="1" ht="15" customHeight="1" x14ac:dyDescent="0.25">
      <c r="BK39" s="69"/>
    </row>
    <row r="40" spans="63:63" s="70" customFormat="1" ht="15" customHeight="1" x14ac:dyDescent="0.25">
      <c r="BK40" s="69"/>
    </row>
    <row r="41" spans="63:63" s="70" customFormat="1" ht="15" customHeight="1" x14ac:dyDescent="0.25">
      <c r="BK41" s="69"/>
    </row>
    <row r="42" spans="63:63" s="70" customFormat="1" ht="15" customHeight="1" x14ac:dyDescent="0.25">
      <c r="BK42" s="69"/>
    </row>
    <row r="43" spans="63:63" s="70" customFormat="1" ht="15" customHeight="1" x14ac:dyDescent="0.25">
      <c r="BK43" s="69"/>
    </row>
    <row r="44" spans="63:63" s="70" customFormat="1" ht="15" customHeight="1" x14ac:dyDescent="0.25">
      <c r="BK44" s="69"/>
    </row>
    <row r="45" spans="63:63" s="70" customFormat="1" ht="15" customHeight="1" x14ac:dyDescent="0.25">
      <c r="BK45" s="69"/>
    </row>
    <row r="46" spans="63:63" s="70" customFormat="1" ht="15" customHeight="1" x14ac:dyDescent="0.25">
      <c r="BK46" s="69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7030A0"/>
    <pageSetUpPr fitToPage="1"/>
  </sheetPr>
  <dimension ref="A1:BK7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44</v>
      </c>
      <c r="B1" s="177"/>
      <c r="C1" s="177"/>
      <c r="D1" s="177"/>
      <c r="E1" s="177"/>
      <c r="F1" s="177"/>
      <c r="G1" s="177"/>
      <c r="H1" s="177"/>
      <c r="I1" s="177"/>
      <c r="J1" s="178"/>
      <c r="K1" s="176" t="s">
        <v>45</v>
      </c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179" t="str">
        <f>IF(表紙!W1="","",表紙!W1)</f>
        <v>詳細設計書</v>
      </c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1"/>
      <c r="AP1" s="99" t="s">
        <v>47</v>
      </c>
      <c r="AQ1" s="100"/>
      <c r="AR1" s="100"/>
      <c r="AS1" s="101"/>
      <c r="AT1" s="99" t="s">
        <v>48</v>
      </c>
      <c r="AU1" s="100"/>
      <c r="AV1" s="100"/>
      <c r="AW1" s="100"/>
      <c r="AX1" s="101"/>
      <c r="AY1" s="99" t="s">
        <v>49</v>
      </c>
      <c r="AZ1" s="100"/>
      <c r="BA1" s="100"/>
      <c r="BB1" s="101"/>
      <c r="BC1" s="99" t="s">
        <v>50</v>
      </c>
      <c r="BD1" s="100"/>
      <c r="BE1" s="100"/>
      <c r="BF1" s="100"/>
      <c r="BG1" s="101"/>
      <c r="BH1" s="99" t="s">
        <v>51</v>
      </c>
      <c r="BI1" s="100"/>
      <c r="BJ1" s="100"/>
      <c r="BK1" s="101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POSサーバー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82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4"/>
      <c r="AP2" s="84" t="str">
        <f>IF(表紙!AP2="","",表紙!AP2)</f>
        <v>DuNT</v>
      </c>
      <c r="AQ2" s="85"/>
      <c r="AR2" s="85"/>
      <c r="AS2" s="86"/>
      <c r="AT2" s="114">
        <f>IF(表紙!AT2="","",表紙!AT2)</f>
        <v>45516</v>
      </c>
      <c r="AU2" s="115"/>
      <c r="AV2" s="115"/>
      <c r="AW2" s="115"/>
      <c r="AX2" s="116"/>
      <c r="AY2" s="84" t="str">
        <f>IF(表紙!AY2="","",表紙!AY2)</f>
        <v>LoiLV</v>
      </c>
      <c r="AZ2" s="85"/>
      <c r="BA2" s="85"/>
      <c r="BB2" s="86"/>
      <c r="BC2" s="114">
        <f>IF(表紙!BC2="","",表紙!BC2)</f>
        <v>45964</v>
      </c>
      <c r="BD2" s="115"/>
      <c r="BE2" s="115"/>
      <c r="BF2" s="115"/>
      <c r="BG2" s="116"/>
      <c r="BH2" s="84">
        <f>IF(表紙!BH2="","",表紙!BH2)</f>
        <v>0.12</v>
      </c>
      <c r="BI2" s="85"/>
      <c r="BJ2" s="85"/>
      <c r="BK2" s="86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90"/>
      <c r="AQ3" s="91"/>
      <c r="AR3" s="91"/>
      <c r="AS3" s="92"/>
      <c r="AT3" s="117"/>
      <c r="AU3" s="118"/>
      <c r="AV3" s="118"/>
      <c r="AW3" s="118"/>
      <c r="AX3" s="119"/>
      <c r="AY3" s="90"/>
      <c r="AZ3" s="91"/>
      <c r="BA3" s="91"/>
      <c r="BB3" s="92"/>
      <c r="BC3" s="117"/>
      <c r="BD3" s="118"/>
      <c r="BE3" s="118"/>
      <c r="BF3" s="118"/>
      <c r="BG3" s="119"/>
      <c r="BH3" s="90"/>
      <c r="BI3" s="91"/>
      <c r="BJ3" s="91"/>
      <c r="BK3" s="92"/>
    </row>
    <row r="4" spans="1:63" ht="24.95" customHeight="1" x14ac:dyDescent="0.25">
      <c r="A4" s="176" t="s">
        <v>53</v>
      </c>
      <c r="B4" s="177"/>
      <c r="C4" s="177"/>
      <c r="D4" s="177"/>
      <c r="E4" s="177"/>
      <c r="F4" s="177"/>
      <c r="G4" s="178"/>
      <c r="H4" s="188" t="str">
        <f>IF(表紙!H4="","",表紙!H4)</f>
        <v>AP1504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176" t="s">
        <v>54</v>
      </c>
      <c r="V4" s="177"/>
      <c r="W4" s="177"/>
      <c r="X4" s="177"/>
      <c r="Y4" s="178"/>
      <c r="Z4" s="188" t="str">
        <f>IF(表紙!Z4="","",表紙!Z4)</f>
        <v>API設計書</v>
      </c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90"/>
      <c r="AP4" s="191" t="str">
        <f ca="1">MID(CELL("filename",A1),FIND("]",CELL("filename",A1))+1,255)</f>
        <v>AP1504</v>
      </c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9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66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71"/>
      <c r="AQ7" s="71"/>
      <c r="AR7" s="71"/>
      <c r="AS7" s="71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2"/>
      <c r="AQ8" s="72"/>
      <c r="AR8" s="72"/>
      <c r="AS8" s="72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32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72"/>
      <c r="AQ9" s="72"/>
      <c r="AR9" s="72"/>
      <c r="AS9" s="72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67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68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230" t="s">
        <v>12</v>
      </c>
      <c r="D15" s="232"/>
      <c r="E15" s="230" t="s">
        <v>13</v>
      </c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2"/>
      <c r="AG15" s="230" t="s">
        <v>14</v>
      </c>
      <c r="AH15" s="231"/>
      <c r="AI15" s="231"/>
      <c r="AJ15" s="231"/>
      <c r="AK15" s="231"/>
      <c r="AL15" s="231"/>
      <c r="AM15" s="231"/>
      <c r="AN15" s="231"/>
      <c r="AO15" s="231"/>
      <c r="AP15" s="232"/>
      <c r="AQ15" s="230" t="s">
        <v>15</v>
      </c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2"/>
      <c r="BK15" s="17"/>
    </row>
    <row r="16" spans="1:63" s="18" customFormat="1" ht="15" customHeight="1" x14ac:dyDescent="0.25">
      <c r="A16" s="13"/>
      <c r="B16" s="20"/>
      <c r="C16" s="211">
        <v>1</v>
      </c>
      <c r="D16" s="213"/>
      <c r="E16" s="271" t="s">
        <v>33</v>
      </c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2"/>
      <c r="AB16" s="272"/>
      <c r="AC16" s="272"/>
      <c r="AD16" s="272"/>
      <c r="AE16" s="272"/>
      <c r="AF16" s="273"/>
      <c r="AG16" s="211" t="s">
        <v>20</v>
      </c>
      <c r="AH16" s="212"/>
      <c r="AI16" s="212"/>
      <c r="AJ16" s="212"/>
      <c r="AK16" s="212"/>
      <c r="AL16" s="212"/>
      <c r="AM16" s="212"/>
      <c r="AN16" s="212"/>
      <c r="AO16" s="212"/>
      <c r="AP16" s="213"/>
      <c r="AQ16" s="245" t="s">
        <v>6</v>
      </c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7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69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08" t="s">
        <v>70</v>
      </c>
      <c r="D20" s="270"/>
      <c r="E20" s="208" t="s">
        <v>71</v>
      </c>
      <c r="F20" s="269"/>
      <c r="G20" s="269"/>
      <c r="H20" s="269"/>
      <c r="I20" s="269"/>
      <c r="J20" s="269"/>
      <c r="K20" s="270"/>
      <c r="L20" s="230" t="s">
        <v>16</v>
      </c>
      <c r="M20" s="231"/>
      <c r="N20" s="232"/>
      <c r="O20" s="230" t="s">
        <v>17</v>
      </c>
      <c r="P20" s="231"/>
      <c r="Q20" s="231"/>
      <c r="R20" s="232"/>
      <c r="S20" s="230" t="s">
        <v>18</v>
      </c>
      <c r="T20" s="231"/>
      <c r="U20" s="231"/>
      <c r="V20" s="231"/>
      <c r="W20" s="231"/>
      <c r="X20" s="231"/>
      <c r="Y20" s="232"/>
      <c r="Z20" s="208" t="s">
        <v>72</v>
      </c>
      <c r="AA20" s="269"/>
      <c r="AB20" s="269"/>
      <c r="AC20" s="269"/>
      <c r="AD20" s="269"/>
      <c r="AE20" s="269"/>
      <c r="AF20" s="269"/>
      <c r="AG20" s="269"/>
      <c r="AH20" s="269"/>
      <c r="AI20" s="269"/>
      <c r="AJ20" s="269"/>
      <c r="AK20" s="269"/>
      <c r="AL20" s="269"/>
      <c r="AM20" s="269"/>
      <c r="AN20" s="269"/>
      <c r="AO20" s="269"/>
      <c r="AP20" s="270"/>
      <c r="AQ20" s="230" t="s">
        <v>15</v>
      </c>
      <c r="AR20" s="231"/>
      <c r="AS20" s="231"/>
      <c r="AT20" s="231"/>
      <c r="AU20" s="231"/>
      <c r="AV20" s="231"/>
      <c r="AW20" s="231"/>
      <c r="AX20" s="231"/>
      <c r="AY20" s="231"/>
      <c r="AZ20" s="231"/>
      <c r="BA20" s="231"/>
      <c r="BB20" s="231"/>
      <c r="BC20" s="231"/>
      <c r="BD20" s="231"/>
      <c r="BE20" s="231"/>
      <c r="BF20" s="231"/>
      <c r="BG20" s="231"/>
      <c r="BH20" s="231"/>
      <c r="BI20" s="231"/>
      <c r="BJ20" s="232"/>
      <c r="BK20" s="17"/>
    </row>
    <row r="21" spans="1:63" s="18" customFormat="1" ht="15" customHeight="1" x14ac:dyDescent="0.25">
      <c r="A21" s="13"/>
      <c r="B21" s="20"/>
      <c r="C21" s="214">
        <v>1</v>
      </c>
      <c r="D21" s="215"/>
      <c r="E21" s="274" t="s">
        <v>3</v>
      </c>
      <c r="F21" s="275"/>
      <c r="G21" s="275"/>
      <c r="H21" s="275"/>
      <c r="I21" s="275"/>
      <c r="J21" s="275"/>
      <c r="K21" s="276"/>
      <c r="L21" s="263" t="s">
        <v>4</v>
      </c>
      <c r="M21" s="264"/>
      <c r="N21" s="265"/>
      <c r="O21" s="214" t="s">
        <v>5</v>
      </c>
      <c r="P21" s="256"/>
      <c r="Q21" s="256"/>
      <c r="R21" s="215"/>
      <c r="S21" s="214" t="s">
        <v>6</v>
      </c>
      <c r="T21" s="256"/>
      <c r="U21" s="256"/>
      <c r="V21" s="256"/>
      <c r="W21" s="256"/>
      <c r="X21" s="256"/>
      <c r="Y21" s="215"/>
      <c r="Z21" s="274" t="s">
        <v>7</v>
      </c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275"/>
      <c r="AP21" s="276"/>
      <c r="AQ21" s="250" t="s">
        <v>73</v>
      </c>
      <c r="AR21" s="251"/>
      <c r="AS21" s="251"/>
      <c r="AT21" s="251"/>
      <c r="AU21" s="251"/>
      <c r="AV21" s="251"/>
      <c r="AW21" s="251"/>
      <c r="AX21" s="251"/>
      <c r="AY21" s="251"/>
      <c r="AZ21" s="251"/>
      <c r="BA21" s="251"/>
      <c r="BB21" s="251"/>
      <c r="BC21" s="251"/>
      <c r="BD21" s="251"/>
      <c r="BE21" s="251"/>
      <c r="BF21" s="251"/>
      <c r="BG21" s="251"/>
      <c r="BH21" s="251"/>
      <c r="BI21" s="251"/>
      <c r="BJ21" s="252"/>
      <c r="BK21" s="17"/>
    </row>
    <row r="22" spans="1:63" s="18" customFormat="1" ht="15" customHeight="1" x14ac:dyDescent="0.25">
      <c r="A22" s="13"/>
      <c r="B22" s="20"/>
      <c r="C22" s="257"/>
      <c r="D22" s="259"/>
      <c r="E22" s="277"/>
      <c r="F22" s="278"/>
      <c r="G22" s="278"/>
      <c r="H22" s="278"/>
      <c r="I22" s="278"/>
      <c r="J22" s="278"/>
      <c r="K22" s="279"/>
      <c r="L22" s="266"/>
      <c r="M22" s="267"/>
      <c r="N22" s="268"/>
      <c r="O22" s="257"/>
      <c r="P22" s="258"/>
      <c r="Q22" s="258"/>
      <c r="R22" s="259"/>
      <c r="S22" s="257"/>
      <c r="T22" s="258"/>
      <c r="U22" s="258"/>
      <c r="V22" s="258"/>
      <c r="W22" s="258"/>
      <c r="X22" s="258"/>
      <c r="Y22" s="259"/>
      <c r="Z22" s="277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  <c r="AL22" s="278"/>
      <c r="AM22" s="278"/>
      <c r="AN22" s="278"/>
      <c r="AO22" s="278"/>
      <c r="AP22" s="279"/>
      <c r="AQ22" s="253"/>
      <c r="AR22" s="254"/>
      <c r="AS22" s="254"/>
      <c r="AT22" s="254"/>
      <c r="AU22" s="254"/>
      <c r="AV22" s="254"/>
      <c r="AW22" s="254"/>
      <c r="AX22" s="254"/>
      <c r="AY22" s="254"/>
      <c r="AZ22" s="254"/>
      <c r="BA22" s="254"/>
      <c r="BB22" s="254"/>
      <c r="BC22" s="254"/>
      <c r="BD22" s="254"/>
      <c r="BE22" s="254"/>
      <c r="BF22" s="254"/>
      <c r="BG22" s="254"/>
      <c r="BH22" s="254"/>
      <c r="BI22" s="254"/>
      <c r="BJ22" s="255"/>
      <c r="BK22" s="17"/>
    </row>
    <row r="23" spans="1:63" s="18" customFormat="1" ht="15" customHeight="1" x14ac:dyDescent="0.25">
      <c r="A23" s="13"/>
      <c r="B23" s="20"/>
      <c r="C23" s="211">
        <v>2</v>
      </c>
      <c r="D23" s="213"/>
      <c r="E23" s="205" t="s">
        <v>8</v>
      </c>
      <c r="F23" s="206"/>
      <c r="G23" s="206"/>
      <c r="H23" s="206"/>
      <c r="I23" s="206"/>
      <c r="J23" s="206"/>
      <c r="K23" s="207"/>
      <c r="L23" s="195" t="s">
        <v>6</v>
      </c>
      <c r="M23" s="196"/>
      <c r="N23" s="197"/>
      <c r="O23" s="211" t="s">
        <v>5</v>
      </c>
      <c r="P23" s="212"/>
      <c r="Q23" s="212"/>
      <c r="R23" s="213"/>
      <c r="S23" s="211" t="s">
        <v>6</v>
      </c>
      <c r="T23" s="212"/>
      <c r="U23" s="212"/>
      <c r="V23" s="212"/>
      <c r="W23" s="212"/>
      <c r="X23" s="212"/>
      <c r="Y23" s="213"/>
      <c r="Z23" s="205" t="s">
        <v>8</v>
      </c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7"/>
      <c r="AQ23" s="233"/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5"/>
      <c r="BK23" s="17"/>
    </row>
    <row r="24" spans="1:63" s="18" customFormat="1" ht="15" customHeight="1" x14ac:dyDescent="0.25">
      <c r="A24" s="13"/>
      <c r="B24" s="20"/>
      <c r="C24" s="214">
        <v>3</v>
      </c>
      <c r="D24" s="215"/>
      <c r="E24" s="274" t="s">
        <v>9</v>
      </c>
      <c r="F24" s="275"/>
      <c r="G24" s="275"/>
      <c r="H24" s="275"/>
      <c r="I24" s="275"/>
      <c r="J24" s="275"/>
      <c r="K24" s="276"/>
      <c r="L24" s="242" t="s">
        <v>4</v>
      </c>
      <c r="M24" s="243"/>
      <c r="N24" s="244"/>
      <c r="O24" s="239" t="s">
        <v>5</v>
      </c>
      <c r="P24" s="240"/>
      <c r="Q24" s="240"/>
      <c r="R24" s="241"/>
      <c r="S24" s="75" t="s">
        <v>24</v>
      </c>
      <c r="T24" s="76"/>
      <c r="U24" s="76"/>
      <c r="V24" s="76"/>
      <c r="W24" s="76"/>
      <c r="X24" s="76"/>
      <c r="Y24" s="77"/>
      <c r="Z24" s="260" t="s">
        <v>9</v>
      </c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2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48"/>
      <c r="BJ24" s="249"/>
      <c r="BK24" s="17"/>
    </row>
    <row r="25" spans="1:63" s="18" customFormat="1" ht="15" customHeight="1" x14ac:dyDescent="0.25">
      <c r="A25" s="13"/>
      <c r="B25" s="20"/>
      <c r="C25" s="211">
        <v>4</v>
      </c>
      <c r="D25" s="213"/>
      <c r="E25" s="205" t="s">
        <v>10</v>
      </c>
      <c r="F25" s="206"/>
      <c r="G25" s="206"/>
      <c r="H25" s="206"/>
      <c r="I25" s="206"/>
      <c r="J25" s="206"/>
      <c r="K25" s="207"/>
      <c r="L25" s="195" t="s">
        <v>6</v>
      </c>
      <c r="M25" s="196"/>
      <c r="N25" s="197"/>
      <c r="O25" s="211" t="s">
        <v>5</v>
      </c>
      <c r="P25" s="212"/>
      <c r="Q25" s="212"/>
      <c r="R25" s="213"/>
      <c r="S25" s="211" t="s">
        <v>6</v>
      </c>
      <c r="T25" s="212"/>
      <c r="U25" s="212"/>
      <c r="V25" s="212"/>
      <c r="W25" s="212"/>
      <c r="X25" s="212"/>
      <c r="Y25" s="213"/>
      <c r="Z25" s="205" t="s">
        <v>10</v>
      </c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7"/>
      <c r="AQ25" s="233"/>
      <c r="AR25" s="234"/>
      <c r="AS25" s="234"/>
      <c r="AT25" s="234"/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  <c r="BE25" s="234"/>
      <c r="BF25" s="234"/>
      <c r="BG25" s="234"/>
      <c r="BH25" s="234"/>
      <c r="BI25" s="234"/>
      <c r="BJ25" s="235"/>
      <c r="BK25" s="17"/>
    </row>
    <row r="26" spans="1:63" s="18" customFormat="1" ht="15" customHeight="1" x14ac:dyDescent="0.25">
      <c r="A26" s="13"/>
      <c r="B26" s="20"/>
      <c r="C26" s="211">
        <v>5</v>
      </c>
      <c r="D26" s="213"/>
      <c r="E26" s="205" t="s">
        <v>11</v>
      </c>
      <c r="F26" s="206"/>
      <c r="G26" s="206"/>
      <c r="H26" s="206"/>
      <c r="I26" s="206"/>
      <c r="J26" s="206"/>
      <c r="K26" s="207"/>
      <c r="L26" s="195" t="s">
        <v>6</v>
      </c>
      <c r="M26" s="196"/>
      <c r="N26" s="197"/>
      <c r="O26" s="211" t="s">
        <v>5</v>
      </c>
      <c r="P26" s="212"/>
      <c r="Q26" s="212"/>
      <c r="R26" s="213"/>
      <c r="S26" s="211" t="s">
        <v>6</v>
      </c>
      <c r="T26" s="212"/>
      <c r="U26" s="212"/>
      <c r="V26" s="212"/>
      <c r="W26" s="212"/>
      <c r="X26" s="212"/>
      <c r="Y26" s="213"/>
      <c r="Z26" s="205" t="s">
        <v>11</v>
      </c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7"/>
      <c r="AQ26" s="233"/>
      <c r="AR26" s="234"/>
      <c r="AS26" s="234"/>
      <c r="AT26" s="234"/>
      <c r="AU26" s="234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34"/>
      <c r="BG26" s="234"/>
      <c r="BH26" s="234"/>
      <c r="BI26" s="234"/>
      <c r="BJ26" s="235"/>
      <c r="BK26" s="17"/>
    </row>
    <row r="27" spans="1:63" s="18" customFormat="1" ht="15" customHeight="1" x14ac:dyDescent="0.25">
      <c r="A27" s="13"/>
      <c r="B27" s="20"/>
      <c r="C27" s="20"/>
      <c r="D27" s="20"/>
      <c r="E27" s="72"/>
      <c r="F27" s="72"/>
      <c r="G27" s="72"/>
      <c r="H27" s="72"/>
      <c r="I27" s="20"/>
      <c r="J27" s="20"/>
      <c r="K27" s="20"/>
      <c r="L27" s="29"/>
      <c r="M27" s="72"/>
      <c r="N27" s="72"/>
      <c r="O27" s="72"/>
      <c r="P27" s="72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72"/>
      <c r="AH27" s="72"/>
      <c r="AI27" s="72"/>
      <c r="AJ27" s="72"/>
      <c r="AK27" s="72"/>
      <c r="AL27" s="72"/>
      <c r="AM27" s="72"/>
      <c r="AN27" s="72"/>
      <c r="AO27" s="72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3" t="s">
        <v>74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03" t="s">
        <v>12</v>
      </c>
      <c r="D30" s="204"/>
      <c r="E30" s="208" t="s">
        <v>75</v>
      </c>
      <c r="F30" s="209"/>
      <c r="G30" s="209"/>
      <c r="H30" s="209"/>
      <c r="I30" s="209"/>
      <c r="J30" s="209"/>
      <c r="K30" s="210"/>
      <c r="L30" s="230" t="s">
        <v>16</v>
      </c>
      <c r="M30" s="231"/>
      <c r="N30" s="232"/>
      <c r="O30" s="230" t="s">
        <v>17</v>
      </c>
      <c r="P30" s="231"/>
      <c r="Q30" s="231"/>
      <c r="R30" s="232"/>
      <c r="S30" s="230" t="s">
        <v>18</v>
      </c>
      <c r="T30" s="231"/>
      <c r="U30" s="231"/>
      <c r="V30" s="231"/>
      <c r="W30" s="231"/>
      <c r="X30" s="231"/>
      <c r="Y30" s="232"/>
      <c r="Z30" s="208" t="s">
        <v>72</v>
      </c>
      <c r="AA30" s="269"/>
      <c r="AB30" s="269"/>
      <c r="AC30" s="269"/>
      <c r="AD30" s="269"/>
      <c r="AE30" s="269"/>
      <c r="AF30" s="269"/>
      <c r="AG30" s="269"/>
      <c r="AH30" s="269"/>
      <c r="AI30" s="269"/>
      <c r="AJ30" s="269"/>
      <c r="AK30" s="269"/>
      <c r="AL30" s="269"/>
      <c r="AM30" s="269"/>
      <c r="AN30" s="269"/>
      <c r="AO30" s="269"/>
      <c r="AP30" s="270"/>
      <c r="AQ30" s="236" t="s">
        <v>15</v>
      </c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8"/>
      <c r="BK30" s="17"/>
    </row>
    <row r="31" spans="1:63" s="18" customFormat="1" ht="15" customHeight="1" x14ac:dyDescent="0.25">
      <c r="A31" s="13"/>
      <c r="B31" s="20"/>
      <c r="C31" s="195" t="s">
        <v>21</v>
      </c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7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76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03" t="s">
        <v>12</v>
      </c>
      <c r="D35" s="204"/>
      <c r="E35" s="229" t="s">
        <v>19</v>
      </c>
      <c r="F35" s="209"/>
      <c r="G35" s="209"/>
      <c r="H35" s="209"/>
      <c r="I35" s="209"/>
      <c r="J35" s="209"/>
      <c r="K35" s="210"/>
      <c r="L35" s="230" t="s">
        <v>16</v>
      </c>
      <c r="M35" s="231"/>
      <c r="N35" s="232"/>
      <c r="O35" s="230" t="s">
        <v>17</v>
      </c>
      <c r="P35" s="231"/>
      <c r="Q35" s="231"/>
      <c r="R35" s="232"/>
      <c r="S35" s="230" t="s">
        <v>18</v>
      </c>
      <c r="T35" s="231"/>
      <c r="U35" s="231"/>
      <c r="V35" s="231"/>
      <c r="W35" s="231"/>
      <c r="X35" s="231"/>
      <c r="Y35" s="232"/>
      <c r="Z35" s="208" t="s">
        <v>72</v>
      </c>
      <c r="AA35" s="269"/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  <c r="AL35" s="269"/>
      <c r="AM35" s="269"/>
      <c r="AN35" s="269"/>
      <c r="AO35" s="269"/>
      <c r="AP35" s="270"/>
      <c r="AQ35" s="236" t="s">
        <v>15</v>
      </c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8"/>
      <c r="BK35" s="17"/>
    </row>
    <row r="36" spans="1:63" s="47" customFormat="1" ht="87.75" customHeight="1" x14ac:dyDescent="0.25">
      <c r="A36" s="44"/>
      <c r="B36" s="45"/>
      <c r="C36" s="216">
        <v>1</v>
      </c>
      <c r="D36" s="217"/>
      <c r="E36" s="216" t="s">
        <v>77</v>
      </c>
      <c r="F36" s="218"/>
      <c r="G36" s="218"/>
      <c r="H36" s="218"/>
      <c r="I36" s="218"/>
      <c r="J36" s="218"/>
      <c r="K36" s="217"/>
      <c r="L36" s="219" t="s">
        <v>4</v>
      </c>
      <c r="M36" s="220"/>
      <c r="N36" s="221"/>
      <c r="O36" s="216" t="s">
        <v>78</v>
      </c>
      <c r="P36" s="218"/>
      <c r="Q36" s="218"/>
      <c r="R36" s="217"/>
      <c r="S36" s="211" t="s">
        <v>6</v>
      </c>
      <c r="T36" s="212"/>
      <c r="U36" s="212"/>
      <c r="V36" s="212"/>
      <c r="W36" s="212"/>
      <c r="X36" s="212"/>
      <c r="Y36" s="213"/>
      <c r="Z36" s="222" t="s">
        <v>79</v>
      </c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7"/>
      <c r="AQ36" s="223" t="s">
        <v>80</v>
      </c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5"/>
      <c r="BK36" s="46"/>
    </row>
    <row r="37" spans="1:63" s="18" customFormat="1" ht="15" customHeight="1" x14ac:dyDescent="0.25">
      <c r="A37" s="13"/>
      <c r="B37" s="20"/>
      <c r="C37" s="198">
        <v>2</v>
      </c>
      <c r="D37" s="199"/>
      <c r="E37" s="200" t="s">
        <v>31</v>
      </c>
      <c r="F37" s="201"/>
      <c r="G37" s="201"/>
      <c r="H37" s="201"/>
      <c r="I37" s="201"/>
      <c r="J37" s="201"/>
      <c r="K37" s="202"/>
      <c r="L37" s="195" t="s">
        <v>4</v>
      </c>
      <c r="M37" s="196"/>
      <c r="N37" s="197"/>
      <c r="O37" s="200" t="s">
        <v>5</v>
      </c>
      <c r="P37" s="201"/>
      <c r="Q37" s="201"/>
      <c r="R37" s="202"/>
      <c r="S37" s="211" t="s">
        <v>6</v>
      </c>
      <c r="T37" s="212"/>
      <c r="U37" s="212"/>
      <c r="V37" s="212"/>
      <c r="W37" s="212"/>
      <c r="X37" s="212"/>
      <c r="Y37" s="213"/>
      <c r="Z37" s="205" t="s">
        <v>38</v>
      </c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7"/>
      <c r="AQ37" s="280"/>
      <c r="AR37" s="281"/>
      <c r="AS37" s="281"/>
      <c r="AT37" s="281"/>
      <c r="AU37" s="281"/>
      <c r="AV37" s="281"/>
      <c r="AW37" s="281"/>
      <c r="AX37" s="281"/>
      <c r="AY37" s="281"/>
      <c r="AZ37" s="281"/>
      <c r="BA37" s="281"/>
      <c r="BB37" s="281"/>
      <c r="BC37" s="281"/>
      <c r="BD37" s="281"/>
      <c r="BE37" s="281"/>
      <c r="BF37" s="281"/>
      <c r="BG37" s="281"/>
      <c r="BH37" s="281"/>
      <c r="BI37" s="281"/>
      <c r="BJ37" s="282"/>
      <c r="BK37" s="17"/>
    </row>
    <row r="38" spans="1:63" s="18" customFormat="1" x14ac:dyDescent="0.25">
      <c r="A38" s="13"/>
      <c r="B38" s="20"/>
      <c r="C38" s="198">
        <v>3</v>
      </c>
      <c r="D38" s="199"/>
      <c r="E38" s="226" t="s">
        <v>25</v>
      </c>
      <c r="F38" s="227"/>
      <c r="G38" s="227"/>
      <c r="H38" s="227"/>
      <c r="I38" s="227"/>
      <c r="J38" s="227"/>
      <c r="K38" s="228"/>
      <c r="L38" s="195" t="s">
        <v>4</v>
      </c>
      <c r="M38" s="196"/>
      <c r="N38" s="197"/>
      <c r="O38" s="200" t="s">
        <v>5</v>
      </c>
      <c r="P38" s="201"/>
      <c r="Q38" s="201"/>
      <c r="R38" s="202"/>
      <c r="S38" s="211" t="s">
        <v>6</v>
      </c>
      <c r="T38" s="212"/>
      <c r="U38" s="212"/>
      <c r="V38" s="212"/>
      <c r="W38" s="212"/>
      <c r="X38" s="212"/>
      <c r="Y38" s="213"/>
      <c r="Z38" s="205" t="s">
        <v>39</v>
      </c>
      <c r="AA38" s="206"/>
      <c r="AB38" s="206"/>
      <c r="AC38" s="206"/>
      <c r="AD38" s="206"/>
      <c r="AE38" s="206"/>
      <c r="AF38" s="206"/>
      <c r="AG38" s="206"/>
      <c r="AH38" s="206"/>
      <c r="AI38" s="206"/>
      <c r="AJ38" s="206"/>
      <c r="AK38" s="206"/>
      <c r="AL38" s="206"/>
      <c r="AM38" s="206"/>
      <c r="AN38" s="206"/>
      <c r="AO38" s="206"/>
      <c r="AP38" s="207"/>
      <c r="AQ38" s="283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5"/>
      <c r="BK38" s="17"/>
    </row>
    <row r="39" spans="1:63" s="18" customFormat="1" x14ac:dyDescent="0.25">
      <c r="A39" s="13"/>
      <c r="B39" s="20"/>
      <c r="C39" s="198">
        <v>4</v>
      </c>
      <c r="D39" s="199"/>
      <c r="E39" s="226" t="s">
        <v>26</v>
      </c>
      <c r="F39" s="227"/>
      <c r="G39" s="227"/>
      <c r="H39" s="227"/>
      <c r="I39" s="227"/>
      <c r="J39" s="227"/>
      <c r="K39" s="228"/>
      <c r="L39" s="192" t="s">
        <v>6</v>
      </c>
      <c r="M39" s="193"/>
      <c r="N39" s="194"/>
      <c r="O39" s="200" t="s">
        <v>5</v>
      </c>
      <c r="P39" s="201"/>
      <c r="Q39" s="201"/>
      <c r="R39" s="202"/>
      <c r="S39" s="211" t="s">
        <v>6</v>
      </c>
      <c r="T39" s="212"/>
      <c r="U39" s="212"/>
      <c r="V39" s="212"/>
      <c r="W39" s="212"/>
      <c r="X39" s="212"/>
      <c r="Y39" s="213"/>
      <c r="Z39" s="205" t="s">
        <v>40</v>
      </c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7"/>
      <c r="AQ39" s="287"/>
      <c r="AR39" s="288"/>
      <c r="AS39" s="288"/>
      <c r="AT39" s="288"/>
      <c r="AU39" s="288"/>
      <c r="AV39" s="288"/>
      <c r="AW39" s="288"/>
      <c r="AX39" s="288"/>
      <c r="AY39" s="288"/>
      <c r="AZ39" s="288"/>
      <c r="BA39" s="288"/>
      <c r="BB39" s="288"/>
      <c r="BC39" s="288"/>
      <c r="BD39" s="288"/>
      <c r="BE39" s="288"/>
      <c r="BF39" s="288"/>
      <c r="BG39" s="288"/>
      <c r="BH39" s="288"/>
      <c r="BI39" s="288"/>
      <c r="BJ39" s="289"/>
      <c r="BK39" s="17"/>
    </row>
    <row r="40" spans="1:63" s="18" customFormat="1" x14ac:dyDescent="0.25">
      <c r="A40" s="13"/>
      <c r="B40" s="20"/>
      <c r="C40" s="198">
        <v>5</v>
      </c>
      <c r="D40" s="199"/>
      <c r="E40" s="226" t="s">
        <v>27</v>
      </c>
      <c r="F40" s="227"/>
      <c r="G40" s="227"/>
      <c r="H40" s="227"/>
      <c r="I40" s="227"/>
      <c r="J40" s="227"/>
      <c r="K40" s="228"/>
      <c r="L40" s="192" t="s">
        <v>6</v>
      </c>
      <c r="M40" s="193"/>
      <c r="N40" s="194"/>
      <c r="O40" s="200" t="s">
        <v>5</v>
      </c>
      <c r="P40" s="201"/>
      <c r="Q40" s="201"/>
      <c r="R40" s="202"/>
      <c r="S40" s="211" t="s">
        <v>6</v>
      </c>
      <c r="T40" s="212"/>
      <c r="U40" s="212"/>
      <c r="V40" s="212"/>
      <c r="W40" s="212"/>
      <c r="X40" s="212"/>
      <c r="Y40" s="213"/>
      <c r="Z40" s="205" t="s">
        <v>41</v>
      </c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K40" s="206"/>
      <c r="AL40" s="206"/>
      <c r="AM40" s="206"/>
      <c r="AN40" s="206"/>
      <c r="AO40" s="206"/>
      <c r="AP40" s="207"/>
      <c r="AQ40" s="287"/>
      <c r="AR40" s="288"/>
      <c r="AS40" s="288"/>
      <c r="AT40" s="288"/>
      <c r="AU40" s="288"/>
      <c r="AV40" s="288"/>
      <c r="AW40" s="288"/>
      <c r="AX40" s="288"/>
      <c r="AY40" s="288"/>
      <c r="AZ40" s="288"/>
      <c r="BA40" s="288"/>
      <c r="BB40" s="288"/>
      <c r="BC40" s="288"/>
      <c r="BD40" s="288"/>
      <c r="BE40" s="288"/>
      <c r="BF40" s="288"/>
      <c r="BG40" s="288"/>
      <c r="BH40" s="288"/>
      <c r="BI40" s="288"/>
      <c r="BJ40" s="289"/>
      <c r="BK40" s="17"/>
    </row>
    <row r="41" spans="1:63" s="18" customFormat="1" ht="15" customHeight="1" x14ac:dyDescent="0.25">
      <c r="A41" s="13"/>
      <c r="B41" s="20"/>
      <c r="C41" s="198">
        <v>6</v>
      </c>
      <c r="D41" s="199"/>
      <c r="E41" s="200" t="s">
        <v>30</v>
      </c>
      <c r="F41" s="201"/>
      <c r="G41" s="201"/>
      <c r="H41" s="201"/>
      <c r="I41" s="201"/>
      <c r="J41" s="201"/>
      <c r="K41" s="202"/>
      <c r="L41" s="195" t="s">
        <v>4</v>
      </c>
      <c r="M41" s="196"/>
      <c r="N41" s="197"/>
      <c r="O41" s="200" t="s">
        <v>29</v>
      </c>
      <c r="P41" s="201"/>
      <c r="Q41" s="201"/>
      <c r="R41" s="202"/>
      <c r="S41" s="211"/>
      <c r="T41" s="212"/>
      <c r="U41" s="212"/>
      <c r="V41" s="212"/>
      <c r="W41" s="212"/>
      <c r="X41" s="212"/>
      <c r="Y41" s="213"/>
      <c r="Z41" s="205" t="s">
        <v>42</v>
      </c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7"/>
      <c r="AQ41" s="280"/>
      <c r="AR41" s="281"/>
      <c r="AS41" s="281"/>
      <c r="AT41" s="281"/>
      <c r="AU41" s="281"/>
      <c r="AV41" s="281"/>
      <c r="AW41" s="281"/>
      <c r="AX41" s="281"/>
      <c r="AY41" s="281"/>
      <c r="AZ41" s="281"/>
      <c r="BA41" s="281"/>
      <c r="BB41" s="281"/>
      <c r="BC41" s="281"/>
      <c r="BD41" s="281"/>
      <c r="BE41" s="281"/>
      <c r="BF41" s="281"/>
      <c r="BG41" s="281"/>
      <c r="BH41" s="281"/>
      <c r="BI41" s="281"/>
      <c r="BJ41" s="282"/>
      <c r="BK41" s="17"/>
    </row>
    <row r="42" spans="1:63" s="18" customFormat="1" ht="33" customHeight="1" x14ac:dyDescent="0.25">
      <c r="A42" s="13"/>
      <c r="B42" s="20"/>
      <c r="C42" s="198">
        <v>7</v>
      </c>
      <c r="D42" s="199"/>
      <c r="E42" s="290" t="s">
        <v>31</v>
      </c>
      <c r="F42" s="291"/>
      <c r="G42" s="291"/>
      <c r="H42" s="291"/>
      <c r="I42" s="291"/>
      <c r="J42" s="291"/>
      <c r="K42" s="292"/>
      <c r="L42" s="195" t="s">
        <v>4</v>
      </c>
      <c r="M42" s="196"/>
      <c r="N42" s="197"/>
      <c r="O42" s="200" t="s">
        <v>5</v>
      </c>
      <c r="P42" s="201"/>
      <c r="Q42" s="201"/>
      <c r="R42" s="202"/>
      <c r="S42" s="211" t="s">
        <v>6</v>
      </c>
      <c r="T42" s="212"/>
      <c r="U42" s="212"/>
      <c r="V42" s="212"/>
      <c r="W42" s="212"/>
      <c r="X42" s="212"/>
      <c r="Y42" s="213"/>
      <c r="Z42" s="286" t="s">
        <v>81</v>
      </c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7"/>
      <c r="AQ42" s="280" t="s">
        <v>82</v>
      </c>
      <c r="AR42" s="281"/>
      <c r="AS42" s="281"/>
      <c r="AT42" s="281"/>
      <c r="AU42" s="281"/>
      <c r="AV42" s="281"/>
      <c r="AW42" s="281"/>
      <c r="AX42" s="281"/>
      <c r="AY42" s="281"/>
      <c r="AZ42" s="281"/>
      <c r="BA42" s="281"/>
      <c r="BB42" s="281"/>
      <c r="BC42" s="281"/>
      <c r="BD42" s="281"/>
      <c r="BE42" s="281"/>
      <c r="BF42" s="281"/>
      <c r="BG42" s="281"/>
      <c r="BH42" s="281"/>
      <c r="BI42" s="281"/>
      <c r="BJ42" s="282"/>
      <c r="BK42" s="17"/>
    </row>
    <row r="43" spans="1:63" s="18" customFormat="1" ht="118.5" customHeight="1" x14ac:dyDescent="0.25">
      <c r="A43" s="13"/>
      <c r="B43" s="20"/>
      <c r="C43" s="198">
        <v>8</v>
      </c>
      <c r="D43" s="199"/>
      <c r="E43" s="293" t="s">
        <v>25</v>
      </c>
      <c r="F43" s="294"/>
      <c r="G43" s="294"/>
      <c r="H43" s="294"/>
      <c r="I43" s="294"/>
      <c r="J43" s="294"/>
      <c r="K43" s="295"/>
      <c r="L43" s="195" t="s">
        <v>4</v>
      </c>
      <c r="M43" s="196"/>
      <c r="N43" s="197"/>
      <c r="O43" s="200" t="s">
        <v>5</v>
      </c>
      <c r="P43" s="201"/>
      <c r="Q43" s="201"/>
      <c r="R43" s="202"/>
      <c r="S43" s="211" t="s">
        <v>6</v>
      </c>
      <c r="T43" s="212"/>
      <c r="U43" s="212"/>
      <c r="V43" s="212"/>
      <c r="W43" s="212"/>
      <c r="X43" s="212"/>
      <c r="Y43" s="213"/>
      <c r="Z43" s="286" t="s">
        <v>83</v>
      </c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7"/>
      <c r="AQ43" s="283" t="s">
        <v>101</v>
      </c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284"/>
      <c r="BI43" s="284"/>
      <c r="BJ43" s="285"/>
      <c r="BK43" s="17"/>
    </row>
    <row r="44" spans="1:63" s="18" customFormat="1" ht="30.75" customHeight="1" x14ac:dyDescent="0.25">
      <c r="A44" s="13"/>
      <c r="B44" s="20"/>
      <c r="C44" s="198">
        <v>9</v>
      </c>
      <c r="D44" s="199"/>
      <c r="E44" s="293" t="s">
        <v>26</v>
      </c>
      <c r="F44" s="294"/>
      <c r="G44" s="294"/>
      <c r="H44" s="294"/>
      <c r="I44" s="294"/>
      <c r="J44" s="294"/>
      <c r="K44" s="295"/>
      <c r="L44" s="195" t="s">
        <v>4</v>
      </c>
      <c r="M44" s="196"/>
      <c r="N44" s="197"/>
      <c r="O44" s="200" t="s">
        <v>5</v>
      </c>
      <c r="P44" s="201"/>
      <c r="Q44" s="201"/>
      <c r="R44" s="202"/>
      <c r="S44" s="211" t="s">
        <v>6</v>
      </c>
      <c r="T44" s="212"/>
      <c r="U44" s="212"/>
      <c r="V44" s="212"/>
      <c r="W44" s="212"/>
      <c r="X44" s="212"/>
      <c r="Y44" s="213"/>
      <c r="Z44" s="286" t="s">
        <v>84</v>
      </c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7"/>
      <c r="AQ44" s="287" t="s">
        <v>85</v>
      </c>
      <c r="AR44" s="288"/>
      <c r="AS44" s="288"/>
      <c r="AT44" s="288"/>
      <c r="AU44" s="288"/>
      <c r="AV44" s="288"/>
      <c r="AW44" s="288"/>
      <c r="AX44" s="288"/>
      <c r="AY44" s="288"/>
      <c r="AZ44" s="288"/>
      <c r="BA44" s="288"/>
      <c r="BB44" s="288"/>
      <c r="BC44" s="288"/>
      <c r="BD44" s="288"/>
      <c r="BE44" s="288"/>
      <c r="BF44" s="288"/>
      <c r="BG44" s="288"/>
      <c r="BH44" s="288"/>
      <c r="BI44" s="288"/>
      <c r="BJ44" s="289"/>
      <c r="BK44" s="17"/>
    </row>
    <row r="45" spans="1:63" s="18" customFormat="1" ht="70.5" customHeight="1" x14ac:dyDescent="0.25">
      <c r="A45" s="13"/>
      <c r="B45" s="20"/>
      <c r="C45" s="198">
        <v>10</v>
      </c>
      <c r="D45" s="199"/>
      <c r="E45" s="293" t="s">
        <v>27</v>
      </c>
      <c r="F45" s="294"/>
      <c r="G45" s="294"/>
      <c r="H45" s="294"/>
      <c r="I45" s="294"/>
      <c r="J45" s="294"/>
      <c r="K45" s="295"/>
      <c r="L45" s="195" t="s">
        <v>4</v>
      </c>
      <c r="M45" s="196"/>
      <c r="N45" s="197"/>
      <c r="O45" s="200" t="s">
        <v>5</v>
      </c>
      <c r="P45" s="201"/>
      <c r="Q45" s="201"/>
      <c r="R45" s="202"/>
      <c r="S45" s="211" t="s">
        <v>6</v>
      </c>
      <c r="T45" s="212"/>
      <c r="U45" s="212"/>
      <c r="V45" s="212"/>
      <c r="W45" s="212"/>
      <c r="X45" s="212"/>
      <c r="Y45" s="213"/>
      <c r="Z45" s="286" t="s">
        <v>43</v>
      </c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7"/>
      <c r="AQ45" s="223" t="s">
        <v>86</v>
      </c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7"/>
      <c r="BK45" s="17"/>
    </row>
    <row r="46" spans="1:63" s="18" customFormat="1" ht="15" customHeight="1" x14ac:dyDescent="0.25">
      <c r="A46" s="13"/>
      <c r="B46" s="20"/>
      <c r="C46" s="20"/>
      <c r="D46" s="20"/>
      <c r="E46" s="72"/>
      <c r="F46" s="72"/>
      <c r="G46" s="72"/>
      <c r="H46" s="72"/>
      <c r="I46" s="72"/>
      <c r="J46" s="72"/>
      <c r="K46" s="72"/>
      <c r="L46" s="42"/>
      <c r="M46" s="42"/>
      <c r="N46" s="42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17"/>
    </row>
    <row r="47" spans="1:63" s="18" customFormat="1" ht="15" customHeight="1" x14ac:dyDescent="0.25">
      <c r="A47" s="13"/>
      <c r="B47" s="20"/>
      <c r="C47" s="23" t="s">
        <v>87</v>
      </c>
      <c r="D47" s="20"/>
      <c r="E47" s="72"/>
      <c r="F47" s="20"/>
      <c r="G47" s="72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17"/>
    </row>
    <row r="48" spans="1:63" s="18" customFormat="1" ht="15" customHeight="1" x14ac:dyDescent="0.25">
      <c r="A48" s="13"/>
      <c r="B48" s="20"/>
      <c r="C48" s="23"/>
      <c r="D48" s="72"/>
      <c r="E48" s="72"/>
      <c r="F48" s="20"/>
      <c r="G48" s="72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17"/>
    </row>
    <row r="49" spans="1:63" s="18" customFormat="1" ht="15" customHeight="1" x14ac:dyDescent="0.25">
      <c r="A49" s="13"/>
      <c r="B49" s="20"/>
      <c r="C49" s="73" t="s">
        <v>22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24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17"/>
    </row>
    <row r="50" spans="1:63" s="18" customFormat="1" ht="15" customHeight="1" x14ac:dyDescent="0.25">
      <c r="A50" s="13"/>
      <c r="B50" s="20"/>
      <c r="C50" s="78" t="s">
        <v>34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5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17"/>
    </row>
    <row r="51" spans="1:63" s="18" customFormat="1" ht="15" customHeight="1" x14ac:dyDescent="0.25">
      <c r="A51" s="13"/>
      <c r="B51" s="20"/>
      <c r="C51" s="78"/>
      <c r="D51" s="79" t="s">
        <v>22</v>
      </c>
      <c r="E51" s="72"/>
      <c r="F51" s="72"/>
      <c r="G51" s="72"/>
      <c r="H51" s="72"/>
      <c r="I51" s="72"/>
      <c r="J51" s="72"/>
      <c r="K51" s="7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17"/>
    </row>
    <row r="52" spans="1:63" s="18" customFormat="1" ht="15" customHeight="1" x14ac:dyDescent="0.25">
      <c r="A52" s="13"/>
      <c r="B52" s="20"/>
      <c r="C52" s="80" t="s">
        <v>88</v>
      </c>
      <c r="D52" s="72"/>
      <c r="E52" s="72"/>
      <c r="F52" s="72"/>
      <c r="G52" s="72"/>
      <c r="H52" s="72"/>
      <c r="I52" s="72"/>
      <c r="J52" s="72"/>
      <c r="K52" s="7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17"/>
    </row>
    <row r="53" spans="1:63" s="18" customFormat="1" ht="15" customHeight="1" x14ac:dyDescent="0.25">
      <c r="A53" s="13"/>
      <c r="B53" s="20"/>
      <c r="C53" s="80" t="s">
        <v>89</v>
      </c>
      <c r="D53" s="72"/>
      <c r="E53" s="72"/>
      <c r="F53" s="72"/>
      <c r="G53" s="72"/>
      <c r="H53" s="72"/>
      <c r="I53" s="72"/>
      <c r="J53" s="72"/>
      <c r="K53" s="7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17"/>
    </row>
    <row r="54" spans="1:63" s="18" customFormat="1" ht="15" customHeight="1" x14ac:dyDescent="0.25">
      <c r="A54" s="13"/>
      <c r="B54" s="20"/>
      <c r="C54" s="78"/>
      <c r="D54" s="79"/>
      <c r="E54" s="79" t="s">
        <v>22</v>
      </c>
      <c r="F54" s="79"/>
      <c r="G54" s="79"/>
      <c r="H54" s="79"/>
      <c r="I54" s="72"/>
      <c r="J54" s="72"/>
      <c r="K54" s="72"/>
      <c r="L54" s="72"/>
      <c r="M54" s="72"/>
      <c r="N54" s="72"/>
      <c r="O54" s="72"/>
      <c r="P54" s="72"/>
      <c r="Q54" s="32"/>
      <c r="R54" s="32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17"/>
    </row>
    <row r="55" spans="1:63" s="18" customFormat="1" ht="15" customHeight="1" x14ac:dyDescent="0.25">
      <c r="A55" s="13"/>
      <c r="B55" s="20"/>
      <c r="C55" s="78"/>
      <c r="D55" s="79"/>
      <c r="E55" s="81" t="s">
        <v>90</v>
      </c>
      <c r="F55" s="79"/>
      <c r="G55" s="79"/>
      <c r="H55" s="79"/>
      <c r="I55" s="72"/>
      <c r="J55" s="72"/>
      <c r="K55" s="72"/>
      <c r="L55" s="72"/>
      <c r="M55" s="72"/>
      <c r="N55" s="72"/>
      <c r="O55" s="72"/>
      <c r="P55" s="72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17"/>
    </row>
    <row r="56" spans="1:63" s="18" customFormat="1" ht="15" customHeight="1" x14ac:dyDescent="0.25">
      <c r="A56" s="13"/>
      <c r="B56" s="20"/>
      <c r="C56" s="78"/>
      <c r="D56" s="79"/>
      <c r="E56" s="81" t="s">
        <v>91</v>
      </c>
      <c r="F56" s="79"/>
      <c r="G56" s="79"/>
      <c r="H56" s="79"/>
      <c r="I56" s="72"/>
      <c r="J56" s="72"/>
      <c r="K56" s="72"/>
      <c r="L56" s="72"/>
      <c r="M56" s="72"/>
      <c r="N56" s="72"/>
      <c r="O56" s="72"/>
      <c r="P56" s="72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17"/>
    </row>
    <row r="57" spans="1:63" s="18" customFormat="1" ht="15" customHeight="1" x14ac:dyDescent="0.25">
      <c r="A57" s="13"/>
      <c r="B57" s="20"/>
      <c r="C57" s="78"/>
      <c r="D57" s="79"/>
      <c r="E57" s="81" t="s">
        <v>36</v>
      </c>
      <c r="F57" s="79"/>
      <c r="G57" s="79"/>
      <c r="H57" s="79"/>
      <c r="I57" s="72"/>
      <c r="J57" s="72"/>
      <c r="K57" s="72"/>
      <c r="L57" s="72"/>
      <c r="M57" s="72"/>
      <c r="N57" s="72"/>
      <c r="O57" s="72"/>
      <c r="P57" s="72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17"/>
    </row>
    <row r="58" spans="1:63" s="18" customFormat="1" ht="15" customHeight="1" x14ac:dyDescent="0.25">
      <c r="A58" s="13"/>
      <c r="B58" s="20"/>
      <c r="C58" s="78"/>
      <c r="D58" s="79"/>
      <c r="E58" s="81" t="s">
        <v>92</v>
      </c>
      <c r="F58" s="79"/>
      <c r="G58" s="79"/>
      <c r="H58" s="79"/>
      <c r="I58" s="72"/>
      <c r="J58" s="72"/>
      <c r="K58" s="72"/>
      <c r="L58" s="72"/>
      <c r="M58" s="72"/>
      <c r="N58" s="72"/>
      <c r="O58" s="72"/>
      <c r="P58" s="72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17"/>
    </row>
    <row r="59" spans="1:63" s="18" customFormat="1" ht="15" customHeight="1" x14ac:dyDescent="0.25">
      <c r="A59" s="13"/>
      <c r="B59" s="20"/>
      <c r="C59" s="78"/>
      <c r="D59" s="79"/>
      <c r="E59" s="79" t="s">
        <v>35</v>
      </c>
      <c r="F59" s="79"/>
      <c r="G59" s="79"/>
      <c r="H59" s="79"/>
      <c r="I59" s="72"/>
      <c r="J59" s="72"/>
      <c r="K59" s="72"/>
      <c r="L59" s="72"/>
      <c r="M59" s="72"/>
      <c r="N59" s="72"/>
      <c r="O59" s="72"/>
      <c r="P59" s="7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17"/>
    </row>
    <row r="60" spans="1:63" s="18" customFormat="1" ht="15" customHeight="1" x14ac:dyDescent="0.25">
      <c r="A60" s="13"/>
      <c r="B60" s="20"/>
      <c r="C60" s="80" t="s">
        <v>93</v>
      </c>
      <c r="D60" s="72"/>
      <c r="E60" s="72"/>
      <c r="F60" s="72"/>
      <c r="G60" s="72"/>
      <c r="H60" s="72"/>
      <c r="I60" s="72"/>
      <c r="J60" s="72"/>
      <c r="K60" s="7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17"/>
    </row>
    <row r="61" spans="1:63" s="18" customFormat="1" ht="15" customHeight="1" x14ac:dyDescent="0.25">
      <c r="A61" s="13"/>
      <c r="B61" s="20"/>
      <c r="C61" s="78"/>
      <c r="D61" s="79"/>
      <c r="E61" s="79" t="s">
        <v>22</v>
      </c>
      <c r="F61" s="79"/>
      <c r="G61" s="79"/>
      <c r="H61" s="79"/>
      <c r="I61" s="72"/>
      <c r="J61" s="72"/>
      <c r="K61" s="72"/>
      <c r="L61" s="72"/>
      <c r="M61" s="72"/>
      <c r="N61" s="72"/>
      <c r="O61" s="72"/>
      <c r="P61" s="72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17"/>
    </row>
    <row r="62" spans="1:63" s="18" customFormat="1" ht="15" customHeight="1" x14ac:dyDescent="0.25">
      <c r="A62" s="13"/>
      <c r="B62" s="20"/>
      <c r="C62" s="78"/>
      <c r="D62" s="79"/>
      <c r="E62" s="81" t="s">
        <v>94</v>
      </c>
      <c r="F62" s="79"/>
      <c r="G62" s="79"/>
      <c r="H62" s="79"/>
      <c r="I62" s="72"/>
      <c r="J62" s="72"/>
      <c r="K62" s="72"/>
      <c r="L62" s="72"/>
      <c r="M62" s="72"/>
      <c r="N62" s="72"/>
      <c r="O62" s="72"/>
      <c r="P62" s="72"/>
      <c r="Q62" s="32"/>
      <c r="R62" s="32"/>
      <c r="S62" s="32"/>
      <c r="T62" s="32"/>
      <c r="U62" s="32"/>
      <c r="V62" s="3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5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17"/>
    </row>
    <row r="63" spans="1:63" s="18" customFormat="1" ht="15" customHeight="1" x14ac:dyDescent="0.25">
      <c r="A63" s="13"/>
      <c r="B63" s="20"/>
      <c r="C63" s="78"/>
      <c r="D63" s="79"/>
      <c r="E63" s="81" t="s">
        <v>95</v>
      </c>
      <c r="F63" s="79"/>
      <c r="G63" s="79"/>
      <c r="H63" s="79"/>
      <c r="I63" s="72"/>
      <c r="J63" s="72"/>
      <c r="K63" s="72"/>
      <c r="L63" s="72"/>
      <c r="M63" s="72"/>
      <c r="N63" s="72"/>
      <c r="O63" s="72"/>
      <c r="P63" s="72"/>
      <c r="Q63" s="32"/>
      <c r="R63" s="32"/>
      <c r="S63" s="32"/>
      <c r="T63" s="32"/>
      <c r="U63" s="32"/>
      <c r="V63" s="32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5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17"/>
    </row>
    <row r="64" spans="1:63" s="18" customFormat="1" ht="15" customHeight="1" x14ac:dyDescent="0.25">
      <c r="A64" s="13"/>
      <c r="B64" s="20"/>
      <c r="C64" s="78"/>
      <c r="D64" s="79"/>
      <c r="E64" s="81" t="s">
        <v>37</v>
      </c>
      <c r="F64" s="79"/>
      <c r="G64" s="79"/>
      <c r="H64" s="79"/>
      <c r="I64" s="72"/>
      <c r="J64" s="72"/>
      <c r="K64" s="72"/>
      <c r="L64" s="72"/>
      <c r="M64" s="72"/>
      <c r="N64" s="72"/>
      <c r="O64" s="72"/>
      <c r="P64" s="72"/>
      <c r="Q64" s="32"/>
      <c r="R64" s="32"/>
      <c r="S64" s="32"/>
      <c r="T64" s="32"/>
      <c r="U64" s="32"/>
      <c r="V64" s="32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5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17"/>
    </row>
    <row r="65" spans="1:63" s="18" customFormat="1" ht="15" customHeight="1" x14ac:dyDescent="0.25">
      <c r="A65" s="13"/>
      <c r="B65" s="20"/>
      <c r="C65" s="78"/>
      <c r="D65" s="79"/>
      <c r="E65" s="81" t="s">
        <v>96</v>
      </c>
      <c r="F65" s="79"/>
      <c r="G65" s="79"/>
      <c r="H65" s="79"/>
      <c r="I65" s="72"/>
      <c r="J65" s="72"/>
      <c r="K65" s="72"/>
      <c r="L65" s="72"/>
      <c r="M65" s="72"/>
      <c r="N65" s="72"/>
      <c r="O65" s="72"/>
      <c r="P65" s="72"/>
      <c r="Q65" s="32"/>
      <c r="R65" s="32"/>
      <c r="S65" s="32"/>
      <c r="T65" s="32"/>
      <c r="U65" s="32"/>
      <c r="V65" s="32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5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17"/>
    </row>
    <row r="66" spans="1:63" s="18" customFormat="1" ht="15" customHeight="1" x14ac:dyDescent="0.25">
      <c r="A66" s="13"/>
      <c r="B66" s="20"/>
      <c r="C66" s="78"/>
      <c r="D66" s="79"/>
      <c r="E66" s="79" t="s">
        <v>23</v>
      </c>
      <c r="F66" s="79"/>
      <c r="G66" s="79"/>
      <c r="H66" s="79"/>
      <c r="I66" s="72"/>
      <c r="J66" s="72"/>
      <c r="K66" s="72"/>
      <c r="L66" s="72"/>
      <c r="M66" s="72"/>
      <c r="N66" s="72"/>
      <c r="O66" s="72"/>
      <c r="P66" s="72"/>
      <c r="Q66" s="32"/>
      <c r="R66" s="32"/>
      <c r="S66" s="32"/>
      <c r="T66" s="32"/>
      <c r="U66" s="32"/>
      <c r="V66" s="32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5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17"/>
    </row>
    <row r="67" spans="1:63" s="18" customFormat="1" ht="15" customHeight="1" x14ac:dyDescent="0.25">
      <c r="A67" s="13"/>
      <c r="B67" s="20"/>
      <c r="C67" s="78"/>
      <c r="D67" s="79" t="s">
        <v>23</v>
      </c>
      <c r="E67" s="79"/>
      <c r="F67" s="79"/>
      <c r="G67" s="79"/>
      <c r="H67" s="79"/>
      <c r="I67" s="72"/>
      <c r="J67" s="72"/>
      <c r="K67" s="72"/>
      <c r="L67" s="72"/>
      <c r="M67" s="72"/>
      <c r="N67" s="72"/>
      <c r="O67" s="72"/>
      <c r="P67" s="72"/>
      <c r="Q67" s="32"/>
      <c r="R67" s="32"/>
      <c r="S67" s="32"/>
      <c r="T67" s="32"/>
      <c r="U67" s="32"/>
      <c r="V67" s="32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5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17"/>
    </row>
    <row r="68" spans="1:63" s="18" customFormat="1" ht="15" customHeight="1" x14ac:dyDescent="0.25">
      <c r="A68" s="13"/>
      <c r="B68" s="20"/>
      <c r="C68" s="74" t="s">
        <v>23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26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17"/>
    </row>
    <row r="69" spans="1:63" s="18" customFormat="1" ht="15" customHeight="1" x14ac:dyDescent="0.25">
      <c r="A69" s="13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2" t="s">
        <v>97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6"/>
      <c r="BI70" s="16"/>
      <c r="BJ70" s="16"/>
      <c r="BK70" s="17"/>
    </row>
    <row r="71" spans="1:63" s="18" customFormat="1" ht="15" customHeight="1" x14ac:dyDescent="0.25">
      <c r="A71" s="13"/>
      <c r="B71" s="19"/>
      <c r="C71" s="23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19"/>
      <c r="C72" s="23" t="s">
        <v>98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19"/>
      <c r="C73" s="23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19"/>
      <c r="C74" s="23" t="s">
        <v>99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19"/>
      <c r="C75" s="23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19"/>
      <c r="C76" s="23" t="s">
        <v>100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19"/>
      <c r="C77" s="23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19"/>
      <c r="C78" s="23" t="s">
        <v>99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40" customFormat="1" ht="15" customHeight="1" x14ac:dyDescent="0.25">
      <c r="A79" s="35"/>
      <c r="B79" s="36"/>
      <c r="C79" s="36"/>
      <c r="D79" s="36"/>
      <c r="E79" s="37"/>
      <c r="F79" s="37"/>
      <c r="G79" s="37"/>
      <c r="H79" s="37"/>
      <c r="I79" s="37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8"/>
      <c r="BI79" s="38"/>
      <c r="BJ79" s="38"/>
      <c r="BK79" s="39"/>
    </row>
  </sheetData>
  <mergeCells count="154">
    <mergeCell ref="S39:Y39"/>
    <mergeCell ref="O39:R39"/>
    <mergeCell ref="AQ39:BJ39"/>
    <mergeCell ref="AQ37:BJ37"/>
    <mergeCell ref="Z37:AP37"/>
    <mergeCell ref="L37:N37"/>
    <mergeCell ref="O37:R37"/>
    <mergeCell ref="S37:Y37"/>
    <mergeCell ref="C45:D45"/>
    <mergeCell ref="E45:K45"/>
    <mergeCell ref="L45:N45"/>
    <mergeCell ref="O45:R45"/>
    <mergeCell ref="S45:Y45"/>
    <mergeCell ref="Z45:AP45"/>
    <mergeCell ref="AQ45:BJ45"/>
    <mergeCell ref="C43:D43"/>
    <mergeCell ref="E43:K43"/>
    <mergeCell ref="L43:N43"/>
    <mergeCell ref="O43:R43"/>
    <mergeCell ref="S43:Y43"/>
    <mergeCell ref="Z43:AP43"/>
    <mergeCell ref="AQ43:BJ43"/>
    <mergeCell ref="C44:D44"/>
    <mergeCell ref="E44:K44"/>
    <mergeCell ref="L44:N44"/>
    <mergeCell ref="O44:R44"/>
    <mergeCell ref="S44:Y44"/>
    <mergeCell ref="Z44:AP44"/>
    <mergeCell ref="AQ44:BJ44"/>
    <mergeCell ref="Z30:AP30"/>
    <mergeCell ref="S30:Y30"/>
    <mergeCell ref="C42:D42"/>
    <mergeCell ref="E42:K42"/>
    <mergeCell ref="L42:N42"/>
    <mergeCell ref="O42:R42"/>
    <mergeCell ref="S42:Y42"/>
    <mergeCell ref="Z42:AP42"/>
    <mergeCell ref="AQ42:BJ42"/>
    <mergeCell ref="C40:D40"/>
    <mergeCell ref="E40:K40"/>
    <mergeCell ref="L40:N40"/>
    <mergeCell ref="O40:R40"/>
    <mergeCell ref="S40:Y40"/>
    <mergeCell ref="Z40:AP40"/>
    <mergeCell ref="AQ40:BJ40"/>
    <mergeCell ref="C41:D41"/>
    <mergeCell ref="E41:K41"/>
    <mergeCell ref="L41:N41"/>
    <mergeCell ref="O41:R41"/>
    <mergeCell ref="S41:Y41"/>
    <mergeCell ref="Z41:AP41"/>
    <mergeCell ref="AQ41:BJ41"/>
    <mergeCell ref="Z39:AP39"/>
    <mergeCell ref="Z21:AP22"/>
    <mergeCell ref="E24:K24"/>
    <mergeCell ref="A4:G4"/>
    <mergeCell ref="C23:D23"/>
    <mergeCell ref="L38:N38"/>
    <mergeCell ref="O38:R38"/>
    <mergeCell ref="S38:Y38"/>
    <mergeCell ref="Z38:AP38"/>
    <mergeCell ref="AQ38:BJ38"/>
    <mergeCell ref="C38:D38"/>
    <mergeCell ref="E38:K38"/>
    <mergeCell ref="AG15:AP15"/>
    <mergeCell ref="E15:AF15"/>
    <mergeCell ref="C20:D20"/>
    <mergeCell ref="S20:Y20"/>
    <mergeCell ref="Z20:AP20"/>
    <mergeCell ref="AP4:BK4"/>
    <mergeCell ref="C15:D15"/>
    <mergeCell ref="C16:D16"/>
    <mergeCell ref="H4:T4"/>
    <mergeCell ref="U4:Y4"/>
    <mergeCell ref="Z4:AO4"/>
    <mergeCell ref="C25:D25"/>
    <mergeCell ref="O30:R30"/>
    <mergeCell ref="AQ20:BJ20"/>
    <mergeCell ref="AQ15:BJ15"/>
    <mergeCell ref="E16:AF16"/>
    <mergeCell ref="AQ26:BJ26"/>
    <mergeCell ref="E20:K20"/>
    <mergeCell ref="C21:D22"/>
    <mergeCell ref="C26:D26"/>
    <mergeCell ref="E21:K22"/>
    <mergeCell ref="E23:K23"/>
    <mergeCell ref="E26:K26"/>
    <mergeCell ref="L26:N26"/>
    <mergeCell ref="S25:Y25"/>
    <mergeCell ref="Z25:AP25"/>
    <mergeCell ref="L25:N25"/>
    <mergeCell ref="L35:N35"/>
    <mergeCell ref="O35:R35"/>
    <mergeCell ref="O21:R22"/>
    <mergeCell ref="L21:N22"/>
    <mergeCell ref="Z35:AP35"/>
    <mergeCell ref="AQ16:BJ16"/>
    <mergeCell ref="AQ23:BJ23"/>
    <mergeCell ref="AQ24:BJ24"/>
    <mergeCell ref="AQ21:BJ22"/>
    <mergeCell ref="S21:Y22"/>
    <mergeCell ref="AG16:AP16"/>
    <mergeCell ref="O20:R20"/>
    <mergeCell ref="L20:N20"/>
    <mergeCell ref="S23:Y23"/>
    <mergeCell ref="Z24:AP24"/>
    <mergeCell ref="L30:N30"/>
    <mergeCell ref="AQ25:BJ25"/>
    <mergeCell ref="S35:Y35"/>
    <mergeCell ref="AQ30:BJ3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O25:R25"/>
    <mergeCell ref="O24:R24"/>
    <mergeCell ref="L23:N23"/>
    <mergeCell ref="L24:N24"/>
    <mergeCell ref="AQ35:BJ35"/>
    <mergeCell ref="L39:N39"/>
    <mergeCell ref="C31:BJ31"/>
    <mergeCell ref="C37:D37"/>
    <mergeCell ref="E37:K37"/>
    <mergeCell ref="C35:D35"/>
    <mergeCell ref="Z23:AP23"/>
    <mergeCell ref="E30:K30"/>
    <mergeCell ref="C30:D30"/>
    <mergeCell ref="O26:R26"/>
    <mergeCell ref="S26:Y26"/>
    <mergeCell ref="Z26:AP26"/>
    <mergeCell ref="C24:D24"/>
    <mergeCell ref="C36:D36"/>
    <mergeCell ref="E36:K36"/>
    <mergeCell ref="L36:N36"/>
    <mergeCell ref="O36:R36"/>
    <mergeCell ref="S36:Y36"/>
    <mergeCell ref="Z36:AP36"/>
    <mergeCell ref="AQ36:BJ36"/>
    <mergeCell ref="E39:K39"/>
    <mergeCell ref="C39:D39"/>
    <mergeCell ref="E25:K25"/>
    <mergeCell ref="O23:R23"/>
    <mergeCell ref="E35:K3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7030A0"/>
    <pageSetUpPr fitToPage="1"/>
  </sheetPr>
  <dimension ref="A1:BK11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44</v>
      </c>
      <c r="B1" s="177"/>
      <c r="C1" s="177"/>
      <c r="D1" s="177"/>
      <c r="E1" s="177"/>
      <c r="F1" s="177"/>
      <c r="G1" s="177"/>
      <c r="H1" s="177"/>
      <c r="I1" s="177"/>
      <c r="J1" s="178"/>
      <c r="K1" s="176" t="s">
        <v>45</v>
      </c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179" t="str">
        <f>IF(表紙!W1="","",表紙!W1)</f>
        <v>詳細設計書</v>
      </c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1"/>
      <c r="AP1" s="99" t="s">
        <v>47</v>
      </c>
      <c r="AQ1" s="100"/>
      <c r="AR1" s="100"/>
      <c r="AS1" s="101"/>
      <c r="AT1" s="99" t="s">
        <v>48</v>
      </c>
      <c r="AU1" s="100"/>
      <c r="AV1" s="100"/>
      <c r="AW1" s="100"/>
      <c r="AX1" s="101"/>
      <c r="AY1" s="99" t="s">
        <v>49</v>
      </c>
      <c r="AZ1" s="100"/>
      <c r="BA1" s="100"/>
      <c r="BB1" s="101"/>
      <c r="BC1" s="99" t="s">
        <v>50</v>
      </c>
      <c r="BD1" s="100"/>
      <c r="BE1" s="100"/>
      <c r="BF1" s="100"/>
      <c r="BG1" s="101"/>
      <c r="BH1" s="99" t="s">
        <v>51</v>
      </c>
      <c r="BI1" s="100"/>
      <c r="BJ1" s="100"/>
      <c r="BK1" s="101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POSサーバー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82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4"/>
      <c r="AP2" s="84" t="str">
        <f>IF(表紙!AP2="","",表紙!AP2)</f>
        <v>DuNT</v>
      </c>
      <c r="AQ2" s="85"/>
      <c r="AR2" s="85"/>
      <c r="AS2" s="86"/>
      <c r="AT2" s="114">
        <f>IF(表紙!AT2="","",表紙!AT2)</f>
        <v>45516</v>
      </c>
      <c r="AU2" s="115"/>
      <c r="AV2" s="115"/>
      <c r="AW2" s="115"/>
      <c r="AX2" s="116"/>
      <c r="AY2" s="84" t="str">
        <f>IF(表紙!AY2="","",表紙!AY2)</f>
        <v>LoiLV</v>
      </c>
      <c r="AZ2" s="85"/>
      <c r="BA2" s="85"/>
      <c r="BB2" s="86"/>
      <c r="BC2" s="114">
        <f>IF(表紙!BC2="","",表紙!BC2)</f>
        <v>45964</v>
      </c>
      <c r="BD2" s="115"/>
      <c r="BE2" s="115"/>
      <c r="BF2" s="115"/>
      <c r="BG2" s="116"/>
      <c r="BH2" s="84">
        <f>IF(表紙!BH2="","",表紙!BH2)</f>
        <v>0.12</v>
      </c>
      <c r="BI2" s="85"/>
      <c r="BJ2" s="85"/>
      <c r="BK2" s="86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90"/>
      <c r="AQ3" s="91"/>
      <c r="AR3" s="91"/>
      <c r="AS3" s="92"/>
      <c r="AT3" s="117"/>
      <c r="AU3" s="118"/>
      <c r="AV3" s="118"/>
      <c r="AW3" s="118"/>
      <c r="AX3" s="119"/>
      <c r="AY3" s="90"/>
      <c r="AZ3" s="91"/>
      <c r="BA3" s="91"/>
      <c r="BB3" s="92"/>
      <c r="BC3" s="117"/>
      <c r="BD3" s="118"/>
      <c r="BE3" s="118"/>
      <c r="BF3" s="118"/>
      <c r="BG3" s="119"/>
      <c r="BH3" s="90"/>
      <c r="BI3" s="91"/>
      <c r="BJ3" s="91"/>
      <c r="BK3" s="92"/>
    </row>
    <row r="4" spans="1:63" ht="24.95" customHeight="1" x14ac:dyDescent="0.25">
      <c r="A4" s="176" t="s">
        <v>53</v>
      </c>
      <c r="B4" s="177"/>
      <c r="C4" s="177"/>
      <c r="D4" s="177"/>
      <c r="E4" s="177"/>
      <c r="F4" s="177"/>
      <c r="G4" s="178"/>
      <c r="H4" s="188" t="str">
        <f>IF(表紙!H4="","",表紙!H4)</f>
        <v>AP1504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176" t="s">
        <v>54</v>
      </c>
      <c r="V4" s="177"/>
      <c r="W4" s="177"/>
      <c r="X4" s="177"/>
      <c r="Y4" s="178"/>
      <c r="Z4" s="188" t="str">
        <f>IF(表紙!Z4="","",表紙!Z4)</f>
        <v>API設計書</v>
      </c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90"/>
      <c r="AP4" s="191" t="str">
        <f ca="1">MID(CELL("filename",A1),FIND("]",CELL("filename",A1))+1,255)</f>
        <v>処理フロー</v>
      </c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9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0" customFormat="1" ht="15" customHeight="1" x14ac:dyDescent="0.25">
      <c r="B7" s="41"/>
      <c r="C7" s="21"/>
      <c r="D7" s="21"/>
      <c r="E7" s="21"/>
      <c r="F7" s="21"/>
      <c r="G7" s="21"/>
      <c r="AI7" s="82"/>
      <c r="BJ7" s="82"/>
      <c r="BK7" s="69"/>
    </row>
    <row r="8" spans="1:63" s="70" customFormat="1" ht="15" customHeight="1" x14ac:dyDescent="0.25">
      <c r="B8" s="41"/>
      <c r="C8" s="21"/>
      <c r="D8" s="21"/>
      <c r="E8" s="21"/>
      <c r="F8" s="21"/>
      <c r="G8" s="21"/>
      <c r="AI8" s="82"/>
      <c r="BJ8" s="82"/>
      <c r="BK8" s="69"/>
    </row>
    <row r="9" spans="1:63" s="70" customFormat="1" ht="15" customHeight="1" x14ac:dyDescent="0.25">
      <c r="B9" s="41"/>
      <c r="C9" s="21"/>
      <c r="D9" s="21"/>
      <c r="E9" s="21"/>
      <c r="F9" s="21"/>
      <c r="G9" s="21"/>
      <c r="AI9" s="82"/>
      <c r="BJ9" s="82"/>
      <c r="BK9" s="69"/>
    </row>
    <row r="10" spans="1:63" s="70" customFormat="1" ht="15" customHeight="1" x14ac:dyDescent="0.25">
      <c r="B10" s="41"/>
      <c r="C10" s="21"/>
      <c r="D10" s="21"/>
      <c r="E10" s="21"/>
      <c r="F10" s="21"/>
      <c r="G10" s="21"/>
      <c r="AI10" s="82"/>
      <c r="BJ10" s="82"/>
      <c r="BK10" s="69"/>
    </row>
    <row r="11" spans="1:63" s="70" customFormat="1" ht="15" customHeight="1" x14ac:dyDescent="0.25">
      <c r="B11" s="83"/>
      <c r="AI11" s="82"/>
      <c r="BJ11" s="82"/>
      <c r="BK11" s="69"/>
    </row>
    <row r="12" spans="1:63" s="70" customFormat="1" ht="15" customHeight="1" x14ac:dyDescent="0.25">
      <c r="B12" s="83"/>
      <c r="AI12" s="82"/>
      <c r="BJ12" s="82"/>
      <c r="BK12" s="69"/>
    </row>
    <row r="13" spans="1:63" s="70" customFormat="1" ht="15" customHeight="1" x14ac:dyDescent="0.25">
      <c r="B13" s="83"/>
      <c r="AI13" s="82"/>
      <c r="BJ13" s="82"/>
      <c r="BK13" s="69"/>
    </row>
    <row r="14" spans="1:63" ht="15" customHeight="1" x14ac:dyDescent="0.25">
      <c r="B14" s="9"/>
      <c r="AI14" s="11"/>
      <c r="BJ14" s="11"/>
      <c r="BK14" s="5"/>
    </row>
    <row r="15" spans="1:63" ht="15" customHeight="1" x14ac:dyDescent="0.25">
      <c r="B15" s="9"/>
      <c r="AI15" s="11"/>
      <c r="BJ15" s="11"/>
      <c r="BK15" s="5"/>
    </row>
    <row r="16" spans="1:63" ht="15" customHeight="1" x14ac:dyDescent="0.25">
      <c r="B16" s="9"/>
      <c r="AI16" s="11"/>
      <c r="BJ16" s="11"/>
      <c r="BK16" s="5"/>
    </row>
    <row r="17" spans="2:63" ht="15" customHeight="1" x14ac:dyDescent="0.25">
      <c r="B17" s="9"/>
      <c r="AI17" s="11"/>
      <c r="BJ17" s="11"/>
      <c r="BK17" s="5"/>
    </row>
    <row r="18" spans="2:63" ht="15" customHeight="1" x14ac:dyDescent="0.25">
      <c r="B18" s="9"/>
      <c r="AI18" s="11"/>
      <c r="BJ18" s="11"/>
      <c r="BK18" s="5"/>
    </row>
    <row r="19" spans="2:63" ht="15" customHeight="1" x14ac:dyDescent="0.25">
      <c r="B19" s="9"/>
      <c r="AI19" s="11"/>
      <c r="BJ19" s="11"/>
      <c r="BK19" s="5"/>
    </row>
    <row r="20" spans="2:63" ht="15" customHeight="1" x14ac:dyDescent="0.25">
      <c r="B20" s="9"/>
      <c r="AI20" s="11"/>
      <c r="BJ20" s="11"/>
      <c r="BK20" s="5"/>
    </row>
    <row r="21" spans="2:63" ht="15" customHeight="1" x14ac:dyDescent="0.25">
      <c r="B21" s="9"/>
      <c r="AI21" s="11"/>
      <c r="BJ21" s="11"/>
      <c r="BK21" s="5"/>
    </row>
    <row r="22" spans="2:63" ht="15" customHeight="1" x14ac:dyDescent="0.25">
      <c r="B22" s="9"/>
      <c r="AI22" s="11"/>
      <c r="BJ22" s="11"/>
      <c r="BK22" s="5"/>
    </row>
    <row r="23" spans="2:63" ht="15" customHeight="1" x14ac:dyDescent="0.25">
      <c r="B23" s="9"/>
      <c r="AI23" s="11"/>
      <c r="BJ23" s="11"/>
      <c r="BK23" s="5"/>
    </row>
    <row r="24" spans="2:63" ht="15" customHeight="1" x14ac:dyDescent="0.25">
      <c r="B24" s="9"/>
      <c r="AI24" s="11"/>
      <c r="BJ24" s="11"/>
      <c r="BK24" s="5"/>
    </row>
    <row r="25" spans="2:63" ht="15" customHeight="1" x14ac:dyDescent="0.25">
      <c r="B25" s="9"/>
      <c r="AI25" s="11"/>
      <c r="BJ25" s="11"/>
      <c r="BK25" s="5"/>
    </row>
    <row r="26" spans="2:63" ht="15" customHeight="1" x14ac:dyDescent="0.25">
      <c r="B26" s="9"/>
      <c r="AI26" s="11"/>
      <c r="BJ26" s="11"/>
      <c r="BK26" s="5"/>
    </row>
    <row r="27" spans="2:63" ht="15" customHeight="1" x14ac:dyDescent="0.25">
      <c r="B27" s="9"/>
      <c r="AI27" s="11"/>
      <c r="BJ27" s="11"/>
      <c r="BK27" s="5"/>
    </row>
    <row r="28" spans="2:63" ht="15" customHeight="1" x14ac:dyDescent="0.25">
      <c r="B28" s="9"/>
      <c r="AI28" s="11"/>
      <c r="BJ28" s="11"/>
      <c r="BK28" s="5"/>
    </row>
    <row r="29" spans="2:63" ht="15" customHeight="1" x14ac:dyDescent="0.25">
      <c r="B29" s="9"/>
      <c r="AI29" s="11"/>
      <c r="BJ29" s="11"/>
      <c r="BK29" s="5"/>
    </row>
    <row r="30" spans="2:63" ht="15" customHeight="1" x14ac:dyDescent="0.25">
      <c r="B30" s="9"/>
      <c r="AI30" s="11"/>
      <c r="BJ30" s="11"/>
      <c r="BK30" s="5"/>
    </row>
    <row r="31" spans="2:63" s="70" customFormat="1" ht="15" customHeight="1" x14ac:dyDescent="0.25">
      <c r="B31" s="83"/>
      <c r="AI31" s="82"/>
      <c r="BJ31" s="82"/>
      <c r="BK31" s="69"/>
    </row>
    <row r="32" spans="2:63" s="70" customFormat="1" ht="15" customHeight="1" x14ac:dyDescent="0.25">
      <c r="B32" s="83"/>
      <c r="AI32" s="82"/>
      <c r="BJ32" s="82"/>
      <c r="BK32" s="69"/>
    </row>
    <row r="33" spans="2:63" s="70" customFormat="1" ht="15" customHeight="1" x14ac:dyDescent="0.25">
      <c r="B33" s="83"/>
      <c r="AI33" s="82"/>
      <c r="BJ33" s="82"/>
      <c r="BK33" s="69"/>
    </row>
    <row r="34" spans="2:63" s="70" customFormat="1" ht="15" customHeight="1" x14ac:dyDescent="0.25">
      <c r="B34" s="83"/>
      <c r="AI34" s="82"/>
      <c r="BJ34" s="82"/>
      <c r="BK34" s="69"/>
    </row>
    <row r="35" spans="2:63" s="70" customFormat="1" ht="15" customHeight="1" x14ac:dyDescent="0.25">
      <c r="B35" s="83"/>
      <c r="AI35" s="82"/>
      <c r="BJ35" s="82"/>
      <c r="BK35" s="69"/>
    </row>
    <row r="36" spans="2:63" s="70" customFormat="1" ht="15" customHeight="1" x14ac:dyDescent="0.25">
      <c r="B36" s="83"/>
      <c r="AI36" s="82"/>
      <c r="BJ36" s="82"/>
      <c r="BK36" s="69"/>
    </row>
    <row r="37" spans="2:63" s="70" customFormat="1" ht="15" customHeight="1" x14ac:dyDescent="0.25">
      <c r="B37" s="83"/>
      <c r="AI37" s="82"/>
      <c r="BJ37" s="82"/>
      <c r="BK37" s="69"/>
    </row>
    <row r="38" spans="2:63" ht="15" customHeight="1" x14ac:dyDescent="0.25">
      <c r="B38" s="9"/>
      <c r="AI38" s="11"/>
      <c r="BJ38" s="11"/>
      <c r="BK38" s="5"/>
    </row>
    <row r="39" spans="2:63" ht="15" customHeight="1" x14ac:dyDescent="0.25">
      <c r="B39" s="9"/>
      <c r="AI39" s="11"/>
      <c r="BJ39" s="11"/>
      <c r="BK39" s="5"/>
    </row>
    <row r="40" spans="2:63" ht="15" customHeight="1" x14ac:dyDescent="0.25">
      <c r="B40" s="9"/>
      <c r="AI40" s="11"/>
      <c r="BJ40" s="11"/>
      <c r="BK40" s="5"/>
    </row>
    <row r="41" spans="2:63" ht="15" customHeight="1" x14ac:dyDescent="0.25">
      <c r="B41" s="9"/>
      <c r="AI41" s="11"/>
      <c r="BJ41" s="11"/>
      <c r="BK41" s="5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2:63" ht="15" customHeight="1" x14ac:dyDescent="0.25">
      <c r="B49" s="9"/>
      <c r="AI49" s="11"/>
      <c r="BJ49" s="11"/>
      <c r="BK49" s="5"/>
    </row>
    <row r="50" spans="2:63" ht="15" customHeight="1" x14ac:dyDescent="0.25">
      <c r="B50" s="9"/>
      <c r="AI50" s="11"/>
      <c r="BJ50" s="11"/>
      <c r="BK50" s="5"/>
    </row>
    <row r="51" spans="2:63" ht="15" customHeight="1" x14ac:dyDescent="0.25">
      <c r="B51" s="9"/>
      <c r="AI51" s="11"/>
      <c r="BJ51" s="11"/>
      <c r="BK51" s="5"/>
    </row>
    <row r="52" spans="2:63" ht="15" customHeight="1" x14ac:dyDescent="0.25">
      <c r="B52" s="9"/>
      <c r="AI52" s="11"/>
      <c r="BJ52" s="11"/>
      <c r="BK52" s="5"/>
    </row>
    <row r="53" spans="2:63" ht="15" customHeight="1" x14ac:dyDescent="0.25">
      <c r="B53" s="9"/>
      <c r="AI53" s="11"/>
      <c r="BJ53" s="11"/>
      <c r="BK53" s="5"/>
    </row>
    <row r="54" spans="2:63" ht="15" customHeight="1" x14ac:dyDescent="0.25">
      <c r="B54" s="9"/>
      <c r="AI54" s="11"/>
      <c r="BJ54" s="11"/>
      <c r="BK54" s="5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ht="15" customHeight="1" x14ac:dyDescent="0.25">
      <c r="B67" s="9"/>
      <c r="AI67" s="11"/>
      <c r="BJ67" s="11"/>
      <c r="BK67" s="5"/>
    </row>
    <row r="68" spans="2:63" ht="15" customHeight="1" x14ac:dyDescent="0.25">
      <c r="B68" s="9"/>
      <c r="AI68" s="11"/>
      <c r="BJ68" s="11"/>
      <c r="BK68" s="5"/>
    </row>
    <row r="69" spans="2:63" ht="15" customHeight="1" x14ac:dyDescent="0.25">
      <c r="B69" s="9"/>
      <c r="AI69" s="11"/>
      <c r="BJ69" s="11"/>
      <c r="BK69" s="5"/>
    </row>
    <row r="70" spans="2:63" ht="15" customHeight="1" x14ac:dyDescent="0.25">
      <c r="B70" s="9"/>
      <c r="AI70" s="11"/>
      <c r="BJ70" s="11"/>
      <c r="BK70" s="5"/>
    </row>
    <row r="71" spans="2:63" ht="15" customHeight="1" x14ac:dyDescent="0.25">
      <c r="B71" s="9"/>
      <c r="AI71" s="11"/>
      <c r="BJ71" s="11"/>
      <c r="BK71" s="5"/>
    </row>
    <row r="72" spans="2:63" ht="15" customHeight="1" x14ac:dyDescent="0.25">
      <c r="B72" s="9"/>
      <c r="AI72" s="11"/>
      <c r="BJ72" s="11"/>
      <c r="BK72" s="5"/>
    </row>
    <row r="73" spans="2:63" ht="15" customHeight="1" x14ac:dyDescent="0.25">
      <c r="B73" s="9"/>
      <c r="AI73" s="11"/>
      <c r="BJ73" s="11"/>
      <c r="BK73" s="5"/>
    </row>
    <row r="74" spans="2:63" ht="15" customHeight="1" x14ac:dyDescent="0.25">
      <c r="B74" s="9"/>
      <c r="AI74" s="11"/>
      <c r="BJ74" s="11"/>
      <c r="BK74" s="5"/>
    </row>
    <row r="75" spans="2:63" ht="15" customHeight="1" x14ac:dyDescent="0.25">
      <c r="B75" s="9"/>
      <c r="AI75" s="11"/>
      <c r="BJ75" s="11"/>
      <c r="BK75" s="5"/>
    </row>
    <row r="76" spans="2:63" ht="15" customHeight="1" x14ac:dyDescent="0.25">
      <c r="B76" s="9"/>
      <c r="AI76" s="11"/>
      <c r="BJ76" s="11"/>
      <c r="BK76" s="5"/>
    </row>
    <row r="77" spans="2:63" ht="15" customHeight="1" x14ac:dyDescent="0.25">
      <c r="B77" s="9"/>
      <c r="AI77" s="11"/>
      <c r="BJ77" s="11"/>
      <c r="BK77" s="5"/>
    </row>
    <row r="78" spans="2:63" ht="15" customHeight="1" x14ac:dyDescent="0.25">
      <c r="B78" s="9"/>
      <c r="AI78" s="11"/>
      <c r="BJ78" s="11"/>
      <c r="BK78" s="5"/>
    </row>
    <row r="79" spans="2:63" ht="15" customHeight="1" x14ac:dyDescent="0.25">
      <c r="B79" s="9"/>
      <c r="AI79" s="11"/>
      <c r="BJ79" s="11"/>
      <c r="BK79" s="5"/>
    </row>
    <row r="80" spans="2:63" ht="15" customHeight="1" x14ac:dyDescent="0.25">
      <c r="B80" s="9"/>
      <c r="AI80" s="11"/>
      <c r="BJ80" s="11"/>
      <c r="BK80" s="5"/>
    </row>
    <row r="81" spans="2:63" ht="15" customHeight="1" x14ac:dyDescent="0.25">
      <c r="B81" s="9"/>
      <c r="AI81" s="11"/>
      <c r="BJ81" s="11"/>
      <c r="BK81" s="5"/>
    </row>
    <row r="82" spans="2:63" ht="15" customHeight="1" x14ac:dyDescent="0.25">
      <c r="B82" s="9"/>
      <c r="AI82" s="11"/>
      <c r="BJ82" s="11"/>
      <c r="BK82" s="5"/>
    </row>
    <row r="83" spans="2:63" ht="15" customHeight="1" x14ac:dyDescent="0.25">
      <c r="B83" s="9"/>
      <c r="AI83" s="11"/>
      <c r="BJ83" s="11"/>
      <c r="BK83" s="5"/>
    </row>
    <row r="84" spans="2:63" ht="15" customHeight="1" x14ac:dyDescent="0.25">
      <c r="B84" s="9"/>
      <c r="AI84" s="11"/>
      <c r="BJ84" s="11"/>
      <c r="BK84" s="5"/>
    </row>
    <row r="85" spans="2:63" ht="15" customHeight="1" x14ac:dyDescent="0.25">
      <c r="B85" s="9"/>
      <c r="AI85" s="11"/>
      <c r="BJ85" s="11"/>
      <c r="BK85" s="5"/>
    </row>
    <row r="86" spans="2:63" ht="15" customHeight="1" x14ac:dyDescent="0.25">
      <c r="B86" s="9"/>
      <c r="AI86" s="11"/>
      <c r="BJ86" s="11"/>
      <c r="BK86" s="5"/>
    </row>
    <row r="87" spans="2:63" ht="15.75" customHeight="1" x14ac:dyDescent="0.25">
      <c r="B87" s="9"/>
      <c r="AI87" s="11"/>
      <c r="BJ87" s="11"/>
      <c r="BK87" s="5"/>
    </row>
    <row r="88" spans="2:63" ht="15" customHeight="1" x14ac:dyDescent="0.25">
      <c r="B88" s="9"/>
      <c r="AI88" s="11"/>
      <c r="BJ88" s="11"/>
      <c r="BK88" s="5"/>
    </row>
    <row r="89" spans="2:63" ht="15" customHeight="1" x14ac:dyDescent="0.25">
      <c r="B89" s="9"/>
      <c r="AI89" s="11"/>
      <c r="BJ89" s="11"/>
      <c r="BK89" s="5"/>
    </row>
    <row r="90" spans="2:63" ht="15" customHeight="1" x14ac:dyDescent="0.25">
      <c r="B90" s="9"/>
      <c r="AI90" s="11"/>
      <c r="BJ90" s="11"/>
      <c r="BK90" s="5"/>
    </row>
    <row r="91" spans="2:63" ht="15" customHeight="1" x14ac:dyDescent="0.25">
      <c r="B91" s="9"/>
      <c r="AI91" s="11"/>
      <c r="BJ91" s="11"/>
      <c r="BK91" s="5"/>
    </row>
    <row r="92" spans="2:63" ht="15" customHeight="1" x14ac:dyDescent="0.25">
      <c r="B92" s="9"/>
      <c r="AI92" s="11"/>
      <c r="BJ92" s="11"/>
      <c r="BK92" s="5"/>
    </row>
    <row r="93" spans="2:63" ht="15" customHeight="1" x14ac:dyDescent="0.25">
      <c r="B93" s="9"/>
      <c r="AI93" s="11"/>
      <c r="BJ93" s="11"/>
      <c r="BK93" s="5"/>
    </row>
    <row r="94" spans="2:63" ht="15" customHeight="1" x14ac:dyDescent="0.25">
      <c r="B94" s="9"/>
      <c r="AI94" s="11"/>
      <c r="BJ94" s="11"/>
      <c r="BK94" s="5"/>
    </row>
    <row r="95" spans="2:63" ht="15" customHeight="1" x14ac:dyDescent="0.25">
      <c r="B95" s="9"/>
      <c r="AI95" s="11"/>
      <c r="BJ95" s="11"/>
      <c r="BK95" s="5"/>
    </row>
    <row r="96" spans="2:63" ht="15" customHeight="1" x14ac:dyDescent="0.25">
      <c r="B96" s="9"/>
      <c r="AI96" s="11"/>
      <c r="BJ96" s="11"/>
      <c r="BK96" s="5"/>
    </row>
    <row r="97" spans="2:63" ht="15" customHeight="1" x14ac:dyDescent="0.25">
      <c r="B97" s="9"/>
      <c r="AI97" s="11"/>
      <c r="BJ97" s="11"/>
      <c r="BK97" s="5"/>
    </row>
    <row r="98" spans="2:63" ht="15" customHeight="1" x14ac:dyDescent="0.25">
      <c r="B98" s="9"/>
      <c r="AI98" s="11"/>
      <c r="BJ98" s="11"/>
      <c r="BK98" s="5"/>
    </row>
    <row r="99" spans="2:63" ht="15" customHeight="1" x14ac:dyDescent="0.25">
      <c r="B99" s="9"/>
      <c r="AI99" s="11"/>
      <c r="BJ99" s="11"/>
      <c r="BK99" s="5"/>
    </row>
    <row r="100" spans="2:63" ht="15" customHeight="1" x14ac:dyDescent="0.25">
      <c r="B100" s="9"/>
      <c r="AI100" s="11"/>
      <c r="BJ100" s="11"/>
      <c r="BK100" s="5"/>
    </row>
    <row r="101" spans="2:63" ht="15" customHeight="1" x14ac:dyDescent="0.25">
      <c r="B101" s="9"/>
      <c r="AI101" s="11"/>
      <c r="BJ101" s="11"/>
      <c r="BK101" s="5"/>
    </row>
    <row r="102" spans="2:63" ht="15" customHeight="1" x14ac:dyDescent="0.25">
      <c r="B102" s="9"/>
      <c r="AI102" s="11"/>
      <c r="BJ102" s="11"/>
      <c r="BK102" s="5"/>
    </row>
    <row r="103" spans="2:63" ht="15" customHeight="1" x14ac:dyDescent="0.25">
      <c r="B103" s="9"/>
      <c r="AI103" s="11"/>
      <c r="BJ103" s="11"/>
      <c r="BK103" s="5"/>
    </row>
    <row r="104" spans="2:63" ht="15" customHeight="1" x14ac:dyDescent="0.25">
      <c r="B104" s="9"/>
      <c r="AI104" s="11"/>
      <c r="BJ104" s="11"/>
      <c r="BK104" s="5"/>
    </row>
    <row r="105" spans="2:63" ht="15" customHeight="1" x14ac:dyDescent="0.25">
      <c r="B105" s="9"/>
      <c r="AI105" s="11"/>
      <c r="BJ105" s="11"/>
      <c r="BK105" s="5"/>
    </row>
    <row r="106" spans="2:63" ht="15" customHeight="1" x14ac:dyDescent="0.25">
      <c r="B106" s="9"/>
      <c r="AI106" s="11"/>
      <c r="BJ106" s="11"/>
      <c r="BK106" s="5"/>
    </row>
    <row r="107" spans="2:63" ht="15" customHeight="1" x14ac:dyDescent="0.25">
      <c r="B107" s="9"/>
      <c r="AI107" s="11"/>
      <c r="BJ107" s="11"/>
      <c r="BK107" s="5"/>
    </row>
    <row r="108" spans="2:63" ht="15" customHeight="1" x14ac:dyDescent="0.25">
      <c r="B108" s="9"/>
      <c r="AI108" s="11"/>
      <c r="BJ108" s="11"/>
      <c r="BK108" s="5"/>
    </row>
    <row r="109" spans="2:63" ht="15" customHeight="1" x14ac:dyDescent="0.25">
      <c r="B109" s="9"/>
      <c r="AI109" s="11"/>
      <c r="BJ109" s="11"/>
      <c r="BK109" s="5"/>
    </row>
    <row r="110" spans="2:63" ht="15" customHeight="1" x14ac:dyDescent="0.25">
      <c r="B110" s="9"/>
      <c r="AI110" s="11"/>
      <c r="BJ110" s="11"/>
      <c r="BK110" s="5"/>
    </row>
    <row r="111" spans="2:63" ht="15" customHeight="1" x14ac:dyDescent="0.25">
      <c r="B111" s="9"/>
      <c r="AI111" s="11"/>
      <c r="BJ111" s="11"/>
      <c r="BK111" s="5"/>
    </row>
    <row r="112" spans="2:63" ht="15" customHeight="1" x14ac:dyDescent="0.25">
      <c r="B112" s="9"/>
      <c r="AI112" s="11"/>
      <c r="BJ112" s="11"/>
      <c r="BK112" s="5"/>
    </row>
    <row r="113" spans="1:63" ht="15" customHeight="1" x14ac:dyDescent="0.25">
      <c r="A113" s="3"/>
      <c r="B113" s="1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2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12"/>
      <c r="BK113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44</v>
      </c>
      <c r="B1" s="177"/>
      <c r="C1" s="177"/>
      <c r="D1" s="177"/>
      <c r="E1" s="177"/>
      <c r="F1" s="177"/>
      <c r="G1" s="177"/>
      <c r="H1" s="177"/>
      <c r="I1" s="177"/>
      <c r="J1" s="178"/>
      <c r="K1" s="176" t="s">
        <v>45</v>
      </c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179" t="str">
        <f>IF(表紙!W1="","",表紙!W1)</f>
        <v>詳細設計書</v>
      </c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1"/>
      <c r="AP1" s="99" t="s">
        <v>47</v>
      </c>
      <c r="AQ1" s="100"/>
      <c r="AR1" s="100"/>
      <c r="AS1" s="101"/>
      <c r="AT1" s="99" t="s">
        <v>48</v>
      </c>
      <c r="AU1" s="100"/>
      <c r="AV1" s="100"/>
      <c r="AW1" s="100"/>
      <c r="AX1" s="101"/>
      <c r="AY1" s="99" t="s">
        <v>49</v>
      </c>
      <c r="AZ1" s="100"/>
      <c r="BA1" s="100"/>
      <c r="BB1" s="101"/>
      <c r="BC1" s="99" t="s">
        <v>50</v>
      </c>
      <c r="BD1" s="100"/>
      <c r="BE1" s="100"/>
      <c r="BF1" s="100"/>
      <c r="BG1" s="101"/>
      <c r="BH1" s="99" t="s">
        <v>51</v>
      </c>
      <c r="BI1" s="100"/>
      <c r="BJ1" s="100"/>
      <c r="BK1" s="101"/>
    </row>
    <row r="2" spans="1:63" ht="15" customHeight="1" x14ac:dyDescent="0.25">
      <c r="A2" s="170" t="str">
        <f>IF(表紙!A2="","",表紙!A2)</f>
        <v>POSサーバー</v>
      </c>
      <c r="B2" s="171"/>
      <c r="C2" s="171"/>
      <c r="D2" s="171"/>
      <c r="E2" s="171"/>
      <c r="F2" s="171"/>
      <c r="G2" s="171"/>
      <c r="H2" s="171"/>
      <c r="I2" s="171"/>
      <c r="J2" s="172"/>
      <c r="K2" s="170" t="str">
        <f>IF(表紙!K2="","",表紙!K2)</f>
        <v>POSサーバー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2"/>
      <c r="W2" s="182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4"/>
      <c r="AP2" s="84" t="str">
        <f>IF(表紙!AP2="","",表紙!AP2)</f>
        <v>DuNT</v>
      </c>
      <c r="AQ2" s="85"/>
      <c r="AR2" s="85"/>
      <c r="AS2" s="86"/>
      <c r="AT2" s="114">
        <f>IF(表紙!AT2="","",表紙!AT2)</f>
        <v>45516</v>
      </c>
      <c r="AU2" s="115"/>
      <c r="AV2" s="115"/>
      <c r="AW2" s="115"/>
      <c r="AX2" s="116"/>
      <c r="AY2" s="84" t="str">
        <f>IF(表紙!AY2="","",表紙!AY2)</f>
        <v>LoiLV</v>
      </c>
      <c r="AZ2" s="85"/>
      <c r="BA2" s="85"/>
      <c r="BB2" s="86"/>
      <c r="BC2" s="114">
        <f>IF(表紙!BC2="","",表紙!BC2)</f>
        <v>45964</v>
      </c>
      <c r="BD2" s="115"/>
      <c r="BE2" s="115"/>
      <c r="BF2" s="115"/>
      <c r="BG2" s="116"/>
      <c r="BH2" s="84">
        <f>IF(表紙!BH2="","",表紙!BH2)</f>
        <v>0.12</v>
      </c>
      <c r="BI2" s="85"/>
      <c r="BJ2" s="85"/>
      <c r="BK2" s="86"/>
    </row>
    <row r="3" spans="1:63" ht="15" customHeight="1" x14ac:dyDescent="0.25">
      <c r="A3" s="173"/>
      <c r="B3" s="174"/>
      <c r="C3" s="174"/>
      <c r="D3" s="174"/>
      <c r="E3" s="174"/>
      <c r="F3" s="174"/>
      <c r="G3" s="174"/>
      <c r="H3" s="174"/>
      <c r="I3" s="174"/>
      <c r="J3" s="175"/>
      <c r="K3" s="173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5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90"/>
      <c r="AQ3" s="91"/>
      <c r="AR3" s="91"/>
      <c r="AS3" s="92"/>
      <c r="AT3" s="117"/>
      <c r="AU3" s="118"/>
      <c r="AV3" s="118"/>
      <c r="AW3" s="118"/>
      <c r="AX3" s="119"/>
      <c r="AY3" s="90"/>
      <c r="AZ3" s="91"/>
      <c r="BA3" s="91"/>
      <c r="BB3" s="92"/>
      <c r="BC3" s="117"/>
      <c r="BD3" s="118"/>
      <c r="BE3" s="118"/>
      <c r="BF3" s="118"/>
      <c r="BG3" s="119"/>
      <c r="BH3" s="90"/>
      <c r="BI3" s="91"/>
      <c r="BJ3" s="91"/>
      <c r="BK3" s="92"/>
    </row>
    <row r="4" spans="1:63" ht="24.95" customHeight="1" x14ac:dyDescent="0.25">
      <c r="A4" s="176" t="s">
        <v>53</v>
      </c>
      <c r="B4" s="177"/>
      <c r="C4" s="177"/>
      <c r="D4" s="177"/>
      <c r="E4" s="177"/>
      <c r="F4" s="177"/>
      <c r="G4" s="178"/>
      <c r="H4" s="188" t="str">
        <f>IF(表紙!H4="","",表紙!H4)</f>
        <v>AP1504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176" t="s">
        <v>54</v>
      </c>
      <c r="V4" s="177"/>
      <c r="W4" s="177"/>
      <c r="X4" s="177"/>
      <c r="Y4" s="178"/>
      <c r="Z4" s="188" t="str">
        <f>IF(表紙!Z4="","",表紙!Z4)</f>
        <v>API設計書</v>
      </c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90"/>
      <c r="AP4" s="191" t="str">
        <f ca="1">MID(CELL("filename",A1),FIND("]",CELL("filename",A1))+1,255)</f>
        <v>テンプレート</v>
      </c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9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0" customFormat="1" ht="15" customHeight="1" x14ac:dyDescent="0.25">
      <c r="BK7" s="69"/>
    </row>
    <row r="8" spans="1:63" s="70" customFormat="1" ht="15" customHeight="1" x14ac:dyDescent="0.25">
      <c r="BK8" s="69"/>
    </row>
    <row r="9" spans="1:63" s="70" customFormat="1" ht="15" customHeight="1" x14ac:dyDescent="0.25">
      <c r="BK9" s="69"/>
    </row>
    <row r="10" spans="1:63" s="70" customFormat="1" ht="15" customHeight="1" x14ac:dyDescent="0.25">
      <c r="BK10" s="69"/>
    </row>
    <row r="11" spans="1:63" s="70" customFormat="1" ht="15" customHeight="1" x14ac:dyDescent="0.25">
      <c r="BK11" s="69"/>
    </row>
    <row r="12" spans="1:63" s="70" customFormat="1" ht="15" customHeight="1" x14ac:dyDescent="0.25">
      <c r="BK12" s="69"/>
    </row>
    <row r="13" spans="1:63" s="70" customFormat="1" ht="15" customHeight="1" x14ac:dyDescent="0.25">
      <c r="BK13" s="69"/>
    </row>
    <row r="14" spans="1:63" s="70" customFormat="1" ht="15" customHeight="1" x14ac:dyDescent="0.25">
      <c r="BK14" s="69"/>
    </row>
    <row r="15" spans="1:63" s="70" customFormat="1" ht="15" customHeight="1" x14ac:dyDescent="0.25">
      <c r="BK15" s="69"/>
    </row>
    <row r="16" spans="1:63" s="70" customFormat="1" ht="15" customHeight="1" x14ac:dyDescent="0.25">
      <c r="BK16" s="69"/>
    </row>
    <row r="17" spans="63:63" s="70" customFormat="1" ht="15" customHeight="1" x14ac:dyDescent="0.25">
      <c r="BK17" s="69"/>
    </row>
    <row r="18" spans="63:63" s="70" customFormat="1" ht="15" customHeight="1" x14ac:dyDescent="0.25">
      <c r="BK18" s="69"/>
    </row>
    <row r="19" spans="63:63" s="70" customFormat="1" ht="15" customHeight="1" x14ac:dyDescent="0.25">
      <c r="BK19" s="69"/>
    </row>
    <row r="20" spans="63:63" s="70" customFormat="1" ht="15" customHeight="1" x14ac:dyDescent="0.25">
      <c r="BK20" s="69"/>
    </row>
    <row r="21" spans="63:63" s="70" customFormat="1" ht="15" customHeight="1" x14ac:dyDescent="0.25">
      <c r="BK21" s="69"/>
    </row>
    <row r="22" spans="63:63" s="70" customFormat="1" ht="15" customHeight="1" x14ac:dyDescent="0.25">
      <c r="BK22" s="69"/>
    </row>
    <row r="23" spans="63:63" s="70" customFormat="1" ht="15" customHeight="1" x14ac:dyDescent="0.25">
      <c r="BK23" s="69"/>
    </row>
    <row r="24" spans="63:63" s="70" customFormat="1" ht="15" customHeight="1" x14ac:dyDescent="0.25">
      <c r="BK24" s="69"/>
    </row>
    <row r="25" spans="63:63" s="70" customFormat="1" ht="15" customHeight="1" x14ac:dyDescent="0.25">
      <c r="BK25" s="69"/>
    </row>
    <row r="26" spans="63:63" s="70" customFormat="1" ht="15" customHeight="1" x14ac:dyDescent="0.25">
      <c r="BK26" s="69"/>
    </row>
    <row r="27" spans="63:63" s="70" customFormat="1" ht="15" customHeight="1" x14ac:dyDescent="0.25">
      <c r="BK27" s="69"/>
    </row>
    <row r="28" spans="63:63" s="70" customFormat="1" ht="15" customHeight="1" x14ac:dyDescent="0.25">
      <c r="BK28" s="69"/>
    </row>
    <row r="29" spans="63:63" s="70" customFormat="1" ht="15" customHeight="1" x14ac:dyDescent="0.25">
      <c r="BK29" s="69"/>
    </row>
    <row r="30" spans="63:63" s="70" customFormat="1" ht="15" customHeight="1" x14ac:dyDescent="0.25">
      <c r="BK30" s="69"/>
    </row>
    <row r="31" spans="63:63" s="70" customFormat="1" ht="15" customHeight="1" x14ac:dyDescent="0.25">
      <c r="BK31" s="69"/>
    </row>
    <row r="32" spans="63:63" s="70" customFormat="1" ht="15" customHeight="1" x14ac:dyDescent="0.25">
      <c r="BK32" s="69"/>
    </row>
    <row r="33" spans="63:63" s="70" customFormat="1" ht="15" customHeight="1" x14ac:dyDescent="0.25">
      <c r="BK33" s="69"/>
    </row>
    <row r="34" spans="63:63" s="70" customFormat="1" ht="15" customHeight="1" x14ac:dyDescent="0.25">
      <c r="BK34" s="69"/>
    </row>
    <row r="35" spans="63:63" s="70" customFormat="1" ht="15" customHeight="1" x14ac:dyDescent="0.25">
      <c r="BK35" s="69"/>
    </row>
    <row r="36" spans="63:63" s="70" customFormat="1" ht="15" customHeight="1" x14ac:dyDescent="0.25">
      <c r="BK36" s="69"/>
    </row>
    <row r="37" spans="63:63" s="70" customFormat="1" ht="15" customHeight="1" x14ac:dyDescent="0.25">
      <c r="BK37" s="69"/>
    </row>
    <row r="38" spans="63:63" s="70" customFormat="1" ht="15" customHeight="1" x14ac:dyDescent="0.25">
      <c r="BK38" s="69"/>
    </row>
    <row r="39" spans="63:63" s="70" customFormat="1" ht="15" customHeight="1" x14ac:dyDescent="0.25">
      <c r="BK39" s="69"/>
    </row>
    <row r="40" spans="63:63" s="70" customFormat="1" ht="15" customHeight="1" x14ac:dyDescent="0.25">
      <c r="BK40" s="69"/>
    </row>
    <row r="41" spans="63:63" s="70" customFormat="1" ht="15" customHeight="1" x14ac:dyDescent="0.25">
      <c r="BK41" s="69"/>
    </row>
    <row r="42" spans="63:63" s="70" customFormat="1" ht="15" customHeight="1" x14ac:dyDescent="0.25">
      <c r="BK42" s="69"/>
    </row>
    <row r="43" spans="63:63" s="70" customFormat="1" ht="15" customHeight="1" x14ac:dyDescent="0.25">
      <c r="BK43" s="69"/>
    </row>
    <row r="44" spans="63:63" s="70" customFormat="1" ht="15" customHeight="1" x14ac:dyDescent="0.25">
      <c r="BK44" s="69"/>
    </row>
    <row r="45" spans="63:63" s="70" customFormat="1" ht="15" customHeight="1" x14ac:dyDescent="0.25">
      <c r="BK45" s="69"/>
    </row>
    <row r="46" spans="63:63" s="70" customFormat="1" ht="15" customHeight="1" x14ac:dyDescent="0.25">
      <c r="BK46" s="69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AP1504</vt:lpstr>
      <vt:lpstr>処理フロー</vt:lpstr>
      <vt:lpstr>テンプレート</vt:lpstr>
      <vt:lpstr>'AP1504'!Print_Area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2025-03-20T08:55:29Z</dcterms:modified>
  <cp:category/>
  <cp:contentStatus/>
</cp:coreProperties>
</file>