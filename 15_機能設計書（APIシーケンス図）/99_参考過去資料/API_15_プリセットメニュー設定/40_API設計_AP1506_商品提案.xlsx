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E69F22A-C4C1-4C04-8A0B-58187371D0A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6" sheetId="8" r:id="rId4"/>
    <sheet name="処理フロー" sheetId="9" r:id="rId5"/>
    <sheet name="テンプレート" sheetId="7" r:id="rId6"/>
  </sheets>
  <definedNames>
    <definedName name="_xlnm.Print_Area" localSheetId="3">'AP1506'!$A$1:$BK$76</definedName>
    <definedName name="_xlnm.Print_Area" localSheetId="5">テンプレート!$A$1:$BK$54</definedName>
    <definedName name="_xlnm.Print_Area" localSheetId="4">処理フロー!$A$1:$BK$99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C49" i="8"/>
  <c r="C50" i="8" s="1"/>
  <c r="C51" i="8" s="1"/>
  <c r="C52" i="8" s="1"/>
  <c r="C53" i="8" s="1"/>
  <c r="C54" i="8" s="1"/>
  <c r="C55" i="8" s="1"/>
  <c r="C56" i="8" s="1"/>
  <c r="C48" i="8"/>
  <c r="C47" i="8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<sst xmlns="http://schemas.openxmlformats.org/spreadsheetml/2006/main" count="247" uniqueCount="139">
  <si>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</si>
  <si>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</si>
  <si>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</si>
  <si>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</si>
  <si>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</si>
  <si>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</si>
  <si>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</si>
  <si>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</si>
  <si>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</si>
  <si>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</si>
  <si>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</si>
  <si>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</si>
  <si>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</si>
  <si>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</si>
  <si>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</si>
  <si>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</si>
  <si>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</si>
  <si>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</si>
  <si>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</si>
  <si>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</si>
  <si>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</si>
  <si>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</si>
  <si>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</si>
  <si>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</si>
  <si>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</si>
  <si>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</si>
  <si>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</si>
  <si>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</si>
  <si>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</si>
  <si>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店舗コード: 5桁</t>
    </r>
  </si>
  <si>
    <r>
      <rPr>
        <sz val="11"/>
        <color rgb="FF000000"/>
        <rFont val="Meiryo UI"/>
        <family val="2"/>
      </rPr>
      <t>社内商品コード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</si>
  <si>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</si>
  <si>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</si>
  <si>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exist_in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</si>
  <si>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</si>
  <si>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desciption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</si>
  <si>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</si>
  <si>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</si>
  <si>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ユーザーが選択した店舗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</si>
  <si>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</si>
  <si>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</si>
  <si>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Query parameter: 部門</t>
    </r>
  </si>
  <si>
    <r>
      <rPr>
        <sz val="11"/>
        <color rgb="FF000000"/>
        <rFont val="Meiryo UI"/>
        <family val="2"/>
      </rPr>
      <t>Query parameter: 商品コード</t>
    </r>
  </si>
  <si>
    <t>{</t>
  </si>
  <si>
    <r>
      <rPr>
        <sz val="11"/>
        <color rgb="FF000000"/>
        <rFont val="Meiryo UI"/>
        <family val="2"/>
      </rPr>
      <t>"company_code":"100",</t>
    </r>
  </si>
  <si>
    <r>
      <rPr>
        <sz val="11"/>
        <color rgb="FF000000"/>
        <rFont val="Meiryo UI"/>
        <family val="2"/>
      </rPr>
      <t>"store_code":"09176",</t>
    </r>
  </si>
  <si>
    <r>
      <rPr>
        <sz val="11"/>
        <color rgb="FF000000"/>
        <rFont val="Meiryo UI"/>
        <family val="2"/>
      </rPr>
      <t>"item_code":"0000000000017",</t>
    </r>
  </si>
  <si>
    <t>}</t>
  </si>
  <si>
    <r>
      <rPr>
        <sz val="11"/>
        <color rgb="FF000000"/>
        <rFont val="Meiryo UI"/>
        <family val="2"/>
      </rPr>
      <t>"SKU_code":"0000000000017",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</si>
  <si>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</si>
  <si>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api/v1/product/suggest</t>
    </r>
  </si>
  <si>
    <r>
      <rPr>
        <sz val="11"/>
        <color rgb="FF000000"/>
        <rFont val="Meiryo UI"/>
        <family val="2"/>
      </rPr>
      <t>urlの更新</t>
    </r>
  </si>
  <si>
    <r>
      <rPr>
        <sz val="11"/>
        <color rgb="FF000000"/>
        <rFont val="Meiryo UI"/>
        <family val="2"/>
      </rPr>
      <t>部門コードと商品コードを使用した商品検索の説明を追加する。</t>
    </r>
  </si>
  <si>
    <r>
      <rPr>
        <sz val="11"/>
        <color rgb="FF000000"/>
        <rFont val="Meiryo UI"/>
        <family val="2"/>
      </rPr>
      <t>TuyeNH</t>
    </r>
  </si>
  <si>
    <r>
      <rPr>
        <sz val="11"/>
        <color rgb="FF000000"/>
        <rFont val="Meiryo UI"/>
        <family val="2"/>
      </rPr>
      <t>現在売価を取得する。</t>
    </r>
  </si>
  <si>
    <r>
      <rPr>
        <sz val="11"/>
        <color rgb="FF000000"/>
        <rFont val="Meiryo UI"/>
        <family val="2"/>
      </rPr>
      <t>AP1506、処理フロー</t>
    </r>
  </si>
  <si>
    <r>
      <rPr>
        <sz val="11"/>
        <color rgb="FF000000"/>
        <rFont val="Meiryo UI"/>
        <family val="2"/>
      </rPr>
      <t>force_price</t>
    </r>
  </si>
  <si>
    <r>
      <rPr>
        <sz val="11"/>
        <color rgb="FF000000"/>
        <rFont val="Meiryo UI"/>
        <family val="2"/>
      </rPr>
      <t>current_price</t>
    </r>
  </si>
  <si>
    <r>
      <rPr>
        <sz val="11"/>
        <color rgb="FF000000"/>
        <rFont val="Meiryo UI"/>
        <family val="2"/>
      </rPr>
      <t>緊急売価</t>
    </r>
  </si>
  <si>
    <r>
      <rPr>
        <sz val="11"/>
        <color rgb="FF000000"/>
        <rFont val="Meiryo UI"/>
        <family val="2"/>
      </rPr>
      <t>現在売価、計算詳細は[処理フロー]シートをご参照ください。</t>
    </r>
  </si>
  <si>
    <r>
      <rPr>
        <sz val="11"/>
        <color rgb="FF000000"/>
        <rFont val="Meiryo UI"/>
        <family val="2"/>
      </rPr>
      <t>"desctiption":"",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</si>
  <si>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</si>
  <si>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リクエストキーの変更：PLU -&gt; plu</t>
    </r>
  </si>
  <si>
    <r>
      <rPr>
        <sz val="11"/>
        <color rgb="FF000000"/>
        <rFont val="Meiryo UI"/>
        <family val="2"/>
      </rPr>
      <t>会員売価取得</t>
    </r>
  </si>
  <si>
    <r>
      <rPr>
        <sz val="11"/>
        <color rgb="FF000000"/>
        <rFont val="Meiryo UI"/>
        <family val="2"/>
      </rPr>
      <t>現在売価のロジックを共通ファイルに移行する。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</si>
  <si>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</si>
  <si>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</si>
  <si>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special_valid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</si>
  <si>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</si>
  <si>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m_item.CompanyCode</t>
    </r>
  </si>
  <si>
    <r>
      <rPr>
        <sz val="11"/>
        <color rgb="FF000000"/>
        <rFont val="Meiryo UI"/>
        <family val="2"/>
      </rPr>
      <t>m_item.StoreCode</t>
    </r>
  </si>
  <si>
    <r>
      <rPr>
        <sz val="11"/>
        <color rgb="FF000000"/>
        <rFont val="Meiryo UI"/>
        <family val="2"/>
      </rPr>
      <t>m_item.MyCompanyCode</t>
    </r>
  </si>
  <si>
    <r>
      <rPr>
        <sz val="11"/>
        <color rgb="FF000000"/>
        <rFont val="Meiryo UI"/>
        <family val="2"/>
      </rPr>
      <t>m_item.Description</t>
    </r>
  </si>
  <si>
    <r>
      <rPr>
        <sz val="11"/>
        <color rgb="FF000000"/>
        <rFont val="Meiryo UI"/>
        <family val="2"/>
      </rPr>
      <t>m_item.ExistIn</t>
    </r>
  </si>
  <si>
    <r>
      <rPr>
        <sz val="11"/>
        <color rgb="FF000000"/>
        <rFont val="Meiryo UI"/>
        <family val="2"/>
      </rPr>
      <t>m_item.BelongTo</t>
    </r>
  </si>
  <si>
    <r>
      <rPr>
        <sz val="11"/>
        <color rgb="FF000000"/>
        <rFont val="Meiryo UI"/>
        <family val="2"/>
      </rPr>
      <t>m_item.ForcePrice</t>
    </r>
  </si>
  <si>
    <r>
      <rPr>
        <sz val="11"/>
        <color rgb="FF000000"/>
        <rFont val="Meiryo UI"/>
        <family val="2"/>
      </rPr>
      <t>マッピングDBの更新</t>
    </r>
  </si>
  <si>
    <r>
      <rPr>
        <sz val="11"/>
        <color rgb="FF000000"/>
        <rFont val="Meiryo UI"/>
        <family val="2"/>
      </rPr>
      <t>unit_price、force_priceフィールドを追加</t>
    </r>
  </si>
  <si>
    <r>
      <rPr>
        <sz val="11"/>
        <color rgb="FF000000"/>
        <rFont val="Meiryo UI"/>
        <family val="2"/>
      </rPr>
      <t>m_item.ItemCode/ m_item.ParentItemCode</t>
    </r>
  </si>
  <si>
    <r>
      <rPr>
        <sz val="11"/>
        <color rgb="FF000000"/>
        <rFont val="Meiryo UI"/>
        <family val="2"/>
      </rPr>
      <t>s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</si>
  <si>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</si>
  <si>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</si>
  <si>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</si>
  <si>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</si>
  <si>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</si>
  <si>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</si>
  <si>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</si>
  <si>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</si>
  <si>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</si>
  <si>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</si>
  <si>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</si>
  <si>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</si>
  <si>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</si>
  <si>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</si>
  <si>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</si>
  <si>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</si>
  <si>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</si>
  <si>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</si>
  <si>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親PLU検索ロジックを追加</t>
  </si>
  <si>
    <t>AnhTTP</t>
  </si>
  <si>
    <t>定番売価取得更新</t>
  </si>
  <si>
    <t>my_company_codeで商品を取得する条件を更新する。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</si>
  <si>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</si>
  <si>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</si>
  <si>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PLUコード (13桁。13桁未満の場合、先頭に「0」を自動的に追加する)に基づいて商品を検索し、商品の基本情報を取得する。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</si>
  <si>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</si>
  <si>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</si>
  <si>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</si>
  <si>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</si>
  <si>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</si>
  <si>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</si>
  <si>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</si>
  <si>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</si>
  <si>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 xml:space="preserve">Query parameter: PLUコード </t>
    </r>
  </si>
  <si>
    <r>
      <rPr>
        <sz val="11"/>
        <color rgb="FF000000"/>
        <rFont val="Meiryo UI"/>
        <family val="2"/>
      </rPr>
      <t>13桁。13桁未満の場合、エラーメッセージ = MSG_VAL_002</t>
    </r>
  </si>
  <si>
    <r>
      <rPr>
        <sz val="11"/>
        <color rgb="FF000000"/>
        <rFont val="Meiryo UI"/>
        <family val="2"/>
      </rPr>
      <t>2桁。2桁未満の場合、 エラーメッセージ = MSG_VAL_002</t>
    </r>
  </si>
  <si>
    <r>
      <rPr>
        <sz val="11"/>
        <color rgb="FF000000"/>
        <rFont val="Meiryo UI"/>
        <family val="2"/>
      </rPr>
      <t>6桁。6桁未満の場合、 エラーメッセージ = MSG_VAL_002</t>
    </r>
  </si>
  <si>
    <r>
      <rPr>
        <sz val="11"/>
        <color rgb="FF000000"/>
        <rFont val="Meiryo UI"/>
        <family val="2"/>
      </rPr>
      <t>5桁。5桁未満の場合、 エラーメッセージ = MSG_VAL_002</t>
    </r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</si>
  <si>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</si>
  <si>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</si>
  <si>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</si>
  <si>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</si>
  <si>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企業コード カスミ =100、いなげや=800</t>
    </r>
  </si>
  <si>
    <r>
      <rPr>
        <sz val="11"/>
        <color rgb="FF000000"/>
        <rFont val="Meiryo UI"/>
        <family val="2"/>
      </rPr>
      <t>表示するJANコード 13桁未満の場合、先頭に「0」を自動的に追加する。</t>
    </r>
  </si>
  <si>
    <r>
      <rPr>
        <sz val="11"/>
        <color rgb="FF000000"/>
        <rFont val="Meiryo UI"/>
        <family val="2"/>
      </rPr>
      <t xml:space="preserve">decimal </t>
    </r>
  </si>
  <si>
    <t>m_item.StandardPrice又はm_item.UnitPrice</t>
  </si>
  <si>
    <r>
      <rPr>
        <sz val="11"/>
        <color rgb="FF000000"/>
        <rFont val="Meiryo UI"/>
        <family val="2"/>
      </rPr>
      <t xml:space="preserve">商品単価
</t>
    </r>
    <r>
      <rPr>
        <sz val="11"/>
        <color rgb="FF0000FF"/>
        <rFont val="Meiryo UI"/>
        <family val="2"/>
      </rPr>
      <t>m_item.StandardPrice != NULLの場合、m_item.StandardPriceを取得する。上記以外の場合、m_item.UnitPriceを取得する。</t>
    </r>
  </si>
  <si>
    <r>
      <rPr>
        <sz val="11"/>
        <color rgb="FF000000"/>
        <rFont val="Meiryo UI"/>
        <family val="2"/>
      </rPr>
      <t>0: 全て（All）、1: カスミ、2: ウエルシア</t>
    </r>
  </si>
  <si>
    <r>
      <rPr>
        <sz val="11"/>
        <color rgb="FF000000"/>
        <rFont val="Meiryo UI"/>
        <family val="2"/>
      </rPr>
      <t>1: カスミ、2: ウエルシア</t>
    </r>
  </si>
  <si>
    <r>
      <rPr>
        <sz val="11"/>
        <color rgb="FF000000"/>
        <rFont val="Meiryo UI"/>
        <family val="2"/>
      </rPr>
      <t>m_item.ForcePrice
SpecialPriceMaster.SpecialPrice</t>
    </r>
  </si>
  <si>
    <r>
      <rPr>
        <sz val="11"/>
        <color rgb="FF000000"/>
        <rFont val="Meiryo UI"/>
        <family val="2"/>
      </rPr>
      <t xml:space="preserve">  0: 新規: 新規
  1: 変更: 変更</t>
    </r>
  </si>
  <si>
    <t>※サンプル</t>
  </si>
  <si>
    <r>
      <rPr>
        <sz val="11"/>
        <color rgb="FF000000"/>
        <rFont val="Meiryo UI"/>
        <family val="2"/>
      </rPr>
      <t>"my_company_code": "0000007796735",</t>
    </r>
  </si>
  <si>
    <r>
      <rPr>
        <sz val="11"/>
        <color rgb="FF000000"/>
        <rFont val="Meiryo UI"/>
        <family val="2"/>
      </rPr>
      <t>"unit_price": 100.00,</t>
    </r>
  </si>
  <si>
    <r>
      <rPr>
        <sz val="11"/>
        <color rgb="FF000000"/>
        <rFont val="Meiryo UI"/>
        <family val="2"/>
      </rPr>
      <t>"exist_in": 1,</t>
    </r>
  </si>
  <si>
    <r>
      <rPr>
        <sz val="11"/>
        <color rgb="FF000000"/>
        <rFont val="Meiryo UI"/>
        <family val="2"/>
      </rPr>
      <t>"belong_to": 1,</t>
    </r>
  </si>
  <si>
    <r>
      <rPr>
        <sz val="11"/>
        <color rgb="FF000000"/>
        <rFont val="Meiryo UI"/>
        <family val="2"/>
      </rPr>
      <t>"current_price": 96.00,</t>
    </r>
  </si>
  <si>
    <r>
      <rPr>
        <sz val="11"/>
        <color rgb="FF000000"/>
        <rFont val="Meiryo UI"/>
        <family val="2"/>
      </rPr>
      <t>"special_valid": 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</si>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</sst>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00B0F0"/>
      <name val="Meiryo UI"/>
      <family val="2"/>
    </font>
    <font>
      <sz val="11"/>
      <color rgb="FF7030A0"/>
      <name val="Meiryo UI"/>
      <family val="2"/>
    </font>
    <font>
      <strike/>
      <sz val="11"/>
      <color rgb="FF7030A0"/>
      <name val="Meiryo UI"/>
      <family val="2"/>
    </font>
    <font>
      <strike/>
      <sz val="1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6" fillId="0" borderId="0">
      <alignment vertical="center"/>
    </xf>
    <xf numFmtId="0" fontId="2" fillId="0" borderId="0">
      <alignment vertical="center"/>
    </xf>
  </cellStyleXfs>
  <cellXfs count="31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6" xfId="0" applyFont="1" applyBorder="1"/>
    <xf numFmtId="0" fontId="13" fillId="0" borderId="2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16" xfId="0" applyFont="1" applyBorder="1"/>
    <xf numFmtId="0" fontId="12" fillId="0" borderId="2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16" xfId="0" applyFont="1" applyBorder="1"/>
    <xf numFmtId="0" fontId="8" fillId="0" borderId="2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0" xfId="0" applyFont="1"/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7" fillId="4" borderId="0" xfId="0" applyFont="1" applyFill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16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7" fillId="4" borderId="23" xfId="6" applyFont="1" applyFill="1" applyBorder="1" applyAlignment="1">
      <alignment horizontal="center" vertical="center"/>
    </xf>
    <xf numFmtId="0" fontId="17" fillId="4" borderId="24" xfId="6" applyFont="1" applyFill="1" applyBorder="1" applyAlignment="1">
      <alignment horizontal="center" vertical="center"/>
    </xf>
    <xf numFmtId="0" fontId="17" fillId="4" borderId="25" xfId="6" applyFont="1" applyFill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23" xfId="0" quotePrefix="1" applyFont="1" applyBorder="1" applyAlignment="1">
      <alignment horizontal="left" vertical="center"/>
    </xf>
    <xf numFmtId="0" fontId="21" fillId="0" borderId="24" xfId="0" quotePrefix="1" applyFont="1" applyBorder="1" applyAlignment="1">
      <alignment horizontal="left" vertical="center"/>
    </xf>
    <xf numFmtId="0" fontId="21" fillId="0" borderId="25" xfId="0" quotePrefix="1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3" xfId="0" quotePrefix="1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6" xfId="0" quotePrefix="1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 vertical="center"/>
    </xf>
    <xf numFmtId="0" fontId="21" fillId="0" borderId="16" xfId="0" quotePrefix="1" applyFont="1" applyBorder="1" applyAlignment="1">
      <alignment horizontal="left" vertical="center"/>
    </xf>
    <xf numFmtId="0" fontId="21" fillId="0" borderId="17" xfId="0" quotePrefix="1" applyFont="1" applyBorder="1" applyAlignment="1">
      <alignment horizontal="left" vertical="center"/>
    </xf>
    <xf numFmtId="0" fontId="21" fillId="0" borderId="18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1" fillId="0" borderId="17" xfId="0" quotePrefix="1" applyFont="1" applyBorder="1" applyAlignment="1">
      <alignment horizontal="left" vertical="top" wrapText="1"/>
    </xf>
    <xf numFmtId="0" fontId="21" fillId="0" borderId="18" xfId="0" quotePrefix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1" fillId="0" borderId="4" xfId="0" quotePrefix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4" xfId="0" applyFont="1" applyBorder="1" applyAlignment="1">
      <alignment horizontal="left" vertical="top"/>
    </xf>
    <xf numFmtId="0" fontId="21" fillId="0" borderId="0" xfId="0" quotePrefix="1" applyFont="1" applyAlignment="1">
      <alignment horizontal="left" vertical="top" wrapText="1"/>
    </xf>
    <xf numFmtId="0" fontId="21" fillId="0" borderId="4" xfId="0" quotePrefix="1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2" xfId="0" quotePrefix="1" applyFont="1" applyBorder="1" applyAlignment="1">
      <alignment horizontal="center" vertical="center"/>
    </xf>
    <xf numFmtId="0" fontId="21" fillId="0" borderId="3" xfId="0" quotePrefix="1" applyFont="1" applyBorder="1" applyAlignment="1">
      <alignment horizontal="center" vertical="center"/>
    </xf>
    <xf numFmtId="0" fontId="21" fillId="0" borderId="5" xfId="0" quotePrefix="1" applyFont="1" applyBorder="1" applyAlignment="1">
      <alignment horizontal="center" vertical="center"/>
    </xf>
    <xf numFmtId="0" fontId="21" fillId="0" borderId="2" xfId="0" quotePrefix="1" applyFont="1" applyBorder="1" applyAlignment="1">
      <alignment horizontal="left" vertical="center"/>
    </xf>
    <xf numFmtId="0" fontId="21" fillId="0" borderId="3" xfId="0" quotePrefix="1" applyFont="1" applyBorder="1" applyAlignment="1">
      <alignment horizontal="left" vertical="center"/>
    </xf>
    <xf numFmtId="0" fontId="21" fillId="0" borderId="5" xfId="0" quotePrefix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3" xfId="0" quotePrefix="1" applyFont="1" applyBorder="1" applyAlignment="1">
      <alignment horizontal="left" vertical="top" wrapText="1"/>
    </xf>
    <xf numFmtId="0" fontId="21" fillId="0" borderId="5" xfId="0" quotePrefix="1" applyFont="1" applyBorder="1" applyAlignment="1">
      <alignment horizontal="left" vertical="top" wrapText="1"/>
    </xf>
    <xf numFmtId="0" fontId="21" fillId="0" borderId="0" xfId="0" quotePrefix="1" applyFont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21" fillId="5" borderId="24" xfId="0" applyFont="1" applyFill="1" applyBorder="1" applyAlignment="1">
      <alignment horizontal="left" vertical="center"/>
    </xf>
    <xf numFmtId="0" fontId="21" fillId="5" borderId="25" xfId="0" applyFont="1" applyFill="1" applyBorder="1" applyAlignment="1">
      <alignment horizontal="left" vertical="center"/>
    </xf>
    <xf numFmtId="0" fontId="21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21" fillId="0" borderId="23" xfId="0" applyFont="1" applyBorder="1" applyAlignment="1">
      <alignment vertical="center" wrapText="1"/>
    </xf>
    <xf numFmtId="0" fontId="21" fillId="0" borderId="2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23" xfId="0" applyFont="1" applyBorder="1" applyAlignment="1">
      <alignment horizontal="left" vertical="center" wrapText="1"/>
    </xf>
    <xf numFmtId="0" fontId="24" fillId="0" borderId="23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1" fillId="0" borderId="16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indent="1"/>
    </xf>
    <xf numFmtId="0" fontId="21" fillId="0" borderId="2" xfId="0" applyFont="1" applyBorder="1" applyAlignment="1">
      <alignment horizontal="left" vertical="center"/>
    </xf>
    <xf numFmtId="0" fontId="21" fillId="0" borderId="21" xfId="0" applyFont="1" applyBorder="1" applyAlignment="1">
      <alignment vertical="center"/>
    </xf>
    <xf numFmtId="0" fontId="21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44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8496300"/>
          <a:ext cx="7200900" cy="1143000"/>
        </a:xfrm>
        <a:prstGeom prst="borderCallout1">
          <a:avLst>
            <a:gd name="adj1" fmla="val 33259"/>
            <a:gd name="adj2" fmla="val 294"/>
            <a:gd name="adj3" fmla="val 33450"/>
            <a:gd name="adj4" fmla="val -1037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・ItemMaster.ParentCodeが存在している場合、「4.親商品情報取得」ステップを実行する。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・レコードが存在していない場合、以下のようにセットする。item_code = ItemMaster.Code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200, データ = 「1.商品情報取得」ステップとステップ3から取得された商品情報</a:t>
          </a:r>
        </a:p>
      </xdr:txBody>
    </xdr:sp>
    <xdr:clientData/>
  </xdr:twoCellAnchor>
  <xdr:twoCellAnchor>
    <xdr:from>
      <xdr:col>34</xdr:col>
      <xdr:colOff>224118</xdr:colOff>
      <xdr:row>35</xdr:row>
      <xdr:rowOff>0</xdr:rowOff>
    </xdr:from>
    <xdr:to>
      <xdr:col>61</xdr:col>
      <xdr:colOff>224118</xdr:colOff>
      <xdr:row>39</xdr:row>
      <xdr:rowOff>0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296400" y="6781800"/>
          <a:ext cx="7200900" cy="762000"/>
        </a:xfrm>
        <a:prstGeom prst="borderCallout1">
          <a:avLst>
            <a:gd name="adj1" fmla="val 48946"/>
            <a:gd name="adj2" fmla="val -59"/>
            <a:gd name="adj3" fmla="val 51098"/>
            <a:gd name="adj4" fmla="val -1037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・レコードが存在している場合、ステップ3を実行する。ItemMaster.ParentCodeの存在を確認する。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・レコードが存在していない場合、以下のレスポンスを返す。status_code = 404, message = MSG_ERR_001</a:t>
          </a:r>
        </a:p>
      </xdr:txBody>
    </xdr:sp>
    <xdr:clientData/>
  </xdr:twoCellAnchor>
  <xdr:twoCellAnchor>
    <xdr:from>
      <xdr:col>35</xdr:col>
      <xdr:colOff>0</xdr:colOff>
      <xdr:row>10</xdr:row>
      <xdr:rowOff>0</xdr:rowOff>
    </xdr:from>
    <xdr:to>
      <xdr:col>62</xdr:col>
      <xdr:colOff>0</xdr:colOff>
      <xdr:row>33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19300"/>
          <a:ext cx="7200900" cy="4381500"/>
        </a:xfrm>
        <a:prstGeom prst="borderCallout1">
          <a:avLst>
            <a:gd name="adj1" fmla="val 48808"/>
            <a:gd name="adj2" fmla="val -59"/>
            <a:gd name="adj3" fmla="val 29052"/>
            <a:gd name="adj4" fmla="val -969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以下を満たすm_itemテーブルの商品情報レコードを取得する(AP1506レスポンス記述による) 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LEFT JOIN m_forceprice ON m_forceprice .CompanyCode = m_item.CompanyCode AND m_forceprice .StoreCode = m_item.StoreCode AND m_forceprice .ItemCode = m_item.ItemCode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LEFT JOIN m_specialprice sp ON sp.ItemCode = m_item.ItemCode AND sp.CompanyCode = m_item.CompanyCode AND sp.StoreCode = m_item.StoreCode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promotion_code != nullの場合、AND sp.PromotionCode = params{promotion_code}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▪promotion_code = nullの場合、AND sp.StartDateTime &lt;= NOW() AND sp.EndDateTime &gt;= NOW()    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m_item.CompanyCode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m_item.StoreCode = params{selected_store}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PLU != nullの場合、m_item.ItemCode = params{PLU}を確認する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PLU = nullかつparams{group_code} != nullかつparams {product_code} != nullの場合、以下の条件を満たすレコードを取得する。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・m_item.MyCompanyCode </a:t>
          </a:r>
          <a:r>
            <a:rPr lang="en-US" altLang="ja-JP" sz="10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{13桁を構成するために「0」を追加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}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LIKE CONCAT('%',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params{group_code}, params {product_code}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・特売売価が存在している場合、special_valid = 1を返す。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・特売売価が存在していない場合、special_valid = 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商品の売価情報を計算する（force_price、current_priceを含む）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▪40_API設計_商品の現在売価取得.xlsxをご参照ください。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94</xdr:row>
      <xdr:rowOff>0</xdr:rowOff>
    </xdr:from>
    <xdr:to>
      <xdr:col>8</xdr:col>
      <xdr:colOff>0</xdr:colOff>
      <xdr:row>96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18021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36</xdr:row>
      <xdr:rowOff>11206</xdr:rowOff>
    </xdr:from>
    <xdr:to>
      <xdr:col>9</xdr:col>
      <xdr:colOff>0</xdr:colOff>
      <xdr:row>41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6981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41</xdr:row>
      <xdr:rowOff>0</xdr:rowOff>
    </xdr:from>
    <xdr:to>
      <xdr:col>7</xdr:col>
      <xdr:colOff>0</xdr:colOff>
      <xdr:row>42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792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38</xdr:row>
      <xdr:rowOff>0</xdr:rowOff>
    </xdr:from>
    <xdr:to>
      <xdr:col>11</xdr:col>
      <xdr:colOff>0</xdr:colOff>
      <xdr:row>39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735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42</xdr:row>
      <xdr:rowOff>0</xdr:rowOff>
    </xdr:from>
    <xdr:to>
      <xdr:col>6</xdr:col>
      <xdr:colOff>1</xdr:colOff>
      <xdr:row>45</xdr:row>
      <xdr:rowOff>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61" idx="0"/>
        </xdr:cNvCxnSpPr>
      </xdr:nvCxnSpPr>
      <xdr:spPr>
        <a:xfrm>
          <a:off x="1600200" y="8115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36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3629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45</xdr:row>
      <xdr:rowOff>1</xdr:rowOff>
    </xdr:from>
    <xdr:to>
      <xdr:col>9</xdr:col>
      <xdr:colOff>0</xdr:colOff>
      <xdr:row>50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8686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ParentCodeが存在している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11206</xdr:colOff>
      <xdr:row>50</xdr:row>
      <xdr:rowOff>0</xdr:rowOff>
    </xdr:from>
    <xdr:to>
      <xdr:col>7</xdr:col>
      <xdr:colOff>11206</xdr:colOff>
      <xdr:row>51</xdr:row>
      <xdr:rowOff>0</xdr:rowOff>
    </xdr:to>
    <xdr:sp macro="" textlink="" fLocksText="0">
      <xdr:nvSpPr>
        <xdr:cNvPr id="62" name="Flowchart: Process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343025" y="963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11206</xdr:colOff>
      <xdr:row>47</xdr:row>
      <xdr:rowOff>0</xdr:rowOff>
    </xdr:from>
    <xdr:to>
      <xdr:col>11</xdr:col>
      <xdr:colOff>11206</xdr:colOff>
      <xdr:row>48</xdr:row>
      <xdr:rowOff>0</xdr:rowOff>
    </xdr:to>
    <xdr:sp macro="" textlink="" fLocksText="0">
      <xdr:nvSpPr>
        <xdr:cNvPr id="63" name="Flowchart: Process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409825" y="9067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11</xdr:col>
      <xdr:colOff>0</xdr:colOff>
      <xdr:row>38</xdr:row>
      <xdr:rowOff>95250</xdr:rowOff>
    </xdr:from>
    <xdr:to>
      <xdr:col>29</xdr:col>
      <xdr:colOff>1</xdr:colOff>
      <xdr:row>85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20" idx="0"/>
        </xdr:cNvCxnSpPr>
      </xdr:nvCxnSpPr>
      <xdr:spPr>
        <a:xfrm>
          <a:off x="2933700" y="7448550"/>
          <a:ext cx="4800600" cy="885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94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endCxn id="5" idx="0"/>
        </xdr:cNvCxnSpPr>
      </xdr:nvCxnSpPr>
      <xdr:spPr>
        <a:xfrm>
          <a:off x="1600200" y="17449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51</xdr:row>
      <xdr:rowOff>0</xdr:rowOff>
    </xdr:from>
    <xdr:to>
      <xdr:col>6</xdr:col>
      <xdr:colOff>11207</xdr:colOff>
      <xdr:row>60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62" idx="2"/>
          <a:endCxn id="14" idx="0"/>
        </xdr:cNvCxnSpPr>
      </xdr:nvCxnSpPr>
      <xdr:spPr>
        <a:xfrm flipH="1">
          <a:off x="1600200" y="9829800"/>
          <a:ext cx="9525" cy="1714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86</xdr:row>
      <xdr:rowOff>0</xdr:rowOff>
    </xdr:from>
    <xdr:to>
      <xdr:col>29</xdr:col>
      <xdr:colOff>1</xdr:colOff>
      <xdr:row>94</xdr:row>
      <xdr:rowOff>0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20" idx="2"/>
          <a:endCxn id="5" idx="0"/>
        </xdr:cNvCxnSpPr>
      </xdr:nvCxnSpPr>
      <xdr:spPr>
        <a:xfrm rot="5400000">
          <a:off x="1600200" y="16497300"/>
          <a:ext cx="61341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57</xdr:row>
      <xdr:rowOff>0</xdr:rowOff>
    </xdr:from>
    <xdr:to>
      <xdr:col>62</xdr:col>
      <xdr:colOff>0</xdr:colOff>
      <xdr:row>75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334500" y="10972800"/>
          <a:ext cx="7200900" cy="3429000"/>
        </a:xfrm>
        <a:prstGeom prst="borderCallout1">
          <a:avLst>
            <a:gd name="adj1" fmla="val 48808"/>
            <a:gd name="adj2" fmla="val -59"/>
            <a:gd name="adj3" fmla="val 24960"/>
            <a:gd name="adj4" fmla="val -971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以下を満たすm_itemテーブルの親商品情報レコードを取得する(AP1506レスポンス記述による) 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LEFT JOIN m_forceprice ON m_forceprice .CompanyCode = m_item.CompanyCode AND m_forceprice .StoreCode = m_item.StoreCode AND m_forceprice .ItemCode = m_item.ItemCode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LEFT JOIN m_specialprice sp ON sp.ItemCode = m_item.ItemCode AND sp.CompanyCode = m_item.CompanyCode AND sp.StoreCode = m_item.StoreCode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promotion_code != nullの場合、AND sp.PromotionCode = params{promotion_code}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▪promotion_code = nullの場合、AND sp.StartDateTime &lt;= NOW() AND sp.EndDateTime &gt;= NOW()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WHERE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 m_item.CompanyCode = User.CompanyCode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 m_item.StoreCode = params{selected_store}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 m_item.ItemCode = ParentItemCode (ステップ1の結果)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・特定売価が存在している場合、special_valid = 1を返す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特定売価が存在していない場合、special_valid = 0を返す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2. 商品の現在売価情報を計算する。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 40_API設計_商品の現在売価取得.xlsxをご参照ください。</a:t>
          </a: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9</xdr:col>
      <xdr:colOff>0</xdr:colOff>
      <xdr:row>64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1154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親商品情報取得</a:t>
          </a:r>
        </a:p>
      </xdr:txBody>
    </xdr:sp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</xdr:colOff>
      <xdr:row>94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4" idx="2"/>
          <a:endCxn id="5" idx="0"/>
        </xdr:cNvCxnSpPr>
      </xdr:nvCxnSpPr>
      <xdr:spPr>
        <a:xfrm flipH="1">
          <a:off x="1600200" y="12306300"/>
          <a:ext cx="0" cy="5715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85</xdr:row>
      <xdr:rowOff>0</xdr:rowOff>
    </xdr:from>
    <xdr:to>
      <xdr:col>30</xdr:col>
      <xdr:colOff>0</xdr:colOff>
      <xdr:row>86</xdr:row>
      <xdr:rowOff>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7467600" y="16306800"/>
          <a:ext cx="533400" cy="190500"/>
        </a:xfrm>
        <a:prstGeom prst="rect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11206</xdr:colOff>
      <xdr:row>47</xdr:row>
      <xdr:rowOff>95250</xdr:rowOff>
    </xdr:from>
    <xdr:to>
      <xdr:col>29</xdr:col>
      <xdr:colOff>1</xdr:colOff>
      <xdr:row>85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63" idx="3"/>
          <a:endCxn id="20" idx="0"/>
        </xdr:cNvCxnSpPr>
      </xdr:nvCxnSpPr>
      <xdr:spPr>
        <a:xfrm>
          <a:off x="2943225" y="9163050"/>
          <a:ext cx="4791075" cy="7143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78</xdr:row>
      <xdr:rowOff>0</xdr:rowOff>
    </xdr:from>
    <xdr:to>
      <xdr:col>62</xdr:col>
      <xdr:colOff>0</xdr:colOff>
      <xdr:row>82</xdr:row>
      <xdr:rowOff>11206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14973300"/>
          <a:ext cx="7200900" cy="771525"/>
        </a:xfrm>
        <a:prstGeom prst="borderCallout1">
          <a:avLst>
            <a:gd name="adj1" fmla="val 48946"/>
            <a:gd name="adj2" fmla="val -59"/>
            <a:gd name="adj3" fmla="val 51098"/>
            <a:gd name="adj4" fmla="val -1037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・レコードが存在している場合、レスポンスコード200を返す（ステップ4で説明されたレスポンス）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・レコードが存在していない場合、レスポンスコード200を返す（ステップ1で説明されたレスポンス）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78</xdr:row>
      <xdr:rowOff>11206</xdr:rowOff>
    </xdr:from>
    <xdr:to>
      <xdr:col>9</xdr:col>
      <xdr:colOff>0</xdr:colOff>
      <xdr:row>83</xdr:row>
      <xdr:rowOff>0</xdr:rowOff>
    </xdr:to>
    <xdr:sp macro="" textlink="" fLocksText="0">
      <xdr:nvSpPr>
        <xdr:cNvPr id="28" name="Flowchart: Decisio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14982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83</xdr:row>
      <xdr:rowOff>0</xdr:rowOff>
    </xdr:from>
    <xdr:to>
      <xdr:col>7</xdr:col>
      <xdr:colOff>0</xdr:colOff>
      <xdr:row>84</xdr:row>
      <xdr:rowOff>0</xdr:rowOff>
    </xdr:to>
    <xdr:sp macro="" textlink="" fLocksText="0">
      <xdr:nvSpPr>
        <xdr:cNvPr id="29" name="Flowchart: Process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333500" y="1592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80</xdr:row>
      <xdr:rowOff>0</xdr:rowOff>
    </xdr:from>
    <xdr:to>
      <xdr:col>11</xdr:col>
      <xdr:colOff>0</xdr:colOff>
      <xdr:row>81</xdr:row>
      <xdr:rowOff>0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400300" y="1535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11</xdr:col>
      <xdr:colOff>0</xdr:colOff>
      <xdr:row>80</xdr:row>
      <xdr:rowOff>95250</xdr:rowOff>
    </xdr:from>
    <xdr:to>
      <xdr:col>29</xdr:col>
      <xdr:colOff>1</xdr:colOff>
      <xdr:row>85</xdr:row>
      <xdr:rowOff>0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30" idx="3"/>
          <a:endCxn id="20" idx="0"/>
        </xdr:cNvCxnSpPr>
      </xdr:nvCxnSpPr>
      <xdr:spPr>
        <a:xfrm>
          <a:off x="2933700" y="15449550"/>
          <a:ext cx="48006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5" customWidth="1"/>
    <col min="61" max="16384" width="2.77734375" style="145"/>
  </cols>
  <sheetData>
    <row r="1" spans="1:63" ht="24.95" customHeight="1" x14ac:dyDescent="0.25">
      <c r="A1" s="139" t="s">
        <v>81</v>
      </c>
      <c r="B1" s="140"/>
      <c r="C1" s="140"/>
      <c r="D1" s="140"/>
      <c r="E1" s="140"/>
      <c r="F1" s="140"/>
      <c r="G1" s="140"/>
      <c r="H1" s="140"/>
      <c r="I1" s="140"/>
      <c r="J1" s="141"/>
      <c r="K1" s="139" t="s">
        <v>82</v>
      </c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42" t="s">
        <v>83</v>
      </c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4"/>
      <c r="AP1" s="139" t="s">
        <v>84</v>
      </c>
      <c r="AQ1" s="140"/>
      <c r="AR1" s="140"/>
      <c r="AS1" s="141"/>
      <c r="AT1" s="139" t="s">
        <v>85</v>
      </c>
      <c r="AU1" s="140"/>
      <c r="AV1" s="140"/>
      <c r="AW1" s="140"/>
      <c r="AX1" s="141"/>
      <c r="AY1" s="139" t="s">
        <v>86</v>
      </c>
      <c r="AZ1" s="140"/>
      <c r="BA1" s="140"/>
      <c r="BB1" s="141"/>
      <c r="BC1" s="139" t="s">
        <v>87</v>
      </c>
      <c r="BD1" s="140"/>
      <c r="BE1" s="140"/>
      <c r="BF1" s="140"/>
      <c r="BG1" s="141"/>
      <c r="BH1" s="139" t="s">
        <v>88</v>
      </c>
      <c r="BI1" s="140"/>
      <c r="BJ1" s="140"/>
      <c r="BK1" s="141"/>
    </row>
    <row r="2" spans="1:63" ht="15" customHeight="1" x14ac:dyDescent="0.25">
      <c r="A2" s="54" t="s">
        <v>89</v>
      </c>
      <c r="B2" s="146"/>
      <c r="C2" s="146"/>
      <c r="D2" s="146"/>
      <c r="E2" s="146"/>
      <c r="F2" s="146"/>
      <c r="G2" s="146"/>
      <c r="H2" s="146"/>
      <c r="I2" s="146"/>
      <c r="J2" s="147"/>
      <c r="K2" s="148" t="s">
        <v>1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148" t="str">
        <f>改訂履歴!$H$11</f>
        <v>DuNT</v>
      </c>
      <c r="AQ2" s="146"/>
      <c r="AR2" s="146"/>
      <c r="AS2" s="147"/>
      <c r="AT2" s="152">
        <f>改訂履歴!$B$11</f>
        <v>45475</v>
      </c>
      <c r="AU2" s="153"/>
      <c r="AV2" s="153"/>
      <c r="AW2" s="153"/>
      <c r="AX2" s="154"/>
      <c r="AY2" s="148" t="str">
        <f>LOOKUP(2,1/(改訂履歴!H11:H30000&lt;&gt;""),改訂履歴!H11:H30000)</f>
        <v>AnhTTP</v>
      </c>
      <c r="AZ2" s="146"/>
      <c r="BA2" s="146"/>
      <c r="BB2" s="147"/>
      <c r="BC2" s="152">
        <f>LOOKUP(2,1/(改訂履歴!B11:B30000&lt;&gt;""),改訂履歴!B11:B30000)</f>
        <v>45701</v>
      </c>
      <c r="BD2" s="153"/>
      <c r="BE2" s="153"/>
      <c r="BF2" s="153"/>
      <c r="BG2" s="154"/>
      <c r="BH2" s="155">
        <f>LOOKUP(2,1/(改訂履歴!O11:O30000&lt;&gt;""),改訂履歴!O11:O30000)</f>
        <v>0.55000000000000004</v>
      </c>
      <c r="BI2" s="156"/>
      <c r="BJ2" s="156"/>
      <c r="BK2" s="157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1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3"/>
      <c r="AP3" s="158"/>
      <c r="AQ3" s="159"/>
      <c r="AR3" s="159"/>
      <c r="AS3" s="160"/>
      <c r="AT3" s="164"/>
      <c r="AU3" s="165"/>
      <c r="AV3" s="165"/>
      <c r="AW3" s="165"/>
      <c r="AX3" s="166"/>
      <c r="AY3" s="158"/>
      <c r="AZ3" s="159"/>
      <c r="BA3" s="159"/>
      <c r="BB3" s="160"/>
      <c r="BC3" s="164"/>
      <c r="BD3" s="165"/>
      <c r="BE3" s="165"/>
      <c r="BF3" s="165"/>
      <c r="BG3" s="166"/>
      <c r="BH3" s="167"/>
      <c r="BI3" s="168"/>
      <c r="BJ3" s="168"/>
      <c r="BK3" s="169"/>
    </row>
    <row r="4" spans="1:63" ht="24.95" customHeight="1" x14ac:dyDescent="0.25">
      <c r="A4" s="139" t="s">
        <v>90</v>
      </c>
      <c r="B4" s="140"/>
      <c r="C4" s="140"/>
      <c r="D4" s="140"/>
      <c r="E4" s="140"/>
      <c r="F4" s="140"/>
      <c r="G4" s="141"/>
      <c r="H4" s="170" t="s">
        <v>34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39" t="s">
        <v>91</v>
      </c>
      <c r="V4" s="140"/>
      <c r="W4" s="140"/>
      <c r="X4" s="140"/>
      <c r="Y4" s="141"/>
      <c r="Z4" s="53" t="s">
        <v>92</v>
      </c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2"/>
      <c r="AP4" s="170" t="str">
        <f t="array" aca="1" ref="AP4" ca="1">RIGHT(CELL("filename",$A$1),LEN(CELL("filename",$A$1))-FIND("]",CELL("filename",$A$1)))</f>
        <v>表紙</v>
      </c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2"/>
    </row>
    <row r="5" spans="1:63" ht="5.0999999999999996" customHeight="1" x14ac:dyDescent="0.25">
      <c r="A5" s="173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5"/>
    </row>
    <row r="6" spans="1:63" ht="15" customHeight="1" x14ac:dyDescent="0.25">
      <c r="A6" s="176"/>
      <c r="BK6" s="177"/>
    </row>
    <row r="7" spans="1:63" ht="15" customHeight="1" x14ac:dyDescent="0.25">
      <c r="A7" s="176"/>
      <c r="BK7" s="177"/>
    </row>
    <row r="8" spans="1:63" ht="15" customHeight="1" x14ac:dyDescent="0.25">
      <c r="A8" s="176"/>
      <c r="BK8" s="177"/>
    </row>
    <row r="9" spans="1:63" ht="15" customHeight="1" x14ac:dyDescent="0.25">
      <c r="A9" s="176"/>
      <c r="BK9" s="177"/>
    </row>
    <row r="10" spans="1:63" ht="15" customHeight="1" x14ac:dyDescent="0.25">
      <c r="A10" s="176"/>
      <c r="BK10" s="177"/>
    </row>
    <row r="11" spans="1:63" ht="15" customHeight="1" x14ac:dyDescent="0.25">
      <c r="A11" s="176"/>
      <c r="BK11" s="177"/>
    </row>
    <row r="12" spans="1:63" ht="15" customHeight="1" x14ac:dyDescent="0.25">
      <c r="A12" s="176"/>
      <c r="BK12" s="177"/>
    </row>
    <row r="13" spans="1:63" ht="15" customHeight="1" x14ac:dyDescent="0.25">
      <c r="A13" s="176"/>
      <c r="BK13" s="177"/>
    </row>
    <row r="14" spans="1:63" ht="15" customHeight="1" thickBot="1" x14ac:dyDescent="0.3">
      <c r="A14" s="176"/>
      <c r="BK14" s="177"/>
    </row>
    <row r="15" spans="1:63" ht="15" customHeight="1" thickTop="1" x14ac:dyDescent="0.25">
      <c r="A15" s="176"/>
      <c r="K15" s="178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80"/>
      <c r="BK15" s="177"/>
    </row>
    <row r="16" spans="1:63" ht="15" customHeight="1" x14ac:dyDescent="0.25">
      <c r="A16" s="176"/>
      <c r="K16" s="181"/>
      <c r="L16" s="182" t="s">
        <v>93</v>
      </c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4"/>
      <c r="BK16" s="177"/>
    </row>
    <row r="17" spans="1:63" ht="15" customHeight="1" x14ac:dyDescent="0.25">
      <c r="A17" s="176"/>
      <c r="K17" s="181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4"/>
      <c r="BK17" s="177"/>
    </row>
    <row r="18" spans="1:63" ht="15" customHeight="1" x14ac:dyDescent="0.25">
      <c r="A18" s="176"/>
      <c r="K18" s="181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4"/>
      <c r="BK18" s="177"/>
    </row>
    <row r="19" spans="1:63" ht="15" customHeight="1" x14ac:dyDescent="0.25">
      <c r="A19" s="176"/>
      <c r="K19" s="181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4"/>
      <c r="BK19" s="177"/>
    </row>
    <row r="20" spans="1:63" ht="15" customHeight="1" x14ac:dyDescent="0.25">
      <c r="A20" s="176"/>
      <c r="K20" s="181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  <c r="BA20" s="184"/>
      <c r="BK20" s="177"/>
    </row>
    <row r="21" spans="1:63" ht="15" customHeight="1" x14ac:dyDescent="0.25">
      <c r="A21" s="176"/>
      <c r="K21" s="181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4"/>
      <c r="BK21" s="177"/>
    </row>
    <row r="22" spans="1:63" ht="15" customHeight="1" thickBot="1" x14ac:dyDescent="0.3">
      <c r="A22" s="176"/>
      <c r="K22" s="181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185"/>
      <c r="BA22" s="184"/>
      <c r="BK22" s="177"/>
    </row>
    <row r="23" spans="1:63" ht="15" customHeight="1" x14ac:dyDescent="0.25">
      <c r="A23" s="176"/>
      <c r="K23" s="181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4"/>
      <c r="BK23" s="177"/>
    </row>
    <row r="24" spans="1:63" ht="15" customHeight="1" x14ac:dyDescent="0.25">
      <c r="A24" s="176"/>
      <c r="K24" s="181"/>
      <c r="L24" s="183" t="str">
        <f>K2&amp;"/"&amp;H4&amp;"/"&amp;Z4</f>
        <v>POSサーバー/AP1506/API設計書</v>
      </c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  <c r="BA24" s="184"/>
      <c r="BK24" s="177"/>
    </row>
    <row r="25" spans="1:63" ht="15" customHeight="1" x14ac:dyDescent="0.25">
      <c r="A25" s="176"/>
      <c r="K25" s="181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4"/>
      <c r="BK25" s="177"/>
    </row>
    <row r="26" spans="1:63" ht="15" customHeight="1" x14ac:dyDescent="0.25">
      <c r="A26" s="176"/>
      <c r="K26" s="181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  <c r="BA26" s="184"/>
      <c r="BK26" s="177"/>
    </row>
    <row r="27" spans="1:63" ht="15" customHeight="1" x14ac:dyDescent="0.25">
      <c r="A27" s="176"/>
      <c r="K27" s="181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  <c r="BA27" s="184"/>
      <c r="BK27" s="177"/>
    </row>
    <row r="28" spans="1:63" ht="15" customHeight="1" x14ac:dyDescent="0.25">
      <c r="A28" s="176"/>
      <c r="K28" s="181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  <c r="BA28" s="184"/>
      <c r="BK28" s="177"/>
    </row>
    <row r="29" spans="1:63" ht="15" customHeight="1" x14ac:dyDescent="0.25">
      <c r="A29" s="176"/>
      <c r="K29" s="181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  <c r="BA29" s="184"/>
      <c r="BK29" s="177"/>
    </row>
    <row r="30" spans="1:63" ht="15" customHeight="1" x14ac:dyDescent="0.25">
      <c r="A30" s="176"/>
      <c r="K30" s="181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  <c r="BA30" s="184"/>
      <c r="BK30" s="177"/>
    </row>
    <row r="31" spans="1:63" ht="15" customHeight="1" x14ac:dyDescent="0.25">
      <c r="A31" s="176"/>
      <c r="K31" s="181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  <c r="BA31" s="184"/>
      <c r="BK31" s="177"/>
    </row>
    <row r="32" spans="1:63" ht="15" customHeight="1" x14ac:dyDescent="0.25">
      <c r="A32" s="176"/>
      <c r="K32" s="181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  <c r="BA32" s="184"/>
      <c r="BK32" s="177"/>
    </row>
    <row r="33" spans="1:63" ht="15" customHeight="1" x14ac:dyDescent="0.25">
      <c r="A33" s="176"/>
      <c r="K33" s="181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  <c r="BA33" s="184"/>
      <c r="BK33" s="177"/>
    </row>
    <row r="34" spans="1:63" ht="15" customHeight="1" x14ac:dyDescent="0.25">
      <c r="A34" s="176"/>
      <c r="K34" s="181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  <c r="BA34" s="184"/>
      <c r="BK34" s="177"/>
    </row>
    <row r="35" spans="1:63" ht="15" customHeight="1" x14ac:dyDescent="0.25">
      <c r="A35" s="176"/>
      <c r="K35" s="181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4"/>
      <c r="BK35" s="177"/>
    </row>
    <row r="36" spans="1:63" ht="15" customHeight="1" x14ac:dyDescent="0.25">
      <c r="A36" s="176"/>
      <c r="K36" s="181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  <c r="BA36" s="184"/>
      <c r="BK36" s="177"/>
    </row>
    <row r="37" spans="1:63" ht="15" customHeight="1" thickBot="1" x14ac:dyDescent="0.3">
      <c r="A37" s="176"/>
      <c r="K37" s="187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9"/>
      <c r="BK37" s="177"/>
    </row>
    <row r="38" spans="1:63" ht="15" customHeight="1" thickTop="1" x14ac:dyDescent="0.25">
      <c r="A38" s="176"/>
      <c r="BK38" s="177"/>
    </row>
    <row r="39" spans="1:63" ht="15" customHeight="1" x14ac:dyDescent="0.25">
      <c r="A39" s="176"/>
      <c r="BK39" s="177"/>
    </row>
    <row r="40" spans="1:63" ht="15" customHeight="1" x14ac:dyDescent="0.25">
      <c r="A40" s="176"/>
      <c r="BK40" s="177"/>
    </row>
    <row r="41" spans="1:63" ht="15" customHeight="1" x14ac:dyDescent="0.25">
      <c r="A41" s="176"/>
      <c r="BK41" s="177"/>
    </row>
    <row r="42" spans="1:63" ht="15" customHeight="1" x14ac:dyDescent="0.25">
      <c r="A42" s="176"/>
      <c r="BK42" s="177"/>
    </row>
    <row r="43" spans="1:63" ht="15" customHeight="1" x14ac:dyDescent="0.25">
      <c r="A43" s="176"/>
      <c r="BK43" s="177"/>
    </row>
    <row r="44" spans="1:63" ht="15" customHeight="1" x14ac:dyDescent="0.25">
      <c r="A44" s="176"/>
      <c r="Q44" s="190" t="s">
        <v>94</v>
      </c>
      <c r="R44" s="191"/>
      <c r="S44" s="191"/>
      <c r="T44" s="191"/>
      <c r="U44" s="191"/>
      <c r="V44" s="191"/>
      <c r="W44" s="191"/>
      <c r="X44" s="191"/>
      <c r="Y44" s="191"/>
      <c r="Z44" s="192"/>
      <c r="AA44" s="190" t="s">
        <v>95</v>
      </c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2"/>
      <c r="AQ44" s="190" t="s">
        <v>88</v>
      </c>
      <c r="AR44" s="191"/>
      <c r="AS44" s="191"/>
      <c r="AT44" s="191"/>
      <c r="AU44" s="192"/>
      <c r="BK44" s="177"/>
    </row>
    <row r="45" spans="1:63" ht="15" customHeight="1" x14ac:dyDescent="0.25">
      <c r="A45" s="176"/>
      <c r="Q45" s="193"/>
      <c r="R45" s="194"/>
      <c r="S45" s="194"/>
      <c r="T45" s="194"/>
      <c r="U45" s="194"/>
      <c r="V45" s="194"/>
      <c r="W45" s="194"/>
      <c r="X45" s="194"/>
      <c r="Y45" s="194"/>
      <c r="Z45" s="195"/>
      <c r="AA45" s="193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5"/>
      <c r="AQ45" s="193"/>
      <c r="AR45" s="194"/>
      <c r="AS45" s="194"/>
      <c r="AT45" s="194"/>
      <c r="AU45" s="195"/>
      <c r="BK45" s="177"/>
    </row>
    <row r="46" spans="1:63" ht="15" customHeight="1" x14ac:dyDescent="0.25">
      <c r="A46" s="176"/>
      <c r="Q46" s="148"/>
      <c r="R46" s="146"/>
      <c r="S46" s="146"/>
      <c r="T46" s="146"/>
      <c r="U46" s="146"/>
      <c r="V46" s="146"/>
      <c r="W46" s="146"/>
      <c r="X46" s="146"/>
      <c r="Y46" s="146"/>
      <c r="Z46" s="147"/>
      <c r="AA46" s="148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7"/>
      <c r="AQ46" s="148"/>
      <c r="AR46" s="146"/>
      <c r="AS46" s="146"/>
      <c r="AT46" s="146"/>
      <c r="AU46" s="147"/>
      <c r="BK46" s="177"/>
    </row>
    <row r="47" spans="1:63" ht="15" customHeight="1" x14ac:dyDescent="0.25">
      <c r="A47" s="176"/>
      <c r="Q47" s="196"/>
      <c r="R47" s="197"/>
      <c r="S47" s="197"/>
      <c r="T47" s="197"/>
      <c r="U47" s="197"/>
      <c r="V47" s="197"/>
      <c r="W47" s="197"/>
      <c r="X47" s="197"/>
      <c r="Y47" s="197"/>
      <c r="Z47" s="198"/>
      <c r="AA47" s="196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8"/>
      <c r="AQ47" s="196"/>
      <c r="AR47" s="197"/>
      <c r="AS47" s="197"/>
      <c r="AT47" s="197"/>
      <c r="AU47" s="198"/>
      <c r="BK47" s="177"/>
    </row>
    <row r="48" spans="1:63" ht="15" customHeight="1" x14ac:dyDescent="0.25">
      <c r="A48" s="176"/>
      <c r="Q48" s="196"/>
      <c r="R48" s="197"/>
      <c r="S48" s="197"/>
      <c r="T48" s="197"/>
      <c r="U48" s="197"/>
      <c r="V48" s="197"/>
      <c r="W48" s="197"/>
      <c r="X48" s="197"/>
      <c r="Y48" s="197"/>
      <c r="Z48" s="198"/>
      <c r="AA48" s="196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8"/>
      <c r="AQ48" s="196"/>
      <c r="AR48" s="197"/>
      <c r="AS48" s="197"/>
      <c r="AT48" s="197"/>
      <c r="AU48" s="198"/>
      <c r="BK48" s="177"/>
    </row>
    <row r="49" spans="1:63" ht="15" customHeight="1" x14ac:dyDescent="0.25">
      <c r="A49" s="176"/>
      <c r="Q49" s="158"/>
      <c r="R49" s="159"/>
      <c r="S49" s="159"/>
      <c r="T49" s="159"/>
      <c r="U49" s="159"/>
      <c r="V49" s="159"/>
      <c r="W49" s="159"/>
      <c r="X49" s="159"/>
      <c r="Y49" s="159"/>
      <c r="Z49" s="160"/>
      <c r="AA49" s="158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60"/>
      <c r="AQ49" s="158"/>
      <c r="AR49" s="159"/>
      <c r="AS49" s="159"/>
      <c r="AT49" s="159"/>
      <c r="AU49" s="160"/>
      <c r="BK49" s="177"/>
    </row>
    <row r="50" spans="1:63" ht="15" customHeight="1" x14ac:dyDescent="0.25">
      <c r="A50" s="176"/>
      <c r="BK50" s="177"/>
    </row>
    <row r="51" spans="1:63" ht="15" customHeight="1" x14ac:dyDescent="0.25">
      <c r="A51" s="176"/>
      <c r="BK51" s="177"/>
    </row>
    <row r="52" spans="1:63" ht="15" customHeight="1" x14ac:dyDescent="0.25">
      <c r="A52" s="176"/>
      <c r="BK52" s="177"/>
    </row>
    <row r="53" spans="1:63" ht="15" customHeight="1" x14ac:dyDescent="0.25">
      <c r="A53" s="176"/>
      <c r="BK53" s="177"/>
    </row>
    <row r="54" spans="1:63" ht="15" customHeight="1" x14ac:dyDescent="0.25">
      <c r="A54" s="176"/>
      <c r="BK54" s="177"/>
    </row>
    <row r="55" spans="1:63" ht="15" customHeight="1" x14ac:dyDescent="0.25">
      <c r="A55" s="173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174"/>
      <c r="AY55" s="174"/>
      <c r="AZ55" s="174"/>
      <c r="BA55" s="174"/>
      <c r="BB55" s="174"/>
      <c r="BC55" s="174"/>
      <c r="BD55" s="174"/>
      <c r="BE55" s="174"/>
      <c r="BF55" s="174"/>
      <c r="BG55" s="174"/>
      <c r="BH55" s="174"/>
      <c r="BI55" s="174"/>
      <c r="BJ55" s="174"/>
      <c r="BK55" s="17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5" customWidth="1"/>
    <col min="61" max="16384" width="2.77734375" style="145"/>
  </cols>
  <sheetData>
    <row r="1" spans="1:63" ht="24.95" customHeight="1" x14ac:dyDescent="0.25">
      <c r="A1" s="139" t="s">
        <v>81</v>
      </c>
      <c r="B1" s="140"/>
      <c r="C1" s="140"/>
      <c r="D1" s="140"/>
      <c r="E1" s="140"/>
      <c r="F1" s="140"/>
      <c r="G1" s="140"/>
      <c r="H1" s="140"/>
      <c r="I1" s="140"/>
      <c r="J1" s="141"/>
      <c r="K1" s="139" t="s">
        <v>82</v>
      </c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99" t="str">
        <f>IF(表紙!W1="","",表紙!W1)</f>
        <v>詳細設計書</v>
      </c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4"/>
      <c r="AP1" s="139" t="s">
        <v>84</v>
      </c>
      <c r="AQ1" s="140"/>
      <c r="AR1" s="140"/>
      <c r="AS1" s="141"/>
      <c r="AT1" s="139" t="s">
        <v>85</v>
      </c>
      <c r="AU1" s="140"/>
      <c r="AV1" s="140"/>
      <c r="AW1" s="140"/>
      <c r="AX1" s="141"/>
      <c r="AY1" s="139" t="s">
        <v>86</v>
      </c>
      <c r="AZ1" s="140"/>
      <c r="BA1" s="140"/>
      <c r="BB1" s="141"/>
      <c r="BC1" s="139" t="s">
        <v>87</v>
      </c>
      <c r="BD1" s="140"/>
      <c r="BE1" s="140"/>
      <c r="BF1" s="140"/>
      <c r="BG1" s="141"/>
      <c r="BH1" s="139" t="s">
        <v>88</v>
      </c>
      <c r="BI1" s="140"/>
      <c r="BJ1" s="140"/>
      <c r="BK1" s="141"/>
    </row>
    <row r="2" spans="1:63" ht="15" customHeight="1" x14ac:dyDescent="0.25">
      <c r="A2" s="148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8" t="str">
        <f>IF(表紙!K2="","",表紙!K2)</f>
        <v>POSサーバー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148" t="str">
        <f>IF(表紙!AP2="","",表紙!AP2)</f>
        <v>DuNT</v>
      </c>
      <c r="AQ2" s="146"/>
      <c r="AR2" s="146"/>
      <c r="AS2" s="147"/>
      <c r="AT2" s="152">
        <f>IF(表紙!AT2="","",表紙!AT2)</f>
        <v>45475</v>
      </c>
      <c r="AU2" s="153"/>
      <c r="AV2" s="153"/>
      <c r="AW2" s="153"/>
      <c r="AX2" s="154"/>
      <c r="AY2" s="148" t="str">
        <f>IF(表紙!AY2="","",表紙!AY2)</f>
        <v>AnhTTP</v>
      </c>
      <c r="AZ2" s="146"/>
      <c r="BA2" s="146"/>
      <c r="BB2" s="147"/>
      <c r="BC2" s="152">
        <f>IF(表紙!BC2="","",表紙!BC2)</f>
        <v>45701</v>
      </c>
      <c r="BD2" s="153"/>
      <c r="BE2" s="153"/>
      <c r="BF2" s="153"/>
      <c r="BG2" s="154"/>
      <c r="BH2" s="148">
        <f>IF(表紙!BH2="","",表紙!BH2)</f>
        <v>0.55000000000000004</v>
      </c>
      <c r="BI2" s="146"/>
      <c r="BJ2" s="146"/>
      <c r="BK2" s="147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1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3"/>
      <c r="AP3" s="158"/>
      <c r="AQ3" s="159"/>
      <c r="AR3" s="159"/>
      <c r="AS3" s="160"/>
      <c r="AT3" s="164"/>
      <c r="AU3" s="165"/>
      <c r="AV3" s="165"/>
      <c r="AW3" s="165"/>
      <c r="AX3" s="166"/>
      <c r="AY3" s="158"/>
      <c r="AZ3" s="159"/>
      <c r="BA3" s="159"/>
      <c r="BB3" s="160"/>
      <c r="BC3" s="164"/>
      <c r="BD3" s="165"/>
      <c r="BE3" s="165"/>
      <c r="BF3" s="165"/>
      <c r="BG3" s="166"/>
      <c r="BH3" s="158"/>
      <c r="BI3" s="159"/>
      <c r="BJ3" s="159"/>
      <c r="BK3" s="160"/>
    </row>
    <row r="4" spans="1:63" ht="24.95" customHeight="1" x14ac:dyDescent="0.25">
      <c r="A4" s="139" t="s">
        <v>90</v>
      </c>
      <c r="B4" s="140"/>
      <c r="C4" s="140"/>
      <c r="D4" s="140"/>
      <c r="E4" s="140"/>
      <c r="F4" s="140"/>
      <c r="G4" s="141"/>
      <c r="H4" s="170" t="str">
        <f>IF(表紙!H4="","",表紙!H4)</f>
        <v>AP1506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39" t="s">
        <v>91</v>
      </c>
      <c r="V4" s="140"/>
      <c r="W4" s="140"/>
      <c r="X4" s="140"/>
      <c r="Y4" s="141"/>
      <c r="Z4" s="170" t="str">
        <f>IF(表紙!Z4="","",表紙!Z4)</f>
        <v>API設計書</v>
      </c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2"/>
      <c r="AP4" s="170" t="str">
        <f t="array" aca="1" ref="AP4" ca="1">RIGHT(CELL("filename",$A$1),LEN(CELL("filename",$A$1))-FIND("]",CELL("filename",$A$1)))</f>
        <v>改訂履歴</v>
      </c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2"/>
    </row>
    <row r="5" spans="1:63" ht="5.0999999999999996" customHeight="1" x14ac:dyDescent="0.25">
      <c r="A5" s="173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5"/>
    </row>
    <row r="6" spans="1:63" ht="15" customHeight="1" x14ac:dyDescent="0.25">
      <c r="A6" s="176"/>
      <c r="BK6" s="177"/>
    </row>
    <row r="7" spans="1:63" ht="15" customHeight="1" x14ac:dyDescent="0.25">
      <c r="A7" s="176"/>
      <c r="BK7" s="177"/>
    </row>
    <row r="8" spans="1:63" ht="15" customHeight="1" x14ac:dyDescent="0.25">
      <c r="A8" s="176"/>
      <c r="B8" s="145" t="s">
        <v>0</v>
      </c>
      <c r="BK8" s="177"/>
    </row>
    <row r="9" spans="1:63" ht="15" customHeight="1" x14ac:dyDescent="0.25">
      <c r="A9" s="176"/>
      <c r="BK9" s="177"/>
    </row>
    <row r="10" spans="1:63" ht="15" customHeight="1" x14ac:dyDescent="0.25">
      <c r="A10" s="176"/>
      <c r="B10" s="200" t="s">
        <v>87</v>
      </c>
      <c r="C10" s="200"/>
      <c r="D10" s="200"/>
      <c r="E10" s="200"/>
      <c r="F10" s="200"/>
      <c r="G10" s="200"/>
      <c r="H10" s="200" t="s">
        <v>86</v>
      </c>
      <c r="I10" s="200"/>
      <c r="J10" s="200"/>
      <c r="K10" s="200"/>
      <c r="L10" s="200"/>
      <c r="M10" s="200"/>
      <c r="N10" s="200"/>
      <c r="O10" s="200" t="s">
        <v>88</v>
      </c>
      <c r="P10" s="200"/>
      <c r="Q10" s="200"/>
      <c r="R10" s="200"/>
      <c r="S10" s="200" t="s">
        <v>96</v>
      </c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 t="s">
        <v>94</v>
      </c>
      <c r="AY10" s="200"/>
      <c r="AZ10" s="200"/>
      <c r="BA10" s="200"/>
      <c r="BB10" s="200"/>
      <c r="BC10" s="200"/>
      <c r="BD10" s="200" t="s">
        <v>95</v>
      </c>
      <c r="BE10" s="200"/>
      <c r="BF10" s="200"/>
      <c r="BG10" s="200"/>
      <c r="BH10" s="200"/>
      <c r="BI10" s="200"/>
      <c r="BJ10" s="200"/>
      <c r="BK10" s="177"/>
    </row>
    <row r="11" spans="1:63" ht="15" customHeight="1" x14ac:dyDescent="0.25">
      <c r="A11" s="176"/>
      <c r="B11" s="152">
        <v>45475</v>
      </c>
      <c r="C11" s="146"/>
      <c r="D11" s="146"/>
      <c r="E11" s="146"/>
      <c r="F11" s="146"/>
      <c r="G11" s="147"/>
      <c r="H11" s="54" t="s">
        <v>97</v>
      </c>
      <c r="I11" s="146"/>
      <c r="J11" s="146"/>
      <c r="K11" s="146"/>
      <c r="L11" s="146"/>
      <c r="M11" s="146"/>
      <c r="N11" s="147"/>
      <c r="O11" s="148">
        <v>0.1</v>
      </c>
      <c r="P11" s="146"/>
      <c r="Q11" s="146"/>
      <c r="R11" s="146"/>
      <c r="S11" s="201" t="s">
        <v>2</v>
      </c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3"/>
      <c r="AX11" s="204"/>
      <c r="AY11" s="204"/>
      <c r="AZ11" s="204"/>
      <c r="BA11" s="204"/>
      <c r="BB11" s="204"/>
      <c r="BC11" s="205"/>
      <c r="BD11" s="206"/>
      <c r="BE11" s="204"/>
      <c r="BF11" s="204"/>
      <c r="BG11" s="204"/>
      <c r="BH11" s="204"/>
      <c r="BI11" s="204"/>
      <c r="BJ11" s="205"/>
      <c r="BK11" s="177"/>
    </row>
    <row r="12" spans="1:63" ht="15" customHeight="1" x14ac:dyDescent="0.25">
      <c r="A12" s="176"/>
      <c r="B12" s="158"/>
      <c r="C12" s="159"/>
      <c r="D12" s="159"/>
      <c r="E12" s="159"/>
      <c r="F12" s="159"/>
      <c r="G12" s="160"/>
      <c r="H12" s="158"/>
      <c r="I12" s="159"/>
      <c r="J12" s="159"/>
      <c r="K12" s="159"/>
      <c r="L12" s="159"/>
      <c r="M12" s="159"/>
      <c r="N12" s="160"/>
      <c r="O12" s="158"/>
      <c r="P12" s="159"/>
      <c r="Q12" s="159"/>
      <c r="R12" s="159"/>
      <c r="S12" s="207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8"/>
      <c r="AR12" s="208"/>
      <c r="AS12" s="208"/>
      <c r="AT12" s="208"/>
      <c r="AU12" s="208"/>
      <c r="AV12" s="208"/>
      <c r="AW12" s="209"/>
      <c r="AX12" s="210"/>
      <c r="AY12" s="210"/>
      <c r="AZ12" s="210"/>
      <c r="BA12" s="210"/>
      <c r="BB12" s="210"/>
      <c r="BC12" s="211"/>
      <c r="BD12" s="212"/>
      <c r="BE12" s="210"/>
      <c r="BF12" s="210"/>
      <c r="BG12" s="210"/>
      <c r="BH12" s="210"/>
      <c r="BI12" s="210"/>
      <c r="BJ12" s="211"/>
      <c r="BK12" s="177"/>
    </row>
    <row r="13" spans="1:63" ht="15" customHeight="1" x14ac:dyDescent="0.25">
      <c r="A13" s="176"/>
      <c r="B13" s="152">
        <v>45509</v>
      </c>
      <c r="C13" s="146"/>
      <c r="D13" s="146"/>
      <c r="E13" s="146"/>
      <c r="F13" s="146"/>
      <c r="G13" s="147"/>
      <c r="H13" s="148" t="s">
        <v>80</v>
      </c>
      <c r="I13" s="146"/>
      <c r="J13" s="146"/>
      <c r="K13" s="146"/>
      <c r="L13" s="146"/>
      <c r="M13" s="146"/>
      <c r="N13" s="147"/>
      <c r="O13" s="148">
        <v>0.2</v>
      </c>
      <c r="P13" s="146"/>
      <c r="Q13" s="146"/>
      <c r="R13" s="146"/>
      <c r="S13" s="201" t="s">
        <v>51</v>
      </c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3"/>
      <c r="AX13" s="204"/>
      <c r="AY13" s="204"/>
      <c r="AZ13" s="204"/>
      <c r="BA13" s="204"/>
      <c r="BB13" s="204"/>
      <c r="BC13" s="205"/>
      <c r="BD13" s="206"/>
      <c r="BE13" s="204"/>
      <c r="BF13" s="204"/>
      <c r="BG13" s="204"/>
      <c r="BH13" s="204"/>
      <c r="BI13" s="204"/>
      <c r="BJ13" s="205"/>
      <c r="BK13" s="177"/>
    </row>
    <row r="14" spans="1:63" ht="15" customHeight="1" x14ac:dyDescent="0.25">
      <c r="A14" s="176"/>
      <c r="B14" s="158"/>
      <c r="C14" s="159"/>
      <c r="D14" s="159"/>
      <c r="E14" s="159"/>
      <c r="F14" s="159"/>
      <c r="G14" s="160"/>
      <c r="H14" s="158"/>
      <c r="I14" s="159"/>
      <c r="J14" s="159"/>
      <c r="K14" s="159"/>
      <c r="L14" s="159"/>
      <c r="M14" s="159"/>
      <c r="N14" s="160"/>
      <c r="O14" s="158"/>
      <c r="P14" s="159"/>
      <c r="Q14" s="159"/>
      <c r="R14" s="159"/>
      <c r="S14" s="207" t="s">
        <v>52</v>
      </c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  <c r="AT14" s="208"/>
      <c r="AU14" s="208"/>
      <c r="AV14" s="208"/>
      <c r="AW14" s="209"/>
      <c r="AX14" s="210"/>
      <c r="AY14" s="210"/>
      <c r="AZ14" s="210"/>
      <c r="BA14" s="210"/>
      <c r="BB14" s="210"/>
      <c r="BC14" s="211"/>
      <c r="BD14" s="212"/>
      <c r="BE14" s="210"/>
      <c r="BF14" s="210"/>
      <c r="BG14" s="210"/>
      <c r="BH14" s="210"/>
      <c r="BI14" s="210"/>
      <c r="BJ14" s="211"/>
      <c r="BK14" s="177"/>
    </row>
    <row r="15" spans="1:63" ht="15" customHeight="1" x14ac:dyDescent="0.25">
      <c r="A15" s="176"/>
      <c r="B15" s="152">
        <v>45517</v>
      </c>
      <c r="C15" s="146"/>
      <c r="D15" s="146"/>
      <c r="E15" s="146"/>
      <c r="F15" s="146"/>
      <c r="G15" s="147"/>
      <c r="H15" s="148" t="s">
        <v>53</v>
      </c>
      <c r="I15" s="146"/>
      <c r="J15" s="146"/>
      <c r="K15" s="146"/>
      <c r="L15" s="146"/>
      <c r="M15" s="146"/>
      <c r="N15" s="147"/>
      <c r="O15" s="148">
        <v>0.3</v>
      </c>
      <c r="P15" s="146"/>
      <c r="Q15" s="146"/>
      <c r="R15" s="146"/>
      <c r="S15" s="201" t="s">
        <v>54</v>
      </c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3"/>
      <c r="AX15" s="93"/>
      <c r="AY15" s="93"/>
      <c r="AZ15" s="93"/>
      <c r="BA15" s="93"/>
      <c r="BB15" s="93"/>
      <c r="BC15" s="94"/>
      <c r="BD15" s="97"/>
      <c r="BE15" s="93"/>
      <c r="BF15" s="93"/>
      <c r="BG15" s="93"/>
      <c r="BH15" s="93"/>
      <c r="BI15" s="93"/>
      <c r="BJ15" s="94"/>
      <c r="BK15" s="177"/>
    </row>
    <row r="16" spans="1:63" ht="15" customHeight="1" x14ac:dyDescent="0.25">
      <c r="A16" s="176"/>
      <c r="B16" s="158"/>
      <c r="C16" s="159"/>
      <c r="D16" s="159"/>
      <c r="E16" s="159"/>
      <c r="F16" s="159"/>
      <c r="G16" s="160"/>
      <c r="H16" s="158"/>
      <c r="I16" s="159"/>
      <c r="J16" s="159"/>
      <c r="K16" s="159"/>
      <c r="L16" s="159"/>
      <c r="M16" s="159"/>
      <c r="N16" s="160"/>
      <c r="O16" s="158"/>
      <c r="P16" s="159"/>
      <c r="Q16" s="159"/>
      <c r="R16" s="159"/>
      <c r="S16" s="207" t="s">
        <v>55</v>
      </c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9"/>
      <c r="AX16" s="95"/>
      <c r="AY16" s="95"/>
      <c r="AZ16" s="95"/>
      <c r="BA16" s="95"/>
      <c r="BB16" s="95"/>
      <c r="BC16" s="96"/>
      <c r="BD16" s="98"/>
      <c r="BE16" s="95"/>
      <c r="BF16" s="95"/>
      <c r="BG16" s="95"/>
      <c r="BH16" s="95"/>
      <c r="BI16" s="95"/>
      <c r="BJ16" s="96"/>
      <c r="BK16" s="177"/>
    </row>
    <row r="17" spans="1:63" ht="15" customHeight="1" x14ac:dyDescent="0.25">
      <c r="A17" s="176"/>
      <c r="B17" s="152">
        <v>45541</v>
      </c>
      <c r="C17" s="146"/>
      <c r="D17" s="146"/>
      <c r="E17" s="146"/>
      <c r="F17" s="146"/>
      <c r="G17" s="147"/>
      <c r="H17" s="148" t="s">
        <v>80</v>
      </c>
      <c r="I17" s="146"/>
      <c r="J17" s="146"/>
      <c r="K17" s="146"/>
      <c r="L17" s="146"/>
      <c r="M17" s="146"/>
      <c r="N17" s="147"/>
      <c r="O17" s="148">
        <v>0.4</v>
      </c>
      <c r="P17" s="146"/>
      <c r="Q17" s="146"/>
      <c r="R17" s="146"/>
      <c r="S17" s="201" t="s">
        <v>62</v>
      </c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3"/>
      <c r="AX17" s="204"/>
      <c r="AY17" s="204"/>
      <c r="AZ17" s="204"/>
      <c r="BA17" s="204"/>
      <c r="BB17" s="204"/>
      <c r="BC17" s="205"/>
      <c r="BD17" s="206"/>
      <c r="BE17" s="204"/>
      <c r="BF17" s="204"/>
      <c r="BG17" s="204"/>
      <c r="BH17" s="204"/>
      <c r="BI17" s="204"/>
      <c r="BJ17" s="205"/>
      <c r="BK17" s="177"/>
    </row>
    <row r="18" spans="1:63" ht="15" customHeight="1" x14ac:dyDescent="0.25">
      <c r="A18" s="176"/>
      <c r="B18" s="158"/>
      <c r="C18" s="159"/>
      <c r="D18" s="159"/>
      <c r="E18" s="159"/>
      <c r="F18" s="159"/>
      <c r="G18" s="160"/>
      <c r="H18" s="158"/>
      <c r="I18" s="159"/>
      <c r="J18" s="159"/>
      <c r="K18" s="159"/>
      <c r="L18" s="159"/>
      <c r="M18" s="159"/>
      <c r="N18" s="160"/>
      <c r="O18" s="158"/>
      <c r="P18" s="159"/>
      <c r="Q18" s="159"/>
      <c r="R18" s="159"/>
      <c r="S18" s="207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9"/>
      <c r="AX18" s="210"/>
      <c r="AY18" s="210"/>
      <c r="AZ18" s="210"/>
      <c r="BA18" s="210"/>
      <c r="BB18" s="210"/>
      <c r="BC18" s="211"/>
      <c r="BD18" s="212"/>
      <c r="BE18" s="210"/>
      <c r="BF18" s="210"/>
      <c r="BG18" s="210"/>
      <c r="BH18" s="210"/>
      <c r="BI18" s="210"/>
      <c r="BJ18" s="211"/>
      <c r="BK18" s="177"/>
    </row>
    <row r="19" spans="1:63" ht="15" customHeight="1" x14ac:dyDescent="0.25">
      <c r="A19" s="176"/>
      <c r="B19" s="152">
        <v>45544</v>
      </c>
      <c r="C19" s="146"/>
      <c r="D19" s="146"/>
      <c r="E19" s="146"/>
      <c r="F19" s="146"/>
      <c r="G19" s="147"/>
      <c r="H19" s="148" t="s">
        <v>53</v>
      </c>
      <c r="I19" s="146"/>
      <c r="J19" s="146"/>
      <c r="K19" s="146"/>
      <c r="L19" s="146"/>
      <c r="M19" s="146"/>
      <c r="N19" s="147"/>
      <c r="O19" s="148">
        <v>0.5</v>
      </c>
      <c r="P19" s="146"/>
      <c r="Q19" s="146"/>
      <c r="R19" s="146"/>
      <c r="S19" s="201" t="s">
        <v>63</v>
      </c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3"/>
      <c r="AX19" s="87"/>
      <c r="AY19" s="87"/>
      <c r="AZ19" s="87"/>
      <c r="BA19" s="87"/>
      <c r="BB19" s="87"/>
      <c r="BC19" s="88"/>
      <c r="BD19" s="91"/>
      <c r="BE19" s="87"/>
      <c r="BF19" s="87"/>
      <c r="BG19" s="87"/>
      <c r="BH19" s="87"/>
      <c r="BI19" s="87"/>
      <c r="BJ19" s="88"/>
      <c r="BK19" s="177"/>
    </row>
    <row r="20" spans="1:63" ht="15" customHeight="1" x14ac:dyDescent="0.25">
      <c r="A20" s="176"/>
      <c r="B20" s="158"/>
      <c r="C20" s="159"/>
      <c r="D20" s="159"/>
      <c r="E20" s="159"/>
      <c r="F20" s="159"/>
      <c r="G20" s="160"/>
      <c r="H20" s="158"/>
      <c r="I20" s="159"/>
      <c r="J20" s="159"/>
      <c r="K20" s="159"/>
      <c r="L20" s="159"/>
      <c r="M20" s="159"/>
      <c r="N20" s="160"/>
      <c r="O20" s="158"/>
      <c r="P20" s="159"/>
      <c r="Q20" s="159"/>
      <c r="R20" s="159"/>
      <c r="S20" s="207" t="s">
        <v>55</v>
      </c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9"/>
      <c r="AX20" s="89"/>
      <c r="AY20" s="89"/>
      <c r="AZ20" s="89"/>
      <c r="BA20" s="89"/>
      <c r="BB20" s="89"/>
      <c r="BC20" s="90"/>
      <c r="BD20" s="92"/>
      <c r="BE20" s="89"/>
      <c r="BF20" s="89"/>
      <c r="BG20" s="89"/>
      <c r="BH20" s="89"/>
      <c r="BI20" s="89"/>
      <c r="BJ20" s="90"/>
      <c r="BK20" s="177"/>
    </row>
    <row r="21" spans="1:63" ht="15" customHeight="1" x14ac:dyDescent="0.25">
      <c r="A21" s="176"/>
      <c r="B21" s="152">
        <v>45624</v>
      </c>
      <c r="C21" s="146"/>
      <c r="D21" s="146"/>
      <c r="E21" s="146"/>
      <c r="F21" s="146"/>
      <c r="G21" s="147"/>
      <c r="H21" s="148" t="s">
        <v>53</v>
      </c>
      <c r="I21" s="146"/>
      <c r="J21" s="146"/>
      <c r="K21" s="146"/>
      <c r="L21" s="146"/>
      <c r="M21" s="146"/>
      <c r="N21" s="147"/>
      <c r="O21" s="148">
        <v>0.51</v>
      </c>
      <c r="P21" s="146"/>
      <c r="Q21" s="146"/>
      <c r="R21" s="146"/>
      <c r="S21" s="201" t="s">
        <v>64</v>
      </c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3"/>
      <c r="AX21" s="81"/>
      <c r="AY21" s="81"/>
      <c r="AZ21" s="81"/>
      <c r="BA21" s="81"/>
      <c r="BB21" s="81"/>
      <c r="BC21" s="82"/>
      <c r="BD21" s="85"/>
      <c r="BE21" s="81"/>
      <c r="BF21" s="81"/>
      <c r="BG21" s="81"/>
      <c r="BH21" s="81"/>
      <c r="BI21" s="81"/>
      <c r="BJ21" s="82"/>
      <c r="BK21" s="177"/>
    </row>
    <row r="22" spans="1:63" ht="15" customHeight="1" x14ac:dyDescent="0.25">
      <c r="A22" s="176"/>
      <c r="B22" s="158"/>
      <c r="C22" s="159"/>
      <c r="D22" s="159"/>
      <c r="E22" s="159"/>
      <c r="F22" s="159"/>
      <c r="G22" s="160"/>
      <c r="H22" s="158"/>
      <c r="I22" s="159"/>
      <c r="J22" s="159"/>
      <c r="K22" s="159"/>
      <c r="L22" s="159"/>
      <c r="M22" s="159"/>
      <c r="N22" s="160"/>
      <c r="O22" s="158"/>
      <c r="P22" s="159"/>
      <c r="Q22" s="159"/>
      <c r="R22" s="159"/>
      <c r="S22" s="207" t="s">
        <v>55</v>
      </c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  <c r="AW22" s="209"/>
      <c r="AX22" s="83"/>
      <c r="AY22" s="83"/>
      <c r="AZ22" s="83"/>
      <c r="BA22" s="83"/>
      <c r="BB22" s="83"/>
      <c r="BC22" s="84"/>
      <c r="BD22" s="86"/>
      <c r="BE22" s="83"/>
      <c r="BF22" s="83"/>
      <c r="BG22" s="83"/>
      <c r="BH22" s="83"/>
      <c r="BI22" s="83"/>
      <c r="BJ22" s="84"/>
      <c r="BK22" s="177"/>
    </row>
    <row r="23" spans="1:63" ht="15" customHeight="1" x14ac:dyDescent="0.25">
      <c r="A23" s="176"/>
      <c r="B23" s="152">
        <v>45628</v>
      </c>
      <c r="C23" s="146"/>
      <c r="D23" s="146"/>
      <c r="E23" s="146"/>
      <c r="F23" s="146"/>
      <c r="G23" s="147"/>
      <c r="H23" s="148" t="s">
        <v>80</v>
      </c>
      <c r="I23" s="146"/>
      <c r="J23" s="146"/>
      <c r="K23" s="146"/>
      <c r="L23" s="146"/>
      <c r="M23" s="146"/>
      <c r="N23" s="147"/>
      <c r="O23" s="148">
        <v>0.52</v>
      </c>
      <c r="P23" s="146"/>
      <c r="Q23" s="146"/>
      <c r="R23" s="146"/>
      <c r="S23" s="201" t="s">
        <v>76</v>
      </c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3"/>
      <c r="AX23" s="204"/>
      <c r="AY23" s="204"/>
      <c r="AZ23" s="204"/>
      <c r="BA23" s="204"/>
      <c r="BB23" s="204"/>
      <c r="BC23" s="205"/>
      <c r="BD23" s="206"/>
      <c r="BE23" s="204"/>
      <c r="BF23" s="204"/>
      <c r="BG23" s="204"/>
      <c r="BH23" s="204"/>
      <c r="BI23" s="204"/>
      <c r="BJ23" s="205"/>
      <c r="BK23" s="177"/>
    </row>
    <row r="24" spans="1:63" ht="15" customHeight="1" x14ac:dyDescent="0.25">
      <c r="A24" s="176"/>
      <c r="B24" s="158"/>
      <c r="C24" s="159"/>
      <c r="D24" s="159"/>
      <c r="E24" s="159"/>
      <c r="F24" s="159"/>
      <c r="G24" s="160"/>
      <c r="H24" s="158"/>
      <c r="I24" s="159"/>
      <c r="J24" s="159"/>
      <c r="K24" s="159"/>
      <c r="L24" s="159"/>
      <c r="M24" s="159"/>
      <c r="N24" s="160"/>
      <c r="O24" s="158"/>
      <c r="P24" s="159"/>
      <c r="Q24" s="159"/>
      <c r="R24" s="159"/>
      <c r="S24" s="207" t="s">
        <v>77</v>
      </c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  <c r="AT24" s="208"/>
      <c r="AU24" s="208"/>
      <c r="AV24" s="208"/>
      <c r="AW24" s="209"/>
      <c r="AX24" s="210"/>
      <c r="AY24" s="210"/>
      <c r="AZ24" s="210"/>
      <c r="BA24" s="210"/>
      <c r="BB24" s="210"/>
      <c r="BC24" s="211"/>
      <c r="BD24" s="212"/>
      <c r="BE24" s="210"/>
      <c r="BF24" s="210"/>
      <c r="BG24" s="210"/>
      <c r="BH24" s="210"/>
      <c r="BI24" s="210"/>
      <c r="BJ24" s="211"/>
      <c r="BK24" s="177"/>
    </row>
    <row r="25" spans="1:63" ht="15" customHeight="1" x14ac:dyDescent="0.25">
      <c r="A25" s="176"/>
      <c r="B25" s="68">
        <v>45646</v>
      </c>
      <c r="C25" s="69"/>
      <c r="D25" s="69"/>
      <c r="E25" s="69"/>
      <c r="F25" s="69"/>
      <c r="G25" s="70"/>
      <c r="H25" s="74" t="s">
        <v>97</v>
      </c>
      <c r="I25" s="69"/>
      <c r="J25" s="69"/>
      <c r="K25" s="69"/>
      <c r="L25" s="69"/>
      <c r="M25" s="69"/>
      <c r="N25" s="70"/>
      <c r="O25" s="74">
        <v>0.53</v>
      </c>
      <c r="P25" s="69"/>
      <c r="Q25" s="69"/>
      <c r="R25" s="69"/>
      <c r="S25" s="75" t="s">
        <v>98</v>
      </c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7"/>
      <c r="AX25" s="204"/>
      <c r="AY25" s="204"/>
      <c r="AZ25" s="204"/>
      <c r="BA25" s="204"/>
      <c r="BB25" s="204"/>
      <c r="BC25" s="205"/>
      <c r="BD25" s="206"/>
      <c r="BE25" s="204"/>
      <c r="BF25" s="204"/>
      <c r="BG25" s="204"/>
      <c r="BH25" s="204"/>
      <c r="BI25" s="204"/>
      <c r="BJ25" s="205"/>
      <c r="BK25" s="177"/>
    </row>
    <row r="26" spans="1:63" ht="15" customHeight="1" x14ac:dyDescent="0.25">
      <c r="A26" s="176"/>
      <c r="B26" s="71"/>
      <c r="C26" s="72"/>
      <c r="D26" s="72"/>
      <c r="E26" s="72"/>
      <c r="F26" s="72"/>
      <c r="G26" s="73"/>
      <c r="H26" s="71"/>
      <c r="I26" s="72"/>
      <c r="J26" s="72"/>
      <c r="K26" s="72"/>
      <c r="L26" s="72"/>
      <c r="M26" s="72"/>
      <c r="N26" s="73"/>
      <c r="O26" s="71"/>
      <c r="P26" s="72"/>
      <c r="Q26" s="72"/>
      <c r="R26" s="72"/>
      <c r="S26" s="78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80"/>
      <c r="AX26" s="210"/>
      <c r="AY26" s="210"/>
      <c r="AZ26" s="210"/>
      <c r="BA26" s="210"/>
      <c r="BB26" s="210"/>
      <c r="BC26" s="211"/>
      <c r="BD26" s="212"/>
      <c r="BE26" s="210"/>
      <c r="BF26" s="210"/>
      <c r="BG26" s="210"/>
      <c r="BH26" s="210"/>
      <c r="BI26" s="210"/>
      <c r="BJ26" s="211"/>
      <c r="BK26" s="177"/>
    </row>
    <row r="27" spans="1:63" ht="15" customHeight="1" x14ac:dyDescent="0.25">
      <c r="A27" s="176"/>
      <c r="B27" s="213">
        <v>45667</v>
      </c>
      <c r="C27" s="214"/>
      <c r="D27" s="214"/>
      <c r="E27" s="214"/>
      <c r="F27" s="214"/>
      <c r="G27" s="215"/>
      <c r="H27" s="216" t="s">
        <v>99</v>
      </c>
      <c r="I27" s="214"/>
      <c r="J27" s="214"/>
      <c r="K27" s="214"/>
      <c r="L27" s="214"/>
      <c r="M27" s="214"/>
      <c r="N27" s="215"/>
      <c r="O27" s="216">
        <v>0.54</v>
      </c>
      <c r="P27" s="214"/>
      <c r="Q27" s="214"/>
      <c r="R27" s="214"/>
      <c r="S27" s="217" t="s">
        <v>100</v>
      </c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9"/>
      <c r="AX27" s="204"/>
      <c r="AY27" s="204"/>
      <c r="AZ27" s="204"/>
      <c r="BA27" s="204"/>
      <c r="BB27" s="204"/>
      <c r="BC27" s="205"/>
      <c r="BD27" s="206"/>
      <c r="BE27" s="204"/>
      <c r="BF27" s="204"/>
      <c r="BG27" s="204"/>
      <c r="BH27" s="204"/>
      <c r="BI27" s="204"/>
      <c r="BJ27" s="205"/>
      <c r="BK27" s="177"/>
    </row>
    <row r="28" spans="1:63" ht="15" customHeight="1" x14ac:dyDescent="0.25">
      <c r="A28" s="176"/>
      <c r="B28" s="220"/>
      <c r="C28" s="221"/>
      <c r="D28" s="221"/>
      <c r="E28" s="221"/>
      <c r="F28" s="221"/>
      <c r="G28" s="222"/>
      <c r="H28" s="220"/>
      <c r="I28" s="221"/>
      <c r="J28" s="221"/>
      <c r="K28" s="221"/>
      <c r="L28" s="221"/>
      <c r="M28" s="221"/>
      <c r="N28" s="222"/>
      <c r="O28" s="220"/>
      <c r="P28" s="221"/>
      <c r="Q28" s="221"/>
      <c r="R28" s="221"/>
      <c r="S28" s="207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  <c r="AT28" s="208"/>
      <c r="AU28" s="208"/>
      <c r="AV28" s="208"/>
      <c r="AW28" s="209"/>
      <c r="AX28" s="210"/>
      <c r="AY28" s="210"/>
      <c r="AZ28" s="210"/>
      <c r="BA28" s="210"/>
      <c r="BB28" s="210"/>
      <c r="BC28" s="211"/>
      <c r="BD28" s="212"/>
      <c r="BE28" s="210"/>
      <c r="BF28" s="210"/>
      <c r="BG28" s="210"/>
      <c r="BH28" s="210"/>
      <c r="BI28" s="210"/>
      <c r="BJ28" s="211"/>
      <c r="BK28" s="177"/>
    </row>
    <row r="29" spans="1:63" ht="15" customHeight="1" x14ac:dyDescent="0.25">
      <c r="A29" s="176"/>
      <c r="B29" s="55">
        <v>45701</v>
      </c>
      <c r="C29" s="56"/>
      <c r="D29" s="56"/>
      <c r="E29" s="56"/>
      <c r="F29" s="56"/>
      <c r="G29" s="57"/>
      <c r="H29" s="61" t="s">
        <v>99</v>
      </c>
      <c r="I29" s="56"/>
      <c r="J29" s="56"/>
      <c r="K29" s="56"/>
      <c r="L29" s="56"/>
      <c r="M29" s="56"/>
      <c r="N29" s="57"/>
      <c r="O29" s="61">
        <v>0.55000000000000004</v>
      </c>
      <c r="P29" s="56"/>
      <c r="Q29" s="56"/>
      <c r="R29" s="56"/>
      <c r="S29" s="62" t="s">
        <v>101</v>
      </c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4"/>
      <c r="AX29" s="204"/>
      <c r="AY29" s="204"/>
      <c r="AZ29" s="204"/>
      <c r="BA29" s="204"/>
      <c r="BB29" s="204"/>
      <c r="BC29" s="205"/>
      <c r="BD29" s="206"/>
      <c r="BE29" s="204"/>
      <c r="BF29" s="204"/>
      <c r="BG29" s="204"/>
      <c r="BH29" s="204"/>
      <c r="BI29" s="204"/>
      <c r="BJ29" s="205"/>
      <c r="BK29" s="177"/>
    </row>
    <row r="30" spans="1:63" ht="15" customHeight="1" x14ac:dyDescent="0.25">
      <c r="A30" s="176"/>
      <c r="B30" s="58"/>
      <c r="C30" s="59"/>
      <c r="D30" s="59"/>
      <c r="E30" s="59"/>
      <c r="F30" s="59"/>
      <c r="G30" s="60"/>
      <c r="H30" s="58"/>
      <c r="I30" s="59"/>
      <c r="J30" s="59"/>
      <c r="K30" s="59"/>
      <c r="L30" s="59"/>
      <c r="M30" s="59"/>
      <c r="N30" s="60"/>
      <c r="O30" s="58"/>
      <c r="P30" s="59"/>
      <c r="Q30" s="59"/>
      <c r="R30" s="59"/>
      <c r="S30" s="65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7"/>
      <c r="AX30" s="210"/>
      <c r="AY30" s="210"/>
      <c r="AZ30" s="210"/>
      <c r="BA30" s="210"/>
      <c r="BB30" s="210"/>
      <c r="BC30" s="211"/>
      <c r="BD30" s="212"/>
      <c r="BE30" s="210"/>
      <c r="BF30" s="210"/>
      <c r="BG30" s="210"/>
      <c r="BH30" s="210"/>
      <c r="BI30" s="210"/>
      <c r="BJ30" s="211"/>
      <c r="BK30" s="177"/>
    </row>
    <row r="31" spans="1:63" ht="15" customHeight="1" x14ac:dyDescent="0.25">
      <c r="A31" s="176"/>
      <c r="B31" s="148"/>
      <c r="C31" s="146"/>
      <c r="D31" s="146"/>
      <c r="E31" s="146"/>
      <c r="F31" s="146"/>
      <c r="G31" s="147"/>
      <c r="H31" s="148"/>
      <c r="I31" s="146"/>
      <c r="J31" s="146"/>
      <c r="K31" s="146"/>
      <c r="L31" s="146"/>
      <c r="M31" s="146"/>
      <c r="N31" s="147"/>
      <c r="O31" s="148"/>
      <c r="P31" s="146"/>
      <c r="Q31" s="146"/>
      <c r="R31" s="146"/>
      <c r="S31" s="201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3"/>
      <c r="AX31" s="204"/>
      <c r="AY31" s="204"/>
      <c r="AZ31" s="204"/>
      <c r="BA31" s="204"/>
      <c r="BB31" s="204"/>
      <c r="BC31" s="205"/>
      <c r="BD31" s="206"/>
      <c r="BE31" s="204"/>
      <c r="BF31" s="204"/>
      <c r="BG31" s="204"/>
      <c r="BH31" s="204"/>
      <c r="BI31" s="204"/>
      <c r="BJ31" s="205"/>
      <c r="BK31" s="177"/>
    </row>
    <row r="32" spans="1:63" ht="15" customHeight="1" x14ac:dyDescent="0.25">
      <c r="A32" s="176"/>
      <c r="B32" s="158"/>
      <c r="C32" s="159"/>
      <c r="D32" s="159"/>
      <c r="E32" s="159"/>
      <c r="F32" s="159"/>
      <c r="G32" s="160"/>
      <c r="H32" s="158"/>
      <c r="I32" s="159"/>
      <c r="J32" s="159"/>
      <c r="K32" s="159"/>
      <c r="L32" s="159"/>
      <c r="M32" s="159"/>
      <c r="N32" s="160"/>
      <c r="O32" s="158"/>
      <c r="P32" s="159"/>
      <c r="Q32" s="159"/>
      <c r="R32" s="159"/>
      <c r="S32" s="207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8"/>
      <c r="AR32" s="208"/>
      <c r="AS32" s="208"/>
      <c r="AT32" s="208"/>
      <c r="AU32" s="208"/>
      <c r="AV32" s="208"/>
      <c r="AW32" s="209"/>
      <c r="AX32" s="210"/>
      <c r="AY32" s="210"/>
      <c r="AZ32" s="210"/>
      <c r="BA32" s="210"/>
      <c r="BB32" s="210"/>
      <c r="BC32" s="211"/>
      <c r="BD32" s="212"/>
      <c r="BE32" s="210"/>
      <c r="BF32" s="210"/>
      <c r="BG32" s="210"/>
      <c r="BH32" s="210"/>
      <c r="BI32" s="210"/>
      <c r="BJ32" s="211"/>
      <c r="BK32" s="177"/>
    </row>
    <row r="33" spans="1:63" ht="15" customHeight="1" x14ac:dyDescent="0.25">
      <c r="A33" s="176"/>
      <c r="B33" s="148"/>
      <c r="C33" s="146"/>
      <c r="D33" s="146"/>
      <c r="E33" s="146"/>
      <c r="F33" s="146"/>
      <c r="G33" s="147"/>
      <c r="H33" s="148"/>
      <c r="I33" s="146"/>
      <c r="J33" s="146"/>
      <c r="K33" s="146"/>
      <c r="L33" s="146"/>
      <c r="M33" s="146"/>
      <c r="N33" s="147"/>
      <c r="O33" s="148"/>
      <c r="P33" s="146"/>
      <c r="Q33" s="146"/>
      <c r="R33" s="146"/>
      <c r="S33" s="201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3"/>
      <c r="AX33" s="204"/>
      <c r="AY33" s="204"/>
      <c r="AZ33" s="204"/>
      <c r="BA33" s="204"/>
      <c r="BB33" s="204"/>
      <c r="BC33" s="205"/>
      <c r="BD33" s="206"/>
      <c r="BE33" s="204"/>
      <c r="BF33" s="204"/>
      <c r="BG33" s="204"/>
      <c r="BH33" s="204"/>
      <c r="BI33" s="204"/>
      <c r="BJ33" s="205"/>
      <c r="BK33" s="177"/>
    </row>
    <row r="34" spans="1:63" ht="15" customHeight="1" x14ac:dyDescent="0.25">
      <c r="A34" s="176"/>
      <c r="B34" s="158"/>
      <c r="C34" s="159"/>
      <c r="D34" s="159"/>
      <c r="E34" s="159"/>
      <c r="F34" s="159"/>
      <c r="G34" s="160"/>
      <c r="H34" s="158"/>
      <c r="I34" s="159"/>
      <c r="J34" s="159"/>
      <c r="K34" s="159"/>
      <c r="L34" s="159"/>
      <c r="M34" s="159"/>
      <c r="N34" s="160"/>
      <c r="O34" s="158"/>
      <c r="P34" s="159"/>
      <c r="Q34" s="159"/>
      <c r="R34" s="159"/>
      <c r="S34" s="207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08"/>
      <c r="AI34" s="208"/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208"/>
      <c r="AU34" s="208"/>
      <c r="AV34" s="208"/>
      <c r="AW34" s="209"/>
      <c r="AX34" s="210"/>
      <c r="AY34" s="210"/>
      <c r="AZ34" s="210"/>
      <c r="BA34" s="210"/>
      <c r="BB34" s="210"/>
      <c r="BC34" s="211"/>
      <c r="BD34" s="212"/>
      <c r="BE34" s="210"/>
      <c r="BF34" s="210"/>
      <c r="BG34" s="210"/>
      <c r="BH34" s="210"/>
      <c r="BI34" s="210"/>
      <c r="BJ34" s="211"/>
      <c r="BK34" s="177"/>
    </row>
    <row r="35" spans="1:63" ht="15" customHeight="1" x14ac:dyDescent="0.25">
      <c r="A35" s="176"/>
      <c r="B35" s="148"/>
      <c r="C35" s="146"/>
      <c r="D35" s="146"/>
      <c r="E35" s="146"/>
      <c r="F35" s="146"/>
      <c r="G35" s="147"/>
      <c r="H35" s="148"/>
      <c r="I35" s="146"/>
      <c r="J35" s="146"/>
      <c r="K35" s="146"/>
      <c r="L35" s="146"/>
      <c r="M35" s="146"/>
      <c r="N35" s="147"/>
      <c r="O35" s="148"/>
      <c r="P35" s="146"/>
      <c r="Q35" s="146"/>
      <c r="R35" s="146"/>
      <c r="S35" s="201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3"/>
      <c r="AX35" s="204"/>
      <c r="AY35" s="204"/>
      <c r="AZ35" s="204"/>
      <c r="BA35" s="204"/>
      <c r="BB35" s="204"/>
      <c r="BC35" s="205"/>
      <c r="BD35" s="206"/>
      <c r="BE35" s="204"/>
      <c r="BF35" s="204"/>
      <c r="BG35" s="204"/>
      <c r="BH35" s="204"/>
      <c r="BI35" s="204"/>
      <c r="BJ35" s="205"/>
      <c r="BK35" s="177"/>
    </row>
    <row r="36" spans="1:63" ht="15" customHeight="1" x14ac:dyDescent="0.25">
      <c r="A36" s="176"/>
      <c r="B36" s="158"/>
      <c r="C36" s="159"/>
      <c r="D36" s="159"/>
      <c r="E36" s="159"/>
      <c r="F36" s="159"/>
      <c r="G36" s="160"/>
      <c r="H36" s="158"/>
      <c r="I36" s="159"/>
      <c r="J36" s="159"/>
      <c r="K36" s="159"/>
      <c r="L36" s="159"/>
      <c r="M36" s="159"/>
      <c r="N36" s="160"/>
      <c r="O36" s="158"/>
      <c r="P36" s="159"/>
      <c r="Q36" s="159"/>
      <c r="R36" s="159"/>
      <c r="S36" s="207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8"/>
      <c r="AQ36" s="208"/>
      <c r="AR36" s="208"/>
      <c r="AS36" s="208"/>
      <c r="AT36" s="208"/>
      <c r="AU36" s="208"/>
      <c r="AV36" s="208"/>
      <c r="AW36" s="209"/>
      <c r="AX36" s="210"/>
      <c r="AY36" s="210"/>
      <c r="AZ36" s="210"/>
      <c r="BA36" s="210"/>
      <c r="BB36" s="210"/>
      <c r="BC36" s="211"/>
      <c r="BD36" s="212"/>
      <c r="BE36" s="210"/>
      <c r="BF36" s="210"/>
      <c r="BG36" s="210"/>
      <c r="BH36" s="210"/>
      <c r="BI36" s="210"/>
      <c r="BJ36" s="211"/>
      <c r="BK36" s="177"/>
    </row>
    <row r="37" spans="1:63" ht="15" customHeight="1" x14ac:dyDescent="0.25">
      <c r="A37" s="176"/>
      <c r="B37" s="148"/>
      <c r="C37" s="146"/>
      <c r="D37" s="146"/>
      <c r="E37" s="146"/>
      <c r="F37" s="146"/>
      <c r="G37" s="147"/>
      <c r="H37" s="148"/>
      <c r="I37" s="146"/>
      <c r="J37" s="146"/>
      <c r="K37" s="146"/>
      <c r="L37" s="146"/>
      <c r="M37" s="146"/>
      <c r="N37" s="147"/>
      <c r="O37" s="148"/>
      <c r="P37" s="146"/>
      <c r="Q37" s="146"/>
      <c r="R37" s="146"/>
      <c r="S37" s="201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3"/>
      <c r="AX37" s="204"/>
      <c r="AY37" s="204"/>
      <c r="AZ37" s="204"/>
      <c r="BA37" s="204"/>
      <c r="BB37" s="204"/>
      <c r="BC37" s="205"/>
      <c r="BD37" s="206"/>
      <c r="BE37" s="204"/>
      <c r="BF37" s="204"/>
      <c r="BG37" s="204"/>
      <c r="BH37" s="204"/>
      <c r="BI37" s="204"/>
      <c r="BJ37" s="205"/>
      <c r="BK37" s="177"/>
    </row>
    <row r="38" spans="1:63" ht="15" customHeight="1" x14ac:dyDescent="0.25">
      <c r="A38" s="176"/>
      <c r="B38" s="158"/>
      <c r="C38" s="159"/>
      <c r="D38" s="159"/>
      <c r="E38" s="159"/>
      <c r="F38" s="159"/>
      <c r="G38" s="160"/>
      <c r="H38" s="158"/>
      <c r="I38" s="159"/>
      <c r="J38" s="159"/>
      <c r="K38" s="159"/>
      <c r="L38" s="159"/>
      <c r="M38" s="159"/>
      <c r="N38" s="160"/>
      <c r="O38" s="158"/>
      <c r="P38" s="159"/>
      <c r="Q38" s="159"/>
      <c r="R38" s="159"/>
      <c r="S38" s="207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8"/>
      <c r="AR38" s="208"/>
      <c r="AS38" s="208"/>
      <c r="AT38" s="208"/>
      <c r="AU38" s="208"/>
      <c r="AV38" s="208"/>
      <c r="AW38" s="209"/>
      <c r="AX38" s="210"/>
      <c r="AY38" s="210"/>
      <c r="AZ38" s="210"/>
      <c r="BA38" s="210"/>
      <c r="BB38" s="210"/>
      <c r="BC38" s="211"/>
      <c r="BD38" s="212"/>
      <c r="BE38" s="210"/>
      <c r="BF38" s="210"/>
      <c r="BG38" s="210"/>
      <c r="BH38" s="210"/>
      <c r="BI38" s="210"/>
      <c r="BJ38" s="211"/>
      <c r="BK38" s="177"/>
    </row>
    <row r="39" spans="1:63" ht="15" customHeight="1" x14ac:dyDescent="0.25">
      <c r="A39" s="176"/>
      <c r="B39" s="148"/>
      <c r="C39" s="146"/>
      <c r="D39" s="146"/>
      <c r="E39" s="146"/>
      <c r="F39" s="146"/>
      <c r="G39" s="147"/>
      <c r="H39" s="148"/>
      <c r="I39" s="146"/>
      <c r="J39" s="146"/>
      <c r="K39" s="146"/>
      <c r="L39" s="146"/>
      <c r="M39" s="146"/>
      <c r="N39" s="147"/>
      <c r="O39" s="148"/>
      <c r="P39" s="146"/>
      <c r="Q39" s="146"/>
      <c r="R39" s="146"/>
      <c r="S39" s="201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3"/>
      <c r="AX39" s="204"/>
      <c r="AY39" s="204"/>
      <c r="AZ39" s="204"/>
      <c r="BA39" s="204"/>
      <c r="BB39" s="204"/>
      <c r="BC39" s="205"/>
      <c r="BD39" s="206"/>
      <c r="BE39" s="204"/>
      <c r="BF39" s="204"/>
      <c r="BG39" s="204"/>
      <c r="BH39" s="204"/>
      <c r="BI39" s="204"/>
      <c r="BJ39" s="205"/>
      <c r="BK39" s="177"/>
    </row>
    <row r="40" spans="1:63" ht="15" customHeight="1" x14ac:dyDescent="0.25">
      <c r="A40" s="176"/>
      <c r="B40" s="158"/>
      <c r="C40" s="159"/>
      <c r="D40" s="159"/>
      <c r="E40" s="159"/>
      <c r="F40" s="159"/>
      <c r="G40" s="160"/>
      <c r="H40" s="158"/>
      <c r="I40" s="159"/>
      <c r="J40" s="159"/>
      <c r="K40" s="159"/>
      <c r="L40" s="159"/>
      <c r="M40" s="159"/>
      <c r="N40" s="160"/>
      <c r="O40" s="158"/>
      <c r="P40" s="159"/>
      <c r="Q40" s="159"/>
      <c r="R40" s="159"/>
      <c r="S40" s="207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I40" s="208"/>
      <c r="AJ40" s="208"/>
      <c r="AK40" s="208"/>
      <c r="AL40" s="208"/>
      <c r="AM40" s="208"/>
      <c r="AN40" s="208"/>
      <c r="AO40" s="208"/>
      <c r="AP40" s="208"/>
      <c r="AQ40" s="208"/>
      <c r="AR40" s="208"/>
      <c r="AS40" s="208"/>
      <c r="AT40" s="208"/>
      <c r="AU40" s="208"/>
      <c r="AV40" s="208"/>
      <c r="AW40" s="209"/>
      <c r="AX40" s="210"/>
      <c r="AY40" s="210"/>
      <c r="AZ40" s="210"/>
      <c r="BA40" s="210"/>
      <c r="BB40" s="210"/>
      <c r="BC40" s="211"/>
      <c r="BD40" s="212"/>
      <c r="BE40" s="210"/>
      <c r="BF40" s="210"/>
      <c r="BG40" s="210"/>
      <c r="BH40" s="210"/>
      <c r="BI40" s="210"/>
      <c r="BJ40" s="211"/>
      <c r="BK40" s="177"/>
    </row>
    <row r="41" spans="1:63" ht="15" customHeight="1" x14ac:dyDescent="0.25">
      <c r="A41" s="176"/>
      <c r="B41" s="148"/>
      <c r="C41" s="146"/>
      <c r="D41" s="146"/>
      <c r="E41" s="146"/>
      <c r="F41" s="146"/>
      <c r="G41" s="147"/>
      <c r="H41" s="148"/>
      <c r="I41" s="146"/>
      <c r="J41" s="146"/>
      <c r="K41" s="146"/>
      <c r="L41" s="146"/>
      <c r="M41" s="146"/>
      <c r="N41" s="147"/>
      <c r="O41" s="148"/>
      <c r="P41" s="146"/>
      <c r="Q41" s="146"/>
      <c r="R41" s="146"/>
      <c r="S41" s="201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3"/>
      <c r="AX41" s="204"/>
      <c r="AY41" s="204"/>
      <c r="AZ41" s="204"/>
      <c r="BA41" s="204"/>
      <c r="BB41" s="204"/>
      <c r="BC41" s="205"/>
      <c r="BD41" s="206"/>
      <c r="BE41" s="204"/>
      <c r="BF41" s="204"/>
      <c r="BG41" s="204"/>
      <c r="BH41" s="204"/>
      <c r="BI41" s="204"/>
      <c r="BJ41" s="205"/>
      <c r="BK41" s="177"/>
    </row>
    <row r="42" spans="1:63" ht="15" customHeight="1" x14ac:dyDescent="0.25">
      <c r="A42" s="176"/>
      <c r="B42" s="158"/>
      <c r="C42" s="159"/>
      <c r="D42" s="159"/>
      <c r="E42" s="159"/>
      <c r="F42" s="159"/>
      <c r="G42" s="160"/>
      <c r="H42" s="158"/>
      <c r="I42" s="159"/>
      <c r="J42" s="159"/>
      <c r="K42" s="159"/>
      <c r="L42" s="159"/>
      <c r="M42" s="159"/>
      <c r="N42" s="160"/>
      <c r="O42" s="158"/>
      <c r="P42" s="159"/>
      <c r="Q42" s="159"/>
      <c r="R42" s="159"/>
      <c r="S42" s="207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208"/>
      <c r="AU42" s="208"/>
      <c r="AV42" s="208"/>
      <c r="AW42" s="209"/>
      <c r="AX42" s="210"/>
      <c r="AY42" s="210"/>
      <c r="AZ42" s="210"/>
      <c r="BA42" s="210"/>
      <c r="BB42" s="210"/>
      <c r="BC42" s="211"/>
      <c r="BD42" s="212"/>
      <c r="BE42" s="210"/>
      <c r="BF42" s="210"/>
      <c r="BG42" s="210"/>
      <c r="BH42" s="210"/>
      <c r="BI42" s="210"/>
      <c r="BJ42" s="211"/>
      <c r="BK42" s="177"/>
    </row>
    <row r="43" spans="1:63" ht="15" customHeight="1" x14ac:dyDescent="0.25">
      <c r="A43" s="176"/>
      <c r="B43" s="148"/>
      <c r="C43" s="146"/>
      <c r="D43" s="146"/>
      <c r="E43" s="146"/>
      <c r="F43" s="146"/>
      <c r="G43" s="147"/>
      <c r="H43" s="148"/>
      <c r="I43" s="146"/>
      <c r="J43" s="146"/>
      <c r="K43" s="146"/>
      <c r="L43" s="146"/>
      <c r="M43" s="146"/>
      <c r="N43" s="147"/>
      <c r="O43" s="148"/>
      <c r="P43" s="146"/>
      <c r="Q43" s="146"/>
      <c r="R43" s="146"/>
      <c r="S43" s="201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3"/>
      <c r="AX43" s="204"/>
      <c r="AY43" s="204"/>
      <c r="AZ43" s="204"/>
      <c r="BA43" s="204"/>
      <c r="BB43" s="204"/>
      <c r="BC43" s="205"/>
      <c r="BD43" s="206"/>
      <c r="BE43" s="204"/>
      <c r="BF43" s="204"/>
      <c r="BG43" s="204"/>
      <c r="BH43" s="204"/>
      <c r="BI43" s="204"/>
      <c r="BJ43" s="205"/>
      <c r="BK43" s="177"/>
    </row>
    <row r="44" spans="1:63" ht="15" customHeight="1" x14ac:dyDescent="0.25">
      <c r="A44" s="176"/>
      <c r="B44" s="158"/>
      <c r="C44" s="159"/>
      <c r="D44" s="159"/>
      <c r="E44" s="159"/>
      <c r="F44" s="159"/>
      <c r="G44" s="160"/>
      <c r="H44" s="158"/>
      <c r="I44" s="159"/>
      <c r="J44" s="159"/>
      <c r="K44" s="159"/>
      <c r="L44" s="159"/>
      <c r="M44" s="159"/>
      <c r="N44" s="160"/>
      <c r="O44" s="158"/>
      <c r="P44" s="159"/>
      <c r="Q44" s="159"/>
      <c r="R44" s="159"/>
      <c r="S44" s="207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  <c r="AI44" s="208"/>
      <c r="AJ44" s="208"/>
      <c r="AK44" s="208"/>
      <c r="AL44" s="208"/>
      <c r="AM44" s="208"/>
      <c r="AN44" s="208"/>
      <c r="AO44" s="208"/>
      <c r="AP44" s="208"/>
      <c r="AQ44" s="208"/>
      <c r="AR44" s="208"/>
      <c r="AS44" s="208"/>
      <c r="AT44" s="208"/>
      <c r="AU44" s="208"/>
      <c r="AV44" s="208"/>
      <c r="AW44" s="209"/>
      <c r="AX44" s="210"/>
      <c r="AY44" s="210"/>
      <c r="AZ44" s="210"/>
      <c r="BA44" s="210"/>
      <c r="BB44" s="210"/>
      <c r="BC44" s="211"/>
      <c r="BD44" s="212"/>
      <c r="BE44" s="210"/>
      <c r="BF44" s="210"/>
      <c r="BG44" s="210"/>
      <c r="BH44" s="210"/>
      <c r="BI44" s="210"/>
      <c r="BJ44" s="211"/>
      <c r="BK44" s="177"/>
    </row>
    <row r="45" spans="1:63" ht="15" customHeight="1" x14ac:dyDescent="0.25">
      <c r="A45" s="176"/>
      <c r="B45" s="148"/>
      <c r="C45" s="146"/>
      <c r="D45" s="146"/>
      <c r="E45" s="146"/>
      <c r="F45" s="146"/>
      <c r="G45" s="147"/>
      <c r="H45" s="148"/>
      <c r="I45" s="146"/>
      <c r="J45" s="146"/>
      <c r="K45" s="146"/>
      <c r="L45" s="146"/>
      <c r="M45" s="146"/>
      <c r="N45" s="147"/>
      <c r="O45" s="148"/>
      <c r="P45" s="146"/>
      <c r="Q45" s="146"/>
      <c r="R45" s="146"/>
      <c r="S45" s="201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3"/>
      <c r="AX45" s="204"/>
      <c r="AY45" s="204"/>
      <c r="AZ45" s="204"/>
      <c r="BA45" s="204"/>
      <c r="BB45" s="204"/>
      <c r="BC45" s="205"/>
      <c r="BD45" s="206"/>
      <c r="BE45" s="204"/>
      <c r="BF45" s="204"/>
      <c r="BG45" s="204"/>
      <c r="BH45" s="204"/>
      <c r="BI45" s="204"/>
      <c r="BJ45" s="205"/>
      <c r="BK45" s="177"/>
    </row>
    <row r="46" spans="1:63" ht="15" customHeight="1" x14ac:dyDescent="0.25">
      <c r="A46" s="176"/>
      <c r="B46" s="158"/>
      <c r="C46" s="159"/>
      <c r="D46" s="159"/>
      <c r="E46" s="159"/>
      <c r="F46" s="159"/>
      <c r="G46" s="160"/>
      <c r="H46" s="158"/>
      <c r="I46" s="159"/>
      <c r="J46" s="159"/>
      <c r="K46" s="159"/>
      <c r="L46" s="159"/>
      <c r="M46" s="159"/>
      <c r="N46" s="160"/>
      <c r="O46" s="158"/>
      <c r="P46" s="159"/>
      <c r="Q46" s="159"/>
      <c r="R46" s="159"/>
      <c r="S46" s="207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9"/>
      <c r="AX46" s="210"/>
      <c r="AY46" s="210"/>
      <c r="AZ46" s="210"/>
      <c r="BA46" s="210"/>
      <c r="BB46" s="210"/>
      <c r="BC46" s="211"/>
      <c r="BD46" s="212"/>
      <c r="BE46" s="210"/>
      <c r="BF46" s="210"/>
      <c r="BG46" s="210"/>
      <c r="BH46" s="210"/>
      <c r="BI46" s="210"/>
      <c r="BJ46" s="211"/>
      <c r="BK46" s="177"/>
    </row>
    <row r="47" spans="1:63" ht="15" customHeight="1" x14ac:dyDescent="0.25">
      <c r="A47" s="176"/>
      <c r="B47" s="148"/>
      <c r="C47" s="146"/>
      <c r="D47" s="146"/>
      <c r="E47" s="146"/>
      <c r="F47" s="146"/>
      <c r="G47" s="147"/>
      <c r="H47" s="148"/>
      <c r="I47" s="146"/>
      <c r="J47" s="146"/>
      <c r="K47" s="146"/>
      <c r="L47" s="146"/>
      <c r="M47" s="146"/>
      <c r="N47" s="147"/>
      <c r="O47" s="148"/>
      <c r="P47" s="146"/>
      <c r="Q47" s="146"/>
      <c r="R47" s="146"/>
      <c r="S47" s="201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3"/>
      <c r="AX47" s="204"/>
      <c r="AY47" s="204"/>
      <c r="AZ47" s="204"/>
      <c r="BA47" s="204"/>
      <c r="BB47" s="204"/>
      <c r="BC47" s="205"/>
      <c r="BD47" s="206"/>
      <c r="BE47" s="204"/>
      <c r="BF47" s="204"/>
      <c r="BG47" s="204"/>
      <c r="BH47" s="204"/>
      <c r="BI47" s="204"/>
      <c r="BJ47" s="205"/>
      <c r="BK47" s="177"/>
    </row>
    <row r="48" spans="1:63" ht="15" customHeight="1" x14ac:dyDescent="0.25">
      <c r="A48" s="176"/>
      <c r="B48" s="158"/>
      <c r="C48" s="159"/>
      <c r="D48" s="159"/>
      <c r="E48" s="159"/>
      <c r="F48" s="159"/>
      <c r="G48" s="160"/>
      <c r="H48" s="158"/>
      <c r="I48" s="159"/>
      <c r="J48" s="159"/>
      <c r="K48" s="159"/>
      <c r="L48" s="159"/>
      <c r="M48" s="159"/>
      <c r="N48" s="160"/>
      <c r="O48" s="158"/>
      <c r="P48" s="159"/>
      <c r="Q48" s="159"/>
      <c r="R48" s="159"/>
      <c r="S48" s="207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9"/>
      <c r="AX48" s="210"/>
      <c r="AY48" s="210"/>
      <c r="AZ48" s="210"/>
      <c r="BA48" s="210"/>
      <c r="BB48" s="210"/>
      <c r="BC48" s="211"/>
      <c r="BD48" s="212"/>
      <c r="BE48" s="210"/>
      <c r="BF48" s="210"/>
      <c r="BG48" s="210"/>
      <c r="BH48" s="210"/>
      <c r="BI48" s="210"/>
      <c r="BJ48" s="211"/>
      <c r="BK48" s="177"/>
    </row>
    <row r="49" spans="1:63" ht="15" customHeight="1" x14ac:dyDescent="0.25">
      <c r="A49" s="176"/>
      <c r="B49" s="148"/>
      <c r="C49" s="146"/>
      <c r="D49" s="146"/>
      <c r="E49" s="146"/>
      <c r="F49" s="146"/>
      <c r="G49" s="147"/>
      <c r="H49" s="148"/>
      <c r="I49" s="146"/>
      <c r="J49" s="146"/>
      <c r="K49" s="146"/>
      <c r="L49" s="146"/>
      <c r="M49" s="146"/>
      <c r="N49" s="147"/>
      <c r="O49" s="148"/>
      <c r="P49" s="146"/>
      <c r="Q49" s="146"/>
      <c r="R49" s="146"/>
      <c r="S49" s="201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3"/>
      <c r="AX49" s="204"/>
      <c r="AY49" s="204"/>
      <c r="AZ49" s="204"/>
      <c r="BA49" s="204"/>
      <c r="BB49" s="204"/>
      <c r="BC49" s="205"/>
      <c r="BD49" s="206"/>
      <c r="BE49" s="204"/>
      <c r="BF49" s="204"/>
      <c r="BG49" s="204"/>
      <c r="BH49" s="204"/>
      <c r="BI49" s="204"/>
      <c r="BJ49" s="205"/>
      <c r="BK49" s="177"/>
    </row>
    <row r="50" spans="1:63" ht="15" customHeight="1" x14ac:dyDescent="0.25">
      <c r="A50" s="176"/>
      <c r="B50" s="158"/>
      <c r="C50" s="159"/>
      <c r="D50" s="159"/>
      <c r="E50" s="159"/>
      <c r="F50" s="159"/>
      <c r="G50" s="160"/>
      <c r="H50" s="158"/>
      <c r="I50" s="159"/>
      <c r="J50" s="159"/>
      <c r="K50" s="159"/>
      <c r="L50" s="159"/>
      <c r="M50" s="159"/>
      <c r="N50" s="160"/>
      <c r="O50" s="158"/>
      <c r="P50" s="159"/>
      <c r="Q50" s="159"/>
      <c r="R50" s="159"/>
      <c r="S50" s="207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9"/>
      <c r="AX50" s="210"/>
      <c r="AY50" s="210"/>
      <c r="AZ50" s="210"/>
      <c r="BA50" s="210"/>
      <c r="BB50" s="210"/>
      <c r="BC50" s="211"/>
      <c r="BD50" s="212"/>
      <c r="BE50" s="210"/>
      <c r="BF50" s="210"/>
      <c r="BG50" s="210"/>
      <c r="BH50" s="210"/>
      <c r="BI50" s="210"/>
      <c r="BJ50" s="211"/>
      <c r="BK50" s="177"/>
    </row>
    <row r="51" spans="1:63" ht="15" customHeight="1" x14ac:dyDescent="0.25">
      <c r="A51" s="176"/>
      <c r="B51" s="148"/>
      <c r="C51" s="146"/>
      <c r="D51" s="146"/>
      <c r="E51" s="146"/>
      <c r="F51" s="146"/>
      <c r="G51" s="147"/>
      <c r="H51" s="148"/>
      <c r="I51" s="146"/>
      <c r="J51" s="146"/>
      <c r="K51" s="146"/>
      <c r="L51" s="146"/>
      <c r="M51" s="146"/>
      <c r="N51" s="147"/>
      <c r="O51" s="148"/>
      <c r="P51" s="146"/>
      <c r="Q51" s="146"/>
      <c r="R51" s="146"/>
      <c r="S51" s="201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3"/>
      <c r="AX51" s="204"/>
      <c r="AY51" s="204"/>
      <c r="AZ51" s="204"/>
      <c r="BA51" s="204"/>
      <c r="BB51" s="204"/>
      <c r="BC51" s="205"/>
      <c r="BD51" s="206"/>
      <c r="BE51" s="204"/>
      <c r="BF51" s="204"/>
      <c r="BG51" s="204"/>
      <c r="BH51" s="204"/>
      <c r="BI51" s="204"/>
      <c r="BJ51" s="205"/>
      <c r="BK51" s="177"/>
    </row>
    <row r="52" spans="1:63" ht="15" customHeight="1" x14ac:dyDescent="0.25">
      <c r="A52" s="176"/>
      <c r="B52" s="158"/>
      <c r="C52" s="159"/>
      <c r="D52" s="159"/>
      <c r="E52" s="159"/>
      <c r="F52" s="159"/>
      <c r="G52" s="160"/>
      <c r="H52" s="158"/>
      <c r="I52" s="159"/>
      <c r="J52" s="159"/>
      <c r="K52" s="159"/>
      <c r="L52" s="159"/>
      <c r="M52" s="159"/>
      <c r="N52" s="160"/>
      <c r="O52" s="158"/>
      <c r="P52" s="159"/>
      <c r="Q52" s="159"/>
      <c r="R52" s="159"/>
      <c r="S52" s="207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9"/>
      <c r="AX52" s="210"/>
      <c r="AY52" s="210"/>
      <c r="AZ52" s="210"/>
      <c r="BA52" s="210"/>
      <c r="BB52" s="210"/>
      <c r="BC52" s="211"/>
      <c r="BD52" s="212"/>
      <c r="BE52" s="210"/>
      <c r="BF52" s="210"/>
      <c r="BG52" s="210"/>
      <c r="BH52" s="210"/>
      <c r="BI52" s="210"/>
      <c r="BJ52" s="211"/>
      <c r="BK52" s="177"/>
    </row>
    <row r="53" spans="1:63" ht="15" customHeight="1" x14ac:dyDescent="0.25">
      <c r="A53" s="176"/>
      <c r="B53" s="148"/>
      <c r="C53" s="146"/>
      <c r="D53" s="146"/>
      <c r="E53" s="146"/>
      <c r="F53" s="146"/>
      <c r="G53" s="147"/>
      <c r="H53" s="148"/>
      <c r="I53" s="146"/>
      <c r="J53" s="146"/>
      <c r="K53" s="146"/>
      <c r="L53" s="146"/>
      <c r="M53" s="146"/>
      <c r="N53" s="147"/>
      <c r="O53" s="148"/>
      <c r="P53" s="146"/>
      <c r="Q53" s="146"/>
      <c r="R53" s="146"/>
      <c r="S53" s="201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3"/>
      <c r="AX53" s="204"/>
      <c r="AY53" s="204"/>
      <c r="AZ53" s="204"/>
      <c r="BA53" s="204"/>
      <c r="BB53" s="204"/>
      <c r="BC53" s="205"/>
      <c r="BD53" s="206"/>
      <c r="BE53" s="204"/>
      <c r="BF53" s="204"/>
      <c r="BG53" s="204"/>
      <c r="BH53" s="204"/>
      <c r="BI53" s="204"/>
      <c r="BJ53" s="205"/>
      <c r="BK53" s="177"/>
    </row>
    <row r="54" spans="1:63" ht="15" customHeight="1" x14ac:dyDescent="0.25">
      <c r="A54" s="176"/>
      <c r="B54" s="158"/>
      <c r="C54" s="159"/>
      <c r="D54" s="159"/>
      <c r="E54" s="159"/>
      <c r="F54" s="159"/>
      <c r="G54" s="160"/>
      <c r="H54" s="158"/>
      <c r="I54" s="159"/>
      <c r="J54" s="159"/>
      <c r="K54" s="159"/>
      <c r="L54" s="159"/>
      <c r="M54" s="159"/>
      <c r="N54" s="160"/>
      <c r="O54" s="158"/>
      <c r="P54" s="159"/>
      <c r="Q54" s="159"/>
      <c r="R54" s="159"/>
      <c r="S54" s="207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208"/>
      <c r="AS54" s="208"/>
      <c r="AT54" s="208"/>
      <c r="AU54" s="208"/>
      <c r="AV54" s="208"/>
      <c r="AW54" s="209"/>
      <c r="AX54" s="210"/>
      <c r="AY54" s="210"/>
      <c r="AZ54" s="210"/>
      <c r="BA54" s="210"/>
      <c r="BB54" s="210"/>
      <c r="BC54" s="211"/>
      <c r="BD54" s="212"/>
      <c r="BE54" s="210"/>
      <c r="BF54" s="210"/>
      <c r="BG54" s="210"/>
      <c r="BH54" s="210"/>
      <c r="BI54" s="210"/>
      <c r="BJ54" s="211"/>
      <c r="BK54" s="177"/>
    </row>
    <row r="55" spans="1:63" ht="15" customHeight="1" x14ac:dyDescent="0.25">
      <c r="A55" s="173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174"/>
      <c r="AY55" s="174"/>
      <c r="AZ55" s="174"/>
      <c r="BA55" s="174"/>
      <c r="BB55" s="174"/>
      <c r="BC55" s="174"/>
      <c r="BD55" s="174"/>
      <c r="BE55" s="174"/>
      <c r="BF55" s="174"/>
      <c r="BG55" s="174"/>
      <c r="BH55" s="174"/>
      <c r="BI55" s="174"/>
      <c r="BJ55" s="174"/>
      <c r="BK55" s="17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3" t="s">
        <v>81</v>
      </c>
      <c r="B1" s="224"/>
      <c r="C1" s="224"/>
      <c r="D1" s="224"/>
      <c r="E1" s="224"/>
      <c r="F1" s="224"/>
      <c r="G1" s="224"/>
      <c r="H1" s="224"/>
      <c r="I1" s="224"/>
      <c r="J1" s="225"/>
      <c r="K1" s="223" t="s">
        <v>82</v>
      </c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5"/>
      <c r="W1" s="226" t="str">
        <f>IF(表紙!W1="","",表紙!W1)</f>
        <v>詳細設計書</v>
      </c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8"/>
      <c r="AP1" s="139" t="s">
        <v>84</v>
      </c>
      <c r="AQ1" s="140"/>
      <c r="AR1" s="140"/>
      <c r="AS1" s="141"/>
      <c r="AT1" s="139" t="s">
        <v>85</v>
      </c>
      <c r="AU1" s="140"/>
      <c r="AV1" s="140"/>
      <c r="AW1" s="140"/>
      <c r="AX1" s="141"/>
      <c r="AY1" s="139" t="s">
        <v>86</v>
      </c>
      <c r="AZ1" s="140"/>
      <c r="BA1" s="140"/>
      <c r="BB1" s="141"/>
      <c r="BC1" s="139" t="s">
        <v>87</v>
      </c>
      <c r="BD1" s="140"/>
      <c r="BE1" s="140"/>
      <c r="BF1" s="140"/>
      <c r="BG1" s="141"/>
      <c r="BH1" s="139" t="s">
        <v>88</v>
      </c>
      <c r="BI1" s="140"/>
      <c r="BJ1" s="140"/>
      <c r="BK1" s="141"/>
    </row>
    <row r="2" spans="1:63" ht="15" customHeight="1" x14ac:dyDescent="0.25">
      <c r="A2" s="99" t="str">
        <f>IF(表紙!A2="","",表紙!A2)</f>
        <v>POSサーバー</v>
      </c>
      <c r="B2" s="100"/>
      <c r="C2" s="100"/>
      <c r="D2" s="100"/>
      <c r="E2" s="100"/>
      <c r="F2" s="100"/>
      <c r="G2" s="100"/>
      <c r="H2" s="100"/>
      <c r="I2" s="100"/>
      <c r="J2" s="101"/>
      <c r="K2" s="99" t="str">
        <f>IF(表紙!K2="","",表紙!K2)</f>
        <v>POSサーバー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  <c r="W2" s="229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1"/>
      <c r="AP2" s="148" t="str">
        <f>IF(表紙!AP2="","",表紙!AP2)</f>
        <v>DuNT</v>
      </c>
      <c r="AQ2" s="146"/>
      <c r="AR2" s="146"/>
      <c r="AS2" s="147"/>
      <c r="AT2" s="152">
        <f>IF(表紙!AT2="","",表紙!AT2)</f>
        <v>45475</v>
      </c>
      <c r="AU2" s="153"/>
      <c r="AV2" s="153"/>
      <c r="AW2" s="153"/>
      <c r="AX2" s="154"/>
      <c r="AY2" s="148" t="str">
        <f>IF(表紙!AY2="","",表紙!AY2)</f>
        <v>AnhTTP</v>
      </c>
      <c r="AZ2" s="146"/>
      <c r="BA2" s="146"/>
      <c r="BB2" s="147"/>
      <c r="BC2" s="152">
        <f>IF(表紙!BC2="","",表紙!BC2)</f>
        <v>45701</v>
      </c>
      <c r="BD2" s="153"/>
      <c r="BE2" s="153"/>
      <c r="BF2" s="153"/>
      <c r="BG2" s="154"/>
      <c r="BH2" s="148">
        <f>IF(表紙!BH2="","",表紙!BH2)</f>
        <v>0.55000000000000004</v>
      </c>
      <c r="BI2" s="146"/>
      <c r="BJ2" s="146"/>
      <c r="BK2" s="147"/>
    </row>
    <row r="3" spans="1:63" ht="15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4"/>
      <c r="K3" s="10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232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4"/>
      <c r="AP3" s="158"/>
      <c r="AQ3" s="159"/>
      <c r="AR3" s="159"/>
      <c r="AS3" s="160"/>
      <c r="AT3" s="164"/>
      <c r="AU3" s="165"/>
      <c r="AV3" s="165"/>
      <c r="AW3" s="165"/>
      <c r="AX3" s="166"/>
      <c r="AY3" s="158"/>
      <c r="AZ3" s="159"/>
      <c r="BA3" s="159"/>
      <c r="BB3" s="160"/>
      <c r="BC3" s="164"/>
      <c r="BD3" s="165"/>
      <c r="BE3" s="165"/>
      <c r="BF3" s="165"/>
      <c r="BG3" s="166"/>
      <c r="BH3" s="158"/>
      <c r="BI3" s="159"/>
      <c r="BJ3" s="159"/>
      <c r="BK3" s="160"/>
    </row>
    <row r="4" spans="1:63" ht="24.95" customHeight="1" x14ac:dyDescent="0.25">
      <c r="A4" s="223" t="s">
        <v>90</v>
      </c>
      <c r="B4" s="224"/>
      <c r="C4" s="224"/>
      <c r="D4" s="224"/>
      <c r="E4" s="224"/>
      <c r="F4" s="224"/>
      <c r="G4" s="225"/>
      <c r="H4" s="105" t="str">
        <f>IF(表紙!H4="","",表紙!H4)</f>
        <v>AP1506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223" t="s">
        <v>91</v>
      </c>
      <c r="V4" s="224"/>
      <c r="W4" s="224"/>
      <c r="X4" s="224"/>
      <c r="Y4" s="225"/>
      <c r="Z4" s="105" t="str">
        <f>IF(表紙!Z4="","",表紙!Z4)</f>
        <v>API設計書</v>
      </c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08" t="str">
        <f ca="1">MID(CELL("filename",A1),FIND("]",CELL("filename",A1))+1,255)</f>
        <v>処理フロー凡例</v>
      </c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45" customFormat="1" ht="15" customHeight="1" x14ac:dyDescent="0.25">
      <c r="A7" s="235"/>
      <c r="B7" s="236" t="s">
        <v>102</v>
      </c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8"/>
      <c r="AF7" s="239"/>
      <c r="AG7" s="237"/>
      <c r="AH7" s="237"/>
      <c r="AI7" s="237"/>
      <c r="AJ7" s="237"/>
      <c r="AK7" s="237"/>
      <c r="AL7" s="237"/>
      <c r="AM7" s="237"/>
      <c r="AN7" s="237"/>
      <c r="AO7" s="237"/>
      <c r="AP7" s="237"/>
      <c r="AQ7" s="237"/>
      <c r="AR7" s="237"/>
      <c r="AS7" s="237"/>
      <c r="AT7" s="237"/>
      <c r="AU7" s="237"/>
      <c r="AV7" s="237"/>
      <c r="AW7" s="237"/>
      <c r="AX7" s="237"/>
      <c r="AY7" s="237"/>
      <c r="AZ7" s="237"/>
      <c r="BA7" s="237"/>
      <c r="BB7" s="237"/>
      <c r="BC7" s="237"/>
      <c r="BD7" s="237"/>
      <c r="BE7" s="237"/>
      <c r="BF7" s="237"/>
      <c r="BG7" s="237"/>
      <c r="BH7" s="237"/>
      <c r="BI7" s="238"/>
      <c r="BJ7" s="237"/>
      <c r="BK7" s="240"/>
    </row>
    <row r="8" spans="1:63" s="241" customFormat="1" ht="15" customHeight="1" x14ac:dyDescent="0.25">
      <c r="BK8" s="240"/>
    </row>
    <row r="9" spans="1:63" s="241" customFormat="1" ht="15" customHeight="1" x14ac:dyDescent="0.25">
      <c r="BK9" s="240"/>
    </row>
    <row r="10" spans="1:63" s="241" customFormat="1" ht="15" customHeight="1" x14ac:dyDescent="0.25">
      <c r="BK10" s="240"/>
    </row>
    <row r="11" spans="1:63" s="241" customFormat="1" ht="15" customHeight="1" x14ac:dyDescent="0.25">
      <c r="BK11" s="240"/>
    </row>
    <row r="12" spans="1:63" s="241" customFormat="1" ht="15" customHeight="1" x14ac:dyDescent="0.25">
      <c r="BK12" s="240"/>
    </row>
    <row r="13" spans="1:63" s="241" customFormat="1" ht="15" customHeight="1" x14ac:dyDescent="0.25">
      <c r="BK13" s="240"/>
    </row>
    <row r="14" spans="1:63" s="241" customFormat="1" ht="15" customHeight="1" x14ac:dyDescent="0.25">
      <c r="BK14" s="240"/>
    </row>
    <row r="15" spans="1:63" s="241" customFormat="1" ht="15" customHeight="1" x14ac:dyDescent="0.25">
      <c r="BK15" s="240"/>
    </row>
    <row r="16" spans="1:63" s="241" customFormat="1" ht="15" customHeight="1" x14ac:dyDescent="0.25">
      <c r="BK16" s="240"/>
    </row>
    <row r="17" spans="63:63" s="241" customFormat="1" ht="15" customHeight="1" x14ac:dyDescent="0.25">
      <c r="BK17" s="240"/>
    </row>
    <row r="18" spans="63:63" s="241" customFormat="1" ht="15" customHeight="1" x14ac:dyDescent="0.25">
      <c r="BK18" s="240"/>
    </row>
    <row r="19" spans="63:63" s="241" customFormat="1" ht="15" customHeight="1" x14ac:dyDescent="0.25">
      <c r="BK19" s="240"/>
    </row>
    <row r="20" spans="63:63" s="241" customFormat="1" ht="15" customHeight="1" x14ac:dyDescent="0.25">
      <c r="BK20" s="240"/>
    </row>
    <row r="21" spans="63:63" s="241" customFormat="1" ht="15" customHeight="1" x14ac:dyDescent="0.25">
      <c r="BK21" s="240"/>
    </row>
    <row r="22" spans="63:63" s="241" customFormat="1" ht="15" customHeight="1" x14ac:dyDescent="0.25">
      <c r="BK22" s="240"/>
    </row>
    <row r="23" spans="63:63" s="241" customFormat="1" ht="15" customHeight="1" x14ac:dyDescent="0.25">
      <c r="BK23" s="240"/>
    </row>
    <row r="24" spans="63:63" s="241" customFormat="1" ht="15" customHeight="1" x14ac:dyDescent="0.25">
      <c r="BK24" s="240"/>
    </row>
    <row r="25" spans="63:63" s="241" customFormat="1" ht="15" customHeight="1" x14ac:dyDescent="0.25">
      <c r="BK25" s="240"/>
    </row>
    <row r="26" spans="63:63" s="241" customFormat="1" ht="15" customHeight="1" x14ac:dyDescent="0.25">
      <c r="BK26" s="240"/>
    </row>
    <row r="27" spans="63:63" s="241" customFormat="1" ht="15" customHeight="1" x14ac:dyDescent="0.25">
      <c r="BK27" s="240"/>
    </row>
    <row r="28" spans="63:63" s="241" customFormat="1" ht="15" customHeight="1" x14ac:dyDescent="0.25">
      <c r="BK28" s="240"/>
    </row>
    <row r="29" spans="63:63" s="241" customFormat="1" ht="15" customHeight="1" x14ac:dyDescent="0.25">
      <c r="BK29" s="240"/>
    </row>
    <row r="30" spans="63:63" s="241" customFormat="1" ht="15" customHeight="1" x14ac:dyDescent="0.25">
      <c r="BK30" s="240"/>
    </row>
    <row r="31" spans="63:63" s="241" customFormat="1" ht="15" customHeight="1" x14ac:dyDescent="0.25">
      <c r="BK31" s="240"/>
    </row>
    <row r="32" spans="63:63" s="241" customFormat="1" ht="15" customHeight="1" x14ac:dyDescent="0.25">
      <c r="BK32" s="240"/>
    </row>
    <row r="33" spans="63:63" s="241" customFormat="1" ht="15" customHeight="1" x14ac:dyDescent="0.25">
      <c r="BK33" s="240"/>
    </row>
    <row r="34" spans="63:63" s="241" customFormat="1" ht="15" customHeight="1" x14ac:dyDescent="0.25">
      <c r="BK34" s="240"/>
    </row>
    <row r="35" spans="63:63" s="241" customFormat="1" ht="15" customHeight="1" x14ac:dyDescent="0.25">
      <c r="BK35" s="240"/>
    </row>
    <row r="36" spans="63:63" s="241" customFormat="1" ht="15" customHeight="1" x14ac:dyDescent="0.25">
      <c r="BK36" s="240"/>
    </row>
    <row r="37" spans="63:63" s="241" customFormat="1" ht="15" customHeight="1" x14ac:dyDescent="0.25">
      <c r="BK37" s="240"/>
    </row>
    <row r="38" spans="63:63" s="241" customFormat="1" ht="15" customHeight="1" x14ac:dyDescent="0.25">
      <c r="BK38" s="240"/>
    </row>
    <row r="39" spans="63:63" s="241" customFormat="1" ht="15" customHeight="1" x14ac:dyDescent="0.25">
      <c r="BK39" s="240"/>
    </row>
    <row r="40" spans="63:63" s="241" customFormat="1" ht="15" customHeight="1" x14ac:dyDescent="0.25">
      <c r="BK40" s="240"/>
    </row>
    <row r="41" spans="63:63" s="241" customFormat="1" ht="15" customHeight="1" x14ac:dyDescent="0.25">
      <c r="BK41" s="240"/>
    </row>
    <row r="42" spans="63:63" s="241" customFormat="1" ht="15" customHeight="1" x14ac:dyDescent="0.25">
      <c r="BK42" s="240"/>
    </row>
    <row r="43" spans="63:63" s="241" customFormat="1" ht="15" customHeight="1" x14ac:dyDescent="0.25">
      <c r="BK43" s="240"/>
    </row>
    <row r="44" spans="63:63" s="241" customFormat="1" ht="15" customHeight="1" x14ac:dyDescent="0.25">
      <c r="BK44" s="240"/>
    </row>
    <row r="45" spans="63:63" s="241" customFormat="1" ht="15" customHeight="1" x14ac:dyDescent="0.25">
      <c r="BK45" s="240"/>
    </row>
    <row r="46" spans="63:63" s="241" customFormat="1" ht="15" customHeight="1" x14ac:dyDescent="0.25">
      <c r="BK46" s="240"/>
    </row>
    <row r="47" spans="63:63" x14ac:dyDescent="0.25">
      <c r="BK47" s="5"/>
    </row>
    <row r="48" spans="63:63" x14ac:dyDescent="0.25">
      <c r="BK48" s="5"/>
    </row>
    <row r="49" spans="1:63" x14ac:dyDescent="0.25">
      <c r="BK49" s="5"/>
    </row>
    <row r="50" spans="1:63" x14ac:dyDescent="0.25">
      <c r="BK50" s="5"/>
    </row>
    <row r="51" spans="1:63" x14ac:dyDescent="0.25">
      <c r="BK51" s="5"/>
    </row>
    <row r="52" spans="1:63" x14ac:dyDescent="0.25">
      <c r="BK52" s="5"/>
    </row>
    <row r="53" spans="1:63" x14ac:dyDescent="0.25">
      <c r="BK53" s="5"/>
    </row>
    <row r="54" spans="1:6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7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3" t="s">
        <v>81</v>
      </c>
      <c r="B1" s="224"/>
      <c r="C1" s="224"/>
      <c r="D1" s="224"/>
      <c r="E1" s="224"/>
      <c r="F1" s="224"/>
      <c r="G1" s="224"/>
      <c r="H1" s="224"/>
      <c r="I1" s="224"/>
      <c r="J1" s="225"/>
      <c r="K1" s="223" t="s">
        <v>82</v>
      </c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5"/>
      <c r="W1" s="226" t="str">
        <f>IF(表紙!W1="","",表紙!W1)</f>
        <v>詳細設計書</v>
      </c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8"/>
      <c r="AP1" s="139" t="s">
        <v>84</v>
      </c>
      <c r="AQ1" s="140"/>
      <c r="AR1" s="140"/>
      <c r="AS1" s="141"/>
      <c r="AT1" s="139" t="s">
        <v>85</v>
      </c>
      <c r="AU1" s="140"/>
      <c r="AV1" s="140"/>
      <c r="AW1" s="140"/>
      <c r="AX1" s="141"/>
      <c r="AY1" s="139" t="s">
        <v>86</v>
      </c>
      <c r="AZ1" s="140"/>
      <c r="BA1" s="140"/>
      <c r="BB1" s="141"/>
      <c r="BC1" s="139" t="s">
        <v>87</v>
      </c>
      <c r="BD1" s="140"/>
      <c r="BE1" s="140"/>
      <c r="BF1" s="140"/>
      <c r="BG1" s="141"/>
      <c r="BH1" s="139" t="s">
        <v>88</v>
      </c>
      <c r="BI1" s="140"/>
      <c r="BJ1" s="140"/>
      <c r="BK1" s="141"/>
    </row>
    <row r="2" spans="1:63" ht="15" customHeight="1" x14ac:dyDescent="0.25">
      <c r="A2" s="99" t="str">
        <f>IF(表紙!A2="","",表紙!A2)</f>
        <v>POSサーバー</v>
      </c>
      <c r="B2" s="100"/>
      <c r="C2" s="100"/>
      <c r="D2" s="100"/>
      <c r="E2" s="100"/>
      <c r="F2" s="100"/>
      <c r="G2" s="100"/>
      <c r="H2" s="100"/>
      <c r="I2" s="100"/>
      <c r="J2" s="101"/>
      <c r="K2" s="99" t="str">
        <f>IF(表紙!K2="","",表紙!K2)</f>
        <v>POSサーバー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  <c r="W2" s="229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1"/>
      <c r="AP2" s="148" t="str">
        <f>IF(表紙!AP2="","",表紙!AP2)</f>
        <v>DuNT</v>
      </c>
      <c r="AQ2" s="146"/>
      <c r="AR2" s="146"/>
      <c r="AS2" s="147"/>
      <c r="AT2" s="152">
        <f>IF(表紙!AT2="","",表紙!AT2)</f>
        <v>45475</v>
      </c>
      <c r="AU2" s="153"/>
      <c r="AV2" s="153"/>
      <c r="AW2" s="153"/>
      <c r="AX2" s="154"/>
      <c r="AY2" s="148" t="str">
        <f>IF(表紙!AY2="","",表紙!AY2)</f>
        <v>AnhTTP</v>
      </c>
      <c r="AZ2" s="146"/>
      <c r="BA2" s="146"/>
      <c r="BB2" s="147"/>
      <c r="BC2" s="152">
        <f>IF(表紙!BC2="","",表紙!BC2)</f>
        <v>45701</v>
      </c>
      <c r="BD2" s="153"/>
      <c r="BE2" s="153"/>
      <c r="BF2" s="153"/>
      <c r="BG2" s="154"/>
      <c r="BH2" s="148">
        <f>IF(表紙!BH2="","",表紙!BH2)</f>
        <v>0.55000000000000004</v>
      </c>
      <c r="BI2" s="146"/>
      <c r="BJ2" s="146"/>
      <c r="BK2" s="147"/>
    </row>
    <row r="3" spans="1:63" ht="15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4"/>
      <c r="K3" s="10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232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4"/>
      <c r="AP3" s="158"/>
      <c r="AQ3" s="159"/>
      <c r="AR3" s="159"/>
      <c r="AS3" s="160"/>
      <c r="AT3" s="164"/>
      <c r="AU3" s="165"/>
      <c r="AV3" s="165"/>
      <c r="AW3" s="165"/>
      <c r="AX3" s="166"/>
      <c r="AY3" s="158"/>
      <c r="AZ3" s="159"/>
      <c r="BA3" s="159"/>
      <c r="BB3" s="160"/>
      <c r="BC3" s="164"/>
      <c r="BD3" s="165"/>
      <c r="BE3" s="165"/>
      <c r="BF3" s="165"/>
      <c r="BG3" s="166"/>
      <c r="BH3" s="158"/>
      <c r="BI3" s="159"/>
      <c r="BJ3" s="159"/>
      <c r="BK3" s="160"/>
    </row>
    <row r="4" spans="1:63" ht="24.95" customHeight="1" x14ac:dyDescent="0.25">
      <c r="A4" s="223" t="s">
        <v>90</v>
      </c>
      <c r="B4" s="224"/>
      <c r="C4" s="224"/>
      <c r="D4" s="224"/>
      <c r="E4" s="224"/>
      <c r="F4" s="224"/>
      <c r="G4" s="225"/>
      <c r="H4" s="105" t="str">
        <f>IF(表紙!H4="","",表紙!H4)</f>
        <v>AP1506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223" t="s">
        <v>91</v>
      </c>
      <c r="V4" s="224"/>
      <c r="W4" s="224"/>
      <c r="X4" s="224"/>
      <c r="Y4" s="225"/>
      <c r="Z4" s="105" t="str">
        <f>IF(表紙!Z4="","",表紙!Z4)</f>
        <v>API設計書</v>
      </c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08" t="str">
        <f ca="1">MID(CELL("filename",A1),FIND("]",CELL("filename",A1))+1,255)</f>
        <v>AP1506</v>
      </c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103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42"/>
      <c r="AQ7" s="242"/>
      <c r="AR7" s="242"/>
      <c r="AS7" s="242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19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43"/>
      <c r="AQ8" s="243"/>
      <c r="AR8" s="243"/>
      <c r="AS8" s="243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9"/>
      <c r="BI8" s="9"/>
      <c r="BJ8" s="9"/>
      <c r="BK8" s="17"/>
    </row>
    <row r="9" spans="1:63" s="18" customFormat="1" ht="15" customHeight="1" x14ac:dyDescent="0.25">
      <c r="A9" s="13"/>
      <c r="B9" s="19"/>
      <c r="C9" s="20" t="s">
        <v>104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43"/>
      <c r="AQ9" s="243"/>
      <c r="AR9" s="243"/>
      <c r="AS9" s="243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9"/>
      <c r="BI9" s="9"/>
      <c r="BJ9" s="9"/>
      <c r="BK9" s="17"/>
    </row>
    <row r="10" spans="1:63" s="18" customFormat="1" ht="15" customHeight="1" x14ac:dyDescent="0.25">
      <c r="A10" s="13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43"/>
      <c r="AQ10" s="243"/>
      <c r="AR10" s="243"/>
      <c r="AS10" s="243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9"/>
      <c r="BI10" s="9"/>
      <c r="BJ10" s="9"/>
      <c r="BK10" s="17"/>
    </row>
    <row r="11" spans="1:63" s="18" customFormat="1" ht="15" customHeight="1" x14ac:dyDescent="0.25">
      <c r="A11" s="13"/>
      <c r="B11" s="22" t="s">
        <v>105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1"/>
      <c r="C12" s="2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9"/>
      <c r="BI12" s="9"/>
      <c r="BJ12" s="9"/>
      <c r="BK12" s="17"/>
    </row>
    <row r="13" spans="1:63" s="18" customFormat="1" ht="15" customHeight="1" x14ac:dyDescent="0.25">
      <c r="A13" s="13"/>
      <c r="B13" s="21"/>
      <c r="C13" s="23" t="s">
        <v>106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9"/>
      <c r="BI13" s="9"/>
      <c r="BJ13" s="9"/>
      <c r="BK13" s="17"/>
    </row>
    <row r="14" spans="1:63" s="18" customFormat="1" ht="15" customHeight="1" x14ac:dyDescent="0.25">
      <c r="A14" s="13"/>
      <c r="B14" s="21"/>
      <c r="C14" s="19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9"/>
      <c r="BI14" s="9"/>
      <c r="BJ14" s="9"/>
      <c r="BK14" s="17"/>
    </row>
    <row r="15" spans="1:63" s="18" customFormat="1" ht="15" customHeight="1" x14ac:dyDescent="0.25">
      <c r="A15" s="13"/>
      <c r="B15" s="21"/>
      <c r="C15" s="114" t="s">
        <v>12</v>
      </c>
      <c r="D15" s="116"/>
      <c r="E15" s="114" t="s">
        <v>17</v>
      </c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6"/>
      <c r="AG15" s="114" t="s">
        <v>18</v>
      </c>
      <c r="AH15" s="115"/>
      <c r="AI15" s="115"/>
      <c r="AJ15" s="115"/>
      <c r="AK15" s="115"/>
      <c r="AL15" s="115"/>
      <c r="AM15" s="115"/>
      <c r="AN15" s="115"/>
      <c r="AO15" s="115"/>
      <c r="AP15" s="116"/>
      <c r="AQ15" s="114" t="s">
        <v>19</v>
      </c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6"/>
      <c r="BK15" s="17"/>
    </row>
    <row r="16" spans="1:63" s="18" customFormat="1" ht="15" customHeight="1" x14ac:dyDescent="0.25">
      <c r="A16" s="13"/>
      <c r="B16" s="21"/>
      <c r="C16" s="117">
        <v>1</v>
      </c>
      <c r="D16" s="118"/>
      <c r="E16" s="244" t="s">
        <v>50</v>
      </c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6"/>
      <c r="AG16" s="117" t="s">
        <v>13</v>
      </c>
      <c r="AH16" s="122"/>
      <c r="AI16" s="122"/>
      <c r="AJ16" s="122"/>
      <c r="AK16" s="122"/>
      <c r="AL16" s="122"/>
      <c r="AM16" s="122"/>
      <c r="AN16" s="122"/>
      <c r="AO16" s="122"/>
      <c r="AP16" s="118"/>
      <c r="AQ16" s="109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1"/>
      <c r="BK16" s="17"/>
    </row>
    <row r="17" spans="1:63" s="18" customFormat="1" ht="15" customHeight="1" x14ac:dyDescent="0.25">
      <c r="A17" s="13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9"/>
      <c r="BI17" s="9"/>
      <c r="BJ17" s="9"/>
      <c r="BK17" s="17"/>
    </row>
    <row r="18" spans="1:63" s="18" customFormat="1" ht="15" customHeight="1" x14ac:dyDescent="0.25">
      <c r="A18" s="13"/>
      <c r="B18" s="21"/>
      <c r="C18" s="23" t="s">
        <v>107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9"/>
      <c r="BI18" s="9"/>
      <c r="BJ18" s="9"/>
      <c r="BK18" s="17"/>
    </row>
    <row r="19" spans="1:63" s="18" customFormat="1" ht="15" customHeight="1" x14ac:dyDescent="0.25">
      <c r="A19" s="13"/>
      <c r="B19" s="21"/>
      <c r="C19" s="2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9"/>
      <c r="BI19" s="9"/>
      <c r="BJ19" s="9"/>
      <c r="BK19" s="17"/>
    </row>
    <row r="20" spans="1:63" s="18" customFormat="1" ht="15" customHeight="1" x14ac:dyDescent="0.25">
      <c r="A20" s="13"/>
      <c r="B20" s="21"/>
      <c r="C20" s="129" t="s">
        <v>108</v>
      </c>
      <c r="D20" s="137"/>
      <c r="E20" s="129" t="s">
        <v>109</v>
      </c>
      <c r="F20" s="136"/>
      <c r="G20" s="136"/>
      <c r="H20" s="136"/>
      <c r="I20" s="136"/>
      <c r="J20" s="136"/>
      <c r="K20" s="137"/>
      <c r="L20" s="114" t="s">
        <v>20</v>
      </c>
      <c r="M20" s="115"/>
      <c r="N20" s="116"/>
      <c r="O20" s="114" t="s">
        <v>21</v>
      </c>
      <c r="P20" s="115"/>
      <c r="Q20" s="115"/>
      <c r="R20" s="116"/>
      <c r="S20" s="114" t="s">
        <v>22</v>
      </c>
      <c r="T20" s="115"/>
      <c r="U20" s="115"/>
      <c r="V20" s="115"/>
      <c r="W20" s="115"/>
      <c r="X20" s="115"/>
      <c r="Y20" s="116"/>
      <c r="Z20" s="129" t="s">
        <v>110</v>
      </c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7"/>
      <c r="AQ20" s="114" t="s">
        <v>19</v>
      </c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6"/>
      <c r="BK20" s="17"/>
    </row>
    <row r="21" spans="1:63" s="18" customFormat="1" ht="15" customHeight="1" x14ac:dyDescent="0.25">
      <c r="A21" s="13"/>
      <c r="B21" s="21"/>
      <c r="C21" s="117">
        <v>1</v>
      </c>
      <c r="D21" s="118"/>
      <c r="E21" s="247" t="s">
        <v>3</v>
      </c>
      <c r="F21" s="248"/>
      <c r="G21" s="248"/>
      <c r="H21" s="248"/>
      <c r="I21" s="248"/>
      <c r="J21" s="248"/>
      <c r="K21" s="249"/>
      <c r="L21" s="138" t="s">
        <v>4</v>
      </c>
      <c r="M21" s="120"/>
      <c r="N21" s="121"/>
      <c r="O21" s="117" t="s">
        <v>5</v>
      </c>
      <c r="P21" s="122"/>
      <c r="Q21" s="122"/>
      <c r="R21" s="118"/>
      <c r="S21" s="117" t="s">
        <v>6</v>
      </c>
      <c r="T21" s="122"/>
      <c r="U21" s="122"/>
      <c r="V21" s="122"/>
      <c r="W21" s="122"/>
      <c r="X21" s="122"/>
      <c r="Y21" s="118"/>
      <c r="Z21" s="247" t="s">
        <v>7</v>
      </c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9"/>
      <c r="AQ21" s="250" t="s">
        <v>111</v>
      </c>
      <c r="AR21" s="245"/>
      <c r="AS21" s="245"/>
      <c r="AT21" s="245"/>
      <c r="AU21" s="245"/>
      <c r="AV21" s="245"/>
      <c r="AW21" s="245"/>
      <c r="AX21" s="245"/>
      <c r="AY21" s="245"/>
      <c r="AZ21" s="245"/>
      <c r="BA21" s="245"/>
      <c r="BB21" s="245"/>
      <c r="BC21" s="245"/>
      <c r="BD21" s="245"/>
      <c r="BE21" s="245"/>
      <c r="BF21" s="245"/>
      <c r="BG21" s="245"/>
      <c r="BH21" s="245"/>
      <c r="BI21" s="245"/>
      <c r="BJ21" s="246"/>
      <c r="BK21" s="17"/>
    </row>
    <row r="22" spans="1:63" s="18" customFormat="1" ht="15" customHeight="1" x14ac:dyDescent="0.25">
      <c r="A22" s="13"/>
      <c r="B22" s="21"/>
      <c r="C22" s="117">
        <v>2</v>
      </c>
      <c r="D22" s="118"/>
      <c r="E22" s="247" t="s">
        <v>8</v>
      </c>
      <c r="F22" s="248"/>
      <c r="G22" s="248"/>
      <c r="H22" s="248"/>
      <c r="I22" s="248"/>
      <c r="J22" s="248"/>
      <c r="K22" s="249"/>
      <c r="L22" s="138" t="s">
        <v>6</v>
      </c>
      <c r="M22" s="120"/>
      <c r="N22" s="121"/>
      <c r="O22" s="117" t="s">
        <v>5</v>
      </c>
      <c r="P22" s="122"/>
      <c r="Q22" s="122"/>
      <c r="R22" s="118"/>
      <c r="S22" s="117" t="s">
        <v>6</v>
      </c>
      <c r="T22" s="122"/>
      <c r="U22" s="122"/>
      <c r="V22" s="122"/>
      <c r="W22" s="122"/>
      <c r="X22" s="122"/>
      <c r="Y22" s="118"/>
      <c r="Z22" s="247" t="s">
        <v>8</v>
      </c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9"/>
      <c r="AQ22" s="244"/>
      <c r="AR22" s="245"/>
      <c r="AS22" s="245"/>
      <c r="AT22" s="245"/>
      <c r="AU22" s="245"/>
      <c r="AV22" s="245"/>
      <c r="AW22" s="245"/>
      <c r="AX22" s="245"/>
      <c r="AY22" s="245"/>
      <c r="AZ22" s="245"/>
      <c r="BA22" s="245"/>
      <c r="BB22" s="245"/>
      <c r="BC22" s="245"/>
      <c r="BD22" s="245"/>
      <c r="BE22" s="245"/>
      <c r="BF22" s="245"/>
      <c r="BG22" s="245"/>
      <c r="BH22" s="245"/>
      <c r="BI22" s="245"/>
      <c r="BJ22" s="246"/>
      <c r="BK22" s="17"/>
    </row>
    <row r="23" spans="1:63" s="18" customFormat="1" ht="15" customHeight="1" x14ac:dyDescent="0.25">
      <c r="A23" s="13"/>
      <c r="B23" s="21"/>
      <c r="C23" s="123">
        <v>3</v>
      </c>
      <c r="D23" s="124"/>
      <c r="E23" s="251" t="s">
        <v>9</v>
      </c>
      <c r="F23" s="252"/>
      <c r="G23" s="252"/>
      <c r="H23" s="252"/>
      <c r="I23" s="252"/>
      <c r="J23" s="252"/>
      <c r="K23" s="253"/>
      <c r="L23" s="254" t="s">
        <v>4</v>
      </c>
      <c r="M23" s="255"/>
      <c r="N23" s="256"/>
      <c r="O23" s="257" t="s">
        <v>5</v>
      </c>
      <c r="P23" s="258"/>
      <c r="Q23" s="258"/>
      <c r="R23" s="259"/>
      <c r="S23" s="257" t="s">
        <v>14</v>
      </c>
      <c r="T23" s="258"/>
      <c r="U23" s="258"/>
      <c r="V23" s="258"/>
      <c r="W23" s="258"/>
      <c r="X23" s="258"/>
      <c r="Y23" s="259"/>
      <c r="Z23" s="260" t="s">
        <v>9</v>
      </c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2"/>
      <c r="AQ23" s="263"/>
      <c r="AR23" s="263"/>
      <c r="AS23" s="263"/>
      <c r="AT23" s="263"/>
      <c r="AU23" s="263"/>
      <c r="AV23" s="263"/>
      <c r="AW23" s="263"/>
      <c r="AX23" s="263"/>
      <c r="AY23" s="263"/>
      <c r="AZ23" s="263"/>
      <c r="BA23" s="263"/>
      <c r="BB23" s="263"/>
      <c r="BC23" s="263"/>
      <c r="BD23" s="263"/>
      <c r="BE23" s="263"/>
      <c r="BF23" s="263"/>
      <c r="BG23" s="263"/>
      <c r="BH23" s="263"/>
      <c r="BI23" s="263"/>
      <c r="BJ23" s="264"/>
      <c r="BK23" s="17"/>
    </row>
    <row r="24" spans="1:63" s="18" customFormat="1" ht="15" customHeight="1" x14ac:dyDescent="0.25">
      <c r="A24" s="13"/>
      <c r="B24" s="21"/>
      <c r="C24" s="125"/>
      <c r="D24" s="126"/>
      <c r="E24" s="265"/>
      <c r="F24" s="266"/>
      <c r="G24" s="266"/>
      <c r="H24" s="266"/>
      <c r="I24" s="266"/>
      <c r="J24" s="266"/>
      <c r="K24" s="267"/>
      <c r="L24" s="268"/>
      <c r="M24" s="269"/>
      <c r="N24" s="270"/>
      <c r="O24" s="271"/>
      <c r="P24" s="272"/>
      <c r="Q24" s="272"/>
      <c r="R24" s="273"/>
      <c r="S24" s="271"/>
      <c r="T24" s="272"/>
      <c r="U24" s="272"/>
      <c r="V24" s="272"/>
      <c r="W24" s="272"/>
      <c r="X24" s="272"/>
      <c r="Y24" s="273"/>
      <c r="Z24" s="274"/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6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7"/>
      <c r="BB24" s="277"/>
      <c r="BC24" s="277"/>
      <c r="BD24" s="277"/>
      <c r="BE24" s="277"/>
      <c r="BF24" s="277"/>
      <c r="BG24" s="277"/>
      <c r="BH24" s="277"/>
      <c r="BI24" s="277"/>
      <c r="BJ24" s="278"/>
      <c r="BK24" s="17"/>
    </row>
    <row r="25" spans="1:63" s="18" customFormat="1" ht="15" customHeight="1" x14ac:dyDescent="0.25">
      <c r="A25" s="13"/>
      <c r="B25" s="21"/>
      <c r="C25" s="127"/>
      <c r="D25" s="128"/>
      <c r="E25" s="279"/>
      <c r="F25" s="280"/>
      <c r="G25" s="280"/>
      <c r="H25" s="280"/>
      <c r="I25" s="280"/>
      <c r="J25" s="280"/>
      <c r="K25" s="281"/>
      <c r="L25" s="282"/>
      <c r="M25" s="283"/>
      <c r="N25" s="284"/>
      <c r="O25" s="285"/>
      <c r="P25" s="286"/>
      <c r="Q25" s="286"/>
      <c r="R25" s="287"/>
      <c r="S25" s="285"/>
      <c r="T25" s="286"/>
      <c r="U25" s="286"/>
      <c r="V25" s="286"/>
      <c r="W25" s="286"/>
      <c r="X25" s="286"/>
      <c r="Y25" s="287"/>
      <c r="Z25" s="288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  <c r="AN25" s="289"/>
      <c r="AO25" s="289"/>
      <c r="AP25" s="290"/>
      <c r="AQ25" s="291"/>
      <c r="AR25" s="291"/>
      <c r="AS25" s="291"/>
      <c r="AT25" s="291"/>
      <c r="AU25" s="291"/>
      <c r="AV25" s="291"/>
      <c r="AW25" s="291"/>
      <c r="AX25" s="291"/>
      <c r="AY25" s="291"/>
      <c r="AZ25" s="291"/>
      <c r="BA25" s="291"/>
      <c r="BB25" s="291"/>
      <c r="BC25" s="291"/>
      <c r="BD25" s="291"/>
      <c r="BE25" s="291"/>
      <c r="BF25" s="291"/>
      <c r="BG25" s="291"/>
      <c r="BH25" s="291"/>
      <c r="BI25" s="291"/>
      <c r="BJ25" s="292"/>
      <c r="BK25" s="17"/>
    </row>
    <row r="26" spans="1:63" s="18" customFormat="1" ht="15" customHeight="1" x14ac:dyDescent="0.25">
      <c r="A26" s="13"/>
      <c r="B26" s="21"/>
      <c r="C26" s="117">
        <v>4</v>
      </c>
      <c r="D26" s="118"/>
      <c r="E26" s="247" t="s">
        <v>10</v>
      </c>
      <c r="F26" s="248"/>
      <c r="G26" s="248"/>
      <c r="H26" s="248"/>
      <c r="I26" s="248"/>
      <c r="J26" s="248"/>
      <c r="K26" s="249"/>
      <c r="L26" s="138" t="s">
        <v>6</v>
      </c>
      <c r="M26" s="120"/>
      <c r="N26" s="121"/>
      <c r="O26" s="117" t="s">
        <v>5</v>
      </c>
      <c r="P26" s="122"/>
      <c r="Q26" s="122"/>
      <c r="R26" s="118"/>
      <c r="S26" s="117" t="s">
        <v>6</v>
      </c>
      <c r="T26" s="122"/>
      <c r="U26" s="122"/>
      <c r="V26" s="122"/>
      <c r="W26" s="122"/>
      <c r="X26" s="122"/>
      <c r="Y26" s="118"/>
      <c r="Z26" s="247" t="s">
        <v>10</v>
      </c>
      <c r="AA26" s="248"/>
      <c r="AB26" s="248"/>
      <c r="AC26" s="248"/>
      <c r="AD26" s="248"/>
      <c r="AE26" s="248"/>
      <c r="AF26" s="248"/>
      <c r="AG26" s="248"/>
      <c r="AH26" s="248"/>
      <c r="AI26" s="248"/>
      <c r="AJ26" s="248"/>
      <c r="AK26" s="248"/>
      <c r="AL26" s="248"/>
      <c r="AM26" s="248"/>
      <c r="AN26" s="248"/>
      <c r="AO26" s="248"/>
      <c r="AP26" s="249"/>
      <c r="AQ26" s="244"/>
      <c r="AR26" s="245"/>
      <c r="AS26" s="245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6"/>
      <c r="BK26" s="17"/>
    </row>
    <row r="27" spans="1:63" s="18" customFormat="1" ht="15" customHeight="1" x14ac:dyDescent="0.25">
      <c r="A27" s="13"/>
      <c r="B27" s="21"/>
      <c r="C27" s="117">
        <v>5</v>
      </c>
      <c r="D27" s="118"/>
      <c r="E27" s="247" t="s">
        <v>11</v>
      </c>
      <c r="F27" s="248"/>
      <c r="G27" s="248"/>
      <c r="H27" s="248"/>
      <c r="I27" s="248"/>
      <c r="J27" s="248"/>
      <c r="K27" s="249"/>
      <c r="L27" s="138" t="s">
        <v>6</v>
      </c>
      <c r="M27" s="120"/>
      <c r="N27" s="121"/>
      <c r="O27" s="117" t="s">
        <v>5</v>
      </c>
      <c r="P27" s="122"/>
      <c r="Q27" s="122"/>
      <c r="R27" s="118"/>
      <c r="S27" s="117" t="s">
        <v>6</v>
      </c>
      <c r="T27" s="122"/>
      <c r="U27" s="122"/>
      <c r="V27" s="122"/>
      <c r="W27" s="122"/>
      <c r="X27" s="122"/>
      <c r="Y27" s="118"/>
      <c r="Z27" s="247" t="s">
        <v>11</v>
      </c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9"/>
      <c r="AQ27" s="244"/>
      <c r="AR27" s="245"/>
      <c r="AS27" s="245"/>
      <c r="AT27" s="245"/>
      <c r="AU27" s="245"/>
      <c r="AV27" s="245"/>
      <c r="AW27" s="245"/>
      <c r="AX27" s="245"/>
      <c r="AY27" s="245"/>
      <c r="AZ27" s="245"/>
      <c r="BA27" s="245"/>
      <c r="BB27" s="245"/>
      <c r="BC27" s="245"/>
      <c r="BD27" s="245"/>
      <c r="BE27" s="245"/>
      <c r="BF27" s="245"/>
      <c r="BG27" s="245"/>
      <c r="BH27" s="245"/>
      <c r="BI27" s="245"/>
      <c r="BJ27" s="246"/>
      <c r="BK27" s="17"/>
    </row>
    <row r="28" spans="1:63" s="18" customFormat="1" ht="15" customHeight="1" x14ac:dyDescent="0.25">
      <c r="A28" s="13"/>
      <c r="B28" s="21"/>
      <c r="C28" s="21"/>
      <c r="D28" s="21"/>
      <c r="E28" s="243"/>
      <c r="F28" s="243"/>
      <c r="G28" s="243"/>
      <c r="H28" s="243"/>
      <c r="I28" s="21"/>
      <c r="J28" s="21"/>
      <c r="K28" s="21"/>
      <c r="L28" s="293"/>
      <c r="M28" s="243"/>
      <c r="N28" s="243"/>
      <c r="O28" s="243"/>
      <c r="P28" s="243"/>
      <c r="Q28" s="21"/>
      <c r="R28" s="21"/>
      <c r="S28" s="21"/>
      <c r="T28" s="21"/>
      <c r="U28" s="21"/>
      <c r="V28" s="21"/>
      <c r="W28" s="21"/>
      <c r="X28" s="21"/>
      <c r="Y28" s="21"/>
      <c r="Z28" s="27"/>
      <c r="AA28" s="21"/>
      <c r="AB28" s="21"/>
      <c r="AC28" s="21"/>
      <c r="AD28" s="21"/>
      <c r="AE28" s="21"/>
      <c r="AF28" s="21"/>
      <c r="AG28" s="243"/>
      <c r="AH28" s="243"/>
      <c r="AI28" s="243"/>
      <c r="AJ28" s="243"/>
      <c r="AK28" s="243"/>
      <c r="AL28" s="243"/>
      <c r="AM28" s="243"/>
      <c r="AN28" s="243"/>
      <c r="AO28" s="243"/>
      <c r="AP28" s="21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9"/>
      <c r="BI28" s="9"/>
      <c r="BJ28" s="9"/>
      <c r="BK28" s="17"/>
    </row>
    <row r="29" spans="1:63" s="18" customFormat="1" ht="15" customHeight="1" x14ac:dyDescent="0.25">
      <c r="A29" s="13"/>
      <c r="B29" s="21"/>
      <c r="C29" s="21"/>
      <c r="D29" s="21"/>
      <c r="E29" s="243"/>
      <c r="F29" s="243"/>
      <c r="G29" s="243"/>
      <c r="H29" s="243"/>
      <c r="I29" s="21"/>
      <c r="J29" s="21"/>
      <c r="K29" s="21"/>
      <c r="L29" s="29"/>
      <c r="M29" s="243"/>
      <c r="N29" s="243"/>
      <c r="O29" s="243"/>
      <c r="P29" s="243"/>
      <c r="Q29" s="21"/>
      <c r="R29" s="21"/>
      <c r="S29" s="21"/>
      <c r="T29" s="21"/>
      <c r="U29" s="21"/>
      <c r="V29" s="21"/>
      <c r="W29" s="21"/>
      <c r="X29" s="21"/>
      <c r="Y29" s="21"/>
      <c r="Z29" s="27"/>
      <c r="AA29" s="21"/>
      <c r="AB29" s="21"/>
      <c r="AC29" s="21"/>
      <c r="AD29" s="21"/>
      <c r="AE29" s="21"/>
      <c r="AF29" s="21"/>
      <c r="AG29" s="243"/>
      <c r="AH29" s="243"/>
      <c r="AI29" s="243"/>
      <c r="AJ29" s="243"/>
      <c r="AK29" s="243"/>
      <c r="AL29" s="243"/>
      <c r="AM29" s="243"/>
      <c r="AN29" s="243"/>
      <c r="AO29" s="243"/>
      <c r="AP29" s="21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9"/>
      <c r="BI29" s="9"/>
      <c r="BJ29" s="9"/>
      <c r="BK29" s="17"/>
    </row>
    <row r="30" spans="1:63" s="18" customFormat="1" ht="15" customHeight="1" x14ac:dyDescent="0.25">
      <c r="A30" s="13"/>
      <c r="B30" s="21"/>
      <c r="C30" s="23" t="s">
        <v>112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9"/>
      <c r="BI30" s="9"/>
      <c r="BJ30" s="9"/>
      <c r="BK30" s="17"/>
    </row>
    <row r="31" spans="1:63" s="18" customFormat="1" ht="15" customHeight="1" x14ac:dyDescent="0.25">
      <c r="A31" s="13"/>
      <c r="B31" s="21"/>
      <c r="C31" s="19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9"/>
      <c r="BI31" s="9"/>
      <c r="BJ31" s="9"/>
      <c r="BK31" s="17"/>
    </row>
    <row r="32" spans="1:63" s="18" customFormat="1" ht="15" customHeight="1" x14ac:dyDescent="0.25">
      <c r="A32" s="13"/>
      <c r="B32" s="21"/>
      <c r="C32" s="112" t="s">
        <v>12</v>
      </c>
      <c r="D32" s="113"/>
      <c r="E32" s="294" t="s">
        <v>23</v>
      </c>
      <c r="F32" s="295"/>
      <c r="G32" s="295"/>
      <c r="H32" s="295"/>
      <c r="I32" s="295"/>
      <c r="J32" s="295"/>
      <c r="K32" s="296"/>
      <c r="L32" s="114" t="s">
        <v>20</v>
      </c>
      <c r="M32" s="115"/>
      <c r="N32" s="116"/>
      <c r="O32" s="114" t="s">
        <v>21</v>
      </c>
      <c r="P32" s="115"/>
      <c r="Q32" s="115"/>
      <c r="R32" s="116"/>
      <c r="S32" s="114" t="s">
        <v>22</v>
      </c>
      <c r="T32" s="115"/>
      <c r="U32" s="115"/>
      <c r="V32" s="115"/>
      <c r="W32" s="115"/>
      <c r="X32" s="115"/>
      <c r="Y32" s="116"/>
      <c r="Z32" s="129" t="s">
        <v>110</v>
      </c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7"/>
      <c r="AQ32" s="133" t="s">
        <v>19</v>
      </c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5"/>
      <c r="BK32" s="17"/>
    </row>
    <row r="33" spans="1:63" s="18" customFormat="1" ht="15" customHeight="1" x14ac:dyDescent="0.25">
      <c r="A33" s="13"/>
      <c r="B33" s="21"/>
      <c r="C33" s="117">
        <v>1</v>
      </c>
      <c r="D33" s="118"/>
      <c r="E33" s="247" t="s">
        <v>37</v>
      </c>
      <c r="F33" s="248"/>
      <c r="G33" s="248"/>
      <c r="H33" s="248"/>
      <c r="I33" s="248"/>
      <c r="J33" s="248"/>
      <c r="K33" s="249"/>
      <c r="L33" s="119" t="s">
        <v>4</v>
      </c>
      <c r="M33" s="120"/>
      <c r="N33" s="121"/>
      <c r="O33" s="117" t="s">
        <v>16</v>
      </c>
      <c r="P33" s="122"/>
      <c r="Q33" s="122"/>
      <c r="R33" s="118"/>
      <c r="S33" s="117" t="s">
        <v>6</v>
      </c>
      <c r="T33" s="122"/>
      <c r="U33" s="122"/>
      <c r="V33" s="122"/>
      <c r="W33" s="122"/>
      <c r="X33" s="122"/>
      <c r="Y33" s="118"/>
      <c r="Z33" s="247" t="s">
        <v>38</v>
      </c>
      <c r="AA33" s="248"/>
      <c r="AB33" s="248"/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9"/>
      <c r="AQ33" s="109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1"/>
      <c r="BK33" s="17"/>
    </row>
    <row r="34" spans="1:63" s="18" customFormat="1" ht="15" customHeight="1" x14ac:dyDescent="0.25">
      <c r="A34" s="13"/>
      <c r="B34" s="21"/>
      <c r="C34" s="247">
        <v>2</v>
      </c>
      <c r="D34" s="249"/>
      <c r="E34" s="247" t="s">
        <v>61</v>
      </c>
      <c r="F34" s="248"/>
      <c r="G34" s="248"/>
      <c r="H34" s="248"/>
      <c r="I34" s="248"/>
      <c r="J34" s="248"/>
      <c r="K34" s="249"/>
      <c r="L34" s="170" t="s">
        <v>6</v>
      </c>
      <c r="M34" s="171"/>
      <c r="N34" s="172"/>
      <c r="O34" s="247" t="s">
        <v>16</v>
      </c>
      <c r="P34" s="248"/>
      <c r="Q34" s="248"/>
      <c r="R34" s="249"/>
      <c r="S34" s="247" t="s">
        <v>6</v>
      </c>
      <c r="T34" s="248"/>
      <c r="U34" s="248"/>
      <c r="V34" s="248"/>
      <c r="W34" s="248"/>
      <c r="X34" s="248"/>
      <c r="Y34" s="249"/>
      <c r="Z34" s="247" t="s">
        <v>113</v>
      </c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  <c r="AK34" s="248"/>
      <c r="AL34" s="248"/>
      <c r="AM34" s="248"/>
      <c r="AN34" s="248"/>
      <c r="AO34" s="248"/>
      <c r="AP34" s="249"/>
      <c r="AQ34" s="247" t="s">
        <v>114</v>
      </c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17"/>
    </row>
    <row r="35" spans="1:63" s="18" customFormat="1" ht="15" customHeight="1" x14ac:dyDescent="0.25">
      <c r="A35" s="13"/>
      <c r="B35" s="21"/>
      <c r="C35" s="247">
        <v>3</v>
      </c>
      <c r="D35" s="249"/>
      <c r="E35" s="247" t="s">
        <v>39</v>
      </c>
      <c r="F35" s="248"/>
      <c r="G35" s="248"/>
      <c r="H35" s="248"/>
      <c r="I35" s="248"/>
      <c r="J35" s="248"/>
      <c r="K35" s="249"/>
      <c r="L35" s="170" t="s">
        <v>6</v>
      </c>
      <c r="M35" s="171"/>
      <c r="N35" s="172"/>
      <c r="O35" s="247" t="s">
        <v>16</v>
      </c>
      <c r="P35" s="248"/>
      <c r="Q35" s="248"/>
      <c r="R35" s="249"/>
      <c r="S35" s="247" t="s">
        <v>6</v>
      </c>
      <c r="T35" s="248"/>
      <c r="U35" s="248"/>
      <c r="V35" s="248"/>
      <c r="W35" s="248"/>
      <c r="X35" s="248"/>
      <c r="Y35" s="249"/>
      <c r="Z35" s="247" t="s">
        <v>41</v>
      </c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9"/>
      <c r="AQ35" s="247" t="s">
        <v>115</v>
      </c>
      <c r="AR35" s="248"/>
      <c r="AS35" s="248"/>
      <c r="AT35" s="248"/>
      <c r="AU35" s="248"/>
      <c r="AV35" s="248"/>
      <c r="AW35" s="248"/>
      <c r="AX35" s="248"/>
      <c r="AY35" s="248"/>
      <c r="AZ35" s="248"/>
      <c r="BA35" s="248"/>
      <c r="BB35" s="248"/>
      <c r="BC35" s="248"/>
      <c r="BD35" s="248"/>
      <c r="BE35" s="248"/>
      <c r="BF35" s="248"/>
      <c r="BG35" s="248"/>
      <c r="BH35" s="248"/>
      <c r="BI35" s="248"/>
      <c r="BJ35" s="249"/>
      <c r="BK35" s="17"/>
    </row>
    <row r="36" spans="1:63" s="18" customFormat="1" ht="15" customHeight="1" x14ac:dyDescent="0.25">
      <c r="A36" s="13"/>
      <c r="B36" s="21"/>
      <c r="C36" s="247">
        <v>4</v>
      </c>
      <c r="D36" s="249"/>
      <c r="E36" s="247" t="s">
        <v>40</v>
      </c>
      <c r="F36" s="248"/>
      <c r="G36" s="248"/>
      <c r="H36" s="248"/>
      <c r="I36" s="248"/>
      <c r="J36" s="248"/>
      <c r="K36" s="249"/>
      <c r="L36" s="170" t="s">
        <v>6</v>
      </c>
      <c r="M36" s="171"/>
      <c r="N36" s="172"/>
      <c r="O36" s="247" t="s">
        <v>16</v>
      </c>
      <c r="P36" s="248"/>
      <c r="Q36" s="248"/>
      <c r="R36" s="249"/>
      <c r="S36" s="247" t="s">
        <v>6</v>
      </c>
      <c r="T36" s="248"/>
      <c r="U36" s="248"/>
      <c r="V36" s="248"/>
      <c r="W36" s="248"/>
      <c r="X36" s="248"/>
      <c r="Y36" s="249"/>
      <c r="Z36" s="247" t="s">
        <v>42</v>
      </c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8"/>
      <c r="AN36" s="248"/>
      <c r="AO36" s="248"/>
      <c r="AP36" s="249"/>
      <c r="AQ36" s="247" t="s">
        <v>116</v>
      </c>
      <c r="AR36" s="248"/>
      <c r="AS36" s="248"/>
      <c r="AT36" s="248"/>
      <c r="AU36" s="248"/>
      <c r="AV36" s="248"/>
      <c r="AW36" s="248"/>
      <c r="AX36" s="248"/>
      <c r="AY36" s="248"/>
      <c r="AZ36" s="248"/>
      <c r="BA36" s="248"/>
      <c r="BB36" s="248"/>
      <c r="BC36" s="248"/>
      <c r="BD36" s="248"/>
      <c r="BE36" s="248"/>
      <c r="BF36" s="248"/>
      <c r="BG36" s="248"/>
      <c r="BH36" s="248"/>
      <c r="BI36" s="248"/>
      <c r="BJ36" s="249"/>
      <c r="BK36" s="17"/>
    </row>
    <row r="37" spans="1:63" s="18" customFormat="1" ht="15" customHeight="1" x14ac:dyDescent="0.25">
      <c r="A37" s="13"/>
      <c r="B37" s="21"/>
      <c r="C37" s="247">
        <v>5</v>
      </c>
      <c r="D37" s="249"/>
      <c r="E37" s="247" t="s">
        <v>65</v>
      </c>
      <c r="F37" s="248"/>
      <c r="G37" s="248"/>
      <c r="H37" s="248"/>
      <c r="I37" s="248"/>
      <c r="J37" s="248"/>
      <c r="K37" s="249"/>
      <c r="L37" s="170" t="s">
        <v>6</v>
      </c>
      <c r="M37" s="171"/>
      <c r="N37" s="172"/>
      <c r="O37" s="247" t="s">
        <v>16</v>
      </c>
      <c r="P37" s="248"/>
      <c r="Q37" s="248"/>
      <c r="R37" s="249"/>
      <c r="S37" s="247" t="s">
        <v>6</v>
      </c>
      <c r="T37" s="248"/>
      <c r="U37" s="248"/>
      <c r="V37" s="248"/>
      <c r="W37" s="248"/>
      <c r="X37" s="248"/>
      <c r="Y37" s="249"/>
      <c r="Z37" s="247" t="s">
        <v>66</v>
      </c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9"/>
      <c r="AQ37" s="247" t="s">
        <v>117</v>
      </c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17"/>
    </row>
    <row r="38" spans="1:63" s="18" customFormat="1" ht="15" customHeight="1" x14ac:dyDescent="0.25">
      <c r="A38" s="13"/>
      <c r="B38" s="21"/>
      <c r="C38" s="23" t="s">
        <v>118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9"/>
      <c r="BI38" s="9"/>
      <c r="BJ38" s="9"/>
      <c r="BK38" s="17"/>
    </row>
    <row r="39" spans="1:63" s="18" customFormat="1" ht="15" customHeight="1" x14ac:dyDescent="0.25">
      <c r="A39" s="13"/>
      <c r="B39" s="21"/>
      <c r="C39" s="19"/>
      <c r="D39" s="21" t="s">
        <v>15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9"/>
      <c r="BI39" s="9"/>
      <c r="BJ39" s="9"/>
      <c r="BK39" s="17"/>
    </row>
    <row r="40" spans="1:63" s="18" customFormat="1" ht="15" customHeight="1" x14ac:dyDescent="0.25">
      <c r="A40" s="13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9"/>
      <c r="BI40" s="9"/>
      <c r="BJ40" s="9"/>
      <c r="BK40" s="17"/>
    </row>
    <row r="41" spans="1:63" s="18" customFormat="1" ht="15" customHeight="1" x14ac:dyDescent="0.25">
      <c r="A41" s="13"/>
      <c r="B41" s="14" t="s">
        <v>119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6"/>
      <c r="BI41" s="16"/>
      <c r="BJ41" s="16"/>
      <c r="BK41" s="17"/>
    </row>
    <row r="42" spans="1:63" s="18" customFormat="1" ht="15" customHeight="1" x14ac:dyDescent="0.25">
      <c r="A42" s="13"/>
      <c r="B42" s="19"/>
      <c r="C42" s="2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9"/>
      <c r="BI42" s="9"/>
      <c r="BJ42" s="9"/>
      <c r="BK42" s="17"/>
    </row>
    <row r="43" spans="1:63" s="18" customFormat="1" ht="15" customHeight="1" x14ac:dyDescent="0.25">
      <c r="A43" s="13"/>
      <c r="B43" s="19"/>
      <c r="C43" s="23" t="s">
        <v>120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9"/>
      <c r="BI43" s="9"/>
      <c r="BJ43" s="9"/>
      <c r="BK43" s="17"/>
    </row>
    <row r="44" spans="1:63" s="18" customFormat="1" ht="15" customHeight="1" x14ac:dyDescent="0.25">
      <c r="A44" s="13"/>
      <c r="B44" s="19"/>
      <c r="C44" s="2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9"/>
      <c r="BI44" s="9"/>
      <c r="BJ44" s="9"/>
      <c r="BK44" s="17"/>
    </row>
    <row r="45" spans="1:63" s="18" customFormat="1" ht="15" customHeight="1" x14ac:dyDescent="0.25">
      <c r="A45" s="13"/>
      <c r="B45" s="21"/>
      <c r="C45" s="114" t="s">
        <v>12</v>
      </c>
      <c r="D45" s="116"/>
      <c r="E45" s="129" t="s">
        <v>121</v>
      </c>
      <c r="F45" s="115"/>
      <c r="G45" s="115"/>
      <c r="H45" s="115"/>
      <c r="I45" s="115"/>
      <c r="J45" s="115"/>
      <c r="K45" s="116"/>
      <c r="L45" s="114" t="s">
        <v>21</v>
      </c>
      <c r="M45" s="115"/>
      <c r="N45" s="115"/>
      <c r="O45" s="115"/>
      <c r="P45" s="115"/>
      <c r="Q45" s="115"/>
      <c r="R45" s="116"/>
      <c r="S45" s="130" t="s">
        <v>110</v>
      </c>
      <c r="T45" s="131"/>
      <c r="U45" s="131"/>
      <c r="V45" s="131"/>
      <c r="W45" s="131"/>
      <c r="X45" s="131"/>
      <c r="Y45" s="131"/>
      <c r="Z45" s="131"/>
      <c r="AA45" s="131"/>
      <c r="AB45" s="132"/>
      <c r="AC45" s="114" t="s">
        <v>19</v>
      </c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6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9"/>
      <c r="BI45" s="9"/>
      <c r="BJ45" s="9"/>
      <c r="BK45" s="17"/>
    </row>
    <row r="46" spans="1:63" s="18" customFormat="1" ht="15" customHeight="1" x14ac:dyDescent="0.25">
      <c r="A46" s="13"/>
      <c r="B46" s="21"/>
      <c r="C46" s="247">
        <v>1</v>
      </c>
      <c r="D46" s="249"/>
      <c r="E46" s="247" t="s">
        <v>24</v>
      </c>
      <c r="F46" s="248"/>
      <c r="G46" s="248"/>
      <c r="H46" s="248"/>
      <c r="I46" s="248"/>
      <c r="J46" s="248"/>
      <c r="K46" s="249"/>
      <c r="L46" s="247" t="s">
        <v>16</v>
      </c>
      <c r="M46" s="248"/>
      <c r="N46" s="248"/>
      <c r="O46" s="248"/>
      <c r="P46" s="248"/>
      <c r="Q46" s="248"/>
      <c r="R46" s="249"/>
      <c r="S46" s="297" t="s">
        <v>69</v>
      </c>
      <c r="T46" s="298"/>
      <c r="U46" s="298"/>
      <c r="V46" s="298"/>
      <c r="W46" s="298"/>
      <c r="X46" s="298"/>
      <c r="Y46" s="298"/>
      <c r="Z46" s="298"/>
      <c r="AA46" s="298"/>
      <c r="AB46" s="299"/>
      <c r="AC46" s="247" t="s">
        <v>122</v>
      </c>
      <c r="AD46" s="248"/>
      <c r="AE46" s="248"/>
      <c r="AF46" s="248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248"/>
      <c r="AS46" s="248"/>
      <c r="AT46" s="248"/>
      <c r="AU46" s="249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9"/>
      <c r="BI46" s="9"/>
      <c r="BJ46" s="9"/>
      <c r="BK46" s="17"/>
    </row>
    <row r="47" spans="1:63" s="18" customFormat="1" ht="15" customHeight="1" x14ac:dyDescent="0.25">
      <c r="A47" s="13"/>
      <c r="B47" s="21"/>
      <c r="C47" s="247">
        <f>C46+1</f>
        <v>2</v>
      </c>
      <c r="D47" s="249"/>
      <c r="E47" s="247" t="s">
        <v>25</v>
      </c>
      <c r="F47" s="248"/>
      <c r="G47" s="248"/>
      <c r="H47" s="248"/>
      <c r="I47" s="248"/>
      <c r="J47" s="248"/>
      <c r="K47" s="249"/>
      <c r="L47" s="247" t="s">
        <v>16</v>
      </c>
      <c r="M47" s="248"/>
      <c r="N47" s="248"/>
      <c r="O47" s="248"/>
      <c r="P47" s="248"/>
      <c r="Q47" s="248"/>
      <c r="R47" s="249"/>
      <c r="S47" s="297" t="s">
        <v>70</v>
      </c>
      <c r="T47" s="298"/>
      <c r="U47" s="298"/>
      <c r="V47" s="298"/>
      <c r="W47" s="298"/>
      <c r="X47" s="298"/>
      <c r="Y47" s="298"/>
      <c r="Z47" s="298"/>
      <c r="AA47" s="298"/>
      <c r="AB47" s="299"/>
      <c r="AC47" s="247" t="s">
        <v>29</v>
      </c>
      <c r="AD47" s="248"/>
      <c r="AE47" s="248"/>
      <c r="AF47" s="248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48"/>
      <c r="AU47" s="249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9"/>
      <c r="BI47" s="9"/>
      <c r="BJ47" s="9"/>
      <c r="BK47" s="17"/>
    </row>
    <row r="48" spans="1:63" s="18" customFormat="1" ht="45" customHeight="1" x14ac:dyDescent="0.25">
      <c r="A48" s="13"/>
      <c r="B48" s="21"/>
      <c r="C48" s="247">
        <f>C47+1</f>
        <v>3</v>
      </c>
      <c r="D48" s="249"/>
      <c r="E48" s="247" t="s">
        <v>26</v>
      </c>
      <c r="F48" s="248"/>
      <c r="G48" s="248"/>
      <c r="H48" s="248"/>
      <c r="I48" s="248"/>
      <c r="J48" s="248"/>
      <c r="K48" s="249"/>
      <c r="L48" s="247" t="s">
        <v>16</v>
      </c>
      <c r="M48" s="248"/>
      <c r="N48" s="248"/>
      <c r="O48" s="248"/>
      <c r="P48" s="248"/>
      <c r="Q48" s="248"/>
      <c r="R48" s="249"/>
      <c r="S48" s="300" t="s">
        <v>78</v>
      </c>
      <c r="T48" s="301"/>
      <c r="U48" s="301"/>
      <c r="V48" s="301"/>
      <c r="W48" s="301"/>
      <c r="X48" s="301"/>
      <c r="Y48" s="301"/>
      <c r="Z48" s="301"/>
      <c r="AA48" s="301"/>
      <c r="AB48" s="302"/>
      <c r="AC48" s="303" t="s">
        <v>123</v>
      </c>
      <c r="AD48" s="248"/>
      <c r="AE48" s="248"/>
      <c r="AF48" s="248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9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9"/>
      <c r="BI48" s="9"/>
      <c r="BJ48" s="9"/>
      <c r="BK48" s="17"/>
    </row>
    <row r="49" spans="1:63" s="18" customFormat="1" ht="15" customHeight="1" x14ac:dyDescent="0.25">
      <c r="A49" s="13"/>
      <c r="B49" s="21"/>
      <c r="C49" s="247">
        <f t="shared" ref="C49:C56" si="0">C48+1</f>
        <v>4</v>
      </c>
      <c r="D49" s="249"/>
      <c r="E49" s="247" t="s">
        <v>36</v>
      </c>
      <c r="F49" s="248"/>
      <c r="G49" s="248"/>
      <c r="H49" s="248"/>
      <c r="I49" s="248"/>
      <c r="J49" s="248"/>
      <c r="K49" s="249"/>
      <c r="L49" s="247" t="s">
        <v>16</v>
      </c>
      <c r="M49" s="248"/>
      <c r="N49" s="248"/>
      <c r="O49" s="248"/>
      <c r="P49" s="248"/>
      <c r="Q49" s="248"/>
      <c r="R49" s="249"/>
      <c r="S49" s="297" t="s">
        <v>71</v>
      </c>
      <c r="T49" s="298"/>
      <c r="U49" s="298"/>
      <c r="V49" s="298"/>
      <c r="W49" s="298"/>
      <c r="X49" s="298"/>
      <c r="Y49" s="298"/>
      <c r="Z49" s="298"/>
      <c r="AA49" s="298"/>
      <c r="AB49" s="299"/>
      <c r="AC49" s="247" t="s">
        <v>30</v>
      </c>
      <c r="AD49" s="248"/>
      <c r="AE49" s="248"/>
      <c r="AF49" s="248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9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9"/>
      <c r="BI49" s="9"/>
      <c r="BJ49" s="9"/>
      <c r="BK49" s="17"/>
    </row>
    <row r="50" spans="1:63" s="18" customFormat="1" ht="15" customHeight="1" x14ac:dyDescent="0.25">
      <c r="A50" s="13"/>
      <c r="B50" s="21"/>
      <c r="C50" s="247">
        <f t="shared" si="0"/>
        <v>5</v>
      </c>
      <c r="D50" s="249"/>
      <c r="E50" s="247" t="s">
        <v>35</v>
      </c>
      <c r="F50" s="248"/>
      <c r="G50" s="248"/>
      <c r="H50" s="248"/>
      <c r="I50" s="248"/>
      <c r="J50" s="248"/>
      <c r="K50" s="249"/>
      <c r="L50" s="247" t="s">
        <v>16</v>
      </c>
      <c r="M50" s="248"/>
      <c r="N50" s="248"/>
      <c r="O50" s="248"/>
      <c r="P50" s="248"/>
      <c r="Q50" s="248"/>
      <c r="R50" s="249"/>
      <c r="S50" s="297" t="s">
        <v>72</v>
      </c>
      <c r="T50" s="298"/>
      <c r="U50" s="298"/>
      <c r="V50" s="298"/>
      <c r="W50" s="298"/>
      <c r="X50" s="298"/>
      <c r="Y50" s="298"/>
      <c r="Z50" s="298"/>
      <c r="AA50" s="298"/>
      <c r="AB50" s="299"/>
      <c r="AC50" s="247" t="s">
        <v>28</v>
      </c>
      <c r="AD50" s="248"/>
      <c r="AE50" s="248"/>
      <c r="AF50" s="248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9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9"/>
      <c r="BI50" s="9"/>
      <c r="BJ50" s="9"/>
      <c r="BK50" s="17"/>
    </row>
    <row r="51" spans="1:63" s="18" customFormat="1" ht="67.5" customHeight="1" x14ac:dyDescent="0.25">
      <c r="A51" s="13"/>
      <c r="B51" s="21"/>
      <c r="C51" s="247">
        <f t="shared" si="0"/>
        <v>6</v>
      </c>
      <c r="D51" s="249"/>
      <c r="E51" s="247" t="s">
        <v>27</v>
      </c>
      <c r="F51" s="248"/>
      <c r="G51" s="248"/>
      <c r="H51" s="248"/>
      <c r="I51" s="248"/>
      <c r="J51" s="248"/>
      <c r="K51" s="249"/>
      <c r="L51" s="247" t="s">
        <v>124</v>
      </c>
      <c r="M51" s="248"/>
      <c r="N51" s="248"/>
      <c r="O51" s="248"/>
      <c r="P51" s="248"/>
      <c r="Q51" s="248"/>
      <c r="R51" s="249"/>
      <c r="S51" s="304" t="s">
        <v>125</v>
      </c>
      <c r="T51" s="305"/>
      <c r="U51" s="305"/>
      <c r="V51" s="305"/>
      <c r="W51" s="305"/>
      <c r="X51" s="305"/>
      <c r="Y51" s="305"/>
      <c r="Z51" s="305"/>
      <c r="AA51" s="305"/>
      <c r="AB51" s="306"/>
      <c r="AC51" s="303" t="s">
        <v>126</v>
      </c>
      <c r="AD51" s="248"/>
      <c r="AE51" s="248"/>
      <c r="AF51" s="248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9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9"/>
      <c r="BI51" s="9"/>
      <c r="BJ51" s="9"/>
      <c r="BK51" s="17"/>
    </row>
    <row r="52" spans="1:63" s="18" customFormat="1" ht="15" customHeight="1" x14ac:dyDescent="0.25">
      <c r="A52" s="13"/>
      <c r="B52" s="21"/>
      <c r="C52" s="247">
        <f t="shared" si="0"/>
        <v>7</v>
      </c>
      <c r="D52" s="249"/>
      <c r="E52" s="247" t="s">
        <v>33</v>
      </c>
      <c r="F52" s="248"/>
      <c r="G52" s="248"/>
      <c r="H52" s="248"/>
      <c r="I52" s="248"/>
      <c r="J52" s="248"/>
      <c r="K52" s="249"/>
      <c r="L52" s="247" t="s">
        <v>68</v>
      </c>
      <c r="M52" s="248"/>
      <c r="N52" s="248"/>
      <c r="O52" s="248"/>
      <c r="P52" s="248"/>
      <c r="Q52" s="248"/>
      <c r="R52" s="249"/>
      <c r="S52" s="297" t="s">
        <v>73</v>
      </c>
      <c r="T52" s="298"/>
      <c r="U52" s="298"/>
      <c r="V52" s="298"/>
      <c r="W52" s="298"/>
      <c r="X52" s="298"/>
      <c r="Y52" s="298"/>
      <c r="Z52" s="298"/>
      <c r="AA52" s="298"/>
      <c r="AB52" s="299"/>
      <c r="AC52" s="247" t="s">
        <v>127</v>
      </c>
      <c r="AD52" s="248"/>
      <c r="AE52" s="248"/>
      <c r="AF52" s="248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9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9"/>
      <c r="BI52" s="9"/>
      <c r="BJ52" s="9"/>
      <c r="BK52" s="17"/>
    </row>
    <row r="53" spans="1:63" s="18" customFormat="1" ht="15" customHeight="1" x14ac:dyDescent="0.25">
      <c r="A53" s="13"/>
      <c r="B53" s="21"/>
      <c r="C53" s="247">
        <f t="shared" si="0"/>
        <v>8</v>
      </c>
      <c r="D53" s="249"/>
      <c r="E53" s="247" t="s">
        <v>31</v>
      </c>
      <c r="F53" s="248"/>
      <c r="G53" s="248"/>
      <c r="H53" s="248"/>
      <c r="I53" s="248"/>
      <c r="J53" s="248"/>
      <c r="K53" s="249"/>
      <c r="L53" s="247" t="s">
        <v>68</v>
      </c>
      <c r="M53" s="248"/>
      <c r="N53" s="248"/>
      <c r="O53" s="248"/>
      <c r="P53" s="248"/>
      <c r="Q53" s="248"/>
      <c r="R53" s="249"/>
      <c r="S53" s="297" t="s">
        <v>74</v>
      </c>
      <c r="T53" s="298"/>
      <c r="U53" s="298"/>
      <c r="V53" s="298"/>
      <c r="W53" s="298"/>
      <c r="X53" s="298"/>
      <c r="Y53" s="298"/>
      <c r="Z53" s="298"/>
      <c r="AA53" s="298"/>
      <c r="AB53" s="299"/>
      <c r="AC53" s="247" t="s">
        <v>128</v>
      </c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9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9"/>
      <c r="BI53" s="9"/>
      <c r="BJ53" s="9"/>
      <c r="BK53" s="17"/>
    </row>
    <row r="54" spans="1:63" s="51" customFormat="1" ht="15" customHeight="1" x14ac:dyDescent="0.25">
      <c r="A54" s="47"/>
      <c r="B54" s="48"/>
      <c r="C54" s="247">
        <f t="shared" si="0"/>
        <v>9</v>
      </c>
      <c r="D54" s="249"/>
      <c r="E54" s="247" t="s">
        <v>56</v>
      </c>
      <c r="F54" s="248"/>
      <c r="G54" s="248"/>
      <c r="H54" s="248"/>
      <c r="I54" s="248"/>
      <c r="J54" s="248"/>
      <c r="K54" s="249"/>
      <c r="L54" s="247" t="s">
        <v>124</v>
      </c>
      <c r="M54" s="248"/>
      <c r="N54" s="248"/>
      <c r="O54" s="248"/>
      <c r="P54" s="248"/>
      <c r="Q54" s="248"/>
      <c r="R54" s="249"/>
      <c r="S54" s="297" t="s">
        <v>75</v>
      </c>
      <c r="T54" s="298"/>
      <c r="U54" s="298"/>
      <c r="V54" s="298"/>
      <c r="W54" s="298"/>
      <c r="X54" s="298"/>
      <c r="Y54" s="298"/>
      <c r="Z54" s="298"/>
      <c r="AA54" s="298"/>
      <c r="AB54" s="299"/>
      <c r="AC54" s="247" t="s">
        <v>58</v>
      </c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9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9"/>
      <c r="BI54" s="49"/>
      <c r="BJ54" s="49"/>
      <c r="BK54" s="50"/>
    </row>
    <row r="55" spans="1:63" s="45" customFormat="1" ht="36.75" customHeight="1" x14ac:dyDescent="0.25">
      <c r="A55" s="41"/>
      <c r="B55" s="42"/>
      <c r="C55" s="247">
        <f t="shared" si="0"/>
        <v>10</v>
      </c>
      <c r="D55" s="249"/>
      <c r="E55" s="247" t="s">
        <v>57</v>
      </c>
      <c r="F55" s="248"/>
      <c r="G55" s="248"/>
      <c r="H55" s="248"/>
      <c r="I55" s="248"/>
      <c r="J55" s="248"/>
      <c r="K55" s="249"/>
      <c r="L55" s="247" t="s">
        <v>124</v>
      </c>
      <c r="M55" s="248"/>
      <c r="N55" s="248"/>
      <c r="O55" s="248"/>
      <c r="P55" s="248"/>
      <c r="Q55" s="248"/>
      <c r="R55" s="249"/>
      <c r="S55" s="300" t="s">
        <v>129</v>
      </c>
      <c r="T55" s="298"/>
      <c r="U55" s="298"/>
      <c r="V55" s="298"/>
      <c r="W55" s="298"/>
      <c r="X55" s="298"/>
      <c r="Y55" s="298"/>
      <c r="Z55" s="298"/>
      <c r="AA55" s="298"/>
      <c r="AB55" s="299"/>
      <c r="AC55" s="247" t="s">
        <v>59</v>
      </c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9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3"/>
      <c r="BI55" s="43"/>
      <c r="BJ55" s="43"/>
      <c r="BK55" s="44"/>
    </row>
    <row r="56" spans="1:63" s="18" customFormat="1" ht="34.5" customHeight="1" x14ac:dyDescent="0.25">
      <c r="A56" s="13"/>
      <c r="B56" s="21"/>
      <c r="C56" s="247">
        <f t="shared" si="0"/>
        <v>11</v>
      </c>
      <c r="D56" s="249"/>
      <c r="E56" s="247" t="s">
        <v>67</v>
      </c>
      <c r="F56" s="248"/>
      <c r="G56" s="248"/>
      <c r="H56" s="248"/>
      <c r="I56" s="248"/>
      <c r="J56" s="248"/>
      <c r="K56" s="249"/>
      <c r="L56" s="247" t="s">
        <v>32</v>
      </c>
      <c r="M56" s="248"/>
      <c r="N56" s="248"/>
      <c r="O56" s="248"/>
      <c r="P56" s="248"/>
      <c r="Q56" s="248"/>
      <c r="R56" s="249"/>
      <c r="S56" s="297" t="s">
        <v>6</v>
      </c>
      <c r="T56" s="298"/>
      <c r="U56" s="298"/>
      <c r="V56" s="298"/>
      <c r="W56" s="298"/>
      <c r="X56" s="298"/>
      <c r="Y56" s="298"/>
      <c r="Z56" s="298"/>
      <c r="AA56" s="298"/>
      <c r="AB56" s="299"/>
      <c r="AC56" s="303" t="s">
        <v>130</v>
      </c>
      <c r="AD56" s="248"/>
      <c r="AE56" s="248"/>
      <c r="AF56" s="248"/>
      <c r="AG56" s="248"/>
      <c r="AH56" s="248"/>
      <c r="AI56" s="248"/>
      <c r="AJ56" s="248"/>
      <c r="AK56" s="248"/>
      <c r="AL56" s="248"/>
      <c r="AM56" s="248"/>
      <c r="AN56" s="248"/>
      <c r="AO56" s="248"/>
      <c r="AP56" s="248"/>
      <c r="AQ56" s="248"/>
      <c r="AR56" s="248"/>
      <c r="AS56" s="248"/>
      <c r="AT56" s="248"/>
      <c r="AU56" s="249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9"/>
      <c r="BI56" s="9"/>
      <c r="BJ56" s="9"/>
      <c r="BK56" s="17"/>
    </row>
    <row r="57" spans="1:63" s="18" customFormat="1" ht="15" customHeight="1" x14ac:dyDescent="0.25">
      <c r="A57" s="13"/>
      <c r="B57" s="21"/>
      <c r="C57" s="23" t="s">
        <v>131</v>
      </c>
      <c r="D57" s="21"/>
      <c r="E57" s="243"/>
      <c r="F57" s="21"/>
      <c r="G57" s="243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9"/>
      <c r="BI57" s="9"/>
      <c r="BJ57" s="9"/>
      <c r="BK57" s="17"/>
    </row>
    <row r="58" spans="1:63" s="18" customFormat="1" ht="15" customHeight="1" x14ac:dyDescent="0.25">
      <c r="A58" s="13"/>
      <c r="B58" s="21"/>
      <c r="C58" s="23"/>
      <c r="D58" s="243"/>
      <c r="E58" s="243"/>
      <c r="F58" s="21"/>
      <c r="G58" s="243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9"/>
      <c r="BI58" s="9"/>
      <c r="BJ58" s="9"/>
      <c r="BK58" s="17"/>
    </row>
    <row r="59" spans="1:63" s="18" customFormat="1" ht="15" customHeight="1" x14ac:dyDescent="0.25">
      <c r="A59" s="13"/>
      <c r="B59" s="21"/>
      <c r="C59" s="307" t="s">
        <v>43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24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9"/>
      <c r="BI59" s="9"/>
      <c r="BJ59" s="9"/>
      <c r="BK59" s="17"/>
    </row>
    <row r="60" spans="1:63" s="18" customFormat="1" ht="15" customHeight="1" x14ac:dyDescent="0.25">
      <c r="A60" s="13"/>
      <c r="B60" s="21"/>
      <c r="C60" s="308" t="s">
        <v>44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5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9"/>
      <c r="BI60" s="9"/>
      <c r="BJ60" s="9"/>
      <c r="BK60" s="17"/>
    </row>
    <row r="61" spans="1:63" s="18" customFormat="1" ht="15" customHeight="1" x14ac:dyDescent="0.25">
      <c r="A61" s="13"/>
      <c r="B61" s="21"/>
      <c r="C61" s="308" t="s">
        <v>45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5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9"/>
      <c r="BI61" s="9"/>
      <c r="BJ61" s="9"/>
      <c r="BK61" s="17"/>
    </row>
    <row r="62" spans="1:63" s="18" customFormat="1" ht="15" customHeight="1" x14ac:dyDescent="0.25">
      <c r="A62" s="13"/>
      <c r="B62" s="21"/>
      <c r="C62" s="308" t="s">
        <v>46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5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9"/>
      <c r="BI62" s="9"/>
      <c r="BJ62" s="9"/>
      <c r="BK62" s="17"/>
    </row>
    <row r="63" spans="1:63" s="18" customFormat="1" ht="15" customHeight="1" x14ac:dyDescent="0.25">
      <c r="A63" s="13"/>
      <c r="B63" s="21"/>
      <c r="C63" s="308" t="s">
        <v>132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5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9"/>
      <c r="BI63" s="9"/>
      <c r="BJ63" s="9"/>
      <c r="BK63" s="17"/>
    </row>
    <row r="64" spans="1:63" s="18" customFormat="1" ht="15" customHeight="1" x14ac:dyDescent="0.25">
      <c r="A64" s="13"/>
      <c r="B64" s="21"/>
      <c r="C64" s="308" t="s">
        <v>48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5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9"/>
      <c r="BI64" s="9"/>
      <c r="BJ64" s="9"/>
      <c r="BK64" s="17"/>
    </row>
    <row r="65" spans="1:63" s="18" customFormat="1" ht="15" customHeight="1" x14ac:dyDescent="0.25">
      <c r="A65" s="13"/>
      <c r="B65" s="21"/>
      <c r="C65" s="308" t="s">
        <v>60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5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9"/>
      <c r="BI65" s="9"/>
      <c r="BJ65" s="9"/>
      <c r="BK65" s="17"/>
    </row>
    <row r="66" spans="1:63" s="18" customFormat="1" ht="15" customHeight="1" x14ac:dyDescent="0.25">
      <c r="A66" s="13"/>
      <c r="B66" s="21"/>
      <c r="C66" s="308" t="s">
        <v>133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5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9"/>
      <c r="BI66" s="9"/>
      <c r="BJ66" s="9"/>
      <c r="BK66" s="17"/>
    </row>
    <row r="67" spans="1:63" s="18" customFormat="1" ht="15" customHeight="1" x14ac:dyDescent="0.25">
      <c r="A67" s="13"/>
      <c r="B67" s="21"/>
      <c r="C67" s="308" t="s">
        <v>134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5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9"/>
      <c r="BI67" s="9"/>
      <c r="BJ67" s="9"/>
      <c r="BK67" s="17"/>
    </row>
    <row r="68" spans="1:63" s="18" customFormat="1" ht="15" customHeight="1" x14ac:dyDescent="0.25">
      <c r="A68" s="13"/>
      <c r="B68" s="21"/>
      <c r="C68" s="308" t="s">
        <v>135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5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9"/>
      <c r="BI68" s="9"/>
      <c r="BJ68" s="9"/>
      <c r="BK68" s="17"/>
    </row>
    <row r="69" spans="1:63" s="45" customFormat="1" ht="15" customHeight="1" x14ac:dyDescent="0.25">
      <c r="A69" s="41"/>
      <c r="B69" s="42"/>
      <c r="C69" s="308" t="s">
        <v>136</v>
      </c>
      <c r="D69" s="5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6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3"/>
      <c r="BI69" s="43"/>
      <c r="BJ69" s="43"/>
      <c r="BK69" s="44"/>
    </row>
    <row r="70" spans="1:63" s="45" customFormat="1" ht="15" customHeight="1" x14ac:dyDescent="0.25">
      <c r="A70" s="41"/>
      <c r="B70" s="42"/>
      <c r="C70" s="308" t="s">
        <v>137</v>
      </c>
      <c r="D70" s="5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6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3"/>
      <c r="BI70" s="43"/>
      <c r="BJ70" s="43"/>
      <c r="BK70" s="44"/>
    </row>
    <row r="71" spans="1:63" s="18" customFormat="1" ht="15" customHeight="1" x14ac:dyDescent="0.25">
      <c r="A71" s="13"/>
      <c r="B71" s="21"/>
      <c r="C71" s="309" t="s">
        <v>47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26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9"/>
      <c r="BI71" s="9"/>
      <c r="BJ71" s="9"/>
      <c r="BK71" s="17"/>
    </row>
    <row r="72" spans="1:63" s="18" customFormat="1" ht="15" customHeight="1" x14ac:dyDescent="0.25">
      <c r="A72" s="13"/>
      <c r="B72" s="21"/>
      <c r="C72" s="21"/>
      <c r="D72" s="243"/>
      <c r="E72" s="243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9"/>
      <c r="BI72" s="9"/>
      <c r="BJ72" s="9"/>
      <c r="BK72" s="17"/>
    </row>
    <row r="73" spans="1:63" s="18" customFormat="1" ht="15" customHeight="1" x14ac:dyDescent="0.25">
      <c r="A73" s="13"/>
      <c r="B73" s="21"/>
      <c r="C73" s="19" t="s">
        <v>138</v>
      </c>
      <c r="D73" s="21"/>
      <c r="E73" s="243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9"/>
      <c r="BI73" s="9"/>
      <c r="BJ73" s="9"/>
      <c r="BK73" s="17"/>
    </row>
    <row r="74" spans="1:63" s="18" customFormat="1" ht="15" customHeight="1" x14ac:dyDescent="0.25">
      <c r="A74" s="13"/>
      <c r="B74" s="21"/>
      <c r="C74" s="19"/>
      <c r="D74" s="21"/>
      <c r="E74" s="243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9"/>
      <c r="BI74" s="9"/>
      <c r="BJ74" s="9"/>
      <c r="BK74" s="17"/>
    </row>
    <row r="75" spans="1:63" s="18" customFormat="1" ht="15" customHeight="1" x14ac:dyDescent="0.25">
      <c r="A75" s="13"/>
      <c r="B75" s="21"/>
      <c r="C75" s="19" t="s">
        <v>49</v>
      </c>
      <c r="D75" s="21"/>
      <c r="E75" s="243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9"/>
      <c r="BI75" s="9"/>
      <c r="BJ75" s="9"/>
      <c r="BK75" s="17"/>
    </row>
    <row r="76" spans="1:63" s="40" customFormat="1" ht="15" customHeight="1" x14ac:dyDescent="0.25">
      <c r="A76" s="35"/>
      <c r="B76" s="36"/>
      <c r="C76" s="36"/>
      <c r="D76" s="36"/>
      <c r="E76" s="37"/>
      <c r="F76" s="37"/>
      <c r="G76" s="37"/>
      <c r="H76" s="37"/>
      <c r="I76" s="37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8"/>
      <c r="BI76" s="38"/>
      <c r="BJ76" s="38"/>
      <c r="BK76" s="39"/>
    </row>
  </sheetData>
  <mergeCells count="172">
    <mergeCell ref="AC52:AU52"/>
    <mergeCell ref="S33:Y33"/>
    <mergeCell ref="S26:Y26"/>
    <mergeCell ref="S50:AB50"/>
    <mergeCell ref="C37:D37"/>
    <mergeCell ref="E37:K37"/>
    <mergeCell ref="E16:AF16"/>
    <mergeCell ref="A4:G4"/>
    <mergeCell ref="H4:T4"/>
    <mergeCell ref="U4:Y4"/>
    <mergeCell ref="Z4:AO4"/>
    <mergeCell ref="AQ16:BJ16"/>
    <mergeCell ref="L22:N22"/>
    <mergeCell ref="L23:N25"/>
    <mergeCell ref="AC46:AU46"/>
    <mergeCell ref="AC47:AU47"/>
    <mergeCell ref="AC48:AU48"/>
    <mergeCell ref="L34:N34"/>
    <mergeCell ref="O34:R34"/>
    <mergeCell ref="Z34:AP34"/>
    <mergeCell ref="L37:N37"/>
    <mergeCell ref="O37:R37"/>
    <mergeCell ref="S37:Y37"/>
    <mergeCell ref="Z37:AP37"/>
    <mergeCell ref="BH1:BK1"/>
    <mergeCell ref="AG15:AP15"/>
    <mergeCell ref="AQ15:BJ15"/>
    <mergeCell ref="C56:D56"/>
    <mergeCell ref="E56:K56"/>
    <mergeCell ref="L56:R56"/>
    <mergeCell ref="S56:AB56"/>
    <mergeCell ref="AC56:AU56"/>
    <mergeCell ref="AQ26:BJ26"/>
    <mergeCell ref="C15:D15"/>
    <mergeCell ref="C16:D16"/>
    <mergeCell ref="E15:AF15"/>
    <mergeCell ref="C26:D26"/>
    <mergeCell ref="E26:K26"/>
    <mergeCell ref="AQ27:BJ27"/>
    <mergeCell ref="C53:D53"/>
    <mergeCell ref="E53:K53"/>
    <mergeCell ref="L53:R53"/>
    <mergeCell ref="S53:AB53"/>
    <mergeCell ref="AC53:AU53"/>
    <mergeCell ref="S20:Y20"/>
    <mergeCell ref="Z20:AP20"/>
    <mergeCell ref="S23:Y25"/>
    <mergeCell ref="S21:Y21"/>
    <mergeCell ref="BC1:BG1"/>
    <mergeCell ref="AQ22:BJ22"/>
    <mergeCell ref="AQ21:BJ21"/>
    <mergeCell ref="AQ23:BJ25"/>
    <mergeCell ref="AQ20:BJ20"/>
    <mergeCell ref="C21:D21"/>
    <mergeCell ref="S22:Y22"/>
    <mergeCell ref="O20:R20"/>
    <mergeCell ref="L20:N20"/>
    <mergeCell ref="Z21:AP21"/>
    <mergeCell ref="C22:D22"/>
    <mergeCell ref="A1:J1"/>
    <mergeCell ref="K1:V1"/>
    <mergeCell ref="AG16:AP16"/>
    <mergeCell ref="A2:J3"/>
    <mergeCell ref="K2:V3"/>
    <mergeCell ref="AP2:AS3"/>
    <mergeCell ref="AT2:AX3"/>
    <mergeCell ref="AY2:BB3"/>
    <mergeCell ref="BC2:BG3"/>
    <mergeCell ref="BH2:BK3"/>
    <mergeCell ref="AP4:BK4"/>
    <mergeCell ref="W1:AO3"/>
    <mergeCell ref="AP1:AS1"/>
    <mergeCell ref="AT1:AX1"/>
    <mergeCell ref="AY1:BB1"/>
    <mergeCell ref="E20:K20"/>
    <mergeCell ref="C20:D20"/>
    <mergeCell ref="Z33:AP33"/>
    <mergeCell ref="E27:K27"/>
    <mergeCell ref="C27:D27"/>
    <mergeCell ref="Z26:AP26"/>
    <mergeCell ref="O21:R21"/>
    <mergeCell ref="O22:R22"/>
    <mergeCell ref="O26:R26"/>
    <mergeCell ref="O27:R27"/>
    <mergeCell ref="O23:R25"/>
    <mergeCell ref="L21:N21"/>
    <mergeCell ref="L26:N26"/>
    <mergeCell ref="L27:N27"/>
    <mergeCell ref="S27:Y27"/>
    <mergeCell ref="Z27:AP27"/>
    <mergeCell ref="E21:K21"/>
    <mergeCell ref="Z32:AP32"/>
    <mergeCell ref="AQ37:BJ37"/>
    <mergeCell ref="AC49:AU49"/>
    <mergeCell ref="E22:K22"/>
    <mergeCell ref="C23:D25"/>
    <mergeCell ref="E23:K25"/>
    <mergeCell ref="C45:D45"/>
    <mergeCell ref="E45:K45"/>
    <mergeCell ref="AC45:AU45"/>
    <mergeCell ref="C46:D46"/>
    <mergeCell ref="C47:D47"/>
    <mergeCell ref="C48:D48"/>
    <mergeCell ref="E34:K34"/>
    <mergeCell ref="S45:AB45"/>
    <mergeCell ref="S46:AB46"/>
    <mergeCell ref="S47:AB47"/>
    <mergeCell ref="S48:AB48"/>
    <mergeCell ref="S49:AB49"/>
    <mergeCell ref="E49:K49"/>
    <mergeCell ref="S36:Y36"/>
    <mergeCell ref="AQ32:BJ32"/>
    <mergeCell ref="Z23:AP25"/>
    <mergeCell ref="Z22:AP22"/>
    <mergeCell ref="S34:Y34"/>
    <mergeCell ref="S32:Y32"/>
    <mergeCell ref="E51:K51"/>
    <mergeCell ref="L48:R48"/>
    <mergeCell ref="L49:R49"/>
    <mergeCell ref="C32:D32"/>
    <mergeCell ref="E32:K32"/>
    <mergeCell ref="E50:K50"/>
    <mergeCell ref="L50:R50"/>
    <mergeCell ref="L45:R45"/>
    <mergeCell ref="L46:R46"/>
    <mergeCell ref="L47:R47"/>
    <mergeCell ref="C49:D49"/>
    <mergeCell ref="C50:D50"/>
    <mergeCell ref="C36:D36"/>
    <mergeCell ref="E36:K36"/>
    <mergeCell ref="L36:N36"/>
    <mergeCell ref="O36:R36"/>
    <mergeCell ref="C33:D33"/>
    <mergeCell ref="E33:K33"/>
    <mergeCell ref="L33:N33"/>
    <mergeCell ref="O33:R33"/>
    <mergeCell ref="L32:N32"/>
    <mergeCell ref="O32:R32"/>
    <mergeCell ref="AC50:AU50"/>
    <mergeCell ref="AC51:AU51"/>
    <mergeCell ref="C51:D51"/>
    <mergeCell ref="C52:D52"/>
    <mergeCell ref="E52:K52"/>
    <mergeCell ref="L52:R52"/>
    <mergeCell ref="S52:AB52"/>
    <mergeCell ref="AQ33:BJ33"/>
    <mergeCell ref="Z36:AP36"/>
    <mergeCell ref="AQ36:BJ36"/>
    <mergeCell ref="C35:D35"/>
    <mergeCell ref="E35:K35"/>
    <mergeCell ref="L35:N35"/>
    <mergeCell ref="O35:R35"/>
    <mergeCell ref="S35:Y35"/>
    <mergeCell ref="Z35:AP35"/>
    <mergeCell ref="AQ35:BJ35"/>
    <mergeCell ref="C34:D34"/>
    <mergeCell ref="AQ34:BJ34"/>
    <mergeCell ref="S51:AB51"/>
    <mergeCell ref="E46:K46"/>
    <mergeCell ref="E47:K47"/>
    <mergeCell ref="E48:K48"/>
    <mergeCell ref="L51:R51"/>
    <mergeCell ref="C54:D54"/>
    <mergeCell ref="E54:K54"/>
    <mergeCell ref="L54:R54"/>
    <mergeCell ref="S54:AB54"/>
    <mergeCell ref="AC54:AU54"/>
    <mergeCell ref="C55:D55"/>
    <mergeCell ref="E55:K55"/>
    <mergeCell ref="L55:R55"/>
    <mergeCell ref="S55:AB55"/>
    <mergeCell ref="AC55:AU5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9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3" t="s">
        <v>81</v>
      </c>
      <c r="B1" s="224"/>
      <c r="C1" s="224"/>
      <c r="D1" s="224"/>
      <c r="E1" s="224"/>
      <c r="F1" s="224"/>
      <c r="G1" s="224"/>
      <c r="H1" s="224"/>
      <c r="I1" s="224"/>
      <c r="J1" s="225"/>
      <c r="K1" s="223" t="s">
        <v>82</v>
      </c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5"/>
      <c r="W1" s="226" t="str">
        <f>IF(表紙!W1="","",表紙!W1)</f>
        <v>詳細設計書</v>
      </c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8"/>
      <c r="AP1" s="139" t="s">
        <v>84</v>
      </c>
      <c r="AQ1" s="140"/>
      <c r="AR1" s="140"/>
      <c r="AS1" s="141"/>
      <c r="AT1" s="139" t="s">
        <v>85</v>
      </c>
      <c r="AU1" s="140"/>
      <c r="AV1" s="140"/>
      <c r="AW1" s="140"/>
      <c r="AX1" s="141"/>
      <c r="AY1" s="139" t="s">
        <v>86</v>
      </c>
      <c r="AZ1" s="140"/>
      <c r="BA1" s="140"/>
      <c r="BB1" s="141"/>
      <c r="BC1" s="139" t="s">
        <v>87</v>
      </c>
      <c r="BD1" s="140"/>
      <c r="BE1" s="140"/>
      <c r="BF1" s="140"/>
      <c r="BG1" s="141"/>
      <c r="BH1" s="139" t="s">
        <v>88</v>
      </c>
      <c r="BI1" s="140"/>
      <c r="BJ1" s="140"/>
      <c r="BK1" s="141"/>
    </row>
    <row r="2" spans="1:63" ht="15" customHeight="1" x14ac:dyDescent="0.25">
      <c r="A2" s="99" t="str">
        <f>IF(表紙!A2="","",表紙!A2)</f>
        <v>POSサーバー</v>
      </c>
      <c r="B2" s="100"/>
      <c r="C2" s="100"/>
      <c r="D2" s="100"/>
      <c r="E2" s="100"/>
      <c r="F2" s="100"/>
      <c r="G2" s="100"/>
      <c r="H2" s="100"/>
      <c r="I2" s="100"/>
      <c r="J2" s="101"/>
      <c r="K2" s="99" t="str">
        <f>IF(表紙!K2="","",表紙!K2)</f>
        <v>POSサーバー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  <c r="W2" s="229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1"/>
      <c r="AP2" s="148" t="str">
        <f>IF(表紙!AP2="","",表紙!AP2)</f>
        <v>DuNT</v>
      </c>
      <c r="AQ2" s="146"/>
      <c r="AR2" s="146"/>
      <c r="AS2" s="147"/>
      <c r="AT2" s="152">
        <f>IF(表紙!AT2="","",表紙!AT2)</f>
        <v>45475</v>
      </c>
      <c r="AU2" s="153"/>
      <c r="AV2" s="153"/>
      <c r="AW2" s="153"/>
      <c r="AX2" s="154"/>
      <c r="AY2" s="148" t="str">
        <f>IF(表紙!AY2="","",表紙!AY2)</f>
        <v>AnhTTP</v>
      </c>
      <c r="AZ2" s="146"/>
      <c r="BA2" s="146"/>
      <c r="BB2" s="147"/>
      <c r="BC2" s="152">
        <f>IF(表紙!BC2="","",表紙!BC2)</f>
        <v>45701</v>
      </c>
      <c r="BD2" s="153"/>
      <c r="BE2" s="153"/>
      <c r="BF2" s="153"/>
      <c r="BG2" s="154"/>
      <c r="BH2" s="148">
        <f>IF(表紙!BH2="","",表紙!BH2)</f>
        <v>0.55000000000000004</v>
      </c>
      <c r="BI2" s="146"/>
      <c r="BJ2" s="146"/>
      <c r="BK2" s="147"/>
    </row>
    <row r="3" spans="1:63" ht="15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4"/>
      <c r="K3" s="10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232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4"/>
      <c r="AP3" s="158"/>
      <c r="AQ3" s="159"/>
      <c r="AR3" s="159"/>
      <c r="AS3" s="160"/>
      <c r="AT3" s="164"/>
      <c r="AU3" s="165"/>
      <c r="AV3" s="165"/>
      <c r="AW3" s="165"/>
      <c r="AX3" s="166"/>
      <c r="AY3" s="158"/>
      <c r="AZ3" s="159"/>
      <c r="BA3" s="159"/>
      <c r="BB3" s="160"/>
      <c r="BC3" s="164"/>
      <c r="BD3" s="165"/>
      <c r="BE3" s="165"/>
      <c r="BF3" s="165"/>
      <c r="BG3" s="166"/>
      <c r="BH3" s="158"/>
      <c r="BI3" s="159"/>
      <c r="BJ3" s="159"/>
      <c r="BK3" s="160"/>
    </row>
    <row r="4" spans="1:63" ht="24.95" customHeight="1" x14ac:dyDescent="0.25">
      <c r="A4" s="223" t="s">
        <v>90</v>
      </c>
      <c r="B4" s="224"/>
      <c r="C4" s="224"/>
      <c r="D4" s="224"/>
      <c r="E4" s="224"/>
      <c r="F4" s="224"/>
      <c r="G4" s="225"/>
      <c r="H4" s="105" t="str">
        <f>IF(表紙!H4="","",表紙!H4)</f>
        <v>AP1506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223" t="s">
        <v>91</v>
      </c>
      <c r="V4" s="224"/>
      <c r="W4" s="224"/>
      <c r="X4" s="224"/>
      <c r="Y4" s="225"/>
      <c r="Z4" s="105" t="str">
        <f>IF(表紙!Z4="","",表紙!Z4)</f>
        <v>API設計書</v>
      </c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08" t="str">
        <f ca="1">MID(CELL("filename",A1),FIND("]",CELL("filename",A1))+1,255)</f>
        <v>処理フロー</v>
      </c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41" customFormat="1" ht="15" customHeight="1" x14ac:dyDescent="0.25">
      <c r="B7" s="10"/>
      <c r="C7" s="9"/>
      <c r="D7" s="9"/>
      <c r="E7" s="9"/>
      <c r="F7" s="9"/>
      <c r="G7" s="9"/>
      <c r="AI7" s="310"/>
      <c r="BJ7" s="310"/>
      <c r="BK7" s="240"/>
    </row>
    <row r="8" spans="1:63" s="241" customFormat="1" ht="15" customHeight="1" x14ac:dyDescent="0.25">
      <c r="B8" s="10"/>
      <c r="C8" s="9"/>
      <c r="D8" s="9"/>
      <c r="E8" s="9"/>
      <c r="F8" s="9"/>
      <c r="G8" s="9"/>
      <c r="AI8" s="310"/>
      <c r="BJ8" s="310"/>
      <c r="BK8" s="240"/>
    </row>
    <row r="9" spans="1:63" s="241" customFormat="1" ht="15" customHeight="1" x14ac:dyDescent="0.25">
      <c r="B9" s="10"/>
      <c r="C9" s="9"/>
      <c r="D9" s="9"/>
      <c r="E9" s="9"/>
      <c r="F9" s="9"/>
      <c r="G9" s="9"/>
      <c r="AI9" s="310"/>
      <c r="BJ9" s="310"/>
      <c r="BK9" s="240"/>
    </row>
    <row r="10" spans="1:63" s="241" customFormat="1" ht="15" customHeight="1" x14ac:dyDescent="0.25">
      <c r="B10" s="10"/>
      <c r="C10" s="9"/>
      <c r="D10" s="9"/>
      <c r="E10" s="9"/>
      <c r="F10" s="9"/>
      <c r="G10" s="9"/>
      <c r="AI10" s="310"/>
      <c r="BJ10" s="310"/>
      <c r="BK10" s="240"/>
    </row>
    <row r="11" spans="1:63" s="241" customFormat="1" ht="15" customHeight="1" x14ac:dyDescent="0.25">
      <c r="B11" s="10"/>
      <c r="C11" s="9"/>
      <c r="D11" s="9"/>
      <c r="E11" s="9"/>
      <c r="F11" s="9"/>
      <c r="G11" s="9"/>
      <c r="AI11" s="310"/>
      <c r="BJ11" s="310"/>
      <c r="BK11" s="240"/>
    </row>
    <row r="12" spans="1:63" s="241" customFormat="1" ht="15" customHeight="1" x14ac:dyDescent="0.25">
      <c r="B12" s="10"/>
      <c r="C12" s="9"/>
      <c r="D12" s="9"/>
      <c r="E12" s="9"/>
      <c r="F12" s="9"/>
      <c r="G12" s="9"/>
      <c r="AI12" s="310"/>
      <c r="BJ12" s="310"/>
      <c r="BK12" s="240"/>
    </row>
    <row r="13" spans="1:63" s="241" customFormat="1" ht="15" customHeight="1" x14ac:dyDescent="0.25">
      <c r="B13" s="10"/>
      <c r="C13" s="9"/>
      <c r="D13" s="9"/>
      <c r="E13" s="9"/>
      <c r="F13" s="9"/>
      <c r="G13" s="9"/>
      <c r="AI13" s="310"/>
      <c r="BJ13" s="310"/>
      <c r="BK13" s="240"/>
    </row>
    <row r="14" spans="1:63" s="241" customFormat="1" ht="15" customHeight="1" x14ac:dyDescent="0.25">
      <c r="B14" s="311"/>
      <c r="AI14" s="310"/>
      <c r="BJ14" s="310"/>
      <c r="BK14" s="240"/>
    </row>
    <row r="15" spans="1:63" s="241" customFormat="1" ht="15" customHeight="1" x14ac:dyDescent="0.25">
      <c r="B15" s="311"/>
      <c r="AI15" s="310"/>
      <c r="BJ15" s="310"/>
      <c r="BK15" s="240"/>
    </row>
    <row r="16" spans="1:63" s="241" customFormat="1" ht="15" customHeight="1" x14ac:dyDescent="0.25">
      <c r="B16" s="311"/>
      <c r="AI16" s="310"/>
      <c r="BJ16" s="310"/>
      <c r="BK16" s="240"/>
    </row>
    <row r="17" spans="2:63" s="241" customFormat="1" ht="15" customHeight="1" x14ac:dyDescent="0.25">
      <c r="B17" s="311"/>
      <c r="AI17" s="310"/>
      <c r="BJ17" s="310"/>
      <c r="BK17" s="240"/>
    </row>
    <row r="18" spans="2:63" s="241" customFormat="1" ht="15" customHeight="1" x14ac:dyDescent="0.25">
      <c r="B18" s="311"/>
      <c r="AI18" s="310"/>
      <c r="BJ18" s="310"/>
      <c r="BK18" s="240"/>
    </row>
    <row r="19" spans="2:63" s="241" customFormat="1" ht="15" customHeight="1" x14ac:dyDescent="0.25">
      <c r="B19" s="311"/>
      <c r="AI19" s="310"/>
      <c r="BJ19" s="310"/>
      <c r="BK19" s="240"/>
    </row>
    <row r="20" spans="2:63" s="241" customFormat="1" ht="15" customHeight="1" x14ac:dyDescent="0.25">
      <c r="B20" s="311"/>
      <c r="AI20" s="310"/>
      <c r="BJ20" s="310"/>
      <c r="BK20" s="240"/>
    </row>
    <row r="21" spans="2:63" s="241" customFormat="1" ht="15" customHeight="1" x14ac:dyDescent="0.25">
      <c r="B21" s="311"/>
      <c r="AI21" s="310"/>
      <c r="BJ21" s="310"/>
      <c r="BK21" s="240"/>
    </row>
    <row r="22" spans="2:63" s="241" customFormat="1" ht="15" customHeight="1" x14ac:dyDescent="0.25">
      <c r="B22" s="311"/>
      <c r="AI22" s="310"/>
      <c r="BJ22" s="310"/>
      <c r="BK22" s="240"/>
    </row>
    <row r="23" spans="2:63" s="241" customFormat="1" ht="15" customHeight="1" x14ac:dyDescent="0.25">
      <c r="B23" s="311"/>
      <c r="AI23" s="310"/>
      <c r="BJ23" s="310"/>
      <c r="BK23" s="240"/>
    </row>
    <row r="24" spans="2:63" s="241" customFormat="1" ht="15" customHeight="1" x14ac:dyDescent="0.25">
      <c r="B24" s="311"/>
      <c r="AI24" s="310"/>
      <c r="BJ24" s="310"/>
      <c r="BK24" s="240"/>
    </row>
    <row r="25" spans="2:63" s="241" customFormat="1" ht="15" customHeight="1" x14ac:dyDescent="0.25">
      <c r="B25" s="311"/>
      <c r="AI25" s="310"/>
      <c r="BJ25" s="310"/>
      <c r="BK25" s="240"/>
    </row>
    <row r="26" spans="2:63" s="241" customFormat="1" ht="15" customHeight="1" x14ac:dyDescent="0.25">
      <c r="B26" s="311"/>
      <c r="AI26" s="310"/>
      <c r="BJ26" s="310"/>
      <c r="BK26" s="240"/>
    </row>
    <row r="27" spans="2:63" s="241" customFormat="1" ht="15" customHeight="1" x14ac:dyDescent="0.25">
      <c r="B27" s="311"/>
      <c r="AI27" s="310"/>
      <c r="BJ27" s="310"/>
      <c r="BK27" s="240"/>
    </row>
    <row r="28" spans="2:63" s="241" customFormat="1" ht="15" customHeight="1" x14ac:dyDescent="0.25">
      <c r="B28" s="311"/>
      <c r="AI28" s="310"/>
      <c r="BJ28" s="310"/>
      <c r="BK28" s="240"/>
    </row>
    <row r="29" spans="2:63" s="241" customFormat="1" ht="15" customHeight="1" x14ac:dyDescent="0.25">
      <c r="B29" s="311"/>
      <c r="AI29" s="310"/>
      <c r="BJ29" s="310"/>
      <c r="BK29" s="240"/>
    </row>
    <row r="30" spans="2:63" s="241" customFormat="1" ht="15" customHeight="1" x14ac:dyDescent="0.25">
      <c r="B30" s="311"/>
      <c r="AI30" s="310"/>
      <c r="BJ30" s="310"/>
      <c r="BK30" s="240"/>
    </row>
    <row r="31" spans="2:63" s="241" customFormat="1" ht="15" customHeight="1" x14ac:dyDescent="0.25">
      <c r="B31" s="311"/>
      <c r="AI31" s="310"/>
      <c r="BJ31" s="310"/>
      <c r="BK31" s="240"/>
    </row>
    <row r="32" spans="2:63" s="241" customFormat="1" ht="15" customHeight="1" x14ac:dyDescent="0.25">
      <c r="B32" s="311"/>
      <c r="AI32" s="310"/>
      <c r="BJ32" s="310"/>
      <c r="BK32" s="240"/>
    </row>
    <row r="33" spans="2:63" s="241" customFormat="1" ht="15" customHeight="1" x14ac:dyDescent="0.25">
      <c r="B33" s="311"/>
      <c r="AI33" s="310"/>
      <c r="BJ33" s="310"/>
      <c r="BK33" s="240"/>
    </row>
    <row r="34" spans="2:63" s="241" customFormat="1" ht="15" customHeight="1" x14ac:dyDescent="0.25">
      <c r="B34" s="311"/>
      <c r="AI34" s="310"/>
      <c r="BJ34" s="310"/>
      <c r="BK34" s="240"/>
    </row>
    <row r="35" spans="2:63" s="241" customFormat="1" ht="15" customHeight="1" x14ac:dyDescent="0.25">
      <c r="B35" s="311"/>
      <c r="AI35" s="310"/>
      <c r="BJ35" s="310"/>
      <c r="BK35" s="240"/>
    </row>
    <row r="36" spans="2:63" s="241" customFormat="1" ht="15" customHeight="1" x14ac:dyDescent="0.25">
      <c r="B36" s="311"/>
      <c r="AI36" s="310"/>
      <c r="BJ36" s="310"/>
      <c r="BK36" s="240"/>
    </row>
    <row r="37" spans="2:63" s="241" customFormat="1" ht="15" customHeight="1" x14ac:dyDescent="0.25">
      <c r="B37" s="311"/>
      <c r="AI37" s="310"/>
      <c r="BJ37" s="310"/>
      <c r="BK37" s="240"/>
    </row>
    <row r="38" spans="2:63" s="241" customFormat="1" ht="15" customHeight="1" x14ac:dyDescent="0.25">
      <c r="B38" s="311"/>
      <c r="AI38" s="310"/>
      <c r="BJ38" s="310"/>
      <c r="BK38" s="240"/>
    </row>
    <row r="39" spans="2:63" s="241" customFormat="1" ht="15" customHeight="1" x14ac:dyDescent="0.25">
      <c r="B39" s="311"/>
      <c r="AI39" s="310"/>
      <c r="BJ39" s="310"/>
      <c r="BK39" s="240"/>
    </row>
    <row r="40" spans="2:63" s="241" customFormat="1" ht="15" customHeight="1" x14ac:dyDescent="0.25">
      <c r="B40" s="311"/>
      <c r="AI40" s="310"/>
      <c r="BJ40" s="310"/>
      <c r="BK40" s="240"/>
    </row>
    <row r="41" spans="2:63" s="241" customFormat="1" ht="15" customHeight="1" x14ac:dyDescent="0.25">
      <c r="B41" s="311"/>
      <c r="AI41" s="310"/>
      <c r="BJ41" s="310"/>
      <c r="BK41" s="240"/>
    </row>
    <row r="42" spans="2:63" s="241" customFormat="1" ht="15" customHeight="1" x14ac:dyDescent="0.25">
      <c r="B42" s="311"/>
      <c r="AI42" s="310"/>
      <c r="BJ42" s="310"/>
      <c r="BK42" s="240"/>
    </row>
    <row r="43" spans="2:63" s="241" customFormat="1" ht="15" customHeight="1" x14ac:dyDescent="0.25">
      <c r="B43" s="311"/>
      <c r="AI43" s="310"/>
      <c r="BJ43" s="310"/>
      <c r="BK43" s="240"/>
    </row>
    <row r="44" spans="2:63" s="241" customFormat="1" ht="15" customHeight="1" x14ac:dyDescent="0.25">
      <c r="B44" s="311"/>
      <c r="AI44" s="310"/>
      <c r="BJ44" s="310"/>
      <c r="BK44" s="240"/>
    </row>
    <row r="45" spans="2:63" s="241" customFormat="1" ht="15" customHeight="1" x14ac:dyDescent="0.25">
      <c r="B45" s="311"/>
      <c r="AI45" s="310"/>
      <c r="BJ45" s="310"/>
      <c r="BK45" s="240"/>
    </row>
    <row r="46" spans="2:63" s="241" customFormat="1" ht="15" customHeight="1" x14ac:dyDescent="0.25">
      <c r="B46" s="311"/>
      <c r="AI46" s="310"/>
      <c r="BJ46" s="310"/>
      <c r="BK46" s="240"/>
    </row>
    <row r="47" spans="2:63" s="241" customFormat="1" ht="15" customHeight="1" x14ac:dyDescent="0.25">
      <c r="B47" s="311"/>
      <c r="AI47" s="310"/>
      <c r="BJ47" s="310"/>
      <c r="BK47" s="240"/>
    </row>
    <row r="48" spans="2:63" s="241" customFormat="1" ht="15" customHeight="1" x14ac:dyDescent="0.25">
      <c r="B48" s="311"/>
      <c r="AI48" s="310"/>
      <c r="BJ48" s="310"/>
      <c r="BK48" s="240"/>
    </row>
    <row r="49" spans="2:63" s="241" customFormat="1" ht="15" customHeight="1" x14ac:dyDescent="0.25">
      <c r="B49" s="311"/>
      <c r="AI49" s="310"/>
      <c r="BJ49" s="310"/>
      <c r="BK49" s="240"/>
    </row>
    <row r="50" spans="2:63" s="241" customFormat="1" ht="15" customHeight="1" x14ac:dyDescent="0.25">
      <c r="B50" s="311"/>
      <c r="AI50" s="310"/>
      <c r="BJ50" s="310"/>
      <c r="BK50" s="240"/>
    </row>
    <row r="51" spans="2:63" s="241" customFormat="1" ht="15" customHeight="1" x14ac:dyDescent="0.25">
      <c r="B51" s="311"/>
      <c r="AI51" s="310"/>
      <c r="BJ51" s="310"/>
      <c r="BK51" s="240"/>
    </row>
    <row r="52" spans="2:63" s="241" customFormat="1" ht="15" customHeight="1" x14ac:dyDescent="0.25">
      <c r="B52" s="311"/>
      <c r="AI52" s="310"/>
      <c r="BJ52" s="310"/>
      <c r="BK52" s="240"/>
    </row>
    <row r="53" spans="2:63" s="241" customFormat="1" ht="15" customHeight="1" x14ac:dyDescent="0.25">
      <c r="B53" s="311"/>
      <c r="AI53" s="310"/>
      <c r="BJ53" s="310"/>
      <c r="BK53" s="240"/>
    </row>
    <row r="54" spans="2:63" s="241" customFormat="1" ht="15" customHeight="1" x14ac:dyDescent="0.25">
      <c r="B54" s="311"/>
      <c r="AI54" s="310"/>
      <c r="BJ54" s="310"/>
      <c r="BK54" s="240"/>
    </row>
    <row r="55" spans="2:63" s="241" customFormat="1" ht="15" customHeight="1" x14ac:dyDescent="0.25">
      <c r="B55" s="311"/>
      <c r="AI55" s="310"/>
      <c r="BJ55" s="310"/>
      <c r="BK55" s="240"/>
    </row>
    <row r="56" spans="2:63" s="241" customFormat="1" ht="15" customHeight="1" x14ac:dyDescent="0.25">
      <c r="B56" s="311"/>
      <c r="AI56" s="310"/>
      <c r="BJ56" s="310"/>
      <c r="BK56" s="240"/>
    </row>
    <row r="57" spans="2:63" s="241" customFormat="1" ht="15" customHeight="1" x14ac:dyDescent="0.25">
      <c r="B57" s="10"/>
      <c r="C57" s="9"/>
      <c r="D57" s="9"/>
      <c r="E57" s="9"/>
      <c r="F57" s="9"/>
      <c r="G57" s="9"/>
      <c r="AI57" s="310"/>
      <c r="BJ57" s="310"/>
      <c r="BK57" s="240"/>
    </row>
    <row r="58" spans="2:63" s="241" customFormat="1" ht="15" customHeight="1" x14ac:dyDescent="0.25">
      <c r="B58" s="10"/>
      <c r="C58" s="9"/>
      <c r="D58" s="9"/>
      <c r="E58" s="9"/>
      <c r="F58" s="9"/>
      <c r="G58" s="9"/>
      <c r="AI58" s="310"/>
      <c r="BJ58" s="310"/>
      <c r="BK58" s="240"/>
    </row>
    <row r="59" spans="2:63" s="241" customFormat="1" ht="15" customHeight="1" x14ac:dyDescent="0.25">
      <c r="B59" s="10"/>
      <c r="C59" s="9"/>
      <c r="D59" s="9"/>
      <c r="E59" s="9"/>
      <c r="F59" s="9"/>
      <c r="G59" s="9"/>
      <c r="AI59" s="310"/>
      <c r="BJ59" s="310"/>
      <c r="BK59" s="240"/>
    </row>
    <row r="60" spans="2:63" s="241" customFormat="1" ht="15" customHeight="1" x14ac:dyDescent="0.25">
      <c r="B60" s="10"/>
      <c r="C60" s="9"/>
      <c r="D60" s="9"/>
      <c r="E60" s="9"/>
      <c r="F60" s="9"/>
      <c r="G60" s="9"/>
      <c r="AI60" s="310"/>
      <c r="BJ60" s="310"/>
      <c r="BK60" s="240"/>
    </row>
    <row r="61" spans="2:63" s="241" customFormat="1" ht="15" customHeight="1" x14ac:dyDescent="0.25">
      <c r="B61" s="311"/>
      <c r="AI61" s="310"/>
      <c r="BJ61" s="310"/>
      <c r="BK61" s="240"/>
    </row>
    <row r="62" spans="2:63" s="241" customFormat="1" ht="15" customHeight="1" x14ac:dyDescent="0.25">
      <c r="B62" s="311"/>
      <c r="AI62" s="310"/>
      <c r="BJ62" s="310"/>
      <c r="BK62" s="240"/>
    </row>
    <row r="63" spans="2:63" s="241" customFormat="1" ht="15" customHeight="1" x14ac:dyDescent="0.25">
      <c r="B63" s="311"/>
      <c r="AI63" s="310"/>
      <c r="BJ63" s="310"/>
      <c r="BK63" s="240"/>
    </row>
    <row r="64" spans="2:63" s="241" customFormat="1" ht="15" customHeight="1" x14ac:dyDescent="0.25">
      <c r="B64" s="311"/>
      <c r="AI64" s="310"/>
      <c r="BJ64" s="310"/>
      <c r="BK64" s="240"/>
    </row>
    <row r="65" spans="2:63" s="241" customFormat="1" ht="15" customHeight="1" x14ac:dyDescent="0.25">
      <c r="B65" s="311"/>
      <c r="AI65" s="310"/>
      <c r="BJ65" s="310"/>
      <c r="BK65" s="240"/>
    </row>
    <row r="66" spans="2:63" s="241" customFormat="1" ht="15" customHeight="1" x14ac:dyDescent="0.25">
      <c r="B66" s="311"/>
      <c r="O66" s="241" t="s">
        <v>79</v>
      </c>
      <c r="AI66" s="310"/>
      <c r="BJ66" s="310"/>
      <c r="BK66" s="240"/>
    </row>
    <row r="67" spans="2:63" s="241" customFormat="1" ht="15" customHeight="1" x14ac:dyDescent="0.25">
      <c r="B67" s="311"/>
      <c r="AI67" s="310"/>
      <c r="BJ67" s="310"/>
      <c r="BK67" s="240"/>
    </row>
    <row r="68" spans="2:63" s="241" customFormat="1" ht="15" customHeight="1" x14ac:dyDescent="0.25">
      <c r="B68" s="311"/>
      <c r="AI68" s="310"/>
      <c r="BJ68" s="310"/>
      <c r="BK68" s="240"/>
    </row>
    <row r="69" spans="2:63" s="241" customFormat="1" ht="15" customHeight="1" x14ac:dyDescent="0.25">
      <c r="B69" s="311"/>
      <c r="AI69" s="310"/>
      <c r="BJ69" s="310"/>
      <c r="BK69" s="240"/>
    </row>
    <row r="70" spans="2:63" s="241" customFormat="1" ht="15" customHeight="1" x14ac:dyDescent="0.25">
      <c r="B70" s="311"/>
      <c r="AI70" s="310"/>
      <c r="BJ70" s="310"/>
      <c r="BK70" s="240"/>
    </row>
    <row r="71" spans="2:63" s="241" customFormat="1" ht="15" customHeight="1" x14ac:dyDescent="0.25">
      <c r="B71" s="311"/>
      <c r="AI71" s="310"/>
      <c r="BJ71" s="310"/>
      <c r="BK71" s="240"/>
    </row>
    <row r="72" spans="2:63" s="241" customFormat="1" ht="15" customHeight="1" x14ac:dyDescent="0.25">
      <c r="B72" s="311"/>
      <c r="AI72" s="310"/>
      <c r="BJ72" s="310"/>
      <c r="BK72" s="240"/>
    </row>
    <row r="73" spans="2:63" s="241" customFormat="1" ht="15" customHeight="1" x14ac:dyDescent="0.25">
      <c r="B73" s="311"/>
      <c r="AI73" s="310"/>
      <c r="BJ73" s="310"/>
      <c r="BK73" s="240"/>
    </row>
    <row r="74" spans="2:63" s="241" customFormat="1" ht="15" customHeight="1" x14ac:dyDescent="0.25">
      <c r="B74" s="311"/>
      <c r="AI74" s="310"/>
      <c r="BJ74" s="310"/>
      <c r="BK74" s="240"/>
    </row>
    <row r="75" spans="2:63" s="241" customFormat="1" ht="15" customHeight="1" x14ac:dyDescent="0.25">
      <c r="B75" s="311"/>
      <c r="AI75" s="310"/>
      <c r="BJ75" s="310"/>
      <c r="BK75" s="240"/>
    </row>
    <row r="76" spans="2:63" s="241" customFormat="1" ht="15" customHeight="1" x14ac:dyDescent="0.25">
      <c r="B76" s="311"/>
      <c r="AI76" s="310"/>
      <c r="BJ76" s="310"/>
      <c r="BK76" s="240"/>
    </row>
    <row r="77" spans="2:63" s="241" customFormat="1" ht="15" customHeight="1" x14ac:dyDescent="0.25">
      <c r="B77" s="311"/>
      <c r="AI77" s="310"/>
      <c r="BJ77" s="310"/>
      <c r="BK77" s="240"/>
    </row>
    <row r="78" spans="2:63" s="241" customFormat="1" ht="15" customHeight="1" x14ac:dyDescent="0.25">
      <c r="B78" s="311"/>
      <c r="AI78" s="310"/>
      <c r="BJ78" s="310"/>
      <c r="BK78" s="240"/>
    </row>
    <row r="79" spans="2:63" s="241" customFormat="1" ht="15" customHeight="1" x14ac:dyDescent="0.25">
      <c r="B79" s="311"/>
      <c r="AI79" s="310"/>
      <c r="BJ79" s="310"/>
      <c r="BK79" s="240"/>
    </row>
    <row r="80" spans="2:63" s="241" customFormat="1" ht="15" customHeight="1" x14ac:dyDescent="0.25">
      <c r="B80" s="311"/>
      <c r="AI80" s="310"/>
      <c r="BJ80" s="310"/>
      <c r="BK80" s="240"/>
    </row>
    <row r="81" spans="2:63" s="241" customFormat="1" ht="15" customHeight="1" x14ac:dyDescent="0.25">
      <c r="B81" s="311"/>
      <c r="AI81" s="310"/>
      <c r="BJ81" s="310"/>
      <c r="BK81" s="240"/>
    </row>
    <row r="82" spans="2:63" s="241" customFormat="1" ht="15" customHeight="1" x14ac:dyDescent="0.25">
      <c r="B82" s="311"/>
      <c r="AI82" s="310"/>
      <c r="BJ82" s="310"/>
      <c r="BK82" s="240"/>
    </row>
    <row r="83" spans="2:63" s="241" customFormat="1" ht="15" customHeight="1" x14ac:dyDescent="0.25">
      <c r="B83" s="311"/>
      <c r="AI83" s="310"/>
      <c r="BJ83" s="310"/>
      <c r="BK83" s="240"/>
    </row>
    <row r="84" spans="2:63" s="241" customFormat="1" ht="15" customHeight="1" x14ac:dyDescent="0.25">
      <c r="B84" s="311"/>
      <c r="AI84" s="310"/>
      <c r="BJ84" s="310"/>
      <c r="BK84" s="240"/>
    </row>
    <row r="85" spans="2:63" s="241" customFormat="1" ht="15" customHeight="1" x14ac:dyDescent="0.25">
      <c r="B85" s="311"/>
      <c r="AI85" s="310"/>
      <c r="BJ85" s="310"/>
      <c r="BK85" s="240"/>
    </row>
    <row r="86" spans="2:63" s="241" customFormat="1" ht="15" customHeight="1" x14ac:dyDescent="0.25">
      <c r="B86" s="311"/>
      <c r="AI86" s="310"/>
      <c r="BJ86" s="310"/>
      <c r="BK86" s="240"/>
    </row>
    <row r="87" spans="2:63" s="241" customFormat="1" ht="15" customHeight="1" x14ac:dyDescent="0.25">
      <c r="B87" s="311"/>
      <c r="AI87" s="310"/>
      <c r="BJ87" s="310"/>
      <c r="BK87" s="240"/>
    </row>
    <row r="88" spans="2:63" s="241" customFormat="1" ht="15" customHeight="1" x14ac:dyDescent="0.25">
      <c r="B88" s="311"/>
      <c r="AI88" s="310"/>
      <c r="BJ88" s="310"/>
      <c r="BK88" s="240"/>
    </row>
    <row r="89" spans="2:63" s="241" customFormat="1" ht="15" customHeight="1" x14ac:dyDescent="0.25">
      <c r="B89" s="311"/>
      <c r="AI89" s="310"/>
      <c r="BJ89" s="310"/>
      <c r="BK89" s="240"/>
    </row>
    <row r="90" spans="2:63" s="241" customFormat="1" ht="15" customHeight="1" x14ac:dyDescent="0.25">
      <c r="B90" s="311"/>
      <c r="AI90" s="310"/>
      <c r="BJ90" s="310"/>
      <c r="BK90" s="240"/>
    </row>
    <row r="91" spans="2:63" s="241" customFormat="1" ht="15" customHeight="1" x14ac:dyDescent="0.25">
      <c r="B91" s="311"/>
      <c r="AI91" s="310"/>
      <c r="BJ91" s="310"/>
      <c r="BK91" s="240"/>
    </row>
    <row r="92" spans="2:63" s="241" customFormat="1" ht="15" customHeight="1" x14ac:dyDescent="0.25">
      <c r="B92" s="311"/>
      <c r="AI92" s="310"/>
      <c r="BJ92" s="310"/>
      <c r="BK92" s="240"/>
    </row>
    <row r="93" spans="2:63" s="241" customFormat="1" ht="15" customHeight="1" x14ac:dyDescent="0.25">
      <c r="B93" s="311"/>
      <c r="AI93" s="310"/>
      <c r="BJ93" s="310"/>
      <c r="BK93" s="240"/>
    </row>
    <row r="94" spans="2:63" s="241" customFormat="1" ht="15" customHeight="1" x14ac:dyDescent="0.25">
      <c r="B94" s="311"/>
      <c r="AI94" s="310"/>
      <c r="BJ94" s="310"/>
      <c r="BK94" s="240"/>
    </row>
    <row r="95" spans="2:63" s="241" customFormat="1" ht="15" customHeight="1" x14ac:dyDescent="0.25">
      <c r="B95" s="311"/>
      <c r="AI95" s="310"/>
      <c r="BJ95" s="310"/>
      <c r="BK95" s="240"/>
    </row>
    <row r="96" spans="2:63" s="241" customFormat="1" ht="15" customHeight="1" x14ac:dyDescent="0.25">
      <c r="B96" s="311"/>
      <c r="AI96" s="310"/>
      <c r="BJ96" s="310"/>
      <c r="BK96" s="240"/>
    </row>
    <row r="97" spans="1:63" s="241" customFormat="1" ht="15" customHeight="1" x14ac:dyDescent="0.25">
      <c r="B97" s="311"/>
      <c r="AI97" s="310"/>
      <c r="BJ97" s="310"/>
      <c r="BK97" s="240"/>
    </row>
    <row r="98" spans="1:63" s="241" customFormat="1" ht="15" customHeight="1" x14ac:dyDescent="0.25">
      <c r="B98" s="311"/>
      <c r="AI98" s="310"/>
      <c r="BJ98" s="310"/>
      <c r="BK98" s="240"/>
    </row>
    <row r="99" spans="1:63" ht="15" customHeight="1" x14ac:dyDescent="0.25">
      <c r="A99" s="3"/>
      <c r="B99" s="1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12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12"/>
      <c r="BK99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3" t="s">
        <v>81</v>
      </c>
      <c r="B1" s="224"/>
      <c r="C1" s="224"/>
      <c r="D1" s="224"/>
      <c r="E1" s="224"/>
      <c r="F1" s="224"/>
      <c r="G1" s="224"/>
      <c r="H1" s="224"/>
      <c r="I1" s="224"/>
      <c r="J1" s="225"/>
      <c r="K1" s="223" t="s">
        <v>82</v>
      </c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5"/>
      <c r="W1" s="226" t="str">
        <f>IF(表紙!W1="","",表紙!W1)</f>
        <v>詳細設計書</v>
      </c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8"/>
      <c r="AP1" s="139" t="s">
        <v>84</v>
      </c>
      <c r="AQ1" s="140"/>
      <c r="AR1" s="140"/>
      <c r="AS1" s="141"/>
      <c r="AT1" s="139" t="s">
        <v>85</v>
      </c>
      <c r="AU1" s="140"/>
      <c r="AV1" s="140"/>
      <c r="AW1" s="140"/>
      <c r="AX1" s="141"/>
      <c r="AY1" s="139" t="s">
        <v>86</v>
      </c>
      <c r="AZ1" s="140"/>
      <c r="BA1" s="140"/>
      <c r="BB1" s="141"/>
      <c r="BC1" s="139" t="s">
        <v>87</v>
      </c>
      <c r="BD1" s="140"/>
      <c r="BE1" s="140"/>
      <c r="BF1" s="140"/>
      <c r="BG1" s="141"/>
      <c r="BH1" s="139" t="s">
        <v>88</v>
      </c>
      <c r="BI1" s="140"/>
      <c r="BJ1" s="140"/>
      <c r="BK1" s="141"/>
    </row>
    <row r="2" spans="1:63" ht="15" customHeight="1" x14ac:dyDescent="0.25">
      <c r="A2" s="99" t="str">
        <f>IF(表紙!A2="","",表紙!A2)</f>
        <v>POSサーバー</v>
      </c>
      <c r="B2" s="100"/>
      <c r="C2" s="100"/>
      <c r="D2" s="100"/>
      <c r="E2" s="100"/>
      <c r="F2" s="100"/>
      <c r="G2" s="100"/>
      <c r="H2" s="100"/>
      <c r="I2" s="100"/>
      <c r="J2" s="101"/>
      <c r="K2" s="99" t="str">
        <f>IF(表紙!K2="","",表紙!K2)</f>
        <v>POSサーバー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  <c r="W2" s="229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1"/>
      <c r="AP2" s="148" t="str">
        <f>IF(表紙!AP2="","",表紙!AP2)</f>
        <v>DuNT</v>
      </c>
      <c r="AQ2" s="146"/>
      <c r="AR2" s="146"/>
      <c r="AS2" s="147"/>
      <c r="AT2" s="152">
        <f>IF(表紙!AT2="","",表紙!AT2)</f>
        <v>45475</v>
      </c>
      <c r="AU2" s="153"/>
      <c r="AV2" s="153"/>
      <c r="AW2" s="153"/>
      <c r="AX2" s="154"/>
      <c r="AY2" s="148" t="str">
        <f>IF(表紙!AY2="","",表紙!AY2)</f>
        <v>AnhTTP</v>
      </c>
      <c r="AZ2" s="146"/>
      <c r="BA2" s="146"/>
      <c r="BB2" s="147"/>
      <c r="BC2" s="152">
        <f>IF(表紙!BC2="","",表紙!BC2)</f>
        <v>45701</v>
      </c>
      <c r="BD2" s="153"/>
      <c r="BE2" s="153"/>
      <c r="BF2" s="153"/>
      <c r="BG2" s="154"/>
      <c r="BH2" s="148">
        <f>IF(表紙!BH2="","",表紙!BH2)</f>
        <v>0.55000000000000004</v>
      </c>
      <c r="BI2" s="146"/>
      <c r="BJ2" s="146"/>
      <c r="BK2" s="147"/>
    </row>
    <row r="3" spans="1:63" ht="15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4"/>
      <c r="K3" s="10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232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4"/>
      <c r="AP3" s="158"/>
      <c r="AQ3" s="159"/>
      <c r="AR3" s="159"/>
      <c r="AS3" s="160"/>
      <c r="AT3" s="164"/>
      <c r="AU3" s="165"/>
      <c r="AV3" s="165"/>
      <c r="AW3" s="165"/>
      <c r="AX3" s="166"/>
      <c r="AY3" s="158"/>
      <c r="AZ3" s="159"/>
      <c r="BA3" s="159"/>
      <c r="BB3" s="160"/>
      <c r="BC3" s="164"/>
      <c r="BD3" s="165"/>
      <c r="BE3" s="165"/>
      <c r="BF3" s="165"/>
      <c r="BG3" s="166"/>
      <c r="BH3" s="158"/>
      <c r="BI3" s="159"/>
      <c r="BJ3" s="159"/>
      <c r="BK3" s="160"/>
    </row>
    <row r="4" spans="1:63" ht="24.95" customHeight="1" x14ac:dyDescent="0.25">
      <c r="A4" s="223" t="s">
        <v>90</v>
      </c>
      <c r="B4" s="224"/>
      <c r="C4" s="224"/>
      <c r="D4" s="224"/>
      <c r="E4" s="224"/>
      <c r="F4" s="224"/>
      <c r="G4" s="225"/>
      <c r="H4" s="105" t="str">
        <f>IF(表紙!H4="","",表紙!H4)</f>
        <v>AP1506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223" t="s">
        <v>91</v>
      </c>
      <c r="V4" s="224"/>
      <c r="W4" s="224"/>
      <c r="X4" s="224"/>
      <c r="Y4" s="225"/>
      <c r="Z4" s="105" t="str">
        <f>IF(表紙!Z4="","",表紙!Z4)</f>
        <v>API設計書</v>
      </c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08" t="str">
        <f ca="1">MID(CELL("filename",A1),FIND("]",CELL("filename",A1))+1,255)</f>
        <v>テンプレート</v>
      </c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41" customFormat="1" ht="15" customHeight="1" x14ac:dyDescent="0.25">
      <c r="BK7" s="240"/>
    </row>
    <row r="8" spans="1:63" s="241" customFormat="1" ht="15" customHeight="1" x14ac:dyDescent="0.25">
      <c r="BK8" s="240"/>
    </row>
    <row r="9" spans="1:63" s="241" customFormat="1" ht="15" customHeight="1" x14ac:dyDescent="0.25">
      <c r="BK9" s="240"/>
    </row>
    <row r="10" spans="1:63" s="241" customFormat="1" ht="15" customHeight="1" x14ac:dyDescent="0.25">
      <c r="BK10" s="240"/>
    </row>
    <row r="11" spans="1:63" s="241" customFormat="1" ht="15" customHeight="1" x14ac:dyDescent="0.25">
      <c r="BK11" s="240"/>
    </row>
    <row r="12" spans="1:63" s="241" customFormat="1" ht="15" customHeight="1" x14ac:dyDescent="0.25">
      <c r="BK12" s="240"/>
    </row>
    <row r="13" spans="1:63" s="241" customFormat="1" ht="15" customHeight="1" x14ac:dyDescent="0.25">
      <c r="BK13" s="240"/>
    </row>
    <row r="14" spans="1:63" s="241" customFormat="1" ht="15" customHeight="1" x14ac:dyDescent="0.25">
      <c r="BK14" s="240"/>
    </row>
    <row r="15" spans="1:63" s="241" customFormat="1" ht="15" customHeight="1" x14ac:dyDescent="0.25">
      <c r="BK15" s="240"/>
    </row>
    <row r="16" spans="1:63" s="241" customFormat="1" ht="15" customHeight="1" x14ac:dyDescent="0.25">
      <c r="BK16" s="240"/>
    </row>
    <row r="17" spans="63:63" s="241" customFormat="1" ht="15" customHeight="1" x14ac:dyDescent="0.25">
      <c r="BK17" s="240"/>
    </row>
    <row r="18" spans="63:63" s="241" customFormat="1" ht="15" customHeight="1" x14ac:dyDescent="0.25">
      <c r="BK18" s="240"/>
    </row>
    <row r="19" spans="63:63" s="241" customFormat="1" ht="15" customHeight="1" x14ac:dyDescent="0.25">
      <c r="BK19" s="240"/>
    </row>
    <row r="20" spans="63:63" s="241" customFormat="1" ht="15" customHeight="1" x14ac:dyDescent="0.25">
      <c r="BK20" s="240"/>
    </row>
    <row r="21" spans="63:63" s="241" customFormat="1" ht="15" customHeight="1" x14ac:dyDescent="0.25">
      <c r="BK21" s="240"/>
    </row>
    <row r="22" spans="63:63" s="241" customFormat="1" ht="15" customHeight="1" x14ac:dyDescent="0.25">
      <c r="BK22" s="240"/>
    </row>
    <row r="23" spans="63:63" s="241" customFormat="1" ht="15" customHeight="1" x14ac:dyDescent="0.25">
      <c r="BK23" s="240"/>
    </row>
    <row r="24" spans="63:63" s="241" customFormat="1" ht="15" customHeight="1" x14ac:dyDescent="0.25">
      <c r="BK24" s="240"/>
    </row>
    <row r="25" spans="63:63" s="241" customFormat="1" ht="15" customHeight="1" x14ac:dyDescent="0.25">
      <c r="BK25" s="240"/>
    </row>
    <row r="26" spans="63:63" s="241" customFormat="1" ht="15" customHeight="1" x14ac:dyDescent="0.25">
      <c r="BK26" s="240"/>
    </row>
    <row r="27" spans="63:63" s="241" customFormat="1" ht="15" customHeight="1" x14ac:dyDescent="0.25">
      <c r="BK27" s="240"/>
    </row>
    <row r="28" spans="63:63" s="241" customFormat="1" ht="15" customHeight="1" x14ac:dyDescent="0.25">
      <c r="BK28" s="240"/>
    </row>
    <row r="29" spans="63:63" s="241" customFormat="1" ht="15" customHeight="1" x14ac:dyDescent="0.25">
      <c r="BK29" s="240"/>
    </row>
    <row r="30" spans="63:63" s="241" customFormat="1" ht="15" customHeight="1" x14ac:dyDescent="0.25">
      <c r="BK30" s="240"/>
    </row>
    <row r="31" spans="63:63" s="241" customFormat="1" ht="15" customHeight="1" x14ac:dyDescent="0.25">
      <c r="BK31" s="240"/>
    </row>
    <row r="32" spans="63:63" s="241" customFormat="1" ht="15" customHeight="1" x14ac:dyDescent="0.25">
      <c r="BK32" s="240"/>
    </row>
    <row r="33" spans="63:63" s="241" customFormat="1" ht="15" customHeight="1" x14ac:dyDescent="0.25">
      <c r="BK33" s="240"/>
    </row>
    <row r="34" spans="63:63" s="241" customFormat="1" ht="15" customHeight="1" x14ac:dyDescent="0.25">
      <c r="BK34" s="240"/>
    </row>
    <row r="35" spans="63:63" s="241" customFormat="1" ht="15" customHeight="1" x14ac:dyDescent="0.25">
      <c r="BK35" s="240"/>
    </row>
    <row r="36" spans="63:63" s="241" customFormat="1" ht="15" customHeight="1" x14ac:dyDescent="0.25">
      <c r="BK36" s="240"/>
    </row>
    <row r="37" spans="63:63" s="241" customFormat="1" ht="15" customHeight="1" x14ac:dyDescent="0.25">
      <c r="BK37" s="240"/>
    </row>
    <row r="38" spans="63:63" s="241" customFormat="1" ht="15" customHeight="1" x14ac:dyDescent="0.25">
      <c r="BK38" s="240"/>
    </row>
    <row r="39" spans="63:63" s="241" customFormat="1" ht="15" customHeight="1" x14ac:dyDescent="0.25">
      <c r="BK39" s="240"/>
    </row>
    <row r="40" spans="63:63" s="241" customFormat="1" ht="15" customHeight="1" x14ac:dyDescent="0.25">
      <c r="BK40" s="240"/>
    </row>
    <row r="41" spans="63:63" s="241" customFormat="1" ht="15" customHeight="1" x14ac:dyDescent="0.25">
      <c r="BK41" s="240"/>
    </row>
    <row r="42" spans="63:63" s="241" customFormat="1" ht="15" customHeight="1" x14ac:dyDescent="0.25">
      <c r="BK42" s="240"/>
    </row>
    <row r="43" spans="63:63" s="241" customFormat="1" ht="15" customHeight="1" x14ac:dyDescent="0.25">
      <c r="BK43" s="240"/>
    </row>
    <row r="44" spans="63:63" s="241" customFormat="1" ht="15" customHeight="1" x14ac:dyDescent="0.25">
      <c r="BK44" s="240"/>
    </row>
    <row r="45" spans="63:63" s="241" customFormat="1" ht="15" customHeight="1" x14ac:dyDescent="0.25">
      <c r="BK45" s="240"/>
    </row>
    <row r="46" spans="63:63" s="241" customFormat="1" ht="15" customHeight="1" x14ac:dyDescent="0.25">
      <c r="BK46" s="240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A9B32D-E011-4B40-BC22-4B14A03EF756}"/>
</file>

<file path=customXml/itemProps2.xml><?xml version="1.0" encoding="utf-8"?>
<ds:datastoreItem xmlns:ds="http://schemas.openxmlformats.org/officeDocument/2006/customXml" ds:itemID="{A2560B9B-28A2-4BDF-84B1-B9C18FAE577E}"/>
</file>

<file path=customXml/itemProps3.xml><?xml version="1.0" encoding="utf-8"?>
<ds:datastoreItem xmlns:ds="http://schemas.openxmlformats.org/officeDocument/2006/customXml" ds:itemID="{DCE4DA8B-DA6F-41E1-84D4-2872B2FFE0E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AP1506</vt:lpstr>
      <vt:lpstr>処理フロー</vt:lpstr>
      <vt:lpstr>テンプレート</vt:lpstr>
      <vt:lpstr>'AP1506'!Print_Area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2025-03-21T03:36:17Z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