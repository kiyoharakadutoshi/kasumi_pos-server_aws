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6C8025EC-737E-4182-9089-28F9942BFBB1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1508" sheetId="8" r:id="rId4"/>
    <sheet name="処理フロー" sheetId="11" r:id="rId5"/>
    <sheet name="テンプレート" sheetId="7" r:id="rId6"/>
  </sheets>
  <definedNames>
    <definedName name="_xlnm.Print_Area" localSheetId="3">'AP1508'!$A$1:$BK$131</definedName>
    <definedName name="_xlnm.Print_Area" localSheetId="5">テンプレート!$A$1:$BK$54</definedName>
    <definedName name="_xlnm.Print_Area" localSheetId="4">処理フロー!$A$1:$BK$108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K2" i="7"/>
  <c r="A2" i="7"/>
  <c r="W1" i="7"/>
  <c r="AP4" i="11"/>
  <c r="Z4" i="11"/>
  <c r="H4" i="11"/>
  <c r="K2" i="11"/>
  <c r="A2" i="11"/>
  <c r="W1" i="11"/>
  <c r="AP4" i="8"/>
  <c r="Z4" i="8"/>
  <c r="H4" i="8"/>
  <c r="AT2" i="8"/>
  <c r="K2" i="8"/>
  <c r="A2" i="8"/>
  <c r="W1" i="8"/>
  <c r="AP4" i="10"/>
  <c r="Z4" i="10"/>
  <c r="H4" i="10"/>
  <c r="AT2" i="10"/>
  <c r="AP2" i="10"/>
  <c r="K2" i="10"/>
  <c r="A2" i="10"/>
  <c r="W1" i="10"/>
  <c r="AP4" i="3" a="1"/>
  <c r="AP4" i="3" s="1"/>
  <c r="Z4" i="3"/>
  <c r="H4" i="3"/>
  <c r="AT2" i="3"/>
  <c r="AP2" i="3"/>
  <c r="K2" i="3"/>
  <c r="A2" i="3"/>
  <c r="W1" i="3"/>
  <c r="L24" i="4"/>
  <c r="AP4" i="4" a="1"/>
  <c r="AP4" i="4" s="1"/>
  <c r="BH2" i="4"/>
  <c r="BH2" i="10" s="1"/>
  <c r="BC2" i="4"/>
  <c r="BC2" i="7" s="1"/>
  <c r="AY2" i="4"/>
  <c r="AY2" i="11" s="1"/>
  <c r="AT2" i="4"/>
  <c r="AT2" i="11" s="1"/>
  <c r="AP2" i="4"/>
  <c r="AP2" i="8" s="1"/>
  <c r="AP2" i="7" l="1"/>
  <c r="BH2" i="7"/>
  <c r="AY2" i="8"/>
  <c r="BC2" i="11"/>
  <c r="AY2" i="3"/>
  <c r="AY2" i="10"/>
  <c r="BC2" i="8"/>
  <c r="AP2" i="11"/>
  <c r="BH2" i="11"/>
  <c r="AT2" i="7"/>
  <c r="BC2" i="3"/>
  <c r="BC2" i="10"/>
  <c r="BH2" i="8"/>
  <c r="AY2" i="7"/>
  <c r="BH2" i="3"/>
</calcChain>
</file>

<file path=xl/sharedStrings.xml><?xml version="1.0" encoding="utf-8"?>
<sst xmlns="http://schemas.openxmlformats.org/spreadsheetml/2006/main" count="398" uniqueCount="193">
  <si>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</si>
  <si>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</si>
  <si>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</si>
  <si>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</si>
  <si>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</si>
  <si>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</si>
  <si>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</si>
  <si>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</si>
  <si>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</si>
  <si>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</si>
  <si>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</si>
  <si>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</si>
  <si>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</si>
  <si>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</si>
  <si>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</si>
  <si>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</si>
  <si>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</si>
  <si>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</si>
  <si>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</si>
  <si>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</si>
  <si>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</si>
  <si>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なし</t>
    </r>
  </si>
  <si>
    <t>{</t>
  </si>
  <si>
    <t>}</t>
  </si>
  <si>
    <r>
      <rPr>
        <sz val="11"/>
        <color rgb="FF000000"/>
        <rFont val="Meiryo UI"/>
        <family val="2"/>
      </rPr>
      <t>status_code</t>
    </r>
  </si>
  <si>
    <r>
      <rPr>
        <sz val="11"/>
        <color rgb="FF000000"/>
        <rFont val="Meiryo UI"/>
        <family val="2"/>
      </rPr>
      <t>返されたステータスコード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</si>
  <si>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</si>
  <si>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description</t>
    </r>
  </si>
  <si>
    <r>
      <rPr>
        <sz val="11"/>
        <color rgb="FF000000"/>
        <rFont val="Meiryo UI"/>
        <family val="2"/>
      </rPr>
      <t>record_id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</si>
  <si>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</si>
  <si>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AP1508</t>
    </r>
  </si>
  <si>
    <r>
      <rPr>
        <sz val="11"/>
        <color rgb="FF000000"/>
        <rFont val="Meiryo UI"/>
        <family val="2"/>
      </rPr>
      <t>プリセットレイアウトを新規作成、編集、削除する。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</si>
  <si>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</si>
  <si>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PresetMenuMaster.StoreCode</t>
    </r>
  </si>
  <si>
    <r>
      <rPr>
        <sz val="11"/>
        <color rgb="FF000000"/>
        <rFont val="Meiryo UI"/>
        <family val="2"/>
      </rPr>
      <t>preset_layout_code</t>
    </r>
  </si>
  <si>
    <r>
      <rPr>
        <sz val="11"/>
        <color rgb="FF000000"/>
        <rFont val="Meiryo UI"/>
        <family val="2"/>
      </rPr>
      <t>PresetMenuMaster.ButtonLayoutCode</t>
    </r>
  </si>
  <si>
    <r>
      <rPr>
        <sz val="11"/>
        <color rgb="FF000000"/>
        <rFont val="Meiryo UI"/>
        <family val="2"/>
      </rPr>
      <t>preset_layout_name</t>
    </r>
  </si>
  <si>
    <r>
      <rPr>
        <sz val="11"/>
        <color rgb="FF000000"/>
        <rFont val="Meiryo UI"/>
        <family val="2"/>
      </rPr>
      <t>PresetMenuMaster.ButtonLayoutName</t>
    </r>
  </si>
  <si>
    <r>
      <rPr>
        <sz val="11"/>
        <color rgb="FF000000"/>
        <rFont val="Meiryo UI"/>
        <family val="2"/>
      </rPr>
      <t>booking_date</t>
    </r>
  </si>
  <si>
    <r>
      <rPr>
        <sz val="11"/>
        <color rgb="FF000000"/>
        <rFont val="Meiryo UI"/>
        <family val="2"/>
      </rPr>
      <t>PresetMenuMaster.ApplyDate</t>
    </r>
  </si>
  <si>
    <r>
      <rPr>
        <sz val="11"/>
        <color rgb="FF000000"/>
        <rFont val="Meiryo UI"/>
        <family val="2"/>
      </rPr>
      <t>preset_menu</t>
    </r>
  </si>
  <si>
    <r>
      <rPr>
        <sz val="11"/>
        <color rgb="FF000000"/>
        <rFont val="Meiryo UI"/>
        <family val="2"/>
      </rPr>
      <t>PresetMenuMaster.ID</t>
    </r>
  </si>
  <si>
    <r>
      <rPr>
        <sz val="11"/>
        <color rgb="FF000000"/>
        <rFont val="Meiryo UI"/>
        <family val="2"/>
      </rPr>
      <t>BigInt</t>
    </r>
  </si>
  <si>
    <r>
      <rPr>
        <sz val="11"/>
        <color rgb="FF000000"/>
        <rFont val="Meiryo UI"/>
        <family val="2"/>
      </rPr>
      <t>page_number</t>
    </r>
  </si>
  <si>
    <r>
      <rPr>
        <sz val="11"/>
        <color rgb="FF000000"/>
        <rFont val="Meiryo UI"/>
        <family val="2"/>
      </rPr>
      <t>Int</t>
    </r>
  </si>
  <si>
    <r>
      <rPr>
        <sz val="11"/>
        <color rgb="FF000000"/>
        <rFont val="Meiryo UI"/>
        <family val="2"/>
      </rPr>
      <t>button_column_count</t>
    </r>
  </si>
  <si>
    <r>
      <rPr>
        <sz val="11"/>
        <color rgb="FF000000"/>
        <rFont val="Meiryo UI"/>
        <family val="2"/>
      </rPr>
      <t>PresetMenuMaster.ButtonColumnCount</t>
    </r>
  </si>
  <si>
    <r>
      <rPr>
        <sz val="11"/>
        <color rgb="FF000000"/>
        <rFont val="Meiryo UI"/>
        <family val="2"/>
      </rPr>
      <t>PresetMenuMaster.Description</t>
    </r>
  </si>
  <si>
    <r>
      <rPr>
        <sz val="11"/>
        <color rgb="FF000000"/>
        <rFont val="Meiryo UI"/>
        <family val="2"/>
      </rPr>
      <t>PresetMenuMaster.PageNumber</t>
    </r>
  </si>
  <si>
    <r>
      <rPr>
        <sz val="11"/>
        <color rgb="FF000000"/>
        <rFont val="Meiryo UI"/>
        <family val="2"/>
      </rPr>
      <t>button_row_span</t>
    </r>
  </si>
  <si>
    <r>
      <rPr>
        <sz val="11"/>
        <color rgb="FF000000"/>
        <rFont val="Meiryo UI"/>
        <family val="2"/>
      </rPr>
      <t>button_row_count</t>
    </r>
  </si>
  <si>
    <r>
      <rPr>
        <sz val="11"/>
        <color rgb="FF000000"/>
        <rFont val="Meiryo UI"/>
        <family val="2"/>
      </rPr>
      <t>PresetMenuMaster.ButtonRowCount</t>
    </r>
  </si>
  <si>
    <r>
      <rPr>
        <sz val="11"/>
        <color rgb="FF000000"/>
        <rFont val="Meiryo UI"/>
        <family val="2"/>
      </rPr>
      <t>style_key</t>
    </r>
  </si>
  <si>
    <r>
      <rPr>
        <sz val="11"/>
        <color rgb="FF000000"/>
        <rFont val="Meiryo UI"/>
        <family val="2"/>
      </rPr>
      <t>PresetMenuMaster.StyleKey</t>
    </r>
  </si>
  <si>
    <r>
      <rPr>
        <sz val="11"/>
        <color rgb="FF000000"/>
        <rFont val="Meiryo UI"/>
        <family val="2"/>
      </rPr>
      <t>preset_menu_button</t>
    </r>
  </si>
  <si>
    <r>
      <rPr>
        <sz val="11"/>
        <color rgb="FF000000"/>
        <rFont val="Meiryo UI"/>
        <family val="2"/>
      </rPr>
      <t>PresetMenuButtonMaster.ID</t>
    </r>
  </si>
  <si>
    <r>
      <rPr>
        <sz val="11"/>
        <color rgb="FF000000"/>
        <rFont val="Meiryo UI"/>
        <family val="2"/>
      </rPr>
      <t>PresetMenuButtonMaster.StoreCode</t>
    </r>
  </si>
  <si>
    <r>
      <rPr>
        <sz val="11"/>
        <color rgb="FF000000"/>
        <rFont val="Meiryo UI"/>
        <family val="2"/>
      </rPr>
      <t>PresetMenuButtonMaster.ButtonLayoutCode</t>
    </r>
  </si>
  <si>
    <r>
      <rPr>
        <sz val="11"/>
        <color rgb="FF000000"/>
        <rFont val="Meiryo UI"/>
        <family val="2"/>
      </rPr>
      <t>PresetMenuButtonMaster.ApplyDate</t>
    </r>
  </si>
  <si>
    <r>
      <rPr>
        <sz val="11"/>
        <color rgb="FF000000"/>
        <rFont val="Meiryo UI"/>
        <family val="2"/>
      </rPr>
      <t>PresetMenuButtonMaster.PageNumber</t>
    </r>
  </si>
  <si>
    <r>
      <rPr>
        <sz val="11"/>
        <color rgb="FF000000"/>
        <rFont val="Meiryo UI"/>
        <family val="2"/>
      </rPr>
      <t>button_column_number</t>
    </r>
  </si>
  <si>
    <r>
      <rPr>
        <sz val="11"/>
        <color rgb="FF000000"/>
        <rFont val="Meiryo UI"/>
        <family val="2"/>
      </rPr>
      <t>PresetMenuButtonMaster.ButtonColumnNumber</t>
    </r>
  </si>
  <si>
    <r>
      <rPr>
        <sz val="11"/>
        <color rgb="FF000000"/>
        <rFont val="Meiryo UI"/>
        <family val="2"/>
      </rPr>
      <t>button_row_number</t>
    </r>
  </si>
  <si>
    <r>
      <rPr>
        <sz val="11"/>
        <color rgb="FF000000"/>
        <rFont val="Meiryo UI"/>
        <family val="2"/>
      </rPr>
      <t>PresetMenuButtonMaster.ButtonRowNumber</t>
    </r>
  </si>
  <si>
    <r>
      <rPr>
        <sz val="11"/>
        <color rgb="FF000000"/>
        <rFont val="Meiryo UI"/>
        <family val="2"/>
      </rPr>
      <t>button_column_span</t>
    </r>
  </si>
  <si>
    <r>
      <rPr>
        <sz val="11"/>
        <color rgb="FF000000"/>
        <rFont val="Meiryo UI"/>
        <family val="2"/>
      </rPr>
      <t>PresetMenuButtonMaster.ButtonColumnSpan</t>
    </r>
  </si>
  <si>
    <r>
      <rPr>
        <sz val="11"/>
        <color rgb="FF000000"/>
        <rFont val="Meiryo UI"/>
        <family val="2"/>
      </rPr>
      <t>PresetMenuButtonMaster.ButtonRowSpan</t>
    </r>
  </si>
  <si>
    <r>
      <rPr>
        <sz val="11"/>
        <color rgb="FF000000"/>
        <rFont val="Meiryo UI"/>
        <family val="2"/>
      </rPr>
      <t>PresetMenuButtonMaster.Description</t>
    </r>
  </si>
  <si>
    <r>
      <rPr>
        <sz val="11"/>
        <color rgb="FF000000"/>
        <rFont val="Meiryo UI"/>
        <family val="2"/>
      </rPr>
      <t>PresetMenuButtonMaster.StyleKey</t>
    </r>
  </si>
  <si>
    <r>
      <rPr>
        <sz val="11"/>
        <color rgb="FF000000"/>
        <rFont val="Meiryo UI"/>
        <family val="2"/>
      </rPr>
      <t>event_group_code</t>
    </r>
  </si>
  <si>
    <r>
      <rPr>
        <sz val="11"/>
        <color rgb="FF000000"/>
        <rFont val="Meiryo UI"/>
        <family val="2"/>
      </rPr>
      <t>PresetMenuButtonMaster.EventGroupCode</t>
    </r>
  </si>
  <si>
    <r>
      <rPr>
        <sz val="11"/>
        <color rgb="FF000000"/>
        <rFont val="Meiryo UI"/>
        <family val="2"/>
      </rPr>
      <t>PresetMenuButtonMaster.SettingData</t>
    </r>
  </si>
  <si>
    <r>
      <rPr>
        <sz val="11"/>
        <color rgb="FF000000"/>
        <rFont val="Meiryo UI"/>
        <family val="2"/>
      </rPr>
      <t>setting_data</t>
    </r>
  </si>
  <si>
    <r>
      <rPr>
        <sz val="11"/>
        <color rgb="FF000000"/>
        <rFont val="Meiryo UI"/>
        <family val="2"/>
      </rPr>
      <t>amount</t>
    </r>
  </si>
  <si>
    <r>
      <rPr>
        <sz val="11"/>
        <color rgb="FF000000"/>
        <rFont val="Meiryo UI"/>
        <family val="2"/>
      </rPr>
      <t>Double</t>
    </r>
  </si>
  <si>
    <r>
      <rPr>
        <sz val="11"/>
        <color rgb="FF000000"/>
        <rFont val="Meiryo UI"/>
        <family val="2"/>
      </rPr>
      <t>List&lt;Menu&gt;</t>
    </r>
  </si>
  <si>
    <r>
      <rPr>
        <sz val="11"/>
        <color rgb="FF000000"/>
        <rFont val="Meiryo UI"/>
        <family val="2"/>
      </rPr>
      <t>List&lt;MenuButton&gt;</t>
    </r>
  </si>
  <si>
    <r>
      <rPr>
        <sz val="11"/>
        <color rgb="FF000000"/>
        <rFont val="Meiryo UI"/>
        <family val="2"/>
      </rPr>
      <t>"store_code: "",</t>
    </r>
  </si>
  <si>
    <r>
      <rPr>
        <sz val="11"/>
        <color rgb="FF000000"/>
        <rFont val="Meiryo UI"/>
        <family val="2"/>
      </rPr>
      <t>"preset_layout_code: "",</t>
    </r>
  </si>
  <si>
    <r>
      <rPr>
        <sz val="11"/>
        <color rgb="FF000000"/>
        <rFont val="Meiryo UI"/>
        <family val="2"/>
      </rPr>
      <t>"page_number: "",</t>
    </r>
  </si>
  <si>
    <r>
      <rPr>
        <sz val="11"/>
        <color rgb="FF000000"/>
        <rFont val="Meiryo UI"/>
        <family val="2"/>
      </rPr>
      <t>"booking_date: "",</t>
    </r>
  </si>
  <si>
    <r>
      <rPr>
        <sz val="11"/>
        <color rgb="FF000000"/>
        <rFont val="Meiryo UI"/>
        <family val="2"/>
      </rPr>
      <t>"button_column_number: "",</t>
    </r>
  </si>
  <si>
    <r>
      <rPr>
        <sz val="11"/>
        <color rgb="FF000000"/>
        <rFont val="Meiryo UI"/>
        <family val="2"/>
      </rPr>
      <t>"button_row_number: "",</t>
    </r>
  </si>
  <si>
    <r>
      <rPr>
        <sz val="11"/>
        <color rgb="FF000000"/>
        <rFont val="Meiryo UI"/>
        <family val="2"/>
      </rPr>
      <t>"button_column_span: "",</t>
    </r>
  </si>
  <si>
    <r>
      <rPr>
        <sz val="11"/>
        <color rgb="FF000000"/>
        <rFont val="Meiryo UI"/>
        <family val="2"/>
      </rPr>
      <t>"button_row_span: "",</t>
    </r>
  </si>
  <si>
    <r>
      <rPr>
        <sz val="11"/>
        <color rgb="FF000000"/>
        <rFont val="Meiryo UI"/>
        <family val="2"/>
      </rPr>
      <t>"description: "",</t>
    </r>
  </si>
  <si>
    <r>
      <rPr>
        <sz val="11"/>
        <color rgb="FF000000"/>
        <rFont val="Meiryo UI"/>
        <family val="2"/>
      </rPr>
      <t>"style_key: "",</t>
    </r>
  </si>
  <si>
    <r>
      <rPr>
        <sz val="11"/>
        <color rgb="FF000000"/>
        <rFont val="Meiryo UI"/>
        <family val="2"/>
      </rPr>
      <t>"event_group_code: "",</t>
    </r>
  </si>
  <si>
    <r>
      <rPr>
        <sz val="11"/>
        <color rgb="FF000000"/>
        <rFont val="Meiryo UI"/>
        <family val="2"/>
      </rPr>
      <t>"setting_data: "",</t>
    </r>
  </si>
  <si>
    <r>
      <rPr>
        <sz val="11"/>
        <color rgb="FF000000"/>
        <rFont val="Meiryo UI"/>
        <family val="2"/>
      </rPr>
      <t>"record_id: "",</t>
    </r>
  </si>
  <si>
    <t>]</t>
  </si>
  <si>
    <r>
      <rPr>
        <sz val="11"/>
        <color rgb="FF000000"/>
        <rFont val="Meiryo UI"/>
        <family val="2"/>
      </rPr>
      <t>"preset_menu": [</t>
    </r>
  </si>
  <si>
    <r>
      <rPr>
        <sz val="11"/>
        <color rgb="FF000000"/>
        <rFont val="Meiryo UI"/>
        <family val="2"/>
      </rPr>
      <t>Small Int</t>
    </r>
  </si>
  <si>
    <r>
      <rPr>
        <sz val="11"/>
        <color rgb="FF000000"/>
        <rFont val="Meiryo UI"/>
        <family val="2"/>
      </rPr>
      <t>"button_column_count: "",</t>
    </r>
  </si>
  <si>
    <r>
      <rPr>
        <sz val="11"/>
        <color rgb="FF000000"/>
        <rFont val="Meiryo UI"/>
        <family val="2"/>
      </rPr>
      <t>"button_row_count: "",</t>
    </r>
  </si>
  <si>
    <r>
      <rPr>
        <sz val="11"/>
        <color rgb="FF000000"/>
        <rFont val="Meiryo UI"/>
        <family val="2"/>
      </rPr>
      <t>"preset_menu_button: [</t>
    </r>
  </si>
  <si>
    <r>
      <rPr>
        <sz val="11"/>
        <color rgb="FF000000"/>
        <rFont val="Meiryo UI"/>
        <family val="2"/>
      </rPr>
      <t>group_code</t>
    </r>
  </si>
  <si>
    <r>
      <rPr>
        <sz val="11"/>
        <color rgb="FF000000"/>
        <rFont val="Meiryo UI"/>
        <family val="2"/>
      </rPr>
      <t>PresetMenuButtonMaster.GroupCode</t>
    </r>
  </si>
  <si>
    <r>
      <rPr>
        <b/>
        <sz val="11"/>
        <color rgb="FF000000"/>
        <rFont val="Meiryo UI"/>
        <family val="2"/>
      </rPr>
      <t>「30_機能設計_00_共通.xlsx」ファイルの「共通APIレスポンス」シートをご参照ください。</t>
    </r>
  </si>
  <si>
    <r>
      <rPr>
        <sz val="11"/>
        <color rgb="FF000000"/>
        <rFont val="Meiryo UI"/>
        <family val="2"/>
      </rPr>
      <t>style_info</t>
    </r>
  </si>
  <si>
    <r>
      <rPr>
        <sz val="11"/>
        <color rgb="FF000000"/>
        <rFont val="Meiryo UI"/>
        <family val="2"/>
      </rPr>
      <t>PresetMenuButtonMaster.StyleInfo</t>
    </r>
  </si>
  <si>
    <r>
      <rPr>
        <sz val="11"/>
        <color rgb="FF000000"/>
        <rFont val="Meiryo UI"/>
        <family val="2"/>
      </rPr>
      <t>ボタンのイメージ</t>
    </r>
  </si>
  <si>
    <r>
      <rPr>
        <sz val="11"/>
        <color rgb="FF000000"/>
        <rFont val="Meiryo UI"/>
        <family val="2"/>
      </rPr>
      <t>display_status</t>
    </r>
  </si>
  <si>
    <r>
      <rPr>
        <sz val="11"/>
        <color rgb="FF000000"/>
        <rFont val="Meiryo UI"/>
        <family val="2"/>
      </rPr>
      <t>PresetMenuButtonMaster.DisplayStatus</t>
    </r>
  </si>
  <si>
    <r>
      <rPr>
        <sz val="11"/>
        <color rgb="FF000000"/>
        <rFont val="Meiryo UI"/>
        <family val="2"/>
      </rPr>
      <t>"style_info: "",</t>
    </r>
  </si>
  <si>
    <r>
      <rPr>
        <sz val="11"/>
        <color rgb="FF000000"/>
        <rFont val="Meiryo UI"/>
        <family val="2"/>
      </rPr>
      <t>is_display_on_cash_machine</t>
    </r>
  </si>
  <si>
    <r>
      <rPr>
        <sz val="11"/>
        <color rgb="FF000000"/>
        <rFont val="Meiryo UI"/>
        <family val="2"/>
      </rPr>
      <t>is_display_on_customer_screen</t>
    </r>
  </si>
  <si>
    <r>
      <rPr>
        <sz val="11"/>
        <color rgb="FF000000"/>
        <rFont val="Meiryo UI"/>
        <family val="2"/>
      </rPr>
      <t>SmallInt</t>
    </r>
  </si>
  <si>
    <r>
      <rPr>
        <sz val="11"/>
        <color rgb="FF000000"/>
        <rFont val="Meiryo UI"/>
        <family val="2"/>
      </rPr>
      <t>PresetMenuMaster.IsDisplayOnCashMachine</t>
    </r>
  </si>
  <si>
    <r>
      <rPr>
        <sz val="11"/>
        <color rgb="FF000000"/>
        <rFont val="Meiryo UI"/>
        <family val="2"/>
      </rPr>
      <t>PresetMenuMaster.IsDisplayOnCustomerScreen</t>
    </r>
  </si>
  <si>
    <r>
      <rPr>
        <sz val="11"/>
        <color rgb="FF000000"/>
        <rFont val="Meiryo UI"/>
        <family val="2"/>
      </rPr>
      <t>Boolean</t>
    </r>
  </si>
  <si>
    <r>
      <rPr>
        <sz val="11"/>
        <color rgb="FF000000"/>
        <rFont val="Meiryo UI"/>
        <family val="2"/>
      </rPr>
      <t>PresetMenuButtonMaster.Amount</t>
    </r>
  </si>
  <si>
    <r>
      <rPr>
        <sz val="11"/>
        <color rgb="FF000000"/>
        <rFont val="Meiryo UI"/>
        <family val="2"/>
      </rPr>
      <t>api/v1/preset/maintenance</t>
    </r>
  </si>
  <si>
    <r>
      <rPr>
        <sz val="11"/>
        <color rgb="FF000000"/>
        <rFont val="Meiryo UI"/>
        <family val="2"/>
      </rPr>
      <t>api urlを修正する。</t>
    </r>
  </si>
  <si>
    <r>
      <rPr>
        <sz val="11"/>
        <color rgb="FF000000"/>
        <rFont val="Meiryo UI"/>
        <family val="2"/>
      </rPr>
      <t>is_hidden</t>
    </r>
  </si>
  <si>
    <r>
      <rPr>
        <sz val="11"/>
        <color rgb="FF000000"/>
        <rFont val="Meiryo UI"/>
        <family val="2"/>
      </rPr>
      <t>PresetMenuMaster.IsHidden</t>
    </r>
  </si>
  <si>
    <r>
      <rPr>
        <sz val="11"/>
        <color rgb="FF000000"/>
        <rFont val="Meiryo UI"/>
        <family val="2"/>
      </rPr>
      <t>▪プリセットメニュー、プリセットメニューボタンの追加・更新・削除</t>
    </r>
  </si>
  <si>
    <r>
      <rPr>
        <sz val="11"/>
        <color rgb="FF000000"/>
        <rFont val="Meiryo UI"/>
        <family val="2"/>
      </rPr>
      <t>DuNT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</si>
  <si>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</si>
  <si>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</si>
  <si>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</si>
  <si>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</si>
  <si>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</si>
  <si>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</si>
  <si>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</si>
  <si>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</si>
  <si>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</si>
  <si>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</si>
  <si>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</si>
  <si>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</si>
  <si>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POSサーバーの詳細設計書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</si>
  <si>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</si>
  <si>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</si>
  <si>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</si>
  <si>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</si>
  <si>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r>
      <rPr>
        <sz val="11"/>
        <color rgb="FF000000"/>
        <rFont val="Meiryo UI"/>
        <family val="2"/>
      </rPr>
      <t xml:space="preserve">is_display_on_cash_machine、is_display_on_customer_screenのフィールドを追加する。	 </t>
    </r>
  </si>
  <si>
    <r>
      <rPr>
        <sz val="11"/>
        <color rgb="FF000000"/>
        <rFont val="Meiryo UI"/>
        <family val="2"/>
      </rPr>
      <t>処理フロー：プリセットレイアウト編集の場合を追加：予約日のバリデーションチェックが不要</t>
    </r>
  </si>
  <si>
    <r>
      <rPr>
        <sz val="11"/>
        <color rgb="FF000000"/>
        <rFont val="Meiryo UI"/>
        <family val="2"/>
      </rPr>
      <t>処理フロー：プリセットメニュー削除説明を追加</t>
    </r>
  </si>
  <si>
    <r>
      <rPr>
        <sz val="11"/>
        <color rgb="FF000000"/>
        <rFont val="Meiryo UI"/>
        <family val="2"/>
      </rPr>
      <t>AP1508 プリセットメニューボタンのバリデーションチェック説明を追加</t>
    </r>
  </si>
  <si>
    <r>
      <rPr>
        <sz val="11"/>
        <color rgb="FF000000"/>
        <rFont val="Meiryo UI"/>
        <family val="2"/>
      </rPr>
      <t>AP1508 is_hiddenを追加</t>
    </r>
  </si>
  <si>
    <t>AP1508: いなげや向けに保存・確定を処理するモードを追加</t>
  </si>
  <si>
    <t>処理フロー：全ての処理フローを更新する。</t>
  </si>
  <si>
    <t>26/02/2025</t>
  </si>
  <si>
    <t>LoiLV</t>
  </si>
  <si>
    <t>予約日バリデーションチェック更新</t>
  </si>
  <si>
    <t>プリセットメニュー、プリセットメニューボタンの追加、更新、削除のロジック変更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</si>
  <si>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</si>
  <si>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</si>
  <si>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</si>
  <si>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</si>
  <si>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</si>
  <si>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</si>
  <si>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</si>
  <si>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</si>
  <si>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代表ユーザーを認証するAPIキー値
フォーマット："Bearer {api_key}"</t>
    </r>
  </si>
  <si>
    <t>2.3 Query Parameter/ path parameter</t>
  </si>
  <si>
    <t>パラメータ</t>
  </si>
  <si>
    <t>2.4 Request Body</t>
  </si>
  <si>
    <t>mode</t>
  </si>
  <si>
    <t>Int</t>
  </si>
  <si>
    <r>
      <t>いなげやの場合、</t>
    </r>
    <r>
      <rPr>
        <sz val="11"/>
        <color rgb="FFFF0000"/>
        <rFont val="Meiryo UI"/>
        <family val="2"/>
      </rPr>
      <t xml:space="preserve">
</t>
    </r>
    <r>
      <rPr>
        <strike/>
        <sz val="11"/>
        <color rgb="FFFF0000"/>
        <rFont val="Meiryo UI"/>
        <family val="2"/>
      </rPr>
      <t>0 = 保存  (翌日の新規作成・コピーに適用）</t>
    </r>
    <r>
      <rPr>
        <sz val="11"/>
        <color rgb="FFFF0000"/>
        <rFont val="Meiryo UI"/>
        <family val="2"/>
      </rPr>
      <t xml:space="preserve">
</t>
    </r>
    <r>
      <rPr>
        <strike/>
        <sz val="11"/>
        <color rgb="FFFF0000"/>
        <rFont val="Meiryo UI"/>
        <family val="2"/>
      </rPr>
      <t>1= 確定 (即時に新規作成・コピーに適用）</t>
    </r>
    <r>
      <rPr>
        <sz val="11"/>
        <color rgb="FFFF0000"/>
        <rFont val="Meiryo UI"/>
        <family val="2"/>
      </rPr>
      <t xml:space="preserve">
</t>
    </r>
    <r>
      <rPr>
        <strike/>
        <sz val="11"/>
        <color rgb="FFFF0000"/>
        <rFont val="Meiryo UI"/>
        <family val="2"/>
      </rPr>
      <t>カスミの場合：以下のみがある。モード1= 確定 (即時に新規作成・コピーに適用）</t>
    </r>
  </si>
  <si>
    <r>
      <t>company_code = 100 (カスミ)の場合、「1」以外の場合、エラーメッセージ = MSG_VAL_019</t>
    </r>
    <r>
      <rPr>
        <sz val="11"/>
        <color rgb="FFFF0000"/>
        <rFont val="Meiryo UI"/>
        <family val="2"/>
      </rPr>
      <t xml:space="preserve">
</t>
    </r>
    <r>
      <rPr>
        <strike/>
        <sz val="11"/>
        <color rgb="FFFF0000"/>
        <rFont val="Meiryo UI"/>
        <family val="2"/>
      </rPr>
      <t>company_code = 800 (いなげや)の場合、「0」又は「1」以外の場合、エラーメッセージ = MSG_VAL_019</t>
    </r>
  </si>
  <si>
    <t>operation_type</t>
  </si>
  <si>
    <t>Small Int</t>
  </si>
  <si>
    <r>
      <t>・新規作成の場合、operation_typeを「1」として渡す。</t>
    </r>
    <r>
      <rPr>
        <sz val="11"/>
        <color rgb="FF7030A0"/>
        <rFont val="Meiryo UI"/>
        <family val="2"/>
      </rPr>
      <t xml:space="preserve">
</t>
    </r>
    <r>
      <rPr>
        <strike/>
        <sz val="11"/>
        <color rgb="FF7030A0"/>
        <rFont val="Meiryo UI"/>
        <family val="2"/>
      </rPr>
      <t>・編集の場合、operation_type を「2」として渡す。</t>
    </r>
    <r>
      <rPr>
        <sz val="11"/>
        <color rgb="FF7030A0"/>
        <rFont val="Meiryo UI"/>
        <family val="2"/>
      </rPr>
      <t xml:space="preserve">
</t>
    </r>
    <r>
      <rPr>
        <strike/>
        <sz val="11"/>
        <color rgb="FF7030A0"/>
        <rFont val="Meiryo UI"/>
        <family val="2"/>
      </rPr>
      <t>・削除の場合、operation_typeを「3」として渡す。</t>
    </r>
    <r>
      <rPr>
        <sz val="11"/>
        <color rgb="FF7030A0"/>
        <rFont val="Meiryo UI"/>
        <family val="2"/>
      </rPr>
      <t xml:space="preserve">
</t>
    </r>
    <r>
      <rPr>
        <strike/>
        <sz val="11"/>
        <color rgb="FF7030A0"/>
        <rFont val="Meiryo UI"/>
        <family val="2"/>
      </rPr>
      <t>上記以外の場合、エラーメッセージ = MSG_VAL_019</t>
    </r>
  </si>
  <si>
    <t>・プリセットレイアウトを新規作成する場合、record_idをnullとして渡す。
・プリセットレイアウトを編集する場合、該当するrecord_idを渡す。</t>
  </si>
  <si>
    <t>バリデーションチェック：数字、4桁 バリデーションチェックNGの場合、エラーメッセージ = MSG_VAL_019</t>
  </si>
  <si>
    <t>最大半角50文字（全角25文字）。文字数 &gt; 50の場合、 エラーメッセージ = MSG_VAL_002</t>
  </si>
  <si>
    <t>フォーマット: yyyy/mm/dd 
・編集・削除モードの場合、予約日のバリデーションチェックを行わない。
・明日以前の予約日を新規作成する場合、
「MSG_VAL_019」エラーメッセージを表示する。</t>
  </si>
  <si>
    <t>バリデーションチェック：&gt;= 1、&lt;=10、エラーメッセージ：MSG_VAL_019</t>
  </si>
  <si>
    <t xml:space="preserve">最大半角50文字（全角25文字）。文字数 &gt; 50の場合、 エラーメッセージ = MSG_VAL_002 </t>
  </si>
  <si>
    <t>・プリセットメニューボタンの新規作成の場合、record_idをnullとして渡す。
・プリセットメニューボタンの編集の場合、該当するrecord_idを渡す。</t>
  </si>
  <si>
    <t xml:space="preserve">
</t>
  </si>
  <si>
    <t>・1: 商品
・2：品種
・3: 機能
上記以外の場合、エラーメッセージ = MSG_VAL_019</t>
  </si>
  <si>
    <r>
      <rPr>
        <sz val="11"/>
        <color rgb="FF000000"/>
        <rFont val="Meiryo UI"/>
        <family val="2"/>
      </rPr>
      <t xml:space="preserve">最大半角50文字（全角25文字）。文字数 &gt; 50の場合、 エラーメッセージ = MSG_VAL_002 </t>
    </r>
  </si>
  <si>
    <t>プリセットメニューボタン表示状態: 1- 表示、0 - 非表示 上記以外の場合、エラーメッセージ = MSG_VAL_019</t>
  </si>
  <si>
    <t>※サンプル</t>
  </si>
  <si>
    <r>
      <t xml:space="preserve">    </t>
    </r>
    <r>
      <rPr>
        <strike/>
        <sz val="11"/>
        <color rgb="FF7030A0"/>
        <rFont val="Meiryo UI"/>
        <family val="2"/>
      </rPr>
      <t xml:space="preserve">    "operation_type": 1</t>
    </r>
  </si>
  <si>
    <r>
      <rPr>
        <sz val="11"/>
        <color rgb="FF000000"/>
        <rFont val="Meiryo UI"/>
        <family val="2"/>
      </rPr>
      <t>"preset_layout_name: "",</t>
    </r>
  </si>
  <si>
    <t xml:space="preserve">         "is_hidden":false,</t>
  </si>
  <si>
    <r>
      <rPr>
        <sz val="11"/>
        <color rgb="FF000000"/>
        <rFont val="Meiryo UI"/>
        <family val="2"/>
      </rPr>
      <t xml:space="preserve">         "is_display_on_cash_machine":true,</t>
    </r>
  </si>
  <si>
    <r>
      <rPr>
        <sz val="11"/>
        <color rgb="FF000000"/>
        <rFont val="Meiryo UI"/>
        <family val="2"/>
      </rPr>
      <t xml:space="preserve">         "is_display_on_customer_screen": true,</t>
    </r>
  </si>
  <si>
    <t xml:space="preserve">    "operation_type": 1</t>
  </si>
  <si>
    <r>
      <rPr>
        <sz val="11"/>
        <color rgb="FF000000"/>
        <rFont val="Meiryo UI"/>
        <family val="2"/>
      </rPr>
      <t>"group_code": 1</t>
    </r>
  </si>
  <si>
    <r>
      <rPr>
        <sz val="11"/>
        <color rgb="FF000000"/>
        <rFont val="Meiryo UI"/>
        <family val="2"/>
      </rPr>
      <t>"display_status": 1,</t>
    </r>
  </si>
  <si>
    <r>
      <rPr>
        <sz val="11"/>
        <color rgb="FF000000"/>
        <rFont val="Meiryo UI"/>
        <family val="2"/>
      </rPr>
      <t>"amount": 100</t>
    </r>
  </si>
  <si>
    <t>3. レスポンス</t>
  </si>
  <si>
    <t>3.1. 正常の場合のレスポンスフォーマット</t>
  </si>
  <si>
    <t>JSON name</t>
  </si>
  <si>
    <r>
      <rPr>
        <sz val="11"/>
        <color rgb="FF000000"/>
        <rFont val="Meiryo UI"/>
        <family val="2"/>
      </rPr>
      <t xml:space="preserve">        "status_code": 200</t>
    </r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</si>
  <si>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</si>
  <si>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 xml:space="preserve">+カスミ様：・数字4桁 -&gt; 数字ではない場合、エラーメッセージ = MSG_VAL_026。長さが4桁以外の場合、エラーメッセージ= MSG_VAL_002
+いなげや様：01、02。エラーの場合、エラーメッセージ = MSG_VAL_019
</t>
  </si>
  <si>
    <r>
      <rPr>
        <sz val="11"/>
        <color rgb="FFFFFFFF"/>
        <rFont val="Meiryo UI"/>
        <family val="2"/>
      </rPr>
      <t> 機能カテゴリ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</si>
</sst>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4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trike/>
      <sz val="11"/>
      <color rgb="FFFF0000"/>
      <name val="Meiryo UI"/>
      <family val="2"/>
    </font>
    <font>
      <strike/>
      <sz val="11"/>
      <color rgb="FF0070C0"/>
      <name val="Meiryo UI"/>
      <family val="2"/>
    </font>
    <font>
      <strike/>
      <sz val="11"/>
      <color rgb="FF7030A0"/>
      <name val="Meiryo UI"/>
      <family val="2"/>
    </font>
    <font>
      <sz val="11"/>
      <color rgb="FF7030A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6" fillId="0" borderId="0">
      <alignment vertical="center"/>
    </xf>
    <xf numFmtId="0" fontId="2" fillId="0" borderId="0">
      <alignment vertical="center"/>
    </xf>
  </cellStyleXfs>
  <cellXfs count="365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9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0" fillId="0" borderId="2" xfId="0" applyFont="1" applyBorder="1" applyAlignment="1">
      <alignment horizontal="left" vertical="center"/>
    </xf>
    <xf numFmtId="0" fontId="10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0" fillId="0" borderId="3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0" fillId="3" borderId="0" xfId="0" applyFont="1" applyFill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indent="3"/>
    </xf>
    <xf numFmtId="0" fontId="3" fillId="0" borderId="0" xfId="0" applyFont="1" applyAlignment="1">
      <alignment horizontal="left" vertical="center" indent="3"/>
    </xf>
    <xf numFmtId="0" fontId="9" fillId="0" borderId="0" xfId="0" applyFont="1" applyAlignment="1">
      <alignment horizontal="left" vertical="center" indent="3"/>
    </xf>
    <xf numFmtId="0" fontId="3" fillId="0" borderId="4" xfId="0" applyFont="1" applyBorder="1" applyAlignment="1">
      <alignment horizontal="left" vertical="center" indent="3"/>
    </xf>
    <xf numFmtId="0" fontId="4" fillId="0" borderId="0" xfId="0" applyFont="1" applyAlignment="1">
      <alignment horizontal="left" vertical="center" indent="3"/>
    </xf>
    <xf numFmtId="0" fontId="3" fillId="3" borderId="0" xfId="0" applyFont="1" applyFill="1" applyAlignment="1">
      <alignment horizontal="left" vertical="center" indent="3"/>
    </xf>
    <xf numFmtId="0" fontId="7" fillId="0" borderId="1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4" xfId="0" applyFont="1" applyBorder="1" applyAlignment="1">
      <alignment vertical="center"/>
    </xf>
    <xf numFmtId="0" fontId="7" fillId="3" borderId="0" xfId="0" applyFont="1" applyFill="1" applyAlignment="1">
      <alignment vertical="center"/>
    </xf>
    <xf numFmtId="0" fontId="13" fillId="0" borderId="1" xfId="0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3" fillId="0" borderId="4" xfId="0" applyFont="1" applyBorder="1" applyAlignment="1">
      <alignment vertical="center"/>
    </xf>
    <xf numFmtId="0" fontId="13" fillId="3" borderId="0" xfId="0" applyFont="1" applyFill="1" applyAlignment="1">
      <alignment vertical="center"/>
    </xf>
    <xf numFmtId="0" fontId="15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 indent="3"/>
    </xf>
    <xf numFmtId="0" fontId="15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indent="3"/>
    </xf>
    <xf numFmtId="0" fontId="4" fillId="0" borderId="23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4" fontId="15" fillId="0" borderId="16" xfId="0" applyNumberFormat="1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15" fillId="0" borderId="26" xfId="0" applyFont="1" applyBorder="1"/>
    <xf numFmtId="0" fontId="15" fillId="0" borderId="27" xfId="0" applyFont="1" applyBorder="1"/>
    <xf numFmtId="0" fontId="15" fillId="0" borderId="28" xfId="0" applyFont="1" applyBorder="1"/>
    <xf numFmtId="0" fontId="15" fillId="0" borderId="29" xfId="0" applyFont="1" applyBorder="1"/>
    <xf numFmtId="0" fontId="15" fillId="0" borderId="30" xfId="0" applyFont="1" applyBorder="1"/>
    <xf numFmtId="0" fontId="15" fillId="0" borderId="31" xfId="0" applyFont="1" applyBorder="1"/>
    <xf numFmtId="14" fontId="8" fillId="0" borderId="16" xfId="0" applyNumberFormat="1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8" fillId="0" borderId="26" xfId="0" applyFont="1" applyBorder="1"/>
    <xf numFmtId="0" fontId="8" fillId="0" borderId="27" xfId="0" applyFont="1" applyBorder="1"/>
    <xf numFmtId="0" fontId="8" fillId="0" borderId="28" xfId="0" applyFont="1" applyBorder="1"/>
    <xf numFmtId="0" fontId="8" fillId="0" borderId="29" xfId="0" applyFont="1" applyBorder="1"/>
    <xf numFmtId="0" fontId="8" fillId="0" borderId="30" xfId="0" applyFont="1" applyBorder="1"/>
    <xf numFmtId="0" fontId="8" fillId="0" borderId="31" xfId="0" applyFont="1" applyBorder="1"/>
    <xf numFmtId="1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6" xfId="0" applyFont="1" applyBorder="1"/>
    <xf numFmtId="0" fontId="7" fillId="0" borderId="27" xfId="0" applyFont="1" applyBorder="1"/>
    <xf numFmtId="0" fontId="7" fillId="0" borderId="28" xfId="0" applyFont="1" applyBorder="1"/>
    <xf numFmtId="0" fontId="7" fillId="0" borderId="29" xfId="0" applyFont="1" applyBorder="1"/>
    <xf numFmtId="0" fontId="7" fillId="0" borderId="30" xfId="0" applyFont="1" applyBorder="1"/>
    <xf numFmtId="0" fontId="7" fillId="0" borderId="31" xfId="0" applyFont="1" applyBorder="1"/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  <xf numFmtId="0" fontId="4" fillId="0" borderId="23" xfId="0" quotePrefix="1" applyFont="1" applyBorder="1" applyAlignment="1">
      <alignment horizontal="left" vertical="center" wrapText="1"/>
    </xf>
    <xf numFmtId="0" fontId="4" fillId="0" borderId="24" xfId="0" quotePrefix="1" applyFont="1" applyBorder="1" applyAlignment="1">
      <alignment horizontal="left" vertical="center" wrapText="1"/>
    </xf>
    <xf numFmtId="0" fontId="4" fillId="0" borderId="25" xfId="0" quotePrefix="1" applyFont="1" applyBorder="1" applyAlignment="1">
      <alignment horizontal="left" vertical="center" wrapText="1"/>
    </xf>
    <xf numFmtId="0" fontId="4" fillId="0" borderId="23" xfId="0" quotePrefix="1" applyFont="1" applyBorder="1" applyAlignment="1">
      <alignment horizontal="left" vertical="center"/>
    </xf>
    <xf numFmtId="0" fontId="4" fillId="0" borderId="24" xfId="0" quotePrefix="1" applyFont="1" applyBorder="1" applyAlignment="1">
      <alignment horizontal="left" vertical="center"/>
    </xf>
    <xf numFmtId="0" fontId="4" fillId="0" borderId="25" xfId="0" quotePrefix="1" applyFont="1" applyBorder="1" applyAlignment="1">
      <alignment horizontal="left" vertical="center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3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 indent="1"/>
    </xf>
    <xf numFmtId="0" fontId="3" fillId="0" borderId="25" xfId="0" applyFont="1" applyBorder="1" applyAlignment="1">
      <alignment horizontal="left" vertical="center" indent="1"/>
    </xf>
    <xf numFmtId="0" fontId="3" fillId="0" borderId="24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 indent="2"/>
    </xf>
    <xf numFmtId="0" fontId="3" fillId="0" borderId="24" xfId="0" applyFont="1" applyBorder="1" applyAlignment="1">
      <alignment horizontal="left" vertical="center" indent="2"/>
    </xf>
    <xf numFmtId="0" fontId="3" fillId="0" borderId="25" xfId="0" applyFont="1" applyBorder="1" applyAlignment="1">
      <alignment horizontal="left" vertical="center" indent="2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5" fillId="5" borderId="25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5" fillId="5" borderId="23" xfId="0" applyFont="1" applyFill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8" fillId="0" borderId="23" xfId="0" applyFont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14" fillId="0" borderId="23" xfId="0" quotePrefix="1" applyFont="1" applyBorder="1" applyAlignment="1">
      <alignment horizontal="left" vertical="center" wrapText="1"/>
    </xf>
    <xf numFmtId="0" fontId="14" fillId="0" borderId="24" xfId="0" quotePrefix="1" applyFont="1" applyBorder="1" applyAlignment="1">
      <alignment horizontal="left" vertical="center"/>
    </xf>
    <xf numFmtId="0" fontId="14" fillId="0" borderId="25" xfId="0" quotePrefix="1" applyFont="1" applyBorder="1" applyAlignment="1">
      <alignment horizontal="left" vertical="center"/>
    </xf>
    <xf numFmtId="0" fontId="3" fillId="0" borderId="23" xfId="0" applyFont="1" applyBorder="1" applyAlignment="1">
      <alignment vertical="center"/>
    </xf>
    <xf numFmtId="0" fontId="3" fillId="0" borderId="24" xfId="0" applyFont="1" applyBorder="1" applyAlignment="1">
      <alignment vertical="center"/>
    </xf>
    <xf numFmtId="0" fontId="3" fillId="0" borderId="25" xfId="0" applyFont="1" applyBorder="1" applyAlignment="1">
      <alignment vertical="center"/>
    </xf>
    <xf numFmtId="0" fontId="14" fillId="0" borderId="23" xfId="0" applyFont="1" applyBorder="1" applyAlignment="1">
      <alignment horizontal="left" vertical="center"/>
    </xf>
    <xf numFmtId="0" fontId="14" fillId="0" borderId="24" xfId="0" applyFont="1" applyBorder="1" applyAlignment="1">
      <alignment horizontal="left" vertical="center"/>
    </xf>
    <xf numFmtId="0" fontId="14" fillId="0" borderId="25" xfId="0" applyFont="1" applyBorder="1" applyAlignment="1">
      <alignment horizontal="left" vertical="center"/>
    </xf>
    <xf numFmtId="0" fontId="8" fillId="0" borderId="23" xfId="0" quotePrefix="1" applyFont="1" applyBorder="1" applyAlignment="1">
      <alignment horizontal="left" vertical="center"/>
    </xf>
    <xf numFmtId="0" fontId="8" fillId="0" borderId="24" xfId="0" quotePrefix="1" applyFont="1" applyBorder="1" applyAlignment="1">
      <alignment horizontal="left" vertical="center"/>
    </xf>
    <xf numFmtId="0" fontId="8" fillId="0" borderId="25" xfId="0" quotePrefix="1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6" fillId="5" borderId="23" xfId="0" applyFont="1" applyFill="1" applyBorder="1" applyAlignment="1">
      <alignment vertical="center"/>
    </xf>
    <xf numFmtId="0" fontId="5" fillId="5" borderId="24" xfId="0" applyFont="1" applyFill="1" applyBorder="1" applyAlignment="1">
      <alignment vertical="center"/>
    </xf>
    <xf numFmtId="0" fontId="5" fillId="5" borderId="25" xfId="0" applyFont="1" applyFill="1" applyBorder="1" applyAlignment="1">
      <alignment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12" fillId="0" borderId="23" xfId="0" applyFont="1" applyBorder="1" applyAlignment="1">
      <alignment horizontal="left" vertical="center"/>
    </xf>
    <xf numFmtId="0" fontId="12" fillId="0" borderId="24" xfId="0" applyFont="1" applyBorder="1" applyAlignment="1">
      <alignment horizontal="left" vertical="center"/>
    </xf>
    <xf numFmtId="0" fontId="12" fillId="0" borderId="25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2" fillId="0" borderId="23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12" fillId="0" borderId="25" xfId="0" applyFont="1" applyBorder="1" applyAlignment="1">
      <alignment horizontal="center" vertical="center"/>
    </xf>
    <xf numFmtId="0" fontId="15" fillId="0" borderId="23" xfId="0" quotePrefix="1" applyFont="1" applyBorder="1" applyAlignment="1">
      <alignment horizontal="left" vertical="top" wrapText="1"/>
    </xf>
    <xf numFmtId="0" fontId="4" fillId="0" borderId="24" xfId="0" quotePrefix="1" applyFont="1" applyBorder="1" applyAlignment="1">
      <alignment horizontal="left" vertical="top" wrapText="1"/>
    </xf>
    <xf numFmtId="0" fontId="4" fillId="0" borderId="25" xfId="0" quotePrefix="1" applyFont="1" applyBorder="1" applyAlignment="1">
      <alignment horizontal="left" vertical="top" wrapText="1"/>
    </xf>
    <xf numFmtId="0" fontId="13" fillId="0" borderId="23" xfId="0" applyFont="1" applyBorder="1" applyAlignment="1">
      <alignment horizontal="left" vertical="center"/>
    </xf>
    <xf numFmtId="0" fontId="13" fillId="0" borderId="25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 indent="1"/>
    </xf>
    <xf numFmtId="0" fontId="14" fillId="0" borderId="24" xfId="0" applyFont="1" applyBorder="1" applyAlignment="1">
      <alignment horizontal="left" vertical="center" indent="1"/>
    </xf>
    <xf numFmtId="0" fontId="14" fillId="0" borderId="25" xfId="0" applyFont="1" applyBorder="1" applyAlignment="1">
      <alignment horizontal="left" vertical="center" indent="1"/>
    </xf>
    <xf numFmtId="0" fontId="14" fillId="0" borderId="23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25" xfId="0" applyFont="1" applyBorder="1" applyAlignment="1">
      <alignment horizontal="center" vertical="center"/>
    </xf>
    <xf numFmtId="0" fontId="8" fillId="0" borderId="23" xfId="0" quotePrefix="1" applyFont="1" applyBorder="1" applyAlignment="1">
      <alignment horizontal="left" vertical="center" wrapText="1"/>
    </xf>
    <xf numFmtId="0" fontId="8" fillId="0" borderId="24" xfId="0" quotePrefix="1" applyFont="1" applyBorder="1" applyAlignment="1">
      <alignment horizontal="left" vertical="center" wrapText="1"/>
    </xf>
    <xf numFmtId="0" fontId="8" fillId="0" borderId="25" xfId="0" quotePrefix="1" applyFont="1" applyBorder="1" applyAlignment="1">
      <alignment horizontal="left" vertical="center" wrapText="1"/>
    </xf>
    <xf numFmtId="0" fontId="13" fillId="0" borderId="23" xfId="0" applyFont="1" applyBorder="1" applyAlignment="1">
      <alignment horizontal="left" vertical="center" indent="1"/>
    </xf>
    <xf numFmtId="0" fontId="13" fillId="0" borderId="25" xfId="0" applyFont="1" applyBorder="1" applyAlignment="1">
      <alignment horizontal="left" vertical="center" indent="1"/>
    </xf>
    <xf numFmtId="0" fontId="14" fillId="0" borderId="23" xfId="0" applyFont="1" applyBorder="1" applyAlignment="1">
      <alignment horizontal="left" vertical="center" indent="2"/>
    </xf>
    <xf numFmtId="0" fontId="14" fillId="0" borderId="24" xfId="0" applyFont="1" applyBorder="1" applyAlignment="1">
      <alignment horizontal="left" vertical="center" indent="2"/>
    </xf>
    <xf numFmtId="0" fontId="14" fillId="0" borderId="25" xfId="0" applyFont="1" applyBorder="1" applyAlignment="1">
      <alignment horizontal="left" vertical="center" indent="2"/>
    </xf>
    <xf numFmtId="0" fontId="12" fillId="0" borderId="23" xfId="0" applyFont="1" applyBorder="1" applyAlignment="1">
      <alignment horizontal="left" vertical="center" wrapText="1"/>
    </xf>
    <xf numFmtId="0" fontId="12" fillId="0" borderId="23" xfId="0" quotePrefix="1" applyFont="1" applyBorder="1" applyAlignment="1">
      <alignment horizontal="left" vertical="center" wrapText="1"/>
    </xf>
    <xf numFmtId="0" fontId="12" fillId="0" borderId="24" xfId="0" quotePrefix="1" applyFont="1" applyBorder="1" applyAlignment="1">
      <alignment horizontal="left" vertical="center"/>
    </xf>
    <xf numFmtId="0" fontId="12" fillId="0" borderId="25" xfId="0" quotePrefix="1" applyFont="1" applyBorder="1" applyAlignment="1">
      <alignment horizontal="left" vertical="center"/>
    </xf>
    <xf numFmtId="0" fontId="7" fillId="0" borderId="23" xfId="0" quotePrefix="1" applyFont="1" applyBorder="1" applyAlignment="1">
      <alignment horizontal="left" vertical="center"/>
    </xf>
    <xf numFmtId="0" fontId="7" fillId="0" borderId="24" xfId="0" quotePrefix="1" applyFont="1" applyBorder="1" applyAlignment="1">
      <alignment horizontal="left" vertical="center"/>
    </xf>
    <xf numFmtId="0" fontId="7" fillId="0" borderId="25" xfId="0" quotePrefix="1" applyFont="1" applyBorder="1" applyAlignment="1">
      <alignment horizontal="left" vertical="center"/>
    </xf>
    <xf numFmtId="0" fontId="17" fillId="4" borderId="23" xfId="0" applyFont="1" applyFill="1" applyBorder="1" applyAlignment="1">
      <alignment horizontal="center" vertical="center"/>
    </xf>
    <xf numFmtId="0" fontId="17" fillId="4" borderId="24" xfId="0" applyFont="1" applyFill="1" applyBorder="1" applyAlignment="1">
      <alignment horizontal="center" vertical="center"/>
    </xf>
    <xf numFmtId="0" fontId="17" fillId="4" borderId="25" xfId="0" applyFont="1" applyFill="1" applyBorder="1" applyAlignment="1">
      <alignment horizontal="center" vertical="center"/>
    </xf>
    <xf numFmtId="0" fontId="19" fillId="0" borderId="16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1" fillId="0" borderId="0" xfId="0" applyFont="1"/>
    <xf numFmtId="0" fontId="21" fillId="0" borderId="17" xfId="0" applyFont="1" applyBorder="1" applyAlignment="1">
      <alignment horizontal="center" vertical="center"/>
    </xf>
    <xf numFmtId="0" fontId="21" fillId="0" borderId="18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14" fontId="21" fillId="0" borderId="16" xfId="0" applyNumberFormat="1" applyFont="1" applyBorder="1" applyAlignment="1">
      <alignment horizontal="center" vertical="center"/>
    </xf>
    <xf numFmtId="14" fontId="21" fillId="0" borderId="17" xfId="0" applyNumberFormat="1" applyFont="1" applyBorder="1" applyAlignment="1">
      <alignment horizontal="center" vertical="center"/>
    </xf>
    <xf numFmtId="14" fontId="21" fillId="0" borderId="18" xfId="0" applyNumberFormat="1" applyFont="1" applyBorder="1" applyAlignment="1">
      <alignment horizontal="center" vertical="center"/>
    </xf>
    <xf numFmtId="2" fontId="21" fillId="0" borderId="16" xfId="0" applyNumberFormat="1" applyFont="1" applyBorder="1" applyAlignment="1">
      <alignment horizontal="center" vertical="center"/>
    </xf>
    <xf numFmtId="2" fontId="21" fillId="0" borderId="17" xfId="0" applyNumberFormat="1" applyFont="1" applyBorder="1" applyAlignment="1">
      <alignment horizontal="center" vertical="center"/>
    </xf>
    <xf numFmtId="2" fontId="21" fillId="0" borderId="18" xfId="0" applyNumberFormat="1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1" fillId="0" borderId="5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4" fontId="21" fillId="0" borderId="2" xfId="0" applyNumberFormat="1" applyFont="1" applyBorder="1" applyAlignment="1">
      <alignment horizontal="center" vertical="center"/>
    </xf>
    <xf numFmtId="14" fontId="21" fillId="0" borderId="3" xfId="0" applyNumberFormat="1" applyFont="1" applyBorder="1" applyAlignment="1">
      <alignment horizontal="center" vertical="center"/>
    </xf>
    <xf numFmtId="14" fontId="21" fillId="0" borderId="5" xfId="0" applyNumberFormat="1" applyFont="1" applyBorder="1" applyAlignment="1">
      <alignment horizontal="center" vertical="center"/>
    </xf>
    <xf numFmtId="2" fontId="21" fillId="0" borderId="2" xfId="0" applyNumberFormat="1" applyFont="1" applyBorder="1" applyAlignment="1">
      <alignment horizontal="center" vertical="center"/>
    </xf>
    <xf numFmtId="2" fontId="21" fillId="0" borderId="3" xfId="0" applyNumberFormat="1" applyFont="1" applyBorder="1" applyAlignment="1">
      <alignment horizontal="center" vertical="center"/>
    </xf>
    <xf numFmtId="2" fontId="21" fillId="0" borderId="5" xfId="0" applyNumberFormat="1" applyFont="1" applyBorder="1" applyAlignment="1">
      <alignment horizontal="center" vertical="center"/>
    </xf>
    <xf numFmtId="0" fontId="21" fillId="0" borderId="23" xfId="0" applyFont="1" applyBorder="1" applyAlignment="1">
      <alignment horizontal="center" vertical="center"/>
    </xf>
    <xf numFmtId="0" fontId="21" fillId="0" borderId="24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0" fontId="21" fillId="0" borderId="2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1" xfId="0" applyFont="1" applyBorder="1"/>
    <xf numFmtId="0" fontId="21" fillId="0" borderId="4" xfId="0" applyFont="1" applyBorder="1"/>
    <xf numFmtId="0" fontId="21" fillId="0" borderId="7" xfId="0" applyFont="1" applyBorder="1"/>
    <xf numFmtId="0" fontId="21" fillId="0" borderId="8" xfId="0" applyFont="1" applyBorder="1"/>
    <xf numFmtId="0" fontId="21" fillId="0" borderId="11" xfId="0" applyFont="1" applyBorder="1"/>
    <xf numFmtId="0" fontId="21" fillId="0" borderId="6" xfId="0" applyFont="1" applyBorder="1"/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1" fillId="0" borderId="12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9" xfId="0" applyFont="1" applyBorder="1"/>
    <xf numFmtId="0" fontId="21" fillId="0" borderId="10" xfId="0" applyFont="1" applyBorder="1"/>
    <xf numFmtId="0" fontId="21" fillId="0" borderId="13" xfId="0" applyFont="1" applyBorder="1"/>
    <xf numFmtId="0" fontId="17" fillId="4" borderId="16" xfId="0" applyFont="1" applyFill="1" applyBorder="1" applyAlignment="1">
      <alignment horizontal="center" vertical="center"/>
    </xf>
    <xf numFmtId="0" fontId="17" fillId="4" borderId="17" xfId="0" applyFont="1" applyFill="1" applyBorder="1" applyAlignment="1">
      <alignment horizontal="center" vertical="center"/>
    </xf>
    <xf numFmtId="0" fontId="17" fillId="4" borderId="18" xfId="0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0" fontId="17" fillId="4" borderId="5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4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7" fillId="4" borderId="0" xfId="0" applyFont="1" applyFill="1"/>
    <xf numFmtId="0" fontId="21" fillId="0" borderId="26" xfId="0" applyFont="1" applyBorder="1"/>
    <xf numFmtId="0" fontId="21" fillId="0" borderId="27" xfId="0" applyFont="1" applyBorder="1"/>
    <xf numFmtId="0" fontId="21" fillId="0" borderId="28" xfId="0" applyFont="1" applyBorder="1"/>
    <xf numFmtId="0" fontId="21" fillId="0" borderId="17" xfId="0" applyFont="1" applyBorder="1"/>
    <xf numFmtId="0" fontId="21" fillId="0" borderId="18" xfId="0" applyFont="1" applyBorder="1"/>
    <xf numFmtId="0" fontId="21" fillId="0" borderId="16" xfId="0" applyFont="1" applyBorder="1"/>
    <xf numFmtId="0" fontId="21" fillId="0" borderId="29" xfId="0" applyFont="1" applyBorder="1"/>
    <xf numFmtId="0" fontId="21" fillId="0" borderId="30" xfId="0" applyFont="1" applyBorder="1"/>
    <xf numFmtId="0" fontId="21" fillId="0" borderId="31" xfId="0" applyFont="1" applyBorder="1"/>
    <xf numFmtId="0" fontId="21" fillId="0" borderId="3" xfId="0" applyFont="1" applyBorder="1"/>
    <xf numFmtId="0" fontId="21" fillId="0" borderId="5" xfId="0" applyFont="1" applyBorder="1"/>
    <xf numFmtId="0" fontId="21" fillId="0" borderId="2" xfId="0" applyFont="1" applyBorder="1"/>
    <xf numFmtId="0" fontId="17" fillId="4" borderId="23" xfId="6" applyFont="1" applyFill="1" applyBorder="1" applyAlignment="1">
      <alignment horizontal="center" vertical="center"/>
    </xf>
    <xf numFmtId="0" fontId="17" fillId="4" borderId="24" xfId="6" applyFont="1" applyFill="1" applyBorder="1" applyAlignment="1">
      <alignment horizontal="center" vertical="center"/>
    </xf>
    <xf numFmtId="0" fontId="17" fillId="4" borderId="25" xfId="6" applyFont="1" applyFill="1" applyBorder="1" applyAlignment="1">
      <alignment horizontal="center" vertical="center"/>
    </xf>
    <xf numFmtId="0" fontId="20" fillId="0" borderId="16" xfId="6" applyFont="1" applyBorder="1" applyAlignment="1">
      <alignment horizontal="center" vertical="center"/>
    </xf>
    <xf numFmtId="0" fontId="20" fillId="0" borderId="17" xfId="6" applyFont="1" applyBorder="1" applyAlignment="1">
      <alignment horizontal="center" vertical="center"/>
    </xf>
    <xf numFmtId="0" fontId="20" fillId="0" borderId="18" xfId="6" applyFont="1" applyBorder="1" applyAlignment="1">
      <alignment horizontal="center" vertical="center"/>
    </xf>
    <xf numFmtId="0" fontId="20" fillId="0" borderId="1" xfId="6" applyFont="1" applyBorder="1" applyAlignment="1">
      <alignment horizontal="center" vertical="center"/>
    </xf>
    <xf numFmtId="0" fontId="20" fillId="0" borderId="0" xfId="6" applyFont="1" applyAlignment="1">
      <alignment horizontal="center" vertical="center"/>
    </xf>
    <xf numFmtId="0" fontId="20" fillId="0" borderId="4" xfId="6" applyFont="1" applyBorder="1" applyAlignment="1">
      <alignment horizontal="center" vertical="center"/>
    </xf>
    <xf numFmtId="0" fontId="20" fillId="0" borderId="2" xfId="6" applyFont="1" applyBorder="1" applyAlignment="1">
      <alignment horizontal="center" vertical="center"/>
    </xf>
    <xf numFmtId="0" fontId="20" fillId="0" borderId="3" xfId="6" applyFont="1" applyBorder="1" applyAlignment="1">
      <alignment horizontal="center" vertical="center"/>
    </xf>
    <xf numFmtId="0" fontId="20" fillId="0" borderId="5" xfId="6" applyFont="1" applyBorder="1" applyAlignment="1">
      <alignment horizontal="center" vertical="center"/>
    </xf>
    <xf numFmtId="0" fontId="21" fillId="0" borderId="1" xfId="0" applyFont="1" applyBorder="1" applyAlignment="1">
      <alignment vertical="center"/>
    </xf>
    <xf numFmtId="0" fontId="18" fillId="4" borderId="19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7" fillId="4" borderId="21" xfId="0" applyFont="1" applyFill="1" applyBorder="1" applyAlignment="1">
      <alignment vertical="center"/>
    </xf>
    <xf numFmtId="0" fontId="17" fillId="4" borderId="19" xfId="0" applyFont="1" applyFill="1" applyBorder="1" applyAlignment="1">
      <alignment vertical="center"/>
    </xf>
    <xf numFmtId="0" fontId="21" fillId="0" borderId="4" xfId="0" applyFont="1" applyBorder="1" applyAlignment="1">
      <alignment vertical="center"/>
    </xf>
    <xf numFmtId="0" fontId="21" fillId="0" borderId="0" xfId="0" applyFont="1" applyAlignment="1">
      <alignment vertical="center"/>
    </xf>
    <xf numFmtId="0" fontId="21" fillId="2" borderId="0" xfId="0" applyFont="1" applyFill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1" fillId="0" borderId="23" xfId="0" quotePrefix="1" applyFont="1" applyBorder="1" applyAlignment="1">
      <alignment horizontal="left" vertical="center"/>
    </xf>
    <xf numFmtId="0" fontId="21" fillId="0" borderId="24" xfId="0" quotePrefix="1" applyFont="1" applyBorder="1" applyAlignment="1">
      <alignment horizontal="left" vertical="center"/>
    </xf>
    <xf numFmtId="0" fontId="21" fillId="0" borderId="25" xfId="0" quotePrefix="1" applyFont="1" applyBorder="1" applyAlignment="1">
      <alignment horizontal="left" vertical="center"/>
    </xf>
    <xf numFmtId="0" fontId="21" fillId="0" borderId="16" xfId="0" applyFont="1" applyBorder="1" applyAlignment="1">
      <alignment horizontal="left" vertical="center"/>
    </xf>
    <xf numFmtId="0" fontId="21" fillId="0" borderId="17" xfId="0" applyFont="1" applyBorder="1" applyAlignment="1">
      <alignment horizontal="left" vertical="center"/>
    </xf>
    <xf numFmtId="0" fontId="21" fillId="0" borderId="18" xfId="0" applyFont="1" applyBorder="1" applyAlignment="1">
      <alignment horizontal="left" vertical="center"/>
    </xf>
    <xf numFmtId="0" fontId="21" fillId="0" borderId="16" xfId="0" quotePrefix="1" applyFont="1" applyBorder="1" applyAlignment="1">
      <alignment horizontal="left" vertical="center" wrapText="1"/>
    </xf>
    <xf numFmtId="0" fontId="21" fillId="0" borderId="17" xfId="0" quotePrefix="1" applyFont="1" applyBorder="1" applyAlignment="1">
      <alignment horizontal="left" vertical="center" wrapText="1"/>
    </xf>
    <xf numFmtId="0" fontId="21" fillId="0" borderId="18" xfId="0" quotePrefix="1" applyFont="1" applyBorder="1" applyAlignment="1">
      <alignment horizontal="left" vertical="center" wrapText="1"/>
    </xf>
    <xf numFmtId="0" fontId="21" fillId="0" borderId="2" xfId="0" applyFont="1" applyBorder="1" applyAlignment="1">
      <alignment horizontal="left" vertical="center"/>
    </xf>
    <xf numFmtId="0" fontId="21" fillId="0" borderId="3" xfId="0" applyFont="1" applyBorder="1" applyAlignment="1">
      <alignment horizontal="left" vertical="center"/>
    </xf>
    <xf numFmtId="0" fontId="21" fillId="0" borderId="5" xfId="0" applyFont="1" applyBorder="1" applyAlignment="1">
      <alignment horizontal="left" vertical="center"/>
    </xf>
    <xf numFmtId="0" fontId="21" fillId="0" borderId="2" xfId="0" quotePrefix="1" applyFont="1" applyBorder="1" applyAlignment="1">
      <alignment horizontal="left" vertical="center" wrapText="1"/>
    </xf>
    <xf numFmtId="0" fontId="21" fillId="0" borderId="3" xfId="0" quotePrefix="1" applyFont="1" applyBorder="1" applyAlignment="1">
      <alignment horizontal="left" vertical="center" wrapText="1"/>
    </xf>
    <xf numFmtId="0" fontId="21" fillId="0" borderId="5" xfId="0" quotePrefix="1" applyFont="1" applyBorder="1" applyAlignment="1">
      <alignment horizontal="left" vertical="center" wrapText="1"/>
    </xf>
    <xf numFmtId="0" fontId="21" fillId="0" borderId="23" xfId="0" applyFont="1" applyBorder="1" applyAlignment="1">
      <alignment horizontal="left" vertical="center"/>
    </xf>
    <xf numFmtId="0" fontId="21" fillId="0" borderId="24" xfId="0" applyFont="1" applyBorder="1" applyAlignment="1">
      <alignment horizontal="left" vertical="center"/>
    </xf>
    <xf numFmtId="0" fontId="21" fillId="0" borderId="25" xfId="0" applyFont="1" applyBorder="1" applyAlignment="1">
      <alignment horizontal="left" vertical="center"/>
    </xf>
    <xf numFmtId="0" fontId="21" fillId="0" borderId="23" xfId="0" quotePrefix="1" applyFont="1" applyBorder="1" applyAlignment="1">
      <alignment horizontal="left" vertical="center" wrapText="1"/>
    </xf>
    <xf numFmtId="0" fontId="21" fillId="0" borderId="24" xfId="0" quotePrefix="1" applyFont="1" applyBorder="1" applyAlignment="1">
      <alignment horizontal="left" vertical="center" wrapText="1"/>
    </xf>
    <xf numFmtId="0" fontId="21" fillId="0" borderId="25" xfId="0" quotePrefix="1" applyFont="1" applyBorder="1" applyAlignment="1">
      <alignment horizontal="left" vertical="center" wrapText="1"/>
    </xf>
    <xf numFmtId="0" fontId="21" fillId="0" borderId="16" xfId="0" quotePrefix="1" applyFont="1" applyBorder="1" applyAlignment="1">
      <alignment horizontal="center" vertical="center"/>
    </xf>
    <xf numFmtId="0" fontId="21" fillId="0" borderId="17" xfId="0" quotePrefix="1" applyFont="1" applyBorder="1" applyAlignment="1">
      <alignment horizontal="center" vertical="center"/>
    </xf>
    <xf numFmtId="0" fontId="21" fillId="0" borderId="18" xfId="0" quotePrefix="1" applyFont="1" applyBorder="1" applyAlignment="1">
      <alignment horizontal="center" vertical="center"/>
    </xf>
    <xf numFmtId="0" fontId="21" fillId="0" borderId="16" xfId="0" quotePrefix="1" applyFont="1" applyBorder="1" applyAlignment="1">
      <alignment horizontal="left" vertical="center"/>
    </xf>
    <xf numFmtId="0" fontId="21" fillId="0" borderId="17" xfId="0" quotePrefix="1" applyFont="1" applyBorder="1" applyAlignment="1">
      <alignment horizontal="left" vertical="center"/>
    </xf>
    <xf numFmtId="0" fontId="21" fillId="0" borderId="18" xfId="0" quotePrefix="1" applyFont="1" applyBorder="1" applyAlignment="1">
      <alignment horizontal="left" vertical="center"/>
    </xf>
    <xf numFmtId="0" fontId="21" fillId="3" borderId="16" xfId="0" quotePrefix="1" applyFont="1" applyFill="1" applyBorder="1" applyAlignment="1">
      <alignment vertical="center"/>
    </xf>
    <xf numFmtId="0" fontId="21" fillId="3" borderId="17" xfId="0" quotePrefix="1" applyFont="1" applyFill="1" applyBorder="1" applyAlignment="1">
      <alignment vertical="center"/>
    </xf>
    <xf numFmtId="0" fontId="21" fillId="3" borderId="18" xfId="0" quotePrefix="1" applyFont="1" applyFill="1" applyBorder="1" applyAlignment="1">
      <alignment vertical="center"/>
    </xf>
    <xf numFmtId="0" fontId="21" fillId="0" borderId="16" xfId="0" applyFont="1" applyBorder="1" applyAlignment="1">
      <alignment horizontal="left" vertical="top"/>
    </xf>
    <xf numFmtId="0" fontId="21" fillId="0" borderId="17" xfId="0" applyFont="1" applyBorder="1" applyAlignment="1">
      <alignment horizontal="left" vertical="top"/>
    </xf>
    <xf numFmtId="0" fontId="21" fillId="0" borderId="18" xfId="0" applyFont="1" applyBorder="1" applyAlignment="1">
      <alignment horizontal="left" vertical="top"/>
    </xf>
    <xf numFmtId="0" fontId="21" fillId="0" borderId="17" xfId="0" quotePrefix="1" applyFont="1" applyBorder="1" applyAlignment="1">
      <alignment horizontal="left" vertical="top" wrapText="1"/>
    </xf>
    <xf numFmtId="0" fontId="21" fillId="0" borderId="18" xfId="0" quotePrefix="1" applyFont="1" applyBorder="1" applyAlignment="1">
      <alignment horizontal="left" vertical="top" wrapText="1"/>
    </xf>
    <xf numFmtId="0" fontId="21" fillId="5" borderId="24" xfId="0" applyFont="1" applyFill="1" applyBorder="1" applyAlignment="1">
      <alignment horizontal="left" vertical="center"/>
    </xf>
    <xf numFmtId="0" fontId="21" fillId="5" borderId="25" xfId="0" applyFont="1" applyFill="1" applyBorder="1" applyAlignment="1">
      <alignment horizontal="left" vertical="center"/>
    </xf>
    <xf numFmtId="0" fontId="21" fillId="5" borderId="23" xfId="0" applyFont="1" applyFill="1" applyBorder="1" applyAlignment="1">
      <alignment horizontal="left" vertical="center"/>
    </xf>
    <xf numFmtId="0" fontId="21" fillId="0" borderId="23" xfId="0" applyFont="1" applyBorder="1" applyAlignment="1">
      <alignment horizontal="left" vertical="center" indent="1"/>
    </xf>
    <xf numFmtId="0" fontId="21" fillId="0" borderId="24" xfId="0" applyFont="1" applyBorder="1" applyAlignment="1">
      <alignment horizontal="left" vertical="center" indent="1"/>
    </xf>
    <xf numFmtId="0" fontId="21" fillId="0" borderId="25" xfId="0" applyFont="1" applyBorder="1" applyAlignment="1">
      <alignment horizontal="left" vertical="center" indent="1"/>
    </xf>
    <xf numFmtId="0" fontId="21" fillId="0" borderId="1" xfId="0" applyFont="1" applyBorder="1" applyAlignment="1">
      <alignment horizontal="left" vertical="center"/>
    </xf>
    <xf numFmtId="0" fontId="21" fillId="3" borderId="0" xfId="0" applyFont="1" applyFill="1" applyAlignment="1">
      <alignment vertical="center"/>
    </xf>
    <xf numFmtId="0" fontId="21" fillId="0" borderId="23" xfId="0" applyFont="1" applyBorder="1" applyAlignment="1">
      <alignment horizontal="left" vertical="center" indent="2"/>
    </xf>
    <xf numFmtId="0" fontId="21" fillId="0" borderId="24" xfId="0" applyFont="1" applyBorder="1" applyAlignment="1">
      <alignment horizontal="left" vertical="center" indent="2"/>
    </xf>
    <xf numFmtId="0" fontId="21" fillId="0" borderId="25" xfId="0" applyFont="1" applyBorder="1" applyAlignment="1">
      <alignment horizontal="left" vertical="center" indent="2"/>
    </xf>
    <xf numFmtId="0" fontId="21" fillId="0" borderId="16" xfId="0" applyFont="1" applyBorder="1" applyAlignment="1">
      <alignment horizontal="left" vertical="center"/>
    </xf>
    <xf numFmtId="0" fontId="21" fillId="0" borderId="0" xfId="0" applyFont="1" applyAlignment="1">
      <alignment horizontal="left" vertical="center" indent="1"/>
    </xf>
    <xf numFmtId="0" fontId="21" fillId="0" borderId="0" xfId="0" applyFont="1" applyAlignment="1">
      <alignment horizontal="left" vertical="center" indent="3"/>
    </xf>
    <xf numFmtId="0" fontId="21" fillId="0" borderId="0" xfId="0" applyFont="1" applyAlignment="1">
      <alignment horizontal="left" vertical="center" indent="2"/>
    </xf>
    <xf numFmtId="0" fontId="21" fillId="0" borderId="2" xfId="0" applyFont="1" applyBorder="1" applyAlignment="1">
      <alignment horizontal="left" vertical="center"/>
    </xf>
    <xf numFmtId="0" fontId="21" fillId="0" borderId="21" xfId="0" applyFont="1" applyBorder="1" applyAlignment="1">
      <alignment vertical="center"/>
    </xf>
    <xf numFmtId="0" fontId="21" fillId="2" borderId="19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2" borderId="21" xfId="0" applyFont="1" applyFill="1" applyBorder="1" applyAlignment="1">
      <alignment vertical="center"/>
    </xf>
    <xf numFmtId="0" fontId="21" fillId="0" borderId="19" xfId="0" applyFont="1" applyBorder="1" applyAlignment="1">
      <alignment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17</xdr:row>
      <xdr:rowOff>179294</xdr:rowOff>
    </xdr:from>
    <xdr:to>
      <xdr:col>26</xdr:col>
      <xdr:colOff>0</xdr:colOff>
      <xdr:row>22</xdr:row>
      <xdr:rowOff>0</xdr:rowOff>
    </xdr:to>
    <xdr:sp macro="" textlink="" fLocksText="0">
      <xdr:nvSpPr>
        <xdr:cNvPr id="2" name="吹き出し: 線 1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24003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7</xdr:col>
      <xdr:colOff>2</xdr:colOff>
      <xdr:row>22</xdr:row>
      <xdr:rowOff>0</xdr:rowOff>
    </xdr:to>
    <xdr:sp macro="" textlink="" fLocksText="0">
      <xdr:nvSpPr>
        <xdr:cNvPr id="3" name="Rectangl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667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9</xdr:row>
      <xdr:rowOff>11206</xdr:rowOff>
    </xdr:from>
    <xdr:to>
      <xdr:col>5</xdr:col>
      <xdr:colOff>0</xdr:colOff>
      <xdr:row>11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2667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</xdr:col>
      <xdr:colOff>0</xdr:colOff>
      <xdr:row>13</xdr:row>
      <xdr:rowOff>0</xdr:rowOff>
    </xdr:from>
    <xdr:to>
      <xdr:col>5</xdr:col>
      <xdr:colOff>0</xdr:colOff>
      <xdr:row>15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9</xdr:col>
      <xdr:colOff>0</xdr:colOff>
      <xdr:row>9</xdr:row>
      <xdr:rowOff>0</xdr:rowOff>
    </xdr:from>
    <xdr:to>
      <xdr:col>26</xdr:col>
      <xdr:colOff>0</xdr:colOff>
      <xdr:row>11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4003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13</xdr:row>
      <xdr:rowOff>0</xdr:rowOff>
    </xdr:from>
    <xdr:to>
      <xdr:col>26</xdr:col>
      <xdr:colOff>0</xdr:colOff>
      <xdr:row>15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4003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26</xdr:row>
      <xdr:rowOff>0</xdr:rowOff>
    </xdr:from>
    <xdr:to>
      <xdr:col>7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2667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9</xdr:col>
      <xdr:colOff>0</xdr:colOff>
      <xdr:row>26</xdr:row>
      <xdr:rowOff>0</xdr:rowOff>
    </xdr:from>
    <xdr:to>
      <xdr:col>26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4003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33</xdr:row>
      <xdr:rowOff>0</xdr:rowOff>
    </xdr:from>
    <xdr:to>
      <xdr:col>7</xdr:col>
      <xdr:colOff>0</xdr:colOff>
      <xdr:row>37</xdr:row>
      <xdr:rowOff>179294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66700" y="6400800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8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26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4003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</xdr:col>
      <xdr:colOff>0</xdr:colOff>
      <xdr:row>41</xdr:row>
      <xdr:rowOff>0</xdr:rowOff>
    </xdr:from>
    <xdr:to>
      <xdr:col>5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2667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9</xdr:col>
      <xdr:colOff>0</xdr:colOff>
      <xdr:row>41</xdr:row>
      <xdr:rowOff>0</xdr:rowOff>
    </xdr:from>
    <xdr:to>
      <xdr:col>26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4003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96</xdr:row>
      <xdr:rowOff>0</xdr:rowOff>
    </xdr:from>
    <xdr:to>
      <xdr:col>62</xdr:col>
      <xdr:colOff>0</xdr:colOff>
      <xdr:row>101</xdr:row>
      <xdr:rowOff>0</xdr:rowOff>
    </xdr:to>
    <xdr:sp macro="" textlink="" fLocksText="0">
      <xdr:nvSpPr>
        <xdr:cNvPr id="229" name="吹き出し: 線 2">
          <a:extLst>
            <a:ext uri="{FF2B5EF4-FFF2-40B4-BE49-F238E27FC236}">
              <a16:creationId xmlns:a16="http://schemas.microsoft.com/office/drawing/2014/main" id="{00000000-0008-0000-0400-0000E5000000}"/>
            </a:ext>
          </a:extLst>
        </xdr:cNvPr>
        <xdr:cNvSpPr/>
      </xdr:nvSpPr>
      <xdr:spPr>
        <a:xfrm>
          <a:off x="9334500" y="18411825"/>
          <a:ext cx="7200900" cy="952500"/>
        </a:xfrm>
        <a:prstGeom prst="borderCallout1">
          <a:avLst>
            <a:gd name="adj1" fmla="val 48945"/>
            <a:gd name="adj2" fmla="val 117"/>
            <a:gd name="adj3" fmla="val 50801"/>
            <a:gd name="adj4" fmla="val -6903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プリセットメニューボタンの追加・更新・削除の確認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成功の場合、[8. プリセットリスト取得]を実行する。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失敗の場合、データをロールバックし、プログラムを停止する。</a:t>
          </a:r>
        </a:p>
      </xdr:txBody>
    </xdr:sp>
    <xdr:clientData/>
  </xdr:twoCellAnchor>
  <xdr:twoCellAnchor>
    <xdr:from>
      <xdr:col>35</xdr:col>
      <xdr:colOff>0</xdr:colOff>
      <xdr:row>59</xdr:row>
      <xdr:rowOff>0</xdr:rowOff>
    </xdr:from>
    <xdr:to>
      <xdr:col>62</xdr:col>
      <xdr:colOff>0</xdr:colOff>
      <xdr:row>64</xdr:row>
      <xdr:rowOff>0</xdr:rowOff>
    </xdr:to>
    <xdr:sp macro="" textlink="" fLocksText="0">
      <xdr:nvSpPr>
        <xdr:cNvPr id="209" name="吹き出し: 線 2">
          <a:extLst>
            <a:ext uri="{FF2B5EF4-FFF2-40B4-BE49-F238E27FC236}">
              <a16:creationId xmlns:a16="http://schemas.microsoft.com/office/drawing/2014/main" id="{00000000-0008-0000-0400-0000D1000000}"/>
            </a:ext>
          </a:extLst>
        </xdr:cNvPr>
        <xdr:cNvSpPr/>
      </xdr:nvSpPr>
      <xdr:spPr>
        <a:xfrm>
          <a:off x="9334500" y="11353800"/>
          <a:ext cx="7200900" cy="952500"/>
        </a:xfrm>
        <a:prstGeom prst="borderCallout1">
          <a:avLst>
            <a:gd name="adj1" fmla="val 48945"/>
            <a:gd name="adj2" fmla="val 117"/>
            <a:gd name="adj3" fmla="val 39036"/>
            <a:gd name="adj4" fmla="val -6885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以下のSQLでPresetMenuButtonMasterテーブルからプリセットボタンのリストを取得する。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select pmbm from PresetMenuButtonMaster pmbm where pmbm.storeCode = :storeCode and pmbm.companyCode = :companyCode and pmbm.buttonLayoutCode = :buttonLayoutCode and (:applyDate IS NULL OR pmbm.applyDate = :applyDate)</a:t>
          </a:r>
        </a:p>
      </xdr:txBody>
    </xdr:sp>
    <xdr:clientData/>
  </xdr:twoCellAnchor>
  <xdr:twoCellAnchor>
    <xdr:from>
      <xdr:col>35</xdr:col>
      <xdr:colOff>0</xdr:colOff>
      <xdr:row>13</xdr:row>
      <xdr:rowOff>179294</xdr:rowOff>
    </xdr:from>
    <xdr:to>
      <xdr:col>62</xdr:col>
      <xdr:colOff>0</xdr:colOff>
      <xdr:row>19</xdr:row>
      <xdr:rowOff>0</xdr:rowOff>
    </xdr:to>
    <xdr:sp macro="" textlink="" fLocksText="0">
      <xdr:nvSpPr>
        <xdr:cNvPr id="5" name="吹き出し: 線 2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9334500" y="2771775"/>
          <a:ext cx="7200900" cy="962025"/>
        </a:xfrm>
        <a:prstGeom prst="borderCallout1">
          <a:avLst>
            <a:gd name="adj1" fmla="val 48945"/>
            <a:gd name="adj2" fmla="val 117"/>
            <a:gd name="adj3" fmla="val 39036"/>
            <a:gd name="adj4" fmla="val -6885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vi-VN" altLang="ja-JP" sz="1000" b="0" i="0" u="none" baseline="0">
              <a:solidFill>
                <a:srgbClr val="7030A0"/>
              </a:solidFill>
              <a:latin typeface="Meiryo UI"/>
              <a:ea typeface="Meiryo UI" panose="020B0604030504040204" pitchFamily="34" charset="-128"/>
            </a:rPr>
            <a:t>1. 以下のSQLでPresetMasterテーブルからプリセットボタンのリストを取得する。</a:t>
          </a:r>
        </a:p>
        <a:p>
          <a:pPr>
            <a:defRPr lang="vi-VN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vi-VN" altLang="ja-JP" sz="1000" b="0" i="0" u="none" baseline="0">
              <a:solidFill>
                <a:srgbClr val="7030A0"/>
              </a:solidFill>
              <a:latin typeface="Meiryo UI"/>
              <a:ea typeface="Meiryo UI" panose="020B0604030504040204" pitchFamily="34" charset="-128"/>
            </a:rPr>
            <a:t>select pmm from PresetMenuMaster pmm where pmm.companyCode = :companyCode and pmm.storeCode = :selectedStore and pmm.buttonLayoutCode = :presetLayoutCode AND (:applyDate IS NULL OR pmm.applyDate = :applyDate)</a:t>
          </a:r>
        </a:p>
      </xdr:txBody>
    </xdr:sp>
    <xdr:clientData/>
  </xdr:twoCellAnchor>
  <xdr:twoCellAnchor>
    <xdr:from>
      <xdr:col>12</xdr:col>
      <xdr:colOff>0</xdr:colOff>
      <xdr:row>7</xdr:row>
      <xdr:rowOff>0</xdr:rowOff>
    </xdr:from>
    <xdr:to>
      <xdr:col>16</xdr:col>
      <xdr:colOff>0</xdr:colOff>
      <xdr:row>8</xdr:row>
      <xdr:rowOff>179294</xdr:rowOff>
    </xdr:to>
    <xdr:sp macro="" textlink="" fLocksText="0">
      <xdr:nvSpPr>
        <xdr:cNvPr id="6" name="Oval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SpPr/>
      </xdr:nvSpPr>
      <xdr:spPr>
        <a:xfrm>
          <a:off x="3200400" y="14478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12</xdr:col>
      <xdr:colOff>0</xdr:colOff>
      <xdr:row>104</xdr:row>
      <xdr:rowOff>0</xdr:rowOff>
    </xdr:from>
    <xdr:to>
      <xdr:col>16</xdr:col>
      <xdr:colOff>0</xdr:colOff>
      <xdr:row>105</xdr:row>
      <xdr:rowOff>168088</xdr:rowOff>
    </xdr:to>
    <xdr:sp macro="" textlink="" fLocksText="0">
      <xdr:nvSpPr>
        <xdr:cNvPr id="7" name="Oval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SpPr/>
      </xdr:nvSpPr>
      <xdr:spPr>
        <a:xfrm>
          <a:off x="3200400" y="19935825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14</xdr:col>
      <xdr:colOff>0</xdr:colOff>
      <xdr:row>96</xdr:row>
      <xdr:rowOff>168088</xdr:rowOff>
    </xdr:from>
    <xdr:to>
      <xdr:col>14</xdr:col>
      <xdr:colOff>0</xdr:colOff>
      <xdr:row>104</xdr:row>
      <xdr:rowOff>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CxnSpPr>
          <a:endCxn id="7" idx="0"/>
        </xdr:cNvCxnSpPr>
      </xdr:nvCxnSpPr>
      <xdr:spPr>
        <a:xfrm>
          <a:off x="3733800" y="18583275"/>
          <a:ext cx="0" cy="1352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27</xdr:row>
      <xdr:rowOff>0</xdr:rowOff>
    </xdr:from>
    <xdr:to>
      <xdr:col>17</xdr:col>
      <xdr:colOff>6724</xdr:colOff>
      <xdr:row>32</xdr:row>
      <xdr:rowOff>0</xdr:rowOff>
    </xdr:to>
    <xdr:sp macro="" textlink="" fLocksText="0">
      <xdr:nvSpPr>
        <xdr:cNvPr id="9" name="Flowchart: Decision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2933700" y="5257800"/>
          <a:ext cx="1609725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DBとパラメータのリストの長さの差分を確認</a:t>
          </a:r>
        </a:p>
      </xdr:txBody>
    </xdr:sp>
    <xdr:clientData/>
  </xdr:twoCellAnchor>
  <xdr:twoCellAnchor>
    <xdr:from>
      <xdr:col>14</xdr:col>
      <xdr:colOff>0</xdr:colOff>
      <xdr:row>8</xdr:row>
      <xdr:rowOff>179294</xdr:rowOff>
    </xdr:from>
    <xdr:to>
      <xdr:col>14</xdr:col>
      <xdr:colOff>0</xdr:colOff>
      <xdr:row>14</xdr:row>
      <xdr:rowOff>0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CxnSpPr>
          <a:stCxn id="6" idx="4"/>
          <a:endCxn id="18" idx="0"/>
        </xdr:cNvCxnSpPr>
      </xdr:nvCxnSpPr>
      <xdr:spPr>
        <a:xfrm>
          <a:off x="3733800" y="1819275"/>
          <a:ext cx="0" cy="962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29</xdr:row>
      <xdr:rowOff>95250</xdr:rowOff>
    </xdr:from>
    <xdr:to>
      <xdr:col>22</xdr:col>
      <xdr:colOff>0</xdr:colOff>
      <xdr:row>34</xdr:row>
      <xdr:rowOff>0</xdr:rowOff>
    </xdr:to>
    <xdr:cxnSp macro="">
      <xdr:nvCxnSpPr>
        <xdr:cNvPr id="12" name="Connector: Elbow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CxnSpPr>
          <a:stCxn id="19" idx="3"/>
          <a:endCxn id="91" idx="0"/>
        </xdr:cNvCxnSpPr>
      </xdr:nvCxnSpPr>
      <xdr:spPr>
        <a:xfrm>
          <a:off x="5067300" y="5734050"/>
          <a:ext cx="800100" cy="857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44</xdr:row>
      <xdr:rowOff>0</xdr:rowOff>
    </xdr:from>
    <xdr:to>
      <xdr:col>17</xdr:col>
      <xdr:colOff>0</xdr:colOff>
      <xdr:row>48</xdr:row>
      <xdr:rowOff>0</xdr:rowOff>
    </xdr:to>
    <xdr:sp macro="" textlink="" fLocksText="0">
      <xdr:nvSpPr>
        <xdr:cNvPr id="14" name="Rectangle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2933700" y="8496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6. プリセットを同じ値で更新する。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17</xdr:col>
      <xdr:colOff>0</xdr:colOff>
      <xdr:row>18</xdr:row>
      <xdr:rowOff>0</xdr:rowOff>
    </xdr:to>
    <xdr:sp macro="" textlink="" fLocksText="0">
      <xdr:nvSpPr>
        <xdr:cNvPr id="18" name="Rectangle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SpPr/>
      </xdr:nvSpPr>
      <xdr:spPr>
        <a:xfrm>
          <a:off x="2933700" y="2781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オリジナルプリセットリストを取得する。</a:t>
          </a:r>
        </a:p>
      </xdr:txBody>
    </xdr:sp>
    <xdr:clientData/>
  </xdr:twoCellAnchor>
  <xdr:twoCellAnchor>
    <xdr:from>
      <xdr:col>17</xdr:col>
      <xdr:colOff>0</xdr:colOff>
      <xdr:row>29</xdr:row>
      <xdr:rowOff>0</xdr:rowOff>
    </xdr:from>
    <xdr:to>
      <xdr:col>19</xdr:col>
      <xdr:colOff>0</xdr:colOff>
      <xdr:row>30</xdr:row>
      <xdr:rowOff>0</xdr:rowOff>
    </xdr:to>
    <xdr:sp macro="" textlink="" fLocksText="0">
      <xdr:nvSpPr>
        <xdr:cNvPr id="19" name="Flowchart: Process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SpPr/>
      </xdr:nvSpPr>
      <xdr:spPr>
        <a:xfrm>
          <a:off x="4533900" y="5638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&gt;</a:t>
          </a:r>
        </a:p>
      </xdr:txBody>
    </xdr:sp>
    <xdr:clientData/>
  </xdr:twoCellAnchor>
  <xdr:twoCellAnchor>
    <xdr:from>
      <xdr:col>14</xdr:col>
      <xdr:colOff>1</xdr:colOff>
      <xdr:row>48</xdr:row>
      <xdr:rowOff>0</xdr:rowOff>
    </xdr:from>
    <xdr:to>
      <xdr:col>14</xdr:col>
      <xdr:colOff>1</xdr:colOff>
      <xdr:row>51</xdr:row>
      <xdr:rowOff>0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CxnSpPr>
          <a:stCxn id="14" idx="2"/>
          <a:endCxn id="32" idx="0"/>
        </xdr:cNvCxnSpPr>
      </xdr:nvCxnSpPr>
      <xdr:spPr>
        <a:xfrm>
          <a:off x="3733800" y="9258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51</xdr:row>
      <xdr:rowOff>0</xdr:rowOff>
    </xdr:from>
    <xdr:to>
      <xdr:col>17</xdr:col>
      <xdr:colOff>1</xdr:colOff>
      <xdr:row>56</xdr:row>
      <xdr:rowOff>0</xdr:rowOff>
    </xdr:to>
    <xdr:sp macro="" textlink="" fLocksText="0">
      <xdr:nvSpPr>
        <xdr:cNvPr id="32" name="Flowchart: Decision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SpPr/>
      </xdr:nvSpPr>
      <xdr:spPr>
        <a:xfrm>
          <a:off x="2933700" y="98298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成功：</a:t>
          </a:r>
        </a:p>
      </xdr:txBody>
    </xdr:sp>
    <xdr:clientData/>
  </xdr:twoCellAnchor>
  <xdr:twoCellAnchor>
    <xdr:from>
      <xdr:col>13</xdr:col>
      <xdr:colOff>0</xdr:colOff>
      <xdr:row>56</xdr:row>
      <xdr:rowOff>0</xdr:rowOff>
    </xdr:from>
    <xdr:to>
      <xdr:col>15</xdr:col>
      <xdr:colOff>0</xdr:colOff>
      <xdr:row>57</xdr:row>
      <xdr:rowOff>0</xdr:rowOff>
    </xdr:to>
    <xdr:sp macro="" textlink="" fLocksText="0">
      <xdr:nvSpPr>
        <xdr:cNvPr id="33" name="Flowchart: Process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SpPr/>
      </xdr:nvSpPr>
      <xdr:spPr>
        <a:xfrm>
          <a:off x="3467100" y="10782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17</xdr:col>
      <xdr:colOff>0</xdr:colOff>
      <xdr:row>53</xdr:row>
      <xdr:rowOff>0</xdr:rowOff>
    </xdr:from>
    <xdr:to>
      <xdr:col>19</xdr:col>
      <xdr:colOff>0</xdr:colOff>
      <xdr:row>54</xdr:row>
      <xdr:rowOff>0</xdr:rowOff>
    </xdr:to>
    <xdr:sp macro="" textlink="" fLocksText="0">
      <xdr:nvSpPr>
        <xdr:cNvPr id="34" name="Flowchart: Process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SpPr/>
      </xdr:nvSpPr>
      <xdr:spPr>
        <a:xfrm>
          <a:off x="4533900" y="10210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19</xdr:col>
      <xdr:colOff>0</xdr:colOff>
      <xdr:row>53</xdr:row>
      <xdr:rowOff>95250</xdr:rowOff>
    </xdr:from>
    <xdr:to>
      <xdr:col>28</xdr:col>
      <xdr:colOff>0</xdr:colOff>
      <xdr:row>92</xdr:row>
      <xdr:rowOff>0</xdr:rowOff>
    </xdr:to>
    <xdr:cxnSp macro="">
      <xdr:nvCxnSpPr>
        <xdr:cNvPr id="35" name="Connector: Elbow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CxnSpPr>
          <a:stCxn id="34" idx="3"/>
          <a:endCxn id="83" idx="0"/>
        </xdr:cNvCxnSpPr>
      </xdr:nvCxnSpPr>
      <xdr:spPr>
        <a:xfrm>
          <a:off x="5067300" y="10306050"/>
          <a:ext cx="2400300" cy="7343775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57</xdr:row>
      <xdr:rowOff>0</xdr:rowOff>
    </xdr:from>
    <xdr:to>
      <xdr:col>14</xdr:col>
      <xdr:colOff>1</xdr:colOff>
      <xdr:row>59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CxnSpPr>
          <a:stCxn id="33" idx="2"/>
          <a:endCxn id="176" idx="0"/>
        </xdr:cNvCxnSpPr>
      </xdr:nvCxnSpPr>
      <xdr:spPr>
        <a:xfrm>
          <a:off x="3733800" y="109728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27</xdr:row>
      <xdr:rowOff>179294</xdr:rowOff>
    </xdr:from>
    <xdr:to>
      <xdr:col>62</xdr:col>
      <xdr:colOff>0</xdr:colOff>
      <xdr:row>38</xdr:row>
      <xdr:rowOff>0</xdr:rowOff>
    </xdr:to>
    <xdr:sp macro="" textlink="" fLocksText="0">
      <xdr:nvSpPr>
        <xdr:cNvPr id="37" name="吹き出し: 線 2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SpPr/>
      </xdr:nvSpPr>
      <xdr:spPr>
        <a:xfrm>
          <a:off x="9334500" y="5438775"/>
          <a:ext cx="7200900" cy="1914525"/>
        </a:xfrm>
        <a:prstGeom prst="borderCallout1">
          <a:avLst>
            <a:gd name="adj1" fmla="val 49926"/>
            <a:gd name="adj2" fmla="val -59"/>
            <a:gd name="adj3" fmla="val 20939"/>
            <a:gd name="adj4" fmla="val -7071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パラメータから送信されたプリセットレコード数と、DBから取得したレコード数を確認する。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+少ない場合：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パラメータから送信されたレコードを取得済みのレコードに基づいてDBに上書き更新する。 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　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余分なレコードを削除する。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+同じ場合、パラメータから送信されたレコードを取得済みのレコードに基づいてDBに上書き更新する。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+多い場合：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パラメータから送信されたレコードを取得済みのレコードに基づいてDBに上書き更新する。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不足しているレコードを追加する。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0</xdr:colOff>
      <xdr:row>100</xdr:row>
      <xdr:rowOff>179294</xdr:rowOff>
    </xdr:from>
    <xdr:to>
      <xdr:col>14</xdr:col>
      <xdr:colOff>1</xdr:colOff>
      <xdr:row>104</xdr:row>
      <xdr:rowOff>0</xdr:rowOff>
    </xdr:to>
    <xdr:cxnSp macro="">
      <xdr:nvCxnSpPr>
        <xdr:cNvPr id="48" name="Straight Arrow Connector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CxnSpPr>
          <a:stCxn id="183" idx="0"/>
          <a:endCxn id="7" idx="0"/>
        </xdr:cNvCxnSpPr>
      </xdr:nvCxnSpPr>
      <xdr:spPr>
        <a:xfrm flipH="1">
          <a:off x="3733800" y="19354800"/>
          <a:ext cx="0" cy="5810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27</xdr:col>
      <xdr:colOff>0</xdr:colOff>
      <xdr:row>92</xdr:row>
      <xdr:rowOff>0</xdr:rowOff>
    </xdr:from>
    <xdr:to>
      <xdr:col>29</xdr:col>
      <xdr:colOff>0</xdr:colOff>
      <xdr:row>92</xdr:row>
      <xdr:rowOff>179293</xdr:rowOff>
    </xdr:to>
    <xdr:sp macro="" textlink="" fLocksText="0">
      <xdr:nvSpPr>
        <xdr:cNvPr id="83" name="Flowchart: Process 82">
          <a:extLst>
            <a:ext uri="{FF2B5EF4-FFF2-40B4-BE49-F238E27FC236}">
              <a16:creationId xmlns:a16="http://schemas.microsoft.com/office/drawing/2014/main" id="{00000000-0008-0000-0400-000053000000}"/>
            </a:ext>
          </a:extLst>
        </xdr:cNvPr>
        <xdr:cNvSpPr/>
      </xdr:nvSpPr>
      <xdr:spPr>
        <a:xfrm>
          <a:off x="7200900" y="17649825"/>
          <a:ext cx="533400" cy="180975"/>
        </a:xfrm>
        <a:prstGeom prst="flowChartProcess">
          <a:avLst/>
        </a:prstGeom>
        <a:solidFill>
          <a:srgbClr val="FF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1</xdr:colOff>
      <xdr:row>92</xdr:row>
      <xdr:rowOff>179292</xdr:rowOff>
    </xdr:from>
    <xdr:to>
      <xdr:col>28</xdr:col>
      <xdr:colOff>1</xdr:colOff>
      <xdr:row>103</xdr:row>
      <xdr:rowOff>190499</xdr:rowOff>
    </xdr:to>
    <xdr:cxnSp macro="">
      <xdr:nvCxnSpPr>
        <xdr:cNvPr id="85" name="Connector: Elbow 84">
          <a:extLst>
            <a:ext uri="{FF2B5EF4-FFF2-40B4-BE49-F238E27FC236}">
              <a16:creationId xmlns:a16="http://schemas.microsoft.com/office/drawing/2014/main" id="{00000000-0008-0000-0400-000055000000}"/>
            </a:ext>
          </a:extLst>
        </xdr:cNvPr>
        <xdr:cNvCxnSpPr>
          <a:stCxn id="83" idx="2"/>
          <a:endCxn id="7" idx="0"/>
        </xdr:cNvCxnSpPr>
      </xdr:nvCxnSpPr>
      <xdr:spPr>
        <a:xfrm rot="5400000">
          <a:off x="3733800" y="17830800"/>
          <a:ext cx="3733800" cy="2105025"/>
        </a:xfrm>
        <a:prstGeom prst="bentConnector3">
          <a:avLst>
            <a:gd name="adj1" fmla="val 90426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34</xdr:row>
      <xdr:rowOff>0</xdr:rowOff>
    </xdr:from>
    <xdr:to>
      <xdr:col>25</xdr:col>
      <xdr:colOff>0</xdr:colOff>
      <xdr:row>38</xdr:row>
      <xdr:rowOff>0</xdr:rowOff>
    </xdr:to>
    <xdr:sp macro="" textlink="" fLocksText="0">
      <xdr:nvSpPr>
        <xdr:cNvPr id="91" name="Rectangle 90">
          <a:extLst>
            <a:ext uri="{FF2B5EF4-FFF2-40B4-BE49-F238E27FC236}">
              <a16:creationId xmlns:a16="http://schemas.microsoft.com/office/drawing/2014/main" id="{00000000-0008-0000-0400-00005B000000}"/>
            </a:ext>
          </a:extLst>
        </xdr:cNvPr>
        <xdr:cNvSpPr/>
      </xdr:nvSpPr>
      <xdr:spPr>
        <a:xfrm>
          <a:off x="5067300" y="6591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marL="0" indent="0"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5. 不足しているレコードを追加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14</xdr:col>
      <xdr:colOff>1</xdr:colOff>
      <xdr:row>38</xdr:row>
      <xdr:rowOff>0</xdr:rowOff>
    </xdr:from>
    <xdr:to>
      <xdr:col>22</xdr:col>
      <xdr:colOff>0</xdr:colOff>
      <xdr:row>44</xdr:row>
      <xdr:rowOff>0</xdr:rowOff>
    </xdr:to>
    <xdr:cxnSp macro="">
      <xdr:nvCxnSpPr>
        <xdr:cNvPr id="104" name="Connector: Elbow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stCxn id="91" idx="2"/>
          <a:endCxn id="14" idx="0"/>
        </xdr:cNvCxnSpPr>
      </xdr:nvCxnSpPr>
      <xdr:spPr>
        <a:xfrm rot="5400000">
          <a:off x="3733800" y="7353300"/>
          <a:ext cx="21336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38</xdr:row>
      <xdr:rowOff>0</xdr:rowOff>
    </xdr:from>
    <xdr:to>
      <xdr:col>14</xdr:col>
      <xdr:colOff>1</xdr:colOff>
      <xdr:row>44</xdr:row>
      <xdr:rowOff>0</xdr:rowOff>
    </xdr:to>
    <xdr:cxnSp macro="">
      <xdr:nvCxnSpPr>
        <xdr:cNvPr id="111" name="Connector: Elbow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CxnSpPr>
          <a:stCxn id="100" idx="2"/>
          <a:endCxn id="14" idx="0"/>
        </xdr:cNvCxnSpPr>
      </xdr:nvCxnSpPr>
      <xdr:spPr>
        <a:xfrm rot="16200000" flipH="1">
          <a:off x="1600200" y="7353300"/>
          <a:ext cx="21336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21</xdr:row>
      <xdr:rowOff>0</xdr:rowOff>
    </xdr:from>
    <xdr:to>
      <xdr:col>17</xdr:col>
      <xdr:colOff>0</xdr:colOff>
      <xdr:row>25</xdr:row>
      <xdr:rowOff>0</xdr:rowOff>
    </xdr:to>
    <xdr:sp macro="" textlink="" fLocksText="0">
      <xdr:nvSpPr>
        <xdr:cNvPr id="69" name="Rectangle 68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SpPr/>
      </xdr:nvSpPr>
      <xdr:spPr>
        <a:xfrm>
          <a:off x="2933700" y="4114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プリセット更新</a:t>
          </a:r>
          <a:endParaRPr lang="en-US" sz="900">
            <a:solidFill>
              <a:srgbClr val="7030A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13</xdr:col>
      <xdr:colOff>0</xdr:colOff>
      <xdr:row>32</xdr:row>
      <xdr:rowOff>0</xdr:rowOff>
    </xdr:from>
    <xdr:to>
      <xdr:col>15</xdr:col>
      <xdr:colOff>0</xdr:colOff>
      <xdr:row>33</xdr:row>
      <xdr:rowOff>0</xdr:rowOff>
    </xdr:to>
    <xdr:sp macro="" textlink="" fLocksText="0">
      <xdr:nvSpPr>
        <xdr:cNvPr id="86" name="Flowchart: Process 85">
          <a:extLst>
            <a:ext uri="{FF2B5EF4-FFF2-40B4-BE49-F238E27FC236}">
              <a16:creationId xmlns:a16="http://schemas.microsoft.com/office/drawing/2014/main" id="{00000000-0008-0000-0400-000056000000}"/>
            </a:ext>
          </a:extLst>
        </xdr:cNvPr>
        <xdr:cNvSpPr/>
      </xdr:nvSpPr>
      <xdr:spPr>
        <a:xfrm>
          <a:off x="3467100" y="6210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=</a:t>
          </a:r>
        </a:p>
      </xdr:txBody>
    </xdr:sp>
    <xdr:clientData/>
  </xdr:twoCellAnchor>
  <xdr:twoCellAnchor>
    <xdr:from>
      <xdr:col>9</xdr:col>
      <xdr:colOff>0</xdr:colOff>
      <xdr:row>29</xdr:row>
      <xdr:rowOff>0</xdr:rowOff>
    </xdr:from>
    <xdr:to>
      <xdr:col>11</xdr:col>
      <xdr:colOff>0</xdr:colOff>
      <xdr:row>30</xdr:row>
      <xdr:rowOff>0</xdr:rowOff>
    </xdr:to>
    <xdr:sp macro="" textlink="" fLocksText="0">
      <xdr:nvSpPr>
        <xdr:cNvPr id="87" name="Flowchart: Process 86">
          <a:extLst>
            <a:ext uri="{FF2B5EF4-FFF2-40B4-BE49-F238E27FC236}">
              <a16:creationId xmlns:a16="http://schemas.microsoft.com/office/drawing/2014/main" id="{00000000-0008-0000-0400-000057000000}"/>
            </a:ext>
          </a:extLst>
        </xdr:cNvPr>
        <xdr:cNvSpPr/>
      </xdr:nvSpPr>
      <xdr:spPr>
        <a:xfrm>
          <a:off x="2400300" y="5638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&lt;</a:t>
          </a:r>
        </a:p>
      </xdr:txBody>
    </xdr:sp>
    <xdr:clientData/>
  </xdr:twoCellAnchor>
  <xdr:twoCellAnchor>
    <xdr:from>
      <xdr:col>3</xdr:col>
      <xdr:colOff>0</xdr:colOff>
      <xdr:row>34</xdr:row>
      <xdr:rowOff>0</xdr:rowOff>
    </xdr:from>
    <xdr:to>
      <xdr:col>9</xdr:col>
      <xdr:colOff>0</xdr:colOff>
      <xdr:row>38</xdr:row>
      <xdr:rowOff>0</xdr:rowOff>
    </xdr:to>
    <xdr:sp macro="" textlink="" fLocksText="0">
      <xdr:nvSpPr>
        <xdr:cNvPr id="100" name="Rectangle 99">
          <a:extLst>
            <a:ext uri="{FF2B5EF4-FFF2-40B4-BE49-F238E27FC236}">
              <a16:creationId xmlns:a16="http://schemas.microsoft.com/office/drawing/2014/main" id="{00000000-0008-0000-0400-000064000000}"/>
            </a:ext>
          </a:extLst>
        </xdr:cNvPr>
        <xdr:cNvSpPr/>
      </xdr:nvSpPr>
      <xdr:spPr>
        <a:xfrm>
          <a:off x="800100" y="6591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marL="0" indent="0"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余分なレコードを削除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6</xdr:col>
      <xdr:colOff>1</xdr:colOff>
      <xdr:row>29</xdr:row>
      <xdr:rowOff>95250</xdr:rowOff>
    </xdr:from>
    <xdr:to>
      <xdr:col>9</xdr:col>
      <xdr:colOff>0</xdr:colOff>
      <xdr:row>34</xdr:row>
      <xdr:rowOff>0</xdr:rowOff>
    </xdr:to>
    <xdr:cxnSp macro="">
      <xdr:nvCxnSpPr>
        <xdr:cNvPr id="101" name="Connector: Elbow 100">
          <a:extLst>
            <a:ext uri="{FF2B5EF4-FFF2-40B4-BE49-F238E27FC236}">
              <a16:creationId xmlns:a16="http://schemas.microsoft.com/office/drawing/2014/main" id="{00000000-0008-0000-0400-000065000000}"/>
            </a:ext>
          </a:extLst>
        </xdr:cNvPr>
        <xdr:cNvCxnSpPr>
          <a:stCxn id="87" idx="1"/>
          <a:endCxn id="100" idx="0"/>
        </xdr:cNvCxnSpPr>
      </xdr:nvCxnSpPr>
      <xdr:spPr>
        <a:xfrm rot="10800000" flipV="1">
          <a:off x="1600200" y="5734050"/>
          <a:ext cx="800100" cy="857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18</xdr:row>
      <xdr:rowOff>0</xdr:rowOff>
    </xdr:from>
    <xdr:to>
      <xdr:col>14</xdr:col>
      <xdr:colOff>1</xdr:colOff>
      <xdr:row>21</xdr:row>
      <xdr:rowOff>0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00000000-0008-0000-0400-000069000000}"/>
            </a:ext>
          </a:extLst>
        </xdr:cNvPr>
        <xdr:cNvCxnSpPr>
          <a:stCxn id="18" idx="2"/>
          <a:endCxn id="69" idx="0"/>
        </xdr:cNvCxnSpPr>
      </xdr:nvCxnSpPr>
      <xdr:spPr>
        <a:xfrm>
          <a:off x="3733800" y="3543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25</xdr:row>
      <xdr:rowOff>0</xdr:rowOff>
    </xdr:from>
    <xdr:to>
      <xdr:col>14</xdr:col>
      <xdr:colOff>3363</xdr:colOff>
      <xdr:row>27</xdr:row>
      <xdr:rowOff>0</xdr:rowOff>
    </xdr:to>
    <xdr:cxnSp macro="">
      <xdr:nvCxnSpPr>
        <xdr:cNvPr id="108" name="Straight Arrow Connector 107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CxnSpPr>
          <a:stCxn id="69" idx="2"/>
          <a:endCxn id="9" idx="0"/>
        </xdr:cNvCxnSpPr>
      </xdr:nvCxnSpPr>
      <xdr:spPr>
        <a:xfrm>
          <a:off x="3733800" y="48768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33</xdr:row>
      <xdr:rowOff>0</xdr:rowOff>
    </xdr:from>
    <xdr:to>
      <xdr:col>14</xdr:col>
      <xdr:colOff>1</xdr:colOff>
      <xdr:row>44</xdr:row>
      <xdr:rowOff>0</xdr:rowOff>
    </xdr:to>
    <xdr:cxnSp macro="">
      <xdr:nvCxnSpPr>
        <xdr:cNvPr id="112" name="Straight Arrow Connector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CxnSpPr>
          <a:stCxn id="86" idx="2"/>
          <a:endCxn id="14" idx="0"/>
        </xdr:cNvCxnSpPr>
      </xdr:nvCxnSpPr>
      <xdr:spPr>
        <a:xfrm>
          <a:off x="3733800" y="6400800"/>
          <a:ext cx="0" cy="2095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72</xdr:row>
      <xdr:rowOff>0</xdr:rowOff>
    </xdr:from>
    <xdr:to>
      <xdr:col>17</xdr:col>
      <xdr:colOff>6724</xdr:colOff>
      <xdr:row>77</xdr:row>
      <xdr:rowOff>0</xdr:rowOff>
    </xdr:to>
    <xdr:sp macro="" textlink="" fLocksText="0">
      <xdr:nvSpPr>
        <xdr:cNvPr id="173" name="Flowchart: Decision 172">
          <a:extLst>
            <a:ext uri="{FF2B5EF4-FFF2-40B4-BE49-F238E27FC236}">
              <a16:creationId xmlns:a16="http://schemas.microsoft.com/office/drawing/2014/main" id="{00000000-0008-0000-0400-0000AD000000}"/>
            </a:ext>
          </a:extLst>
        </xdr:cNvPr>
        <xdr:cNvSpPr/>
      </xdr:nvSpPr>
      <xdr:spPr>
        <a:xfrm>
          <a:off x="2933700" y="13830300"/>
          <a:ext cx="1609725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lIns="0" tIns="0" rIns="0" bIns="0" anchor="ctr"/>
        <a:lstStyle/>
        <a:p>
          <a:pPr algn="ctr"/>
          <a:r>
            <a:rPr lang="en-US" sz="8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10. DBとパラメータのリストの長さの差分を確認</a:t>
          </a:r>
        </a:p>
      </xdr:txBody>
    </xdr:sp>
    <xdr:clientData/>
  </xdr:twoCellAnchor>
  <xdr:twoCellAnchor>
    <xdr:from>
      <xdr:col>19</xdr:col>
      <xdr:colOff>0</xdr:colOff>
      <xdr:row>74</xdr:row>
      <xdr:rowOff>95250</xdr:rowOff>
    </xdr:from>
    <xdr:to>
      <xdr:col>22</xdr:col>
      <xdr:colOff>0</xdr:colOff>
      <xdr:row>78</xdr:row>
      <xdr:rowOff>179294</xdr:rowOff>
    </xdr:to>
    <xdr:cxnSp macro="">
      <xdr:nvCxnSpPr>
        <xdr:cNvPr id="174" name="Connector: Elbow 173">
          <a:extLst>
            <a:ext uri="{FF2B5EF4-FFF2-40B4-BE49-F238E27FC236}">
              <a16:creationId xmlns:a16="http://schemas.microsoft.com/office/drawing/2014/main" id="{00000000-0008-0000-0400-0000AE000000}"/>
            </a:ext>
          </a:extLst>
        </xdr:cNvPr>
        <xdr:cNvCxnSpPr>
          <a:stCxn id="177" idx="3"/>
          <a:endCxn id="186" idx="0"/>
        </xdr:cNvCxnSpPr>
      </xdr:nvCxnSpPr>
      <xdr:spPr>
        <a:xfrm>
          <a:off x="5067300" y="14306550"/>
          <a:ext cx="800100" cy="857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88</xdr:row>
      <xdr:rowOff>179294</xdr:rowOff>
    </xdr:from>
    <xdr:to>
      <xdr:col>17</xdr:col>
      <xdr:colOff>0</xdr:colOff>
      <xdr:row>92</xdr:row>
      <xdr:rowOff>179294</xdr:rowOff>
    </xdr:to>
    <xdr:sp macro="" textlink="" fLocksText="0">
      <xdr:nvSpPr>
        <xdr:cNvPr id="175" name="Rectangle 174">
          <a:extLst>
            <a:ext uri="{FF2B5EF4-FFF2-40B4-BE49-F238E27FC236}">
              <a16:creationId xmlns:a16="http://schemas.microsoft.com/office/drawing/2014/main" id="{00000000-0008-0000-0400-0000AF000000}"/>
            </a:ext>
          </a:extLst>
        </xdr:cNvPr>
        <xdr:cNvSpPr/>
      </xdr:nvSpPr>
      <xdr:spPr>
        <a:xfrm>
          <a:off x="2933700" y="17068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13. レコードを同じ値で更新する。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59</xdr:row>
      <xdr:rowOff>0</xdr:rowOff>
    </xdr:from>
    <xdr:to>
      <xdr:col>17</xdr:col>
      <xdr:colOff>0</xdr:colOff>
      <xdr:row>63</xdr:row>
      <xdr:rowOff>0</xdr:rowOff>
    </xdr:to>
    <xdr:sp macro="" textlink="" fLocksText="0">
      <xdr:nvSpPr>
        <xdr:cNvPr id="176" name="Rectangle 175">
          <a:extLst>
            <a:ext uri="{FF2B5EF4-FFF2-40B4-BE49-F238E27FC236}">
              <a16:creationId xmlns:a16="http://schemas.microsoft.com/office/drawing/2014/main" id="{00000000-0008-0000-0400-0000B0000000}"/>
            </a:ext>
          </a:extLst>
        </xdr:cNvPr>
        <xdr:cNvSpPr/>
      </xdr:nvSpPr>
      <xdr:spPr>
        <a:xfrm>
          <a:off x="2933700" y="11353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8. オリジナルプリセットボタンリストを取得する。</a:t>
          </a:r>
        </a:p>
      </xdr:txBody>
    </xdr:sp>
    <xdr:clientData/>
  </xdr:twoCellAnchor>
  <xdr:twoCellAnchor>
    <xdr:from>
      <xdr:col>17</xdr:col>
      <xdr:colOff>0</xdr:colOff>
      <xdr:row>74</xdr:row>
      <xdr:rowOff>0</xdr:rowOff>
    </xdr:from>
    <xdr:to>
      <xdr:col>19</xdr:col>
      <xdr:colOff>0</xdr:colOff>
      <xdr:row>75</xdr:row>
      <xdr:rowOff>0</xdr:rowOff>
    </xdr:to>
    <xdr:sp macro="" textlink="" fLocksText="0">
      <xdr:nvSpPr>
        <xdr:cNvPr id="177" name="Flowchart: Process 176">
          <a:extLst>
            <a:ext uri="{FF2B5EF4-FFF2-40B4-BE49-F238E27FC236}">
              <a16:creationId xmlns:a16="http://schemas.microsoft.com/office/drawing/2014/main" id="{00000000-0008-0000-0400-0000B1000000}"/>
            </a:ext>
          </a:extLst>
        </xdr:cNvPr>
        <xdr:cNvSpPr/>
      </xdr:nvSpPr>
      <xdr:spPr>
        <a:xfrm>
          <a:off x="4533900" y="14211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&gt;</a:t>
          </a:r>
        </a:p>
      </xdr:txBody>
    </xdr:sp>
    <xdr:clientData/>
  </xdr:twoCellAnchor>
  <xdr:twoCellAnchor>
    <xdr:from>
      <xdr:col>14</xdr:col>
      <xdr:colOff>1</xdr:colOff>
      <xdr:row>92</xdr:row>
      <xdr:rowOff>179294</xdr:rowOff>
    </xdr:from>
    <xdr:to>
      <xdr:col>14</xdr:col>
      <xdr:colOff>1</xdr:colOff>
      <xdr:row>95</xdr:row>
      <xdr:rowOff>179294</xdr:rowOff>
    </xdr:to>
    <xdr:cxnSp macro="">
      <xdr:nvCxnSpPr>
        <xdr:cNvPr id="178" name="Straight Arrow Connector 177">
          <a:extLst>
            <a:ext uri="{FF2B5EF4-FFF2-40B4-BE49-F238E27FC236}">
              <a16:creationId xmlns:a16="http://schemas.microsoft.com/office/drawing/2014/main" id="{00000000-0008-0000-0400-0000B2000000}"/>
            </a:ext>
          </a:extLst>
        </xdr:cNvPr>
        <xdr:cNvCxnSpPr>
          <a:stCxn id="175" idx="2"/>
          <a:endCxn id="182" idx="0"/>
        </xdr:cNvCxnSpPr>
      </xdr:nvCxnSpPr>
      <xdr:spPr>
        <a:xfrm>
          <a:off x="3733800" y="17830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95</xdr:row>
      <xdr:rowOff>179294</xdr:rowOff>
    </xdr:from>
    <xdr:to>
      <xdr:col>17</xdr:col>
      <xdr:colOff>1</xdr:colOff>
      <xdr:row>100</xdr:row>
      <xdr:rowOff>179294</xdr:rowOff>
    </xdr:to>
    <xdr:sp macro="" textlink="" fLocksText="0">
      <xdr:nvSpPr>
        <xdr:cNvPr id="182" name="Flowchart: Decision 181">
          <a:extLst>
            <a:ext uri="{FF2B5EF4-FFF2-40B4-BE49-F238E27FC236}">
              <a16:creationId xmlns:a16="http://schemas.microsoft.com/office/drawing/2014/main" id="{00000000-0008-0000-0400-0000B6000000}"/>
            </a:ext>
          </a:extLst>
        </xdr:cNvPr>
        <xdr:cNvSpPr/>
      </xdr:nvSpPr>
      <xdr:spPr>
        <a:xfrm>
          <a:off x="2933700" y="18402300"/>
          <a:ext cx="1600200" cy="952500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14. 成功：</a:t>
          </a:r>
        </a:p>
      </xdr:txBody>
    </xdr:sp>
    <xdr:clientData/>
  </xdr:twoCellAnchor>
  <xdr:twoCellAnchor>
    <xdr:from>
      <xdr:col>13</xdr:col>
      <xdr:colOff>0</xdr:colOff>
      <xdr:row>100</xdr:row>
      <xdr:rowOff>179294</xdr:rowOff>
    </xdr:from>
    <xdr:to>
      <xdr:col>15</xdr:col>
      <xdr:colOff>0</xdr:colOff>
      <xdr:row>101</xdr:row>
      <xdr:rowOff>179294</xdr:rowOff>
    </xdr:to>
    <xdr:sp macro="" textlink="" fLocksText="0">
      <xdr:nvSpPr>
        <xdr:cNvPr id="183" name="Flowchart: Process 182">
          <a:extLst>
            <a:ext uri="{FF2B5EF4-FFF2-40B4-BE49-F238E27FC236}">
              <a16:creationId xmlns:a16="http://schemas.microsoft.com/office/drawing/2014/main" id="{00000000-0008-0000-0400-0000B7000000}"/>
            </a:ext>
          </a:extLst>
        </xdr:cNvPr>
        <xdr:cNvSpPr/>
      </xdr:nvSpPr>
      <xdr:spPr>
        <a:xfrm>
          <a:off x="3467100" y="19354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17</xdr:col>
      <xdr:colOff>0</xdr:colOff>
      <xdr:row>97</xdr:row>
      <xdr:rowOff>179294</xdr:rowOff>
    </xdr:from>
    <xdr:to>
      <xdr:col>19</xdr:col>
      <xdr:colOff>0</xdr:colOff>
      <xdr:row>98</xdr:row>
      <xdr:rowOff>179294</xdr:rowOff>
    </xdr:to>
    <xdr:sp macro="" textlink="" fLocksText="0">
      <xdr:nvSpPr>
        <xdr:cNvPr id="185" name="Flowchart: Process 184">
          <a:extLst>
            <a:ext uri="{FF2B5EF4-FFF2-40B4-BE49-F238E27FC236}">
              <a16:creationId xmlns:a16="http://schemas.microsoft.com/office/drawing/2014/main" id="{00000000-0008-0000-0400-0000B9000000}"/>
            </a:ext>
          </a:extLst>
        </xdr:cNvPr>
        <xdr:cNvSpPr/>
      </xdr:nvSpPr>
      <xdr:spPr>
        <a:xfrm>
          <a:off x="4533900" y="18783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</a:p>
      </xdr:txBody>
    </xdr:sp>
    <xdr:clientData/>
  </xdr:twoCellAnchor>
  <xdr:twoCellAnchor>
    <xdr:from>
      <xdr:col>19</xdr:col>
      <xdr:colOff>0</xdr:colOff>
      <xdr:row>78</xdr:row>
      <xdr:rowOff>179294</xdr:rowOff>
    </xdr:from>
    <xdr:to>
      <xdr:col>25</xdr:col>
      <xdr:colOff>0</xdr:colOff>
      <xdr:row>82</xdr:row>
      <xdr:rowOff>179294</xdr:rowOff>
    </xdr:to>
    <xdr:sp macro="" textlink="" fLocksText="0">
      <xdr:nvSpPr>
        <xdr:cNvPr id="186" name="Rectangle 185">
          <a:extLst>
            <a:ext uri="{FF2B5EF4-FFF2-40B4-BE49-F238E27FC236}">
              <a16:creationId xmlns:a16="http://schemas.microsoft.com/office/drawing/2014/main" id="{00000000-0008-0000-0400-0000BA000000}"/>
            </a:ext>
          </a:extLst>
        </xdr:cNvPr>
        <xdr:cNvSpPr/>
      </xdr:nvSpPr>
      <xdr:spPr>
        <a:xfrm>
          <a:off x="5067300" y="15163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marL="0" indent="0"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12. 不足しているレコードを追加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14</xdr:col>
      <xdr:colOff>1</xdr:colOff>
      <xdr:row>82</xdr:row>
      <xdr:rowOff>179294</xdr:rowOff>
    </xdr:from>
    <xdr:to>
      <xdr:col>22</xdr:col>
      <xdr:colOff>0</xdr:colOff>
      <xdr:row>88</xdr:row>
      <xdr:rowOff>179294</xdr:rowOff>
    </xdr:to>
    <xdr:cxnSp macro="">
      <xdr:nvCxnSpPr>
        <xdr:cNvPr id="187" name="Connector: Elbow 186">
          <a:extLst>
            <a:ext uri="{FF2B5EF4-FFF2-40B4-BE49-F238E27FC236}">
              <a16:creationId xmlns:a16="http://schemas.microsoft.com/office/drawing/2014/main" id="{00000000-0008-0000-0400-0000BB000000}"/>
            </a:ext>
          </a:extLst>
        </xdr:cNvPr>
        <xdr:cNvCxnSpPr>
          <a:stCxn id="186" idx="2"/>
          <a:endCxn id="175" idx="0"/>
        </xdr:cNvCxnSpPr>
      </xdr:nvCxnSpPr>
      <xdr:spPr>
        <a:xfrm rot="5400000">
          <a:off x="3733800" y="15925800"/>
          <a:ext cx="21336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82</xdr:row>
      <xdr:rowOff>179294</xdr:rowOff>
    </xdr:from>
    <xdr:to>
      <xdr:col>14</xdr:col>
      <xdr:colOff>1</xdr:colOff>
      <xdr:row>88</xdr:row>
      <xdr:rowOff>179294</xdr:rowOff>
    </xdr:to>
    <xdr:cxnSp macro="">
      <xdr:nvCxnSpPr>
        <xdr:cNvPr id="191" name="Connector: Elbow 190">
          <a:extLst>
            <a:ext uri="{FF2B5EF4-FFF2-40B4-BE49-F238E27FC236}">
              <a16:creationId xmlns:a16="http://schemas.microsoft.com/office/drawing/2014/main" id="{00000000-0008-0000-0400-0000BF000000}"/>
            </a:ext>
          </a:extLst>
        </xdr:cNvPr>
        <xdr:cNvCxnSpPr>
          <a:stCxn id="194" idx="2"/>
          <a:endCxn id="175" idx="0"/>
        </xdr:cNvCxnSpPr>
      </xdr:nvCxnSpPr>
      <xdr:spPr>
        <a:xfrm rot="16200000" flipH="1">
          <a:off x="1600200" y="15925800"/>
          <a:ext cx="21336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0</xdr:colOff>
      <xdr:row>66</xdr:row>
      <xdr:rowOff>0</xdr:rowOff>
    </xdr:from>
    <xdr:to>
      <xdr:col>17</xdr:col>
      <xdr:colOff>0</xdr:colOff>
      <xdr:row>70</xdr:row>
      <xdr:rowOff>0</xdr:rowOff>
    </xdr:to>
    <xdr:sp macro="" textlink="" fLocksText="0">
      <xdr:nvSpPr>
        <xdr:cNvPr id="192" name="Rectangle 191">
          <a:extLst>
            <a:ext uri="{FF2B5EF4-FFF2-40B4-BE49-F238E27FC236}">
              <a16:creationId xmlns:a16="http://schemas.microsoft.com/office/drawing/2014/main" id="{00000000-0008-0000-0400-0000C0000000}"/>
            </a:ext>
          </a:extLst>
        </xdr:cNvPr>
        <xdr:cNvSpPr/>
      </xdr:nvSpPr>
      <xdr:spPr>
        <a:xfrm>
          <a:off x="2933700" y="12687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9. プリセットボタンを更新</a:t>
          </a:r>
          <a:endParaRPr lang="en-US" sz="900">
            <a:solidFill>
              <a:srgbClr val="7030A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9</xdr:col>
      <xdr:colOff>0</xdr:colOff>
      <xdr:row>74</xdr:row>
      <xdr:rowOff>0</xdr:rowOff>
    </xdr:from>
    <xdr:to>
      <xdr:col>11</xdr:col>
      <xdr:colOff>0</xdr:colOff>
      <xdr:row>75</xdr:row>
      <xdr:rowOff>0</xdr:rowOff>
    </xdr:to>
    <xdr:sp macro="" textlink="" fLocksText="0">
      <xdr:nvSpPr>
        <xdr:cNvPr id="193" name="Flowchart: Process 192">
          <a:extLst>
            <a:ext uri="{FF2B5EF4-FFF2-40B4-BE49-F238E27FC236}">
              <a16:creationId xmlns:a16="http://schemas.microsoft.com/office/drawing/2014/main" id="{00000000-0008-0000-0400-0000C1000000}"/>
            </a:ext>
          </a:extLst>
        </xdr:cNvPr>
        <xdr:cNvSpPr/>
      </xdr:nvSpPr>
      <xdr:spPr>
        <a:xfrm>
          <a:off x="2400300" y="14211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&lt;</a:t>
          </a:r>
        </a:p>
      </xdr:txBody>
    </xdr:sp>
    <xdr:clientData/>
  </xdr:twoCellAnchor>
  <xdr:twoCellAnchor>
    <xdr:from>
      <xdr:col>3</xdr:col>
      <xdr:colOff>0</xdr:colOff>
      <xdr:row>78</xdr:row>
      <xdr:rowOff>179294</xdr:rowOff>
    </xdr:from>
    <xdr:to>
      <xdr:col>9</xdr:col>
      <xdr:colOff>0</xdr:colOff>
      <xdr:row>82</xdr:row>
      <xdr:rowOff>179294</xdr:rowOff>
    </xdr:to>
    <xdr:sp macro="" textlink="" fLocksText="0">
      <xdr:nvSpPr>
        <xdr:cNvPr id="194" name="Rectangle 193">
          <a:extLst>
            <a:ext uri="{FF2B5EF4-FFF2-40B4-BE49-F238E27FC236}">
              <a16:creationId xmlns:a16="http://schemas.microsoft.com/office/drawing/2014/main" id="{00000000-0008-0000-0400-0000C2000000}"/>
            </a:ext>
          </a:extLst>
        </xdr:cNvPr>
        <xdr:cNvSpPr/>
      </xdr:nvSpPr>
      <xdr:spPr>
        <a:xfrm>
          <a:off x="800100" y="15163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marL="0" indent="0"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11. 余分なレコードを削除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6</xdr:col>
      <xdr:colOff>1</xdr:colOff>
      <xdr:row>74</xdr:row>
      <xdr:rowOff>95250</xdr:rowOff>
    </xdr:from>
    <xdr:to>
      <xdr:col>9</xdr:col>
      <xdr:colOff>0</xdr:colOff>
      <xdr:row>78</xdr:row>
      <xdr:rowOff>179294</xdr:rowOff>
    </xdr:to>
    <xdr:cxnSp macro="">
      <xdr:nvCxnSpPr>
        <xdr:cNvPr id="195" name="Connector: Elbow 194">
          <a:extLst>
            <a:ext uri="{FF2B5EF4-FFF2-40B4-BE49-F238E27FC236}">
              <a16:creationId xmlns:a16="http://schemas.microsoft.com/office/drawing/2014/main" id="{00000000-0008-0000-0400-0000C3000000}"/>
            </a:ext>
          </a:extLst>
        </xdr:cNvPr>
        <xdr:cNvCxnSpPr>
          <a:stCxn id="193" idx="1"/>
          <a:endCxn id="194" idx="0"/>
        </xdr:cNvCxnSpPr>
      </xdr:nvCxnSpPr>
      <xdr:spPr>
        <a:xfrm rot="10800000" flipV="1">
          <a:off x="1600200" y="14306550"/>
          <a:ext cx="800100" cy="857250"/>
        </a:xfrm>
        <a:prstGeom prst="bentConnector2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63</xdr:row>
      <xdr:rowOff>0</xdr:rowOff>
    </xdr:from>
    <xdr:to>
      <xdr:col>14</xdr:col>
      <xdr:colOff>1</xdr:colOff>
      <xdr:row>66</xdr:row>
      <xdr:rowOff>0</xdr:rowOff>
    </xdr:to>
    <xdr:cxnSp macro="">
      <xdr:nvCxnSpPr>
        <xdr:cNvPr id="196" name="Straight Arrow Connector 195">
          <a:extLst>
            <a:ext uri="{FF2B5EF4-FFF2-40B4-BE49-F238E27FC236}">
              <a16:creationId xmlns:a16="http://schemas.microsoft.com/office/drawing/2014/main" id="{00000000-0008-0000-0400-0000C4000000}"/>
            </a:ext>
          </a:extLst>
        </xdr:cNvPr>
        <xdr:cNvCxnSpPr>
          <a:stCxn id="176" idx="2"/>
          <a:endCxn id="192" idx="0"/>
        </xdr:cNvCxnSpPr>
      </xdr:nvCxnSpPr>
      <xdr:spPr>
        <a:xfrm>
          <a:off x="3733800" y="12115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70</xdr:row>
      <xdr:rowOff>0</xdr:rowOff>
    </xdr:from>
    <xdr:to>
      <xdr:col>14</xdr:col>
      <xdr:colOff>3363</xdr:colOff>
      <xdr:row>72</xdr:row>
      <xdr:rowOff>0</xdr:rowOff>
    </xdr:to>
    <xdr:cxnSp macro="">
      <xdr:nvCxnSpPr>
        <xdr:cNvPr id="197" name="Straight Arrow Connector 196">
          <a:extLst>
            <a:ext uri="{FF2B5EF4-FFF2-40B4-BE49-F238E27FC236}">
              <a16:creationId xmlns:a16="http://schemas.microsoft.com/office/drawing/2014/main" id="{00000000-0008-0000-0400-0000C5000000}"/>
            </a:ext>
          </a:extLst>
        </xdr:cNvPr>
        <xdr:cNvCxnSpPr>
          <a:stCxn id="192" idx="2"/>
          <a:endCxn id="173" idx="0"/>
        </xdr:cNvCxnSpPr>
      </xdr:nvCxnSpPr>
      <xdr:spPr>
        <a:xfrm>
          <a:off x="3733800" y="13449300"/>
          <a:ext cx="0" cy="381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77</xdr:row>
      <xdr:rowOff>0</xdr:rowOff>
    </xdr:from>
    <xdr:to>
      <xdr:col>14</xdr:col>
      <xdr:colOff>3363</xdr:colOff>
      <xdr:row>88</xdr:row>
      <xdr:rowOff>179294</xdr:rowOff>
    </xdr:to>
    <xdr:cxnSp macro="">
      <xdr:nvCxnSpPr>
        <xdr:cNvPr id="200" name="Straight Arrow Connector 199">
          <a:extLst>
            <a:ext uri="{FF2B5EF4-FFF2-40B4-BE49-F238E27FC236}">
              <a16:creationId xmlns:a16="http://schemas.microsoft.com/office/drawing/2014/main" id="{00000000-0008-0000-0400-0000C8000000}"/>
            </a:ext>
          </a:extLst>
        </xdr:cNvPr>
        <xdr:cNvCxnSpPr>
          <a:stCxn id="173" idx="2"/>
          <a:endCxn id="175" idx="0"/>
        </xdr:cNvCxnSpPr>
      </xdr:nvCxnSpPr>
      <xdr:spPr>
        <a:xfrm flipH="1">
          <a:off x="3733800" y="14782800"/>
          <a:ext cx="0" cy="2286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72</xdr:row>
      <xdr:rowOff>0</xdr:rowOff>
    </xdr:from>
    <xdr:to>
      <xdr:col>62</xdr:col>
      <xdr:colOff>0</xdr:colOff>
      <xdr:row>82</xdr:row>
      <xdr:rowOff>0</xdr:rowOff>
    </xdr:to>
    <xdr:sp macro="" textlink="" fLocksText="0">
      <xdr:nvSpPr>
        <xdr:cNvPr id="211" name="吹き出し: 線 2">
          <a:extLst>
            <a:ext uri="{FF2B5EF4-FFF2-40B4-BE49-F238E27FC236}">
              <a16:creationId xmlns:a16="http://schemas.microsoft.com/office/drawing/2014/main" id="{00000000-0008-0000-0400-0000D3000000}"/>
            </a:ext>
          </a:extLst>
        </xdr:cNvPr>
        <xdr:cNvSpPr/>
      </xdr:nvSpPr>
      <xdr:spPr>
        <a:xfrm>
          <a:off x="9334500" y="13830300"/>
          <a:ext cx="7200900" cy="1914525"/>
        </a:xfrm>
        <a:prstGeom prst="borderCallout1">
          <a:avLst>
            <a:gd name="adj1" fmla="val 49926"/>
            <a:gd name="adj2" fmla="val -59"/>
            <a:gd name="adj3" fmla="val 20939"/>
            <a:gd name="adj4" fmla="val -70715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パラメータから送信されたプリセットメニューボタンのレコード数と、DBから取得したレコード数を確認する。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+少ない場合：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パラメータから送信されたレコードを取得済みのレコードに基づいてDBに上書き更新する。 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余分なレコードを削除する。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+同じ場合、パラメータから送信されたレコードを取得済みのレコードに基づいてDBに上書き更新する。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+多い場合：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パラメータから送信されたレコードを取得済みのレコードに基づいてDBに上書き更新する。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不足しているレコードを追加する。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0</xdr:colOff>
      <xdr:row>98</xdr:row>
      <xdr:rowOff>179295</xdr:rowOff>
    </xdr:from>
    <xdr:to>
      <xdr:col>18</xdr:col>
      <xdr:colOff>0</xdr:colOff>
      <xdr:row>104</xdr:row>
      <xdr:rowOff>1</xdr:rowOff>
    </xdr:to>
    <xdr:cxnSp macro="">
      <xdr:nvCxnSpPr>
        <xdr:cNvPr id="213" name="Connector: Elbow 212">
          <a:extLst>
            <a:ext uri="{FF2B5EF4-FFF2-40B4-BE49-F238E27FC236}">
              <a16:creationId xmlns:a16="http://schemas.microsoft.com/office/drawing/2014/main" id="{00000000-0008-0000-0400-0000D5000000}"/>
            </a:ext>
          </a:extLst>
        </xdr:cNvPr>
        <xdr:cNvCxnSpPr>
          <a:stCxn id="185" idx="2"/>
          <a:endCxn id="7" idx="0"/>
        </xdr:cNvCxnSpPr>
      </xdr:nvCxnSpPr>
      <xdr:spPr>
        <a:xfrm rot="5400000">
          <a:off x="3733800" y="18973800"/>
          <a:ext cx="1066800" cy="962025"/>
        </a:xfrm>
        <a:prstGeom prst="bentConnector3">
          <a:avLst>
            <a:gd name="adj1" fmla="val 7907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51</xdr:row>
      <xdr:rowOff>0</xdr:rowOff>
    </xdr:from>
    <xdr:to>
      <xdr:col>62</xdr:col>
      <xdr:colOff>0</xdr:colOff>
      <xdr:row>56</xdr:row>
      <xdr:rowOff>0</xdr:rowOff>
    </xdr:to>
    <xdr:sp macro="" textlink="" fLocksText="0">
      <xdr:nvSpPr>
        <xdr:cNvPr id="227" name="吹き出し: 線 2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/>
      </xdr:nvSpPr>
      <xdr:spPr>
        <a:xfrm>
          <a:off x="9334500" y="9829800"/>
          <a:ext cx="7200900" cy="952500"/>
        </a:xfrm>
        <a:prstGeom prst="borderCallout1">
          <a:avLst>
            <a:gd name="adj1" fmla="val 48945"/>
            <a:gd name="adj2" fmla="val 117"/>
            <a:gd name="adj3" fmla="val 50801"/>
            <a:gd name="adj4" fmla="val -69031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7. プリセットの追加・更新・削除の確認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成功の場合、[8. プリセットリスト取得]を実行する。</a:t>
          </a:r>
        </a:p>
        <a:p>
          <a:pPr>
            <a:def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7030A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失敗の場合、データをロールバックし、プログラムを停止する。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220" customWidth="1"/>
    <col min="61" max="16384" width="2.77734375" style="220"/>
  </cols>
  <sheetData>
    <row r="1" spans="1:63" ht="24.95" customHeight="1" x14ac:dyDescent="0.25">
      <c r="A1" s="214" t="s">
        <v>118</v>
      </c>
      <c r="B1" s="215"/>
      <c r="C1" s="215"/>
      <c r="D1" s="215"/>
      <c r="E1" s="215"/>
      <c r="F1" s="215"/>
      <c r="G1" s="215"/>
      <c r="H1" s="215"/>
      <c r="I1" s="215"/>
      <c r="J1" s="216"/>
      <c r="K1" s="214" t="s">
        <v>119</v>
      </c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6"/>
      <c r="W1" s="217" t="s">
        <v>120</v>
      </c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9"/>
      <c r="AP1" s="214" t="s">
        <v>121</v>
      </c>
      <c r="AQ1" s="215"/>
      <c r="AR1" s="215"/>
      <c r="AS1" s="216"/>
      <c r="AT1" s="214" t="s">
        <v>122</v>
      </c>
      <c r="AU1" s="215"/>
      <c r="AV1" s="215"/>
      <c r="AW1" s="215"/>
      <c r="AX1" s="216"/>
      <c r="AY1" s="214" t="s">
        <v>123</v>
      </c>
      <c r="AZ1" s="215"/>
      <c r="BA1" s="215"/>
      <c r="BB1" s="216"/>
      <c r="BC1" s="214" t="s">
        <v>124</v>
      </c>
      <c r="BD1" s="215"/>
      <c r="BE1" s="215"/>
      <c r="BF1" s="215"/>
      <c r="BG1" s="216"/>
      <c r="BH1" s="214" t="s">
        <v>125</v>
      </c>
      <c r="BI1" s="215"/>
      <c r="BJ1" s="215"/>
      <c r="BK1" s="216"/>
    </row>
    <row r="2" spans="1:63" ht="15" customHeight="1" x14ac:dyDescent="0.25">
      <c r="A2" s="64" t="s">
        <v>126</v>
      </c>
      <c r="B2" s="221"/>
      <c r="C2" s="221"/>
      <c r="D2" s="221"/>
      <c r="E2" s="221"/>
      <c r="F2" s="221"/>
      <c r="G2" s="221"/>
      <c r="H2" s="221"/>
      <c r="I2" s="221"/>
      <c r="J2" s="222"/>
      <c r="K2" s="223" t="s">
        <v>1</v>
      </c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2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223" t="str">
        <f>改訂履歴!$H$11</f>
        <v>DuNT</v>
      </c>
      <c r="AQ2" s="221"/>
      <c r="AR2" s="221"/>
      <c r="AS2" s="222"/>
      <c r="AT2" s="227">
        <f>改訂履歴!$B$11</f>
        <v>45477</v>
      </c>
      <c r="AU2" s="228"/>
      <c r="AV2" s="228"/>
      <c r="AW2" s="228"/>
      <c r="AX2" s="229"/>
      <c r="AY2" s="223" t="str">
        <f>LOOKUP(2,1/(改訂履歴!H11:H30000&lt;&gt;""),改訂履歴!H11:H30000)</f>
        <v>LoiLV</v>
      </c>
      <c r="AZ2" s="221"/>
      <c r="BA2" s="221"/>
      <c r="BB2" s="222"/>
      <c r="BC2" s="227">
        <f>LOOKUP(2,1/(改訂履歴!B11:B30000&lt;&gt;""),改訂履歴!B11:B30000)</f>
        <v>45964</v>
      </c>
      <c r="BD2" s="228"/>
      <c r="BE2" s="228"/>
      <c r="BF2" s="228"/>
      <c r="BG2" s="229"/>
      <c r="BH2" s="230">
        <f>LOOKUP(2,1/(改訂履歴!O11:O30000&lt;&gt;""),改訂履歴!O11:O30000)</f>
        <v>0.53</v>
      </c>
      <c r="BI2" s="231"/>
      <c r="BJ2" s="231"/>
      <c r="BK2" s="232"/>
    </row>
    <row r="3" spans="1:63" ht="15" customHeight="1" x14ac:dyDescent="0.25">
      <c r="A3" s="233"/>
      <c r="B3" s="234"/>
      <c r="C3" s="234"/>
      <c r="D3" s="234"/>
      <c r="E3" s="234"/>
      <c r="F3" s="234"/>
      <c r="G3" s="234"/>
      <c r="H3" s="234"/>
      <c r="I3" s="234"/>
      <c r="J3" s="235"/>
      <c r="K3" s="233"/>
      <c r="L3" s="234"/>
      <c r="M3" s="234"/>
      <c r="N3" s="234"/>
      <c r="O3" s="234"/>
      <c r="P3" s="234"/>
      <c r="Q3" s="234"/>
      <c r="R3" s="234"/>
      <c r="S3" s="234"/>
      <c r="T3" s="234"/>
      <c r="U3" s="234"/>
      <c r="V3" s="235"/>
      <c r="W3" s="236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8"/>
      <c r="AP3" s="233"/>
      <c r="AQ3" s="234"/>
      <c r="AR3" s="234"/>
      <c r="AS3" s="235"/>
      <c r="AT3" s="239"/>
      <c r="AU3" s="240"/>
      <c r="AV3" s="240"/>
      <c r="AW3" s="240"/>
      <c r="AX3" s="241"/>
      <c r="AY3" s="233"/>
      <c r="AZ3" s="234"/>
      <c r="BA3" s="234"/>
      <c r="BB3" s="235"/>
      <c r="BC3" s="239"/>
      <c r="BD3" s="240"/>
      <c r="BE3" s="240"/>
      <c r="BF3" s="240"/>
      <c r="BG3" s="241"/>
      <c r="BH3" s="242"/>
      <c r="BI3" s="243"/>
      <c r="BJ3" s="243"/>
      <c r="BK3" s="244"/>
    </row>
    <row r="4" spans="1:63" ht="24.95" customHeight="1" x14ac:dyDescent="0.25">
      <c r="A4" s="214" t="s">
        <v>127</v>
      </c>
      <c r="B4" s="215"/>
      <c r="C4" s="215"/>
      <c r="D4" s="215"/>
      <c r="E4" s="215"/>
      <c r="F4" s="215"/>
      <c r="G4" s="216"/>
      <c r="H4" s="245" t="s">
        <v>30</v>
      </c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7"/>
      <c r="U4" s="214" t="s">
        <v>128</v>
      </c>
      <c r="V4" s="215"/>
      <c r="W4" s="215"/>
      <c r="X4" s="215"/>
      <c r="Y4" s="216"/>
      <c r="Z4" s="63" t="s">
        <v>129</v>
      </c>
      <c r="AA4" s="246"/>
      <c r="AB4" s="246"/>
      <c r="AC4" s="246"/>
      <c r="AD4" s="246"/>
      <c r="AE4" s="246"/>
      <c r="AF4" s="246"/>
      <c r="AG4" s="246"/>
      <c r="AH4" s="246"/>
      <c r="AI4" s="246"/>
      <c r="AJ4" s="246"/>
      <c r="AK4" s="246"/>
      <c r="AL4" s="246"/>
      <c r="AM4" s="246"/>
      <c r="AN4" s="246"/>
      <c r="AO4" s="247"/>
      <c r="AP4" s="245" t="str">
        <f t="array" aca="1" ref="AP4" ca="1">RIGHT(CELL("filename",$A$1),LEN(CELL("filename",$A$1))-FIND("]",CELL("filename",$A$1)))</f>
        <v>表紙</v>
      </c>
      <c r="AQ4" s="246"/>
      <c r="AR4" s="246"/>
      <c r="AS4" s="246"/>
      <c r="AT4" s="246"/>
      <c r="AU4" s="246"/>
      <c r="AV4" s="246"/>
      <c r="AW4" s="246"/>
      <c r="AX4" s="246"/>
      <c r="AY4" s="246"/>
      <c r="AZ4" s="246"/>
      <c r="BA4" s="246"/>
      <c r="BB4" s="246"/>
      <c r="BC4" s="246"/>
      <c r="BD4" s="246"/>
      <c r="BE4" s="246"/>
      <c r="BF4" s="246"/>
      <c r="BG4" s="246"/>
      <c r="BH4" s="246"/>
      <c r="BI4" s="246"/>
      <c r="BJ4" s="246"/>
      <c r="BK4" s="247"/>
    </row>
    <row r="5" spans="1:63" ht="5.0999999999999996" customHeight="1" x14ac:dyDescent="0.25">
      <c r="A5" s="248"/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/>
      <c r="V5" s="249"/>
      <c r="W5" s="249"/>
      <c r="X5" s="249"/>
      <c r="Y5" s="249"/>
      <c r="Z5" s="249"/>
      <c r="AA5" s="249"/>
      <c r="AB5" s="249"/>
      <c r="AC5" s="249"/>
      <c r="AD5" s="249"/>
      <c r="AE5" s="249"/>
      <c r="AF5" s="249"/>
      <c r="AG5" s="249"/>
      <c r="AH5" s="249"/>
      <c r="AI5" s="249"/>
      <c r="AJ5" s="249"/>
      <c r="AK5" s="249"/>
      <c r="AL5" s="249"/>
      <c r="AM5" s="249"/>
      <c r="AN5" s="249"/>
      <c r="AO5" s="249"/>
      <c r="AP5" s="249"/>
      <c r="AQ5" s="249"/>
      <c r="AR5" s="249"/>
      <c r="AS5" s="249"/>
      <c r="AT5" s="249"/>
      <c r="AU5" s="249"/>
      <c r="AV5" s="249"/>
      <c r="AW5" s="249"/>
      <c r="AX5" s="249"/>
      <c r="AY5" s="249"/>
      <c r="AZ5" s="249"/>
      <c r="BA5" s="249"/>
      <c r="BB5" s="249"/>
      <c r="BC5" s="249"/>
      <c r="BD5" s="249"/>
      <c r="BE5" s="249"/>
      <c r="BF5" s="249"/>
      <c r="BG5" s="249"/>
      <c r="BH5" s="249"/>
      <c r="BI5" s="249"/>
      <c r="BJ5" s="249"/>
      <c r="BK5" s="250"/>
    </row>
    <row r="6" spans="1:63" ht="15" customHeight="1" x14ac:dyDescent="0.25">
      <c r="A6" s="251"/>
      <c r="BK6" s="252"/>
    </row>
    <row r="7" spans="1:63" ht="15" customHeight="1" x14ac:dyDescent="0.25">
      <c r="A7" s="251"/>
      <c r="BK7" s="252"/>
    </row>
    <row r="8" spans="1:63" ht="15" customHeight="1" x14ac:dyDescent="0.25">
      <c r="A8" s="251"/>
      <c r="BK8" s="252"/>
    </row>
    <row r="9" spans="1:63" ht="15" customHeight="1" x14ac:dyDescent="0.25">
      <c r="A9" s="251"/>
      <c r="BK9" s="252"/>
    </row>
    <row r="10" spans="1:63" ht="15" customHeight="1" x14ac:dyDescent="0.25">
      <c r="A10" s="251"/>
      <c r="BK10" s="252"/>
    </row>
    <row r="11" spans="1:63" ht="15" customHeight="1" x14ac:dyDescent="0.25">
      <c r="A11" s="251"/>
      <c r="BK11" s="252"/>
    </row>
    <row r="12" spans="1:63" ht="15" customHeight="1" x14ac:dyDescent="0.25">
      <c r="A12" s="251"/>
      <c r="BK12" s="252"/>
    </row>
    <row r="13" spans="1:63" ht="15" customHeight="1" x14ac:dyDescent="0.25">
      <c r="A13" s="251"/>
      <c r="BK13" s="252"/>
    </row>
    <row r="14" spans="1:63" ht="15" customHeight="1" thickBot="1" x14ac:dyDescent="0.3">
      <c r="A14" s="251"/>
      <c r="BK14" s="252"/>
    </row>
    <row r="15" spans="1:63" ht="15" customHeight="1" thickTop="1" x14ac:dyDescent="0.25">
      <c r="A15" s="251"/>
      <c r="K15" s="253"/>
      <c r="L15" s="254"/>
      <c r="M15" s="254"/>
      <c r="N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  <c r="AA15" s="254"/>
      <c r="AB15" s="254"/>
      <c r="AC15" s="254"/>
      <c r="AD15" s="254"/>
      <c r="AE15" s="254"/>
      <c r="AF15" s="254"/>
      <c r="AG15" s="254"/>
      <c r="AH15" s="254"/>
      <c r="AI15" s="254"/>
      <c r="AJ15" s="254"/>
      <c r="AK15" s="254"/>
      <c r="AL15" s="254"/>
      <c r="AM15" s="254"/>
      <c r="AN15" s="254"/>
      <c r="AO15" s="254"/>
      <c r="AP15" s="254"/>
      <c r="AQ15" s="254"/>
      <c r="AR15" s="254"/>
      <c r="AS15" s="254"/>
      <c r="AT15" s="254"/>
      <c r="AU15" s="254"/>
      <c r="AV15" s="254"/>
      <c r="AW15" s="254"/>
      <c r="AX15" s="254"/>
      <c r="AY15" s="254"/>
      <c r="AZ15" s="254"/>
      <c r="BA15" s="255"/>
      <c r="BK15" s="252"/>
    </row>
    <row r="16" spans="1:63" ht="15" customHeight="1" x14ac:dyDescent="0.25">
      <c r="A16" s="251"/>
      <c r="K16" s="256"/>
      <c r="L16" s="257" t="s">
        <v>130</v>
      </c>
      <c r="M16" s="258"/>
      <c r="N16" s="258"/>
      <c r="O16" s="258"/>
      <c r="P16" s="258"/>
      <c r="Q16" s="258"/>
      <c r="R16" s="258"/>
      <c r="S16" s="258"/>
      <c r="T16" s="258"/>
      <c r="U16" s="258"/>
      <c r="V16" s="258"/>
      <c r="W16" s="258"/>
      <c r="X16" s="258"/>
      <c r="Y16" s="258"/>
      <c r="Z16" s="258"/>
      <c r="AA16" s="258"/>
      <c r="AB16" s="258"/>
      <c r="AC16" s="258"/>
      <c r="AD16" s="258"/>
      <c r="AE16" s="258"/>
      <c r="AF16" s="258"/>
      <c r="AG16" s="258"/>
      <c r="AH16" s="258"/>
      <c r="AI16" s="258"/>
      <c r="AJ16" s="258"/>
      <c r="AK16" s="258"/>
      <c r="AL16" s="258"/>
      <c r="AM16" s="258"/>
      <c r="AN16" s="258"/>
      <c r="AO16" s="258"/>
      <c r="AP16" s="258"/>
      <c r="AQ16" s="258"/>
      <c r="AR16" s="258"/>
      <c r="AS16" s="258"/>
      <c r="AT16" s="258"/>
      <c r="AU16" s="258"/>
      <c r="AV16" s="258"/>
      <c r="AW16" s="258"/>
      <c r="AX16" s="258"/>
      <c r="AY16" s="258"/>
      <c r="AZ16" s="258"/>
      <c r="BA16" s="259"/>
      <c r="BK16" s="252"/>
    </row>
    <row r="17" spans="1:63" ht="15" customHeight="1" x14ac:dyDescent="0.25">
      <c r="A17" s="251"/>
      <c r="K17" s="256"/>
      <c r="L17" s="258"/>
      <c r="M17" s="258"/>
      <c r="N17" s="258"/>
      <c r="O17" s="258"/>
      <c r="P17" s="258"/>
      <c r="Q17" s="258"/>
      <c r="R17" s="258"/>
      <c r="S17" s="258"/>
      <c r="T17" s="258"/>
      <c r="U17" s="258"/>
      <c r="V17" s="258"/>
      <c r="W17" s="258"/>
      <c r="X17" s="258"/>
      <c r="Y17" s="258"/>
      <c r="Z17" s="258"/>
      <c r="AA17" s="258"/>
      <c r="AB17" s="258"/>
      <c r="AC17" s="258"/>
      <c r="AD17" s="258"/>
      <c r="AE17" s="258"/>
      <c r="AF17" s="258"/>
      <c r="AG17" s="258"/>
      <c r="AH17" s="258"/>
      <c r="AI17" s="258"/>
      <c r="AJ17" s="258"/>
      <c r="AK17" s="258"/>
      <c r="AL17" s="258"/>
      <c r="AM17" s="258"/>
      <c r="AN17" s="258"/>
      <c r="AO17" s="258"/>
      <c r="AP17" s="258"/>
      <c r="AQ17" s="258"/>
      <c r="AR17" s="258"/>
      <c r="AS17" s="258"/>
      <c r="AT17" s="258"/>
      <c r="AU17" s="258"/>
      <c r="AV17" s="258"/>
      <c r="AW17" s="258"/>
      <c r="AX17" s="258"/>
      <c r="AY17" s="258"/>
      <c r="AZ17" s="258"/>
      <c r="BA17" s="259"/>
      <c r="BK17" s="252"/>
    </row>
    <row r="18" spans="1:63" ht="15" customHeight="1" x14ac:dyDescent="0.25">
      <c r="A18" s="251"/>
      <c r="K18" s="256"/>
      <c r="L18" s="258"/>
      <c r="M18" s="258"/>
      <c r="N18" s="258"/>
      <c r="O18" s="258"/>
      <c r="P18" s="258"/>
      <c r="Q18" s="258"/>
      <c r="R18" s="258"/>
      <c r="S18" s="258"/>
      <c r="T18" s="258"/>
      <c r="U18" s="258"/>
      <c r="V18" s="258"/>
      <c r="W18" s="258"/>
      <c r="X18" s="258"/>
      <c r="Y18" s="258"/>
      <c r="Z18" s="258"/>
      <c r="AA18" s="258"/>
      <c r="AB18" s="258"/>
      <c r="AC18" s="258"/>
      <c r="AD18" s="258"/>
      <c r="AE18" s="258"/>
      <c r="AF18" s="258"/>
      <c r="AG18" s="258"/>
      <c r="AH18" s="258"/>
      <c r="AI18" s="258"/>
      <c r="AJ18" s="258"/>
      <c r="AK18" s="258"/>
      <c r="AL18" s="258"/>
      <c r="AM18" s="258"/>
      <c r="AN18" s="258"/>
      <c r="AO18" s="258"/>
      <c r="AP18" s="258"/>
      <c r="AQ18" s="258"/>
      <c r="AR18" s="258"/>
      <c r="AS18" s="258"/>
      <c r="AT18" s="258"/>
      <c r="AU18" s="258"/>
      <c r="AV18" s="258"/>
      <c r="AW18" s="258"/>
      <c r="AX18" s="258"/>
      <c r="AY18" s="258"/>
      <c r="AZ18" s="258"/>
      <c r="BA18" s="259"/>
      <c r="BK18" s="252"/>
    </row>
    <row r="19" spans="1:63" ht="15" customHeight="1" x14ac:dyDescent="0.25">
      <c r="A19" s="251"/>
      <c r="K19" s="256"/>
      <c r="L19" s="258"/>
      <c r="M19" s="258"/>
      <c r="N19" s="258"/>
      <c r="O19" s="258"/>
      <c r="P19" s="258"/>
      <c r="Q19" s="258"/>
      <c r="R19" s="258"/>
      <c r="S19" s="258"/>
      <c r="T19" s="258"/>
      <c r="U19" s="258"/>
      <c r="V19" s="258"/>
      <c r="W19" s="258"/>
      <c r="X19" s="258"/>
      <c r="Y19" s="258"/>
      <c r="Z19" s="258"/>
      <c r="AA19" s="258"/>
      <c r="AB19" s="258"/>
      <c r="AC19" s="258"/>
      <c r="AD19" s="258"/>
      <c r="AE19" s="258"/>
      <c r="AF19" s="258"/>
      <c r="AG19" s="258"/>
      <c r="AH19" s="258"/>
      <c r="AI19" s="258"/>
      <c r="AJ19" s="258"/>
      <c r="AK19" s="258"/>
      <c r="AL19" s="258"/>
      <c r="AM19" s="258"/>
      <c r="AN19" s="258"/>
      <c r="AO19" s="258"/>
      <c r="AP19" s="258"/>
      <c r="AQ19" s="258"/>
      <c r="AR19" s="258"/>
      <c r="AS19" s="258"/>
      <c r="AT19" s="258"/>
      <c r="AU19" s="258"/>
      <c r="AV19" s="258"/>
      <c r="AW19" s="258"/>
      <c r="AX19" s="258"/>
      <c r="AY19" s="258"/>
      <c r="AZ19" s="258"/>
      <c r="BA19" s="259"/>
      <c r="BK19" s="252"/>
    </row>
    <row r="20" spans="1:63" ht="15" customHeight="1" x14ac:dyDescent="0.25">
      <c r="A20" s="251"/>
      <c r="K20" s="256"/>
      <c r="L20" s="258"/>
      <c r="M20" s="258"/>
      <c r="N20" s="258"/>
      <c r="O20" s="258"/>
      <c r="P20" s="258"/>
      <c r="Q20" s="258"/>
      <c r="R20" s="258"/>
      <c r="S20" s="258"/>
      <c r="T20" s="258"/>
      <c r="U20" s="258"/>
      <c r="V20" s="258"/>
      <c r="W20" s="258"/>
      <c r="X20" s="258"/>
      <c r="Y20" s="258"/>
      <c r="Z20" s="258"/>
      <c r="AA20" s="258"/>
      <c r="AB20" s="258"/>
      <c r="AC20" s="258"/>
      <c r="AD20" s="258"/>
      <c r="AE20" s="258"/>
      <c r="AF20" s="258"/>
      <c r="AG20" s="258"/>
      <c r="AH20" s="258"/>
      <c r="AI20" s="258"/>
      <c r="AJ20" s="258"/>
      <c r="AK20" s="258"/>
      <c r="AL20" s="258"/>
      <c r="AM20" s="258"/>
      <c r="AN20" s="258"/>
      <c r="AO20" s="258"/>
      <c r="AP20" s="258"/>
      <c r="AQ20" s="258"/>
      <c r="AR20" s="258"/>
      <c r="AS20" s="258"/>
      <c r="AT20" s="258"/>
      <c r="AU20" s="258"/>
      <c r="AV20" s="258"/>
      <c r="AW20" s="258"/>
      <c r="AX20" s="258"/>
      <c r="AY20" s="258"/>
      <c r="AZ20" s="258"/>
      <c r="BA20" s="259"/>
      <c r="BK20" s="252"/>
    </row>
    <row r="21" spans="1:63" ht="15" customHeight="1" x14ac:dyDescent="0.25">
      <c r="A21" s="251"/>
      <c r="K21" s="256"/>
      <c r="L21" s="258"/>
      <c r="M21" s="258"/>
      <c r="N21" s="258"/>
      <c r="O21" s="258"/>
      <c r="P21" s="258"/>
      <c r="Q21" s="258"/>
      <c r="R21" s="258"/>
      <c r="S21" s="258"/>
      <c r="T21" s="258"/>
      <c r="U21" s="258"/>
      <c r="V21" s="258"/>
      <c r="W21" s="258"/>
      <c r="X21" s="258"/>
      <c r="Y21" s="258"/>
      <c r="Z21" s="258"/>
      <c r="AA21" s="258"/>
      <c r="AB21" s="258"/>
      <c r="AC21" s="258"/>
      <c r="AD21" s="258"/>
      <c r="AE21" s="258"/>
      <c r="AF21" s="258"/>
      <c r="AG21" s="258"/>
      <c r="AH21" s="258"/>
      <c r="AI21" s="258"/>
      <c r="AJ21" s="258"/>
      <c r="AK21" s="258"/>
      <c r="AL21" s="258"/>
      <c r="AM21" s="258"/>
      <c r="AN21" s="258"/>
      <c r="AO21" s="258"/>
      <c r="AP21" s="258"/>
      <c r="AQ21" s="258"/>
      <c r="AR21" s="258"/>
      <c r="AS21" s="258"/>
      <c r="AT21" s="258"/>
      <c r="AU21" s="258"/>
      <c r="AV21" s="258"/>
      <c r="AW21" s="258"/>
      <c r="AX21" s="258"/>
      <c r="AY21" s="258"/>
      <c r="AZ21" s="258"/>
      <c r="BA21" s="259"/>
      <c r="BK21" s="252"/>
    </row>
    <row r="22" spans="1:63" ht="15" customHeight="1" thickBot="1" x14ac:dyDescent="0.3">
      <c r="A22" s="251"/>
      <c r="K22" s="256"/>
      <c r="L22" s="260"/>
      <c r="M22" s="260"/>
      <c r="N22" s="260"/>
      <c r="O22" s="260"/>
      <c r="P22" s="260"/>
      <c r="Q22" s="260"/>
      <c r="R22" s="260"/>
      <c r="S22" s="260"/>
      <c r="T22" s="260"/>
      <c r="U22" s="260"/>
      <c r="V22" s="260"/>
      <c r="W22" s="260"/>
      <c r="X22" s="260"/>
      <c r="Y22" s="260"/>
      <c r="Z22" s="260"/>
      <c r="AA22" s="260"/>
      <c r="AB22" s="260"/>
      <c r="AC22" s="260"/>
      <c r="AD22" s="260"/>
      <c r="AE22" s="260"/>
      <c r="AF22" s="260"/>
      <c r="AG22" s="260"/>
      <c r="AH22" s="260"/>
      <c r="AI22" s="260"/>
      <c r="AJ22" s="260"/>
      <c r="AK22" s="260"/>
      <c r="AL22" s="260"/>
      <c r="AM22" s="260"/>
      <c r="AN22" s="260"/>
      <c r="AO22" s="260"/>
      <c r="AP22" s="260"/>
      <c r="AQ22" s="260"/>
      <c r="AR22" s="260"/>
      <c r="AS22" s="260"/>
      <c r="AT22" s="260"/>
      <c r="AU22" s="260"/>
      <c r="AV22" s="260"/>
      <c r="AW22" s="260"/>
      <c r="AX22" s="260"/>
      <c r="AY22" s="260"/>
      <c r="AZ22" s="260"/>
      <c r="BA22" s="259"/>
      <c r="BK22" s="252"/>
    </row>
    <row r="23" spans="1:63" ht="15" customHeight="1" x14ac:dyDescent="0.25">
      <c r="A23" s="251"/>
      <c r="K23" s="256"/>
      <c r="L23" s="261"/>
      <c r="M23" s="261"/>
      <c r="N23" s="261"/>
      <c r="O23" s="261"/>
      <c r="P23" s="261"/>
      <c r="Q23" s="261"/>
      <c r="R23" s="261"/>
      <c r="S23" s="261"/>
      <c r="T23" s="261"/>
      <c r="U23" s="261"/>
      <c r="V23" s="261"/>
      <c r="W23" s="261"/>
      <c r="X23" s="261"/>
      <c r="Y23" s="261"/>
      <c r="Z23" s="261"/>
      <c r="AA23" s="261"/>
      <c r="AB23" s="261"/>
      <c r="AC23" s="261"/>
      <c r="AD23" s="261"/>
      <c r="AE23" s="261"/>
      <c r="AF23" s="261"/>
      <c r="AG23" s="261"/>
      <c r="AH23" s="261"/>
      <c r="AI23" s="261"/>
      <c r="AJ23" s="261"/>
      <c r="AK23" s="261"/>
      <c r="AL23" s="261"/>
      <c r="AM23" s="261"/>
      <c r="AN23" s="261"/>
      <c r="AO23" s="261"/>
      <c r="AP23" s="261"/>
      <c r="AQ23" s="261"/>
      <c r="AR23" s="261"/>
      <c r="AS23" s="261"/>
      <c r="AT23" s="261"/>
      <c r="AU23" s="261"/>
      <c r="AV23" s="261"/>
      <c r="AW23" s="261"/>
      <c r="AX23" s="261"/>
      <c r="AY23" s="261"/>
      <c r="AZ23" s="261"/>
      <c r="BA23" s="259"/>
      <c r="BK23" s="252"/>
    </row>
    <row r="24" spans="1:63" ht="15" customHeight="1" x14ac:dyDescent="0.25">
      <c r="A24" s="251"/>
      <c r="K24" s="256"/>
      <c r="L24" s="258" t="str">
        <f>K2&amp;"/"&amp;H4&amp;"/"&amp;Z4</f>
        <v>POSサーバー/AP1508/API設計書</v>
      </c>
      <c r="M24" s="258"/>
      <c r="N24" s="258"/>
      <c r="O24" s="258"/>
      <c r="P24" s="258"/>
      <c r="Q24" s="258"/>
      <c r="R24" s="258"/>
      <c r="S24" s="258"/>
      <c r="T24" s="258"/>
      <c r="U24" s="258"/>
      <c r="V24" s="258"/>
      <c r="W24" s="258"/>
      <c r="X24" s="258"/>
      <c r="Y24" s="258"/>
      <c r="Z24" s="258"/>
      <c r="AA24" s="258"/>
      <c r="AB24" s="258"/>
      <c r="AC24" s="258"/>
      <c r="AD24" s="258"/>
      <c r="AE24" s="258"/>
      <c r="AF24" s="258"/>
      <c r="AG24" s="258"/>
      <c r="AH24" s="258"/>
      <c r="AI24" s="258"/>
      <c r="AJ24" s="258"/>
      <c r="AK24" s="258"/>
      <c r="AL24" s="258"/>
      <c r="AM24" s="258"/>
      <c r="AN24" s="258"/>
      <c r="AO24" s="258"/>
      <c r="AP24" s="258"/>
      <c r="AQ24" s="258"/>
      <c r="AR24" s="258"/>
      <c r="AS24" s="258"/>
      <c r="AT24" s="258"/>
      <c r="AU24" s="258"/>
      <c r="AV24" s="258"/>
      <c r="AW24" s="258"/>
      <c r="AX24" s="258"/>
      <c r="AY24" s="258"/>
      <c r="AZ24" s="258"/>
      <c r="BA24" s="259"/>
      <c r="BK24" s="252"/>
    </row>
    <row r="25" spans="1:63" ht="15" customHeight="1" x14ac:dyDescent="0.25">
      <c r="A25" s="251"/>
      <c r="K25" s="256"/>
      <c r="L25" s="258"/>
      <c r="M25" s="258"/>
      <c r="N25" s="258"/>
      <c r="O25" s="258"/>
      <c r="P25" s="258"/>
      <c r="Q25" s="258"/>
      <c r="R25" s="258"/>
      <c r="S25" s="258"/>
      <c r="T25" s="258"/>
      <c r="U25" s="258"/>
      <c r="V25" s="258"/>
      <c r="W25" s="258"/>
      <c r="X25" s="258"/>
      <c r="Y25" s="258"/>
      <c r="Z25" s="258"/>
      <c r="AA25" s="258"/>
      <c r="AB25" s="258"/>
      <c r="AC25" s="258"/>
      <c r="AD25" s="258"/>
      <c r="AE25" s="258"/>
      <c r="AF25" s="258"/>
      <c r="AG25" s="258"/>
      <c r="AH25" s="258"/>
      <c r="AI25" s="258"/>
      <c r="AJ25" s="258"/>
      <c r="AK25" s="258"/>
      <c r="AL25" s="258"/>
      <c r="AM25" s="258"/>
      <c r="AN25" s="258"/>
      <c r="AO25" s="258"/>
      <c r="AP25" s="258"/>
      <c r="AQ25" s="258"/>
      <c r="AR25" s="258"/>
      <c r="AS25" s="258"/>
      <c r="AT25" s="258"/>
      <c r="AU25" s="258"/>
      <c r="AV25" s="258"/>
      <c r="AW25" s="258"/>
      <c r="AX25" s="258"/>
      <c r="AY25" s="258"/>
      <c r="AZ25" s="258"/>
      <c r="BA25" s="259"/>
      <c r="BK25" s="252"/>
    </row>
    <row r="26" spans="1:63" ht="15" customHeight="1" x14ac:dyDescent="0.25">
      <c r="A26" s="251"/>
      <c r="K26" s="256"/>
      <c r="L26" s="258"/>
      <c r="M26" s="258"/>
      <c r="N26" s="258"/>
      <c r="O26" s="258"/>
      <c r="P26" s="258"/>
      <c r="Q26" s="258"/>
      <c r="R26" s="258"/>
      <c r="S26" s="258"/>
      <c r="T26" s="258"/>
      <c r="U26" s="258"/>
      <c r="V26" s="258"/>
      <c r="W26" s="258"/>
      <c r="X26" s="258"/>
      <c r="Y26" s="258"/>
      <c r="Z26" s="258"/>
      <c r="AA26" s="258"/>
      <c r="AB26" s="258"/>
      <c r="AC26" s="258"/>
      <c r="AD26" s="258"/>
      <c r="AE26" s="258"/>
      <c r="AF26" s="258"/>
      <c r="AG26" s="258"/>
      <c r="AH26" s="258"/>
      <c r="AI26" s="258"/>
      <c r="AJ26" s="258"/>
      <c r="AK26" s="258"/>
      <c r="AL26" s="258"/>
      <c r="AM26" s="258"/>
      <c r="AN26" s="258"/>
      <c r="AO26" s="258"/>
      <c r="AP26" s="258"/>
      <c r="AQ26" s="258"/>
      <c r="AR26" s="258"/>
      <c r="AS26" s="258"/>
      <c r="AT26" s="258"/>
      <c r="AU26" s="258"/>
      <c r="AV26" s="258"/>
      <c r="AW26" s="258"/>
      <c r="AX26" s="258"/>
      <c r="AY26" s="258"/>
      <c r="AZ26" s="258"/>
      <c r="BA26" s="259"/>
      <c r="BK26" s="252"/>
    </row>
    <row r="27" spans="1:63" ht="15" customHeight="1" x14ac:dyDescent="0.25">
      <c r="A27" s="251"/>
      <c r="K27" s="256"/>
      <c r="L27" s="258"/>
      <c r="M27" s="258"/>
      <c r="N27" s="258"/>
      <c r="O27" s="258"/>
      <c r="P27" s="258"/>
      <c r="Q27" s="258"/>
      <c r="R27" s="258"/>
      <c r="S27" s="258"/>
      <c r="T27" s="258"/>
      <c r="U27" s="258"/>
      <c r="V27" s="258"/>
      <c r="W27" s="258"/>
      <c r="X27" s="258"/>
      <c r="Y27" s="258"/>
      <c r="Z27" s="258"/>
      <c r="AA27" s="258"/>
      <c r="AB27" s="258"/>
      <c r="AC27" s="258"/>
      <c r="AD27" s="258"/>
      <c r="AE27" s="258"/>
      <c r="AF27" s="258"/>
      <c r="AG27" s="258"/>
      <c r="AH27" s="258"/>
      <c r="AI27" s="258"/>
      <c r="AJ27" s="258"/>
      <c r="AK27" s="258"/>
      <c r="AL27" s="258"/>
      <c r="AM27" s="258"/>
      <c r="AN27" s="258"/>
      <c r="AO27" s="258"/>
      <c r="AP27" s="258"/>
      <c r="AQ27" s="258"/>
      <c r="AR27" s="258"/>
      <c r="AS27" s="258"/>
      <c r="AT27" s="258"/>
      <c r="AU27" s="258"/>
      <c r="AV27" s="258"/>
      <c r="AW27" s="258"/>
      <c r="AX27" s="258"/>
      <c r="AY27" s="258"/>
      <c r="AZ27" s="258"/>
      <c r="BA27" s="259"/>
      <c r="BK27" s="252"/>
    </row>
    <row r="28" spans="1:63" ht="15" customHeight="1" x14ac:dyDescent="0.25">
      <c r="A28" s="251"/>
      <c r="K28" s="256"/>
      <c r="L28" s="258"/>
      <c r="M28" s="258"/>
      <c r="N28" s="258"/>
      <c r="O28" s="258"/>
      <c r="P28" s="258"/>
      <c r="Q28" s="258"/>
      <c r="R28" s="258"/>
      <c r="S28" s="258"/>
      <c r="T28" s="258"/>
      <c r="U28" s="258"/>
      <c r="V28" s="258"/>
      <c r="W28" s="258"/>
      <c r="X28" s="258"/>
      <c r="Y28" s="258"/>
      <c r="Z28" s="258"/>
      <c r="AA28" s="258"/>
      <c r="AB28" s="258"/>
      <c r="AC28" s="258"/>
      <c r="AD28" s="258"/>
      <c r="AE28" s="258"/>
      <c r="AF28" s="258"/>
      <c r="AG28" s="258"/>
      <c r="AH28" s="258"/>
      <c r="AI28" s="258"/>
      <c r="AJ28" s="258"/>
      <c r="AK28" s="258"/>
      <c r="AL28" s="258"/>
      <c r="AM28" s="258"/>
      <c r="AN28" s="258"/>
      <c r="AO28" s="258"/>
      <c r="AP28" s="258"/>
      <c r="AQ28" s="258"/>
      <c r="AR28" s="258"/>
      <c r="AS28" s="258"/>
      <c r="AT28" s="258"/>
      <c r="AU28" s="258"/>
      <c r="AV28" s="258"/>
      <c r="AW28" s="258"/>
      <c r="AX28" s="258"/>
      <c r="AY28" s="258"/>
      <c r="AZ28" s="258"/>
      <c r="BA28" s="259"/>
      <c r="BK28" s="252"/>
    </row>
    <row r="29" spans="1:63" ht="15" customHeight="1" x14ac:dyDescent="0.25">
      <c r="A29" s="251"/>
      <c r="K29" s="256"/>
      <c r="L29" s="258"/>
      <c r="M29" s="258"/>
      <c r="N29" s="258"/>
      <c r="O29" s="258"/>
      <c r="P29" s="258"/>
      <c r="Q29" s="258"/>
      <c r="R29" s="258"/>
      <c r="S29" s="258"/>
      <c r="T29" s="258"/>
      <c r="U29" s="258"/>
      <c r="V29" s="258"/>
      <c r="W29" s="258"/>
      <c r="X29" s="258"/>
      <c r="Y29" s="258"/>
      <c r="Z29" s="258"/>
      <c r="AA29" s="258"/>
      <c r="AB29" s="258"/>
      <c r="AC29" s="258"/>
      <c r="AD29" s="258"/>
      <c r="AE29" s="258"/>
      <c r="AF29" s="258"/>
      <c r="AG29" s="258"/>
      <c r="AH29" s="258"/>
      <c r="AI29" s="258"/>
      <c r="AJ29" s="258"/>
      <c r="AK29" s="258"/>
      <c r="AL29" s="258"/>
      <c r="AM29" s="258"/>
      <c r="AN29" s="258"/>
      <c r="AO29" s="258"/>
      <c r="AP29" s="258"/>
      <c r="AQ29" s="258"/>
      <c r="AR29" s="258"/>
      <c r="AS29" s="258"/>
      <c r="AT29" s="258"/>
      <c r="AU29" s="258"/>
      <c r="AV29" s="258"/>
      <c r="AW29" s="258"/>
      <c r="AX29" s="258"/>
      <c r="AY29" s="258"/>
      <c r="AZ29" s="258"/>
      <c r="BA29" s="259"/>
      <c r="BK29" s="252"/>
    </row>
    <row r="30" spans="1:63" ht="15" customHeight="1" x14ac:dyDescent="0.25">
      <c r="A30" s="251"/>
      <c r="K30" s="256"/>
      <c r="L30" s="258"/>
      <c r="M30" s="258"/>
      <c r="N30" s="258"/>
      <c r="O30" s="258"/>
      <c r="P30" s="258"/>
      <c r="Q30" s="258"/>
      <c r="R30" s="258"/>
      <c r="S30" s="258"/>
      <c r="T30" s="258"/>
      <c r="U30" s="258"/>
      <c r="V30" s="258"/>
      <c r="W30" s="258"/>
      <c r="X30" s="258"/>
      <c r="Y30" s="258"/>
      <c r="Z30" s="258"/>
      <c r="AA30" s="258"/>
      <c r="AB30" s="258"/>
      <c r="AC30" s="258"/>
      <c r="AD30" s="258"/>
      <c r="AE30" s="258"/>
      <c r="AF30" s="258"/>
      <c r="AG30" s="258"/>
      <c r="AH30" s="258"/>
      <c r="AI30" s="258"/>
      <c r="AJ30" s="258"/>
      <c r="AK30" s="258"/>
      <c r="AL30" s="258"/>
      <c r="AM30" s="258"/>
      <c r="AN30" s="258"/>
      <c r="AO30" s="258"/>
      <c r="AP30" s="258"/>
      <c r="AQ30" s="258"/>
      <c r="AR30" s="258"/>
      <c r="AS30" s="258"/>
      <c r="AT30" s="258"/>
      <c r="AU30" s="258"/>
      <c r="AV30" s="258"/>
      <c r="AW30" s="258"/>
      <c r="AX30" s="258"/>
      <c r="AY30" s="258"/>
      <c r="AZ30" s="258"/>
      <c r="BA30" s="259"/>
      <c r="BK30" s="252"/>
    </row>
    <row r="31" spans="1:63" ht="15" customHeight="1" x14ac:dyDescent="0.25">
      <c r="A31" s="251"/>
      <c r="K31" s="256"/>
      <c r="L31" s="258"/>
      <c r="M31" s="258"/>
      <c r="N31" s="258"/>
      <c r="O31" s="258"/>
      <c r="P31" s="258"/>
      <c r="Q31" s="258"/>
      <c r="R31" s="258"/>
      <c r="S31" s="258"/>
      <c r="T31" s="258"/>
      <c r="U31" s="258"/>
      <c r="V31" s="258"/>
      <c r="W31" s="258"/>
      <c r="X31" s="258"/>
      <c r="Y31" s="258"/>
      <c r="Z31" s="258"/>
      <c r="AA31" s="258"/>
      <c r="AB31" s="258"/>
      <c r="AC31" s="258"/>
      <c r="AD31" s="258"/>
      <c r="AE31" s="258"/>
      <c r="AF31" s="258"/>
      <c r="AG31" s="258"/>
      <c r="AH31" s="258"/>
      <c r="AI31" s="258"/>
      <c r="AJ31" s="258"/>
      <c r="AK31" s="258"/>
      <c r="AL31" s="258"/>
      <c r="AM31" s="258"/>
      <c r="AN31" s="258"/>
      <c r="AO31" s="258"/>
      <c r="AP31" s="258"/>
      <c r="AQ31" s="258"/>
      <c r="AR31" s="258"/>
      <c r="AS31" s="258"/>
      <c r="AT31" s="258"/>
      <c r="AU31" s="258"/>
      <c r="AV31" s="258"/>
      <c r="AW31" s="258"/>
      <c r="AX31" s="258"/>
      <c r="AY31" s="258"/>
      <c r="AZ31" s="258"/>
      <c r="BA31" s="259"/>
      <c r="BK31" s="252"/>
    </row>
    <row r="32" spans="1:63" ht="15" customHeight="1" x14ac:dyDescent="0.25">
      <c r="A32" s="251"/>
      <c r="K32" s="256"/>
      <c r="L32" s="258"/>
      <c r="M32" s="258"/>
      <c r="N32" s="258"/>
      <c r="O32" s="258"/>
      <c r="P32" s="258"/>
      <c r="Q32" s="258"/>
      <c r="R32" s="258"/>
      <c r="S32" s="258"/>
      <c r="T32" s="258"/>
      <c r="U32" s="258"/>
      <c r="V32" s="258"/>
      <c r="W32" s="258"/>
      <c r="X32" s="258"/>
      <c r="Y32" s="258"/>
      <c r="Z32" s="258"/>
      <c r="AA32" s="258"/>
      <c r="AB32" s="258"/>
      <c r="AC32" s="258"/>
      <c r="AD32" s="258"/>
      <c r="AE32" s="258"/>
      <c r="AF32" s="258"/>
      <c r="AG32" s="258"/>
      <c r="AH32" s="258"/>
      <c r="AI32" s="258"/>
      <c r="AJ32" s="258"/>
      <c r="AK32" s="258"/>
      <c r="AL32" s="258"/>
      <c r="AM32" s="258"/>
      <c r="AN32" s="258"/>
      <c r="AO32" s="258"/>
      <c r="AP32" s="258"/>
      <c r="AQ32" s="258"/>
      <c r="AR32" s="258"/>
      <c r="AS32" s="258"/>
      <c r="AT32" s="258"/>
      <c r="AU32" s="258"/>
      <c r="AV32" s="258"/>
      <c r="AW32" s="258"/>
      <c r="AX32" s="258"/>
      <c r="AY32" s="258"/>
      <c r="AZ32" s="258"/>
      <c r="BA32" s="259"/>
      <c r="BK32" s="252"/>
    </row>
    <row r="33" spans="1:63" ht="15" customHeight="1" x14ac:dyDescent="0.25">
      <c r="A33" s="251"/>
      <c r="K33" s="256"/>
      <c r="L33" s="258"/>
      <c r="M33" s="258"/>
      <c r="N33" s="258"/>
      <c r="O33" s="258"/>
      <c r="P33" s="258"/>
      <c r="Q33" s="258"/>
      <c r="R33" s="258"/>
      <c r="S33" s="258"/>
      <c r="T33" s="258"/>
      <c r="U33" s="258"/>
      <c r="V33" s="258"/>
      <c r="W33" s="258"/>
      <c r="X33" s="258"/>
      <c r="Y33" s="258"/>
      <c r="Z33" s="258"/>
      <c r="AA33" s="258"/>
      <c r="AB33" s="258"/>
      <c r="AC33" s="258"/>
      <c r="AD33" s="258"/>
      <c r="AE33" s="258"/>
      <c r="AF33" s="258"/>
      <c r="AG33" s="258"/>
      <c r="AH33" s="258"/>
      <c r="AI33" s="258"/>
      <c r="AJ33" s="258"/>
      <c r="AK33" s="258"/>
      <c r="AL33" s="258"/>
      <c r="AM33" s="258"/>
      <c r="AN33" s="258"/>
      <c r="AO33" s="258"/>
      <c r="AP33" s="258"/>
      <c r="AQ33" s="258"/>
      <c r="AR33" s="258"/>
      <c r="AS33" s="258"/>
      <c r="AT33" s="258"/>
      <c r="AU33" s="258"/>
      <c r="AV33" s="258"/>
      <c r="AW33" s="258"/>
      <c r="AX33" s="258"/>
      <c r="AY33" s="258"/>
      <c r="AZ33" s="258"/>
      <c r="BA33" s="259"/>
      <c r="BK33" s="252"/>
    </row>
    <row r="34" spans="1:63" ht="15" customHeight="1" x14ac:dyDescent="0.25">
      <c r="A34" s="251"/>
      <c r="K34" s="256"/>
      <c r="L34" s="258"/>
      <c r="M34" s="258"/>
      <c r="N34" s="258"/>
      <c r="O34" s="258"/>
      <c r="P34" s="258"/>
      <c r="Q34" s="258"/>
      <c r="R34" s="258"/>
      <c r="S34" s="258"/>
      <c r="T34" s="258"/>
      <c r="U34" s="258"/>
      <c r="V34" s="258"/>
      <c r="W34" s="258"/>
      <c r="X34" s="258"/>
      <c r="Y34" s="258"/>
      <c r="Z34" s="258"/>
      <c r="AA34" s="258"/>
      <c r="AB34" s="258"/>
      <c r="AC34" s="258"/>
      <c r="AD34" s="258"/>
      <c r="AE34" s="258"/>
      <c r="AF34" s="258"/>
      <c r="AG34" s="258"/>
      <c r="AH34" s="258"/>
      <c r="AI34" s="258"/>
      <c r="AJ34" s="258"/>
      <c r="AK34" s="258"/>
      <c r="AL34" s="258"/>
      <c r="AM34" s="258"/>
      <c r="AN34" s="258"/>
      <c r="AO34" s="258"/>
      <c r="AP34" s="258"/>
      <c r="AQ34" s="258"/>
      <c r="AR34" s="258"/>
      <c r="AS34" s="258"/>
      <c r="AT34" s="258"/>
      <c r="AU34" s="258"/>
      <c r="AV34" s="258"/>
      <c r="AW34" s="258"/>
      <c r="AX34" s="258"/>
      <c r="AY34" s="258"/>
      <c r="AZ34" s="258"/>
      <c r="BA34" s="259"/>
      <c r="BK34" s="252"/>
    </row>
    <row r="35" spans="1:63" ht="15" customHeight="1" x14ac:dyDescent="0.25">
      <c r="A35" s="251"/>
      <c r="K35" s="256"/>
      <c r="L35" s="258"/>
      <c r="M35" s="258"/>
      <c r="N35" s="258"/>
      <c r="O35" s="258"/>
      <c r="P35" s="258"/>
      <c r="Q35" s="258"/>
      <c r="R35" s="258"/>
      <c r="S35" s="258"/>
      <c r="T35" s="258"/>
      <c r="U35" s="258"/>
      <c r="V35" s="258"/>
      <c r="W35" s="258"/>
      <c r="X35" s="258"/>
      <c r="Y35" s="258"/>
      <c r="Z35" s="258"/>
      <c r="AA35" s="258"/>
      <c r="AB35" s="258"/>
      <c r="AC35" s="258"/>
      <c r="AD35" s="258"/>
      <c r="AE35" s="258"/>
      <c r="AF35" s="258"/>
      <c r="AG35" s="258"/>
      <c r="AH35" s="258"/>
      <c r="AI35" s="258"/>
      <c r="AJ35" s="258"/>
      <c r="AK35" s="258"/>
      <c r="AL35" s="258"/>
      <c r="AM35" s="258"/>
      <c r="AN35" s="258"/>
      <c r="AO35" s="258"/>
      <c r="AP35" s="258"/>
      <c r="AQ35" s="258"/>
      <c r="AR35" s="258"/>
      <c r="AS35" s="258"/>
      <c r="AT35" s="258"/>
      <c r="AU35" s="258"/>
      <c r="AV35" s="258"/>
      <c r="AW35" s="258"/>
      <c r="AX35" s="258"/>
      <c r="AY35" s="258"/>
      <c r="AZ35" s="258"/>
      <c r="BA35" s="259"/>
      <c r="BK35" s="252"/>
    </row>
    <row r="36" spans="1:63" ht="15" customHeight="1" x14ac:dyDescent="0.25">
      <c r="A36" s="251"/>
      <c r="K36" s="256"/>
      <c r="L36" s="258"/>
      <c r="M36" s="258"/>
      <c r="N36" s="258"/>
      <c r="O36" s="258"/>
      <c r="P36" s="258"/>
      <c r="Q36" s="258"/>
      <c r="R36" s="258"/>
      <c r="S36" s="258"/>
      <c r="T36" s="258"/>
      <c r="U36" s="258"/>
      <c r="V36" s="258"/>
      <c r="W36" s="258"/>
      <c r="X36" s="258"/>
      <c r="Y36" s="258"/>
      <c r="Z36" s="258"/>
      <c r="AA36" s="258"/>
      <c r="AB36" s="258"/>
      <c r="AC36" s="258"/>
      <c r="AD36" s="258"/>
      <c r="AE36" s="258"/>
      <c r="AF36" s="258"/>
      <c r="AG36" s="258"/>
      <c r="AH36" s="258"/>
      <c r="AI36" s="258"/>
      <c r="AJ36" s="258"/>
      <c r="AK36" s="258"/>
      <c r="AL36" s="258"/>
      <c r="AM36" s="258"/>
      <c r="AN36" s="258"/>
      <c r="AO36" s="258"/>
      <c r="AP36" s="258"/>
      <c r="AQ36" s="258"/>
      <c r="AR36" s="258"/>
      <c r="AS36" s="258"/>
      <c r="AT36" s="258"/>
      <c r="AU36" s="258"/>
      <c r="AV36" s="258"/>
      <c r="AW36" s="258"/>
      <c r="AX36" s="258"/>
      <c r="AY36" s="258"/>
      <c r="AZ36" s="258"/>
      <c r="BA36" s="259"/>
      <c r="BK36" s="252"/>
    </row>
    <row r="37" spans="1:63" ht="15" customHeight="1" thickBot="1" x14ac:dyDescent="0.3">
      <c r="A37" s="251"/>
      <c r="K37" s="262"/>
      <c r="L37" s="263"/>
      <c r="M37" s="263"/>
      <c r="N37" s="263"/>
      <c r="O37" s="263"/>
      <c r="P37" s="263"/>
      <c r="Q37" s="263"/>
      <c r="R37" s="263"/>
      <c r="S37" s="263"/>
      <c r="T37" s="263"/>
      <c r="U37" s="263"/>
      <c r="V37" s="263"/>
      <c r="W37" s="263"/>
      <c r="X37" s="263"/>
      <c r="Y37" s="263"/>
      <c r="Z37" s="263"/>
      <c r="AA37" s="263"/>
      <c r="AB37" s="263"/>
      <c r="AC37" s="263"/>
      <c r="AD37" s="263"/>
      <c r="AE37" s="263"/>
      <c r="AF37" s="263"/>
      <c r="AG37" s="263"/>
      <c r="AH37" s="263"/>
      <c r="AI37" s="263"/>
      <c r="AJ37" s="263"/>
      <c r="AK37" s="263"/>
      <c r="AL37" s="263"/>
      <c r="AM37" s="263"/>
      <c r="AN37" s="263"/>
      <c r="AO37" s="263"/>
      <c r="AP37" s="263"/>
      <c r="AQ37" s="263"/>
      <c r="AR37" s="263"/>
      <c r="AS37" s="263"/>
      <c r="AT37" s="263"/>
      <c r="AU37" s="263"/>
      <c r="AV37" s="263"/>
      <c r="AW37" s="263"/>
      <c r="AX37" s="263"/>
      <c r="AY37" s="263"/>
      <c r="AZ37" s="263"/>
      <c r="BA37" s="264"/>
      <c r="BK37" s="252"/>
    </row>
    <row r="38" spans="1:63" ht="15" customHeight="1" thickTop="1" x14ac:dyDescent="0.25">
      <c r="A38" s="251"/>
      <c r="BK38" s="252"/>
    </row>
    <row r="39" spans="1:63" ht="15" customHeight="1" x14ac:dyDescent="0.25">
      <c r="A39" s="251"/>
      <c r="BK39" s="252"/>
    </row>
    <row r="40" spans="1:63" ht="15" customHeight="1" x14ac:dyDescent="0.25">
      <c r="A40" s="251"/>
      <c r="BK40" s="252"/>
    </row>
    <row r="41" spans="1:63" ht="15" customHeight="1" x14ac:dyDescent="0.25">
      <c r="A41" s="251"/>
      <c r="BK41" s="252"/>
    </row>
    <row r="42" spans="1:63" ht="15" customHeight="1" x14ac:dyDescent="0.25">
      <c r="A42" s="251"/>
      <c r="BK42" s="252"/>
    </row>
    <row r="43" spans="1:63" ht="15" customHeight="1" x14ac:dyDescent="0.25">
      <c r="A43" s="251"/>
      <c r="BK43" s="252"/>
    </row>
    <row r="44" spans="1:63" ht="15" customHeight="1" x14ac:dyDescent="0.25">
      <c r="A44" s="251"/>
      <c r="Q44" s="265" t="s">
        <v>131</v>
      </c>
      <c r="R44" s="266"/>
      <c r="S44" s="266"/>
      <c r="T44" s="266"/>
      <c r="U44" s="266"/>
      <c r="V44" s="266"/>
      <c r="W44" s="266"/>
      <c r="X44" s="266"/>
      <c r="Y44" s="266"/>
      <c r="Z44" s="267"/>
      <c r="AA44" s="265" t="s">
        <v>132</v>
      </c>
      <c r="AB44" s="266"/>
      <c r="AC44" s="266"/>
      <c r="AD44" s="266"/>
      <c r="AE44" s="266"/>
      <c r="AF44" s="266"/>
      <c r="AG44" s="266"/>
      <c r="AH44" s="266"/>
      <c r="AI44" s="266"/>
      <c r="AJ44" s="266"/>
      <c r="AK44" s="266"/>
      <c r="AL44" s="266"/>
      <c r="AM44" s="266"/>
      <c r="AN44" s="266"/>
      <c r="AO44" s="266"/>
      <c r="AP44" s="267"/>
      <c r="AQ44" s="265" t="s">
        <v>125</v>
      </c>
      <c r="AR44" s="266"/>
      <c r="AS44" s="266"/>
      <c r="AT44" s="266"/>
      <c r="AU44" s="267"/>
      <c r="BK44" s="252"/>
    </row>
    <row r="45" spans="1:63" ht="15" customHeight="1" x14ac:dyDescent="0.25">
      <c r="A45" s="251"/>
      <c r="Q45" s="268"/>
      <c r="R45" s="269"/>
      <c r="S45" s="269"/>
      <c r="T45" s="269"/>
      <c r="U45" s="269"/>
      <c r="V45" s="269"/>
      <c r="W45" s="269"/>
      <c r="X45" s="269"/>
      <c r="Y45" s="269"/>
      <c r="Z45" s="270"/>
      <c r="AA45" s="268"/>
      <c r="AB45" s="269"/>
      <c r="AC45" s="269"/>
      <c r="AD45" s="269"/>
      <c r="AE45" s="269"/>
      <c r="AF45" s="269"/>
      <c r="AG45" s="269"/>
      <c r="AH45" s="269"/>
      <c r="AI45" s="269"/>
      <c r="AJ45" s="269"/>
      <c r="AK45" s="269"/>
      <c r="AL45" s="269"/>
      <c r="AM45" s="269"/>
      <c r="AN45" s="269"/>
      <c r="AO45" s="269"/>
      <c r="AP45" s="270"/>
      <c r="AQ45" s="268"/>
      <c r="AR45" s="269"/>
      <c r="AS45" s="269"/>
      <c r="AT45" s="269"/>
      <c r="AU45" s="270"/>
      <c r="BK45" s="252"/>
    </row>
    <row r="46" spans="1:63" ht="15" customHeight="1" x14ac:dyDescent="0.25">
      <c r="A46" s="251"/>
      <c r="Q46" s="223"/>
      <c r="R46" s="221"/>
      <c r="S46" s="221"/>
      <c r="T46" s="221"/>
      <c r="U46" s="221"/>
      <c r="V46" s="221"/>
      <c r="W46" s="221"/>
      <c r="X46" s="221"/>
      <c r="Y46" s="221"/>
      <c r="Z46" s="222"/>
      <c r="AA46" s="223"/>
      <c r="AB46" s="221"/>
      <c r="AC46" s="221"/>
      <c r="AD46" s="221"/>
      <c r="AE46" s="221"/>
      <c r="AF46" s="221"/>
      <c r="AG46" s="221"/>
      <c r="AH46" s="221"/>
      <c r="AI46" s="221"/>
      <c r="AJ46" s="221"/>
      <c r="AK46" s="221"/>
      <c r="AL46" s="221"/>
      <c r="AM46" s="221"/>
      <c r="AN46" s="221"/>
      <c r="AO46" s="221"/>
      <c r="AP46" s="222"/>
      <c r="AQ46" s="223"/>
      <c r="AR46" s="221"/>
      <c r="AS46" s="221"/>
      <c r="AT46" s="221"/>
      <c r="AU46" s="222"/>
      <c r="BK46" s="252"/>
    </row>
    <row r="47" spans="1:63" ht="15" customHeight="1" x14ac:dyDescent="0.25">
      <c r="A47" s="251"/>
      <c r="Q47" s="271"/>
      <c r="R47" s="272"/>
      <c r="S47" s="272"/>
      <c r="T47" s="272"/>
      <c r="U47" s="272"/>
      <c r="V47" s="272"/>
      <c r="W47" s="272"/>
      <c r="X47" s="272"/>
      <c r="Y47" s="272"/>
      <c r="Z47" s="273"/>
      <c r="AA47" s="271"/>
      <c r="AB47" s="272"/>
      <c r="AC47" s="272"/>
      <c r="AD47" s="272"/>
      <c r="AE47" s="272"/>
      <c r="AF47" s="272"/>
      <c r="AG47" s="272"/>
      <c r="AH47" s="272"/>
      <c r="AI47" s="272"/>
      <c r="AJ47" s="272"/>
      <c r="AK47" s="272"/>
      <c r="AL47" s="272"/>
      <c r="AM47" s="272"/>
      <c r="AN47" s="272"/>
      <c r="AO47" s="272"/>
      <c r="AP47" s="273"/>
      <c r="AQ47" s="271"/>
      <c r="AR47" s="272"/>
      <c r="AS47" s="272"/>
      <c r="AT47" s="272"/>
      <c r="AU47" s="273"/>
      <c r="BK47" s="252"/>
    </row>
    <row r="48" spans="1:63" ht="15" customHeight="1" x14ac:dyDescent="0.25">
      <c r="A48" s="251"/>
      <c r="Q48" s="271"/>
      <c r="R48" s="272"/>
      <c r="S48" s="272"/>
      <c r="T48" s="272"/>
      <c r="U48" s="272"/>
      <c r="V48" s="272"/>
      <c r="W48" s="272"/>
      <c r="X48" s="272"/>
      <c r="Y48" s="272"/>
      <c r="Z48" s="273"/>
      <c r="AA48" s="271"/>
      <c r="AB48" s="272"/>
      <c r="AC48" s="272"/>
      <c r="AD48" s="272"/>
      <c r="AE48" s="272"/>
      <c r="AF48" s="272"/>
      <c r="AG48" s="272"/>
      <c r="AH48" s="272"/>
      <c r="AI48" s="272"/>
      <c r="AJ48" s="272"/>
      <c r="AK48" s="272"/>
      <c r="AL48" s="272"/>
      <c r="AM48" s="272"/>
      <c r="AN48" s="272"/>
      <c r="AO48" s="272"/>
      <c r="AP48" s="273"/>
      <c r="AQ48" s="271"/>
      <c r="AR48" s="272"/>
      <c r="AS48" s="272"/>
      <c r="AT48" s="272"/>
      <c r="AU48" s="273"/>
      <c r="BK48" s="252"/>
    </row>
    <row r="49" spans="1:63" ht="15" customHeight="1" x14ac:dyDescent="0.25">
      <c r="A49" s="251"/>
      <c r="Q49" s="233"/>
      <c r="R49" s="234"/>
      <c r="S49" s="234"/>
      <c r="T49" s="234"/>
      <c r="U49" s="234"/>
      <c r="V49" s="234"/>
      <c r="W49" s="234"/>
      <c r="X49" s="234"/>
      <c r="Y49" s="234"/>
      <c r="Z49" s="235"/>
      <c r="AA49" s="233"/>
      <c r="AB49" s="234"/>
      <c r="AC49" s="234"/>
      <c r="AD49" s="234"/>
      <c r="AE49" s="234"/>
      <c r="AF49" s="234"/>
      <c r="AG49" s="234"/>
      <c r="AH49" s="234"/>
      <c r="AI49" s="234"/>
      <c r="AJ49" s="234"/>
      <c r="AK49" s="234"/>
      <c r="AL49" s="234"/>
      <c r="AM49" s="234"/>
      <c r="AN49" s="234"/>
      <c r="AO49" s="234"/>
      <c r="AP49" s="235"/>
      <c r="AQ49" s="233"/>
      <c r="AR49" s="234"/>
      <c r="AS49" s="234"/>
      <c r="AT49" s="234"/>
      <c r="AU49" s="235"/>
      <c r="BK49" s="252"/>
    </row>
    <row r="50" spans="1:63" ht="15" customHeight="1" x14ac:dyDescent="0.25">
      <c r="A50" s="251"/>
      <c r="BK50" s="252"/>
    </row>
    <row r="51" spans="1:63" ht="15" customHeight="1" x14ac:dyDescent="0.25">
      <c r="A51" s="251"/>
      <c r="BK51" s="252"/>
    </row>
    <row r="52" spans="1:63" ht="15" customHeight="1" x14ac:dyDescent="0.25">
      <c r="A52" s="251"/>
      <c r="BK52" s="252"/>
    </row>
    <row r="53" spans="1:63" ht="15" customHeight="1" x14ac:dyDescent="0.25">
      <c r="A53" s="251"/>
      <c r="BK53" s="252"/>
    </row>
    <row r="54" spans="1:63" ht="15" customHeight="1" x14ac:dyDescent="0.25">
      <c r="A54" s="251"/>
      <c r="BK54" s="252"/>
    </row>
    <row r="55" spans="1:63" ht="15" customHeight="1" x14ac:dyDescent="0.25">
      <c r="A55" s="248"/>
      <c r="B55" s="249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49"/>
      <c r="AA55" s="249"/>
      <c r="AB55" s="249"/>
      <c r="AC55" s="249"/>
      <c r="AD55" s="249"/>
      <c r="AE55" s="249"/>
      <c r="AF55" s="249"/>
      <c r="AG55" s="249"/>
      <c r="AH55" s="249"/>
      <c r="AI55" s="249"/>
      <c r="AJ55" s="249"/>
      <c r="AK55" s="249"/>
      <c r="AL55" s="249"/>
      <c r="AM55" s="249"/>
      <c r="AN55" s="249"/>
      <c r="AO55" s="249"/>
      <c r="AP55" s="249"/>
      <c r="AQ55" s="249"/>
      <c r="AR55" s="249"/>
      <c r="AS55" s="249"/>
      <c r="AT55" s="249"/>
      <c r="AU55" s="249"/>
      <c r="AV55" s="249"/>
      <c r="AW55" s="249"/>
      <c r="AX55" s="249"/>
      <c r="AY55" s="249"/>
      <c r="AZ55" s="249"/>
      <c r="BA55" s="249"/>
      <c r="BB55" s="249"/>
      <c r="BC55" s="249"/>
      <c r="BD55" s="249"/>
      <c r="BE55" s="249"/>
      <c r="BF55" s="249"/>
      <c r="BG55" s="249"/>
      <c r="BH55" s="249"/>
      <c r="BI55" s="249"/>
      <c r="BJ55" s="249"/>
      <c r="BK55" s="250"/>
    </row>
  </sheetData>
  <mergeCells count="28">
    <mergeCell ref="A4:G4"/>
    <mergeCell ref="K2:V3"/>
    <mergeCell ref="A2:J3"/>
    <mergeCell ref="W1:AO3"/>
    <mergeCell ref="K1:V1"/>
    <mergeCell ref="A1:J1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Q46:AU49"/>
    <mergeCell ref="AA46:AP49"/>
    <mergeCell ref="Q46:Z49"/>
    <mergeCell ref="AQ44:AU45"/>
    <mergeCell ref="AA44:AP45"/>
    <mergeCell ref="Q44:Z45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220" customWidth="1"/>
    <col min="61" max="16384" width="2.77734375" style="220"/>
  </cols>
  <sheetData>
    <row r="1" spans="1:63" ht="24.95" customHeight="1" x14ac:dyDescent="0.25">
      <c r="A1" s="214" t="s">
        <v>118</v>
      </c>
      <c r="B1" s="215"/>
      <c r="C1" s="215"/>
      <c r="D1" s="215"/>
      <c r="E1" s="215"/>
      <c r="F1" s="215"/>
      <c r="G1" s="215"/>
      <c r="H1" s="215"/>
      <c r="I1" s="215"/>
      <c r="J1" s="216"/>
      <c r="K1" s="214" t="s">
        <v>119</v>
      </c>
      <c r="L1" s="215"/>
      <c r="M1" s="215"/>
      <c r="N1" s="215"/>
      <c r="O1" s="215"/>
      <c r="P1" s="215"/>
      <c r="Q1" s="215"/>
      <c r="R1" s="215"/>
      <c r="S1" s="215"/>
      <c r="T1" s="215"/>
      <c r="U1" s="215"/>
      <c r="V1" s="216"/>
      <c r="W1" s="274" t="str">
        <f>IF(表紙!W1="","",表紙!W1)</f>
        <v>詳細設計書</v>
      </c>
      <c r="X1" s="218"/>
      <c r="Y1" s="218"/>
      <c r="Z1" s="218"/>
      <c r="AA1" s="218"/>
      <c r="AB1" s="218"/>
      <c r="AC1" s="218"/>
      <c r="AD1" s="218"/>
      <c r="AE1" s="218"/>
      <c r="AF1" s="218"/>
      <c r="AG1" s="218"/>
      <c r="AH1" s="218"/>
      <c r="AI1" s="218"/>
      <c r="AJ1" s="218"/>
      <c r="AK1" s="218"/>
      <c r="AL1" s="218"/>
      <c r="AM1" s="218"/>
      <c r="AN1" s="218"/>
      <c r="AO1" s="219"/>
      <c r="AP1" s="214" t="s">
        <v>121</v>
      </c>
      <c r="AQ1" s="215"/>
      <c r="AR1" s="215"/>
      <c r="AS1" s="216"/>
      <c r="AT1" s="214" t="s">
        <v>122</v>
      </c>
      <c r="AU1" s="215"/>
      <c r="AV1" s="215"/>
      <c r="AW1" s="215"/>
      <c r="AX1" s="216"/>
      <c r="AY1" s="214" t="s">
        <v>123</v>
      </c>
      <c r="AZ1" s="215"/>
      <c r="BA1" s="215"/>
      <c r="BB1" s="216"/>
      <c r="BC1" s="214" t="s">
        <v>124</v>
      </c>
      <c r="BD1" s="215"/>
      <c r="BE1" s="215"/>
      <c r="BF1" s="215"/>
      <c r="BG1" s="216"/>
      <c r="BH1" s="214" t="s">
        <v>125</v>
      </c>
      <c r="BI1" s="215"/>
      <c r="BJ1" s="215"/>
      <c r="BK1" s="216"/>
    </row>
    <row r="2" spans="1:63" ht="15" customHeight="1" x14ac:dyDescent="0.25">
      <c r="A2" s="223" t="str">
        <f>IF(表紙!A2="","",表紙!A2)</f>
        <v>POSサーバー</v>
      </c>
      <c r="B2" s="221"/>
      <c r="C2" s="221"/>
      <c r="D2" s="221"/>
      <c r="E2" s="221"/>
      <c r="F2" s="221"/>
      <c r="G2" s="221"/>
      <c r="H2" s="221"/>
      <c r="I2" s="221"/>
      <c r="J2" s="222"/>
      <c r="K2" s="223" t="str">
        <f>IF(表紙!K2="","",表紙!K2)</f>
        <v>POSサーバー</v>
      </c>
      <c r="L2" s="221"/>
      <c r="M2" s="221"/>
      <c r="N2" s="221"/>
      <c r="O2" s="221"/>
      <c r="P2" s="221"/>
      <c r="Q2" s="221"/>
      <c r="R2" s="221"/>
      <c r="S2" s="221"/>
      <c r="T2" s="221"/>
      <c r="U2" s="221"/>
      <c r="V2" s="222"/>
      <c r="W2" s="224"/>
      <c r="X2" s="225"/>
      <c r="Y2" s="225"/>
      <c r="Z2" s="225"/>
      <c r="AA2" s="225"/>
      <c r="AB2" s="225"/>
      <c r="AC2" s="225"/>
      <c r="AD2" s="225"/>
      <c r="AE2" s="225"/>
      <c r="AF2" s="225"/>
      <c r="AG2" s="225"/>
      <c r="AH2" s="225"/>
      <c r="AI2" s="225"/>
      <c r="AJ2" s="225"/>
      <c r="AK2" s="225"/>
      <c r="AL2" s="225"/>
      <c r="AM2" s="225"/>
      <c r="AN2" s="225"/>
      <c r="AO2" s="226"/>
      <c r="AP2" s="223" t="str">
        <f>IF(表紙!AP2="","",表紙!AP2)</f>
        <v>DuNT</v>
      </c>
      <c r="AQ2" s="221"/>
      <c r="AR2" s="221"/>
      <c r="AS2" s="222"/>
      <c r="AT2" s="227">
        <f>IF(表紙!AT2="","",表紙!AT2)</f>
        <v>45477</v>
      </c>
      <c r="AU2" s="228"/>
      <c r="AV2" s="228"/>
      <c r="AW2" s="228"/>
      <c r="AX2" s="229"/>
      <c r="AY2" s="223" t="str">
        <f>IF(表紙!AY2="","",表紙!AY2)</f>
        <v>LoiLV</v>
      </c>
      <c r="AZ2" s="221"/>
      <c r="BA2" s="221"/>
      <c r="BB2" s="222"/>
      <c r="BC2" s="227">
        <f>IF(表紙!BC2="","",表紙!BC2)</f>
        <v>45964</v>
      </c>
      <c r="BD2" s="228"/>
      <c r="BE2" s="228"/>
      <c r="BF2" s="228"/>
      <c r="BG2" s="229"/>
      <c r="BH2" s="223">
        <f>IF(表紙!BH2="","",表紙!BH2)</f>
        <v>0.53</v>
      </c>
      <c r="BI2" s="221"/>
      <c r="BJ2" s="221"/>
      <c r="BK2" s="222"/>
    </row>
    <row r="3" spans="1:63" ht="15" customHeight="1" x14ac:dyDescent="0.25">
      <c r="A3" s="233"/>
      <c r="B3" s="234"/>
      <c r="C3" s="234"/>
      <c r="D3" s="234"/>
      <c r="E3" s="234"/>
      <c r="F3" s="234"/>
      <c r="G3" s="234"/>
      <c r="H3" s="234"/>
      <c r="I3" s="234"/>
      <c r="J3" s="235"/>
      <c r="K3" s="233"/>
      <c r="L3" s="234"/>
      <c r="M3" s="234"/>
      <c r="N3" s="234"/>
      <c r="O3" s="234"/>
      <c r="P3" s="234"/>
      <c r="Q3" s="234"/>
      <c r="R3" s="234"/>
      <c r="S3" s="234"/>
      <c r="T3" s="234"/>
      <c r="U3" s="234"/>
      <c r="V3" s="235"/>
      <c r="W3" s="236"/>
      <c r="X3" s="237"/>
      <c r="Y3" s="237"/>
      <c r="Z3" s="237"/>
      <c r="AA3" s="237"/>
      <c r="AB3" s="237"/>
      <c r="AC3" s="237"/>
      <c r="AD3" s="237"/>
      <c r="AE3" s="237"/>
      <c r="AF3" s="237"/>
      <c r="AG3" s="237"/>
      <c r="AH3" s="237"/>
      <c r="AI3" s="237"/>
      <c r="AJ3" s="237"/>
      <c r="AK3" s="237"/>
      <c r="AL3" s="237"/>
      <c r="AM3" s="237"/>
      <c r="AN3" s="237"/>
      <c r="AO3" s="238"/>
      <c r="AP3" s="233"/>
      <c r="AQ3" s="234"/>
      <c r="AR3" s="234"/>
      <c r="AS3" s="235"/>
      <c r="AT3" s="239"/>
      <c r="AU3" s="240"/>
      <c r="AV3" s="240"/>
      <c r="AW3" s="240"/>
      <c r="AX3" s="241"/>
      <c r="AY3" s="233"/>
      <c r="AZ3" s="234"/>
      <c r="BA3" s="234"/>
      <c r="BB3" s="235"/>
      <c r="BC3" s="239"/>
      <c r="BD3" s="240"/>
      <c r="BE3" s="240"/>
      <c r="BF3" s="240"/>
      <c r="BG3" s="241"/>
      <c r="BH3" s="233"/>
      <c r="BI3" s="234"/>
      <c r="BJ3" s="234"/>
      <c r="BK3" s="235"/>
    </row>
    <row r="4" spans="1:63" ht="24.95" customHeight="1" x14ac:dyDescent="0.25">
      <c r="A4" s="214" t="s">
        <v>127</v>
      </c>
      <c r="B4" s="215"/>
      <c r="C4" s="215"/>
      <c r="D4" s="215"/>
      <c r="E4" s="215"/>
      <c r="F4" s="215"/>
      <c r="G4" s="216"/>
      <c r="H4" s="245" t="str">
        <f>IF(表紙!H4="","",表紙!H4)</f>
        <v>AP1508</v>
      </c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7"/>
      <c r="U4" s="214" t="s">
        <v>128</v>
      </c>
      <c r="V4" s="215"/>
      <c r="W4" s="215"/>
      <c r="X4" s="215"/>
      <c r="Y4" s="216"/>
      <c r="Z4" s="245" t="str">
        <f>IF(表紙!Z4="","",表紙!Z4)</f>
        <v>API設計書</v>
      </c>
      <c r="AA4" s="246"/>
      <c r="AB4" s="246"/>
      <c r="AC4" s="246"/>
      <c r="AD4" s="246"/>
      <c r="AE4" s="246"/>
      <c r="AF4" s="246"/>
      <c r="AG4" s="246"/>
      <c r="AH4" s="246"/>
      <c r="AI4" s="246"/>
      <c r="AJ4" s="246"/>
      <c r="AK4" s="246"/>
      <c r="AL4" s="246"/>
      <c r="AM4" s="246"/>
      <c r="AN4" s="246"/>
      <c r="AO4" s="247"/>
      <c r="AP4" s="245" t="str">
        <f t="array" aca="1" ref="AP4" ca="1">RIGHT(CELL("filename",$A$1),LEN(CELL("filename",$A$1))-FIND("]",CELL("filename",$A$1)))</f>
        <v>改訂履歴</v>
      </c>
      <c r="AQ4" s="246"/>
      <c r="AR4" s="246"/>
      <c r="AS4" s="246"/>
      <c r="AT4" s="246"/>
      <c r="AU4" s="246"/>
      <c r="AV4" s="246"/>
      <c r="AW4" s="246"/>
      <c r="AX4" s="246"/>
      <c r="AY4" s="246"/>
      <c r="AZ4" s="246"/>
      <c r="BA4" s="246"/>
      <c r="BB4" s="246"/>
      <c r="BC4" s="246"/>
      <c r="BD4" s="246"/>
      <c r="BE4" s="246"/>
      <c r="BF4" s="246"/>
      <c r="BG4" s="246"/>
      <c r="BH4" s="246"/>
      <c r="BI4" s="246"/>
      <c r="BJ4" s="246"/>
      <c r="BK4" s="247"/>
    </row>
    <row r="5" spans="1:63" ht="5.0999999999999996" customHeight="1" x14ac:dyDescent="0.25">
      <c r="A5" s="248"/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/>
      <c r="V5" s="249"/>
      <c r="W5" s="249"/>
      <c r="X5" s="249"/>
      <c r="Y5" s="249"/>
      <c r="Z5" s="249"/>
      <c r="AA5" s="249"/>
      <c r="AB5" s="249"/>
      <c r="AC5" s="249"/>
      <c r="AD5" s="249"/>
      <c r="AE5" s="249"/>
      <c r="AF5" s="249"/>
      <c r="AG5" s="249"/>
      <c r="AH5" s="249"/>
      <c r="AI5" s="249"/>
      <c r="AJ5" s="249"/>
      <c r="AK5" s="249"/>
      <c r="AL5" s="249"/>
      <c r="AM5" s="249"/>
      <c r="AN5" s="249"/>
      <c r="AO5" s="249"/>
      <c r="AP5" s="249"/>
      <c r="AQ5" s="249"/>
      <c r="AR5" s="249"/>
      <c r="AS5" s="249"/>
      <c r="AT5" s="249"/>
      <c r="AU5" s="249"/>
      <c r="AV5" s="249"/>
      <c r="AW5" s="249"/>
      <c r="AX5" s="249"/>
      <c r="AY5" s="249"/>
      <c r="AZ5" s="249"/>
      <c r="BA5" s="249"/>
      <c r="BB5" s="249"/>
      <c r="BC5" s="249"/>
      <c r="BD5" s="249"/>
      <c r="BE5" s="249"/>
      <c r="BF5" s="249"/>
      <c r="BG5" s="249"/>
      <c r="BH5" s="249"/>
      <c r="BI5" s="249"/>
      <c r="BJ5" s="249"/>
      <c r="BK5" s="250"/>
    </row>
    <row r="6" spans="1:63" ht="15" customHeight="1" x14ac:dyDescent="0.25">
      <c r="A6" s="251"/>
      <c r="BK6" s="252"/>
    </row>
    <row r="7" spans="1:63" ht="15" customHeight="1" x14ac:dyDescent="0.25">
      <c r="A7" s="251"/>
      <c r="BK7" s="252"/>
    </row>
    <row r="8" spans="1:63" ht="15" customHeight="1" x14ac:dyDescent="0.25">
      <c r="A8" s="251"/>
      <c r="B8" s="220" t="s">
        <v>0</v>
      </c>
      <c r="BK8" s="252"/>
    </row>
    <row r="9" spans="1:63" ht="15" customHeight="1" x14ac:dyDescent="0.25">
      <c r="A9" s="251"/>
      <c r="BK9" s="252"/>
    </row>
    <row r="10" spans="1:63" ht="15" customHeight="1" x14ac:dyDescent="0.25">
      <c r="A10" s="251"/>
      <c r="B10" s="275" t="s">
        <v>124</v>
      </c>
      <c r="C10" s="275"/>
      <c r="D10" s="275"/>
      <c r="E10" s="275"/>
      <c r="F10" s="275"/>
      <c r="G10" s="275"/>
      <c r="H10" s="275" t="s">
        <v>123</v>
      </c>
      <c r="I10" s="275"/>
      <c r="J10" s="275"/>
      <c r="K10" s="275"/>
      <c r="L10" s="275"/>
      <c r="M10" s="275"/>
      <c r="N10" s="275"/>
      <c r="O10" s="275" t="s">
        <v>125</v>
      </c>
      <c r="P10" s="275"/>
      <c r="Q10" s="275"/>
      <c r="R10" s="275"/>
      <c r="S10" s="275" t="s">
        <v>133</v>
      </c>
      <c r="T10" s="275"/>
      <c r="U10" s="275"/>
      <c r="V10" s="275"/>
      <c r="W10" s="275"/>
      <c r="X10" s="275"/>
      <c r="Y10" s="275"/>
      <c r="Z10" s="275"/>
      <c r="AA10" s="275"/>
      <c r="AB10" s="275"/>
      <c r="AC10" s="275"/>
      <c r="AD10" s="275"/>
      <c r="AE10" s="275"/>
      <c r="AF10" s="275"/>
      <c r="AG10" s="275"/>
      <c r="AH10" s="275"/>
      <c r="AI10" s="275"/>
      <c r="AJ10" s="275"/>
      <c r="AK10" s="275"/>
      <c r="AL10" s="275"/>
      <c r="AM10" s="275"/>
      <c r="AN10" s="275"/>
      <c r="AO10" s="275"/>
      <c r="AP10" s="275"/>
      <c r="AQ10" s="275"/>
      <c r="AR10" s="275"/>
      <c r="AS10" s="275"/>
      <c r="AT10" s="275"/>
      <c r="AU10" s="275"/>
      <c r="AV10" s="275"/>
      <c r="AW10" s="275"/>
      <c r="AX10" s="275" t="s">
        <v>131</v>
      </c>
      <c r="AY10" s="275"/>
      <c r="AZ10" s="275"/>
      <c r="BA10" s="275"/>
      <c r="BB10" s="275"/>
      <c r="BC10" s="275"/>
      <c r="BD10" s="275" t="s">
        <v>132</v>
      </c>
      <c r="BE10" s="275"/>
      <c r="BF10" s="275"/>
      <c r="BG10" s="275"/>
      <c r="BH10" s="275"/>
      <c r="BI10" s="275"/>
      <c r="BJ10" s="275"/>
      <c r="BK10" s="252"/>
    </row>
    <row r="11" spans="1:63" ht="15" customHeight="1" x14ac:dyDescent="0.25">
      <c r="A11" s="251"/>
      <c r="B11" s="227">
        <v>45477</v>
      </c>
      <c r="C11" s="221"/>
      <c r="D11" s="221"/>
      <c r="E11" s="221"/>
      <c r="F11" s="221"/>
      <c r="G11" s="222"/>
      <c r="H11" s="64" t="s">
        <v>134</v>
      </c>
      <c r="I11" s="221"/>
      <c r="J11" s="221"/>
      <c r="K11" s="221"/>
      <c r="L11" s="221"/>
      <c r="M11" s="221"/>
      <c r="N11" s="222"/>
      <c r="O11" s="223">
        <v>0.1</v>
      </c>
      <c r="P11" s="221"/>
      <c r="Q11" s="221"/>
      <c r="R11" s="221"/>
      <c r="S11" s="276" t="s">
        <v>2</v>
      </c>
      <c r="T11" s="277"/>
      <c r="U11" s="277"/>
      <c r="V11" s="277"/>
      <c r="W11" s="277"/>
      <c r="X11" s="277"/>
      <c r="Y11" s="277"/>
      <c r="Z11" s="277"/>
      <c r="AA11" s="277"/>
      <c r="AB11" s="277"/>
      <c r="AC11" s="277"/>
      <c r="AD11" s="277"/>
      <c r="AE11" s="277"/>
      <c r="AF11" s="277"/>
      <c r="AG11" s="277"/>
      <c r="AH11" s="277"/>
      <c r="AI11" s="277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7"/>
      <c r="AU11" s="277"/>
      <c r="AV11" s="277"/>
      <c r="AW11" s="278"/>
      <c r="AX11" s="279"/>
      <c r="AY11" s="279"/>
      <c r="AZ11" s="279"/>
      <c r="BA11" s="279"/>
      <c r="BB11" s="279"/>
      <c r="BC11" s="280"/>
      <c r="BD11" s="281"/>
      <c r="BE11" s="279"/>
      <c r="BF11" s="279"/>
      <c r="BG11" s="279"/>
      <c r="BH11" s="279"/>
      <c r="BI11" s="279"/>
      <c r="BJ11" s="280"/>
      <c r="BK11" s="252"/>
    </row>
    <row r="12" spans="1:63" ht="15" customHeight="1" x14ac:dyDescent="0.25">
      <c r="A12" s="251"/>
      <c r="B12" s="233"/>
      <c r="C12" s="234"/>
      <c r="D12" s="234"/>
      <c r="E12" s="234"/>
      <c r="F12" s="234"/>
      <c r="G12" s="235"/>
      <c r="H12" s="233"/>
      <c r="I12" s="234"/>
      <c r="J12" s="234"/>
      <c r="K12" s="234"/>
      <c r="L12" s="234"/>
      <c r="M12" s="234"/>
      <c r="N12" s="235"/>
      <c r="O12" s="233"/>
      <c r="P12" s="234"/>
      <c r="Q12" s="234"/>
      <c r="R12" s="234"/>
      <c r="S12" s="282"/>
      <c r="T12" s="283"/>
      <c r="U12" s="283"/>
      <c r="V12" s="283"/>
      <c r="W12" s="283"/>
      <c r="X12" s="283"/>
      <c r="Y12" s="283"/>
      <c r="Z12" s="283"/>
      <c r="AA12" s="283"/>
      <c r="AB12" s="283"/>
      <c r="AC12" s="283"/>
      <c r="AD12" s="283"/>
      <c r="AE12" s="283"/>
      <c r="AF12" s="283"/>
      <c r="AG12" s="283"/>
      <c r="AH12" s="283"/>
      <c r="AI12" s="283"/>
      <c r="AJ12" s="283"/>
      <c r="AK12" s="283"/>
      <c r="AL12" s="283"/>
      <c r="AM12" s="283"/>
      <c r="AN12" s="283"/>
      <c r="AO12" s="283"/>
      <c r="AP12" s="283"/>
      <c r="AQ12" s="283"/>
      <c r="AR12" s="283"/>
      <c r="AS12" s="283"/>
      <c r="AT12" s="283"/>
      <c r="AU12" s="283"/>
      <c r="AV12" s="283"/>
      <c r="AW12" s="284"/>
      <c r="AX12" s="285"/>
      <c r="AY12" s="285"/>
      <c r="AZ12" s="285"/>
      <c r="BA12" s="285"/>
      <c r="BB12" s="285"/>
      <c r="BC12" s="286"/>
      <c r="BD12" s="287"/>
      <c r="BE12" s="285"/>
      <c r="BF12" s="285"/>
      <c r="BG12" s="285"/>
      <c r="BH12" s="285"/>
      <c r="BI12" s="285"/>
      <c r="BJ12" s="286"/>
      <c r="BK12" s="252"/>
    </row>
    <row r="13" spans="1:63" ht="15" customHeight="1" x14ac:dyDescent="0.25">
      <c r="A13" s="251"/>
      <c r="B13" s="227">
        <v>45504</v>
      </c>
      <c r="C13" s="221"/>
      <c r="D13" s="221"/>
      <c r="E13" s="221"/>
      <c r="F13" s="221"/>
      <c r="G13" s="222"/>
      <c r="H13" s="223" t="s">
        <v>117</v>
      </c>
      <c r="I13" s="221"/>
      <c r="J13" s="221"/>
      <c r="K13" s="221"/>
      <c r="L13" s="221"/>
      <c r="M13" s="221"/>
      <c r="N13" s="222"/>
      <c r="O13" s="223">
        <v>0.2</v>
      </c>
      <c r="P13" s="221"/>
      <c r="Q13" s="221"/>
      <c r="R13" s="221"/>
      <c r="S13" s="276" t="s">
        <v>113</v>
      </c>
      <c r="T13" s="277"/>
      <c r="U13" s="277"/>
      <c r="V13" s="277"/>
      <c r="W13" s="277"/>
      <c r="X13" s="277"/>
      <c r="Y13" s="277"/>
      <c r="Z13" s="277"/>
      <c r="AA13" s="277"/>
      <c r="AB13" s="277"/>
      <c r="AC13" s="277"/>
      <c r="AD13" s="277"/>
      <c r="AE13" s="277"/>
      <c r="AF13" s="277"/>
      <c r="AG13" s="277"/>
      <c r="AH13" s="277"/>
      <c r="AI13" s="277"/>
      <c r="AJ13" s="277"/>
      <c r="AK13" s="277"/>
      <c r="AL13" s="277"/>
      <c r="AM13" s="277"/>
      <c r="AN13" s="277"/>
      <c r="AO13" s="277"/>
      <c r="AP13" s="277"/>
      <c r="AQ13" s="277"/>
      <c r="AR13" s="277"/>
      <c r="AS13" s="277"/>
      <c r="AT13" s="277"/>
      <c r="AU13" s="277"/>
      <c r="AV13" s="277"/>
      <c r="AW13" s="278"/>
      <c r="AX13" s="279"/>
      <c r="AY13" s="279"/>
      <c r="AZ13" s="279"/>
      <c r="BA13" s="279"/>
      <c r="BB13" s="279"/>
      <c r="BC13" s="280"/>
      <c r="BD13" s="281"/>
      <c r="BE13" s="279"/>
      <c r="BF13" s="279"/>
      <c r="BG13" s="279"/>
      <c r="BH13" s="279"/>
      <c r="BI13" s="279"/>
      <c r="BJ13" s="280"/>
      <c r="BK13" s="252"/>
    </row>
    <row r="14" spans="1:63" ht="15" customHeight="1" x14ac:dyDescent="0.25">
      <c r="A14" s="251"/>
      <c r="B14" s="233"/>
      <c r="C14" s="234"/>
      <c r="D14" s="234"/>
      <c r="E14" s="234"/>
      <c r="F14" s="234"/>
      <c r="G14" s="235"/>
      <c r="H14" s="233"/>
      <c r="I14" s="234"/>
      <c r="J14" s="234"/>
      <c r="K14" s="234"/>
      <c r="L14" s="234"/>
      <c r="M14" s="234"/>
      <c r="N14" s="235"/>
      <c r="O14" s="233"/>
      <c r="P14" s="234"/>
      <c r="Q14" s="234"/>
      <c r="R14" s="234"/>
      <c r="S14" s="282" t="s">
        <v>135</v>
      </c>
      <c r="T14" s="283"/>
      <c r="U14" s="283"/>
      <c r="V14" s="283"/>
      <c r="W14" s="283"/>
      <c r="X14" s="283"/>
      <c r="Y14" s="283"/>
      <c r="Z14" s="283"/>
      <c r="AA14" s="283"/>
      <c r="AB14" s="283"/>
      <c r="AC14" s="283"/>
      <c r="AD14" s="283"/>
      <c r="AE14" s="283"/>
      <c r="AF14" s="283"/>
      <c r="AG14" s="283"/>
      <c r="AH14" s="283"/>
      <c r="AI14" s="283"/>
      <c r="AJ14" s="283"/>
      <c r="AK14" s="283"/>
      <c r="AL14" s="283"/>
      <c r="AM14" s="283"/>
      <c r="AN14" s="283"/>
      <c r="AO14" s="283"/>
      <c r="AP14" s="283"/>
      <c r="AQ14" s="283"/>
      <c r="AR14" s="283"/>
      <c r="AS14" s="283"/>
      <c r="AT14" s="283"/>
      <c r="AU14" s="283"/>
      <c r="AV14" s="283"/>
      <c r="AW14" s="284"/>
      <c r="AX14" s="285"/>
      <c r="AY14" s="285"/>
      <c r="AZ14" s="285"/>
      <c r="BA14" s="285"/>
      <c r="BB14" s="285"/>
      <c r="BC14" s="286"/>
      <c r="BD14" s="287"/>
      <c r="BE14" s="285"/>
      <c r="BF14" s="285"/>
      <c r="BG14" s="285"/>
      <c r="BH14" s="285"/>
      <c r="BI14" s="285"/>
      <c r="BJ14" s="286"/>
      <c r="BK14" s="252"/>
    </row>
    <row r="15" spans="1:63" ht="15" customHeight="1" x14ac:dyDescent="0.25">
      <c r="A15" s="251"/>
      <c r="B15" s="227">
        <v>45544</v>
      </c>
      <c r="C15" s="221"/>
      <c r="D15" s="221"/>
      <c r="E15" s="221"/>
      <c r="F15" s="221"/>
      <c r="G15" s="222"/>
      <c r="H15" s="223" t="s">
        <v>117</v>
      </c>
      <c r="I15" s="221"/>
      <c r="J15" s="221"/>
      <c r="K15" s="221"/>
      <c r="L15" s="221"/>
      <c r="M15" s="221"/>
      <c r="N15" s="222"/>
      <c r="O15" s="223">
        <v>0.3</v>
      </c>
      <c r="P15" s="221"/>
      <c r="Q15" s="221"/>
      <c r="R15" s="221"/>
      <c r="S15" s="276" t="s">
        <v>136</v>
      </c>
      <c r="T15" s="277"/>
      <c r="U15" s="277"/>
      <c r="V15" s="277"/>
      <c r="W15" s="277"/>
      <c r="X15" s="277"/>
      <c r="Y15" s="277"/>
      <c r="Z15" s="277"/>
      <c r="AA15" s="277"/>
      <c r="AB15" s="277"/>
      <c r="AC15" s="277"/>
      <c r="AD15" s="277"/>
      <c r="AE15" s="277"/>
      <c r="AF15" s="277"/>
      <c r="AG15" s="277"/>
      <c r="AH15" s="277"/>
      <c r="AI15" s="277"/>
      <c r="AJ15" s="277"/>
      <c r="AK15" s="277"/>
      <c r="AL15" s="277"/>
      <c r="AM15" s="277"/>
      <c r="AN15" s="277"/>
      <c r="AO15" s="277"/>
      <c r="AP15" s="277"/>
      <c r="AQ15" s="277"/>
      <c r="AR15" s="277"/>
      <c r="AS15" s="277"/>
      <c r="AT15" s="277"/>
      <c r="AU15" s="277"/>
      <c r="AV15" s="277"/>
      <c r="AW15" s="278"/>
      <c r="AX15" s="279"/>
      <c r="AY15" s="279"/>
      <c r="AZ15" s="279"/>
      <c r="BA15" s="279"/>
      <c r="BB15" s="279"/>
      <c r="BC15" s="280"/>
      <c r="BD15" s="281"/>
      <c r="BE15" s="279"/>
      <c r="BF15" s="279"/>
      <c r="BG15" s="279"/>
      <c r="BH15" s="279"/>
      <c r="BI15" s="279"/>
      <c r="BJ15" s="280"/>
      <c r="BK15" s="252"/>
    </row>
    <row r="16" spans="1:63" ht="15" customHeight="1" x14ac:dyDescent="0.25">
      <c r="A16" s="251"/>
      <c r="B16" s="233"/>
      <c r="C16" s="234"/>
      <c r="D16" s="234"/>
      <c r="E16" s="234"/>
      <c r="F16" s="234"/>
      <c r="G16" s="235"/>
      <c r="H16" s="233"/>
      <c r="I16" s="234"/>
      <c r="J16" s="234"/>
      <c r="K16" s="234"/>
      <c r="L16" s="234"/>
      <c r="M16" s="234"/>
      <c r="N16" s="235"/>
      <c r="O16" s="233"/>
      <c r="P16" s="234"/>
      <c r="Q16" s="234"/>
      <c r="R16" s="234"/>
      <c r="S16" s="282" t="s">
        <v>137</v>
      </c>
      <c r="T16" s="283"/>
      <c r="U16" s="283"/>
      <c r="V16" s="283"/>
      <c r="W16" s="283"/>
      <c r="X16" s="283"/>
      <c r="Y16" s="283"/>
      <c r="Z16" s="283"/>
      <c r="AA16" s="283"/>
      <c r="AB16" s="283"/>
      <c r="AC16" s="283"/>
      <c r="AD16" s="283"/>
      <c r="AE16" s="283"/>
      <c r="AF16" s="283"/>
      <c r="AG16" s="283"/>
      <c r="AH16" s="283"/>
      <c r="AI16" s="283"/>
      <c r="AJ16" s="283"/>
      <c r="AK16" s="283"/>
      <c r="AL16" s="283"/>
      <c r="AM16" s="283"/>
      <c r="AN16" s="283"/>
      <c r="AO16" s="283"/>
      <c r="AP16" s="283"/>
      <c r="AQ16" s="283"/>
      <c r="AR16" s="283"/>
      <c r="AS16" s="283"/>
      <c r="AT16" s="283"/>
      <c r="AU16" s="283"/>
      <c r="AV16" s="283"/>
      <c r="AW16" s="284"/>
      <c r="AX16" s="285"/>
      <c r="AY16" s="285"/>
      <c r="AZ16" s="285"/>
      <c r="BA16" s="285"/>
      <c r="BB16" s="285"/>
      <c r="BC16" s="286"/>
      <c r="BD16" s="287"/>
      <c r="BE16" s="285"/>
      <c r="BF16" s="285"/>
      <c r="BG16" s="285"/>
      <c r="BH16" s="285"/>
      <c r="BI16" s="285"/>
      <c r="BJ16" s="286"/>
      <c r="BK16" s="252"/>
    </row>
    <row r="17" spans="1:63" ht="15" customHeight="1" x14ac:dyDescent="0.25">
      <c r="A17" s="251"/>
      <c r="B17" s="227">
        <v>45546</v>
      </c>
      <c r="C17" s="221"/>
      <c r="D17" s="221"/>
      <c r="E17" s="221"/>
      <c r="F17" s="221"/>
      <c r="G17" s="222"/>
      <c r="H17" s="223" t="s">
        <v>117</v>
      </c>
      <c r="I17" s="221"/>
      <c r="J17" s="221"/>
      <c r="K17" s="221"/>
      <c r="L17" s="221"/>
      <c r="M17" s="221"/>
      <c r="N17" s="222"/>
      <c r="O17" s="223">
        <v>0.4</v>
      </c>
      <c r="P17" s="221"/>
      <c r="Q17" s="221"/>
      <c r="R17" s="221"/>
      <c r="S17" s="276" t="s">
        <v>138</v>
      </c>
      <c r="T17" s="277"/>
      <c r="U17" s="277"/>
      <c r="V17" s="277"/>
      <c r="W17" s="277"/>
      <c r="X17" s="277"/>
      <c r="Y17" s="277"/>
      <c r="Z17" s="277"/>
      <c r="AA17" s="277"/>
      <c r="AB17" s="277"/>
      <c r="AC17" s="277"/>
      <c r="AD17" s="277"/>
      <c r="AE17" s="277"/>
      <c r="AF17" s="277"/>
      <c r="AG17" s="277"/>
      <c r="AH17" s="277"/>
      <c r="AI17" s="277"/>
      <c r="AJ17" s="277"/>
      <c r="AK17" s="277"/>
      <c r="AL17" s="277"/>
      <c r="AM17" s="277"/>
      <c r="AN17" s="277"/>
      <c r="AO17" s="277"/>
      <c r="AP17" s="277"/>
      <c r="AQ17" s="277"/>
      <c r="AR17" s="277"/>
      <c r="AS17" s="277"/>
      <c r="AT17" s="277"/>
      <c r="AU17" s="277"/>
      <c r="AV17" s="277"/>
      <c r="AW17" s="278"/>
      <c r="AX17" s="279"/>
      <c r="AY17" s="279"/>
      <c r="AZ17" s="279"/>
      <c r="BA17" s="279"/>
      <c r="BB17" s="279"/>
      <c r="BC17" s="280"/>
      <c r="BD17" s="281"/>
      <c r="BE17" s="279"/>
      <c r="BF17" s="279"/>
      <c r="BG17" s="279"/>
      <c r="BH17" s="279"/>
      <c r="BI17" s="279"/>
      <c r="BJ17" s="280"/>
      <c r="BK17" s="252"/>
    </row>
    <row r="18" spans="1:63" ht="15" customHeight="1" x14ac:dyDescent="0.25">
      <c r="A18" s="251"/>
      <c r="B18" s="233"/>
      <c r="C18" s="234"/>
      <c r="D18" s="234"/>
      <c r="E18" s="234"/>
      <c r="F18" s="234"/>
      <c r="G18" s="235"/>
      <c r="H18" s="233"/>
      <c r="I18" s="234"/>
      <c r="J18" s="234"/>
      <c r="K18" s="234"/>
      <c r="L18" s="234"/>
      <c r="M18" s="234"/>
      <c r="N18" s="235"/>
      <c r="O18" s="233"/>
      <c r="P18" s="234"/>
      <c r="Q18" s="234"/>
      <c r="R18" s="234"/>
      <c r="S18" s="282"/>
      <c r="T18" s="283"/>
      <c r="U18" s="283"/>
      <c r="V18" s="283"/>
      <c r="W18" s="283"/>
      <c r="X18" s="283"/>
      <c r="Y18" s="283"/>
      <c r="Z18" s="283"/>
      <c r="AA18" s="283"/>
      <c r="AB18" s="283"/>
      <c r="AC18" s="283"/>
      <c r="AD18" s="283"/>
      <c r="AE18" s="283"/>
      <c r="AF18" s="283"/>
      <c r="AG18" s="283"/>
      <c r="AH18" s="283"/>
      <c r="AI18" s="283"/>
      <c r="AJ18" s="283"/>
      <c r="AK18" s="283"/>
      <c r="AL18" s="283"/>
      <c r="AM18" s="283"/>
      <c r="AN18" s="283"/>
      <c r="AO18" s="283"/>
      <c r="AP18" s="283"/>
      <c r="AQ18" s="283"/>
      <c r="AR18" s="283"/>
      <c r="AS18" s="283"/>
      <c r="AT18" s="283"/>
      <c r="AU18" s="283"/>
      <c r="AV18" s="283"/>
      <c r="AW18" s="284"/>
      <c r="AX18" s="285"/>
      <c r="AY18" s="285"/>
      <c r="AZ18" s="285"/>
      <c r="BA18" s="285"/>
      <c r="BB18" s="285"/>
      <c r="BC18" s="286"/>
      <c r="BD18" s="287"/>
      <c r="BE18" s="285"/>
      <c r="BF18" s="285"/>
      <c r="BG18" s="285"/>
      <c r="BH18" s="285"/>
      <c r="BI18" s="285"/>
      <c r="BJ18" s="286"/>
      <c r="BK18" s="252"/>
    </row>
    <row r="19" spans="1:63" ht="15" customHeight="1" x14ac:dyDescent="0.25">
      <c r="A19" s="251"/>
      <c r="B19" s="227">
        <v>45551</v>
      </c>
      <c r="C19" s="221"/>
      <c r="D19" s="221"/>
      <c r="E19" s="221"/>
      <c r="F19" s="221"/>
      <c r="G19" s="222"/>
      <c r="H19" s="223" t="s">
        <v>117</v>
      </c>
      <c r="I19" s="221"/>
      <c r="J19" s="221"/>
      <c r="K19" s="221"/>
      <c r="L19" s="221"/>
      <c r="M19" s="221"/>
      <c r="N19" s="222"/>
      <c r="O19" s="223">
        <v>0.5</v>
      </c>
      <c r="P19" s="221"/>
      <c r="Q19" s="221"/>
      <c r="R19" s="221"/>
      <c r="S19" s="276" t="s">
        <v>139</v>
      </c>
      <c r="T19" s="277"/>
      <c r="U19" s="277"/>
      <c r="V19" s="277"/>
      <c r="W19" s="277"/>
      <c r="X19" s="277"/>
      <c r="Y19" s="277"/>
      <c r="Z19" s="277"/>
      <c r="AA19" s="277"/>
      <c r="AB19" s="277"/>
      <c r="AC19" s="277"/>
      <c r="AD19" s="277"/>
      <c r="AE19" s="277"/>
      <c r="AF19" s="277"/>
      <c r="AG19" s="277"/>
      <c r="AH19" s="277"/>
      <c r="AI19" s="277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7"/>
      <c r="AU19" s="277"/>
      <c r="AV19" s="277"/>
      <c r="AW19" s="278"/>
      <c r="AX19" s="279"/>
      <c r="AY19" s="279"/>
      <c r="AZ19" s="279"/>
      <c r="BA19" s="279"/>
      <c r="BB19" s="279"/>
      <c r="BC19" s="280"/>
      <c r="BD19" s="281"/>
      <c r="BE19" s="279"/>
      <c r="BF19" s="279"/>
      <c r="BG19" s="279"/>
      <c r="BH19" s="279"/>
      <c r="BI19" s="279"/>
      <c r="BJ19" s="280"/>
      <c r="BK19" s="252"/>
    </row>
    <row r="20" spans="1:63" ht="15" customHeight="1" x14ac:dyDescent="0.25">
      <c r="A20" s="251"/>
      <c r="B20" s="233"/>
      <c r="C20" s="234"/>
      <c r="D20" s="234"/>
      <c r="E20" s="234"/>
      <c r="F20" s="234"/>
      <c r="G20" s="235"/>
      <c r="H20" s="233"/>
      <c r="I20" s="234"/>
      <c r="J20" s="234"/>
      <c r="K20" s="234"/>
      <c r="L20" s="234"/>
      <c r="M20" s="234"/>
      <c r="N20" s="235"/>
      <c r="O20" s="233"/>
      <c r="P20" s="234"/>
      <c r="Q20" s="234"/>
      <c r="R20" s="234"/>
      <c r="S20" s="282"/>
      <c r="T20" s="283"/>
      <c r="U20" s="283"/>
      <c r="V20" s="283"/>
      <c r="W20" s="283"/>
      <c r="X20" s="283"/>
      <c r="Y20" s="283"/>
      <c r="Z20" s="283"/>
      <c r="AA20" s="283"/>
      <c r="AB20" s="283"/>
      <c r="AC20" s="283"/>
      <c r="AD20" s="283"/>
      <c r="AE20" s="283"/>
      <c r="AF20" s="283"/>
      <c r="AG20" s="283"/>
      <c r="AH20" s="283"/>
      <c r="AI20" s="283"/>
      <c r="AJ20" s="283"/>
      <c r="AK20" s="283"/>
      <c r="AL20" s="283"/>
      <c r="AM20" s="283"/>
      <c r="AN20" s="283"/>
      <c r="AO20" s="283"/>
      <c r="AP20" s="283"/>
      <c r="AQ20" s="283"/>
      <c r="AR20" s="283"/>
      <c r="AS20" s="283"/>
      <c r="AT20" s="283"/>
      <c r="AU20" s="283"/>
      <c r="AV20" s="283"/>
      <c r="AW20" s="284"/>
      <c r="AX20" s="285"/>
      <c r="AY20" s="285"/>
      <c r="AZ20" s="285"/>
      <c r="BA20" s="285"/>
      <c r="BB20" s="285"/>
      <c r="BC20" s="286"/>
      <c r="BD20" s="287"/>
      <c r="BE20" s="285"/>
      <c r="BF20" s="285"/>
      <c r="BG20" s="285"/>
      <c r="BH20" s="285"/>
      <c r="BI20" s="285"/>
      <c r="BJ20" s="286"/>
      <c r="BK20" s="252"/>
    </row>
    <row r="21" spans="1:63" ht="15" customHeight="1" x14ac:dyDescent="0.25">
      <c r="A21" s="251"/>
      <c r="B21" s="91">
        <v>45603</v>
      </c>
      <c r="C21" s="92"/>
      <c r="D21" s="92"/>
      <c r="E21" s="92"/>
      <c r="F21" s="92"/>
      <c r="G21" s="93"/>
      <c r="H21" s="97" t="s">
        <v>134</v>
      </c>
      <c r="I21" s="92"/>
      <c r="J21" s="92"/>
      <c r="K21" s="92"/>
      <c r="L21" s="92"/>
      <c r="M21" s="92"/>
      <c r="N21" s="93"/>
      <c r="O21" s="97">
        <v>0.51</v>
      </c>
      <c r="P21" s="92"/>
      <c r="Q21" s="92"/>
      <c r="R21" s="92"/>
      <c r="S21" s="98" t="s">
        <v>140</v>
      </c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99"/>
      <c r="AP21" s="99"/>
      <c r="AQ21" s="99"/>
      <c r="AR21" s="99"/>
      <c r="AS21" s="99"/>
      <c r="AT21" s="99"/>
      <c r="AU21" s="99"/>
      <c r="AV21" s="99"/>
      <c r="AW21" s="100"/>
      <c r="AX21" s="279"/>
      <c r="AY21" s="279"/>
      <c r="AZ21" s="279"/>
      <c r="BA21" s="279"/>
      <c r="BB21" s="279"/>
      <c r="BC21" s="280"/>
      <c r="BD21" s="281"/>
      <c r="BE21" s="279"/>
      <c r="BF21" s="279"/>
      <c r="BG21" s="279"/>
      <c r="BH21" s="279"/>
      <c r="BI21" s="279"/>
      <c r="BJ21" s="280"/>
      <c r="BK21" s="252"/>
    </row>
    <row r="22" spans="1:63" ht="15" customHeight="1" x14ac:dyDescent="0.25">
      <c r="A22" s="251"/>
      <c r="B22" s="94"/>
      <c r="C22" s="95"/>
      <c r="D22" s="95"/>
      <c r="E22" s="95"/>
      <c r="F22" s="95"/>
      <c r="G22" s="96"/>
      <c r="H22" s="94"/>
      <c r="I22" s="95"/>
      <c r="J22" s="95"/>
      <c r="K22" s="95"/>
      <c r="L22" s="95"/>
      <c r="M22" s="95"/>
      <c r="N22" s="96"/>
      <c r="O22" s="94"/>
      <c r="P22" s="95"/>
      <c r="Q22" s="95"/>
      <c r="R22" s="95"/>
      <c r="S22" s="101" t="s">
        <v>141</v>
      </c>
      <c r="T22" s="102"/>
      <c r="U22" s="102"/>
      <c r="V22" s="102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I22" s="102"/>
      <c r="AJ22" s="102"/>
      <c r="AK22" s="102"/>
      <c r="AL22" s="102"/>
      <c r="AM22" s="102"/>
      <c r="AN22" s="102"/>
      <c r="AO22" s="102"/>
      <c r="AP22" s="102"/>
      <c r="AQ22" s="102"/>
      <c r="AR22" s="102"/>
      <c r="AS22" s="102"/>
      <c r="AT22" s="102"/>
      <c r="AU22" s="102"/>
      <c r="AV22" s="102"/>
      <c r="AW22" s="103"/>
      <c r="AX22" s="285"/>
      <c r="AY22" s="285"/>
      <c r="AZ22" s="285"/>
      <c r="BA22" s="285"/>
      <c r="BB22" s="285"/>
      <c r="BC22" s="286"/>
      <c r="BD22" s="287"/>
      <c r="BE22" s="285"/>
      <c r="BF22" s="285"/>
      <c r="BG22" s="285"/>
      <c r="BH22" s="285"/>
      <c r="BI22" s="285"/>
      <c r="BJ22" s="286"/>
      <c r="BK22" s="252"/>
    </row>
    <row r="23" spans="1:63" ht="15" customHeight="1" x14ac:dyDescent="0.25">
      <c r="A23" s="251"/>
      <c r="B23" s="78" t="s">
        <v>142</v>
      </c>
      <c r="C23" s="79"/>
      <c r="D23" s="79"/>
      <c r="E23" s="79"/>
      <c r="F23" s="79"/>
      <c r="G23" s="80"/>
      <c r="H23" s="84" t="s">
        <v>143</v>
      </c>
      <c r="I23" s="79"/>
      <c r="J23" s="79"/>
      <c r="K23" s="79"/>
      <c r="L23" s="79"/>
      <c r="M23" s="79"/>
      <c r="N23" s="80"/>
      <c r="O23" s="84">
        <v>0.52</v>
      </c>
      <c r="P23" s="79"/>
      <c r="Q23" s="79"/>
      <c r="R23" s="79"/>
      <c r="S23" s="85" t="s">
        <v>144</v>
      </c>
      <c r="T23" s="86"/>
      <c r="U23" s="86"/>
      <c r="V23" s="86"/>
      <c r="W23" s="86"/>
      <c r="X23" s="86"/>
      <c r="Y23" s="86"/>
      <c r="Z23" s="86"/>
      <c r="AA23" s="86"/>
      <c r="AB23" s="86"/>
      <c r="AC23" s="86"/>
      <c r="AD23" s="86"/>
      <c r="AE23" s="86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86"/>
      <c r="AS23" s="86"/>
      <c r="AT23" s="86"/>
      <c r="AU23" s="86"/>
      <c r="AV23" s="86"/>
      <c r="AW23" s="87"/>
      <c r="AX23" s="279"/>
      <c r="AY23" s="279"/>
      <c r="AZ23" s="279"/>
      <c r="BA23" s="279"/>
      <c r="BB23" s="279"/>
      <c r="BC23" s="280"/>
      <c r="BD23" s="281"/>
      <c r="BE23" s="279"/>
      <c r="BF23" s="279"/>
      <c r="BG23" s="279"/>
      <c r="BH23" s="279"/>
      <c r="BI23" s="279"/>
      <c r="BJ23" s="280"/>
      <c r="BK23" s="252"/>
    </row>
    <row r="24" spans="1:63" ht="15" customHeight="1" x14ac:dyDescent="0.25">
      <c r="A24" s="251"/>
      <c r="B24" s="81"/>
      <c r="C24" s="82"/>
      <c r="D24" s="82"/>
      <c r="E24" s="82"/>
      <c r="F24" s="82"/>
      <c r="G24" s="83"/>
      <c r="H24" s="81"/>
      <c r="I24" s="82"/>
      <c r="J24" s="82"/>
      <c r="K24" s="82"/>
      <c r="L24" s="82"/>
      <c r="M24" s="82"/>
      <c r="N24" s="83"/>
      <c r="O24" s="81"/>
      <c r="P24" s="82"/>
      <c r="Q24" s="82"/>
      <c r="R24" s="82"/>
      <c r="S24" s="88"/>
      <c r="T24" s="89"/>
      <c r="U24" s="89"/>
      <c r="V24" s="89"/>
      <c r="W24" s="89"/>
      <c r="X24" s="89"/>
      <c r="Y24" s="89"/>
      <c r="Z24" s="89"/>
      <c r="AA24" s="89"/>
      <c r="AB24" s="89"/>
      <c r="AC24" s="89"/>
      <c r="AD24" s="89"/>
      <c r="AE24" s="89"/>
      <c r="AF24" s="89"/>
      <c r="AG24" s="89"/>
      <c r="AH24" s="89"/>
      <c r="AI24" s="89"/>
      <c r="AJ24" s="89"/>
      <c r="AK24" s="89"/>
      <c r="AL24" s="89"/>
      <c r="AM24" s="89"/>
      <c r="AN24" s="89"/>
      <c r="AO24" s="89"/>
      <c r="AP24" s="89"/>
      <c r="AQ24" s="89"/>
      <c r="AR24" s="89"/>
      <c r="AS24" s="89"/>
      <c r="AT24" s="89"/>
      <c r="AU24" s="89"/>
      <c r="AV24" s="89"/>
      <c r="AW24" s="90"/>
      <c r="AX24" s="285"/>
      <c r="AY24" s="285"/>
      <c r="AZ24" s="285"/>
      <c r="BA24" s="285"/>
      <c r="BB24" s="285"/>
      <c r="BC24" s="286"/>
      <c r="BD24" s="287"/>
      <c r="BE24" s="285"/>
      <c r="BF24" s="285"/>
      <c r="BG24" s="285"/>
      <c r="BH24" s="285"/>
      <c r="BI24" s="285"/>
      <c r="BJ24" s="286"/>
      <c r="BK24" s="252"/>
    </row>
    <row r="25" spans="1:63" ht="15" customHeight="1" x14ac:dyDescent="0.25">
      <c r="A25" s="251"/>
      <c r="B25" s="65">
        <v>45964</v>
      </c>
      <c r="C25" s="66"/>
      <c r="D25" s="66"/>
      <c r="E25" s="66"/>
      <c r="F25" s="66"/>
      <c r="G25" s="67"/>
      <c r="H25" s="71" t="s">
        <v>143</v>
      </c>
      <c r="I25" s="66"/>
      <c r="J25" s="66"/>
      <c r="K25" s="66"/>
      <c r="L25" s="66"/>
      <c r="M25" s="66"/>
      <c r="N25" s="67"/>
      <c r="O25" s="71">
        <v>0.53</v>
      </c>
      <c r="P25" s="66"/>
      <c r="Q25" s="66"/>
      <c r="R25" s="66"/>
      <c r="S25" s="72" t="s">
        <v>145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AL25" s="73"/>
      <c r="AM25" s="73"/>
      <c r="AN25" s="73"/>
      <c r="AO25" s="73"/>
      <c r="AP25" s="73"/>
      <c r="AQ25" s="73"/>
      <c r="AR25" s="73"/>
      <c r="AS25" s="73"/>
      <c r="AT25" s="73"/>
      <c r="AU25" s="73"/>
      <c r="AV25" s="73"/>
      <c r="AW25" s="74"/>
      <c r="AX25" s="279"/>
      <c r="AY25" s="279"/>
      <c r="AZ25" s="279"/>
      <c r="BA25" s="279"/>
      <c r="BB25" s="279"/>
      <c r="BC25" s="280"/>
      <c r="BD25" s="281"/>
      <c r="BE25" s="279"/>
      <c r="BF25" s="279"/>
      <c r="BG25" s="279"/>
      <c r="BH25" s="279"/>
      <c r="BI25" s="279"/>
      <c r="BJ25" s="280"/>
      <c r="BK25" s="252"/>
    </row>
    <row r="26" spans="1:63" ht="15" customHeight="1" x14ac:dyDescent="0.25">
      <c r="A26" s="251"/>
      <c r="B26" s="68"/>
      <c r="C26" s="69"/>
      <c r="D26" s="69"/>
      <c r="E26" s="69"/>
      <c r="F26" s="69"/>
      <c r="G26" s="70"/>
      <c r="H26" s="68"/>
      <c r="I26" s="69"/>
      <c r="J26" s="69"/>
      <c r="K26" s="69"/>
      <c r="L26" s="69"/>
      <c r="M26" s="69"/>
      <c r="N26" s="70"/>
      <c r="O26" s="68"/>
      <c r="P26" s="69"/>
      <c r="Q26" s="69"/>
      <c r="R26" s="69"/>
      <c r="S26" s="75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7"/>
      <c r="AX26" s="285"/>
      <c r="AY26" s="285"/>
      <c r="AZ26" s="285"/>
      <c r="BA26" s="285"/>
      <c r="BB26" s="285"/>
      <c r="BC26" s="286"/>
      <c r="BD26" s="287"/>
      <c r="BE26" s="285"/>
      <c r="BF26" s="285"/>
      <c r="BG26" s="285"/>
      <c r="BH26" s="285"/>
      <c r="BI26" s="285"/>
      <c r="BJ26" s="286"/>
      <c r="BK26" s="252"/>
    </row>
    <row r="27" spans="1:63" ht="15" customHeight="1" x14ac:dyDescent="0.25">
      <c r="A27" s="251"/>
      <c r="B27" s="223"/>
      <c r="C27" s="221"/>
      <c r="D27" s="221"/>
      <c r="E27" s="221"/>
      <c r="F27" s="221"/>
      <c r="G27" s="222"/>
      <c r="H27" s="223"/>
      <c r="I27" s="221"/>
      <c r="J27" s="221"/>
      <c r="K27" s="221"/>
      <c r="L27" s="221"/>
      <c r="M27" s="221"/>
      <c r="N27" s="222"/>
      <c r="O27" s="223"/>
      <c r="P27" s="221"/>
      <c r="Q27" s="221"/>
      <c r="R27" s="221"/>
      <c r="S27" s="276"/>
      <c r="T27" s="277"/>
      <c r="U27" s="277"/>
      <c r="V27" s="277"/>
      <c r="W27" s="277"/>
      <c r="X27" s="277"/>
      <c r="Y27" s="277"/>
      <c r="Z27" s="277"/>
      <c r="AA27" s="277"/>
      <c r="AB27" s="277"/>
      <c r="AC27" s="277"/>
      <c r="AD27" s="277"/>
      <c r="AE27" s="277"/>
      <c r="AF27" s="277"/>
      <c r="AG27" s="277"/>
      <c r="AH27" s="277"/>
      <c r="AI27" s="277"/>
      <c r="AJ27" s="277"/>
      <c r="AK27" s="277"/>
      <c r="AL27" s="277"/>
      <c r="AM27" s="277"/>
      <c r="AN27" s="277"/>
      <c r="AO27" s="277"/>
      <c r="AP27" s="277"/>
      <c r="AQ27" s="277"/>
      <c r="AR27" s="277"/>
      <c r="AS27" s="277"/>
      <c r="AT27" s="277"/>
      <c r="AU27" s="277"/>
      <c r="AV27" s="277"/>
      <c r="AW27" s="278"/>
      <c r="AX27" s="279"/>
      <c r="AY27" s="279"/>
      <c r="AZ27" s="279"/>
      <c r="BA27" s="279"/>
      <c r="BB27" s="279"/>
      <c r="BC27" s="280"/>
      <c r="BD27" s="281"/>
      <c r="BE27" s="279"/>
      <c r="BF27" s="279"/>
      <c r="BG27" s="279"/>
      <c r="BH27" s="279"/>
      <c r="BI27" s="279"/>
      <c r="BJ27" s="280"/>
      <c r="BK27" s="252"/>
    </row>
    <row r="28" spans="1:63" ht="15" customHeight="1" x14ac:dyDescent="0.25">
      <c r="A28" s="251"/>
      <c r="B28" s="233"/>
      <c r="C28" s="234"/>
      <c r="D28" s="234"/>
      <c r="E28" s="234"/>
      <c r="F28" s="234"/>
      <c r="G28" s="235"/>
      <c r="H28" s="233"/>
      <c r="I28" s="234"/>
      <c r="J28" s="234"/>
      <c r="K28" s="234"/>
      <c r="L28" s="234"/>
      <c r="M28" s="234"/>
      <c r="N28" s="235"/>
      <c r="O28" s="233"/>
      <c r="P28" s="234"/>
      <c r="Q28" s="234"/>
      <c r="R28" s="234"/>
      <c r="S28" s="282"/>
      <c r="T28" s="283"/>
      <c r="U28" s="283"/>
      <c r="V28" s="283"/>
      <c r="W28" s="283"/>
      <c r="X28" s="283"/>
      <c r="Y28" s="283"/>
      <c r="Z28" s="283"/>
      <c r="AA28" s="283"/>
      <c r="AB28" s="283"/>
      <c r="AC28" s="283"/>
      <c r="AD28" s="283"/>
      <c r="AE28" s="283"/>
      <c r="AF28" s="283"/>
      <c r="AG28" s="283"/>
      <c r="AH28" s="283"/>
      <c r="AI28" s="283"/>
      <c r="AJ28" s="283"/>
      <c r="AK28" s="283"/>
      <c r="AL28" s="283"/>
      <c r="AM28" s="283"/>
      <c r="AN28" s="283"/>
      <c r="AO28" s="283"/>
      <c r="AP28" s="283"/>
      <c r="AQ28" s="283"/>
      <c r="AR28" s="283"/>
      <c r="AS28" s="283"/>
      <c r="AT28" s="283"/>
      <c r="AU28" s="283"/>
      <c r="AV28" s="283"/>
      <c r="AW28" s="284"/>
      <c r="AX28" s="285"/>
      <c r="AY28" s="285"/>
      <c r="AZ28" s="285"/>
      <c r="BA28" s="285"/>
      <c r="BB28" s="285"/>
      <c r="BC28" s="286"/>
      <c r="BD28" s="287"/>
      <c r="BE28" s="285"/>
      <c r="BF28" s="285"/>
      <c r="BG28" s="285"/>
      <c r="BH28" s="285"/>
      <c r="BI28" s="285"/>
      <c r="BJ28" s="286"/>
      <c r="BK28" s="252"/>
    </row>
    <row r="29" spans="1:63" ht="15" customHeight="1" x14ac:dyDescent="0.25">
      <c r="A29" s="251"/>
      <c r="B29" s="223"/>
      <c r="C29" s="221"/>
      <c r="D29" s="221"/>
      <c r="E29" s="221"/>
      <c r="F29" s="221"/>
      <c r="G29" s="222"/>
      <c r="H29" s="223"/>
      <c r="I29" s="221"/>
      <c r="J29" s="221"/>
      <c r="K29" s="221"/>
      <c r="L29" s="221"/>
      <c r="M29" s="221"/>
      <c r="N29" s="222"/>
      <c r="O29" s="223"/>
      <c r="P29" s="221"/>
      <c r="Q29" s="221"/>
      <c r="R29" s="221"/>
      <c r="S29" s="276"/>
      <c r="T29" s="277"/>
      <c r="U29" s="277"/>
      <c r="V29" s="277"/>
      <c r="W29" s="277"/>
      <c r="X29" s="277"/>
      <c r="Y29" s="277"/>
      <c r="Z29" s="277"/>
      <c r="AA29" s="277"/>
      <c r="AB29" s="277"/>
      <c r="AC29" s="277"/>
      <c r="AD29" s="277"/>
      <c r="AE29" s="277"/>
      <c r="AF29" s="277"/>
      <c r="AG29" s="277"/>
      <c r="AH29" s="277"/>
      <c r="AI29" s="277"/>
      <c r="AJ29" s="277"/>
      <c r="AK29" s="277"/>
      <c r="AL29" s="277"/>
      <c r="AM29" s="277"/>
      <c r="AN29" s="277"/>
      <c r="AO29" s="277"/>
      <c r="AP29" s="277"/>
      <c r="AQ29" s="277"/>
      <c r="AR29" s="277"/>
      <c r="AS29" s="277"/>
      <c r="AT29" s="277"/>
      <c r="AU29" s="277"/>
      <c r="AV29" s="277"/>
      <c r="AW29" s="278"/>
      <c r="AX29" s="279"/>
      <c r="AY29" s="279"/>
      <c r="AZ29" s="279"/>
      <c r="BA29" s="279"/>
      <c r="BB29" s="279"/>
      <c r="BC29" s="280"/>
      <c r="BD29" s="281"/>
      <c r="BE29" s="279"/>
      <c r="BF29" s="279"/>
      <c r="BG29" s="279"/>
      <c r="BH29" s="279"/>
      <c r="BI29" s="279"/>
      <c r="BJ29" s="280"/>
      <c r="BK29" s="252"/>
    </row>
    <row r="30" spans="1:63" ht="15" customHeight="1" x14ac:dyDescent="0.25">
      <c r="A30" s="251"/>
      <c r="B30" s="233"/>
      <c r="C30" s="234"/>
      <c r="D30" s="234"/>
      <c r="E30" s="234"/>
      <c r="F30" s="234"/>
      <c r="G30" s="235"/>
      <c r="H30" s="233"/>
      <c r="I30" s="234"/>
      <c r="J30" s="234"/>
      <c r="K30" s="234"/>
      <c r="L30" s="234"/>
      <c r="M30" s="234"/>
      <c r="N30" s="235"/>
      <c r="O30" s="233"/>
      <c r="P30" s="234"/>
      <c r="Q30" s="234"/>
      <c r="R30" s="234"/>
      <c r="S30" s="282"/>
      <c r="T30" s="283"/>
      <c r="U30" s="283"/>
      <c r="V30" s="283"/>
      <c r="W30" s="283"/>
      <c r="X30" s="283"/>
      <c r="Y30" s="283"/>
      <c r="Z30" s="283"/>
      <c r="AA30" s="283"/>
      <c r="AB30" s="283"/>
      <c r="AC30" s="283"/>
      <c r="AD30" s="283"/>
      <c r="AE30" s="283"/>
      <c r="AF30" s="283"/>
      <c r="AG30" s="283"/>
      <c r="AH30" s="283"/>
      <c r="AI30" s="283"/>
      <c r="AJ30" s="283"/>
      <c r="AK30" s="283"/>
      <c r="AL30" s="283"/>
      <c r="AM30" s="283"/>
      <c r="AN30" s="283"/>
      <c r="AO30" s="283"/>
      <c r="AP30" s="283"/>
      <c r="AQ30" s="283"/>
      <c r="AR30" s="283"/>
      <c r="AS30" s="283"/>
      <c r="AT30" s="283"/>
      <c r="AU30" s="283"/>
      <c r="AV30" s="283"/>
      <c r="AW30" s="284"/>
      <c r="AX30" s="285"/>
      <c r="AY30" s="285"/>
      <c r="AZ30" s="285"/>
      <c r="BA30" s="285"/>
      <c r="BB30" s="285"/>
      <c r="BC30" s="286"/>
      <c r="BD30" s="287"/>
      <c r="BE30" s="285"/>
      <c r="BF30" s="285"/>
      <c r="BG30" s="285"/>
      <c r="BH30" s="285"/>
      <c r="BI30" s="285"/>
      <c r="BJ30" s="286"/>
      <c r="BK30" s="252"/>
    </row>
    <row r="31" spans="1:63" ht="15" customHeight="1" x14ac:dyDescent="0.25">
      <c r="A31" s="251"/>
      <c r="B31" s="223"/>
      <c r="C31" s="221"/>
      <c r="D31" s="221"/>
      <c r="E31" s="221"/>
      <c r="F31" s="221"/>
      <c r="G31" s="222"/>
      <c r="H31" s="223"/>
      <c r="I31" s="221"/>
      <c r="J31" s="221"/>
      <c r="K31" s="221"/>
      <c r="L31" s="221"/>
      <c r="M31" s="221"/>
      <c r="N31" s="222"/>
      <c r="O31" s="223"/>
      <c r="P31" s="221"/>
      <c r="Q31" s="221"/>
      <c r="R31" s="221"/>
      <c r="S31" s="276"/>
      <c r="T31" s="277"/>
      <c r="U31" s="277"/>
      <c r="V31" s="277"/>
      <c r="W31" s="277"/>
      <c r="X31" s="277"/>
      <c r="Y31" s="277"/>
      <c r="Z31" s="277"/>
      <c r="AA31" s="277"/>
      <c r="AB31" s="277"/>
      <c r="AC31" s="277"/>
      <c r="AD31" s="277"/>
      <c r="AE31" s="277"/>
      <c r="AF31" s="277"/>
      <c r="AG31" s="277"/>
      <c r="AH31" s="277"/>
      <c r="AI31" s="277"/>
      <c r="AJ31" s="277"/>
      <c r="AK31" s="277"/>
      <c r="AL31" s="277"/>
      <c r="AM31" s="277"/>
      <c r="AN31" s="277"/>
      <c r="AO31" s="277"/>
      <c r="AP31" s="277"/>
      <c r="AQ31" s="277"/>
      <c r="AR31" s="277"/>
      <c r="AS31" s="277"/>
      <c r="AT31" s="277"/>
      <c r="AU31" s="277"/>
      <c r="AV31" s="277"/>
      <c r="AW31" s="278"/>
      <c r="AX31" s="279"/>
      <c r="AY31" s="279"/>
      <c r="AZ31" s="279"/>
      <c r="BA31" s="279"/>
      <c r="BB31" s="279"/>
      <c r="BC31" s="280"/>
      <c r="BD31" s="281"/>
      <c r="BE31" s="279"/>
      <c r="BF31" s="279"/>
      <c r="BG31" s="279"/>
      <c r="BH31" s="279"/>
      <c r="BI31" s="279"/>
      <c r="BJ31" s="280"/>
      <c r="BK31" s="252"/>
    </row>
    <row r="32" spans="1:63" ht="15" customHeight="1" x14ac:dyDescent="0.25">
      <c r="A32" s="251"/>
      <c r="B32" s="233"/>
      <c r="C32" s="234"/>
      <c r="D32" s="234"/>
      <c r="E32" s="234"/>
      <c r="F32" s="234"/>
      <c r="G32" s="235"/>
      <c r="H32" s="233"/>
      <c r="I32" s="234"/>
      <c r="J32" s="234"/>
      <c r="K32" s="234"/>
      <c r="L32" s="234"/>
      <c r="M32" s="234"/>
      <c r="N32" s="235"/>
      <c r="O32" s="233"/>
      <c r="P32" s="234"/>
      <c r="Q32" s="234"/>
      <c r="R32" s="234"/>
      <c r="S32" s="282"/>
      <c r="T32" s="283"/>
      <c r="U32" s="283"/>
      <c r="V32" s="283"/>
      <c r="W32" s="283"/>
      <c r="X32" s="283"/>
      <c r="Y32" s="283"/>
      <c r="Z32" s="283"/>
      <c r="AA32" s="283"/>
      <c r="AB32" s="283"/>
      <c r="AC32" s="283"/>
      <c r="AD32" s="283"/>
      <c r="AE32" s="283"/>
      <c r="AF32" s="283"/>
      <c r="AG32" s="283"/>
      <c r="AH32" s="283"/>
      <c r="AI32" s="283"/>
      <c r="AJ32" s="283"/>
      <c r="AK32" s="283"/>
      <c r="AL32" s="283"/>
      <c r="AM32" s="283"/>
      <c r="AN32" s="283"/>
      <c r="AO32" s="283"/>
      <c r="AP32" s="283"/>
      <c r="AQ32" s="283"/>
      <c r="AR32" s="283"/>
      <c r="AS32" s="283"/>
      <c r="AT32" s="283"/>
      <c r="AU32" s="283"/>
      <c r="AV32" s="283"/>
      <c r="AW32" s="284"/>
      <c r="AX32" s="285"/>
      <c r="AY32" s="285"/>
      <c r="AZ32" s="285"/>
      <c r="BA32" s="285"/>
      <c r="BB32" s="285"/>
      <c r="BC32" s="286"/>
      <c r="BD32" s="287"/>
      <c r="BE32" s="285"/>
      <c r="BF32" s="285"/>
      <c r="BG32" s="285"/>
      <c r="BH32" s="285"/>
      <c r="BI32" s="285"/>
      <c r="BJ32" s="286"/>
      <c r="BK32" s="252"/>
    </row>
    <row r="33" spans="1:63" ht="15" customHeight="1" x14ac:dyDescent="0.25">
      <c r="A33" s="251"/>
      <c r="B33" s="223"/>
      <c r="C33" s="221"/>
      <c r="D33" s="221"/>
      <c r="E33" s="221"/>
      <c r="F33" s="221"/>
      <c r="G33" s="222"/>
      <c r="H33" s="223"/>
      <c r="I33" s="221"/>
      <c r="J33" s="221"/>
      <c r="K33" s="221"/>
      <c r="L33" s="221"/>
      <c r="M33" s="221"/>
      <c r="N33" s="222"/>
      <c r="O33" s="223"/>
      <c r="P33" s="221"/>
      <c r="Q33" s="221"/>
      <c r="R33" s="221"/>
      <c r="S33" s="276"/>
      <c r="T33" s="277"/>
      <c r="U33" s="277"/>
      <c r="V33" s="277"/>
      <c r="W33" s="277"/>
      <c r="X33" s="277"/>
      <c r="Y33" s="277"/>
      <c r="Z33" s="277"/>
      <c r="AA33" s="277"/>
      <c r="AB33" s="277"/>
      <c r="AC33" s="277"/>
      <c r="AD33" s="277"/>
      <c r="AE33" s="277"/>
      <c r="AF33" s="277"/>
      <c r="AG33" s="277"/>
      <c r="AH33" s="277"/>
      <c r="AI33" s="277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7"/>
      <c r="AU33" s="277"/>
      <c r="AV33" s="277"/>
      <c r="AW33" s="278"/>
      <c r="AX33" s="279"/>
      <c r="AY33" s="279"/>
      <c r="AZ33" s="279"/>
      <c r="BA33" s="279"/>
      <c r="BB33" s="279"/>
      <c r="BC33" s="280"/>
      <c r="BD33" s="281"/>
      <c r="BE33" s="279"/>
      <c r="BF33" s="279"/>
      <c r="BG33" s="279"/>
      <c r="BH33" s="279"/>
      <c r="BI33" s="279"/>
      <c r="BJ33" s="280"/>
      <c r="BK33" s="252"/>
    </row>
    <row r="34" spans="1:63" ht="15" customHeight="1" x14ac:dyDescent="0.25">
      <c r="A34" s="251"/>
      <c r="B34" s="233"/>
      <c r="C34" s="234"/>
      <c r="D34" s="234"/>
      <c r="E34" s="234"/>
      <c r="F34" s="234"/>
      <c r="G34" s="235"/>
      <c r="H34" s="233"/>
      <c r="I34" s="234"/>
      <c r="J34" s="234"/>
      <c r="K34" s="234"/>
      <c r="L34" s="234"/>
      <c r="M34" s="234"/>
      <c r="N34" s="235"/>
      <c r="O34" s="233"/>
      <c r="P34" s="234"/>
      <c r="Q34" s="234"/>
      <c r="R34" s="234"/>
      <c r="S34" s="282"/>
      <c r="T34" s="283"/>
      <c r="U34" s="283"/>
      <c r="V34" s="283"/>
      <c r="W34" s="283"/>
      <c r="X34" s="283"/>
      <c r="Y34" s="283"/>
      <c r="Z34" s="283"/>
      <c r="AA34" s="283"/>
      <c r="AB34" s="283"/>
      <c r="AC34" s="283"/>
      <c r="AD34" s="283"/>
      <c r="AE34" s="283"/>
      <c r="AF34" s="283"/>
      <c r="AG34" s="283"/>
      <c r="AH34" s="283"/>
      <c r="AI34" s="283"/>
      <c r="AJ34" s="283"/>
      <c r="AK34" s="283"/>
      <c r="AL34" s="283"/>
      <c r="AM34" s="283"/>
      <c r="AN34" s="283"/>
      <c r="AO34" s="283"/>
      <c r="AP34" s="283"/>
      <c r="AQ34" s="283"/>
      <c r="AR34" s="283"/>
      <c r="AS34" s="283"/>
      <c r="AT34" s="283"/>
      <c r="AU34" s="283"/>
      <c r="AV34" s="283"/>
      <c r="AW34" s="284"/>
      <c r="AX34" s="285"/>
      <c r="AY34" s="285"/>
      <c r="AZ34" s="285"/>
      <c r="BA34" s="285"/>
      <c r="BB34" s="285"/>
      <c r="BC34" s="286"/>
      <c r="BD34" s="287"/>
      <c r="BE34" s="285"/>
      <c r="BF34" s="285"/>
      <c r="BG34" s="285"/>
      <c r="BH34" s="285"/>
      <c r="BI34" s="285"/>
      <c r="BJ34" s="286"/>
      <c r="BK34" s="252"/>
    </row>
    <row r="35" spans="1:63" ht="15" customHeight="1" x14ac:dyDescent="0.25">
      <c r="A35" s="251"/>
      <c r="B35" s="223"/>
      <c r="C35" s="221"/>
      <c r="D35" s="221"/>
      <c r="E35" s="221"/>
      <c r="F35" s="221"/>
      <c r="G35" s="222"/>
      <c r="H35" s="223"/>
      <c r="I35" s="221"/>
      <c r="J35" s="221"/>
      <c r="K35" s="221"/>
      <c r="L35" s="221"/>
      <c r="M35" s="221"/>
      <c r="N35" s="222"/>
      <c r="O35" s="223"/>
      <c r="P35" s="221"/>
      <c r="Q35" s="221"/>
      <c r="R35" s="221"/>
      <c r="S35" s="276"/>
      <c r="T35" s="277"/>
      <c r="U35" s="277"/>
      <c r="V35" s="277"/>
      <c r="W35" s="277"/>
      <c r="X35" s="277"/>
      <c r="Y35" s="277"/>
      <c r="Z35" s="277"/>
      <c r="AA35" s="277"/>
      <c r="AB35" s="277"/>
      <c r="AC35" s="277"/>
      <c r="AD35" s="277"/>
      <c r="AE35" s="277"/>
      <c r="AF35" s="277"/>
      <c r="AG35" s="277"/>
      <c r="AH35" s="277"/>
      <c r="AI35" s="277"/>
      <c r="AJ35" s="277"/>
      <c r="AK35" s="277"/>
      <c r="AL35" s="277"/>
      <c r="AM35" s="277"/>
      <c r="AN35" s="277"/>
      <c r="AO35" s="277"/>
      <c r="AP35" s="277"/>
      <c r="AQ35" s="277"/>
      <c r="AR35" s="277"/>
      <c r="AS35" s="277"/>
      <c r="AT35" s="277"/>
      <c r="AU35" s="277"/>
      <c r="AV35" s="277"/>
      <c r="AW35" s="278"/>
      <c r="AX35" s="279"/>
      <c r="AY35" s="279"/>
      <c r="AZ35" s="279"/>
      <c r="BA35" s="279"/>
      <c r="BB35" s="279"/>
      <c r="BC35" s="280"/>
      <c r="BD35" s="281"/>
      <c r="BE35" s="279"/>
      <c r="BF35" s="279"/>
      <c r="BG35" s="279"/>
      <c r="BH35" s="279"/>
      <c r="BI35" s="279"/>
      <c r="BJ35" s="280"/>
      <c r="BK35" s="252"/>
    </row>
    <row r="36" spans="1:63" ht="15" customHeight="1" x14ac:dyDescent="0.25">
      <c r="A36" s="251"/>
      <c r="B36" s="233"/>
      <c r="C36" s="234"/>
      <c r="D36" s="234"/>
      <c r="E36" s="234"/>
      <c r="F36" s="234"/>
      <c r="G36" s="235"/>
      <c r="H36" s="233"/>
      <c r="I36" s="234"/>
      <c r="J36" s="234"/>
      <c r="K36" s="234"/>
      <c r="L36" s="234"/>
      <c r="M36" s="234"/>
      <c r="N36" s="235"/>
      <c r="O36" s="233"/>
      <c r="P36" s="234"/>
      <c r="Q36" s="234"/>
      <c r="R36" s="234"/>
      <c r="S36" s="282"/>
      <c r="T36" s="283"/>
      <c r="U36" s="283"/>
      <c r="V36" s="283"/>
      <c r="W36" s="283"/>
      <c r="X36" s="283"/>
      <c r="Y36" s="283"/>
      <c r="Z36" s="283"/>
      <c r="AA36" s="283"/>
      <c r="AB36" s="283"/>
      <c r="AC36" s="283"/>
      <c r="AD36" s="283"/>
      <c r="AE36" s="283"/>
      <c r="AF36" s="283"/>
      <c r="AG36" s="283"/>
      <c r="AH36" s="283"/>
      <c r="AI36" s="283"/>
      <c r="AJ36" s="283"/>
      <c r="AK36" s="283"/>
      <c r="AL36" s="283"/>
      <c r="AM36" s="283"/>
      <c r="AN36" s="283"/>
      <c r="AO36" s="283"/>
      <c r="AP36" s="283"/>
      <c r="AQ36" s="283"/>
      <c r="AR36" s="283"/>
      <c r="AS36" s="283"/>
      <c r="AT36" s="283"/>
      <c r="AU36" s="283"/>
      <c r="AV36" s="283"/>
      <c r="AW36" s="284"/>
      <c r="AX36" s="285"/>
      <c r="AY36" s="285"/>
      <c r="AZ36" s="285"/>
      <c r="BA36" s="285"/>
      <c r="BB36" s="285"/>
      <c r="BC36" s="286"/>
      <c r="BD36" s="287"/>
      <c r="BE36" s="285"/>
      <c r="BF36" s="285"/>
      <c r="BG36" s="285"/>
      <c r="BH36" s="285"/>
      <c r="BI36" s="285"/>
      <c r="BJ36" s="286"/>
      <c r="BK36" s="252"/>
    </row>
    <row r="37" spans="1:63" ht="15" customHeight="1" x14ac:dyDescent="0.25">
      <c r="A37" s="251"/>
      <c r="B37" s="223"/>
      <c r="C37" s="221"/>
      <c r="D37" s="221"/>
      <c r="E37" s="221"/>
      <c r="F37" s="221"/>
      <c r="G37" s="222"/>
      <c r="H37" s="223"/>
      <c r="I37" s="221"/>
      <c r="J37" s="221"/>
      <c r="K37" s="221"/>
      <c r="L37" s="221"/>
      <c r="M37" s="221"/>
      <c r="N37" s="222"/>
      <c r="O37" s="223"/>
      <c r="P37" s="221"/>
      <c r="Q37" s="221"/>
      <c r="R37" s="221"/>
      <c r="S37" s="276"/>
      <c r="T37" s="277"/>
      <c r="U37" s="277"/>
      <c r="V37" s="277"/>
      <c r="W37" s="277"/>
      <c r="X37" s="277"/>
      <c r="Y37" s="277"/>
      <c r="Z37" s="277"/>
      <c r="AA37" s="277"/>
      <c r="AB37" s="277"/>
      <c r="AC37" s="277"/>
      <c r="AD37" s="277"/>
      <c r="AE37" s="277"/>
      <c r="AF37" s="277"/>
      <c r="AG37" s="277"/>
      <c r="AH37" s="277"/>
      <c r="AI37" s="277"/>
      <c r="AJ37" s="277"/>
      <c r="AK37" s="277"/>
      <c r="AL37" s="277"/>
      <c r="AM37" s="277"/>
      <c r="AN37" s="277"/>
      <c r="AO37" s="277"/>
      <c r="AP37" s="277"/>
      <c r="AQ37" s="277"/>
      <c r="AR37" s="277"/>
      <c r="AS37" s="277"/>
      <c r="AT37" s="277"/>
      <c r="AU37" s="277"/>
      <c r="AV37" s="277"/>
      <c r="AW37" s="278"/>
      <c r="AX37" s="279"/>
      <c r="AY37" s="279"/>
      <c r="AZ37" s="279"/>
      <c r="BA37" s="279"/>
      <c r="BB37" s="279"/>
      <c r="BC37" s="280"/>
      <c r="BD37" s="281"/>
      <c r="BE37" s="279"/>
      <c r="BF37" s="279"/>
      <c r="BG37" s="279"/>
      <c r="BH37" s="279"/>
      <c r="BI37" s="279"/>
      <c r="BJ37" s="280"/>
      <c r="BK37" s="252"/>
    </row>
    <row r="38" spans="1:63" ht="15" customHeight="1" x14ac:dyDescent="0.25">
      <c r="A38" s="251"/>
      <c r="B38" s="233"/>
      <c r="C38" s="234"/>
      <c r="D38" s="234"/>
      <c r="E38" s="234"/>
      <c r="F38" s="234"/>
      <c r="G38" s="235"/>
      <c r="H38" s="233"/>
      <c r="I38" s="234"/>
      <c r="J38" s="234"/>
      <c r="K38" s="234"/>
      <c r="L38" s="234"/>
      <c r="M38" s="234"/>
      <c r="N38" s="235"/>
      <c r="O38" s="233"/>
      <c r="P38" s="234"/>
      <c r="Q38" s="234"/>
      <c r="R38" s="234"/>
      <c r="S38" s="282"/>
      <c r="T38" s="283"/>
      <c r="U38" s="283"/>
      <c r="V38" s="283"/>
      <c r="W38" s="283"/>
      <c r="X38" s="283"/>
      <c r="Y38" s="283"/>
      <c r="Z38" s="283"/>
      <c r="AA38" s="283"/>
      <c r="AB38" s="283"/>
      <c r="AC38" s="283"/>
      <c r="AD38" s="283"/>
      <c r="AE38" s="283"/>
      <c r="AF38" s="283"/>
      <c r="AG38" s="283"/>
      <c r="AH38" s="283"/>
      <c r="AI38" s="283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83"/>
      <c r="AU38" s="283"/>
      <c r="AV38" s="283"/>
      <c r="AW38" s="284"/>
      <c r="AX38" s="285"/>
      <c r="AY38" s="285"/>
      <c r="AZ38" s="285"/>
      <c r="BA38" s="285"/>
      <c r="BB38" s="285"/>
      <c r="BC38" s="286"/>
      <c r="BD38" s="287"/>
      <c r="BE38" s="285"/>
      <c r="BF38" s="285"/>
      <c r="BG38" s="285"/>
      <c r="BH38" s="285"/>
      <c r="BI38" s="285"/>
      <c r="BJ38" s="286"/>
      <c r="BK38" s="252"/>
    </row>
    <row r="39" spans="1:63" ht="15" customHeight="1" x14ac:dyDescent="0.25">
      <c r="A39" s="251"/>
      <c r="B39" s="223"/>
      <c r="C39" s="221"/>
      <c r="D39" s="221"/>
      <c r="E39" s="221"/>
      <c r="F39" s="221"/>
      <c r="G39" s="222"/>
      <c r="H39" s="223"/>
      <c r="I39" s="221"/>
      <c r="J39" s="221"/>
      <c r="K39" s="221"/>
      <c r="L39" s="221"/>
      <c r="M39" s="221"/>
      <c r="N39" s="222"/>
      <c r="O39" s="223"/>
      <c r="P39" s="221"/>
      <c r="Q39" s="221"/>
      <c r="R39" s="221"/>
      <c r="S39" s="276"/>
      <c r="T39" s="277"/>
      <c r="U39" s="277"/>
      <c r="V39" s="277"/>
      <c r="W39" s="277"/>
      <c r="X39" s="277"/>
      <c r="Y39" s="277"/>
      <c r="Z39" s="277"/>
      <c r="AA39" s="277"/>
      <c r="AB39" s="277"/>
      <c r="AC39" s="277"/>
      <c r="AD39" s="277"/>
      <c r="AE39" s="277"/>
      <c r="AF39" s="277"/>
      <c r="AG39" s="277"/>
      <c r="AH39" s="277"/>
      <c r="AI39" s="277"/>
      <c r="AJ39" s="277"/>
      <c r="AK39" s="277"/>
      <c r="AL39" s="277"/>
      <c r="AM39" s="277"/>
      <c r="AN39" s="277"/>
      <c r="AO39" s="277"/>
      <c r="AP39" s="277"/>
      <c r="AQ39" s="277"/>
      <c r="AR39" s="277"/>
      <c r="AS39" s="277"/>
      <c r="AT39" s="277"/>
      <c r="AU39" s="277"/>
      <c r="AV39" s="277"/>
      <c r="AW39" s="278"/>
      <c r="AX39" s="279"/>
      <c r="AY39" s="279"/>
      <c r="AZ39" s="279"/>
      <c r="BA39" s="279"/>
      <c r="BB39" s="279"/>
      <c r="BC39" s="280"/>
      <c r="BD39" s="281"/>
      <c r="BE39" s="279"/>
      <c r="BF39" s="279"/>
      <c r="BG39" s="279"/>
      <c r="BH39" s="279"/>
      <c r="BI39" s="279"/>
      <c r="BJ39" s="280"/>
      <c r="BK39" s="252"/>
    </row>
    <row r="40" spans="1:63" ht="15" customHeight="1" x14ac:dyDescent="0.25">
      <c r="A40" s="251"/>
      <c r="B40" s="233"/>
      <c r="C40" s="234"/>
      <c r="D40" s="234"/>
      <c r="E40" s="234"/>
      <c r="F40" s="234"/>
      <c r="G40" s="235"/>
      <c r="H40" s="233"/>
      <c r="I40" s="234"/>
      <c r="J40" s="234"/>
      <c r="K40" s="234"/>
      <c r="L40" s="234"/>
      <c r="M40" s="234"/>
      <c r="N40" s="235"/>
      <c r="O40" s="233"/>
      <c r="P40" s="234"/>
      <c r="Q40" s="234"/>
      <c r="R40" s="234"/>
      <c r="S40" s="282"/>
      <c r="T40" s="283"/>
      <c r="U40" s="283"/>
      <c r="V40" s="283"/>
      <c r="W40" s="283"/>
      <c r="X40" s="283"/>
      <c r="Y40" s="283"/>
      <c r="Z40" s="283"/>
      <c r="AA40" s="283"/>
      <c r="AB40" s="283"/>
      <c r="AC40" s="283"/>
      <c r="AD40" s="283"/>
      <c r="AE40" s="283"/>
      <c r="AF40" s="283"/>
      <c r="AG40" s="283"/>
      <c r="AH40" s="283"/>
      <c r="AI40" s="283"/>
      <c r="AJ40" s="283"/>
      <c r="AK40" s="283"/>
      <c r="AL40" s="283"/>
      <c r="AM40" s="283"/>
      <c r="AN40" s="283"/>
      <c r="AO40" s="283"/>
      <c r="AP40" s="283"/>
      <c r="AQ40" s="283"/>
      <c r="AR40" s="283"/>
      <c r="AS40" s="283"/>
      <c r="AT40" s="283"/>
      <c r="AU40" s="283"/>
      <c r="AV40" s="283"/>
      <c r="AW40" s="284"/>
      <c r="AX40" s="285"/>
      <c r="AY40" s="285"/>
      <c r="AZ40" s="285"/>
      <c r="BA40" s="285"/>
      <c r="BB40" s="285"/>
      <c r="BC40" s="286"/>
      <c r="BD40" s="287"/>
      <c r="BE40" s="285"/>
      <c r="BF40" s="285"/>
      <c r="BG40" s="285"/>
      <c r="BH40" s="285"/>
      <c r="BI40" s="285"/>
      <c r="BJ40" s="286"/>
      <c r="BK40" s="252"/>
    </row>
    <row r="41" spans="1:63" ht="15" customHeight="1" x14ac:dyDescent="0.25">
      <c r="A41" s="251"/>
      <c r="B41" s="223"/>
      <c r="C41" s="221"/>
      <c r="D41" s="221"/>
      <c r="E41" s="221"/>
      <c r="F41" s="221"/>
      <c r="G41" s="222"/>
      <c r="H41" s="223"/>
      <c r="I41" s="221"/>
      <c r="J41" s="221"/>
      <c r="K41" s="221"/>
      <c r="L41" s="221"/>
      <c r="M41" s="221"/>
      <c r="N41" s="222"/>
      <c r="O41" s="223"/>
      <c r="P41" s="221"/>
      <c r="Q41" s="221"/>
      <c r="R41" s="221"/>
      <c r="S41" s="276"/>
      <c r="T41" s="277"/>
      <c r="U41" s="277"/>
      <c r="V41" s="277"/>
      <c r="W41" s="277"/>
      <c r="X41" s="277"/>
      <c r="Y41" s="277"/>
      <c r="Z41" s="277"/>
      <c r="AA41" s="277"/>
      <c r="AB41" s="277"/>
      <c r="AC41" s="277"/>
      <c r="AD41" s="277"/>
      <c r="AE41" s="277"/>
      <c r="AF41" s="277"/>
      <c r="AG41" s="277"/>
      <c r="AH41" s="277"/>
      <c r="AI41" s="277"/>
      <c r="AJ41" s="277"/>
      <c r="AK41" s="277"/>
      <c r="AL41" s="277"/>
      <c r="AM41" s="277"/>
      <c r="AN41" s="277"/>
      <c r="AO41" s="277"/>
      <c r="AP41" s="277"/>
      <c r="AQ41" s="277"/>
      <c r="AR41" s="277"/>
      <c r="AS41" s="277"/>
      <c r="AT41" s="277"/>
      <c r="AU41" s="277"/>
      <c r="AV41" s="277"/>
      <c r="AW41" s="278"/>
      <c r="AX41" s="279"/>
      <c r="AY41" s="279"/>
      <c r="AZ41" s="279"/>
      <c r="BA41" s="279"/>
      <c r="BB41" s="279"/>
      <c r="BC41" s="280"/>
      <c r="BD41" s="281"/>
      <c r="BE41" s="279"/>
      <c r="BF41" s="279"/>
      <c r="BG41" s="279"/>
      <c r="BH41" s="279"/>
      <c r="BI41" s="279"/>
      <c r="BJ41" s="280"/>
      <c r="BK41" s="252"/>
    </row>
    <row r="42" spans="1:63" ht="15" customHeight="1" x14ac:dyDescent="0.25">
      <c r="A42" s="251"/>
      <c r="B42" s="233"/>
      <c r="C42" s="234"/>
      <c r="D42" s="234"/>
      <c r="E42" s="234"/>
      <c r="F42" s="234"/>
      <c r="G42" s="235"/>
      <c r="H42" s="233"/>
      <c r="I42" s="234"/>
      <c r="J42" s="234"/>
      <c r="K42" s="234"/>
      <c r="L42" s="234"/>
      <c r="M42" s="234"/>
      <c r="N42" s="235"/>
      <c r="O42" s="233"/>
      <c r="P42" s="234"/>
      <c r="Q42" s="234"/>
      <c r="R42" s="234"/>
      <c r="S42" s="282"/>
      <c r="T42" s="283"/>
      <c r="U42" s="283"/>
      <c r="V42" s="283"/>
      <c r="W42" s="283"/>
      <c r="X42" s="283"/>
      <c r="Y42" s="283"/>
      <c r="Z42" s="283"/>
      <c r="AA42" s="283"/>
      <c r="AB42" s="283"/>
      <c r="AC42" s="283"/>
      <c r="AD42" s="283"/>
      <c r="AE42" s="283"/>
      <c r="AF42" s="283"/>
      <c r="AG42" s="283"/>
      <c r="AH42" s="283"/>
      <c r="AI42" s="283"/>
      <c r="AJ42" s="283"/>
      <c r="AK42" s="283"/>
      <c r="AL42" s="283"/>
      <c r="AM42" s="283"/>
      <c r="AN42" s="283"/>
      <c r="AO42" s="283"/>
      <c r="AP42" s="283"/>
      <c r="AQ42" s="283"/>
      <c r="AR42" s="283"/>
      <c r="AS42" s="283"/>
      <c r="AT42" s="283"/>
      <c r="AU42" s="283"/>
      <c r="AV42" s="283"/>
      <c r="AW42" s="284"/>
      <c r="AX42" s="285"/>
      <c r="AY42" s="285"/>
      <c r="AZ42" s="285"/>
      <c r="BA42" s="285"/>
      <c r="BB42" s="285"/>
      <c r="BC42" s="286"/>
      <c r="BD42" s="287"/>
      <c r="BE42" s="285"/>
      <c r="BF42" s="285"/>
      <c r="BG42" s="285"/>
      <c r="BH42" s="285"/>
      <c r="BI42" s="285"/>
      <c r="BJ42" s="286"/>
      <c r="BK42" s="252"/>
    </row>
    <row r="43" spans="1:63" ht="15" customHeight="1" x14ac:dyDescent="0.25">
      <c r="A43" s="251"/>
      <c r="B43" s="223"/>
      <c r="C43" s="221"/>
      <c r="D43" s="221"/>
      <c r="E43" s="221"/>
      <c r="F43" s="221"/>
      <c r="G43" s="222"/>
      <c r="H43" s="223"/>
      <c r="I43" s="221"/>
      <c r="J43" s="221"/>
      <c r="K43" s="221"/>
      <c r="L43" s="221"/>
      <c r="M43" s="221"/>
      <c r="N43" s="222"/>
      <c r="O43" s="223"/>
      <c r="P43" s="221"/>
      <c r="Q43" s="221"/>
      <c r="R43" s="221"/>
      <c r="S43" s="276"/>
      <c r="T43" s="277"/>
      <c r="U43" s="277"/>
      <c r="V43" s="277"/>
      <c r="W43" s="277"/>
      <c r="X43" s="277"/>
      <c r="Y43" s="277"/>
      <c r="Z43" s="277"/>
      <c r="AA43" s="277"/>
      <c r="AB43" s="277"/>
      <c r="AC43" s="277"/>
      <c r="AD43" s="277"/>
      <c r="AE43" s="277"/>
      <c r="AF43" s="277"/>
      <c r="AG43" s="277"/>
      <c r="AH43" s="277"/>
      <c r="AI43" s="277"/>
      <c r="AJ43" s="277"/>
      <c r="AK43" s="277"/>
      <c r="AL43" s="277"/>
      <c r="AM43" s="277"/>
      <c r="AN43" s="277"/>
      <c r="AO43" s="277"/>
      <c r="AP43" s="277"/>
      <c r="AQ43" s="277"/>
      <c r="AR43" s="277"/>
      <c r="AS43" s="277"/>
      <c r="AT43" s="277"/>
      <c r="AU43" s="277"/>
      <c r="AV43" s="277"/>
      <c r="AW43" s="278"/>
      <c r="AX43" s="279"/>
      <c r="AY43" s="279"/>
      <c r="AZ43" s="279"/>
      <c r="BA43" s="279"/>
      <c r="BB43" s="279"/>
      <c r="BC43" s="280"/>
      <c r="BD43" s="281"/>
      <c r="BE43" s="279"/>
      <c r="BF43" s="279"/>
      <c r="BG43" s="279"/>
      <c r="BH43" s="279"/>
      <c r="BI43" s="279"/>
      <c r="BJ43" s="280"/>
      <c r="BK43" s="252"/>
    </row>
    <row r="44" spans="1:63" ht="15" customHeight="1" x14ac:dyDescent="0.25">
      <c r="A44" s="251"/>
      <c r="B44" s="233"/>
      <c r="C44" s="234"/>
      <c r="D44" s="234"/>
      <c r="E44" s="234"/>
      <c r="F44" s="234"/>
      <c r="G44" s="235"/>
      <c r="H44" s="233"/>
      <c r="I44" s="234"/>
      <c r="J44" s="234"/>
      <c r="K44" s="234"/>
      <c r="L44" s="234"/>
      <c r="M44" s="234"/>
      <c r="N44" s="235"/>
      <c r="O44" s="233"/>
      <c r="P44" s="234"/>
      <c r="Q44" s="234"/>
      <c r="R44" s="234"/>
      <c r="S44" s="282"/>
      <c r="T44" s="283"/>
      <c r="U44" s="283"/>
      <c r="V44" s="283"/>
      <c r="W44" s="283"/>
      <c r="X44" s="283"/>
      <c r="Y44" s="283"/>
      <c r="Z44" s="283"/>
      <c r="AA44" s="283"/>
      <c r="AB44" s="283"/>
      <c r="AC44" s="283"/>
      <c r="AD44" s="283"/>
      <c r="AE44" s="283"/>
      <c r="AF44" s="283"/>
      <c r="AG44" s="283"/>
      <c r="AH44" s="283"/>
      <c r="AI44" s="283"/>
      <c r="AJ44" s="283"/>
      <c r="AK44" s="283"/>
      <c r="AL44" s="283"/>
      <c r="AM44" s="283"/>
      <c r="AN44" s="283"/>
      <c r="AO44" s="283"/>
      <c r="AP44" s="283"/>
      <c r="AQ44" s="283"/>
      <c r="AR44" s="283"/>
      <c r="AS44" s="283"/>
      <c r="AT44" s="283"/>
      <c r="AU44" s="283"/>
      <c r="AV44" s="283"/>
      <c r="AW44" s="284"/>
      <c r="AX44" s="285"/>
      <c r="AY44" s="285"/>
      <c r="AZ44" s="285"/>
      <c r="BA44" s="285"/>
      <c r="BB44" s="285"/>
      <c r="BC44" s="286"/>
      <c r="BD44" s="287"/>
      <c r="BE44" s="285"/>
      <c r="BF44" s="285"/>
      <c r="BG44" s="285"/>
      <c r="BH44" s="285"/>
      <c r="BI44" s="285"/>
      <c r="BJ44" s="286"/>
      <c r="BK44" s="252"/>
    </row>
    <row r="45" spans="1:63" ht="15" customHeight="1" x14ac:dyDescent="0.25">
      <c r="A45" s="251"/>
      <c r="B45" s="223"/>
      <c r="C45" s="221"/>
      <c r="D45" s="221"/>
      <c r="E45" s="221"/>
      <c r="F45" s="221"/>
      <c r="G45" s="222"/>
      <c r="H45" s="223"/>
      <c r="I45" s="221"/>
      <c r="J45" s="221"/>
      <c r="K45" s="221"/>
      <c r="L45" s="221"/>
      <c r="M45" s="221"/>
      <c r="N45" s="222"/>
      <c r="O45" s="223"/>
      <c r="P45" s="221"/>
      <c r="Q45" s="221"/>
      <c r="R45" s="221"/>
      <c r="S45" s="276"/>
      <c r="T45" s="277"/>
      <c r="U45" s="277"/>
      <c r="V45" s="277"/>
      <c r="W45" s="277"/>
      <c r="X45" s="277"/>
      <c r="Y45" s="277"/>
      <c r="Z45" s="277"/>
      <c r="AA45" s="277"/>
      <c r="AB45" s="277"/>
      <c r="AC45" s="277"/>
      <c r="AD45" s="277"/>
      <c r="AE45" s="277"/>
      <c r="AF45" s="277"/>
      <c r="AG45" s="277"/>
      <c r="AH45" s="277"/>
      <c r="AI45" s="277"/>
      <c r="AJ45" s="277"/>
      <c r="AK45" s="277"/>
      <c r="AL45" s="277"/>
      <c r="AM45" s="277"/>
      <c r="AN45" s="277"/>
      <c r="AO45" s="277"/>
      <c r="AP45" s="277"/>
      <c r="AQ45" s="277"/>
      <c r="AR45" s="277"/>
      <c r="AS45" s="277"/>
      <c r="AT45" s="277"/>
      <c r="AU45" s="277"/>
      <c r="AV45" s="277"/>
      <c r="AW45" s="278"/>
      <c r="AX45" s="279"/>
      <c r="AY45" s="279"/>
      <c r="AZ45" s="279"/>
      <c r="BA45" s="279"/>
      <c r="BB45" s="279"/>
      <c r="BC45" s="280"/>
      <c r="BD45" s="281"/>
      <c r="BE45" s="279"/>
      <c r="BF45" s="279"/>
      <c r="BG45" s="279"/>
      <c r="BH45" s="279"/>
      <c r="BI45" s="279"/>
      <c r="BJ45" s="280"/>
      <c r="BK45" s="252"/>
    </row>
    <row r="46" spans="1:63" ht="15" customHeight="1" x14ac:dyDescent="0.25">
      <c r="A46" s="251"/>
      <c r="B46" s="233"/>
      <c r="C46" s="234"/>
      <c r="D46" s="234"/>
      <c r="E46" s="234"/>
      <c r="F46" s="234"/>
      <c r="G46" s="235"/>
      <c r="H46" s="233"/>
      <c r="I46" s="234"/>
      <c r="J46" s="234"/>
      <c r="K46" s="234"/>
      <c r="L46" s="234"/>
      <c r="M46" s="234"/>
      <c r="N46" s="235"/>
      <c r="O46" s="233"/>
      <c r="P46" s="234"/>
      <c r="Q46" s="234"/>
      <c r="R46" s="234"/>
      <c r="S46" s="282"/>
      <c r="T46" s="283"/>
      <c r="U46" s="283"/>
      <c r="V46" s="283"/>
      <c r="W46" s="283"/>
      <c r="X46" s="283"/>
      <c r="Y46" s="283"/>
      <c r="Z46" s="283"/>
      <c r="AA46" s="283"/>
      <c r="AB46" s="283"/>
      <c r="AC46" s="283"/>
      <c r="AD46" s="283"/>
      <c r="AE46" s="283"/>
      <c r="AF46" s="283"/>
      <c r="AG46" s="283"/>
      <c r="AH46" s="283"/>
      <c r="AI46" s="283"/>
      <c r="AJ46" s="283"/>
      <c r="AK46" s="283"/>
      <c r="AL46" s="283"/>
      <c r="AM46" s="283"/>
      <c r="AN46" s="283"/>
      <c r="AO46" s="283"/>
      <c r="AP46" s="283"/>
      <c r="AQ46" s="283"/>
      <c r="AR46" s="283"/>
      <c r="AS46" s="283"/>
      <c r="AT46" s="283"/>
      <c r="AU46" s="283"/>
      <c r="AV46" s="283"/>
      <c r="AW46" s="284"/>
      <c r="AX46" s="285"/>
      <c r="AY46" s="285"/>
      <c r="AZ46" s="285"/>
      <c r="BA46" s="285"/>
      <c r="BB46" s="285"/>
      <c r="BC46" s="286"/>
      <c r="BD46" s="287"/>
      <c r="BE46" s="285"/>
      <c r="BF46" s="285"/>
      <c r="BG46" s="285"/>
      <c r="BH46" s="285"/>
      <c r="BI46" s="285"/>
      <c r="BJ46" s="286"/>
      <c r="BK46" s="252"/>
    </row>
    <row r="47" spans="1:63" ht="15" customHeight="1" x14ac:dyDescent="0.25">
      <c r="A47" s="251"/>
      <c r="B47" s="223"/>
      <c r="C47" s="221"/>
      <c r="D47" s="221"/>
      <c r="E47" s="221"/>
      <c r="F47" s="221"/>
      <c r="G47" s="222"/>
      <c r="H47" s="223"/>
      <c r="I47" s="221"/>
      <c r="J47" s="221"/>
      <c r="K47" s="221"/>
      <c r="L47" s="221"/>
      <c r="M47" s="221"/>
      <c r="N47" s="222"/>
      <c r="O47" s="223"/>
      <c r="P47" s="221"/>
      <c r="Q47" s="221"/>
      <c r="R47" s="221"/>
      <c r="S47" s="276"/>
      <c r="T47" s="277"/>
      <c r="U47" s="277"/>
      <c r="V47" s="277"/>
      <c r="W47" s="277"/>
      <c r="X47" s="277"/>
      <c r="Y47" s="277"/>
      <c r="Z47" s="277"/>
      <c r="AA47" s="277"/>
      <c r="AB47" s="277"/>
      <c r="AC47" s="277"/>
      <c r="AD47" s="277"/>
      <c r="AE47" s="277"/>
      <c r="AF47" s="277"/>
      <c r="AG47" s="277"/>
      <c r="AH47" s="277"/>
      <c r="AI47" s="277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7"/>
      <c r="AU47" s="277"/>
      <c r="AV47" s="277"/>
      <c r="AW47" s="278"/>
      <c r="AX47" s="279"/>
      <c r="AY47" s="279"/>
      <c r="AZ47" s="279"/>
      <c r="BA47" s="279"/>
      <c r="BB47" s="279"/>
      <c r="BC47" s="280"/>
      <c r="BD47" s="281"/>
      <c r="BE47" s="279"/>
      <c r="BF47" s="279"/>
      <c r="BG47" s="279"/>
      <c r="BH47" s="279"/>
      <c r="BI47" s="279"/>
      <c r="BJ47" s="280"/>
      <c r="BK47" s="252"/>
    </row>
    <row r="48" spans="1:63" ht="15" customHeight="1" x14ac:dyDescent="0.25">
      <c r="A48" s="251"/>
      <c r="B48" s="233"/>
      <c r="C48" s="234"/>
      <c r="D48" s="234"/>
      <c r="E48" s="234"/>
      <c r="F48" s="234"/>
      <c r="G48" s="235"/>
      <c r="H48" s="233"/>
      <c r="I48" s="234"/>
      <c r="J48" s="234"/>
      <c r="K48" s="234"/>
      <c r="L48" s="234"/>
      <c r="M48" s="234"/>
      <c r="N48" s="235"/>
      <c r="O48" s="233"/>
      <c r="P48" s="234"/>
      <c r="Q48" s="234"/>
      <c r="R48" s="234"/>
      <c r="S48" s="282"/>
      <c r="T48" s="283"/>
      <c r="U48" s="283"/>
      <c r="V48" s="283"/>
      <c r="W48" s="283"/>
      <c r="X48" s="283"/>
      <c r="Y48" s="283"/>
      <c r="Z48" s="283"/>
      <c r="AA48" s="283"/>
      <c r="AB48" s="283"/>
      <c r="AC48" s="283"/>
      <c r="AD48" s="283"/>
      <c r="AE48" s="283"/>
      <c r="AF48" s="283"/>
      <c r="AG48" s="283"/>
      <c r="AH48" s="283"/>
      <c r="AI48" s="283"/>
      <c r="AJ48" s="283"/>
      <c r="AK48" s="283"/>
      <c r="AL48" s="283"/>
      <c r="AM48" s="283"/>
      <c r="AN48" s="283"/>
      <c r="AO48" s="283"/>
      <c r="AP48" s="283"/>
      <c r="AQ48" s="283"/>
      <c r="AR48" s="283"/>
      <c r="AS48" s="283"/>
      <c r="AT48" s="283"/>
      <c r="AU48" s="283"/>
      <c r="AV48" s="283"/>
      <c r="AW48" s="284"/>
      <c r="AX48" s="285"/>
      <c r="AY48" s="285"/>
      <c r="AZ48" s="285"/>
      <c r="BA48" s="285"/>
      <c r="BB48" s="285"/>
      <c r="BC48" s="286"/>
      <c r="BD48" s="287"/>
      <c r="BE48" s="285"/>
      <c r="BF48" s="285"/>
      <c r="BG48" s="285"/>
      <c r="BH48" s="285"/>
      <c r="BI48" s="285"/>
      <c r="BJ48" s="286"/>
      <c r="BK48" s="252"/>
    </row>
    <row r="49" spans="1:63" ht="15" customHeight="1" x14ac:dyDescent="0.25">
      <c r="A49" s="251"/>
      <c r="B49" s="223"/>
      <c r="C49" s="221"/>
      <c r="D49" s="221"/>
      <c r="E49" s="221"/>
      <c r="F49" s="221"/>
      <c r="G49" s="222"/>
      <c r="H49" s="223"/>
      <c r="I49" s="221"/>
      <c r="J49" s="221"/>
      <c r="K49" s="221"/>
      <c r="L49" s="221"/>
      <c r="M49" s="221"/>
      <c r="N49" s="222"/>
      <c r="O49" s="223"/>
      <c r="P49" s="221"/>
      <c r="Q49" s="221"/>
      <c r="R49" s="221"/>
      <c r="S49" s="276"/>
      <c r="T49" s="277"/>
      <c r="U49" s="277"/>
      <c r="V49" s="277"/>
      <c r="W49" s="277"/>
      <c r="X49" s="277"/>
      <c r="Y49" s="277"/>
      <c r="Z49" s="277"/>
      <c r="AA49" s="277"/>
      <c r="AB49" s="277"/>
      <c r="AC49" s="277"/>
      <c r="AD49" s="277"/>
      <c r="AE49" s="277"/>
      <c r="AF49" s="277"/>
      <c r="AG49" s="277"/>
      <c r="AH49" s="277"/>
      <c r="AI49" s="277"/>
      <c r="AJ49" s="277"/>
      <c r="AK49" s="277"/>
      <c r="AL49" s="277"/>
      <c r="AM49" s="277"/>
      <c r="AN49" s="277"/>
      <c r="AO49" s="277"/>
      <c r="AP49" s="277"/>
      <c r="AQ49" s="277"/>
      <c r="AR49" s="277"/>
      <c r="AS49" s="277"/>
      <c r="AT49" s="277"/>
      <c r="AU49" s="277"/>
      <c r="AV49" s="277"/>
      <c r="AW49" s="278"/>
      <c r="AX49" s="279"/>
      <c r="AY49" s="279"/>
      <c r="AZ49" s="279"/>
      <c r="BA49" s="279"/>
      <c r="BB49" s="279"/>
      <c r="BC49" s="280"/>
      <c r="BD49" s="281"/>
      <c r="BE49" s="279"/>
      <c r="BF49" s="279"/>
      <c r="BG49" s="279"/>
      <c r="BH49" s="279"/>
      <c r="BI49" s="279"/>
      <c r="BJ49" s="280"/>
      <c r="BK49" s="252"/>
    </row>
    <row r="50" spans="1:63" ht="15" customHeight="1" x14ac:dyDescent="0.25">
      <c r="A50" s="251"/>
      <c r="B50" s="233"/>
      <c r="C50" s="234"/>
      <c r="D50" s="234"/>
      <c r="E50" s="234"/>
      <c r="F50" s="234"/>
      <c r="G50" s="235"/>
      <c r="H50" s="233"/>
      <c r="I50" s="234"/>
      <c r="J50" s="234"/>
      <c r="K50" s="234"/>
      <c r="L50" s="234"/>
      <c r="M50" s="234"/>
      <c r="N50" s="235"/>
      <c r="O50" s="233"/>
      <c r="P50" s="234"/>
      <c r="Q50" s="234"/>
      <c r="R50" s="234"/>
      <c r="S50" s="282"/>
      <c r="T50" s="283"/>
      <c r="U50" s="283"/>
      <c r="V50" s="283"/>
      <c r="W50" s="283"/>
      <c r="X50" s="283"/>
      <c r="Y50" s="283"/>
      <c r="Z50" s="283"/>
      <c r="AA50" s="283"/>
      <c r="AB50" s="283"/>
      <c r="AC50" s="283"/>
      <c r="AD50" s="283"/>
      <c r="AE50" s="283"/>
      <c r="AF50" s="283"/>
      <c r="AG50" s="283"/>
      <c r="AH50" s="283"/>
      <c r="AI50" s="283"/>
      <c r="AJ50" s="283"/>
      <c r="AK50" s="283"/>
      <c r="AL50" s="283"/>
      <c r="AM50" s="283"/>
      <c r="AN50" s="283"/>
      <c r="AO50" s="283"/>
      <c r="AP50" s="283"/>
      <c r="AQ50" s="283"/>
      <c r="AR50" s="283"/>
      <c r="AS50" s="283"/>
      <c r="AT50" s="283"/>
      <c r="AU50" s="283"/>
      <c r="AV50" s="283"/>
      <c r="AW50" s="284"/>
      <c r="AX50" s="285"/>
      <c r="AY50" s="285"/>
      <c r="AZ50" s="285"/>
      <c r="BA50" s="285"/>
      <c r="BB50" s="285"/>
      <c r="BC50" s="286"/>
      <c r="BD50" s="287"/>
      <c r="BE50" s="285"/>
      <c r="BF50" s="285"/>
      <c r="BG50" s="285"/>
      <c r="BH50" s="285"/>
      <c r="BI50" s="285"/>
      <c r="BJ50" s="286"/>
      <c r="BK50" s="252"/>
    </row>
    <row r="51" spans="1:63" ht="15" customHeight="1" x14ac:dyDescent="0.25">
      <c r="A51" s="251"/>
      <c r="B51" s="223"/>
      <c r="C51" s="221"/>
      <c r="D51" s="221"/>
      <c r="E51" s="221"/>
      <c r="F51" s="221"/>
      <c r="G51" s="222"/>
      <c r="H51" s="223"/>
      <c r="I51" s="221"/>
      <c r="J51" s="221"/>
      <c r="K51" s="221"/>
      <c r="L51" s="221"/>
      <c r="M51" s="221"/>
      <c r="N51" s="222"/>
      <c r="O51" s="223"/>
      <c r="P51" s="221"/>
      <c r="Q51" s="221"/>
      <c r="R51" s="221"/>
      <c r="S51" s="276"/>
      <c r="T51" s="277"/>
      <c r="U51" s="277"/>
      <c r="V51" s="277"/>
      <c r="W51" s="277"/>
      <c r="X51" s="277"/>
      <c r="Y51" s="277"/>
      <c r="Z51" s="277"/>
      <c r="AA51" s="277"/>
      <c r="AB51" s="277"/>
      <c r="AC51" s="277"/>
      <c r="AD51" s="277"/>
      <c r="AE51" s="277"/>
      <c r="AF51" s="277"/>
      <c r="AG51" s="277"/>
      <c r="AH51" s="277"/>
      <c r="AI51" s="277"/>
      <c r="AJ51" s="277"/>
      <c r="AK51" s="277"/>
      <c r="AL51" s="277"/>
      <c r="AM51" s="277"/>
      <c r="AN51" s="277"/>
      <c r="AO51" s="277"/>
      <c r="AP51" s="277"/>
      <c r="AQ51" s="277"/>
      <c r="AR51" s="277"/>
      <c r="AS51" s="277"/>
      <c r="AT51" s="277"/>
      <c r="AU51" s="277"/>
      <c r="AV51" s="277"/>
      <c r="AW51" s="278"/>
      <c r="AX51" s="279"/>
      <c r="AY51" s="279"/>
      <c r="AZ51" s="279"/>
      <c r="BA51" s="279"/>
      <c r="BB51" s="279"/>
      <c r="BC51" s="280"/>
      <c r="BD51" s="281"/>
      <c r="BE51" s="279"/>
      <c r="BF51" s="279"/>
      <c r="BG51" s="279"/>
      <c r="BH51" s="279"/>
      <c r="BI51" s="279"/>
      <c r="BJ51" s="280"/>
      <c r="BK51" s="252"/>
    </row>
    <row r="52" spans="1:63" ht="15" customHeight="1" x14ac:dyDescent="0.25">
      <c r="A52" s="251"/>
      <c r="B52" s="233"/>
      <c r="C52" s="234"/>
      <c r="D52" s="234"/>
      <c r="E52" s="234"/>
      <c r="F52" s="234"/>
      <c r="G52" s="235"/>
      <c r="H52" s="233"/>
      <c r="I52" s="234"/>
      <c r="J52" s="234"/>
      <c r="K52" s="234"/>
      <c r="L52" s="234"/>
      <c r="M52" s="234"/>
      <c r="N52" s="235"/>
      <c r="O52" s="233"/>
      <c r="P52" s="234"/>
      <c r="Q52" s="234"/>
      <c r="R52" s="234"/>
      <c r="S52" s="282"/>
      <c r="T52" s="283"/>
      <c r="U52" s="283"/>
      <c r="V52" s="283"/>
      <c r="W52" s="283"/>
      <c r="X52" s="283"/>
      <c r="Y52" s="283"/>
      <c r="Z52" s="283"/>
      <c r="AA52" s="283"/>
      <c r="AB52" s="283"/>
      <c r="AC52" s="283"/>
      <c r="AD52" s="283"/>
      <c r="AE52" s="283"/>
      <c r="AF52" s="283"/>
      <c r="AG52" s="283"/>
      <c r="AH52" s="283"/>
      <c r="AI52" s="283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83"/>
      <c r="AU52" s="283"/>
      <c r="AV52" s="283"/>
      <c r="AW52" s="284"/>
      <c r="AX52" s="285"/>
      <c r="AY52" s="285"/>
      <c r="AZ52" s="285"/>
      <c r="BA52" s="285"/>
      <c r="BB52" s="285"/>
      <c r="BC52" s="286"/>
      <c r="BD52" s="287"/>
      <c r="BE52" s="285"/>
      <c r="BF52" s="285"/>
      <c r="BG52" s="285"/>
      <c r="BH52" s="285"/>
      <c r="BI52" s="285"/>
      <c r="BJ52" s="286"/>
      <c r="BK52" s="252"/>
    </row>
    <row r="53" spans="1:63" ht="15" customHeight="1" x14ac:dyDescent="0.25">
      <c r="A53" s="251"/>
      <c r="B53" s="223"/>
      <c r="C53" s="221"/>
      <c r="D53" s="221"/>
      <c r="E53" s="221"/>
      <c r="F53" s="221"/>
      <c r="G53" s="222"/>
      <c r="H53" s="223"/>
      <c r="I53" s="221"/>
      <c r="J53" s="221"/>
      <c r="K53" s="221"/>
      <c r="L53" s="221"/>
      <c r="M53" s="221"/>
      <c r="N53" s="222"/>
      <c r="O53" s="223"/>
      <c r="P53" s="221"/>
      <c r="Q53" s="221"/>
      <c r="R53" s="221"/>
      <c r="S53" s="276"/>
      <c r="T53" s="277"/>
      <c r="U53" s="277"/>
      <c r="V53" s="277"/>
      <c r="W53" s="277"/>
      <c r="X53" s="277"/>
      <c r="Y53" s="277"/>
      <c r="Z53" s="277"/>
      <c r="AA53" s="277"/>
      <c r="AB53" s="277"/>
      <c r="AC53" s="277"/>
      <c r="AD53" s="277"/>
      <c r="AE53" s="277"/>
      <c r="AF53" s="277"/>
      <c r="AG53" s="277"/>
      <c r="AH53" s="277"/>
      <c r="AI53" s="277"/>
      <c r="AJ53" s="277"/>
      <c r="AK53" s="277"/>
      <c r="AL53" s="277"/>
      <c r="AM53" s="277"/>
      <c r="AN53" s="277"/>
      <c r="AO53" s="277"/>
      <c r="AP53" s="277"/>
      <c r="AQ53" s="277"/>
      <c r="AR53" s="277"/>
      <c r="AS53" s="277"/>
      <c r="AT53" s="277"/>
      <c r="AU53" s="277"/>
      <c r="AV53" s="277"/>
      <c r="AW53" s="278"/>
      <c r="AX53" s="279"/>
      <c r="AY53" s="279"/>
      <c r="AZ53" s="279"/>
      <c r="BA53" s="279"/>
      <c r="BB53" s="279"/>
      <c r="BC53" s="280"/>
      <c r="BD53" s="281"/>
      <c r="BE53" s="279"/>
      <c r="BF53" s="279"/>
      <c r="BG53" s="279"/>
      <c r="BH53" s="279"/>
      <c r="BI53" s="279"/>
      <c r="BJ53" s="280"/>
      <c r="BK53" s="252"/>
    </row>
    <row r="54" spans="1:63" ht="15" customHeight="1" x14ac:dyDescent="0.25">
      <c r="A54" s="251"/>
      <c r="B54" s="233"/>
      <c r="C54" s="234"/>
      <c r="D54" s="234"/>
      <c r="E54" s="234"/>
      <c r="F54" s="234"/>
      <c r="G54" s="235"/>
      <c r="H54" s="233"/>
      <c r="I54" s="234"/>
      <c r="J54" s="234"/>
      <c r="K54" s="234"/>
      <c r="L54" s="234"/>
      <c r="M54" s="234"/>
      <c r="N54" s="235"/>
      <c r="O54" s="233"/>
      <c r="P54" s="234"/>
      <c r="Q54" s="234"/>
      <c r="R54" s="234"/>
      <c r="S54" s="282"/>
      <c r="T54" s="283"/>
      <c r="U54" s="283"/>
      <c r="V54" s="283"/>
      <c r="W54" s="283"/>
      <c r="X54" s="283"/>
      <c r="Y54" s="283"/>
      <c r="Z54" s="283"/>
      <c r="AA54" s="283"/>
      <c r="AB54" s="283"/>
      <c r="AC54" s="283"/>
      <c r="AD54" s="283"/>
      <c r="AE54" s="283"/>
      <c r="AF54" s="283"/>
      <c r="AG54" s="283"/>
      <c r="AH54" s="283"/>
      <c r="AI54" s="283"/>
      <c r="AJ54" s="283"/>
      <c r="AK54" s="283"/>
      <c r="AL54" s="283"/>
      <c r="AM54" s="283"/>
      <c r="AN54" s="283"/>
      <c r="AO54" s="283"/>
      <c r="AP54" s="283"/>
      <c r="AQ54" s="283"/>
      <c r="AR54" s="283"/>
      <c r="AS54" s="283"/>
      <c r="AT54" s="283"/>
      <c r="AU54" s="283"/>
      <c r="AV54" s="283"/>
      <c r="AW54" s="284"/>
      <c r="AX54" s="285"/>
      <c r="AY54" s="285"/>
      <c r="AZ54" s="285"/>
      <c r="BA54" s="285"/>
      <c r="BB54" s="285"/>
      <c r="BC54" s="286"/>
      <c r="BD54" s="287"/>
      <c r="BE54" s="285"/>
      <c r="BF54" s="285"/>
      <c r="BG54" s="285"/>
      <c r="BH54" s="285"/>
      <c r="BI54" s="285"/>
      <c r="BJ54" s="286"/>
      <c r="BK54" s="252"/>
    </row>
    <row r="55" spans="1:63" ht="15" customHeight="1" x14ac:dyDescent="0.25">
      <c r="A55" s="248"/>
      <c r="B55" s="249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/>
      <c r="W55" s="249"/>
      <c r="X55" s="249"/>
      <c r="Y55" s="249"/>
      <c r="Z55" s="249"/>
      <c r="AA55" s="249"/>
      <c r="AB55" s="249"/>
      <c r="AC55" s="249"/>
      <c r="AD55" s="249"/>
      <c r="AE55" s="249"/>
      <c r="AF55" s="249"/>
      <c r="AG55" s="249"/>
      <c r="AH55" s="249"/>
      <c r="AI55" s="249"/>
      <c r="AJ55" s="249"/>
      <c r="AK55" s="249"/>
      <c r="AL55" s="249"/>
      <c r="AM55" s="249"/>
      <c r="AN55" s="249"/>
      <c r="AO55" s="249"/>
      <c r="AP55" s="249"/>
      <c r="AQ55" s="249"/>
      <c r="AR55" s="249"/>
      <c r="AS55" s="249"/>
      <c r="AT55" s="249"/>
      <c r="AU55" s="249"/>
      <c r="AV55" s="249"/>
      <c r="AW55" s="249"/>
      <c r="AX55" s="249"/>
      <c r="AY55" s="249"/>
      <c r="AZ55" s="249"/>
      <c r="BA55" s="249"/>
      <c r="BB55" s="249"/>
      <c r="BC55" s="249"/>
      <c r="BD55" s="249"/>
      <c r="BE55" s="249"/>
      <c r="BF55" s="249"/>
      <c r="BG55" s="249"/>
      <c r="BH55" s="249"/>
      <c r="BI55" s="249"/>
      <c r="BJ55" s="249"/>
      <c r="BK55" s="250"/>
    </row>
  </sheetData>
  <mergeCells count="180"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3802B-6936-45AA-9757-87208EB57C51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88" t="s">
        <v>118</v>
      </c>
      <c r="B1" s="289"/>
      <c r="C1" s="289"/>
      <c r="D1" s="289"/>
      <c r="E1" s="289"/>
      <c r="F1" s="289"/>
      <c r="G1" s="289"/>
      <c r="H1" s="289"/>
      <c r="I1" s="289"/>
      <c r="J1" s="290"/>
      <c r="K1" s="288" t="s">
        <v>119</v>
      </c>
      <c r="L1" s="289"/>
      <c r="M1" s="289"/>
      <c r="N1" s="289"/>
      <c r="O1" s="289"/>
      <c r="P1" s="289"/>
      <c r="Q1" s="289"/>
      <c r="R1" s="289"/>
      <c r="S1" s="289"/>
      <c r="T1" s="289"/>
      <c r="U1" s="289"/>
      <c r="V1" s="290"/>
      <c r="W1" s="291" t="str">
        <f>IF(表紙!W1="","",表紙!W1)</f>
        <v>詳細設計書</v>
      </c>
      <c r="X1" s="292"/>
      <c r="Y1" s="292"/>
      <c r="Z1" s="292"/>
      <c r="AA1" s="292"/>
      <c r="AB1" s="292"/>
      <c r="AC1" s="292"/>
      <c r="AD1" s="292"/>
      <c r="AE1" s="292"/>
      <c r="AF1" s="292"/>
      <c r="AG1" s="292"/>
      <c r="AH1" s="292"/>
      <c r="AI1" s="292"/>
      <c r="AJ1" s="292"/>
      <c r="AK1" s="292"/>
      <c r="AL1" s="292"/>
      <c r="AM1" s="292"/>
      <c r="AN1" s="292"/>
      <c r="AO1" s="293"/>
      <c r="AP1" s="214" t="s">
        <v>121</v>
      </c>
      <c r="AQ1" s="215"/>
      <c r="AR1" s="215"/>
      <c r="AS1" s="216"/>
      <c r="AT1" s="214" t="s">
        <v>122</v>
      </c>
      <c r="AU1" s="215"/>
      <c r="AV1" s="215"/>
      <c r="AW1" s="215"/>
      <c r="AX1" s="216"/>
      <c r="AY1" s="214" t="s">
        <v>123</v>
      </c>
      <c r="AZ1" s="215"/>
      <c r="BA1" s="215"/>
      <c r="BB1" s="216"/>
      <c r="BC1" s="214" t="s">
        <v>124</v>
      </c>
      <c r="BD1" s="215"/>
      <c r="BE1" s="215"/>
      <c r="BF1" s="215"/>
      <c r="BG1" s="216"/>
      <c r="BH1" s="214" t="s">
        <v>125</v>
      </c>
      <c r="BI1" s="215"/>
      <c r="BJ1" s="215"/>
      <c r="BK1" s="216"/>
    </row>
    <row r="2" spans="1:63" ht="15" customHeight="1" x14ac:dyDescent="0.25">
      <c r="A2" s="104" t="str">
        <f>IF(表紙!A2="","",表紙!A2)</f>
        <v>POSサーバー</v>
      </c>
      <c r="B2" s="105"/>
      <c r="C2" s="105"/>
      <c r="D2" s="105"/>
      <c r="E2" s="105"/>
      <c r="F2" s="105"/>
      <c r="G2" s="105"/>
      <c r="H2" s="105"/>
      <c r="I2" s="105"/>
      <c r="J2" s="106"/>
      <c r="K2" s="104" t="str">
        <f>IF(表紙!K2="","",表紙!K2)</f>
        <v>POSサーバー</v>
      </c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6"/>
      <c r="W2" s="294"/>
      <c r="X2" s="295"/>
      <c r="Y2" s="295"/>
      <c r="Z2" s="295"/>
      <c r="AA2" s="295"/>
      <c r="AB2" s="295"/>
      <c r="AC2" s="295"/>
      <c r="AD2" s="295"/>
      <c r="AE2" s="295"/>
      <c r="AF2" s="295"/>
      <c r="AG2" s="295"/>
      <c r="AH2" s="295"/>
      <c r="AI2" s="295"/>
      <c r="AJ2" s="295"/>
      <c r="AK2" s="295"/>
      <c r="AL2" s="295"/>
      <c r="AM2" s="295"/>
      <c r="AN2" s="295"/>
      <c r="AO2" s="296"/>
      <c r="AP2" s="223" t="str">
        <f>IF(表紙!AP2="","",表紙!AP2)</f>
        <v>DuNT</v>
      </c>
      <c r="AQ2" s="221"/>
      <c r="AR2" s="221"/>
      <c r="AS2" s="222"/>
      <c r="AT2" s="227">
        <f>IF(表紙!AT2="","",表紙!AT2)</f>
        <v>45477</v>
      </c>
      <c r="AU2" s="228"/>
      <c r="AV2" s="228"/>
      <c r="AW2" s="228"/>
      <c r="AX2" s="229"/>
      <c r="AY2" s="223" t="str">
        <f>IF(表紙!AY2="","",表紙!AY2)</f>
        <v>LoiLV</v>
      </c>
      <c r="AZ2" s="221"/>
      <c r="BA2" s="221"/>
      <c r="BB2" s="222"/>
      <c r="BC2" s="227">
        <f>IF(表紙!BC2="","",表紙!BC2)</f>
        <v>45964</v>
      </c>
      <c r="BD2" s="228"/>
      <c r="BE2" s="228"/>
      <c r="BF2" s="228"/>
      <c r="BG2" s="229"/>
      <c r="BH2" s="223">
        <f>IF(表紙!BH2="","",表紙!BH2)</f>
        <v>0.53</v>
      </c>
      <c r="BI2" s="221"/>
      <c r="BJ2" s="221"/>
      <c r="BK2" s="222"/>
    </row>
    <row r="3" spans="1:63" ht="15" customHeight="1" x14ac:dyDescent="0.25">
      <c r="A3" s="107"/>
      <c r="B3" s="108"/>
      <c r="C3" s="108"/>
      <c r="D3" s="108"/>
      <c r="E3" s="108"/>
      <c r="F3" s="108"/>
      <c r="G3" s="108"/>
      <c r="H3" s="108"/>
      <c r="I3" s="108"/>
      <c r="J3" s="109"/>
      <c r="K3" s="107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9"/>
      <c r="W3" s="297"/>
      <c r="X3" s="298"/>
      <c r="Y3" s="298"/>
      <c r="Z3" s="298"/>
      <c r="AA3" s="298"/>
      <c r="AB3" s="298"/>
      <c r="AC3" s="298"/>
      <c r="AD3" s="298"/>
      <c r="AE3" s="298"/>
      <c r="AF3" s="298"/>
      <c r="AG3" s="298"/>
      <c r="AH3" s="298"/>
      <c r="AI3" s="298"/>
      <c r="AJ3" s="298"/>
      <c r="AK3" s="298"/>
      <c r="AL3" s="298"/>
      <c r="AM3" s="298"/>
      <c r="AN3" s="298"/>
      <c r="AO3" s="299"/>
      <c r="AP3" s="233"/>
      <c r="AQ3" s="234"/>
      <c r="AR3" s="234"/>
      <c r="AS3" s="235"/>
      <c r="AT3" s="239"/>
      <c r="AU3" s="240"/>
      <c r="AV3" s="240"/>
      <c r="AW3" s="240"/>
      <c r="AX3" s="241"/>
      <c r="AY3" s="233"/>
      <c r="AZ3" s="234"/>
      <c r="BA3" s="234"/>
      <c r="BB3" s="235"/>
      <c r="BC3" s="239"/>
      <c r="BD3" s="240"/>
      <c r="BE3" s="240"/>
      <c r="BF3" s="240"/>
      <c r="BG3" s="241"/>
      <c r="BH3" s="233"/>
      <c r="BI3" s="234"/>
      <c r="BJ3" s="234"/>
      <c r="BK3" s="235"/>
    </row>
    <row r="4" spans="1:63" ht="24.95" customHeight="1" x14ac:dyDescent="0.25">
      <c r="A4" s="288" t="s">
        <v>127</v>
      </c>
      <c r="B4" s="289"/>
      <c r="C4" s="289"/>
      <c r="D4" s="289"/>
      <c r="E4" s="289"/>
      <c r="F4" s="289"/>
      <c r="G4" s="290"/>
      <c r="H4" s="110" t="str">
        <f>IF(表紙!H4="","",表紙!H4)</f>
        <v>AP1508</v>
      </c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2"/>
      <c r="U4" s="288" t="s">
        <v>128</v>
      </c>
      <c r="V4" s="289"/>
      <c r="W4" s="289"/>
      <c r="X4" s="289"/>
      <c r="Y4" s="290"/>
      <c r="Z4" s="110" t="str">
        <f>IF(表紙!Z4="","",表紙!Z4)</f>
        <v>API設計書</v>
      </c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2"/>
      <c r="AP4" s="113" t="str">
        <f ca="1">MID(CELL("filename",A1),FIND("]",CELL("filename",A1))+1,255)</f>
        <v>処理フロー凡例</v>
      </c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20" customFormat="1" ht="15" customHeight="1" x14ac:dyDescent="0.25">
      <c r="A7" s="300"/>
      <c r="B7" s="301" t="s">
        <v>146</v>
      </c>
      <c r="C7" s="302"/>
      <c r="D7" s="302"/>
      <c r="E7" s="302"/>
      <c r="F7" s="302"/>
      <c r="G7" s="302"/>
      <c r="H7" s="302"/>
      <c r="I7" s="302"/>
      <c r="J7" s="302"/>
      <c r="K7" s="302"/>
      <c r="L7" s="302"/>
      <c r="M7" s="302"/>
      <c r="N7" s="302"/>
      <c r="O7" s="302"/>
      <c r="P7" s="302"/>
      <c r="Q7" s="302"/>
      <c r="R7" s="302"/>
      <c r="S7" s="302"/>
      <c r="T7" s="302"/>
      <c r="U7" s="302"/>
      <c r="V7" s="302"/>
      <c r="W7" s="302"/>
      <c r="X7" s="302"/>
      <c r="Y7" s="302"/>
      <c r="Z7" s="302"/>
      <c r="AA7" s="302"/>
      <c r="AB7" s="302"/>
      <c r="AC7" s="302"/>
      <c r="AD7" s="302"/>
      <c r="AE7" s="303"/>
      <c r="AF7" s="304"/>
      <c r="AG7" s="302"/>
      <c r="AH7" s="302"/>
      <c r="AI7" s="302"/>
      <c r="AJ7" s="302"/>
      <c r="AK7" s="302"/>
      <c r="AL7" s="302"/>
      <c r="AM7" s="302"/>
      <c r="AN7" s="302"/>
      <c r="AO7" s="302"/>
      <c r="AP7" s="302"/>
      <c r="AQ7" s="302"/>
      <c r="AR7" s="302"/>
      <c r="AS7" s="302"/>
      <c r="AT7" s="302"/>
      <c r="AU7" s="302"/>
      <c r="AV7" s="302"/>
      <c r="AW7" s="302"/>
      <c r="AX7" s="302"/>
      <c r="AY7" s="302"/>
      <c r="AZ7" s="302"/>
      <c r="BA7" s="302"/>
      <c r="BB7" s="302"/>
      <c r="BC7" s="302"/>
      <c r="BD7" s="302"/>
      <c r="BE7" s="302"/>
      <c r="BF7" s="302"/>
      <c r="BG7" s="302"/>
      <c r="BH7" s="302"/>
      <c r="BI7" s="303"/>
      <c r="BJ7" s="302"/>
      <c r="BK7" s="305"/>
    </row>
    <row r="8" spans="1:63" s="306" customFormat="1" ht="15" customHeight="1" x14ac:dyDescent="0.25">
      <c r="BK8" s="305"/>
    </row>
    <row r="9" spans="1:63" s="306" customFormat="1" ht="15" customHeight="1" x14ac:dyDescent="0.25">
      <c r="BK9" s="305"/>
    </row>
    <row r="10" spans="1:63" s="306" customFormat="1" ht="15" customHeight="1" x14ac:dyDescent="0.25">
      <c r="BK10" s="305"/>
    </row>
    <row r="11" spans="1:63" s="306" customFormat="1" ht="15" customHeight="1" x14ac:dyDescent="0.25">
      <c r="BK11" s="305"/>
    </row>
    <row r="12" spans="1:63" s="306" customFormat="1" ht="15" customHeight="1" x14ac:dyDescent="0.25">
      <c r="BK12" s="305"/>
    </row>
    <row r="13" spans="1:63" s="306" customFormat="1" ht="15" customHeight="1" x14ac:dyDescent="0.25">
      <c r="BK13" s="305"/>
    </row>
    <row r="14" spans="1:63" s="306" customFormat="1" ht="15" customHeight="1" x14ac:dyDescent="0.25">
      <c r="BK14" s="305"/>
    </row>
    <row r="15" spans="1:63" s="306" customFormat="1" ht="15" customHeight="1" x14ac:dyDescent="0.25">
      <c r="BK15" s="305"/>
    </row>
    <row r="16" spans="1:63" s="306" customFormat="1" ht="15" customHeight="1" x14ac:dyDescent="0.25">
      <c r="BK16" s="305"/>
    </row>
    <row r="17" spans="63:63" s="306" customFormat="1" ht="15" customHeight="1" x14ac:dyDescent="0.25">
      <c r="BK17" s="305"/>
    </row>
    <row r="18" spans="63:63" s="306" customFormat="1" ht="15" customHeight="1" x14ac:dyDescent="0.25">
      <c r="BK18" s="305"/>
    </row>
    <row r="19" spans="63:63" s="306" customFormat="1" ht="15" customHeight="1" x14ac:dyDescent="0.25">
      <c r="BK19" s="305"/>
    </row>
    <row r="20" spans="63:63" s="306" customFormat="1" ht="15" customHeight="1" x14ac:dyDescent="0.25">
      <c r="BK20" s="305"/>
    </row>
    <row r="21" spans="63:63" s="306" customFormat="1" ht="15" customHeight="1" x14ac:dyDescent="0.25">
      <c r="BK21" s="305"/>
    </row>
    <row r="22" spans="63:63" s="306" customFormat="1" ht="15" customHeight="1" x14ac:dyDescent="0.25">
      <c r="BK22" s="305"/>
    </row>
    <row r="23" spans="63:63" s="306" customFormat="1" ht="15" customHeight="1" x14ac:dyDescent="0.25">
      <c r="BK23" s="305"/>
    </row>
    <row r="24" spans="63:63" s="306" customFormat="1" ht="15" customHeight="1" x14ac:dyDescent="0.25">
      <c r="BK24" s="305"/>
    </row>
    <row r="25" spans="63:63" s="306" customFormat="1" ht="15" customHeight="1" x14ac:dyDescent="0.25">
      <c r="BK25" s="305"/>
    </row>
    <row r="26" spans="63:63" s="306" customFormat="1" ht="15" customHeight="1" x14ac:dyDescent="0.25">
      <c r="BK26" s="305"/>
    </row>
    <row r="27" spans="63:63" s="306" customFormat="1" ht="15" customHeight="1" x14ac:dyDescent="0.25">
      <c r="BK27" s="305"/>
    </row>
    <row r="28" spans="63:63" s="306" customFormat="1" ht="15" customHeight="1" x14ac:dyDescent="0.25">
      <c r="BK28" s="305"/>
    </row>
    <row r="29" spans="63:63" s="306" customFormat="1" ht="15" customHeight="1" x14ac:dyDescent="0.25">
      <c r="BK29" s="305"/>
    </row>
    <row r="30" spans="63:63" s="306" customFormat="1" ht="15" customHeight="1" x14ac:dyDescent="0.25">
      <c r="BK30" s="305"/>
    </row>
    <row r="31" spans="63:63" s="306" customFormat="1" ht="15" customHeight="1" x14ac:dyDescent="0.25">
      <c r="BK31" s="305"/>
    </row>
    <row r="32" spans="63:63" s="306" customFormat="1" ht="15" customHeight="1" x14ac:dyDescent="0.25">
      <c r="BK32" s="305"/>
    </row>
    <row r="33" spans="63:63" s="306" customFormat="1" ht="15" customHeight="1" x14ac:dyDescent="0.25">
      <c r="BK33" s="305"/>
    </row>
    <row r="34" spans="63:63" s="306" customFormat="1" ht="15" customHeight="1" x14ac:dyDescent="0.25">
      <c r="BK34" s="305"/>
    </row>
    <row r="35" spans="63:63" s="306" customFormat="1" ht="15" customHeight="1" x14ac:dyDescent="0.25">
      <c r="BK35" s="305"/>
    </row>
    <row r="36" spans="63:63" s="306" customFormat="1" ht="15" customHeight="1" x14ac:dyDescent="0.25">
      <c r="BK36" s="305"/>
    </row>
    <row r="37" spans="63:63" s="306" customFormat="1" ht="15" customHeight="1" x14ac:dyDescent="0.25">
      <c r="BK37" s="305"/>
    </row>
    <row r="38" spans="63:63" s="306" customFormat="1" ht="15" customHeight="1" x14ac:dyDescent="0.25">
      <c r="BK38" s="305"/>
    </row>
    <row r="39" spans="63:63" s="306" customFormat="1" ht="15" customHeight="1" x14ac:dyDescent="0.25">
      <c r="BK39" s="305"/>
    </row>
    <row r="40" spans="63:63" s="306" customFormat="1" ht="15" customHeight="1" x14ac:dyDescent="0.25">
      <c r="BK40" s="305"/>
    </row>
    <row r="41" spans="63:63" s="306" customFormat="1" ht="15" customHeight="1" x14ac:dyDescent="0.25">
      <c r="BK41" s="305"/>
    </row>
    <row r="42" spans="63:63" s="306" customFormat="1" ht="15" customHeight="1" x14ac:dyDescent="0.25">
      <c r="BK42" s="305"/>
    </row>
    <row r="43" spans="63:63" s="306" customFormat="1" ht="15" customHeight="1" x14ac:dyDescent="0.25">
      <c r="BK43" s="305"/>
    </row>
    <row r="44" spans="63:63" s="306" customFormat="1" ht="15" customHeight="1" x14ac:dyDescent="0.25">
      <c r="BK44" s="305"/>
    </row>
    <row r="45" spans="63:63" s="306" customFormat="1" ht="15" customHeight="1" x14ac:dyDescent="0.25">
      <c r="BK45" s="305"/>
    </row>
    <row r="46" spans="63:63" s="306" customFormat="1" ht="15" customHeight="1" x14ac:dyDescent="0.25">
      <c r="BK46" s="305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tabColor rgb="FF7030A0"/>
    <pageSetUpPr fitToPage="1"/>
  </sheetPr>
  <dimension ref="A1:BK131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88" t="s">
        <v>118</v>
      </c>
      <c r="B1" s="289"/>
      <c r="C1" s="289"/>
      <c r="D1" s="289"/>
      <c r="E1" s="289"/>
      <c r="F1" s="289"/>
      <c r="G1" s="289"/>
      <c r="H1" s="289"/>
      <c r="I1" s="289"/>
      <c r="J1" s="290"/>
      <c r="K1" s="288" t="s">
        <v>119</v>
      </c>
      <c r="L1" s="289"/>
      <c r="M1" s="289"/>
      <c r="N1" s="289"/>
      <c r="O1" s="289"/>
      <c r="P1" s="289"/>
      <c r="Q1" s="289"/>
      <c r="R1" s="289"/>
      <c r="S1" s="289"/>
      <c r="T1" s="289"/>
      <c r="U1" s="289"/>
      <c r="V1" s="290"/>
      <c r="W1" s="291" t="str">
        <f>IF(表紙!W1="","",表紙!W1)</f>
        <v>詳細設計書</v>
      </c>
      <c r="X1" s="292"/>
      <c r="Y1" s="292"/>
      <c r="Z1" s="292"/>
      <c r="AA1" s="292"/>
      <c r="AB1" s="292"/>
      <c r="AC1" s="292"/>
      <c r="AD1" s="292"/>
      <c r="AE1" s="292"/>
      <c r="AF1" s="292"/>
      <c r="AG1" s="292"/>
      <c r="AH1" s="292"/>
      <c r="AI1" s="292"/>
      <c r="AJ1" s="292"/>
      <c r="AK1" s="292"/>
      <c r="AL1" s="292"/>
      <c r="AM1" s="292"/>
      <c r="AN1" s="292"/>
      <c r="AO1" s="293"/>
      <c r="AP1" s="214" t="s">
        <v>121</v>
      </c>
      <c r="AQ1" s="215"/>
      <c r="AR1" s="215"/>
      <c r="AS1" s="216"/>
      <c r="AT1" s="214" t="s">
        <v>122</v>
      </c>
      <c r="AU1" s="215"/>
      <c r="AV1" s="215"/>
      <c r="AW1" s="215"/>
      <c r="AX1" s="216"/>
      <c r="AY1" s="214" t="s">
        <v>123</v>
      </c>
      <c r="AZ1" s="215"/>
      <c r="BA1" s="215"/>
      <c r="BB1" s="216"/>
      <c r="BC1" s="214" t="s">
        <v>124</v>
      </c>
      <c r="BD1" s="215"/>
      <c r="BE1" s="215"/>
      <c r="BF1" s="215"/>
      <c r="BG1" s="216"/>
      <c r="BH1" s="214" t="s">
        <v>125</v>
      </c>
      <c r="BI1" s="215"/>
      <c r="BJ1" s="215"/>
      <c r="BK1" s="216"/>
    </row>
    <row r="2" spans="1:63" ht="15" customHeight="1" x14ac:dyDescent="0.25">
      <c r="A2" s="104" t="str">
        <f>IF(表紙!A2="","",表紙!A2)</f>
        <v>POSサーバー</v>
      </c>
      <c r="B2" s="105"/>
      <c r="C2" s="105"/>
      <c r="D2" s="105"/>
      <c r="E2" s="105"/>
      <c r="F2" s="105"/>
      <c r="G2" s="105"/>
      <c r="H2" s="105"/>
      <c r="I2" s="105"/>
      <c r="J2" s="106"/>
      <c r="K2" s="104" t="str">
        <f>IF(表紙!K2="","",表紙!K2)</f>
        <v>POSサーバー</v>
      </c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6"/>
      <c r="W2" s="294"/>
      <c r="X2" s="295"/>
      <c r="Y2" s="295"/>
      <c r="Z2" s="295"/>
      <c r="AA2" s="295"/>
      <c r="AB2" s="295"/>
      <c r="AC2" s="295"/>
      <c r="AD2" s="295"/>
      <c r="AE2" s="295"/>
      <c r="AF2" s="295"/>
      <c r="AG2" s="295"/>
      <c r="AH2" s="295"/>
      <c r="AI2" s="295"/>
      <c r="AJ2" s="295"/>
      <c r="AK2" s="295"/>
      <c r="AL2" s="295"/>
      <c r="AM2" s="295"/>
      <c r="AN2" s="295"/>
      <c r="AO2" s="296"/>
      <c r="AP2" s="223" t="str">
        <f>IF(表紙!AP2="","",表紙!AP2)</f>
        <v>DuNT</v>
      </c>
      <c r="AQ2" s="221"/>
      <c r="AR2" s="221"/>
      <c r="AS2" s="222"/>
      <c r="AT2" s="227">
        <f>IF(表紙!AT2="","",表紙!AT2)</f>
        <v>45477</v>
      </c>
      <c r="AU2" s="228"/>
      <c r="AV2" s="228"/>
      <c r="AW2" s="228"/>
      <c r="AX2" s="229"/>
      <c r="AY2" s="223" t="str">
        <f>IF(表紙!AY2="","",表紙!AY2)</f>
        <v>LoiLV</v>
      </c>
      <c r="AZ2" s="221"/>
      <c r="BA2" s="221"/>
      <c r="BB2" s="222"/>
      <c r="BC2" s="227">
        <f>IF(表紙!BC2="","",表紙!BC2)</f>
        <v>45964</v>
      </c>
      <c r="BD2" s="228"/>
      <c r="BE2" s="228"/>
      <c r="BF2" s="228"/>
      <c r="BG2" s="229"/>
      <c r="BH2" s="223">
        <f>IF(表紙!BH2="","",表紙!BH2)</f>
        <v>0.53</v>
      </c>
      <c r="BI2" s="221"/>
      <c r="BJ2" s="221"/>
      <c r="BK2" s="222"/>
    </row>
    <row r="3" spans="1:63" ht="15" customHeight="1" x14ac:dyDescent="0.25">
      <c r="A3" s="107"/>
      <c r="B3" s="108"/>
      <c r="C3" s="108"/>
      <c r="D3" s="108"/>
      <c r="E3" s="108"/>
      <c r="F3" s="108"/>
      <c r="G3" s="108"/>
      <c r="H3" s="108"/>
      <c r="I3" s="108"/>
      <c r="J3" s="109"/>
      <c r="K3" s="107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9"/>
      <c r="W3" s="297"/>
      <c r="X3" s="298"/>
      <c r="Y3" s="298"/>
      <c r="Z3" s="298"/>
      <c r="AA3" s="298"/>
      <c r="AB3" s="298"/>
      <c r="AC3" s="298"/>
      <c r="AD3" s="298"/>
      <c r="AE3" s="298"/>
      <c r="AF3" s="298"/>
      <c r="AG3" s="298"/>
      <c r="AH3" s="298"/>
      <c r="AI3" s="298"/>
      <c r="AJ3" s="298"/>
      <c r="AK3" s="298"/>
      <c r="AL3" s="298"/>
      <c r="AM3" s="298"/>
      <c r="AN3" s="298"/>
      <c r="AO3" s="299"/>
      <c r="AP3" s="233"/>
      <c r="AQ3" s="234"/>
      <c r="AR3" s="234"/>
      <c r="AS3" s="235"/>
      <c r="AT3" s="239"/>
      <c r="AU3" s="240"/>
      <c r="AV3" s="240"/>
      <c r="AW3" s="240"/>
      <c r="AX3" s="241"/>
      <c r="AY3" s="233"/>
      <c r="AZ3" s="234"/>
      <c r="BA3" s="234"/>
      <c r="BB3" s="235"/>
      <c r="BC3" s="239"/>
      <c r="BD3" s="240"/>
      <c r="BE3" s="240"/>
      <c r="BF3" s="240"/>
      <c r="BG3" s="241"/>
      <c r="BH3" s="233"/>
      <c r="BI3" s="234"/>
      <c r="BJ3" s="234"/>
      <c r="BK3" s="235"/>
    </row>
    <row r="4" spans="1:63" ht="24.95" customHeight="1" x14ac:dyDescent="0.25">
      <c r="A4" s="288" t="s">
        <v>127</v>
      </c>
      <c r="B4" s="289"/>
      <c r="C4" s="289"/>
      <c r="D4" s="289"/>
      <c r="E4" s="289"/>
      <c r="F4" s="289"/>
      <c r="G4" s="290"/>
      <c r="H4" s="110" t="str">
        <f>IF(表紙!H4="","",表紙!H4)</f>
        <v>AP1508</v>
      </c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2"/>
      <c r="U4" s="288" t="s">
        <v>128</v>
      </c>
      <c r="V4" s="289"/>
      <c r="W4" s="289"/>
      <c r="X4" s="289"/>
      <c r="Y4" s="290"/>
      <c r="Z4" s="110" t="str">
        <f>IF(表紙!Z4="","",表紙!Z4)</f>
        <v>API設計書</v>
      </c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2"/>
      <c r="AP4" s="113" t="str">
        <f ca="1">MID(CELL("filename",A1),FIND("]",CELL("filename",A1))+1,255)</f>
        <v>AP1508</v>
      </c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18" customFormat="1" ht="15" customHeight="1" x14ac:dyDescent="0.25">
      <c r="A7" s="13"/>
      <c r="B7" s="14" t="s">
        <v>147</v>
      </c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307"/>
      <c r="AQ7" s="307"/>
      <c r="AR7" s="307"/>
      <c r="AS7" s="307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6"/>
      <c r="BI7" s="16"/>
      <c r="BJ7" s="16"/>
      <c r="BK7" s="17"/>
    </row>
    <row r="8" spans="1:63" s="18" customFormat="1" ht="15" customHeight="1" x14ac:dyDescent="0.25">
      <c r="A8" s="13"/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308"/>
      <c r="AQ8" s="308"/>
      <c r="AR8" s="308"/>
      <c r="AS8" s="308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1"/>
      <c r="BI8" s="21"/>
      <c r="BJ8" s="21"/>
      <c r="BK8" s="17"/>
    </row>
    <row r="9" spans="1:63" s="18" customFormat="1" ht="15" customHeight="1" x14ac:dyDescent="0.25">
      <c r="A9" s="13"/>
      <c r="B9" s="19"/>
      <c r="C9" s="20" t="s">
        <v>31</v>
      </c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308"/>
      <c r="AQ9" s="308"/>
      <c r="AR9" s="308"/>
      <c r="AS9" s="308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1"/>
      <c r="BI9" s="21"/>
      <c r="BJ9" s="21"/>
      <c r="BK9" s="17"/>
    </row>
    <row r="10" spans="1:63" s="18" customFormat="1" ht="15" customHeight="1" x14ac:dyDescent="0.25">
      <c r="A10" s="13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1"/>
      <c r="BI10" s="21"/>
      <c r="BJ10" s="21"/>
      <c r="BK10" s="17"/>
    </row>
    <row r="11" spans="1:63" s="18" customFormat="1" ht="15" customHeight="1" x14ac:dyDescent="0.25">
      <c r="A11" s="13"/>
      <c r="B11" s="22" t="s">
        <v>148</v>
      </c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6"/>
      <c r="BI11" s="16"/>
      <c r="BJ11" s="16"/>
      <c r="BK11" s="17"/>
    </row>
    <row r="12" spans="1:63" s="18" customFormat="1" ht="15" customHeight="1" x14ac:dyDescent="0.25">
      <c r="A12" s="13"/>
      <c r="B12" s="20"/>
      <c r="C12" s="23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1"/>
      <c r="BI12" s="21"/>
      <c r="BJ12" s="21"/>
      <c r="BK12" s="17"/>
    </row>
    <row r="13" spans="1:63" s="18" customFormat="1" ht="15" customHeight="1" x14ac:dyDescent="0.25">
      <c r="A13" s="13"/>
      <c r="B13" s="20"/>
      <c r="C13" s="23" t="s">
        <v>149</v>
      </c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1"/>
      <c r="BI13" s="21"/>
      <c r="BJ13" s="21"/>
      <c r="BK13" s="17"/>
    </row>
    <row r="14" spans="1:63" s="18" customFormat="1" ht="15" customHeight="1" x14ac:dyDescent="0.25">
      <c r="A14" s="13"/>
      <c r="B14" s="20"/>
      <c r="C14" s="19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1"/>
      <c r="BI14" s="21"/>
      <c r="BJ14" s="21"/>
      <c r="BK14" s="17"/>
    </row>
    <row r="15" spans="1:63" s="18" customFormat="1" ht="15" customHeight="1" x14ac:dyDescent="0.25">
      <c r="A15" s="13"/>
      <c r="B15" s="20"/>
      <c r="C15" s="153" t="s">
        <v>12</v>
      </c>
      <c r="D15" s="155"/>
      <c r="E15" s="153" t="s">
        <v>13</v>
      </c>
      <c r="F15" s="154"/>
      <c r="G15" s="154"/>
      <c r="H15" s="154"/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5"/>
      <c r="AG15" s="153" t="s">
        <v>14</v>
      </c>
      <c r="AH15" s="154"/>
      <c r="AI15" s="154"/>
      <c r="AJ15" s="154"/>
      <c r="AK15" s="154"/>
      <c r="AL15" s="154"/>
      <c r="AM15" s="154"/>
      <c r="AN15" s="154"/>
      <c r="AO15" s="154"/>
      <c r="AP15" s="155"/>
      <c r="AQ15" s="153" t="s">
        <v>15</v>
      </c>
      <c r="AR15" s="154"/>
      <c r="AS15" s="154"/>
      <c r="AT15" s="154"/>
      <c r="AU15" s="154"/>
      <c r="AV15" s="154"/>
      <c r="AW15" s="154"/>
      <c r="AX15" s="154"/>
      <c r="AY15" s="154"/>
      <c r="AZ15" s="154"/>
      <c r="BA15" s="154"/>
      <c r="BB15" s="154"/>
      <c r="BC15" s="154"/>
      <c r="BD15" s="154"/>
      <c r="BE15" s="154"/>
      <c r="BF15" s="154"/>
      <c r="BG15" s="154"/>
      <c r="BH15" s="154"/>
      <c r="BI15" s="154"/>
      <c r="BJ15" s="155"/>
      <c r="BK15" s="17"/>
    </row>
    <row r="16" spans="1:63" s="18" customFormat="1" ht="15" customHeight="1" x14ac:dyDescent="0.25">
      <c r="A16" s="13"/>
      <c r="B16" s="20"/>
      <c r="C16" s="114">
        <v>1</v>
      </c>
      <c r="D16" s="115"/>
      <c r="E16" s="309" t="s">
        <v>112</v>
      </c>
      <c r="F16" s="310"/>
      <c r="G16" s="310"/>
      <c r="H16" s="310"/>
      <c r="I16" s="310"/>
      <c r="J16" s="310"/>
      <c r="K16" s="310"/>
      <c r="L16" s="310"/>
      <c r="M16" s="310"/>
      <c r="N16" s="310"/>
      <c r="O16" s="310"/>
      <c r="P16" s="310"/>
      <c r="Q16" s="310"/>
      <c r="R16" s="310"/>
      <c r="S16" s="310"/>
      <c r="T16" s="310"/>
      <c r="U16" s="310"/>
      <c r="V16" s="310"/>
      <c r="W16" s="310"/>
      <c r="X16" s="310"/>
      <c r="Y16" s="310"/>
      <c r="Z16" s="310"/>
      <c r="AA16" s="310"/>
      <c r="AB16" s="310"/>
      <c r="AC16" s="310"/>
      <c r="AD16" s="310"/>
      <c r="AE16" s="310"/>
      <c r="AF16" s="311"/>
      <c r="AG16" s="114" t="s">
        <v>20</v>
      </c>
      <c r="AH16" s="131"/>
      <c r="AI16" s="131"/>
      <c r="AJ16" s="131"/>
      <c r="AK16" s="131"/>
      <c r="AL16" s="131"/>
      <c r="AM16" s="131"/>
      <c r="AN16" s="131"/>
      <c r="AO16" s="131"/>
      <c r="AP16" s="115"/>
      <c r="AQ16" s="182" t="s">
        <v>6</v>
      </c>
      <c r="AR16" s="183"/>
      <c r="AS16" s="183"/>
      <c r="AT16" s="183"/>
      <c r="AU16" s="183"/>
      <c r="AV16" s="183"/>
      <c r="AW16" s="183"/>
      <c r="AX16" s="183"/>
      <c r="AY16" s="183"/>
      <c r="AZ16" s="183"/>
      <c r="BA16" s="183"/>
      <c r="BB16" s="183"/>
      <c r="BC16" s="183"/>
      <c r="BD16" s="183"/>
      <c r="BE16" s="183"/>
      <c r="BF16" s="183"/>
      <c r="BG16" s="183"/>
      <c r="BH16" s="183"/>
      <c r="BI16" s="183"/>
      <c r="BJ16" s="184"/>
      <c r="BK16" s="17"/>
    </row>
    <row r="17" spans="1:63" s="18" customFormat="1" ht="15" customHeight="1" x14ac:dyDescent="0.25">
      <c r="A17" s="1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1"/>
      <c r="BI17" s="21"/>
      <c r="BJ17" s="21"/>
      <c r="BK17" s="17"/>
    </row>
    <row r="18" spans="1:63" s="18" customFormat="1" ht="15" customHeight="1" x14ac:dyDescent="0.25">
      <c r="A18" s="13"/>
      <c r="B18" s="20"/>
      <c r="C18" s="23" t="s">
        <v>150</v>
      </c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1"/>
      <c r="BI18" s="21"/>
      <c r="BJ18" s="21"/>
      <c r="BK18" s="17"/>
    </row>
    <row r="19" spans="1:63" s="18" customFormat="1" ht="15" customHeight="1" x14ac:dyDescent="0.25">
      <c r="A19" s="13"/>
      <c r="B19" s="20"/>
      <c r="C19" s="23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1"/>
      <c r="BI19" s="21"/>
      <c r="BJ19" s="21"/>
      <c r="BK19" s="17"/>
    </row>
    <row r="20" spans="1:63" s="18" customFormat="1" ht="15" customHeight="1" x14ac:dyDescent="0.25">
      <c r="A20" s="13"/>
      <c r="B20" s="20"/>
      <c r="C20" s="176" t="s">
        <v>151</v>
      </c>
      <c r="D20" s="178"/>
      <c r="E20" s="176" t="s">
        <v>152</v>
      </c>
      <c r="F20" s="177"/>
      <c r="G20" s="177"/>
      <c r="H20" s="177"/>
      <c r="I20" s="177"/>
      <c r="J20" s="177"/>
      <c r="K20" s="178"/>
      <c r="L20" s="153" t="s">
        <v>16</v>
      </c>
      <c r="M20" s="154"/>
      <c r="N20" s="155"/>
      <c r="O20" s="153" t="s">
        <v>17</v>
      </c>
      <c r="P20" s="154"/>
      <c r="Q20" s="154"/>
      <c r="R20" s="155"/>
      <c r="S20" s="153" t="s">
        <v>18</v>
      </c>
      <c r="T20" s="154"/>
      <c r="U20" s="154"/>
      <c r="V20" s="154"/>
      <c r="W20" s="154"/>
      <c r="X20" s="154"/>
      <c r="Y20" s="155"/>
      <c r="Z20" s="176" t="s">
        <v>153</v>
      </c>
      <c r="AA20" s="177"/>
      <c r="AB20" s="177"/>
      <c r="AC20" s="177"/>
      <c r="AD20" s="177"/>
      <c r="AE20" s="177"/>
      <c r="AF20" s="177"/>
      <c r="AG20" s="177"/>
      <c r="AH20" s="177"/>
      <c r="AI20" s="177"/>
      <c r="AJ20" s="177"/>
      <c r="AK20" s="177"/>
      <c r="AL20" s="177"/>
      <c r="AM20" s="177"/>
      <c r="AN20" s="177"/>
      <c r="AO20" s="177"/>
      <c r="AP20" s="178"/>
      <c r="AQ20" s="153" t="s">
        <v>15</v>
      </c>
      <c r="AR20" s="154"/>
      <c r="AS20" s="154"/>
      <c r="AT20" s="154"/>
      <c r="AU20" s="154"/>
      <c r="AV20" s="154"/>
      <c r="AW20" s="154"/>
      <c r="AX20" s="154"/>
      <c r="AY20" s="154"/>
      <c r="AZ20" s="154"/>
      <c r="BA20" s="154"/>
      <c r="BB20" s="154"/>
      <c r="BC20" s="154"/>
      <c r="BD20" s="154"/>
      <c r="BE20" s="154"/>
      <c r="BF20" s="154"/>
      <c r="BG20" s="154"/>
      <c r="BH20" s="154"/>
      <c r="BI20" s="154"/>
      <c r="BJ20" s="155"/>
      <c r="BK20" s="17"/>
    </row>
    <row r="21" spans="1:63" s="18" customFormat="1" ht="15" customHeight="1" x14ac:dyDescent="0.25">
      <c r="A21" s="13"/>
      <c r="B21" s="20"/>
      <c r="C21" s="141">
        <v>1</v>
      </c>
      <c r="D21" s="143"/>
      <c r="E21" s="312" t="s">
        <v>3</v>
      </c>
      <c r="F21" s="313"/>
      <c r="G21" s="313"/>
      <c r="H21" s="313"/>
      <c r="I21" s="313"/>
      <c r="J21" s="313"/>
      <c r="K21" s="314"/>
      <c r="L21" s="147" t="s">
        <v>4</v>
      </c>
      <c r="M21" s="148"/>
      <c r="N21" s="149"/>
      <c r="O21" s="141" t="s">
        <v>5</v>
      </c>
      <c r="P21" s="142"/>
      <c r="Q21" s="142"/>
      <c r="R21" s="143"/>
      <c r="S21" s="141" t="s">
        <v>6</v>
      </c>
      <c r="T21" s="142"/>
      <c r="U21" s="142"/>
      <c r="V21" s="142"/>
      <c r="W21" s="142"/>
      <c r="X21" s="142"/>
      <c r="Y21" s="143"/>
      <c r="Z21" s="312" t="s">
        <v>7</v>
      </c>
      <c r="AA21" s="313"/>
      <c r="AB21" s="313"/>
      <c r="AC21" s="313"/>
      <c r="AD21" s="313"/>
      <c r="AE21" s="313"/>
      <c r="AF21" s="313"/>
      <c r="AG21" s="313"/>
      <c r="AH21" s="313"/>
      <c r="AI21" s="313"/>
      <c r="AJ21" s="313"/>
      <c r="AK21" s="313"/>
      <c r="AL21" s="313"/>
      <c r="AM21" s="313"/>
      <c r="AN21" s="313"/>
      <c r="AO21" s="313"/>
      <c r="AP21" s="314"/>
      <c r="AQ21" s="315" t="s">
        <v>154</v>
      </c>
      <c r="AR21" s="316"/>
      <c r="AS21" s="316"/>
      <c r="AT21" s="316"/>
      <c r="AU21" s="316"/>
      <c r="AV21" s="316"/>
      <c r="AW21" s="316"/>
      <c r="AX21" s="316"/>
      <c r="AY21" s="316"/>
      <c r="AZ21" s="316"/>
      <c r="BA21" s="316"/>
      <c r="BB21" s="316"/>
      <c r="BC21" s="316"/>
      <c r="BD21" s="316"/>
      <c r="BE21" s="316"/>
      <c r="BF21" s="316"/>
      <c r="BG21" s="316"/>
      <c r="BH21" s="316"/>
      <c r="BI21" s="316"/>
      <c r="BJ21" s="317"/>
      <c r="BK21" s="17"/>
    </row>
    <row r="22" spans="1:63" s="18" customFormat="1" ht="15" customHeight="1" x14ac:dyDescent="0.25">
      <c r="A22" s="13"/>
      <c r="B22" s="20"/>
      <c r="C22" s="144"/>
      <c r="D22" s="146"/>
      <c r="E22" s="318"/>
      <c r="F22" s="319"/>
      <c r="G22" s="319"/>
      <c r="H22" s="319"/>
      <c r="I22" s="319"/>
      <c r="J22" s="319"/>
      <c r="K22" s="320"/>
      <c r="L22" s="150"/>
      <c r="M22" s="151"/>
      <c r="N22" s="152"/>
      <c r="O22" s="144"/>
      <c r="P22" s="145"/>
      <c r="Q22" s="145"/>
      <c r="R22" s="146"/>
      <c r="S22" s="144"/>
      <c r="T22" s="145"/>
      <c r="U22" s="145"/>
      <c r="V22" s="145"/>
      <c r="W22" s="145"/>
      <c r="X22" s="145"/>
      <c r="Y22" s="146"/>
      <c r="Z22" s="318"/>
      <c r="AA22" s="319"/>
      <c r="AB22" s="319"/>
      <c r="AC22" s="319"/>
      <c r="AD22" s="319"/>
      <c r="AE22" s="319"/>
      <c r="AF22" s="319"/>
      <c r="AG22" s="319"/>
      <c r="AH22" s="319"/>
      <c r="AI22" s="319"/>
      <c r="AJ22" s="319"/>
      <c r="AK22" s="319"/>
      <c r="AL22" s="319"/>
      <c r="AM22" s="319"/>
      <c r="AN22" s="319"/>
      <c r="AO22" s="319"/>
      <c r="AP22" s="320"/>
      <c r="AQ22" s="321"/>
      <c r="AR22" s="322"/>
      <c r="AS22" s="322"/>
      <c r="AT22" s="322"/>
      <c r="AU22" s="322"/>
      <c r="AV22" s="322"/>
      <c r="AW22" s="322"/>
      <c r="AX22" s="322"/>
      <c r="AY22" s="322"/>
      <c r="AZ22" s="322"/>
      <c r="BA22" s="322"/>
      <c r="BB22" s="322"/>
      <c r="BC22" s="322"/>
      <c r="BD22" s="322"/>
      <c r="BE22" s="322"/>
      <c r="BF22" s="322"/>
      <c r="BG22" s="322"/>
      <c r="BH22" s="322"/>
      <c r="BI22" s="322"/>
      <c r="BJ22" s="323"/>
      <c r="BK22" s="17"/>
    </row>
    <row r="23" spans="1:63" s="18" customFormat="1" ht="15" customHeight="1" x14ac:dyDescent="0.25">
      <c r="A23" s="13"/>
      <c r="B23" s="20"/>
      <c r="C23" s="114">
        <v>2</v>
      </c>
      <c r="D23" s="115"/>
      <c r="E23" s="324" t="s">
        <v>8</v>
      </c>
      <c r="F23" s="325"/>
      <c r="G23" s="325"/>
      <c r="H23" s="325"/>
      <c r="I23" s="325"/>
      <c r="J23" s="325"/>
      <c r="K23" s="326"/>
      <c r="L23" s="125" t="s">
        <v>6</v>
      </c>
      <c r="M23" s="126"/>
      <c r="N23" s="127"/>
      <c r="O23" s="114" t="s">
        <v>5</v>
      </c>
      <c r="P23" s="131"/>
      <c r="Q23" s="131"/>
      <c r="R23" s="115"/>
      <c r="S23" s="114" t="s">
        <v>6</v>
      </c>
      <c r="T23" s="131"/>
      <c r="U23" s="131"/>
      <c r="V23" s="131"/>
      <c r="W23" s="131"/>
      <c r="X23" s="131"/>
      <c r="Y23" s="115"/>
      <c r="Z23" s="324" t="s">
        <v>8</v>
      </c>
      <c r="AA23" s="325"/>
      <c r="AB23" s="325"/>
      <c r="AC23" s="325"/>
      <c r="AD23" s="325"/>
      <c r="AE23" s="325"/>
      <c r="AF23" s="325"/>
      <c r="AG23" s="325"/>
      <c r="AH23" s="325"/>
      <c r="AI23" s="325"/>
      <c r="AJ23" s="325"/>
      <c r="AK23" s="325"/>
      <c r="AL23" s="325"/>
      <c r="AM23" s="325"/>
      <c r="AN23" s="325"/>
      <c r="AO23" s="325"/>
      <c r="AP23" s="326"/>
      <c r="AQ23" s="327"/>
      <c r="AR23" s="328"/>
      <c r="AS23" s="328"/>
      <c r="AT23" s="328"/>
      <c r="AU23" s="328"/>
      <c r="AV23" s="328"/>
      <c r="AW23" s="328"/>
      <c r="AX23" s="328"/>
      <c r="AY23" s="328"/>
      <c r="AZ23" s="328"/>
      <c r="BA23" s="328"/>
      <c r="BB23" s="328"/>
      <c r="BC23" s="328"/>
      <c r="BD23" s="328"/>
      <c r="BE23" s="328"/>
      <c r="BF23" s="328"/>
      <c r="BG23" s="328"/>
      <c r="BH23" s="328"/>
      <c r="BI23" s="328"/>
      <c r="BJ23" s="329"/>
      <c r="BK23" s="17"/>
    </row>
    <row r="24" spans="1:63" s="18" customFormat="1" ht="15" customHeight="1" x14ac:dyDescent="0.25">
      <c r="A24" s="13"/>
      <c r="B24" s="20"/>
      <c r="C24" s="141">
        <v>3</v>
      </c>
      <c r="D24" s="143"/>
      <c r="E24" s="312" t="s">
        <v>9</v>
      </c>
      <c r="F24" s="313"/>
      <c r="G24" s="313"/>
      <c r="H24" s="313"/>
      <c r="I24" s="313"/>
      <c r="J24" s="313"/>
      <c r="K24" s="314"/>
      <c r="L24" s="330" t="s">
        <v>4</v>
      </c>
      <c r="M24" s="331"/>
      <c r="N24" s="332"/>
      <c r="O24" s="333" t="s">
        <v>5</v>
      </c>
      <c r="P24" s="334"/>
      <c r="Q24" s="334"/>
      <c r="R24" s="335"/>
      <c r="S24" s="336" t="s">
        <v>32</v>
      </c>
      <c r="T24" s="337"/>
      <c r="U24" s="337"/>
      <c r="V24" s="337"/>
      <c r="W24" s="337"/>
      <c r="X24" s="337"/>
      <c r="Y24" s="338"/>
      <c r="Z24" s="339" t="s">
        <v>9</v>
      </c>
      <c r="AA24" s="340"/>
      <c r="AB24" s="340"/>
      <c r="AC24" s="340"/>
      <c r="AD24" s="340"/>
      <c r="AE24" s="340"/>
      <c r="AF24" s="340"/>
      <c r="AG24" s="340"/>
      <c r="AH24" s="340"/>
      <c r="AI24" s="340"/>
      <c r="AJ24" s="340"/>
      <c r="AK24" s="340"/>
      <c r="AL24" s="340"/>
      <c r="AM24" s="340"/>
      <c r="AN24" s="340"/>
      <c r="AO24" s="340"/>
      <c r="AP24" s="341"/>
      <c r="AQ24" s="342"/>
      <c r="AR24" s="342"/>
      <c r="AS24" s="342"/>
      <c r="AT24" s="342"/>
      <c r="AU24" s="342"/>
      <c r="AV24" s="342"/>
      <c r="AW24" s="342"/>
      <c r="AX24" s="342"/>
      <c r="AY24" s="342"/>
      <c r="AZ24" s="342"/>
      <c r="BA24" s="342"/>
      <c r="BB24" s="342"/>
      <c r="BC24" s="342"/>
      <c r="BD24" s="342"/>
      <c r="BE24" s="342"/>
      <c r="BF24" s="342"/>
      <c r="BG24" s="342"/>
      <c r="BH24" s="342"/>
      <c r="BI24" s="342"/>
      <c r="BJ24" s="343"/>
      <c r="BK24" s="17"/>
    </row>
    <row r="25" spans="1:63" s="18" customFormat="1" ht="15" customHeight="1" x14ac:dyDescent="0.25">
      <c r="A25" s="13"/>
      <c r="B25" s="20"/>
      <c r="C25" s="114">
        <v>4</v>
      </c>
      <c r="D25" s="115"/>
      <c r="E25" s="324" t="s">
        <v>10</v>
      </c>
      <c r="F25" s="325"/>
      <c r="G25" s="325"/>
      <c r="H25" s="325"/>
      <c r="I25" s="325"/>
      <c r="J25" s="325"/>
      <c r="K25" s="326"/>
      <c r="L25" s="125" t="s">
        <v>6</v>
      </c>
      <c r="M25" s="126"/>
      <c r="N25" s="127"/>
      <c r="O25" s="114" t="s">
        <v>5</v>
      </c>
      <c r="P25" s="131"/>
      <c r="Q25" s="131"/>
      <c r="R25" s="115"/>
      <c r="S25" s="114" t="s">
        <v>6</v>
      </c>
      <c r="T25" s="131"/>
      <c r="U25" s="131"/>
      <c r="V25" s="131"/>
      <c r="W25" s="131"/>
      <c r="X25" s="131"/>
      <c r="Y25" s="115"/>
      <c r="Z25" s="324" t="s">
        <v>10</v>
      </c>
      <c r="AA25" s="325"/>
      <c r="AB25" s="325"/>
      <c r="AC25" s="325"/>
      <c r="AD25" s="325"/>
      <c r="AE25" s="325"/>
      <c r="AF25" s="325"/>
      <c r="AG25" s="325"/>
      <c r="AH25" s="325"/>
      <c r="AI25" s="325"/>
      <c r="AJ25" s="325"/>
      <c r="AK25" s="325"/>
      <c r="AL25" s="325"/>
      <c r="AM25" s="325"/>
      <c r="AN25" s="325"/>
      <c r="AO25" s="325"/>
      <c r="AP25" s="326"/>
      <c r="AQ25" s="327"/>
      <c r="AR25" s="328"/>
      <c r="AS25" s="328"/>
      <c r="AT25" s="328"/>
      <c r="AU25" s="328"/>
      <c r="AV25" s="328"/>
      <c r="AW25" s="328"/>
      <c r="AX25" s="328"/>
      <c r="AY25" s="328"/>
      <c r="AZ25" s="328"/>
      <c r="BA25" s="328"/>
      <c r="BB25" s="328"/>
      <c r="BC25" s="328"/>
      <c r="BD25" s="328"/>
      <c r="BE25" s="328"/>
      <c r="BF25" s="328"/>
      <c r="BG25" s="328"/>
      <c r="BH25" s="328"/>
      <c r="BI25" s="328"/>
      <c r="BJ25" s="329"/>
      <c r="BK25" s="17"/>
    </row>
    <row r="26" spans="1:63" s="18" customFormat="1" ht="15" customHeight="1" x14ac:dyDescent="0.25">
      <c r="A26" s="13"/>
      <c r="B26" s="20"/>
      <c r="C26" s="114">
        <v>5</v>
      </c>
      <c r="D26" s="115"/>
      <c r="E26" s="324" t="s">
        <v>11</v>
      </c>
      <c r="F26" s="325"/>
      <c r="G26" s="325"/>
      <c r="H26" s="325"/>
      <c r="I26" s="325"/>
      <c r="J26" s="325"/>
      <c r="K26" s="326"/>
      <c r="L26" s="125" t="s">
        <v>6</v>
      </c>
      <c r="M26" s="126"/>
      <c r="N26" s="127"/>
      <c r="O26" s="114" t="s">
        <v>5</v>
      </c>
      <c r="P26" s="131"/>
      <c r="Q26" s="131"/>
      <c r="R26" s="115"/>
      <c r="S26" s="114" t="s">
        <v>6</v>
      </c>
      <c r="T26" s="131"/>
      <c r="U26" s="131"/>
      <c r="V26" s="131"/>
      <c r="W26" s="131"/>
      <c r="X26" s="131"/>
      <c r="Y26" s="115"/>
      <c r="Z26" s="324" t="s">
        <v>11</v>
      </c>
      <c r="AA26" s="325"/>
      <c r="AB26" s="325"/>
      <c r="AC26" s="325"/>
      <c r="AD26" s="325"/>
      <c r="AE26" s="325"/>
      <c r="AF26" s="325"/>
      <c r="AG26" s="325"/>
      <c r="AH26" s="325"/>
      <c r="AI26" s="325"/>
      <c r="AJ26" s="325"/>
      <c r="AK26" s="325"/>
      <c r="AL26" s="325"/>
      <c r="AM26" s="325"/>
      <c r="AN26" s="325"/>
      <c r="AO26" s="325"/>
      <c r="AP26" s="326"/>
      <c r="AQ26" s="327"/>
      <c r="AR26" s="328"/>
      <c r="AS26" s="328"/>
      <c r="AT26" s="328"/>
      <c r="AU26" s="328"/>
      <c r="AV26" s="328"/>
      <c r="AW26" s="328"/>
      <c r="AX26" s="328"/>
      <c r="AY26" s="328"/>
      <c r="AZ26" s="328"/>
      <c r="BA26" s="328"/>
      <c r="BB26" s="328"/>
      <c r="BC26" s="328"/>
      <c r="BD26" s="328"/>
      <c r="BE26" s="328"/>
      <c r="BF26" s="328"/>
      <c r="BG26" s="328"/>
      <c r="BH26" s="328"/>
      <c r="BI26" s="328"/>
      <c r="BJ26" s="329"/>
      <c r="BK26" s="17"/>
    </row>
    <row r="27" spans="1:63" s="18" customFormat="1" ht="15" customHeight="1" x14ac:dyDescent="0.25">
      <c r="A27" s="13"/>
      <c r="B27" s="20"/>
      <c r="C27" s="20"/>
      <c r="D27" s="20"/>
      <c r="E27" s="308"/>
      <c r="F27" s="308"/>
      <c r="G27" s="308"/>
      <c r="H27" s="308"/>
      <c r="I27" s="20"/>
      <c r="J27" s="20"/>
      <c r="K27" s="20"/>
      <c r="L27" s="29"/>
      <c r="M27" s="308"/>
      <c r="N27" s="308"/>
      <c r="O27" s="308"/>
      <c r="P27" s="308"/>
      <c r="Q27" s="20"/>
      <c r="R27" s="20"/>
      <c r="S27" s="20"/>
      <c r="T27" s="20"/>
      <c r="U27" s="20"/>
      <c r="V27" s="20"/>
      <c r="W27" s="20"/>
      <c r="X27" s="20"/>
      <c r="Y27" s="20"/>
      <c r="Z27" s="27"/>
      <c r="AA27" s="20"/>
      <c r="AB27" s="20"/>
      <c r="AC27" s="20"/>
      <c r="AD27" s="20"/>
      <c r="AE27" s="20"/>
      <c r="AF27" s="20"/>
      <c r="AG27" s="308"/>
      <c r="AH27" s="308"/>
      <c r="AI27" s="308"/>
      <c r="AJ27" s="308"/>
      <c r="AK27" s="308"/>
      <c r="AL27" s="308"/>
      <c r="AM27" s="308"/>
      <c r="AN27" s="308"/>
      <c r="AO27" s="308"/>
      <c r="AP27" s="20"/>
      <c r="AQ27" s="28"/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1"/>
      <c r="BI27" s="21"/>
      <c r="BJ27" s="21"/>
      <c r="BK27" s="17"/>
    </row>
    <row r="28" spans="1:63" s="18" customFormat="1" ht="15" customHeight="1" x14ac:dyDescent="0.25">
      <c r="A28" s="13"/>
      <c r="B28" s="20"/>
      <c r="C28" s="23" t="s">
        <v>155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1"/>
      <c r="BI28" s="21"/>
      <c r="BJ28" s="21"/>
      <c r="BK28" s="17"/>
    </row>
    <row r="29" spans="1:63" s="18" customFormat="1" ht="15" customHeight="1" x14ac:dyDescent="0.25">
      <c r="A29" s="13"/>
      <c r="B29" s="20"/>
      <c r="C29" s="19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1"/>
      <c r="BI29" s="21"/>
      <c r="BJ29" s="21"/>
      <c r="BK29" s="17"/>
    </row>
    <row r="30" spans="1:63" s="18" customFormat="1" ht="15" customHeight="1" x14ac:dyDescent="0.25">
      <c r="A30" s="13"/>
      <c r="B30" s="20"/>
      <c r="C30" s="171" t="s">
        <v>12</v>
      </c>
      <c r="D30" s="172"/>
      <c r="E30" s="176" t="s">
        <v>156</v>
      </c>
      <c r="F30" s="344"/>
      <c r="G30" s="344"/>
      <c r="H30" s="344"/>
      <c r="I30" s="344"/>
      <c r="J30" s="344"/>
      <c r="K30" s="345"/>
      <c r="L30" s="153" t="s">
        <v>16</v>
      </c>
      <c r="M30" s="154"/>
      <c r="N30" s="155"/>
      <c r="O30" s="153" t="s">
        <v>17</v>
      </c>
      <c r="P30" s="154"/>
      <c r="Q30" s="154"/>
      <c r="R30" s="155"/>
      <c r="S30" s="153" t="s">
        <v>18</v>
      </c>
      <c r="T30" s="154"/>
      <c r="U30" s="154"/>
      <c r="V30" s="154"/>
      <c r="W30" s="154"/>
      <c r="X30" s="154"/>
      <c r="Y30" s="155"/>
      <c r="Z30" s="176" t="s">
        <v>153</v>
      </c>
      <c r="AA30" s="177"/>
      <c r="AB30" s="177"/>
      <c r="AC30" s="177"/>
      <c r="AD30" s="177"/>
      <c r="AE30" s="177"/>
      <c r="AF30" s="177"/>
      <c r="AG30" s="177"/>
      <c r="AH30" s="177"/>
      <c r="AI30" s="177"/>
      <c r="AJ30" s="177"/>
      <c r="AK30" s="177"/>
      <c r="AL30" s="177"/>
      <c r="AM30" s="177"/>
      <c r="AN30" s="177"/>
      <c r="AO30" s="177"/>
      <c r="AP30" s="178"/>
      <c r="AQ30" s="116" t="s">
        <v>15</v>
      </c>
      <c r="AR30" s="117"/>
      <c r="AS30" s="117"/>
      <c r="AT30" s="117"/>
      <c r="AU30" s="117"/>
      <c r="AV30" s="117"/>
      <c r="AW30" s="117"/>
      <c r="AX30" s="117"/>
      <c r="AY30" s="117"/>
      <c r="AZ30" s="117"/>
      <c r="BA30" s="117"/>
      <c r="BB30" s="117"/>
      <c r="BC30" s="117"/>
      <c r="BD30" s="117"/>
      <c r="BE30" s="117"/>
      <c r="BF30" s="117"/>
      <c r="BG30" s="117"/>
      <c r="BH30" s="117"/>
      <c r="BI30" s="117"/>
      <c r="BJ30" s="118"/>
      <c r="BK30" s="17"/>
    </row>
    <row r="31" spans="1:63" s="18" customFormat="1" ht="15" customHeight="1" x14ac:dyDescent="0.25">
      <c r="A31" s="13"/>
      <c r="B31" s="20"/>
      <c r="C31" s="125" t="s">
        <v>21</v>
      </c>
      <c r="D31" s="126"/>
      <c r="E31" s="126"/>
      <c r="F31" s="126"/>
      <c r="G31" s="126"/>
      <c r="H31" s="126"/>
      <c r="I31" s="126"/>
      <c r="J31" s="126"/>
      <c r="K31" s="126"/>
      <c r="L31" s="126"/>
      <c r="M31" s="126"/>
      <c r="N31" s="126"/>
      <c r="O31" s="126"/>
      <c r="P31" s="126"/>
      <c r="Q31" s="126"/>
      <c r="R31" s="126"/>
      <c r="S31" s="126"/>
      <c r="T31" s="126"/>
      <c r="U31" s="126"/>
      <c r="V31" s="126"/>
      <c r="W31" s="126"/>
      <c r="X31" s="126"/>
      <c r="Y31" s="126"/>
      <c r="Z31" s="126"/>
      <c r="AA31" s="126"/>
      <c r="AB31" s="126"/>
      <c r="AC31" s="126"/>
      <c r="AD31" s="126"/>
      <c r="AE31" s="126"/>
      <c r="AF31" s="126"/>
      <c r="AG31" s="126"/>
      <c r="AH31" s="126"/>
      <c r="AI31" s="126"/>
      <c r="AJ31" s="126"/>
      <c r="AK31" s="126"/>
      <c r="AL31" s="126"/>
      <c r="AM31" s="126"/>
      <c r="AN31" s="126"/>
      <c r="AO31" s="126"/>
      <c r="AP31" s="126"/>
      <c r="AQ31" s="126"/>
      <c r="AR31" s="126"/>
      <c r="AS31" s="126"/>
      <c r="AT31" s="126"/>
      <c r="AU31" s="126"/>
      <c r="AV31" s="126"/>
      <c r="AW31" s="126"/>
      <c r="AX31" s="126"/>
      <c r="AY31" s="126"/>
      <c r="AZ31" s="126"/>
      <c r="BA31" s="126"/>
      <c r="BB31" s="126"/>
      <c r="BC31" s="126"/>
      <c r="BD31" s="126"/>
      <c r="BE31" s="126"/>
      <c r="BF31" s="126"/>
      <c r="BG31" s="126"/>
      <c r="BH31" s="126"/>
      <c r="BI31" s="126"/>
      <c r="BJ31" s="127"/>
      <c r="BK31" s="17"/>
    </row>
    <row r="32" spans="1:63" s="18" customFormat="1" ht="15" customHeight="1" x14ac:dyDescent="0.25">
      <c r="A32" s="13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1"/>
      <c r="BI32" s="21"/>
      <c r="BJ32" s="21"/>
      <c r="BK32" s="17"/>
    </row>
    <row r="33" spans="1:63" s="18" customFormat="1" ht="15" customHeight="1" x14ac:dyDescent="0.25">
      <c r="A33" s="13"/>
      <c r="B33" s="20"/>
      <c r="C33" s="23" t="s">
        <v>157</v>
      </c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1"/>
      <c r="BI33" s="21"/>
      <c r="BJ33" s="21"/>
      <c r="BK33" s="17"/>
    </row>
    <row r="34" spans="1:63" s="18" customFormat="1" ht="15" customHeight="1" x14ac:dyDescent="0.25">
      <c r="A34" s="13"/>
      <c r="B34" s="20"/>
      <c r="C34" s="19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1"/>
      <c r="BI34" s="21"/>
      <c r="BJ34" s="21"/>
      <c r="BK34" s="17"/>
    </row>
    <row r="35" spans="1:63" s="18" customFormat="1" ht="15" customHeight="1" x14ac:dyDescent="0.25">
      <c r="A35" s="13"/>
      <c r="B35" s="20"/>
      <c r="C35" s="171" t="s">
        <v>12</v>
      </c>
      <c r="D35" s="172"/>
      <c r="E35" s="346" t="s">
        <v>19</v>
      </c>
      <c r="F35" s="344"/>
      <c r="G35" s="344"/>
      <c r="H35" s="344"/>
      <c r="I35" s="344"/>
      <c r="J35" s="344"/>
      <c r="K35" s="345"/>
      <c r="L35" s="153" t="s">
        <v>16</v>
      </c>
      <c r="M35" s="154"/>
      <c r="N35" s="155"/>
      <c r="O35" s="153" t="s">
        <v>17</v>
      </c>
      <c r="P35" s="154"/>
      <c r="Q35" s="154"/>
      <c r="R35" s="155"/>
      <c r="S35" s="153" t="s">
        <v>18</v>
      </c>
      <c r="T35" s="154"/>
      <c r="U35" s="154"/>
      <c r="V35" s="154"/>
      <c r="W35" s="154"/>
      <c r="X35" s="154"/>
      <c r="Y35" s="155"/>
      <c r="Z35" s="176" t="s">
        <v>153</v>
      </c>
      <c r="AA35" s="177"/>
      <c r="AB35" s="177"/>
      <c r="AC35" s="177"/>
      <c r="AD35" s="177"/>
      <c r="AE35" s="177"/>
      <c r="AF35" s="177"/>
      <c r="AG35" s="177"/>
      <c r="AH35" s="177"/>
      <c r="AI35" s="177"/>
      <c r="AJ35" s="177"/>
      <c r="AK35" s="177"/>
      <c r="AL35" s="177"/>
      <c r="AM35" s="177"/>
      <c r="AN35" s="177"/>
      <c r="AO35" s="177"/>
      <c r="AP35" s="178"/>
      <c r="AQ35" s="116" t="s">
        <v>15</v>
      </c>
      <c r="AR35" s="117"/>
      <c r="AS35" s="117"/>
      <c r="AT35" s="117"/>
      <c r="AU35" s="117"/>
      <c r="AV35" s="117"/>
      <c r="AW35" s="117"/>
      <c r="AX35" s="117"/>
      <c r="AY35" s="117"/>
      <c r="AZ35" s="117"/>
      <c r="BA35" s="117"/>
      <c r="BB35" s="117"/>
      <c r="BC35" s="117"/>
      <c r="BD35" s="117"/>
      <c r="BE35" s="117"/>
      <c r="BF35" s="117"/>
      <c r="BG35" s="117"/>
      <c r="BH35" s="117"/>
      <c r="BI35" s="117"/>
      <c r="BJ35" s="118"/>
      <c r="BK35" s="17"/>
    </row>
    <row r="36" spans="1:63" s="53" customFormat="1" ht="87.75" customHeight="1" x14ac:dyDescent="0.25">
      <c r="A36" s="50"/>
      <c r="B36" s="51"/>
      <c r="C36" s="179">
        <v>1</v>
      </c>
      <c r="D36" s="181"/>
      <c r="E36" s="179" t="s">
        <v>158</v>
      </c>
      <c r="F36" s="180"/>
      <c r="G36" s="180"/>
      <c r="H36" s="180"/>
      <c r="I36" s="180"/>
      <c r="J36" s="180"/>
      <c r="K36" s="181"/>
      <c r="L36" s="185" t="s">
        <v>4</v>
      </c>
      <c r="M36" s="186"/>
      <c r="N36" s="187"/>
      <c r="O36" s="179" t="s">
        <v>159</v>
      </c>
      <c r="P36" s="180"/>
      <c r="Q36" s="180"/>
      <c r="R36" s="181"/>
      <c r="S36" s="179" t="s">
        <v>6</v>
      </c>
      <c r="T36" s="180"/>
      <c r="U36" s="180"/>
      <c r="V36" s="180"/>
      <c r="W36" s="180"/>
      <c r="X36" s="180"/>
      <c r="Y36" s="181"/>
      <c r="Z36" s="207" t="s">
        <v>160</v>
      </c>
      <c r="AA36" s="180"/>
      <c r="AB36" s="180"/>
      <c r="AC36" s="180"/>
      <c r="AD36" s="180"/>
      <c r="AE36" s="180"/>
      <c r="AF36" s="180"/>
      <c r="AG36" s="180"/>
      <c r="AH36" s="180"/>
      <c r="AI36" s="180"/>
      <c r="AJ36" s="180"/>
      <c r="AK36" s="180"/>
      <c r="AL36" s="180"/>
      <c r="AM36" s="180"/>
      <c r="AN36" s="180"/>
      <c r="AO36" s="180"/>
      <c r="AP36" s="181"/>
      <c r="AQ36" s="208" t="s">
        <v>161</v>
      </c>
      <c r="AR36" s="209"/>
      <c r="AS36" s="209"/>
      <c r="AT36" s="209"/>
      <c r="AU36" s="209"/>
      <c r="AV36" s="209"/>
      <c r="AW36" s="209"/>
      <c r="AX36" s="209"/>
      <c r="AY36" s="209"/>
      <c r="AZ36" s="209"/>
      <c r="BA36" s="209"/>
      <c r="BB36" s="209"/>
      <c r="BC36" s="209"/>
      <c r="BD36" s="209"/>
      <c r="BE36" s="209"/>
      <c r="BF36" s="209"/>
      <c r="BG36" s="209"/>
      <c r="BH36" s="209"/>
      <c r="BI36" s="209"/>
      <c r="BJ36" s="210"/>
      <c r="BK36" s="52"/>
    </row>
    <row r="37" spans="1:63" s="18" customFormat="1" ht="15" customHeight="1" x14ac:dyDescent="0.25">
      <c r="A37" s="13"/>
      <c r="B37" s="20"/>
      <c r="C37" s="114">
        <v>1</v>
      </c>
      <c r="D37" s="115"/>
      <c r="E37" s="324" t="s">
        <v>40</v>
      </c>
      <c r="F37" s="325"/>
      <c r="G37" s="325"/>
      <c r="H37" s="325"/>
      <c r="I37" s="325"/>
      <c r="J37" s="325"/>
      <c r="K37" s="326"/>
      <c r="L37" s="125" t="s">
        <v>6</v>
      </c>
      <c r="M37" s="126"/>
      <c r="N37" s="127"/>
      <c r="O37" s="114" t="s">
        <v>75</v>
      </c>
      <c r="P37" s="131"/>
      <c r="Q37" s="131"/>
      <c r="R37" s="115"/>
      <c r="S37" s="114" t="s">
        <v>6</v>
      </c>
      <c r="T37" s="131"/>
      <c r="U37" s="131"/>
      <c r="V37" s="131"/>
      <c r="W37" s="131"/>
      <c r="X37" s="131"/>
      <c r="Y37" s="115"/>
      <c r="Z37" s="324"/>
      <c r="AA37" s="325"/>
      <c r="AB37" s="325"/>
      <c r="AC37" s="325"/>
      <c r="AD37" s="325"/>
      <c r="AE37" s="325"/>
      <c r="AF37" s="325"/>
      <c r="AG37" s="325"/>
      <c r="AH37" s="325"/>
      <c r="AI37" s="325"/>
      <c r="AJ37" s="325"/>
      <c r="AK37" s="325"/>
      <c r="AL37" s="325"/>
      <c r="AM37" s="325"/>
      <c r="AN37" s="325"/>
      <c r="AO37" s="325"/>
      <c r="AP37" s="326"/>
      <c r="AQ37" s="122"/>
      <c r="AR37" s="123"/>
      <c r="AS37" s="123"/>
      <c r="AT37" s="123"/>
      <c r="AU37" s="123"/>
      <c r="AV37" s="123"/>
      <c r="AW37" s="123"/>
      <c r="AX37" s="123"/>
      <c r="AY37" s="123"/>
      <c r="AZ37" s="123"/>
      <c r="BA37" s="123"/>
      <c r="BB37" s="123"/>
      <c r="BC37" s="123"/>
      <c r="BD37" s="123"/>
      <c r="BE37" s="123"/>
      <c r="BF37" s="123"/>
      <c r="BG37" s="123"/>
      <c r="BH37" s="123"/>
      <c r="BI37" s="123"/>
      <c r="BJ37" s="124"/>
      <c r="BK37" s="17"/>
    </row>
    <row r="38" spans="1:63" s="57" customFormat="1" ht="78.75" customHeight="1" x14ac:dyDescent="0.25">
      <c r="A38" s="54"/>
      <c r="B38" s="55"/>
      <c r="C38" s="191">
        <v>2</v>
      </c>
      <c r="D38" s="192"/>
      <c r="E38" s="193" t="s">
        <v>162</v>
      </c>
      <c r="F38" s="194"/>
      <c r="G38" s="194"/>
      <c r="H38" s="194"/>
      <c r="I38" s="194"/>
      <c r="J38" s="194"/>
      <c r="K38" s="195"/>
      <c r="L38" s="196" t="s">
        <v>4</v>
      </c>
      <c r="M38" s="197"/>
      <c r="N38" s="198"/>
      <c r="O38" s="165" t="s">
        <v>163</v>
      </c>
      <c r="P38" s="166"/>
      <c r="Q38" s="166"/>
      <c r="R38" s="167"/>
      <c r="S38" s="165" t="s">
        <v>6</v>
      </c>
      <c r="T38" s="166"/>
      <c r="U38" s="166"/>
      <c r="V38" s="166"/>
      <c r="W38" s="166"/>
      <c r="X38" s="166"/>
      <c r="Y38" s="167"/>
      <c r="Z38" s="165"/>
      <c r="AA38" s="166"/>
      <c r="AB38" s="166"/>
      <c r="AC38" s="166"/>
      <c r="AD38" s="166"/>
      <c r="AE38" s="166"/>
      <c r="AF38" s="166"/>
      <c r="AG38" s="166"/>
      <c r="AH38" s="166"/>
      <c r="AI38" s="166"/>
      <c r="AJ38" s="166"/>
      <c r="AK38" s="166"/>
      <c r="AL38" s="166"/>
      <c r="AM38" s="166"/>
      <c r="AN38" s="166"/>
      <c r="AO38" s="166"/>
      <c r="AP38" s="167"/>
      <c r="AQ38" s="159" t="s">
        <v>164</v>
      </c>
      <c r="AR38" s="160"/>
      <c r="AS38" s="160"/>
      <c r="AT38" s="160"/>
      <c r="AU38" s="160"/>
      <c r="AV38" s="160"/>
      <c r="AW38" s="160"/>
      <c r="AX38" s="160"/>
      <c r="AY38" s="160"/>
      <c r="AZ38" s="160"/>
      <c r="BA38" s="160"/>
      <c r="BB38" s="160"/>
      <c r="BC38" s="160"/>
      <c r="BD38" s="160"/>
      <c r="BE38" s="160"/>
      <c r="BF38" s="160"/>
      <c r="BG38" s="160"/>
      <c r="BH38" s="160"/>
      <c r="BI38" s="160"/>
      <c r="BJ38" s="161"/>
      <c r="BK38" s="56"/>
    </row>
    <row r="39" spans="1:63" s="18" customFormat="1" ht="30" customHeight="1" x14ac:dyDescent="0.25">
      <c r="A39" s="13"/>
      <c r="B39" s="20"/>
      <c r="C39" s="114">
        <v>3</v>
      </c>
      <c r="D39" s="115"/>
      <c r="E39" s="128" t="s">
        <v>28</v>
      </c>
      <c r="F39" s="129"/>
      <c r="G39" s="129"/>
      <c r="H39" s="129"/>
      <c r="I39" s="129"/>
      <c r="J39" s="129"/>
      <c r="K39" s="130"/>
      <c r="L39" s="125" t="s">
        <v>6</v>
      </c>
      <c r="M39" s="126"/>
      <c r="N39" s="127"/>
      <c r="O39" s="128" t="s">
        <v>42</v>
      </c>
      <c r="P39" s="129"/>
      <c r="Q39" s="129"/>
      <c r="R39" s="130"/>
      <c r="S39" s="114" t="s">
        <v>6</v>
      </c>
      <c r="T39" s="131"/>
      <c r="U39" s="131"/>
      <c r="V39" s="131"/>
      <c r="W39" s="131"/>
      <c r="X39" s="131"/>
      <c r="Y39" s="115"/>
      <c r="Z39" s="324" t="s">
        <v>41</v>
      </c>
      <c r="AA39" s="325"/>
      <c r="AB39" s="325"/>
      <c r="AC39" s="325"/>
      <c r="AD39" s="325"/>
      <c r="AE39" s="325"/>
      <c r="AF39" s="325"/>
      <c r="AG39" s="325"/>
      <c r="AH39" s="325"/>
      <c r="AI39" s="325"/>
      <c r="AJ39" s="325"/>
      <c r="AK39" s="325"/>
      <c r="AL39" s="325"/>
      <c r="AM39" s="325"/>
      <c r="AN39" s="325"/>
      <c r="AO39" s="325"/>
      <c r="AP39" s="326"/>
      <c r="AQ39" s="119" t="s">
        <v>165</v>
      </c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3"/>
      <c r="BD39" s="123"/>
      <c r="BE39" s="123"/>
      <c r="BF39" s="123"/>
      <c r="BG39" s="123"/>
      <c r="BH39" s="123"/>
      <c r="BI39" s="123"/>
      <c r="BJ39" s="124"/>
      <c r="BK39" s="17"/>
    </row>
    <row r="40" spans="1:63" s="18" customFormat="1" ht="15" customHeight="1" x14ac:dyDescent="0.25">
      <c r="A40" s="13"/>
      <c r="B40" s="20"/>
      <c r="C40" s="114">
        <v>4</v>
      </c>
      <c r="D40" s="115"/>
      <c r="E40" s="128" t="s">
        <v>26</v>
      </c>
      <c r="F40" s="129"/>
      <c r="G40" s="129"/>
      <c r="H40" s="129"/>
      <c r="I40" s="129"/>
      <c r="J40" s="129"/>
      <c r="K40" s="130"/>
      <c r="L40" s="125" t="s">
        <v>4</v>
      </c>
      <c r="M40" s="126"/>
      <c r="N40" s="127"/>
      <c r="O40" s="128" t="s">
        <v>5</v>
      </c>
      <c r="P40" s="129"/>
      <c r="Q40" s="129"/>
      <c r="R40" s="130"/>
      <c r="S40" s="114" t="s">
        <v>6</v>
      </c>
      <c r="T40" s="131"/>
      <c r="U40" s="131"/>
      <c r="V40" s="131"/>
      <c r="W40" s="131"/>
      <c r="X40" s="131"/>
      <c r="Y40" s="115"/>
      <c r="Z40" s="324" t="s">
        <v>33</v>
      </c>
      <c r="AA40" s="325"/>
      <c r="AB40" s="325"/>
      <c r="AC40" s="325"/>
      <c r="AD40" s="325"/>
      <c r="AE40" s="325"/>
      <c r="AF40" s="325"/>
      <c r="AG40" s="325"/>
      <c r="AH40" s="325"/>
      <c r="AI40" s="325"/>
      <c r="AJ40" s="325"/>
      <c r="AK40" s="325"/>
      <c r="AL40" s="325"/>
      <c r="AM40" s="325"/>
      <c r="AN40" s="325"/>
      <c r="AO40" s="325"/>
      <c r="AP40" s="326"/>
      <c r="AQ40" s="122" t="s">
        <v>166</v>
      </c>
      <c r="AR40" s="123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3"/>
      <c r="BD40" s="123"/>
      <c r="BE40" s="123"/>
      <c r="BF40" s="123"/>
      <c r="BG40" s="123"/>
      <c r="BH40" s="123"/>
      <c r="BI40" s="123"/>
      <c r="BJ40" s="124"/>
      <c r="BK40" s="17"/>
    </row>
    <row r="41" spans="1:63" s="18" customFormat="1" ht="79.5" customHeight="1" x14ac:dyDescent="0.25">
      <c r="A41" s="13"/>
      <c r="B41" s="20"/>
      <c r="C41" s="114">
        <v>5</v>
      </c>
      <c r="D41" s="115"/>
      <c r="E41" s="347" t="s">
        <v>34</v>
      </c>
      <c r="F41" s="348"/>
      <c r="G41" s="348"/>
      <c r="H41" s="348"/>
      <c r="I41" s="348"/>
      <c r="J41" s="348"/>
      <c r="K41" s="349"/>
      <c r="L41" s="125" t="s">
        <v>4</v>
      </c>
      <c r="M41" s="126"/>
      <c r="N41" s="127"/>
      <c r="O41" s="128" t="s">
        <v>5</v>
      </c>
      <c r="P41" s="129"/>
      <c r="Q41" s="129"/>
      <c r="R41" s="130"/>
      <c r="S41" s="114" t="s">
        <v>6</v>
      </c>
      <c r="T41" s="131"/>
      <c r="U41" s="131"/>
      <c r="V41" s="131"/>
      <c r="W41" s="131"/>
      <c r="X41" s="131"/>
      <c r="Y41" s="115"/>
      <c r="Z41" s="324" t="s">
        <v>35</v>
      </c>
      <c r="AA41" s="325"/>
      <c r="AB41" s="325"/>
      <c r="AC41" s="325"/>
      <c r="AD41" s="325"/>
      <c r="AE41" s="325"/>
      <c r="AF41" s="325"/>
      <c r="AG41" s="325"/>
      <c r="AH41" s="325"/>
      <c r="AI41" s="325"/>
      <c r="AJ41" s="325"/>
      <c r="AK41" s="325"/>
      <c r="AL41" s="325"/>
      <c r="AM41" s="325"/>
      <c r="AN41" s="325"/>
      <c r="AO41" s="325"/>
      <c r="AP41" s="326"/>
      <c r="AQ41" s="188" t="s">
        <v>191</v>
      </c>
      <c r="AR41" s="189"/>
      <c r="AS41" s="189"/>
      <c r="AT41" s="189"/>
      <c r="AU41" s="189"/>
      <c r="AV41" s="189"/>
      <c r="AW41" s="189"/>
      <c r="AX41" s="189"/>
      <c r="AY41" s="189"/>
      <c r="AZ41" s="189"/>
      <c r="BA41" s="189"/>
      <c r="BB41" s="189"/>
      <c r="BC41" s="189"/>
      <c r="BD41" s="189"/>
      <c r="BE41" s="189"/>
      <c r="BF41" s="189"/>
      <c r="BG41" s="189"/>
      <c r="BH41" s="189"/>
      <c r="BI41" s="189"/>
      <c r="BJ41" s="190"/>
      <c r="BK41" s="17"/>
    </row>
    <row r="42" spans="1:63" s="18" customFormat="1" ht="30.75" customHeight="1" x14ac:dyDescent="0.25">
      <c r="A42" s="13"/>
      <c r="B42" s="20"/>
      <c r="C42" s="114">
        <v>6</v>
      </c>
      <c r="D42" s="115"/>
      <c r="E42" s="347" t="s">
        <v>36</v>
      </c>
      <c r="F42" s="348"/>
      <c r="G42" s="348"/>
      <c r="H42" s="348"/>
      <c r="I42" s="348"/>
      <c r="J42" s="348"/>
      <c r="K42" s="349"/>
      <c r="L42" s="125" t="s">
        <v>4</v>
      </c>
      <c r="M42" s="126"/>
      <c r="N42" s="127"/>
      <c r="O42" s="128" t="s">
        <v>5</v>
      </c>
      <c r="P42" s="129"/>
      <c r="Q42" s="129"/>
      <c r="R42" s="130"/>
      <c r="S42" s="114" t="s">
        <v>6</v>
      </c>
      <c r="T42" s="131"/>
      <c r="U42" s="131"/>
      <c r="V42" s="131"/>
      <c r="W42" s="131"/>
      <c r="X42" s="131"/>
      <c r="Y42" s="115"/>
      <c r="Z42" s="324" t="s">
        <v>37</v>
      </c>
      <c r="AA42" s="325"/>
      <c r="AB42" s="325"/>
      <c r="AC42" s="325"/>
      <c r="AD42" s="325"/>
      <c r="AE42" s="325"/>
      <c r="AF42" s="325"/>
      <c r="AG42" s="325"/>
      <c r="AH42" s="325"/>
      <c r="AI42" s="325"/>
      <c r="AJ42" s="325"/>
      <c r="AK42" s="325"/>
      <c r="AL42" s="325"/>
      <c r="AM42" s="325"/>
      <c r="AN42" s="325"/>
      <c r="AO42" s="325"/>
      <c r="AP42" s="326"/>
      <c r="AQ42" s="119" t="s">
        <v>167</v>
      </c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120"/>
      <c r="BG42" s="120"/>
      <c r="BH42" s="120"/>
      <c r="BI42" s="120"/>
      <c r="BJ42" s="121"/>
      <c r="BK42" s="17"/>
    </row>
    <row r="43" spans="1:63" s="18" customFormat="1" ht="100.5" customHeight="1" x14ac:dyDescent="0.25">
      <c r="A43" s="13"/>
      <c r="B43" s="20"/>
      <c r="C43" s="114">
        <v>7</v>
      </c>
      <c r="D43" s="115"/>
      <c r="E43" s="347" t="s">
        <v>38</v>
      </c>
      <c r="F43" s="348"/>
      <c r="G43" s="348"/>
      <c r="H43" s="348"/>
      <c r="I43" s="348"/>
      <c r="J43" s="348"/>
      <c r="K43" s="349"/>
      <c r="L43" s="125" t="s">
        <v>4</v>
      </c>
      <c r="M43" s="126"/>
      <c r="N43" s="127"/>
      <c r="O43" s="128" t="s">
        <v>5</v>
      </c>
      <c r="P43" s="129"/>
      <c r="Q43" s="129"/>
      <c r="R43" s="130"/>
      <c r="S43" s="114" t="s">
        <v>6</v>
      </c>
      <c r="T43" s="131"/>
      <c r="U43" s="131"/>
      <c r="V43" s="131"/>
      <c r="W43" s="131"/>
      <c r="X43" s="131"/>
      <c r="Y43" s="115"/>
      <c r="Z43" s="324" t="s">
        <v>39</v>
      </c>
      <c r="AA43" s="325"/>
      <c r="AB43" s="325"/>
      <c r="AC43" s="325"/>
      <c r="AD43" s="325"/>
      <c r="AE43" s="325"/>
      <c r="AF43" s="325"/>
      <c r="AG43" s="325"/>
      <c r="AH43" s="325"/>
      <c r="AI43" s="325"/>
      <c r="AJ43" s="325"/>
      <c r="AK43" s="325"/>
      <c r="AL43" s="325"/>
      <c r="AM43" s="325"/>
      <c r="AN43" s="325"/>
      <c r="AO43" s="325"/>
      <c r="AP43" s="326"/>
      <c r="AQ43" s="199" t="s">
        <v>168</v>
      </c>
      <c r="AR43" s="200"/>
      <c r="AS43" s="200"/>
      <c r="AT43" s="200"/>
      <c r="AU43" s="200"/>
      <c r="AV43" s="200"/>
      <c r="AW43" s="200"/>
      <c r="AX43" s="200"/>
      <c r="AY43" s="200"/>
      <c r="AZ43" s="200"/>
      <c r="BA43" s="200"/>
      <c r="BB43" s="200"/>
      <c r="BC43" s="200"/>
      <c r="BD43" s="200"/>
      <c r="BE43" s="200"/>
      <c r="BF43" s="200"/>
      <c r="BG43" s="200"/>
      <c r="BH43" s="200"/>
      <c r="BI43" s="200"/>
      <c r="BJ43" s="201"/>
      <c r="BK43" s="17"/>
    </row>
    <row r="44" spans="1:63" s="18" customFormat="1" ht="15" customHeight="1" x14ac:dyDescent="0.25">
      <c r="A44" s="13"/>
      <c r="B44" s="20"/>
      <c r="C44" s="114">
        <v>8</v>
      </c>
      <c r="D44" s="115"/>
      <c r="E44" s="347" t="s">
        <v>43</v>
      </c>
      <c r="F44" s="348"/>
      <c r="G44" s="348"/>
      <c r="H44" s="348"/>
      <c r="I44" s="348"/>
      <c r="J44" s="348"/>
      <c r="K44" s="349"/>
      <c r="L44" s="156" t="s">
        <v>4</v>
      </c>
      <c r="M44" s="157"/>
      <c r="N44" s="158"/>
      <c r="O44" s="128" t="s">
        <v>44</v>
      </c>
      <c r="P44" s="129"/>
      <c r="Q44" s="129"/>
      <c r="R44" s="130"/>
      <c r="S44" s="114" t="s">
        <v>6</v>
      </c>
      <c r="T44" s="131"/>
      <c r="U44" s="131"/>
      <c r="V44" s="131"/>
      <c r="W44" s="131"/>
      <c r="X44" s="131"/>
      <c r="Y44" s="115"/>
      <c r="Z44" s="324" t="s">
        <v>48</v>
      </c>
      <c r="AA44" s="325"/>
      <c r="AB44" s="325"/>
      <c r="AC44" s="325"/>
      <c r="AD44" s="325"/>
      <c r="AE44" s="325"/>
      <c r="AF44" s="325"/>
      <c r="AG44" s="325"/>
      <c r="AH44" s="325"/>
      <c r="AI44" s="325"/>
      <c r="AJ44" s="325"/>
      <c r="AK44" s="325"/>
      <c r="AL44" s="325"/>
      <c r="AM44" s="325"/>
      <c r="AN44" s="325"/>
      <c r="AO44" s="325"/>
      <c r="AP44" s="326"/>
      <c r="AQ44" s="168" t="s">
        <v>169</v>
      </c>
      <c r="AR44" s="169"/>
      <c r="AS44" s="169"/>
      <c r="AT44" s="169"/>
      <c r="AU44" s="169"/>
      <c r="AV44" s="169"/>
      <c r="AW44" s="169"/>
      <c r="AX44" s="169"/>
      <c r="AY44" s="169"/>
      <c r="AZ44" s="169"/>
      <c r="BA44" s="169"/>
      <c r="BB44" s="169"/>
      <c r="BC44" s="169"/>
      <c r="BD44" s="169"/>
      <c r="BE44" s="169"/>
      <c r="BF44" s="169"/>
      <c r="BG44" s="169"/>
      <c r="BH44" s="169"/>
      <c r="BI44" s="169"/>
      <c r="BJ44" s="170"/>
      <c r="BK44" s="17"/>
    </row>
    <row r="45" spans="1:63" s="18" customFormat="1" ht="30" customHeight="1" x14ac:dyDescent="0.25">
      <c r="A45" s="13"/>
      <c r="B45" s="20"/>
      <c r="C45" s="114">
        <v>9</v>
      </c>
      <c r="D45" s="115"/>
      <c r="E45" s="347" t="s">
        <v>27</v>
      </c>
      <c r="F45" s="348"/>
      <c r="G45" s="348"/>
      <c r="H45" s="348"/>
      <c r="I45" s="348"/>
      <c r="J45" s="348"/>
      <c r="K45" s="349"/>
      <c r="L45" s="125" t="s">
        <v>6</v>
      </c>
      <c r="M45" s="126"/>
      <c r="N45" s="127"/>
      <c r="O45" s="128" t="s">
        <v>5</v>
      </c>
      <c r="P45" s="129"/>
      <c r="Q45" s="129"/>
      <c r="R45" s="130"/>
      <c r="S45" s="114" t="s">
        <v>6</v>
      </c>
      <c r="T45" s="131"/>
      <c r="U45" s="131"/>
      <c r="V45" s="131"/>
      <c r="W45" s="131"/>
      <c r="X45" s="131"/>
      <c r="Y45" s="115"/>
      <c r="Z45" s="324" t="s">
        <v>47</v>
      </c>
      <c r="AA45" s="325"/>
      <c r="AB45" s="325"/>
      <c r="AC45" s="325"/>
      <c r="AD45" s="325"/>
      <c r="AE45" s="325"/>
      <c r="AF45" s="325"/>
      <c r="AG45" s="325"/>
      <c r="AH45" s="325"/>
      <c r="AI45" s="325"/>
      <c r="AJ45" s="325"/>
      <c r="AK45" s="325"/>
      <c r="AL45" s="325"/>
      <c r="AM45" s="325"/>
      <c r="AN45" s="325"/>
      <c r="AO45" s="325"/>
      <c r="AP45" s="326"/>
      <c r="AQ45" s="119" t="s">
        <v>170</v>
      </c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20"/>
      <c r="BJ45" s="121"/>
      <c r="BK45" s="17"/>
    </row>
    <row r="46" spans="1:63" s="18" customFormat="1" ht="15" customHeight="1" x14ac:dyDescent="0.25">
      <c r="A46" s="13"/>
      <c r="B46" s="20"/>
      <c r="C46" s="114">
        <v>10</v>
      </c>
      <c r="D46" s="115"/>
      <c r="E46" s="128" t="s">
        <v>45</v>
      </c>
      <c r="F46" s="129"/>
      <c r="G46" s="129"/>
      <c r="H46" s="129"/>
      <c r="I46" s="129"/>
      <c r="J46" s="129"/>
      <c r="K46" s="130"/>
      <c r="L46" s="125" t="s">
        <v>6</v>
      </c>
      <c r="M46" s="126"/>
      <c r="N46" s="127"/>
      <c r="O46" s="128" t="s">
        <v>44</v>
      </c>
      <c r="P46" s="129"/>
      <c r="Q46" s="129"/>
      <c r="R46" s="130"/>
      <c r="S46" s="114" t="s">
        <v>6</v>
      </c>
      <c r="T46" s="131"/>
      <c r="U46" s="131"/>
      <c r="V46" s="131"/>
      <c r="W46" s="131"/>
      <c r="X46" s="131"/>
      <c r="Y46" s="115"/>
      <c r="Z46" s="324" t="s">
        <v>46</v>
      </c>
      <c r="AA46" s="325"/>
      <c r="AB46" s="325"/>
      <c r="AC46" s="325"/>
      <c r="AD46" s="325"/>
      <c r="AE46" s="325"/>
      <c r="AF46" s="325"/>
      <c r="AG46" s="325"/>
      <c r="AH46" s="325"/>
      <c r="AI46" s="325"/>
      <c r="AJ46" s="325"/>
      <c r="AK46" s="325"/>
      <c r="AL46" s="325"/>
      <c r="AM46" s="325"/>
      <c r="AN46" s="325"/>
      <c r="AO46" s="325"/>
      <c r="AP46" s="326"/>
      <c r="AQ46" s="122"/>
      <c r="AR46" s="123"/>
      <c r="AS46" s="123"/>
      <c r="AT46" s="123"/>
      <c r="AU46" s="123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123"/>
      <c r="BJ46" s="124"/>
      <c r="BK46" s="17"/>
    </row>
    <row r="47" spans="1:63" s="18" customFormat="1" ht="15" customHeight="1" x14ac:dyDescent="0.25">
      <c r="A47" s="13"/>
      <c r="B47" s="20"/>
      <c r="C47" s="114">
        <v>11</v>
      </c>
      <c r="D47" s="115"/>
      <c r="E47" s="128" t="s">
        <v>50</v>
      </c>
      <c r="F47" s="129"/>
      <c r="G47" s="129"/>
      <c r="H47" s="129"/>
      <c r="I47" s="129"/>
      <c r="J47" s="129"/>
      <c r="K47" s="130"/>
      <c r="L47" s="125" t="s">
        <v>6</v>
      </c>
      <c r="M47" s="126"/>
      <c r="N47" s="127"/>
      <c r="O47" s="128" t="s">
        <v>44</v>
      </c>
      <c r="P47" s="129"/>
      <c r="Q47" s="129"/>
      <c r="R47" s="130"/>
      <c r="S47" s="114" t="s">
        <v>6</v>
      </c>
      <c r="T47" s="131"/>
      <c r="U47" s="131"/>
      <c r="V47" s="131"/>
      <c r="W47" s="131"/>
      <c r="X47" s="131"/>
      <c r="Y47" s="115"/>
      <c r="Z47" s="324" t="s">
        <v>51</v>
      </c>
      <c r="AA47" s="325"/>
      <c r="AB47" s="325"/>
      <c r="AC47" s="325"/>
      <c r="AD47" s="325"/>
      <c r="AE47" s="325"/>
      <c r="AF47" s="325"/>
      <c r="AG47" s="325"/>
      <c r="AH47" s="325"/>
      <c r="AI47" s="325"/>
      <c r="AJ47" s="325"/>
      <c r="AK47" s="325"/>
      <c r="AL47" s="325"/>
      <c r="AM47" s="325"/>
      <c r="AN47" s="325"/>
      <c r="AO47" s="325"/>
      <c r="AP47" s="326"/>
      <c r="AQ47" s="122"/>
      <c r="AR47" s="123"/>
      <c r="AS47" s="123"/>
      <c r="AT47" s="123"/>
      <c r="AU47" s="123"/>
      <c r="AV47" s="123"/>
      <c r="AW47" s="123"/>
      <c r="AX47" s="123"/>
      <c r="AY47" s="123"/>
      <c r="AZ47" s="123"/>
      <c r="BA47" s="123"/>
      <c r="BB47" s="123"/>
      <c r="BC47" s="123"/>
      <c r="BD47" s="123"/>
      <c r="BE47" s="123"/>
      <c r="BF47" s="123"/>
      <c r="BG47" s="123"/>
      <c r="BH47" s="123"/>
      <c r="BI47" s="123"/>
      <c r="BJ47" s="124"/>
      <c r="BK47" s="17"/>
    </row>
    <row r="48" spans="1:63" s="351" customFormat="1" ht="15" customHeight="1" x14ac:dyDescent="0.25">
      <c r="A48" s="350"/>
      <c r="B48" s="308"/>
      <c r="C48" s="324">
        <v>12</v>
      </c>
      <c r="D48" s="326"/>
      <c r="E48" s="347" t="s">
        <v>114</v>
      </c>
      <c r="F48" s="348"/>
      <c r="G48" s="348"/>
      <c r="H48" s="348"/>
      <c r="I48" s="348"/>
      <c r="J48" s="348"/>
      <c r="K48" s="349"/>
      <c r="L48" s="245" t="s">
        <v>6</v>
      </c>
      <c r="M48" s="246"/>
      <c r="N48" s="247"/>
      <c r="O48" s="347" t="s">
        <v>110</v>
      </c>
      <c r="P48" s="348"/>
      <c r="Q48" s="348"/>
      <c r="R48" s="349"/>
      <c r="S48" s="324" t="s">
        <v>6</v>
      </c>
      <c r="T48" s="325"/>
      <c r="U48" s="325"/>
      <c r="V48" s="325"/>
      <c r="W48" s="325"/>
      <c r="X48" s="325"/>
      <c r="Y48" s="326"/>
      <c r="Z48" s="324" t="s">
        <v>115</v>
      </c>
      <c r="AA48" s="325"/>
      <c r="AB48" s="325"/>
      <c r="AC48" s="325"/>
      <c r="AD48" s="325"/>
      <c r="AE48" s="325"/>
      <c r="AF48" s="325"/>
      <c r="AG48" s="325"/>
      <c r="AH48" s="325"/>
      <c r="AI48" s="325"/>
      <c r="AJ48" s="325"/>
      <c r="AK48" s="325"/>
      <c r="AL48" s="325"/>
      <c r="AM48" s="325"/>
      <c r="AN48" s="325"/>
      <c r="AO48" s="325"/>
      <c r="AP48" s="326"/>
      <c r="AQ48" s="309"/>
      <c r="AR48" s="310"/>
      <c r="AS48" s="310"/>
      <c r="AT48" s="310"/>
      <c r="AU48" s="310"/>
      <c r="AV48" s="310"/>
      <c r="AW48" s="310"/>
      <c r="AX48" s="310"/>
      <c r="AY48" s="310"/>
      <c r="AZ48" s="310"/>
      <c r="BA48" s="310"/>
      <c r="BB48" s="310"/>
      <c r="BC48" s="310"/>
      <c r="BD48" s="310"/>
      <c r="BE48" s="310"/>
      <c r="BF48" s="310"/>
      <c r="BG48" s="310"/>
      <c r="BH48" s="310"/>
      <c r="BI48" s="310"/>
      <c r="BJ48" s="311"/>
      <c r="BK48" s="305"/>
    </row>
    <row r="49" spans="1:63" s="18" customFormat="1" ht="15" customHeight="1" x14ac:dyDescent="0.25">
      <c r="A49" s="13"/>
      <c r="B49" s="20"/>
      <c r="C49" s="114">
        <v>13</v>
      </c>
      <c r="D49" s="115"/>
      <c r="E49" s="347" t="s">
        <v>105</v>
      </c>
      <c r="F49" s="348"/>
      <c r="G49" s="348"/>
      <c r="H49" s="348"/>
      <c r="I49" s="348"/>
      <c r="J49" s="348"/>
      <c r="K49" s="349"/>
      <c r="L49" s="245" t="s">
        <v>6</v>
      </c>
      <c r="M49" s="246"/>
      <c r="N49" s="247"/>
      <c r="O49" s="347" t="s">
        <v>110</v>
      </c>
      <c r="P49" s="348"/>
      <c r="Q49" s="348"/>
      <c r="R49" s="349"/>
      <c r="S49" s="324" t="s">
        <v>6</v>
      </c>
      <c r="T49" s="325"/>
      <c r="U49" s="325"/>
      <c r="V49" s="325"/>
      <c r="W49" s="325"/>
      <c r="X49" s="325"/>
      <c r="Y49" s="326"/>
      <c r="Z49" s="324" t="s">
        <v>108</v>
      </c>
      <c r="AA49" s="325"/>
      <c r="AB49" s="325"/>
      <c r="AC49" s="325"/>
      <c r="AD49" s="325"/>
      <c r="AE49" s="325"/>
      <c r="AF49" s="325"/>
      <c r="AG49" s="325"/>
      <c r="AH49" s="325"/>
      <c r="AI49" s="325"/>
      <c r="AJ49" s="325"/>
      <c r="AK49" s="325"/>
      <c r="AL49" s="325"/>
      <c r="AM49" s="325"/>
      <c r="AN49" s="325"/>
      <c r="AO49" s="325"/>
      <c r="AP49" s="326"/>
      <c r="AQ49" s="211"/>
      <c r="AR49" s="212"/>
      <c r="AS49" s="212"/>
      <c r="AT49" s="212"/>
      <c r="AU49" s="212"/>
      <c r="AV49" s="212"/>
      <c r="AW49" s="212"/>
      <c r="AX49" s="212"/>
      <c r="AY49" s="212"/>
      <c r="AZ49" s="212"/>
      <c r="BA49" s="212"/>
      <c r="BB49" s="212"/>
      <c r="BC49" s="212"/>
      <c r="BD49" s="212"/>
      <c r="BE49" s="212"/>
      <c r="BF49" s="212"/>
      <c r="BG49" s="212"/>
      <c r="BH49" s="212"/>
      <c r="BI49" s="212"/>
      <c r="BJ49" s="213"/>
      <c r="BK49" s="17"/>
    </row>
    <row r="50" spans="1:63" s="18" customFormat="1" ht="15" customHeight="1" x14ac:dyDescent="0.25">
      <c r="A50" s="13"/>
      <c r="B50" s="20"/>
      <c r="C50" s="114">
        <v>14</v>
      </c>
      <c r="D50" s="115"/>
      <c r="E50" s="347" t="s">
        <v>106</v>
      </c>
      <c r="F50" s="348"/>
      <c r="G50" s="348"/>
      <c r="H50" s="348"/>
      <c r="I50" s="348"/>
      <c r="J50" s="348"/>
      <c r="K50" s="349"/>
      <c r="L50" s="245" t="s">
        <v>6</v>
      </c>
      <c r="M50" s="246"/>
      <c r="N50" s="247"/>
      <c r="O50" s="347" t="s">
        <v>110</v>
      </c>
      <c r="P50" s="348"/>
      <c r="Q50" s="348"/>
      <c r="R50" s="349"/>
      <c r="S50" s="324" t="s">
        <v>6</v>
      </c>
      <c r="T50" s="325"/>
      <c r="U50" s="325"/>
      <c r="V50" s="325"/>
      <c r="W50" s="325"/>
      <c r="X50" s="325"/>
      <c r="Y50" s="326"/>
      <c r="Z50" s="324" t="s">
        <v>109</v>
      </c>
      <c r="AA50" s="325"/>
      <c r="AB50" s="325"/>
      <c r="AC50" s="325"/>
      <c r="AD50" s="325"/>
      <c r="AE50" s="325"/>
      <c r="AF50" s="325"/>
      <c r="AG50" s="325"/>
      <c r="AH50" s="325"/>
      <c r="AI50" s="325"/>
      <c r="AJ50" s="325"/>
      <c r="AK50" s="325"/>
      <c r="AL50" s="325"/>
      <c r="AM50" s="325"/>
      <c r="AN50" s="325"/>
      <c r="AO50" s="325"/>
      <c r="AP50" s="326"/>
      <c r="AQ50" s="211"/>
      <c r="AR50" s="212"/>
      <c r="AS50" s="212"/>
      <c r="AT50" s="212"/>
      <c r="AU50" s="212"/>
      <c r="AV50" s="212"/>
      <c r="AW50" s="212"/>
      <c r="AX50" s="212"/>
      <c r="AY50" s="212"/>
      <c r="AZ50" s="212"/>
      <c r="BA50" s="212"/>
      <c r="BB50" s="212"/>
      <c r="BC50" s="212"/>
      <c r="BD50" s="212"/>
      <c r="BE50" s="212"/>
      <c r="BF50" s="212"/>
      <c r="BG50" s="212"/>
      <c r="BH50" s="212"/>
      <c r="BI50" s="212"/>
      <c r="BJ50" s="213"/>
      <c r="BK50" s="17"/>
    </row>
    <row r="51" spans="1:63" s="18" customFormat="1" ht="15" customHeight="1" x14ac:dyDescent="0.25">
      <c r="A51" s="13"/>
      <c r="B51" s="20"/>
      <c r="C51" s="114">
        <v>15</v>
      </c>
      <c r="D51" s="115"/>
      <c r="E51" s="347" t="s">
        <v>52</v>
      </c>
      <c r="F51" s="348"/>
      <c r="G51" s="348"/>
      <c r="H51" s="348"/>
      <c r="I51" s="348"/>
      <c r="J51" s="348"/>
      <c r="K51" s="349"/>
      <c r="L51" s="125" t="s">
        <v>6</v>
      </c>
      <c r="M51" s="126"/>
      <c r="N51" s="127"/>
      <c r="O51" s="128" t="s">
        <v>5</v>
      </c>
      <c r="P51" s="129"/>
      <c r="Q51" s="129"/>
      <c r="R51" s="130"/>
      <c r="S51" s="114" t="s">
        <v>6</v>
      </c>
      <c r="T51" s="131"/>
      <c r="U51" s="131"/>
      <c r="V51" s="131"/>
      <c r="W51" s="131"/>
      <c r="X51" s="131"/>
      <c r="Y51" s="115"/>
      <c r="Z51" s="324" t="s">
        <v>53</v>
      </c>
      <c r="AA51" s="325"/>
      <c r="AB51" s="325"/>
      <c r="AC51" s="325"/>
      <c r="AD51" s="325"/>
      <c r="AE51" s="325"/>
      <c r="AF51" s="325"/>
      <c r="AG51" s="325"/>
      <c r="AH51" s="325"/>
      <c r="AI51" s="325"/>
      <c r="AJ51" s="325"/>
      <c r="AK51" s="325"/>
      <c r="AL51" s="325"/>
      <c r="AM51" s="325"/>
      <c r="AN51" s="325"/>
      <c r="AO51" s="325"/>
      <c r="AP51" s="326"/>
      <c r="AQ51" s="122"/>
      <c r="AR51" s="123"/>
      <c r="AS51" s="123"/>
      <c r="AT51" s="123"/>
      <c r="AU51" s="123"/>
      <c r="AV51" s="123"/>
      <c r="AW51" s="123"/>
      <c r="AX51" s="123"/>
      <c r="AY51" s="123"/>
      <c r="AZ51" s="123"/>
      <c r="BA51" s="123"/>
      <c r="BB51" s="123"/>
      <c r="BC51" s="123"/>
      <c r="BD51" s="123"/>
      <c r="BE51" s="123"/>
      <c r="BF51" s="123"/>
      <c r="BG51" s="123"/>
      <c r="BH51" s="123"/>
      <c r="BI51" s="123"/>
      <c r="BJ51" s="124"/>
      <c r="BK51" s="17"/>
    </row>
    <row r="52" spans="1:63" s="18" customFormat="1" ht="15" customHeight="1" x14ac:dyDescent="0.25">
      <c r="A52" s="13"/>
      <c r="B52" s="20"/>
      <c r="C52" s="114">
        <v>16</v>
      </c>
      <c r="D52" s="115"/>
      <c r="E52" s="347" t="s">
        <v>54</v>
      </c>
      <c r="F52" s="348"/>
      <c r="G52" s="348"/>
      <c r="H52" s="348"/>
      <c r="I52" s="348"/>
      <c r="J52" s="348"/>
      <c r="K52" s="349"/>
      <c r="L52" s="125" t="s">
        <v>6</v>
      </c>
      <c r="M52" s="126"/>
      <c r="N52" s="127"/>
      <c r="O52" s="128" t="s">
        <v>76</v>
      </c>
      <c r="P52" s="129"/>
      <c r="Q52" s="129"/>
      <c r="R52" s="130"/>
      <c r="S52" s="114" t="s">
        <v>6</v>
      </c>
      <c r="T52" s="131"/>
      <c r="U52" s="131"/>
      <c r="V52" s="131"/>
      <c r="W52" s="131"/>
      <c r="X52" s="131"/>
      <c r="Y52" s="115"/>
      <c r="Z52" s="324"/>
      <c r="AA52" s="325"/>
      <c r="AB52" s="325"/>
      <c r="AC52" s="325"/>
      <c r="AD52" s="325"/>
      <c r="AE52" s="325"/>
      <c r="AF52" s="325"/>
      <c r="AG52" s="325"/>
      <c r="AH52" s="325"/>
      <c r="AI52" s="325"/>
      <c r="AJ52" s="325"/>
      <c r="AK52" s="325"/>
      <c r="AL52" s="325"/>
      <c r="AM52" s="325"/>
      <c r="AN52" s="325"/>
      <c r="AO52" s="325"/>
      <c r="AP52" s="326"/>
      <c r="AQ52" s="122"/>
      <c r="AR52" s="123"/>
      <c r="AS52" s="123"/>
      <c r="AT52" s="123"/>
      <c r="AU52" s="123"/>
      <c r="AV52" s="123"/>
      <c r="AW52" s="123"/>
      <c r="AX52" s="123"/>
      <c r="AY52" s="123"/>
      <c r="AZ52" s="123"/>
      <c r="BA52" s="123"/>
      <c r="BB52" s="123"/>
      <c r="BC52" s="123"/>
      <c r="BD52" s="123"/>
      <c r="BE52" s="123"/>
      <c r="BF52" s="123"/>
      <c r="BG52" s="123"/>
      <c r="BH52" s="123"/>
      <c r="BI52" s="123"/>
      <c r="BJ52" s="124"/>
      <c r="BK52" s="17"/>
    </row>
    <row r="53" spans="1:63" s="57" customFormat="1" ht="65.25" customHeight="1" x14ac:dyDescent="0.25">
      <c r="A53" s="54"/>
      <c r="B53" s="55"/>
      <c r="C53" s="202">
        <v>17</v>
      </c>
      <c r="D53" s="203"/>
      <c r="E53" s="204" t="s">
        <v>162</v>
      </c>
      <c r="F53" s="205"/>
      <c r="G53" s="205"/>
      <c r="H53" s="205"/>
      <c r="I53" s="205"/>
      <c r="J53" s="205"/>
      <c r="K53" s="206"/>
      <c r="L53" s="196" t="s">
        <v>6</v>
      </c>
      <c r="M53" s="197"/>
      <c r="N53" s="198"/>
      <c r="O53" s="165" t="s">
        <v>163</v>
      </c>
      <c r="P53" s="166"/>
      <c r="Q53" s="166"/>
      <c r="R53" s="167"/>
      <c r="S53" s="165" t="s">
        <v>6</v>
      </c>
      <c r="T53" s="166"/>
      <c r="U53" s="166"/>
      <c r="V53" s="166"/>
      <c r="W53" s="166"/>
      <c r="X53" s="166"/>
      <c r="Y53" s="167"/>
      <c r="Z53" s="165"/>
      <c r="AA53" s="166"/>
      <c r="AB53" s="166"/>
      <c r="AC53" s="166"/>
      <c r="AD53" s="166"/>
      <c r="AE53" s="166"/>
      <c r="AF53" s="166"/>
      <c r="AG53" s="166"/>
      <c r="AH53" s="166"/>
      <c r="AI53" s="166"/>
      <c r="AJ53" s="166"/>
      <c r="AK53" s="166"/>
      <c r="AL53" s="166"/>
      <c r="AM53" s="166"/>
      <c r="AN53" s="166"/>
      <c r="AO53" s="166"/>
      <c r="AP53" s="167"/>
      <c r="AQ53" s="159" t="s">
        <v>164</v>
      </c>
      <c r="AR53" s="160"/>
      <c r="AS53" s="160"/>
      <c r="AT53" s="160"/>
      <c r="AU53" s="160"/>
      <c r="AV53" s="160"/>
      <c r="AW53" s="160"/>
      <c r="AX53" s="160"/>
      <c r="AY53" s="160"/>
      <c r="AZ53" s="160"/>
      <c r="BA53" s="160"/>
      <c r="BB53" s="160"/>
      <c r="BC53" s="160"/>
      <c r="BD53" s="160"/>
      <c r="BE53" s="160"/>
      <c r="BF53" s="160"/>
      <c r="BG53" s="160"/>
      <c r="BH53" s="160"/>
      <c r="BI53" s="160"/>
      <c r="BJ53" s="161"/>
      <c r="BK53" s="56"/>
    </row>
    <row r="54" spans="1:63" s="18" customFormat="1" ht="46.5" customHeight="1" x14ac:dyDescent="0.25">
      <c r="A54" s="13"/>
      <c r="B54" s="20"/>
      <c r="C54" s="128">
        <v>18</v>
      </c>
      <c r="D54" s="130"/>
      <c r="E54" s="132" t="s">
        <v>28</v>
      </c>
      <c r="F54" s="133"/>
      <c r="G54" s="133"/>
      <c r="H54" s="133"/>
      <c r="I54" s="133"/>
      <c r="J54" s="133"/>
      <c r="K54" s="134"/>
      <c r="L54" s="125" t="s">
        <v>6</v>
      </c>
      <c r="M54" s="126"/>
      <c r="N54" s="127"/>
      <c r="O54" s="132" t="s">
        <v>42</v>
      </c>
      <c r="P54" s="133"/>
      <c r="Q54" s="133"/>
      <c r="R54" s="134"/>
      <c r="S54" s="114" t="s">
        <v>6</v>
      </c>
      <c r="T54" s="131"/>
      <c r="U54" s="131"/>
      <c r="V54" s="131"/>
      <c r="W54" s="131"/>
      <c r="X54" s="131"/>
      <c r="Y54" s="115"/>
      <c r="Z54" s="324" t="s">
        <v>55</v>
      </c>
      <c r="AA54" s="325"/>
      <c r="AB54" s="325"/>
      <c r="AC54" s="325"/>
      <c r="AD54" s="325"/>
      <c r="AE54" s="325"/>
      <c r="AF54" s="325"/>
      <c r="AG54" s="325"/>
      <c r="AH54" s="325"/>
      <c r="AI54" s="325"/>
      <c r="AJ54" s="325"/>
      <c r="AK54" s="325"/>
      <c r="AL54" s="325"/>
      <c r="AM54" s="325"/>
      <c r="AN54" s="325"/>
      <c r="AO54" s="325"/>
      <c r="AP54" s="326"/>
      <c r="AQ54" s="119" t="s">
        <v>171</v>
      </c>
      <c r="AR54" s="123"/>
      <c r="AS54" s="123"/>
      <c r="AT54" s="123"/>
      <c r="AU54" s="123"/>
      <c r="AV54" s="123"/>
      <c r="AW54" s="123"/>
      <c r="AX54" s="123"/>
      <c r="AY54" s="123"/>
      <c r="AZ54" s="123"/>
      <c r="BA54" s="123"/>
      <c r="BB54" s="123"/>
      <c r="BC54" s="123"/>
      <c r="BD54" s="123"/>
      <c r="BE54" s="123"/>
      <c r="BF54" s="123"/>
      <c r="BG54" s="123"/>
      <c r="BH54" s="123"/>
      <c r="BI54" s="123"/>
      <c r="BJ54" s="124"/>
      <c r="BK54" s="17"/>
    </row>
    <row r="55" spans="1:63" s="18" customFormat="1" ht="15" customHeight="1" x14ac:dyDescent="0.25">
      <c r="A55" s="13"/>
      <c r="B55" s="20"/>
      <c r="C55" s="128">
        <v>19</v>
      </c>
      <c r="D55" s="130"/>
      <c r="E55" s="132" t="s">
        <v>26</v>
      </c>
      <c r="F55" s="133"/>
      <c r="G55" s="133"/>
      <c r="H55" s="133"/>
      <c r="I55" s="133"/>
      <c r="J55" s="133"/>
      <c r="K55" s="134"/>
      <c r="L55" s="125" t="s">
        <v>6</v>
      </c>
      <c r="M55" s="126"/>
      <c r="N55" s="127"/>
      <c r="O55" s="132" t="s">
        <v>5</v>
      </c>
      <c r="P55" s="133"/>
      <c r="Q55" s="133"/>
      <c r="R55" s="134"/>
      <c r="S55" s="114" t="s">
        <v>6</v>
      </c>
      <c r="T55" s="131"/>
      <c r="U55" s="131"/>
      <c r="V55" s="131"/>
      <c r="W55" s="131"/>
      <c r="X55" s="131"/>
      <c r="Y55" s="115"/>
      <c r="Z55" s="324" t="s">
        <v>56</v>
      </c>
      <c r="AA55" s="325"/>
      <c r="AB55" s="325"/>
      <c r="AC55" s="325"/>
      <c r="AD55" s="325"/>
      <c r="AE55" s="325"/>
      <c r="AF55" s="325"/>
      <c r="AG55" s="325"/>
      <c r="AH55" s="325"/>
      <c r="AI55" s="325"/>
      <c r="AJ55" s="325"/>
      <c r="AK55" s="325"/>
      <c r="AL55" s="325"/>
      <c r="AM55" s="325"/>
      <c r="AN55" s="325"/>
      <c r="AO55" s="325"/>
      <c r="AP55" s="326"/>
      <c r="AQ55" s="122"/>
      <c r="AR55" s="123"/>
      <c r="AS55" s="123"/>
      <c r="AT55" s="123"/>
      <c r="AU55" s="123"/>
      <c r="AV55" s="123"/>
      <c r="AW55" s="123"/>
      <c r="AX55" s="123"/>
      <c r="AY55" s="123"/>
      <c r="AZ55" s="123"/>
      <c r="BA55" s="123"/>
      <c r="BB55" s="123"/>
      <c r="BC55" s="123"/>
      <c r="BD55" s="123"/>
      <c r="BE55" s="123"/>
      <c r="BF55" s="123"/>
      <c r="BG55" s="123"/>
      <c r="BH55" s="123"/>
      <c r="BI55" s="123"/>
      <c r="BJ55" s="124"/>
      <c r="BK55" s="17"/>
    </row>
    <row r="56" spans="1:63" s="18" customFormat="1" ht="15" customHeight="1" x14ac:dyDescent="0.25">
      <c r="A56" s="13"/>
      <c r="B56" s="20"/>
      <c r="C56" s="128">
        <v>20</v>
      </c>
      <c r="D56" s="130"/>
      <c r="E56" s="352" t="s">
        <v>34</v>
      </c>
      <c r="F56" s="353"/>
      <c r="G56" s="353"/>
      <c r="H56" s="353"/>
      <c r="I56" s="353"/>
      <c r="J56" s="353"/>
      <c r="K56" s="354"/>
      <c r="L56" s="125" t="s">
        <v>6</v>
      </c>
      <c r="M56" s="126"/>
      <c r="N56" s="127"/>
      <c r="O56" s="132" t="s">
        <v>5</v>
      </c>
      <c r="P56" s="133"/>
      <c r="Q56" s="133"/>
      <c r="R56" s="134"/>
      <c r="S56" s="114" t="s">
        <v>6</v>
      </c>
      <c r="T56" s="131"/>
      <c r="U56" s="131"/>
      <c r="V56" s="131"/>
      <c r="W56" s="131"/>
      <c r="X56" s="131"/>
      <c r="Y56" s="115"/>
      <c r="Z56" s="324" t="s">
        <v>57</v>
      </c>
      <c r="AA56" s="325"/>
      <c r="AB56" s="325"/>
      <c r="AC56" s="325"/>
      <c r="AD56" s="325"/>
      <c r="AE56" s="325"/>
      <c r="AF56" s="325"/>
      <c r="AG56" s="325"/>
      <c r="AH56" s="325"/>
      <c r="AI56" s="325"/>
      <c r="AJ56" s="325"/>
      <c r="AK56" s="325"/>
      <c r="AL56" s="325"/>
      <c r="AM56" s="325"/>
      <c r="AN56" s="325"/>
      <c r="AO56" s="325"/>
      <c r="AP56" s="326"/>
      <c r="AQ56" s="122"/>
      <c r="AR56" s="123"/>
      <c r="AS56" s="123"/>
      <c r="AT56" s="123"/>
      <c r="AU56" s="123"/>
      <c r="AV56" s="123"/>
      <c r="AW56" s="123"/>
      <c r="AX56" s="123"/>
      <c r="AY56" s="123"/>
      <c r="AZ56" s="123"/>
      <c r="BA56" s="123"/>
      <c r="BB56" s="123"/>
      <c r="BC56" s="123"/>
      <c r="BD56" s="123"/>
      <c r="BE56" s="123"/>
      <c r="BF56" s="123"/>
      <c r="BG56" s="123"/>
      <c r="BH56" s="123"/>
      <c r="BI56" s="123"/>
      <c r="BJ56" s="124"/>
      <c r="BK56" s="17"/>
    </row>
    <row r="57" spans="1:63" s="18" customFormat="1" ht="15" customHeight="1" x14ac:dyDescent="0.25">
      <c r="A57" s="13"/>
      <c r="B57" s="20"/>
      <c r="C57" s="128">
        <v>21</v>
      </c>
      <c r="D57" s="130"/>
      <c r="E57" s="352" t="s">
        <v>43</v>
      </c>
      <c r="F57" s="353"/>
      <c r="G57" s="353"/>
      <c r="H57" s="353"/>
      <c r="I57" s="353"/>
      <c r="J57" s="353"/>
      <c r="K57" s="354"/>
      <c r="L57" s="125" t="s">
        <v>6</v>
      </c>
      <c r="M57" s="126"/>
      <c r="N57" s="127"/>
      <c r="O57" s="132" t="s">
        <v>44</v>
      </c>
      <c r="P57" s="133"/>
      <c r="Q57" s="133"/>
      <c r="R57" s="134"/>
      <c r="S57" s="114" t="s">
        <v>6</v>
      </c>
      <c r="T57" s="131"/>
      <c r="U57" s="131"/>
      <c r="V57" s="131"/>
      <c r="W57" s="131"/>
      <c r="X57" s="131"/>
      <c r="Y57" s="115"/>
      <c r="Z57" s="324" t="s">
        <v>59</v>
      </c>
      <c r="AA57" s="325"/>
      <c r="AB57" s="325"/>
      <c r="AC57" s="325"/>
      <c r="AD57" s="325"/>
      <c r="AE57" s="325"/>
      <c r="AF57" s="325"/>
      <c r="AG57" s="325"/>
      <c r="AH57" s="325"/>
      <c r="AI57" s="325"/>
      <c r="AJ57" s="325"/>
      <c r="AK57" s="325"/>
      <c r="AL57" s="325"/>
      <c r="AM57" s="325"/>
      <c r="AN57" s="325"/>
      <c r="AO57" s="325"/>
      <c r="AP57" s="326"/>
      <c r="AQ57" s="122"/>
      <c r="AR57" s="123"/>
      <c r="AS57" s="123"/>
      <c r="AT57" s="123"/>
      <c r="AU57" s="123"/>
      <c r="AV57" s="123"/>
      <c r="AW57" s="123"/>
      <c r="AX57" s="123"/>
      <c r="AY57" s="123"/>
      <c r="AZ57" s="123"/>
      <c r="BA57" s="123"/>
      <c r="BB57" s="123"/>
      <c r="BC57" s="123"/>
      <c r="BD57" s="123"/>
      <c r="BE57" s="123"/>
      <c r="BF57" s="123"/>
      <c r="BG57" s="123"/>
      <c r="BH57" s="123"/>
      <c r="BI57" s="123"/>
      <c r="BJ57" s="124"/>
      <c r="BK57" s="17"/>
    </row>
    <row r="58" spans="1:63" s="18" customFormat="1" ht="15" customHeight="1" x14ac:dyDescent="0.25">
      <c r="A58" s="13"/>
      <c r="B58" s="20"/>
      <c r="C58" s="128">
        <v>22</v>
      </c>
      <c r="D58" s="130"/>
      <c r="E58" s="352" t="s">
        <v>38</v>
      </c>
      <c r="F58" s="353"/>
      <c r="G58" s="353"/>
      <c r="H58" s="353"/>
      <c r="I58" s="353"/>
      <c r="J58" s="353"/>
      <c r="K58" s="354"/>
      <c r="L58" s="125" t="s">
        <v>6</v>
      </c>
      <c r="M58" s="126"/>
      <c r="N58" s="127"/>
      <c r="O58" s="132" t="s">
        <v>5</v>
      </c>
      <c r="P58" s="133"/>
      <c r="Q58" s="133"/>
      <c r="R58" s="134"/>
      <c r="S58" s="114" t="s">
        <v>6</v>
      </c>
      <c r="T58" s="131"/>
      <c r="U58" s="131"/>
      <c r="V58" s="131"/>
      <c r="W58" s="131"/>
      <c r="X58" s="131"/>
      <c r="Y58" s="115"/>
      <c r="Z58" s="324" t="s">
        <v>58</v>
      </c>
      <c r="AA58" s="325"/>
      <c r="AB58" s="325"/>
      <c r="AC58" s="325"/>
      <c r="AD58" s="325"/>
      <c r="AE58" s="325"/>
      <c r="AF58" s="325"/>
      <c r="AG58" s="325"/>
      <c r="AH58" s="325"/>
      <c r="AI58" s="325"/>
      <c r="AJ58" s="325"/>
      <c r="AK58" s="325"/>
      <c r="AL58" s="325"/>
      <c r="AM58" s="325"/>
      <c r="AN58" s="325"/>
      <c r="AO58" s="325"/>
      <c r="AP58" s="326"/>
      <c r="AQ58" s="119" t="s">
        <v>172</v>
      </c>
      <c r="AR58" s="123"/>
      <c r="AS58" s="123"/>
      <c r="AT58" s="123"/>
      <c r="AU58" s="123"/>
      <c r="AV58" s="123"/>
      <c r="AW58" s="123"/>
      <c r="AX58" s="123"/>
      <c r="AY58" s="123"/>
      <c r="AZ58" s="123"/>
      <c r="BA58" s="123"/>
      <c r="BB58" s="123"/>
      <c r="BC58" s="123"/>
      <c r="BD58" s="123"/>
      <c r="BE58" s="123"/>
      <c r="BF58" s="123"/>
      <c r="BG58" s="123"/>
      <c r="BH58" s="123"/>
      <c r="BI58" s="123"/>
      <c r="BJ58" s="124"/>
      <c r="BK58" s="17"/>
    </row>
    <row r="59" spans="1:63" s="18" customFormat="1" ht="66" customHeight="1" x14ac:dyDescent="0.25">
      <c r="A59" s="13"/>
      <c r="B59" s="20"/>
      <c r="C59" s="128">
        <v>23</v>
      </c>
      <c r="D59" s="130"/>
      <c r="E59" s="352" t="s">
        <v>96</v>
      </c>
      <c r="F59" s="353"/>
      <c r="G59" s="353"/>
      <c r="H59" s="353"/>
      <c r="I59" s="353"/>
      <c r="J59" s="353"/>
      <c r="K59" s="354"/>
      <c r="L59" s="125" t="s">
        <v>6</v>
      </c>
      <c r="M59" s="126"/>
      <c r="N59" s="127"/>
      <c r="O59" s="132" t="s">
        <v>44</v>
      </c>
      <c r="P59" s="133"/>
      <c r="Q59" s="133"/>
      <c r="R59" s="134"/>
      <c r="S59" s="114" t="s">
        <v>6</v>
      </c>
      <c r="T59" s="131"/>
      <c r="U59" s="131"/>
      <c r="V59" s="131"/>
      <c r="W59" s="131"/>
      <c r="X59" s="131"/>
      <c r="Y59" s="115"/>
      <c r="Z59" s="324" t="s">
        <v>97</v>
      </c>
      <c r="AA59" s="325"/>
      <c r="AB59" s="325"/>
      <c r="AC59" s="325"/>
      <c r="AD59" s="325"/>
      <c r="AE59" s="325"/>
      <c r="AF59" s="325"/>
      <c r="AG59" s="325"/>
      <c r="AH59" s="325"/>
      <c r="AI59" s="325"/>
      <c r="AJ59" s="325"/>
      <c r="AK59" s="325"/>
      <c r="AL59" s="325"/>
      <c r="AM59" s="325"/>
      <c r="AN59" s="325"/>
      <c r="AO59" s="325"/>
      <c r="AP59" s="326"/>
      <c r="AQ59" s="119" t="s">
        <v>173</v>
      </c>
      <c r="AR59" s="123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23"/>
      <c r="BJ59" s="124"/>
      <c r="BK59" s="17"/>
    </row>
    <row r="60" spans="1:63" s="18" customFormat="1" ht="15" customHeight="1" x14ac:dyDescent="0.25">
      <c r="A60" s="13"/>
      <c r="B60" s="20"/>
      <c r="C60" s="128">
        <v>24</v>
      </c>
      <c r="D60" s="130"/>
      <c r="E60" s="352" t="s">
        <v>60</v>
      </c>
      <c r="F60" s="353"/>
      <c r="G60" s="353"/>
      <c r="H60" s="353"/>
      <c r="I60" s="353"/>
      <c r="J60" s="353"/>
      <c r="K60" s="354"/>
      <c r="L60" s="125" t="s">
        <v>6</v>
      </c>
      <c r="M60" s="126"/>
      <c r="N60" s="127"/>
      <c r="O60" s="132" t="s">
        <v>107</v>
      </c>
      <c r="P60" s="133"/>
      <c r="Q60" s="133"/>
      <c r="R60" s="134"/>
      <c r="S60" s="114" t="s">
        <v>6</v>
      </c>
      <c r="T60" s="131"/>
      <c r="U60" s="131"/>
      <c r="V60" s="131"/>
      <c r="W60" s="131"/>
      <c r="X60" s="131"/>
      <c r="Y60" s="115"/>
      <c r="Z60" s="324" t="s">
        <v>61</v>
      </c>
      <c r="AA60" s="325"/>
      <c r="AB60" s="325"/>
      <c r="AC60" s="325"/>
      <c r="AD60" s="325"/>
      <c r="AE60" s="325"/>
      <c r="AF60" s="325"/>
      <c r="AG60" s="325"/>
      <c r="AH60" s="325"/>
      <c r="AI60" s="325"/>
      <c r="AJ60" s="325"/>
      <c r="AK60" s="325"/>
      <c r="AL60" s="325"/>
      <c r="AM60" s="325"/>
      <c r="AN60" s="325"/>
      <c r="AO60" s="325"/>
      <c r="AP60" s="326"/>
      <c r="AQ60" s="122"/>
      <c r="AR60" s="123"/>
      <c r="AS60" s="123"/>
      <c r="AT60" s="123"/>
      <c r="AU60" s="123"/>
      <c r="AV60" s="123"/>
      <c r="AW60" s="123"/>
      <c r="AX60" s="123"/>
      <c r="AY60" s="123"/>
      <c r="AZ60" s="123"/>
      <c r="BA60" s="123"/>
      <c r="BB60" s="123"/>
      <c r="BC60" s="123"/>
      <c r="BD60" s="123"/>
      <c r="BE60" s="123"/>
      <c r="BF60" s="123"/>
      <c r="BG60" s="123"/>
      <c r="BH60" s="123"/>
      <c r="BI60" s="123"/>
      <c r="BJ60" s="124"/>
      <c r="BK60" s="17"/>
    </row>
    <row r="61" spans="1:63" s="18" customFormat="1" ht="15" customHeight="1" x14ac:dyDescent="0.25">
      <c r="A61" s="13"/>
      <c r="B61" s="20"/>
      <c r="C61" s="128">
        <v>25</v>
      </c>
      <c r="D61" s="130"/>
      <c r="E61" s="352" t="s">
        <v>62</v>
      </c>
      <c r="F61" s="353"/>
      <c r="G61" s="353"/>
      <c r="H61" s="353"/>
      <c r="I61" s="353"/>
      <c r="J61" s="353"/>
      <c r="K61" s="354"/>
      <c r="L61" s="125" t="s">
        <v>6</v>
      </c>
      <c r="M61" s="126"/>
      <c r="N61" s="127"/>
      <c r="O61" s="132" t="s">
        <v>107</v>
      </c>
      <c r="P61" s="133"/>
      <c r="Q61" s="133"/>
      <c r="R61" s="134"/>
      <c r="S61" s="114" t="s">
        <v>6</v>
      </c>
      <c r="T61" s="131"/>
      <c r="U61" s="131"/>
      <c r="V61" s="131"/>
      <c r="W61" s="131"/>
      <c r="X61" s="131"/>
      <c r="Y61" s="115"/>
      <c r="Z61" s="324" t="s">
        <v>63</v>
      </c>
      <c r="AA61" s="325"/>
      <c r="AB61" s="325"/>
      <c r="AC61" s="325"/>
      <c r="AD61" s="325"/>
      <c r="AE61" s="325"/>
      <c r="AF61" s="325"/>
      <c r="AG61" s="325"/>
      <c r="AH61" s="325"/>
      <c r="AI61" s="325"/>
      <c r="AJ61" s="325"/>
      <c r="AK61" s="325"/>
      <c r="AL61" s="325"/>
      <c r="AM61" s="325"/>
      <c r="AN61" s="325"/>
      <c r="AO61" s="325"/>
      <c r="AP61" s="326"/>
      <c r="AQ61" s="122"/>
      <c r="AR61" s="123"/>
      <c r="AS61" s="123"/>
      <c r="AT61" s="123"/>
      <c r="AU61" s="123"/>
      <c r="AV61" s="123"/>
      <c r="AW61" s="123"/>
      <c r="AX61" s="123"/>
      <c r="AY61" s="123"/>
      <c r="AZ61" s="123"/>
      <c r="BA61" s="123"/>
      <c r="BB61" s="123"/>
      <c r="BC61" s="123"/>
      <c r="BD61" s="123"/>
      <c r="BE61" s="123"/>
      <c r="BF61" s="123"/>
      <c r="BG61" s="123"/>
      <c r="BH61" s="123"/>
      <c r="BI61" s="123"/>
      <c r="BJ61" s="124"/>
      <c r="BK61" s="17"/>
    </row>
    <row r="62" spans="1:63" s="18" customFormat="1" ht="15" customHeight="1" x14ac:dyDescent="0.25">
      <c r="A62" s="13"/>
      <c r="B62" s="20"/>
      <c r="C62" s="128">
        <v>26</v>
      </c>
      <c r="D62" s="130"/>
      <c r="E62" s="132" t="s">
        <v>64</v>
      </c>
      <c r="F62" s="133"/>
      <c r="G62" s="133"/>
      <c r="H62" s="133"/>
      <c r="I62" s="133"/>
      <c r="J62" s="133"/>
      <c r="K62" s="134"/>
      <c r="L62" s="125" t="s">
        <v>6</v>
      </c>
      <c r="M62" s="126"/>
      <c r="N62" s="127"/>
      <c r="O62" s="132" t="s">
        <v>107</v>
      </c>
      <c r="P62" s="133"/>
      <c r="Q62" s="133"/>
      <c r="R62" s="134"/>
      <c r="S62" s="114" t="s">
        <v>6</v>
      </c>
      <c r="T62" s="131"/>
      <c r="U62" s="131"/>
      <c r="V62" s="131"/>
      <c r="W62" s="131"/>
      <c r="X62" s="131"/>
      <c r="Y62" s="115"/>
      <c r="Z62" s="324" t="s">
        <v>65</v>
      </c>
      <c r="AA62" s="325"/>
      <c r="AB62" s="325"/>
      <c r="AC62" s="325"/>
      <c r="AD62" s="325"/>
      <c r="AE62" s="325"/>
      <c r="AF62" s="325"/>
      <c r="AG62" s="325"/>
      <c r="AH62" s="325"/>
      <c r="AI62" s="325"/>
      <c r="AJ62" s="325"/>
      <c r="AK62" s="325"/>
      <c r="AL62" s="325"/>
      <c r="AM62" s="325"/>
      <c r="AN62" s="325"/>
      <c r="AO62" s="325"/>
      <c r="AP62" s="326"/>
      <c r="AQ62" s="122"/>
      <c r="AR62" s="123"/>
      <c r="AS62" s="123"/>
      <c r="AT62" s="123"/>
      <c r="AU62" s="123"/>
      <c r="AV62" s="123"/>
      <c r="AW62" s="123"/>
      <c r="AX62" s="123"/>
      <c r="AY62" s="123"/>
      <c r="AZ62" s="123"/>
      <c r="BA62" s="123"/>
      <c r="BB62" s="123"/>
      <c r="BC62" s="123"/>
      <c r="BD62" s="123"/>
      <c r="BE62" s="123"/>
      <c r="BF62" s="123"/>
      <c r="BG62" s="123"/>
      <c r="BH62" s="123"/>
      <c r="BI62" s="123"/>
      <c r="BJ62" s="124"/>
      <c r="BK62" s="17"/>
    </row>
    <row r="63" spans="1:63" s="18" customFormat="1" ht="15" customHeight="1" x14ac:dyDescent="0.25">
      <c r="A63" s="13"/>
      <c r="B63" s="20"/>
      <c r="C63" s="128">
        <v>27</v>
      </c>
      <c r="D63" s="130"/>
      <c r="E63" s="132" t="s">
        <v>49</v>
      </c>
      <c r="F63" s="133"/>
      <c r="G63" s="133"/>
      <c r="H63" s="133"/>
      <c r="I63" s="133"/>
      <c r="J63" s="133"/>
      <c r="K63" s="134"/>
      <c r="L63" s="125" t="s">
        <v>6</v>
      </c>
      <c r="M63" s="126"/>
      <c r="N63" s="127"/>
      <c r="O63" s="132" t="s">
        <v>107</v>
      </c>
      <c r="P63" s="133"/>
      <c r="Q63" s="133"/>
      <c r="R63" s="134"/>
      <c r="S63" s="114" t="s">
        <v>6</v>
      </c>
      <c r="T63" s="131"/>
      <c r="U63" s="131"/>
      <c r="V63" s="131"/>
      <c r="W63" s="131"/>
      <c r="X63" s="131"/>
      <c r="Y63" s="115"/>
      <c r="Z63" s="324" t="s">
        <v>66</v>
      </c>
      <c r="AA63" s="325"/>
      <c r="AB63" s="325"/>
      <c r="AC63" s="325"/>
      <c r="AD63" s="325"/>
      <c r="AE63" s="325"/>
      <c r="AF63" s="325"/>
      <c r="AG63" s="325"/>
      <c r="AH63" s="325"/>
      <c r="AI63" s="325"/>
      <c r="AJ63" s="325"/>
      <c r="AK63" s="325"/>
      <c r="AL63" s="325"/>
      <c r="AM63" s="325"/>
      <c r="AN63" s="325"/>
      <c r="AO63" s="325"/>
      <c r="AP63" s="326"/>
      <c r="AQ63" s="122"/>
      <c r="AR63" s="123"/>
      <c r="AS63" s="123"/>
      <c r="AT63" s="123"/>
      <c r="AU63" s="123"/>
      <c r="AV63" s="123"/>
      <c r="AW63" s="123"/>
      <c r="AX63" s="123"/>
      <c r="AY63" s="123"/>
      <c r="AZ63" s="123"/>
      <c r="BA63" s="123"/>
      <c r="BB63" s="123"/>
      <c r="BC63" s="123"/>
      <c r="BD63" s="123"/>
      <c r="BE63" s="123"/>
      <c r="BF63" s="123"/>
      <c r="BG63" s="123"/>
      <c r="BH63" s="123"/>
      <c r="BI63" s="123"/>
      <c r="BJ63" s="124"/>
      <c r="BK63" s="17"/>
    </row>
    <row r="64" spans="1:63" s="18" customFormat="1" ht="30" customHeight="1" x14ac:dyDescent="0.25">
      <c r="A64" s="13"/>
      <c r="B64" s="20"/>
      <c r="C64" s="128">
        <v>28</v>
      </c>
      <c r="D64" s="130"/>
      <c r="E64" s="352" t="s">
        <v>27</v>
      </c>
      <c r="F64" s="353"/>
      <c r="G64" s="353"/>
      <c r="H64" s="353"/>
      <c r="I64" s="353"/>
      <c r="J64" s="353"/>
      <c r="K64" s="354"/>
      <c r="L64" s="125" t="s">
        <v>6</v>
      </c>
      <c r="M64" s="126"/>
      <c r="N64" s="127"/>
      <c r="O64" s="132" t="s">
        <v>5</v>
      </c>
      <c r="P64" s="133"/>
      <c r="Q64" s="133"/>
      <c r="R64" s="134"/>
      <c r="S64" s="114" t="s">
        <v>6</v>
      </c>
      <c r="T64" s="131"/>
      <c r="U64" s="131"/>
      <c r="V64" s="131"/>
      <c r="W64" s="131"/>
      <c r="X64" s="131"/>
      <c r="Y64" s="115"/>
      <c r="Z64" s="324" t="s">
        <v>67</v>
      </c>
      <c r="AA64" s="325"/>
      <c r="AB64" s="325"/>
      <c r="AC64" s="325"/>
      <c r="AD64" s="325"/>
      <c r="AE64" s="325"/>
      <c r="AF64" s="325"/>
      <c r="AG64" s="325"/>
      <c r="AH64" s="325"/>
      <c r="AI64" s="325"/>
      <c r="AJ64" s="325"/>
      <c r="AK64" s="325"/>
      <c r="AL64" s="325"/>
      <c r="AM64" s="325"/>
      <c r="AN64" s="325"/>
      <c r="AO64" s="325"/>
      <c r="AP64" s="326"/>
      <c r="AQ64" s="327" t="s">
        <v>174</v>
      </c>
      <c r="AR64" s="328"/>
      <c r="AS64" s="328"/>
      <c r="AT64" s="328"/>
      <c r="AU64" s="328"/>
      <c r="AV64" s="328"/>
      <c r="AW64" s="328"/>
      <c r="AX64" s="328"/>
      <c r="AY64" s="328"/>
      <c r="AZ64" s="328"/>
      <c r="BA64" s="328"/>
      <c r="BB64" s="328"/>
      <c r="BC64" s="328"/>
      <c r="BD64" s="328"/>
      <c r="BE64" s="328"/>
      <c r="BF64" s="328"/>
      <c r="BG64" s="328"/>
      <c r="BH64" s="328"/>
      <c r="BI64" s="328"/>
      <c r="BJ64" s="329"/>
      <c r="BK64" s="17"/>
    </row>
    <row r="65" spans="1:63" s="18" customFormat="1" ht="15" customHeight="1" x14ac:dyDescent="0.25">
      <c r="A65" s="13"/>
      <c r="B65" s="20"/>
      <c r="C65" s="128">
        <v>29</v>
      </c>
      <c r="D65" s="130"/>
      <c r="E65" s="352" t="s">
        <v>52</v>
      </c>
      <c r="F65" s="353"/>
      <c r="G65" s="353"/>
      <c r="H65" s="353"/>
      <c r="I65" s="353"/>
      <c r="J65" s="353"/>
      <c r="K65" s="354"/>
      <c r="L65" s="125" t="s">
        <v>6</v>
      </c>
      <c r="M65" s="126"/>
      <c r="N65" s="127"/>
      <c r="O65" s="132" t="s">
        <v>5</v>
      </c>
      <c r="P65" s="133"/>
      <c r="Q65" s="133"/>
      <c r="R65" s="134"/>
      <c r="S65" s="114" t="s">
        <v>6</v>
      </c>
      <c r="T65" s="131"/>
      <c r="U65" s="131"/>
      <c r="V65" s="131"/>
      <c r="W65" s="131"/>
      <c r="X65" s="131"/>
      <c r="Y65" s="115"/>
      <c r="Z65" s="324" t="s">
        <v>68</v>
      </c>
      <c r="AA65" s="325"/>
      <c r="AB65" s="325"/>
      <c r="AC65" s="325"/>
      <c r="AD65" s="325"/>
      <c r="AE65" s="325"/>
      <c r="AF65" s="325"/>
      <c r="AG65" s="325"/>
      <c r="AH65" s="325"/>
      <c r="AI65" s="325"/>
      <c r="AJ65" s="325"/>
      <c r="AK65" s="325"/>
      <c r="AL65" s="325"/>
      <c r="AM65" s="325"/>
      <c r="AN65" s="325"/>
      <c r="AO65" s="325"/>
      <c r="AP65" s="326"/>
      <c r="AQ65" s="122"/>
      <c r="AR65" s="123"/>
      <c r="AS65" s="123"/>
      <c r="AT65" s="123"/>
      <c r="AU65" s="123"/>
      <c r="AV65" s="123"/>
      <c r="AW65" s="123"/>
      <c r="AX65" s="123"/>
      <c r="AY65" s="123"/>
      <c r="AZ65" s="123"/>
      <c r="BA65" s="123"/>
      <c r="BB65" s="123"/>
      <c r="BC65" s="123"/>
      <c r="BD65" s="123"/>
      <c r="BE65" s="123"/>
      <c r="BF65" s="123"/>
      <c r="BG65" s="123"/>
      <c r="BH65" s="123"/>
      <c r="BI65" s="123"/>
      <c r="BJ65" s="124"/>
      <c r="BK65" s="17"/>
    </row>
    <row r="66" spans="1:63" s="18" customFormat="1" ht="15" customHeight="1" x14ac:dyDescent="0.25">
      <c r="A66" s="13"/>
      <c r="B66" s="20"/>
      <c r="C66" s="128">
        <v>30</v>
      </c>
      <c r="D66" s="130"/>
      <c r="E66" s="352" t="s">
        <v>69</v>
      </c>
      <c r="F66" s="353"/>
      <c r="G66" s="353"/>
      <c r="H66" s="353"/>
      <c r="I66" s="353"/>
      <c r="J66" s="353"/>
      <c r="K66" s="354"/>
      <c r="L66" s="125" t="s">
        <v>6</v>
      </c>
      <c r="M66" s="126"/>
      <c r="N66" s="127"/>
      <c r="O66" s="132" t="s">
        <v>5</v>
      </c>
      <c r="P66" s="133"/>
      <c r="Q66" s="133"/>
      <c r="R66" s="134"/>
      <c r="S66" s="114" t="s">
        <v>6</v>
      </c>
      <c r="T66" s="131"/>
      <c r="U66" s="131"/>
      <c r="V66" s="131"/>
      <c r="W66" s="131"/>
      <c r="X66" s="131"/>
      <c r="Y66" s="115"/>
      <c r="Z66" s="324" t="s">
        <v>70</v>
      </c>
      <c r="AA66" s="325"/>
      <c r="AB66" s="325"/>
      <c r="AC66" s="325"/>
      <c r="AD66" s="325"/>
      <c r="AE66" s="325"/>
      <c r="AF66" s="325"/>
      <c r="AG66" s="325"/>
      <c r="AH66" s="325"/>
      <c r="AI66" s="325"/>
      <c r="AJ66" s="325"/>
      <c r="AK66" s="325"/>
      <c r="AL66" s="325"/>
      <c r="AM66" s="325"/>
      <c r="AN66" s="325"/>
      <c r="AO66" s="325"/>
      <c r="AP66" s="326"/>
      <c r="AQ66" s="122"/>
      <c r="AR66" s="123"/>
      <c r="AS66" s="123"/>
      <c r="AT66" s="123"/>
      <c r="AU66" s="123"/>
      <c r="AV66" s="123"/>
      <c r="AW66" s="123"/>
      <c r="AX66" s="123"/>
      <c r="AY66" s="123"/>
      <c r="AZ66" s="123"/>
      <c r="BA66" s="123"/>
      <c r="BB66" s="123"/>
      <c r="BC66" s="123"/>
      <c r="BD66" s="123"/>
      <c r="BE66" s="123"/>
      <c r="BF66" s="123"/>
      <c r="BG66" s="123"/>
      <c r="BH66" s="123"/>
      <c r="BI66" s="123"/>
      <c r="BJ66" s="124"/>
      <c r="BK66" s="17"/>
    </row>
    <row r="67" spans="1:63" s="18" customFormat="1" ht="15" customHeight="1" x14ac:dyDescent="0.25">
      <c r="A67" s="13"/>
      <c r="B67" s="20"/>
      <c r="C67" s="128">
        <v>31</v>
      </c>
      <c r="D67" s="130"/>
      <c r="E67" s="352" t="s">
        <v>72</v>
      </c>
      <c r="F67" s="353"/>
      <c r="G67" s="353"/>
      <c r="H67" s="353"/>
      <c r="I67" s="353"/>
      <c r="J67" s="353"/>
      <c r="K67" s="354"/>
      <c r="L67" s="125" t="s">
        <v>6</v>
      </c>
      <c r="M67" s="126"/>
      <c r="N67" s="127"/>
      <c r="O67" s="132" t="s">
        <v>5</v>
      </c>
      <c r="P67" s="133"/>
      <c r="Q67" s="133"/>
      <c r="R67" s="134"/>
      <c r="S67" s="114" t="s">
        <v>6</v>
      </c>
      <c r="T67" s="131"/>
      <c r="U67" s="131"/>
      <c r="V67" s="131"/>
      <c r="W67" s="131"/>
      <c r="X67" s="131"/>
      <c r="Y67" s="115"/>
      <c r="Z67" s="324" t="s">
        <v>71</v>
      </c>
      <c r="AA67" s="325"/>
      <c r="AB67" s="325"/>
      <c r="AC67" s="325"/>
      <c r="AD67" s="325"/>
      <c r="AE67" s="325"/>
      <c r="AF67" s="325"/>
      <c r="AG67" s="325"/>
      <c r="AH67" s="325"/>
      <c r="AI67" s="325"/>
      <c r="AJ67" s="325"/>
      <c r="AK67" s="325"/>
      <c r="AL67" s="325"/>
      <c r="AM67" s="325"/>
      <c r="AN67" s="325"/>
      <c r="AO67" s="325"/>
      <c r="AP67" s="326"/>
      <c r="AQ67" s="122"/>
      <c r="AR67" s="123"/>
      <c r="AS67" s="123"/>
      <c r="AT67" s="123"/>
      <c r="AU67" s="123"/>
      <c r="AV67" s="123"/>
      <c r="AW67" s="123"/>
      <c r="AX67" s="123"/>
      <c r="AY67" s="123"/>
      <c r="AZ67" s="123"/>
      <c r="BA67" s="123"/>
      <c r="BB67" s="123"/>
      <c r="BC67" s="123"/>
      <c r="BD67" s="123"/>
      <c r="BE67" s="123"/>
      <c r="BF67" s="123"/>
      <c r="BG67" s="123"/>
      <c r="BH67" s="123"/>
      <c r="BI67" s="123"/>
      <c r="BJ67" s="124"/>
      <c r="BK67" s="17"/>
    </row>
    <row r="68" spans="1:63" s="18" customFormat="1" ht="15" customHeight="1" x14ac:dyDescent="0.25">
      <c r="A68" s="13"/>
      <c r="B68" s="20"/>
      <c r="C68" s="128">
        <v>32</v>
      </c>
      <c r="D68" s="130"/>
      <c r="E68" s="352" t="s">
        <v>99</v>
      </c>
      <c r="F68" s="353"/>
      <c r="G68" s="353"/>
      <c r="H68" s="353"/>
      <c r="I68" s="353"/>
      <c r="J68" s="353"/>
      <c r="K68" s="354"/>
      <c r="L68" s="125" t="s">
        <v>6</v>
      </c>
      <c r="M68" s="126"/>
      <c r="N68" s="127"/>
      <c r="O68" s="132" t="s">
        <v>5</v>
      </c>
      <c r="P68" s="133"/>
      <c r="Q68" s="133"/>
      <c r="R68" s="134"/>
      <c r="S68" s="114"/>
      <c r="T68" s="131"/>
      <c r="U68" s="131"/>
      <c r="V68" s="131"/>
      <c r="W68" s="131"/>
      <c r="X68" s="131"/>
      <c r="Y68" s="115"/>
      <c r="Z68" s="324" t="s">
        <v>100</v>
      </c>
      <c r="AA68" s="325"/>
      <c r="AB68" s="325"/>
      <c r="AC68" s="325" t="s">
        <v>101</v>
      </c>
      <c r="AD68" s="325"/>
      <c r="AE68" s="325"/>
      <c r="AF68" s="325"/>
      <c r="AG68" s="325"/>
      <c r="AH68" s="325"/>
      <c r="AI68" s="325"/>
      <c r="AJ68" s="325"/>
      <c r="AK68" s="325"/>
      <c r="AL68" s="325"/>
      <c r="AM68" s="325"/>
      <c r="AN68" s="325"/>
      <c r="AO68" s="325"/>
      <c r="AP68" s="326"/>
      <c r="AQ68" s="122"/>
      <c r="AR68" s="123"/>
      <c r="AS68" s="123"/>
      <c r="AT68" s="123"/>
      <c r="AU68" s="123"/>
      <c r="AV68" s="123"/>
      <c r="AW68" s="123"/>
      <c r="AX68" s="123"/>
      <c r="AY68" s="123"/>
      <c r="AZ68" s="123"/>
      <c r="BA68" s="123"/>
      <c r="BB68" s="123"/>
      <c r="BC68" s="123"/>
      <c r="BD68" s="123"/>
      <c r="BE68" s="123"/>
      <c r="BF68" s="123"/>
      <c r="BG68" s="123"/>
      <c r="BH68" s="123"/>
      <c r="BI68" s="123"/>
      <c r="BJ68" s="124"/>
      <c r="BK68" s="17"/>
    </row>
    <row r="69" spans="1:63" s="18" customFormat="1" ht="30.75" customHeight="1" x14ac:dyDescent="0.25">
      <c r="A69" s="13"/>
      <c r="B69" s="20"/>
      <c r="C69" s="128">
        <v>33</v>
      </c>
      <c r="D69" s="130"/>
      <c r="E69" s="352" t="s">
        <v>102</v>
      </c>
      <c r="F69" s="353"/>
      <c r="G69" s="353"/>
      <c r="H69" s="353"/>
      <c r="I69" s="353"/>
      <c r="J69" s="353"/>
      <c r="K69" s="354"/>
      <c r="L69" s="125" t="s">
        <v>6</v>
      </c>
      <c r="M69" s="126"/>
      <c r="N69" s="127"/>
      <c r="O69" s="132" t="s">
        <v>92</v>
      </c>
      <c r="P69" s="133"/>
      <c r="Q69" s="133"/>
      <c r="R69" s="134"/>
      <c r="S69" s="114"/>
      <c r="T69" s="131"/>
      <c r="U69" s="131"/>
      <c r="V69" s="131"/>
      <c r="W69" s="131"/>
      <c r="X69" s="131"/>
      <c r="Y69" s="115"/>
      <c r="Z69" s="324" t="s">
        <v>103</v>
      </c>
      <c r="AA69" s="325"/>
      <c r="AB69" s="325"/>
      <c r="AC69" s="325" t="s">
        <v>101</v>
      </c>
      <c r="AD69" s="325"/>
      <c r="AE69" s="325"/>
      <c r="AF69" s="325"/>
      <c r="AG69" s="325"/>
      <c r="AH69" s="325"/>
      <c r="AI69" s="325"/>
      <c r="AJ69" s="325"/>
      <c r="AK69" s="325"/>
      <c r="AL69" s="325"/>
      <c r="AM69" s="325"/>
      <c r="AN69" s="325"/>
      <c r="AO69" s="325"/>
      <c r="AP69" s="326"/>
      <c r="AQ69" s="119" t="s">
        <v>175</v>
      </c>
      <c r="AR69" s="120"/>
      <c r="AS69" s="120"/>
      <c r="AT69" s="120"/>
      <c r="AU69" s="120"/>
      <c r="AV69" s="120"/>
      <c r="AW69" s="120"/>
      <c r="AX69" s="120"/>
      <c r="AY69" s="120"/>
      <c r="AZ69" s="120"/>
      <c r="BA69" s="120"/>
      <c r="BB69" s="120"/>
      <c r="BC69" s="120"/>
      <c r="BD69" s="120"/>
      <c r="BE69" s="120"/>
      <c r="BF69" s="120"/>
      <c r="BG69" s="120"/>
      <c r="BH69" s="120"/>
      <c r="BI69" s="120"/>
      <c r="BJ69" s="121"/>
      <c r="BK69" s="17"/>
    </row>
    <row r="70" spans="1:63" s="18" customFormat="1" ht="15" customHeight="1" x14ac:dyDescent="0.25">
      <c r="A70" s="13"/>
      <c r="B70" s="20"/>
      <c r="C70" s="128">
        <v>34</v>
      </c>
      <c r="D70" s="130"/>
      <c r="E70" s="352" t="s">
        <v>73</v>
      </c>
      <c r="F70" s="353"/>
      <c r="G70" s="353"/>
      <c r="H70" s="353"/>
      <c r="I70" s="353"/>
      <c r="J70" s="353"/>
      <c r="K70" s="354"/>
      <c r="L70" s="125" t="s">
        <v>6</v>
      </c>
      <c r="M70" s="126"/>
      <c r="N70" s="127"/>
      <c r="O70" s="132" t="s">
        <v>74</v>
      </c>
      <c r="P70" s="133"/>
      <c r="Q70" s="133"/>
      <c r="R70" s="134"/>
      <c r="S70" s="114" t="s">
        <v>6</v>
      </c>
      <c r="T70" s="131"/>
      <c r="U70" s="131"/>
      <c r="V70" s="131"/>
      <c r="W70" s="131"/>
      <c r="X70" s="131"/>
      <c r="Y70" s="115"/>
      <c r="Z70" s="324" t="s">
        <v>111</v>
      </c>
      <c r="AA70" s="325"/>
      <c r="AB70" s="325"/>
      <c r="AC70" s="325"/>
      <c r="AD70" s="325"/>
      <c r="AE70" s="325"/>
      <c r="AF70" s="325"/>
      <c r="AG70" s="325"/>
      <c r="AH70" s="325"/>
      <c r="AI70" s="325"/>
      <c r="AJ70" s="325"/>
      <c r="AK70" s="325"/>
      <c r="AL70" s="325"/>
      <c r="AM70" s="325"/>
      <c r="AN70" s="325"/>
      <c r="AO70" s="325"/>
      <c r="AP70" s="326"/>
      <c r="AQ70" s="122"/>
      <c r="AR70" s="123"/>
      <c r="AS70" s="123"/>
      <c r="AT70" s="123"/>
      <c r="AU70" s="123"/>
      <c r="AV70" s="123"/>
      <c r="AW70" s="123"/>
      <c r="AX70" s="123"/>
      <c r="AY70" s="123"/>
      <c r="AZ70" s="123"/>
      <c r="BA70" s="123"/>
      <c r="BB70" s="123"/>
      <c r="BC70" s="123"/>
      <c r="BD70" s="123"/>
      <c r="BE70" s="123"/>
      <c r="BF70" s="123"/>
      <c r="BG70" s="123"/>
      <c r="BH70" s="123"/>
      <c r="BI70" s="123"/>
      <c r="BJ70" s="124"/>
      <c r="BK70" s="17"/>
    </row>
    <row r="71" spans="1:63" s="18" customFormat="1" ht="15" customHeight="1" x14ac:dyDescent="0.25">
      <c r="A71" s="13"/>
      <c r="B71" s="20"/>
      <c r="C71" s="20"/>
      <c r="D71" s="20"/>
      <c r="E71" s="308"/>
      <c r="F71" s="308"/>
      <c r="G71" s="308"/>
      <c r="H71" s="308"/>
      <c r="I71" s="308"/>
      <c r="J71" s="308"/>
      <c r="K71" s="308"/>
      <c r="L71" s="42"/>
      <c r="M71" s="42"/>
      <c r="N71" s="42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308"/>
      <c r="AA71" s="308"/>
      <c r="AB71" s="308"/>
      <c r="AC71" s="308"/>
      <c r="AD71" s="308"/>
      <c r="AE71" s="308"/>
      <c r="AF71" s="308"/>
      <c r="AG71" s="308"/>
      <c r="AH71" s="308"/>
      <c r="AI71" s="308"/>
      <c r="AJ71" s="308"/>
      <c r="AK71" s="308"/>
      <c r="AL71" s="308"/>
      <c r="AM71" s="308"/>
      <c r="AN71" s="308"/>
      <c r="AO71" s="308"/>
      <c r="AP71" s="308"/>
      <c r="AQ71" s="43"/>
      <c r="AR71" s="43"/>
      <c r="AS71" s="43"/>
      <c r="AT71" s="43"/>
      <c r="AU71" s="43"/>
      <c r="AV71" s="43"/>
      <c r="AW71" s="43"/>
      <c r="AX71" s="43"/>
      <c r="AY71" s="43"/>
      <c r="AZ71" s="43"/>
      <c r="BA71" s="43"/>
      <c r="BB71" s="43"/>
      <c r="BC71" s="43"/>
      <c r="BD71" s="43"/>
      <c r="BE71" s="43"/>
      <c r="BF71" s="43"/>
      <c r="BG71" s="43"/>
      <c r="BH71" s="43"/>
      <c r="BI71" s="43"/>
      <c r="BJ71" s="43"/>
      <c r="BK71" s="17"/>
    </row>
    <row r="72" spans="1:63" s="18" customFormat="1" ht="15" customHeight="1" x14ac:dyDescent="0.25">
      <c r="A72" s="13"/>
      <c r="B72" s="20"/>
      <c r="C72" s="23" t="s">
        <v>176</v>
      </c>
      <c r="D72" s="20"/>
      <c r="E72" s="308"/>
      <c r="F72" s="20"/>
      <c r="G72" s="308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43"/>
      <c r="AW72" s="43"/>
      <c r="AX72" s="43"/>
      <c r="AY72" s="43"/>
      <c r="AZ72" s="43"/>
      <c r="BA72" s="43"/>
      <c r="BB72" s="43"/>
      <c r="BC72" s="43"/>
      <c r="BD72" s="43"/>
      <c r="BE72" s="43"/>
      <c r="BF72" s="43"/>
      <c r="BG72" s="43"/>
      <c r="BH72" s="43"/>
      <c r="BI72" s="43"/>
      <c r="BJ72" s="43"/>
      <c r="BK72" s="17"/>
    </row>
    <row r="73" spans="1:63" s="18" customFormat="1" ht="15" customHeight="1" x14ac:dyDescent="0.25">
      <c r="A73" s="13"/>
      <c r="B73" s="20"/>
      <c r="C73" s="23"/>
      <c r="D73" s="308"/>
      <c r="E73" s="308"/>
      <c r="F73" s="20"/>
      <c r="G73" s="308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43"/>
      <c r="AW73" s="43"/>
      <c r="AX73" s="43"/>
      <c r="AY73" s="43"/>
      <c r="AZ73" s="43"/>
      <c r="BA73" s="43"/>
      <c r="BB73" s="43"/>
      <c r="BC73" s="43"/>
      <c r="BD73" s="43"/>
      <c r="BE73" s="43"/>
      <c r="BF73" s="43"/>
      <c r="BG73" s="43"/>
      <c r="BH73" s="43"/>
      <c r="BI73" s="43"/>
      <c r="BJ73" s="43"/>
      <c r="BK73" s="17"/>
    </row>
    <row r="74" spans="1:63" s="18" customFormat="1" ht="15" customHeight="1" x14ac:dyDescent="0.25">
      <c r="A74" s="13"/>
      <c r="B74" s="20"/>
      <c r="C74" s="355" t="s">
        <v>22</v>
      </c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24"/>
      <c r="AV74" s="43"/>
      <c r="AW74" s="43"/>
      <c r="AX74" s="43"/>
      <c r="AY74" s="43"/>
      <c r="AZ74" s="43"/>
      <c r="BA74" s="43"/>
      <c r="BB74" s="43"/>
      <c r="BC74" s="43"/>
      <c r="BD74" s="43"/>
      <c r="BE74" s="43"/>
      <c r="BF74" s="43"/>
      <c r="BG74" s="43"/>
      <c r="BH74" s="43"/>
      <c r="BI74" s="43"/>
      <c r="BJ74" s="43"/>
      <c r="BK74" s="17"/>
    </row>
    <row r="75" spans="1:63" s="18" customFormat="1" ht="15" customHeight="1" x14ac:dyDescent="0.25">
      <c r="A75" s="13"/>
      <c r="B75" s="20"/>
      <c r="C75" s="350" t="s">
        <v>91</v>
      </c>
      <c r="E75" s="32"/>
      <c r="F75" s="32"/>
      <c r="G75" s="32"/>
      <c r="H75" s="32"/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5"/>
      <c r="AV75" s="43"/>
      <c r="AW75" s="43"/>
      <c r="AX75" s="43"/>
      <c r="AY75" s="43"/>
      <c r="AZ75" s="43"/>
      <c r="BA75" s="43"/>
      <c r="BB75" s="43"/>
      <c r="BC75" s="43"/>
      <c r="BD75" s="43"/>
      <c r="BE75" s="43"/>
      <c r="BF75" s="43"/>
      <c r="BG75" s="43"/>
      <c r="BH75" s="43"/>
      <c r="BI75" s="43"/>
      <c r="BJ75" s="43"/>
      <c r="BK75" s="17"/>
    </row>
    <row r="76" spans="1:63" s="18" customFormat="1" ht="15" customHeight="1" x14ac:dyDescent="0.25">
      <c r="A76" s="13"/>
      <c r="B76" s="20"/>
      <c r="C76" s="350"/>
      <c r="D76" s="356" t="s">
        <v>22</v>
      </c>
      <c r="E76" s="308"/>
      <c r="F76" s="308"/>
      <c r="G76" s="308"/>
      <c r="H76" s="308"/>
      <c r="I76" s="308"/>
      <c r="J76" s="308"/>
      <c r="K76" s="308"/>
      <c r="L76" s="32"/>
      <c r="M76" s="32"/>
      <c r="N76" s="32"/>
      <c r="O76" s="32"/>
      <c r="P76" s="32"/>
      <c r="Q76" s="32"/>
      <c r="R76" s="32"/>
      <c r="S76" s="32"/>
      <c r="T76" s="32"/>
      <c r="U76" s="32"/>
      <c r="V76" s="32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5"/>
      <c r="AV76" s="43"/>
      <c r="AW76" s="43"/>
      <c r="AX76" s="43"/>
      <c r="AY76" s="43"/>
      <c r="AZ76" s="43"/>
      <c r="BA76" s="43"/>
      <c r="BB76" s="43"/>
      <c r="BC76" s="43"/>
      <c r="BD76" s="43"/>
      <c r="BE76" s="43"/>
      <c r="BF76" s="43"/>
      <c r="BG76" s="43"/>
      <c r="BH76" s="43"/>
      <c r="BI76" s="43"/>
      <c r="BJ76" s="43"/>
      <c r="BK76" s="17"/>
    </row>
    <row r="77" spans="1:63" s="18" customFormat="1" ht="15" customHeight="1" x14ac:dyDescent="0.25">
      <c r="A77" s="13"/>
      <c r="B77" s="20"/>
      <c r="C77" s="61" t="s">
        <v>177</v>
      </c>
      <c r="D77" s="58"/>
      <c r="E77" s="59"/>
      <c r="F77" s="59"/>
      <c r="G77" s="59"/>
      <c r="H77" s="59"/>
      <c r="I77" s="59"/>
      <c r="J77" s="308"/>
      <c r="K77" s="308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5"/>
      <c r="AV77" s="43"/>
      <c r="AW77" s="43"/>
      <c r="AX77" s="43"/>
      <c r="AY77" s="43"/>
      <c r="AZ77" s="43"/>
      <c r="BA77" s="43"/>
      <c r="BB77" s="43"/>
      <c r="BC77" s="43"/>
      <c r="BD77" s="43"/>
      <c r="BE77" s="43"/>
      <c r="BF77" s="43"/>
      <c r="BG77" s="43"/>
      <c r="BH77" s="43"/>
      <c r="BI77" s="43"/>
      <c r="BJ77" s="43"/>
      <c r="BK77" s="17"/>
    </row>
    <row r="78" spans="1:63" s="18" customFormat="1" ht="15" customHeight="1" x14ac:dyDescent="0.25">
      <c r="A78" s="13"/>
      <c r="B78" s="20"/>
      <c r="C78" s="350"/>
      <c r="D78" s="356" t="s">
        <v>89</v>
      </c>
      <c r="E78" s="356"/>
      <c r="F78" s="356"/>
      <c r="G78" s="356"/>
      <c r="H78" s="356"/>
      <c r="I78" s="308"/>
      <c r="J78" s="308"/>
      <c r="K78" s="308"/>
      <c r="L78" s="32"/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5"/>
      <c r="AV78" s="43"/>
      <c r="AW78" s="43"/>
      <c r="AX78" s="43"/>
      <c r="AY78" s="43"/>
      <c r="AZ78" s="43"/>
      <c r="BA78" s="43"/>
      <c r="BB78" s="43"/>
      <c r="BC78" s="43"/>
      <c r="BD78" s="43"/>
      <c r="BE78" s="43"/>
      <c r="BF78" s="43"/>
      <c r="BG78" s="43"/>
      <c r="BH78" s="43"/>
      <c r="BI78" s="43"/>
      <c r="BJ78" s="43"/>
      <c r="BK78" s="17"/>
    </row>
    <row r="79" spans="1:63" s="18" customFormat="1" ht="15" customHeight="1" x14ac:dyDescent="0.25">
      <c r="A79" s="13"/>
      <c r="B79" s="20"/>
      <c r="C79" s="350"/>
      <c r="D79" s="356" t="s">
        <v>77</v>
      </c>
      <c r="E79" s="356"/>
      <c r="F79" s="356"/>
      <c r="G79" s="356"/>
      <c r="H79" s="356"/>
      <c r="I79" s="308"/>
      <c r="J79" s="308"/>
      <c r="K79" s="308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5"/>
      <c r="AV79" s="43"/>
      <c r="AW79" s="43"/>
      <c r="AX79" s="43"/>
      <c r="AY79" s="43"/>
      <c r="AZ79" s="43"/>
      <c r="BA79" s="43"/>
      <c r="BB79" s="43"/>
      <c r="BC79" s="43"/>
      <c r="BD79" s="43"/>
      <c r="BE79" s="43"/>
      <c r="BF79" s="43"/>
      <c r="BG79" s="43"/>
      <c r="BH79" s="43"/>
      <c r="BI79" s="43"/>
      <c r="BJ79" s="43"/>
      <c r="BK79" s="17"/>
    </row>
    <row r="80" spans="1:63" s="18" customFormat="1" ht="15" customHeight="1" x14ac:dyDescent="0.25">
      <c r="A80" s="13"/>
      <c r="B80" s="20"/>
      <c r="C80" s="350"/>
      <c r="D80" s="356" t="s">
        <v>78</v>
      </c>
      <c r="E80" s="356"/>
      <c r="F80" s="356"/>
      <c r="G80" s="356"/>
      <c r="H80" s="356"/>
      <c r="I80" s="308"/>
      <c r="J80" s="308"/>
      <c r="K80" s="308"/>
      <c r="L80" s="32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5"/>
      <c r="AV80" s="43"/>
      <c r="AW80" s="43"/>
      <c r="AX80" s="43"/>
      <c r="AY80" s="43"/>
      <c r="AZ80" s="43"/>
      <c r="BA80" s="43"/>
      <c r="BB80" s="43"/>
      <c r="BC80" s="43"/>
      <c r="BD80" s="43"/>
      <c r="BE80" s="43"/>
      <c r="BF80" s="43"/>
      <c r="BG80" s="43"/>
      <c r="BH80" s="43"/>
      <c r="BI80" s="43"/>
      <c r="BJ80" s="43"/>
      <c r="BK80" s="17"/>
    </row>
    <row r="81" spans="1:63" s="18" customFormat="1" ht="15" customHeight="1" x14ac:dyDescent="0.25">
      <c r="A81" s="13"/>
      <c r="B81" s="20"/>
      <c r="C81" s="350"/>
      <c r="D81" s="356" t="s">
        <v>178</v>
      </c>
      <c r="E81" s="356"/>
      <c r="F81" s="356"/>
      <c r="G81" s="356"/>
      <c r="H81" s="356"/>
      <c r="I81" s="308"/>
      <c r="J81" s="308"/>
      <c r="K81" s="308"/>
      <c r="L81" s="32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5"/>
      <c r="AV81" s="43"/>
      <c r="AW81" s="43"/>
      <c r="AX81" s="43"/>
      <c r="AY81" s="43"/>
      <c r="AZ81" s="43"/>
      <c r="BA81" s="43"/>
      <c r="BB81" s="43"/>
      <c r="BC81" s="43"/>
      <c r="BD81" s="43"/>
      <c r="BE81" s="43"/>
      <c r="BF81" s="43"/>
      <c r="BG81" s="43"/>
      <c r="BH81" s="43"/>
      <c r="BI81" s="43"/>
      <c r="BJ81" s="43"/>
      <c r="BK81" s="17"/>
    </row>
    <row r="82" spans="1:63" s="18" customFormat="1" ht="15" customHeight="1" x14ac:dyDescent="0.25">
      <c r="A82" s="13"/>
      <c r="B82" s="20"/>
      <c r="C82" s="350"/>
      <c r="D82" s="356" t="s">
        <v>80</v>
      </c>
      <c r="E82" s="356"/>
      <c r="F82" s="356"/>
      <c r="G82" s="356"/>
      <c r="H82" s="356"/>
      <c r="I82" s="308"/>
      <c r="J82" s="308"/>
      <c r="K82" s="308"/>
      <c r="L82" s="32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5"/>
      <c r="AV82" s="43"/>
      <c r="AW82" s="43"/>
      <c r="AX82" s="43"/>
      <c r="AY82" s="43"/>
      <c r="AZ82" s="43"/>
      <c r="BA82" s="43"/>
      <c r="BB82" s="43"/>
      <c r="BC82" s="43"/>
      <c r="BD82" s="43"/>
      <c r="BE82" s="43"/>
      <c r="BF82" s="43"/>
      <c r="BG82" s="43"/>
      <c r="BH82" s="43"/>
      <c r="BI82" s="43"/>
      <c r="BJ82" s="43"/>
      <c r="BK82" s="17"/>
    </row>
    <row r="83" spans="1:63" s="18" customFormat="1" ht="15" customHeight="1" x14ac:dyDescent="0.25">
      <c r="A83" s="13"/>
      <c r="B83" s="20"/>
      <c r="C83" s="350"/>
      <c r="D83" s="356" t="s">
        <v>79</v>
      </c>
      <c r="E83" s="356"/>
      <c r="F83" s="356"/>
      <c r="G83" s="356"/>
      <c r="H83" s="356"/>
      <c r="I83" s="308"/>
      <c r="J83" s="308"/>
      <c r="K83" s="308"/>
      <c r="L83" s="32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5"/>
      <c r="AV83" s="43"/>
      <c r="AW83" s="43"/>
      <c r="AX83" s="43"/>
      <c r="AY83" s="43"/>
      <c r="AZ83" s="43"/>
      <c r="BA83" s="43"/>
      <c r="BB83" s="43"/>
      <c r="BC83" s="43"/>
      <c r="BD83" s="43"/>
      <c r="BE83" s="43"/>
      <c r="BF83" s="43"/>
      <c r="BG83" s="43"/>
      <c r="BH83" s="43"/>
      <c r="BI83" s="43"/>
      <c r="BJ83" s="43"/>
      <c r="BK83" s="17"/>
    </row>
    <row r="84" spans="1:63" s="18" customFormat="1" ht="15" customHeight="1" x14ac:dyDescent="0.25">
      <c r="A84" s="13"/>
      <c r="B84" s="20"/>
      <c r="C84" s="350"/>
      <c r="D84" s="356" t="s">
        <v>85</v>
      </c>
      <c r="E84" s="356"/>
      <c r="F84" s="356"/>
      <c r="G84" s="356"/>
      <c r="H84" s="356"/>
      <c r="I84" s="308"/>
      <c r="J84" s="308"/>
      <c r="K84" s="308"/>
      <c r="L84" s="32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5"/>
      <c r="AV84" s="43"/>
      <c r="AW84" s="43"/>
      <c r="AX84" s="43"/>
      <c r="AY84" s="43"/>
      <c r="AZ84" s="43"/>
      <c r="BA84" s="43"/>
      <c r="BB84" s="43"/>
      <c r="BC84" s="43"/>
      <c r="BD84" s="43"/>
      <c r="BE84" s="43"/>
      <c r="BF84" s="43"/>
      <c r="BG84" s="43"/>
      <c r="BH84" s="43"/>
      <c r="BI84" s="43"/>
      <c r="BJ84" s="43"/>
      <c r="BK84" s="17"/>
    </row>
    <row r="85" spans="1:63" s="18" customFormat="1" ht="15" customHeight="1" x14ac:dyDescent="0.25">
      <c r="A85" s="13"/>
      <c r="B85" s="20"/>
      <c r="C85" s="350"/>
      <c r="D85" s="356" t="s">
        <v>93</v>
      </c>
      <c r="E85" s="356"/>
      <c r="F85" s="356"/>
      <c r="G85" s="356"/>
      <c r="H85" s="356"/>
      <c r="I85" s="308"/>
      <c r="J85" s="308"/>
      <c r="K85" s="308"/>
      <c r="L85" s="32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5"/>
      <c r="AV85" s="43"/>
      <c r="AW85" s="43"/>
      <c r="AX85" s="43"/>
      <c r="AY85" s="43"/>
      <c r="AZ85" s="43"/>
      <c r="BA85" s="43"/>
      <c r="BB85" s="43"/>
      <c r="BC85" s="43"/>
      <c r="BD85" s="43"/>
      <c r="BE85" s="43"/>
      <c r="BF85" s="43"/>
      <c r="BG85" s="43"/>
      <c r="BH85" s="43"/>
      <c r="BI85" s="43"/>
      <c r="BJ85" s="43"/>
      <c r="BK85" s="17"/>
    </row>
    <row r="86" spans="1:63" s="18" customFormat="1" ht="15" customHeight="1" x14ac:dyDescent="0.25">
      <c r="A86" s="13"/>
      <c r="B86" s="20"/>
      <c r="C86" s="350"/>
      <c r="D86" s="356" t="s">
        <v>94</v>
      </c>
      <c r="E86" s="356"/>
      <c r="F86" s="356"/>
      <c r="G86" s="356"/>
      <c r="H86" s="356"/>
      <c r="I86" s="308"/>
      <c r="J86" s="308"/>
      <c r="K86" s="308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5"/>
      <c r="AV86" s="43"/>
      <c r="AW86" s="43"/>
      <c r="AX86" s="43"/>
      <c r="AY86" s="43"/>
      <c r="AZ86" s="43"/>
      <c r="BA86" s="43"/>
      <c r="BB86" s="43"/>
      <c r="BC86" s="43"/>
      <c r="BD86" s="43"/>
      <c r="BE86" s="43"/>
      <c r="BF86" s="43"/>
      <c r="BG86" s="43"/>
      <c r="BH86" s="43"/>
      <c r="BI86" s="43"/>
      <c r="BJ86" s="43"/>
      <c r="BK86" s="17"/>
    </row>
    <row r="87" spans="1:63" s="18" customFormat="1" ht="15" customHeight="1" x14ac:dyDescent="0.25">
      <c r="A87" s="13"/>
      <c r="B87" s="20"/>
      <c r="C87" s="50" t="s">
        <v>179</v>
      </c>
      <c r="D87" s="32"/>
      <c r="E87" s="32"/>
      <c r="F87" s="32"/>
      <c r="G87" s="32"/>
      <c r="H87" s="32"/>
      <c r="I87" s="32"/>
      <c r="J87" s="32"/>
      <c r="K87" s="32"/>
      <c r="L87" s="32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5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1"/>
      <c r="BI87" s="21"/>
      <c r="BJ87" s="21"/>
      <c r="BK87" s="17"/>
    </row>
    <row r="88" spans="1:63" s="18" customFormat="1" ht="15" customHeight="1" x14ac:dyDescent="0.25">
      <c r="A88" s="13"/>
      <c r="B88" s="20"/>
      <c r="C88" s="350" t="s">
        <v>180</v>
      </c>
      <c r="D88" s="32"/>
      <c r="E88" s="32"/>
      <c r="F88" s="32"/>
      <c r="G88" s="32"/>
      <c r="H88" s="32"/>
      <c r="I88" s="32"/>
      <c r="J88" s="32"/>
      <c r="K88" s="32"/>
      <c r="L88" s="32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5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BF88" s="20"/>
      <c r="BG88" s="20"/>
      <c r="BH88" s="21"/>
      <c r="BI88" s="21"/>
      <c r="BJ88" s="21"/>
      <c r="BK88" s="17"/>
    </row>
    <row r="89" spans="1:63" s="18" customFormat="1" ht="15" customHeight="1" x14ac:dyDescent="0.25">
      <c r="A89" s="13"/>
      <c r="B89" s="20"/>
      <c r="C89" s="350" t="s">
        <v>181</v>
      </c>
      <c r="D89" s="32"/>
      <c r="E89" s="32"/>
      <c r="F89" s="32"/>
      <c r="G89" s="32"/>
      <c r="H89" s="32"/>
      <c r="I89" s="32"/>
      <c r="J89" s="32"/>
      <c r="K89" s="32"/>
      <c r="L89" s="32"/>
      <c r="M89" s="32"/>
      <c r="N89" s="32"/>
      <c r="O89" s="32"/>
      <c r="P89" s="32"/>
      <c r="Q89" s="32"/>
      <c r="R89" s="32"/>
      <c r="S89" s="32"/>
      <c r="T89" s="32"/>
      <c r="U89" s="32"/>
      <c r="V89" s="32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5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BF89" s="20"/>
      <c r="BG89" s="20"/>
      <c r="BH89" s="21"/>
      <c r="BI89" s="21"/>
      <c r="BJ89" s="21"/>
      <c r="BK89" s="17"/>
    </row>
    <row r="90" spans="1:63" s="18" customFormat="1" ht="15" customHeight="1" x14ac:dyDescent="0.25">
      <c r="A90" s="13"/>
      <c r="B90" s="20"/>
      <c r="C90" s="350"/>
      <c r="D90" s="356" t="s">
        <v>86</v>
      </c>
      <c r="E90" s="356"/>
      <c r="F90" s="356"/>
      <c r="G90" s="356"/>
      <c r="H90" s="356"/>
      <c r="I90" s="308"/>
      <c r="J90" s="308"/>
      <c r="K90" s="308"/>
      <c r="L90" s="308"/>
      <c r="M90" s="308"/>
      <c r="N90" s="308"/>
      <c r="O90" s="308"/>
      <c r="P90" s="308"/>
      <c r="Q90" s="32"/>
      <c r="R90" s="32"/>
      <c r="S90" s="32"/>
      <c r="T90" s="32"/>
      <c r="U90" s="32"/>
      <c r="V90" s="32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5"/>
      <c r="AV90" s="43"/>
      <c r="AW90" s="43"/>
      <c r="AX90" s="43"/>
      <c r="AY90" s="43"/>
      <c r="AZ90" s="43"/>
      <c r="BA90" s="43"/>
      <c r="BB90" s="43"/>
      <c r="BC90" s="43"/>
      <c r="BD90" s="43"/>
      <c r="BE90" s="43"/>
      <c r="BF90" s="43"/>
      <c r="BG90" s="43"/>
      <c r="BH90" s="43"/>
      <c r="BI90" s="43"/>
      <c r="BJ90" s="43"/>
      <c r="BK90" s="17"/>
    </row>
    <row r="91" spans="1:63" s="18" customFormat="1" ht="15" customHeight="1" x14ac:dyDescent="0.25">
      <c r="A91" s="13"/>
      <c r="B91" s="20"/>
      <c r="C91" s="350"/>
      <c r="D91" s="356" t="s">
        <v>95</v>
      </c>
      <c r="E91" s="356"/>
      <c r="F91" s="356"/>
      <c r="G91" s="356"/>
      <c r="H91" s="356"/>
      <c r="I91" s="308"/>
      <c r="J91" s="308"/>
      <c r="K91" s="308"/>
      <c r="L91" s="308"/>
      <c r="M91" s="308"/>
      <c r="N91" s="308"/>
      <c r="O91" s="308"/>
      <c r="P91" s="308"/>
      <c r="Q91" s="32"/>
      <c r="R91" s="32"/>
      <c r="S91" s="32"/>
      <c r="T91" s="32"/>
      <c r="U91" s="32"/>
      <c r="V91" s="32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5"/>
      <c r="AV91" s="43"/>
      <c r="AW91" s="43"/>
      <c r="AX91" s="43"/>
      <c r="AY91" s="43"/>
      <c r="AZ91" s="43"/>
      <c r="BA91" s="43"/>
      <c r="BB91" s="43"/>
      <c r="BC91" s="43"/>
      <c r="BD91" s="43"/>
      <c r="BE91" s="43"/>
      <c r="BF91" s="43"/>
      <c r="BG91" s="43"/>
      <c r="BH91" s="43"/>
      <c r="BI91" s="43"/>
      <c r="BJ91" s="43"/>
      <c r="BK91" s="17"/>
    </row>
    <row r="92" spans="1:63" s="18" customFormat="1" ht="15" customHeight="1" x14ac:dyDescent="0.25">
      <c r="A92" s="13"/>
      <c r="B92" s="20"/>
      <c r="C92" s="350"/>
      <c r="D92" s="356"/>
      <c r="E92" s="356" t="s">
        <v>22</v>
      </c>
      <c r="F92" s="356"/>
      <c r="G92" s="356"/>
      <c r="H92" s="356"/>
      <c r="I92" s="308"/>
      <c r="J92" s="308"/>
      <c r="K92" s="308"/>
      <c r="L92" s="308"/>
      <c r="M92" s="308"/>
      <c r="N92" s="308"/>
      <c r="O92" s="308"/>
      <c r="P92" s="308"/>
      <c r="Q92" s="32"/>
      <c r="R92" s="32"/>
      <c r="S92" s="32"/>
      <c r="T92" s="32"/>
      <c r="U92" s="32"/>
      <c r="V92" s="32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5"/>
      <c r="AV92" s="43"/>
      <c r="AW92" s="43"/>
      <c r="AX92" s="43"/>
      <c r="AY92" s="43"/>
      <c r="AZ92" s="43"/>
      <c r="BA92" s="43"/>
      <c r="BB92" s="43"/>
      <c r="BC92" s="43"/>
      <c r="BD92" s="43"/>
      <c r="BE92" s="43"/>
      <c r="BF92" s="43"/>
      <c r="BG92" s="43"/>
      <c r="BH92" s="43"/>
      <c r="BI92" s="43"/>
      <c r="BJ92" s="43"/>
      <c r="BK92" s="17"/>
    </row>
    <row r="93" spans="1:63" s="49" customFormat="1" ht="15" customHeight="1" x14ac:dyDescent="0.25">
      <c r="A93" s="44"/>
      <c r="B93" s="45"/>
      <c r="C93" s="62" t="s">
        <v>182</v>
      </c>
      <c r="D93" s="60"/>
      <c r="E93" s="357"/>
      <c r="F93" s="357"/>
      <c r="G93" s="357"/>
      <c r="H93" s="357"/>
      <c r="I93" s="357"/>
      <c r="J93" s="357"/>
      <c r="K93" s="357"/>
      <c r="L93" s="357"/>
      <c r="M93" s="357"/>
      <c r="N93" s="357"/>
      <c r="O93" s="357"/>
      <c r="P93" s="357"/>
      <c r="Q93" s="46"/>
      <c r="R93" s="46"/>
      <c r="S93" s="46"/>
      <c r="T93" s="46"/>
      <c r="U93" s="46"/>
      <c r="V93" s="46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  <c r="AM93" s="45"/>
      <c r="AN93" s="45"/>
      <c r="AO93" s="45"/>
      <c r="AP93" s="45"/>
      <c r="AQ93" s="45"/>
      <c r="AR93" s="45"/>
      <c r="AS93" s="45"/>
      <c r="AT93" s="45"/>
      <c r="AU93" s="47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7"/>
    </row>
    <row r="94" spans="1:63" s="18" customFormat="1" ht="15" customHeight="1" x14ac:dyDescent="0.25">
      <c r="A94" s="13"/>
      <c r="B94" s="20"/>
      <c r="C94" s="350"/>
      <c r="D94" s="356"/>
      <c r="E94" s="358" t="s">
        <v>89</v>
      </c>
      <c r="F94" s="356"/>
      <c r="G94" s="356"/>
      <c r="H94" s="356"/>
      <c r="I94" s="308"/>
      <c r="J94" s="308"/>
      <c r="K94" s="308"/>
      <c r="L94" s="308"/>
      <c r="M94" s="308"/>
      <c r="N94" s="308"/>
      <c r="O94" s="308"/>
      <c r="P94" s="308"/>
      <c r="Q94" s="32"/>
      <c r="R94" s="32"/>
      <c r="S94" s="32"/>
      <c r="T94" s="32"/>
      <c r="U94" s="32"/>
      <c r="V94" s="32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5"/>
      <c r="AV94" s="43"/>
      <c r="AW94" s="43"/>
      <c r="AX94" s="43"/>
      <c r="AY94" s="43"/>
      <c r="AZ94" s="43"/>
      <c r="BA94" s="43"/>
      <c r="BB94" s="43"/>
      <c r="BC94" s="43"/>
      <c r="BD94" s="43"/>
      <c r="BE94" s="43"/>
      <c r="BF94" s="43"/>
      <c r="BG94" s="43"/>
      <c r="BH94" s="43"/>
      <c r="BI94" s="43"/>
      <c r="BJ94" s="43"/>
      <c r="BK94" s="17"/>
    </row>
    <row r="95" spans="1:63" s="18" customFormat="1" ht="15" customHeight="1" x14ac:dyDescent="0.25">
      <c r="A95" s="13"/>
      <c r="B95" s="20"/>
      <c r="C95" s="350"/>
      <c r="D95" s="356"/>
      <c r="E95" s="358" t="s">
        <v>77</v>
      </c>
      <c r="F95" s="356"/>
      <c r="G95" s="356"/>
      <c r="H95" s="356"/>
      <c r="I95" s="308"/>
      <c r="J95" s="308"/>
      <c r="K95" s="308"/>
      <c r="L95" s="308"/>
      <c r="M95" s="308"/>
      <c r="N95" s="308"/>
      <c r="O95" s="308"/>
      <c r="P95" s="308"/>
      <c r="Q95" s="32"/>
      <c r="R95" s="32"/>
      <c r="S95" s="32"/>
      <c r="T95" s="32"/>
      <c r="U95" s="32"/>
      <c r="V95" s="32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5"/>
      <c r="AV95" s="43"/>
      <c r="AW95" s="43"/>
      <c r="AX95" s="43"/>
      <c r="AY95" s="43"/>
      <c r="AZ95" s="43"/>
      <c r="BA95" s="43"/>
      <c r="BB95" s="43"/>
      <c r="BC95" s="43"/>
      <c r="BD95" s="43"/>
      <c r="BE95" s="43"/>
      <c r="BF95" s="43"/>
      <c r="BG95" s="43"/>
      <c r="BH95" s="43"/>
      <c r="BI95" s="43"/>
      <c r="BJ95" s="43"/>
      <c r="BK95" s="17"/>
    </row>
    <row r="96" spans="1:63" s="18" customFormat="1" ht="15" customHeight="1" x14ac:dyDescent="0.25">
      <c r="A96" s="13"/>
      <c r="B96" s="20"/>
      <c r="C96" s="350"/>
      <c r="D96" s="356"/>
      <c r="E96" s="358" t="s">
        <v>78</v>
      </c>
      <c r="F96" s="356"/>
      <c r="G96" s="356"/>
      <c r="H96" s="356"/>
      <c r="I96" s="308"/>
      <c r="J96" s="308"/>
      <c r="K96" s="308"/>
      <c r="L96" s="308"/>
      <c r="M96" s="308"/>
      <c r="N96" s="308"/>
      <c r="O96" s="308"/>
      <c r="P96" s="308"/>
      <c r="Q96" s="32"/>
      <c r="R96" s="32"/>
      <c r="S96" s="32"/>
      <c r="T96" s="32"/>
      <c r="U96" s="32"/>
      <c r="V96" s="32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5"/>
      <c r="AV96" s="43"/>
      <c r="AW96" s="43"/>
      <c r="AX96" s="43"/>
      <c r="AY96" s="43"/>
      <c r="AZ96" s="43"/>
      <c r="BA96" s="43"/>
      <c r="BB96" s="43"/>
      <c r="BC96" s="43"/>
      <c r="BD96" s="43"/>
      <c r="BE96" s="43"/>
      <c r="BF96" s="43"/>
      <c r="BG96" s="43"/>
      <c r="BH96" s="43"/>
      <c r="BI96" s="43"/>
      <c r="BJ96" s="43"/>
      <c r="BK96" s="17"/>
    </row>
    <row r="97" spans="1:63" s="18" customFormat="1" ht="15" customHeight="1" x14ac:dyDescent="0.25">
      <c r="A97" s="13"/>
      <c r="B97" s="20"/>
      <c r="C97" s="350"/>
      <c r="D97" s="356"/>
      <c r="E97" s="358" t="s">
        <v>79</v>
      </c>
      <c r="F97" s="356"/>
      <c r="G97" s="356"/>
      <c r="H97" s="356"/>
      <c r="I97" s="308"/>
      <c r="J97" s="308"/>
      <c r="K97" s="308"/>
      <c r="L97" s="308"/>
      <c r="M97" s="308"/>
      <c r="N97" s="308"/>
      <c r="O97" s="308"/>
      <c r="P97" s="308"/>
      <c r="Q97" s="32"/>
      <c r="R97" s="32"/>
      <c r="S97" s="32"/>
      <c r="T97" s="32"/>
      <c r="U97" s="32"/>
      <c r="V97" s="32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5"/>
      <c r="AV97" s="43"/>
      <c r="AW97" s="43"/>
      <c r="AX97" s="43"/>
      <c r="AY97" s="43"/>
      <c r="AZ97" s="43"/>
      <c r="BA97" s="43"/>
      <c r="BB97" s="43"/>
      <c r="BC97" s="43"/>
      <c r="BD97" s="43"/>
      <c r="BE97" s="43"/>
      <c r="BF97" s="43"/>
      <c r="BG97" s="43"/>
      <c r="BH97" s="43"/>
      <c r="BI97" s="43"/>
      <c r="BJ97" s="43"/>
      <c r="BK97" s="17"/>
    </row>
    <row r="98" spans="1:63" s="18" customFormat="1" ht="15" customHeight="1" x14ac:dyDescent="0.25">
      <c r="A98" s="13"/>
      <c r="B98" s="20"/>
      <c r="C98" s="350"/>
      <c r="D98" s="356"/>
      <c r="E98" s="358" t="s">
        <v>80</v>
      </c>
      <c r="F98" s="356"/>
      <c r="G98" s="356"/>
      <c r="H98" s="356"/>
      <c r="I98" s="308"/>
      <c r="J98" s="308"/>
      <c r="K98" s="308"/>
      <c r="L98" s="308"/>
      <c r="M98" s="308"/>
      <c r="N98" s="308"/>
      <c r="O98" s="308"/>
      <c r="P98" s="308"/>
      <c r="Q98" s="32"/>
      <c r="R98" s="32"/>
      <c r="S98" s="32"/>
      <c r="T98" s="32"/>
      <c r="U98" s="32"/>
      <c r="V98" s="32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5"/>
      <c r="AV98" s="43"/>
      <c r="AW98" s="43"/>
      <c r="AX98" s="43"/>
      <c r="AY98" s="43"/>
      <c r="AZ98" s="43"/>
      <c r="BA98" s="43"/>
      <c r="BB98" s="43"/>
      <c r="BC98" s="43"/>
      <c r="BD98" s="43"/>
      <c r="BE98" s="43"/>
      <c r="BF98" s="43"/>
      <c r="BG98" s="43"/>
      <c r="BH98" s="43"/>
      <c r="BI98" s="43"/>
      <c r="BJ98" s="43"/>
      <c r="BK98" s="17"/>
    </row>
    <row r="99" spans="1:63" s="18" customFormat="1" ht="15" customHeight="1" x14ac:dyDescent="0.25">
      <c r="A99" s="13"/>
      <c r="B99" s="20"/>
      <c r="C99" s="350"/>
      <c r="D99" s="356"/>
      <c r="E99" s="358" t="s">
        <v>183</v>
      </c>
      <c r="F99" s="356"/>
      <c r="G99" s="356"/>
      <c r="H99" s="356"/>
      <c r="I99" s="308"/>
      <c r="J99" s="308"/>
      <c r="K99" s="308"/>
      <c r="L99" s="308"/>
      <c r="M99" s="308"/>
      <c r="N99" s="308"/>
      <c r="O99" s="308"/>
      <c r="P99" s="308"/>
      <c r="Q99" s="32"/>
      <c r="R99" s="32"/>
      <c r="S99" s="32"/>
      <c r="T99" s="32"/>
      <c r="U99" s="32"/>
      <c r="V99" s="32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5"/>
      <c r="AV99" s="43"/>
      <c r="AW99" s="43"/>
      <c r="AX99" s="43"/>
      <c r="AY99" s="43"/>
      <c r="AZ99" s="43"/>
      <c r="BA99" s="43"/>
      <c r="BB99" s="43"/>
      <c r="BC99" s="43"/>
      <c r="BD99" s="43"/>
      <c r="BE99" s="43"/>
      <c r="BF99" s="43"/>
      <c r="BG99" s="43"/>
      <c r="BH99" s="43"/>
      <c r="BI99" s="43"/>
      <c r="BJ99" s="43"/>
      <c r="BK99" s="17"/>
    </row>
    <row r="100" spans="1:63" s="18" customFormat="1" ht="15" customHeight="1" x14ac:dyDescent="0.25">
      <c r="A100" s="13"/>
      <c r="B100" s="20"/>
      <c r="C100" s="350"/>
      <c r="D100" s="356"/>
      <c r="E100" s="358" t="s">
        <v>81</v>
      </c>
      <c r="F100" s="356"/>
      <c r="G100" s="356"/>
      <c r="H100" s="356"/>
      <c r="I100" s="308"/>
      <c r="J100" s="308"/>
      <c r="K100" s="308"/>
      <c r="L100" s="308"/>
      <c r="M100" s="308"/>
      <c r="N100" s="308"/>
      <c r="O100" s="308"/>
      <c r="P100" s="308"/>
      <c r="Q100" s="32"/>
      <c r="R100" s="32"/>
      <c r="S100" s="32"/>
      <c r="T100" s="32"/>
      <c r="U100" s="32"/>
      <c r="V100" s="32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5"/>
      <c r="AV100" s="43"/>
      <c r="AW100" s="43"/>
      <c r="AX100" s="43"/>
      <c r="AY100" s="43"/>
      <c r="AZ100" s="43"/>
      <c r="BA100" s="43"/>
      <c r="BB100" s="43"/>
      <c r="BC100" s="43"/>
      <c r="BD100" s="43"/>
      <c r="BE100" s="43"/>
      <c r="BF100" s="43"/>
      <c r="BG100" s="43"/>
      <c r="BH100" s="43"/>
      <c r="BI100" s="43"/>
      <c r="BJ100" s="43"/>
      <c r="BK100" s="17"/>
    </row>
    <row r="101" spans="1:63" s="18" customFormat="1" ht="15" customHeight="1" x14ac:dyDescent="0.25">
      <c r="A101" s="13"/>
      <c r="B101" s="20"/>
      <c r="C101" s="350"/>
      <c r="D101" s="356"/>
      <c r="E101" s="358" t="s">
        <v>82</v>
      </c>
      <c r="F101" s="356"/>
      <c r="G101" s="356"/>
      <c r="H101" s="356"/>
      <c r="I101" s="308"/>
      <c r="J101" s="308"/>
      <c r="K101" s="308"/>
      <c r="L101" s="308"/>
      <c r="M101" s="308"/>
      <c r="N101" s="308"/>
      <c r="O101" s="308"/>
      <c r="P101" s="308"/>
      <c r="Q101" s="32"/>
      <c r="R101" s="32"/>
      <c r="S101" s="32"/>
      <c r="T101" s="32"/>
      <c r="U101" s="32"/>
      <c r="V101" s="32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5"/>
      <c r="AV101" s="43"/>
      <c r="AW101" s="43"/>
      <c r="AX101" s="43"/>
      <c r="AY101" s="43"/>
      <c r="AZ101" s="43"/>
      <c r="BA101" s="43"/>
      <c r="BB101" s="43"/>
      <c r="BC101" s="43"/>
      <c r="BD101" s="43"/>
      <c r="BE101" s="43"/>
      <c r="BF101" s="43"/>
      <c r="BG101" s="43"/>
      <c r="BH101" s="43"/>
      <c r="BI101" s="43"/>
      <c r="BJ101" s="43"/>
      <c r="BK101" s="17"/>
    </row>
    <row r="102" spans="1:63" s="18" customFormat="1" ht="15" customHeight="1" x14ac:dyDescent="0.25">
      <c r="A102" s="13"/>
      <c r="B102" s="20"/>
      <c r="C102" s="350"/>
      <c r="D102" s="356"/>
      <c r="E102" s="358" t="s">
        <v>83</v>
      </c>
      <c r="F102" s="356"/>
      <c r="G102" s="356"/>
      <c r="H102" s="356"/>
      <c r="I102" s="308"/>
      <c r="J102" s="308"/>
      <c r="K102" s="308"/>
      <c r="L102" s="308"/>
      <c r="M102" s="308"/>
      <c r="N102" s="308"/>
      <c r="O102" s="308"/>
      <c r="P102" s="308"/>
      <c r="Q102" s="32"/>
      <c r="R102" s="32"/>
      <c r="S102" s="32"/>
      <c r="T102" s="32"/>
      <c r="U102" s="32"/>
      <c r="V102" s="32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5"/>
      <c r="AV102" s="43"/>
      <c r="AW102" s="43"/>
      <c r="AX102" s="43"/>
      <c r="AY102" s="43"/>
      <c r="AZ102" s="43"/>
      <c r="BA102" s="43"/>
      <c r="BB102" s="43"/>
      <c r="BC102" s="43"/>
      <c r="BD102" s="43"/>
      <c r="BE102" s="43"/>
      <c r="BF102" s="43"/>
      <c r="BG102" s="43"/>
      <c r="BH102" s="43"/>
      <c r="BI102" s="43"/>
      <c r="BJ102" s="43"/>
      <c r="BK102" s="17"/>
    </row>
    <row r="103" spans="1:63" s="18" customFormat="1" ht="15" customHeight="1" x14ac:dyDescent="0.25">
      <c r="A103" s="13"/>
      <c r="B103" s="20"/>
      <c r="C103" s="350"/>
      <c r="D103" s="356"/>
      <c r="E103" s="358" t="s">
        <v>84</v>
      </c>
      <c r="F103" s="356"/>
      <c r="G103" s="356"/>
      <c r="H103" s="356"/>
      <c r="I103" s="308"/>
      <c r="J103" s="308"/>
      <c r="K103" s="308"/>
      <c r="L103" s="308"/>
      <c r="M103" s="308"/>
      <c r="N103" s="308"/>
      <c r="O103" s="308"/>
      <c r="P103" s="308"/>
      <c r="Q103" s="32"/>
      <c r="R103" s="32"/>
      <c r="S103" s="32"/>
      <c r="T103" s="32"/>
      <c r="U103" s="32"/>
      <c r="V103" s="32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5"/>
      <c r="AV103" s="43"/>
      <c r="AW103" s="43"/>
      <c r="AX103" s="43"/>
      <c r="AY103" s="43"/>
      <c r="AZ103" s="43"/>
      <c r="BA103" s="43"/>
      <c r="BB103" s="43"/>
      <c r="BC103" s="43"/>
      <c r="BD103" s="43"/>
      <c r="BE103" s="43"/>
      <c r="BF103" s="43"/>
      <c r="BG103" s="43"/>
      <c r="BH103" s="43"/>
      <c r="BI103" s="43"/>
      <c r="BJ103" s="43"/>
      <c r="BK103" s="17"/>
    </row>
    <row r="104" spans="1:63" s="18" customFormat="1" ht="15" customHeight="1" x14ac:dyDescent="0.25">
      <c r="A104" s="13"/>
      <c r="B104" s="20"/>
      <c r="C104" s="350"/>
      <c r="D104" s="356"/>
      <c r="E104" s="358" t="s">
        <v>85</v>
      </c>
      <c r="F104" s="356"/>
      <c r="G104" s="356"/>
      <c r="H104" s="356"/>
      <c r="I104" s="308"/>
      <c r="J104" s="308"/>
      <c r="K104" s="308"/>
      <c r="L104" s="308"/>
      <c r="M104" s="308"/>
      <c r="N104" s="308"/>
      <c r="O104" s="308"/>
      <c r="P104" s="308"/>
      <c r="Q104" s="32"/>
      <c r="R104" s="32"/>
      <c r="S104" s="32"/>
      <c r="T104" s="32"/>
      <c r="U104" s="32"/>
      <c r="V104" s="32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5"/>
      <c r="AV104" s="43"/>
      <c r="AW104" s="43"/>
      <c r="AX104" s="43"/>
      <c r="AY104" s="43"/>
      <c r="AZ104" s="43"/>
      <c r="BA104" s="43"/>
      <c r="BB104" s="43"/>
      <c r="BC104" s="43"/>
      <c r="BD104" s="43"/>
      <c r="BE104" s="43"/>
      <c r="BF104" s="43"/>
      <c r="BG104" s="43"/>
      <c r="BH104" s="43"/>
      <c r="BI104" s="43"/>
      <c r="BJ104" s="43"/>
      <c r="BK104" s="17"/>
    </row>
    <row r="105" spans="1:63" s="18" customFormat="1" ht="15" customHeight="1" x14ac:dyDescent="0.25">
      <c r="A105" s="13"/>
      <c r="B105" s="20"/>
      <c r="C105" s="350"/>
      <c r="D105" s="356"/>
      <c r="E105" s="358" t="s">
        <v>86</v>
      </c>
      <c r="F105" s="356"/>
      <c r="G105" s="356"/>
      <c r="H105" s="356"/>
      <c r="I105" s="308"/>
      <c r="J105" s="308"/>
      <c r="K105" s="308"/>
      <c r="L105" s="308"/>
      <c r="M105" s="308"/>
      <c r="N105" s="308"/>
      <c r="O105" s="308"/>
      <c r="P105" s="308"/>
      <c r="Q105" s="32"/>
      <c r="R105" s="32"/>
      <c r="S105" s="32"/>
      <c r="T105" s="32"/>
      <c r="U105" s="32"/>
      <c r="V105" s="32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5"/>
      <c r="AV105" s="43"/>
      <c r="AW105" s="43"/>
      <c r="AX105" s="43"/>
      <c r="AY105" s="43"/>
      <c r="AZ105" s="43"/>
      <c r="BA105" s="43"/>
      <c r="BB105" s="43"/>
      <c r="BC105" s="43"/>
      <c r="BD105" s="43"/>
      <c r="BE105" s="43"/>
      <c r="BF105" s="43"/>
      <c r="BG105" s="43"/>
      <c r="BH105" s="43"/>
      <c r="BI105" s="43"/>
      <c r="BJ105" s="43"/>
      <c r="BK105" s="17"/>
    </row>
    <row r="106" spans="1:63" s="18" customFormat="1" ht="15" customHeight="1" x14ac:dyDescent="0.25">
      <c r="A106" s="13"/>
      <c r="B106" s="20"/>
      <c r="C106" s="350"/>
      <c r="D106" s="356"/>
      <c r="E106" s="358" t="s">
        <v>87</v>
      </c>
      <c r="F106" s="356"/>
      <c r="G106" s="356"/>
      <c r="H106" s="356"/>
      <c r="I106" s="308"/>
      <c r="J106" s="308"/>
      <c r="K106" s="308"/>
      <c r="L106" s="308"/>
      <c r="M106" s="308"/>
      <c r="N106" s="308"/>
      <c r="O106" s="308"/>
      <c r="P106" s="308"/>
      <c r="Q106" s="32"/>
      <c r="R106" s="32"/>
      <c r="S106" s="32"/>
      <c r="T106" s="32"/>
      <c r="U106" s="32"/>
      <c r="V106" s="32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5"/>
      <c r="AV106" s="43"/>
      <c r="AW106" s="43"/>
      <c r="AX106" s="43"/>
      <c r="AY106" s="43"/>
      <c r="AZ106" s="43"/>
      <c r="BA106" s="43"/>
      <c r="BB106" s="43"/>
      <c r="BC106" s="43"/>
      <c r="BD106" s="43"/>
      <c r="BE106" s="43"/>
      <c r="BF106" s="43"/>
      <c r="BG106" s="43"/>
      <c r="BH106" s="43"/>
      <c r="BI106" s="43"/>
      <c r="BJ106" s="43"/>
      <c r="BK106" s="17"/>
    </row>
    <row r="107" spans="1:63" s="18" customFormat="1" ht="15" customHeight="1" x14ac:dyDescent="0.25">
      <c r="A107" s="13"/>
      <c r="B107" s="20"/>
      <c r="C107" s="350"/>
      <c r="D107" s="356"/>
      <c r="E107" s="358" t="s">
        <v>88</v>
      </c>
      <c r="F107" s="356"/>
      <c r="G107" s="356"/>
      <c r="H107" s="356"/>
      <c r="I107" s="308"/>
      <c r="J107" s="308"/>
      <c r="K107" s="308"/>
      <c r="L107" s="308"/>
      <c r="M107" s="308"/>
      <c r="N107" s="308"/>
      <c r="O107" s="308"/>
      <c r="P107" s="308"/>
      <c r="Q107" s="32"/>
      <c r="R107" s="32"/>
      <c r="S107" s="32"/>
      <c r="T107" s="32"/>
      <c r="U107" s="32"/>
      <c r="V107" s="32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5"/>
      <c r="AV107" s="43"/>
      <c r="AW107" s="43"/>
      <c r="AX107" s="43"/>
      <c r="AY107" s="43"/>
      <c r="AZ107" s="43"/>
      <c r="BA107" s="43"/>
      <c r="BB107" s="43"/>
      <c r="BC107" s="43"/>
      <c r="BD107" s="43"/>
      <c r="BE107" s="43"/>
      <c r="BF107" s="43"/>
      <c r="BG107" s="43"/>
      <c r="BH107" s="43"/>
      <c r="BI107" s="43"/>
      <c r="BJ107" s="43"/>
      <c r="BK107" s="17"/>
    </row>
    <row r="108" spans="1:63" s="18" customFormat="1" ht="15" customHeight="1" x14ac:dyDescent="0.25">
      <c r="A108" s="13"/>
      <c r="B108" s="20"/>
      <c r="C108" s="350"/>
      <c r="D108" s="356"/>
      <c r="E108" s="358" t="s">
        <v>104</v>
      </c>
      <c r="F108" s="356"/>
      <c r="G108" s="356"/>
      <c r="H108" s="356"/>
      <c r="I108" s="308"/>
      <c r="J108" s="308"/>
      <c r="K108" s="308"/>
      <c r="L108" s="308"/>
      <c r="M108" s="308"/>
      <c r="N108" s="308"/>
      <c r="O108" s="308"/>
      <c r="P108" s="308"/>
      <c r="Q108" s="32"/>
      <c r="R108" s="32"/>
      <c r="S108" s="32"/>
      <c r="T108" s="32"/>
      <c r="U108" s="32"/>
      <c r="V108" s="32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5"/>
      <c r="AV108" s="43"/>
      <c r="AW108" s="43"/>
      <c r="AX108" s="43"/>
      <c r="AY108" s="43"/>
      <c r="AZ108" s="43"/>
      <c r="BA108" s="43"/>
      <c r="BB108" s="43"/>
      <c r="BC108" s="43"/>
      <c r="BD108" s="43"/>
      <c r="BE108" s="43"/>
      <c r="BF108" s="43"/>
      <c r="BG108" s="43"/>
      <c r="BH108" s="43"/>
      <c r="BI108" s="43"/>
      <c r="BJ108" s="43"/>
      <c r="BK108" s="17"/>
    </row>
    <row r="109" spans="1:63" s="18" customFormat="1" ht="15" customHeight="1" x14ac:dyDescent="0.25">
      <c r="A109" s="13"/>
      <c r="B109" s="20"/>
      <c r="C109" s="350"/>
      <c r="D109" s="356"/>
      <c r="E109" s="358" t="s">
        <v>184</v>
      </c>
      <c r="F109" s="356"/>
      <c r="G109" s="356"/>
      <c r="H109" s="356"/>
      <c r="I109" s="308"/>
      <c r="J109" s="308"/>
      <c r="K109" s="308"/>
      <c r="L109" s="308"/>
      <c r="M109" s="308"/>
      <c r="N109" s="308"/>
      <c r="O109" s="308"/>
      <c r="P109" s="308"/>
      <c r="Q109" s="32"/>
      <c r="R109" s="32"/>
      <c r="S109" s="32"/>
      <c r="T109" s="32"/>
      <c r="U109" s="32"/>
      <c r="V109" s="32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5"/>
      <c r="AV109" s="43"/>
      <c r="AW109" s="43"/>
      <c r="AX109" s="43"/>
      <c r="AY109" s="43"/>
      <c r="AZ109" s="43"/>
      <c r="BA109" s="43"/>
      <c r="BB109" s="43"/>
      <c r="BC109" s="43"/>
      <c r="BD109" s="43"/>
      <c r="BE109" s="43"/>
      <c r="BF109" s="43"/>
      <c r="BG109" s="43"/>
      <c r="BH109" s="43"/>
      <c r="BI109" s="43"/>
      <c r="BJ109" s="43"/>
      <c r="BK109" s="17"/>
    </row>
    <row r="110" spans="1:63" s="18" customFormat="1" ht="15" customHeight="1" x14ac:dyDescent="0.25">
      <c r="A110" s="13"/>
      <c r="B110" s="20"/>
      <c r="C110" s="350"/>
      <c r="D110" s="356"/>
      <c r="E110" s="358" t="s">
        <v>185</v>
      </c>
      <c r="F110" s="356"/>
      <c r="G110" s="356"/>
      <c r="H110" s="356"/>
      <c r="I110" s="308"/>
      <c r="J110" s="308"/>
      <c r="K110" s="308"/>
      <c r="L110" s="308"/>
      <c r="M110" s="308"/>
      <c r="N110" s="308"/>
      <c r="O110" s="308"/>
      <c r="P110" s="308"/>
      <c r="Q110" s="32"/>
      <c r="R110" s="32"/>
      <c r="S110" s="32"/>
      <c r="T110" s="32"/>
      <c r="U110" s="32"/>
      <c r="V110" s="32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5"/>
      <c r="AV110" s="43"/>
      <c r="AW110" s="43"/>
      <c r="AX110" s="43"/>
      <c r="AY110" s="43"/>
      <c r="AZ110" s="43"/>
      <c r="BA110" s="43"/>
      <c r="BB110" s="43"/>
      <c r="BC110" s="43"/>
      <c r="BD110" s="43"/>
      <c r="BE110" s="43"/>
      <c r="BF110" s="43"/>
      <c r="BG110" s="43"/>
      <c r="BH110" s="43"/>
      <c r="BI110" s="43"/>
      <c r="BJ110" s="43"/>
      <c r="BK110" s="17"/>
    </row>
    <row r="111" spans="1:63" s="18" customFormat="1" ht="15" customHeight="1" x14ac:dyDescent="0.25">
      <c r="A111" s="13"/>
      <c r="B111" s="20"/>
      <c r="C111" s="350"/>
      <c r="D111" s="356"/>
      <c r="E111" s="356" t="s">
        <v>23</v>
      </c>
      <c r="F111" s="356"/>
      <c r="G111" s="356"/>
      <c r="H111" s="356"/>
      <c r="I111" s="308"/>
      <c r="J111" s="308"/>
      <c r="K111" s="308"/>
      <c r="L111" s="308"/>
      <c r="M111" s="308"/>
      <c r="N111" s="308"/>
      <c r="O111" s="308"/>
      <c r="P111" s="308"/>
      <c r="Q111" s="32"/>
      <c r="R111" s="32"/>
      <c r="S111" s="32"/>
      <c r="T111" s="32"/>
      <c r="U111" s="32"/>
      <c r="V111" s="32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5"/>
      <c r="AV111" s="43"/>
      <c r="AW111" s="43"/>
      <c r="AX111" s="43"/>
      <c r="AY111" s="43"/>
      <c r="AZ111" s="43"/>
      <c r="BA111" s="43"/>
      <c r="BB111" s="43"/>
      <c r="BC111" s="43"/>
      <c r="BD111" s="43"/>
      <c r="BE111" s="43"/>
      <c r="BF111" s="43"/>
      <c r="BG111" s="43"/>
      <c r="BH111" s="43"/>
      <c r="BI111" s="43"/>
      <c r="BJ111" s="43"/>
      <c r="BK111" s="17"/>
    </row>
    <row r="112" spans="1:63" s="18" customFormat="1" ht="15" customHeight="1" x14ac:dyDescent="0.25">
      <c r="A112" s="13"/>
      <c r="B112" s="20"/>
      <c r="C112" s="350"/>
      <c r="D112" s="356" t="s">
        <v>90</v>
      </c>
      <c r="E112" s="356"/>
      <c r="F112" s="356"/>
      <c r="G112" s="356"/>
      <c r="H112" s="356"/>
      <c r="I112" s="308"/>
      <c r="J112" s="308"/>
      <c r="K112" s="308"/>
      <c r="L112" s="308"/>
      <c r="M112" s="308"/>
      <c r="N112" s="308"/>
      <c r="O112" s="308"/>
      <c r="P112" s="308"/>
      <c r="Q112" s="32"/>
      <c r="R112" s="32"/>
      <c r="S112" s="32"/>
      <c r="T112" s="32"/>
      <c r="U112" s="32"/>
      <c r="V112" s="32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5"/>
      <c r="AV112" s="43"/>
      <c r="AW112" s="43"/>
      <c r="AX112" s="43"/>
      <c r="AY112" s="43"/>
      <c r="AZ112" s="43"/>
      <c r="BA112" s="43"/>
      <c r="BB112" s="43"/>
      <c r="BC112" s="43"/>
      <c r="BD112" s="43"/>
      <c r="BE112" s="43"/>
      <c r="BF112" s="43"/>
      <c r="BG112" s="43"/>
      <c r="BH112" s="43"/>
      <c r="BI112" s="43"/>
      <c r="BJ112" s="43"/>
      <c r="BK112" s="17"/>
    </row>
    <row r="113" spans="1:63" s="18" customFormat="1" ht="15" customHeight="1" x14ac:dyDescent="0.25">
      <c r="A113" s="13"/>
      <c r="B113" s="20"/>
      <c r="C113" s="359" t="s">
        <v>23</v>
      </c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26"/>
      <c r="AV113" s="43"/>
      <c r="AW113" s="43"/>
      <c r="AX113" s="43"/>
      <c r="AY113" s="43"/>
      <c r="AZ113" s="43"/>
      <c r="BA113" s="43"/>
      <c r="BB113" s="43"/>
      <c r="BC113" s="43"/>
      <c r="BD113" s="43"/>
      <c r="BE113" s="43"/>
      <c r="BF113" s="43"/>
      <c r="BG113" s="43"/>
      <c r="BH113" s="43"/>
      <c r="BI113" s="43"/>
      <c r="BJ113" s="43"/>
      <c r="BK113" s="17"/>
    </row>
    <row r="114" spans="1:63" s="18" customFormat="1" ht="15" customHeight="1" x14ac:dyDescent="0.25">
      <c r="A114" s="13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1"/>
      <c r="BI114" s="21"/>
      <c r="BJ114" s="21"/>
      <c r="BK114" s="17"/>
    </row>
    <row r="115" spans="1:63" s="18" customFormat="1" ht="15" customHeight="1" x14ac:dyDescent="0.25">
      <c r="A115" s="13"/>
      <c r="B115" s="22" t="s">
        <v>186</v>
      </c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6"/>
      <c r="BI115" s="16"/>
      <c r="BJ115" s="16"/>
      <c r="BK115" s="17"/>
    </row>
    <row r="116" spans="1:63" s="18" customFormat="1" ht="15" customHeight="1" x14ac:dyDescent="0.25">
      <c r="A116" s="13"/>
      <c r="B116" s="19"/>
      <c r="C116" s="23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1"/>
      <c r="BI116" s="21"/>
      <c r="BJ116" s="21"/>
      <c r="BK116" s="17"/>
    </row>
    <row r="117" spans="1:63" s="18" customFormat="1" ht="15" customHeight="1" x14ac:dyDescent="0.25">
      <c r="A117" s="13"/>
      <c r="B117" s="19"/>
      <c r="C117" s="23" t="s">
        <v>187</v>
      </c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1"/>
      <c r="BI117" s="21"/>
      <c r="BJ117" s="21"/>
      <c r="BK117" s="17"/>
    </row>
    <row r="118" spans="1:63" s="18" customFormat="1" ht="15" customHeight="1" x14ac:dyDescent="0.25">
      <c r="A118" s="13"/>
      <c r="B118" s="19"/>
      <c r="C118" s="23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1"/>
      <c r="BI118" s="21"/>
      <c r="BJ118" s="21"/>
      <c r="BK118" s="17"/>
    </row>
    <row r="119" spans="1:63" s="18" customFormat="1" ht="15" customHeight="1" x14ac:dyDescent="0.25">
      <c r="A119" s="13"/>
      <c r="B119" s="20"/>
      <c r="C119" s="153" t="s">
        <v>12</v>
      </c>
      <c r="D119" s="155"/>
      <c r="E119" s="138" t="s">
        <v>188</v>
      </c>
      <c r="F119" s="139"/>
      <c r="G119" s="139"/>
      <c r="H119" s="139"/>
      <c r="I119" s="139"/>
      <c r="J119" s="139"/>
      <c r="K119" s="139"/>
      <c r="L119" s="139"/>
      <c r="M119" s="139"/>
      <c r="N119" s="140"/>
      <c r="O119" s="135" t="s">
        <v>17</v>
      </c>
      <c r="P119" s="136"/>
      <c r="Q119" s="136"/>
      <c r="R119" s="137"/>
      <c r="S119" s="173" t="s">
        <v>153</v>
      </c>
      <c r="T119" s="174"/>
      <c r="U119" s="174"/>
      <c r="V119" s="174"/>
      <c r="W119" s="174"/>
      <c r="X119" s="174"/>
      <c r="Y119" s="174"/>
      <c r="Z119" s="174"/>
      <c r="AA119" s="174"/>
      <c r="AB119" s="175"/>
      <c r="AC119" s="153" t="s">
        <v>15</v>
      </c>
      <c r="AD119" s="154"/>
      <c r="AE119" s="154"/>
      <c r="AF119" s="154"/>
      <c r="AG119" s="154"/>
      <c r="AH119" s="154"/>
      <c r="AI119" s="154"/>
      <c r="AJ119" s="154"/>
      <c r="AK119" s="154"/>
      <c r="AL119" s="154"/>
      <c r="AM119" s="154"/>
      <c r="AN119" s="154"/>
      <c r="AO119" s="154"/>
      <c r="AP119" s="154"/>
      <c r="AQ119" s="154"/>
      <c r="AR119" s="154"/>
      <c r="AS119" s="154"/>
      <c r="AT119" s="154"/>
      <c r="AU119" s="155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1"/>
      <c r="BI119" s="21"/>
      <c r="BJ119" s="21"/>
      <c r="BK119" s="17"/>
    </row>
    <row r="120" spans="1:63" s="18" customFormat="1" ht="15" customHeight="1" x14ac:dyDescent="0.25">
      <c r="A120" s="13"/>
      <c r="B120" s="20"/>
      <c r="C120" s="114">
        <v>1</v>
      </c>
      <c r="D120" s="115"/>
      <c r="E120" s="114" t="s">
        <v>24</v>
      </c>
      <c r="F120" s="131"/>
      <c r="G120" s="131"/>
      <c r="H120" s="131"/>
      <c r="I120" s="131"/>
      <c r="J120" s="131"/>
      <c r="K120" s="131"/>
      <c r="L120" s="131"/>
      <c r="M120" s="131"/>
      <c r="N120" s="115"/>
      <c r="O120" s="114" t="s">
        <v>29</v>
      </c>
      <c r="P120" s="131"/>
      <c r="Q120" s="131"/>
      <c r="R120" s="115"/>
      <c r="S120" s="162" t="s">
        <v>6</v>
      </c>
      <c r="T120" s="163"/>
      <c r="U120" s="163"/>
      <c r="V120" s="163"/>
      <c r="W120" s="163"/>
      <c r="X120" s="163"/>
      <c r="Y120" s="163"/>
      <c r="Z120" s="163"/>
      <c r="AA120" s="163"/>
      <c r="AB120" s="164"/>
      <c r="AC120" s="114" t="s">
        <v>25</v>
      </c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  <c r="AO120" s="131"/>
      <c r="AP120" s="131"/>
      <c r="AQ120" s="131"/>
      <c r="AR120" s="131"/>
      <c r="AS120" s="131"/>
      <c r="AT120" s="131"/>
      <c r="AU120" s="115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1"/>
      <c r="BI120" s="21"/>
      <c r="BJ120" s="21"/>
      <c r="BK120" s="17"/>
    </row>
    <row r="121" spans="1:63" s="18" customFormat="1" ht="15" customHeight="1" x14ac:dyDescent="0.25">
      <c r="A121" s="13"/>
      <c r="B121" s="20"/>
      <c r="C121" s="20"/>
      <c r="D121" s="20"/>
      <c r="E121" s="308"/>
      <c r="F121" s="308"/>
      <c r="G121" s="308"/>
      <c r="H121" s="308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308"/>
      <c r="T121" s="308"/>
      <c r="U121" s="308"/>
      <c r="V121" s="308"/>
      <c r="W121" s="308"/>
      <c r="X121" s="308"/>
      <c r="Y121" s="308"/>
      <c r="Z121" s="308"/>
      <c r="AA121" s="308"/>
      <c r="AB121" s="20"/>
      <c r="AC121" s="308"/>
      <c r="AD121" s="308"/>
      <c r="AE121" s="308"/>
      <c r="AF121" s="308"/>
      <c r="AG121" s="308"/>
      <c r="AH121" s="308"/>
      <c r="AI121" s="308"/>
      <c r="AJ121" s="308"/>
      <c r="AK121" s="308"/>
      <c r="AL121" s="308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1"/>
      <c r="BI121" s="21"/>
      <c r="BJ121" s="21"/>
      <c r="BK121" s="17"/>
    </row>
    <row r="122" spans="1:63" s="18" customFormat="1" ht="15" customHeight="1" x14ac:dyDescent="0.25">
      <c r="A122" s="13"/>
      <c r="B122" s="20"/>
      <c r="C122" s="23" t="s">
        <v>176</v>
      </c>
      <c r="D122" s="20"/>
      <c r="E122" s="308"/>
      <c r="F122" s="20"/>
      <c r="G122" s="308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1"/>
      <c r="BI122" s="21"/>
      <c r="BJ122" s="21"/>
      <c r="BK122" s="17"/>
    </row>
    <row r="123" spans="1:63" s="18" customFormat="1" ht="15" customHeight="1" x14ac:dyDescent="0.25">
      <c r="A123" s="13"/>
      <c r="B123" s="20"/>
      <c r="C123" s="23"/>
      <c r="D123" s="308"/>
      <c r="E123" s="308"/>
      <c r="F123" s="20"/>
      <c r="G123" s="308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1"/>
      <c r="BI123" s="21"/>
      <c r="BJ123" s="21"/>
      <c r="BK123" s="17"/>
    </row>
    <row r="124" spans="1:63" s="18" customFormat="1" ht="15" customHeight="1" x14ac:dyDescent="0.25">
      <c r="A124" s="13"/>
      <c r="B124" s="20"/>
      <c r="C124" s="355" t="s">
        <v>22</v>
      </c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24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1"/>
      <c r="BI124" s="21"/>
      <c r="BJ124" s="21"/>
      <c r="BK124" s="17"/>
    </row>
    <row r="125" spans="1:63" s="18" customFormat="1" ht="15" customHeight="1" x14ac:dyDescent="0.25">
      <c r="A125" s="13"/>
      <c r="B125" s="20"/>
      <c r="C125" s="350" t="s">
        <v>189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5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1"/>
      <c r="BI125" s="21"/>
      <c r="BJ125" s="21"/>
      <c r="BK125" s="17"/>
    </row>
    <row r="126" spans="1:63" s="18" customFormat="1" ht="15" customHeight="1" x14ac:dyDescent="0.25">
      <c r="A126" s="13"/>
      <c r="B126" s="20"/>
      <c r="C126" s="359" t="s">
        <v>23</v>
      </c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26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1"/>
      <c r="BI126" s="21"/>
      <c r="BJ126" s="21"/>
      <c r="BK126" s="17"/>
    </row>
    <row r="127" spans="1:63" s="18" customFormat="1" ht="15" customHeight="1" x14ac:dyDescent="0.25">
      <c r="A127" s="13"/>
      <c r="B127" s="20"/>
      <c r="C127" s="20"/>
      <c r="D127" s="308"/>
      <c r="E127" s="308"/>
      <c r="F127" s="32"/>
      <c r="G127" s="32"/>
      <c r="H127" s="32"/>
      <c r="I127" s="32"/>
      <c r="J127" s="32"/>
      <c r="K127" s="32"/>
      <c r="L127" s="32"/>
      <c r="M127" s="32"/>
      <c r="N127" s="32"/>
      <c r="O127" s="32"/>
      <c r="P127" s="32"/>
      <c r="Q127" s="32"/>
      <c r="R127" s="32"/>
      <c r="S127" s="32"/>
      <c r="T127" s="32"/>
      <c r="U127" s="32"/>
      <c r="V127" s="32"/>
      <c r="W127" s="32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1"/>
      <c r="BI127" s="21"/>
      <c r="BJ127" s="21"/>
      <c r="BK127" s="17"/>
    </row>
    <row r="128" spans="1:63" s="18" customFormat="1" ht="15" customHeight="1" x14ac:dyDescent="0.25">
      <c r="A128" s="13"/>
      <c r="B128" s="20"/>
      <c r="C128" s="19" t="s">
        <v>190</v>
      </c>
      <c r="D128" s="20"/>
      <c r="E128" s="308"/>
      <c r="F128" s="32"/>
      <c r="G128" s="32"/>
      <c r="H128" s="32"/>
      <c r="I128" s="32"/>
      <c r="J128" s="32"/>
      <c r="K128" s="32"/>
      <c r="L128" s="32"/>
      <c r="M128" s="32"/>
      <c r="N128" s="32"/>
      <c r="O128" s="32"/>
      <c r="P128" s="32"/>
      <c r="Q128" s="32"/>
      <c r="R128" s="32"/>
      <c r="S128" s="32"/>
      <c r="T128" s="32"/>
      <c r="U128" s="32"/>
      <c r="V128" s="32"/>
      <c r="W128" s="32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1"/>
      <c r="BI128" s="21"/>
      <c r="BJ128" s="21"/>
      <c r="BK128" s="17"/>
    </row>
    <row r="129" spans="1:63" s="18" customFormat="1" ht="15" customHeight="1" x14ac:dyDescent="0.25">
      <c r="A129" s="13"/>
      <c r="B129" s="20"/>
      <c r="C129" s="19"/>
      <c r="D129" s="20"/>
      <c r="E129" s="308"/>
      <c r="F129" s="32"/>
      <c r="G129" s="32"/>
      <c r="H129" s="32"/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1"/>
      <c r="BI129" s="21"/>
      <c r="BJ129" s="21"/>
      <c r="BK129" s="17"/>
    </row>
    <row r="130" spans="1:63" s="18" customFormat="1" ht="15" customHeight="1" x14ac:dyDescent="0.25">
      <c r="A130" s="13"/>
      <c r="B130" s="20"/>
      <c r="C130" s="19" t="s">
        <v>98</v>
      </c>
      <c r="D130" s="20"/>
      <c r="E130" s="308"/>
      <c r="F130" s="32"/>
      <c r="G130" s="32"/>
      <c r="H130" s="32"/>
      <c r="I130" s="32"/>
      <c r="J130" s="32"/>
      <c r="K130" s="32"/>
      <c r="L130" s="32"/>
      <c r="M130" s="32"/>
      <c r="N130" s="32"/>
      <c r="O130" s="32"/>
      <c r="P130" s="32"/>
      <c r="Q130" s="32"/>
      <c r="R130" s="32"/>
      <c r="S130" s="32"/>
      <c r="T130" s="32"/>
      <c r="U130" s="32"/>
      <c r="V130" s="32"/>
      <c r="W130" s="32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1"/>
      <c r="BI130" s="21"/>
      <c r="BJ130" s="21"/>
      <c r="BK130" s="17"/>
    </row>
    <row r="131" spans="1:63" s="40" customFormat="1" ht="15" customHeight="1" x14ac:dyDescent="0.25">
      <c r="A131" s="35"/>
      <c r="B131" s="36"/>
      <c r="C131" s="36"/>
      <c r="D131" s="36"/>
      <c r="E131" s="37"/>
      <c r="F131" s="37"/>
      <c r="G131" s="37"/>
      <c r="H131" s="37"/>
      <c r="I131" s="37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8"/>
      <c r="BI131" s="38"/>
      <c r="BJ131" s="38"/>
      <c r="BK131" s="39"/>
    </row>
  </sheetData>
  <mergeCells count="339">
    <mergeCell ref="S36:Y36"/>
    <mergeCell ref="Z36:AP36"/>
    <mergeCell ref="AQ36:BJ36"/>
    <mergeCell ref="Z54:AP54"/>
    <mergeCell ref="AQ54:BJ54"/>
    <mergeCell ref="C54:D54"/>
    <mergeCell ref="E54:K54"/>
    <mergeCell ref="L54:N54"/>
    <mergeCell ref="C49:D49"/>
    <mergeCell ref="E49:K49"/>
    <mergeCell ref="L49:N49"/>
    <mergeCell ref="O49:R49"/>
    <mergeCell ref="S49:Y49"/>
    <mergeCell ref="Z49:AP49"/>
    <mergeCell ref="AQ49:BJ49"/>
    <mergeCell ref="C50:D50"/>
    <mergeCell ref="E50:K50"/>
    <mergeCell ref="L50:N50"/>
    <mergeCell ref="O50:R50"/>
    <mergeCell ref="S50:Y50"/>
    <mergeCell ref="Z50:AP50"/>
    <mergeCell ref="AQ50:BJ50"/>
    <mergeCell ref="AQ52:BJ52"/>
    <mergeCell ref="L52:N52"/>
    <mergeCell ref="C66:D66"/>
    <mergeCell ref="E66:K66"/>
    <mergeCell ref="L66:N66"/>
    <mergeCell ref="L40:N40"/>
    <mergeCell ref="O40:R40"/>
    <mergeCell ref="C53:D53"/>
    <mergeCell ref="E53:K53"/>
    <mergeCell ref="L53:N53"/>
    <mergeCell ref="O53:R53"/>
    <mergeCell ref="C58:D58"/>
    <mergeCell ref="E58:K58"/>
    <mergeCell ref="C56:D56"/>
    <mergeCell ref="E56:K56"/>
    <mergeCell ref="C57:D57"/>
    <mergeCell ref="E57:K57"/>
    <mergeCell ref="O66:R66"/>
    <mergeCell ref="C61:D61"/>
    <mergeCell ref="E61:K61"/>
    <mergeCell ref="O61:R61"/>
    <mergeCell ref="C65:D65"/>
    <mergeCell ref="E65:K65"/>
    <mergeCell ref="L65:N65"/>
    <mergeCell ref="O65:R65"/>
    <mergeCell ref="C52:D52"/>
    <mergeCell ref="C67:D67"/>
    <mergeCell ref="E67:K67"/>
    <mergeCell ref="L67:N67"/>
    <mergeCell ref="O67:R67"/>
    <mergeCell ref="S67:Y67"/>
    <mergeCell ref="Z67:AP67"/>
    <mergeCell ref="AQ67:BJ67"/>
    <mergeCell ref="C69:D69"/>
    <mergeCell ref="E69:K69"/>
    <mergeCell ref="L69:N69"/>
    <mergeCell ref="O69:R69"/>
    <mergeCell ref="S69:Y69"/>
    <mergeCell ref="Z69:AP69"/>
    <mergeCell ref="AQ69:BJ69"/>
    <mergeCell ref="S66:Y66"/>
    <mergeCell ref="Z66:AP66"/>
    <mergeCell ref="AQ66:BJ66"/>
    <mergeCell ref="AQ55:BJ55"/>
    <mergeCell ref="Z55:AP55"/>
    <mergeCell ref="S55:Y55"/>
    <mergeCell ref="O55:R55"/>
    <mergeCell ref="L55:N55"/>
    <mergeCell ref="L58:N58"/>
    <mergeCell ref="O58:R58"/>
    <mergeCell ref="S58:Y58"/>
    <mergeCell ref="Z58:AP58"/>
    <mergeCell ref="AQ58:BJ58"/>
    <mergeCell ref="L56:N56"/>
    <mergeCell ref="O56:R56"/>
    <mergeCell ref="S56:Y56"/>
    <mergeCell ref="Z56:AP56"/>
    <mergeCell ref="AQ56:BJ56"/>
    <mergeCell ref="L57:N57"/>
    <mergeCell ref="O57:R57"/>
    <mergeCell ref="S57:Y57"/>
    <mergeCell ref="Z57:AP57"/>
    <mergeCell ref="AQ57:BJ57"/>
    <mergeCell ref="L61:N61"/>
    <mergeCell ref="S61:Y61"/>
    <mergeCell ref="Z61:AP61"/>
    <mergeCell ref="AQ61:BJ61"/>
    <mergeCell ref="C63:D63"/>
    <mergeCell ref="E63:K63"/>
    <mergeCell ref="L63:N63"/>
    <mergeCell ref="O63:R63"/>
    <mergeCell ref="S63:Y63"/>
    <mergeCell ref="Z63:AP63"/>
    <mergeCell ref="AQ63:BJ63"/>
    <mergeCell ref="C62:D62"/>
    <mergeCell ref="E62:K62"/>
    <mergeCell ref="L62:N62"/>
    <mergeCell ref="O62:R62"/>
    <mergeCell ref="S62:Y62"/>
    <mergeCell ref="Z62:AP62"/>
    <mergeCell ref="AQ62:BJ62"/>
    <mergeCell ref="S65:Y65"/>
    <mergeCell ref="Z65:AP65"/>
    <mergeCell ref="AQ65:BJ65"/>
    <mergeCell ref="C64:D64"/>
    <mergeCell ref="E64:K64"/>
    <mergeCell ref="L64:N64"/>
    <mergeCell ref="O64:R64"/>
    <mergeCell ref="S64:Y64"/>
    <mergeCell ref="Z64:AP64"/>
    <mergeCell ref="AQ64:BJ64"/>
    <mergeCell ref="AQ43:BJ43"/>
    <mergeCell ref="C60:D60"/>
    <mergeCell ref="E60:K60"/>
    <mergeCell ref="L60:N60"/>
    <mergeCell ref="O60:R60"/>
    <mergeCell ref="S60:Y60"/>
    <mergeCell ref="Z60:AP60"/>
    <mergeCell ref="AQ60:BJ60"/>
    <mergeCell ref="C59:D59"/>
    <mergeCell ref="E59:K59"/>
    <mergeCell ref="L59:N59"/>
    <mergeCell ref="O59:R59"/>
    <mergeCell ref="S59:Y59"/>
    <mergeCell ref="Z59:AP59"/>
    <mergeCell ref="AQ59:BJ59"/>
    <mergeCell ref="C51:D51"/>
    <mergeCell ref="AQ51:BJ51"/>
    <mergeCell ref="S53:Y53"/>
    <mergeCell ref="Z53:AP53"/>
    <mergeCell ref="AQ53:BJ53"/>
    <mergeCell ref="E55:K55"/>
    <mergeCell ref="C55:D55"/>
    <mergeCell ref="O54:R54"/>
    <mergeCell ref="S54:Y54"/>
    <mergeCell ref="E47:K47"/>
    <mergeCell ref="L47:N47"/>
    <mergeCell ref="O47:R47"/>
    <mergeCell ref="S47:Y47"/>
    <mergeCell ref="Z47:AP47"/>
    <mergeCell ref="E51:K51"/>
    <mergeCell ref="L51:N51"/>
    <mergeCell ref="O51:R51"/>
    <mergeCell ref="S51:Y51"/>
    <mergeCell ref="Z51:AP51"/>
    <mergeCell ref="O52:R52"/>
    <mergeCell ref="S52:Y52"/>
    <mergeCell ref="A4:G4"/>
    <mergeCell ref="C47:D47"/>
    <mergeCell ref="C23:D23"/>
    <mergeCell ref="AQ47:BJ47"/>
    <mergeCell ref="L41:N41"/>
    <mergeCell ref="O41:R41"/>
    <mergeCell ref="S41:Y41"/>
    <mergeCell ref="Z41:AP41"/>
    <mergeCell ref="AQ41:BJ41"/>
    <mergeCell ref="Z46:AP46"/>
    <mergeCell ref="C42:D42"/>
    <mergeCell ref="E42:K42"/>
    <mergeCell ref="L42:N42"/>
    <mergeCell ref="O42:R42"/>
    <mergeCell ref="C46:D46"/>
    <mergeCell ref="C44:D44"/>
    <mergeCell ref="C38:D38"/>
    <mergeCell ref="E38:K38"/>
    <mergeCell ref="L38:N38"/>
    <mergeCell ref="S40:Y40"/>
    <mergeCell ref="Z40:AP40"/>
    <mergeCell ref="AQ40:BJ40"/>
    <mergeCell ref="E15:AF15"/>
    <mergeCell ref="C20:D20"/>
    <mergeCell ref="S20:Y20"/>
    <mergeCell ref="Z20:AP20"/>
    <mergeCell ref="L37:N37"/>
    <mergeCell ref="O37:R37"/>
    <mergeCell ref="S37:Y37"/>
    <mergeCell ref="Z37:AP37"/>
    <mergeCell ref="S30:Y30"/>
    <mergeCell ref="C31:BJ31"/>
    <mergeCell ref="L35:N35"/>
    <mergeCell ref="O35:R35"/>
    <mergeCell ref="Z35:AP35"/>
    <mergeCell ref="AQ20:BJ20"/>
    <mergeCell ref="AQ15:BJ15"/>
    <mergeCell ref="E16:AF16"/>
    <mergeCell ref="AQ26:BJ26"/>
    <mergeCell ref="AQ35:BJ35"/>
    <mergeCell ref="AQ16:BJ16"/>
    <mergeCell ref="AQ23:BJ23"/>
    <mergeCell ref="AQ24:BJ24"/>
    <mergeCell ref="C36:D36"/>
    <mergeCell ref="E36:K36"/>
    <mergeCell ref="L36:N36"/>
    <mergeCell ref="AQ21:BJ22"/>
    <mergeCell ref="S21:Y22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H4:T4"/>
    <mergeCell ref="U4:Y4"/>
    <mergeCell ref="Z4:AO4"/>
    <mergeCell ref="AP4:BK4"/>
    <mergeCell ref="C15:D15"/>
    <mergeCell ref="C16:D16"/>
    <mergeCell ref="AG15:AP15"/>
    <mergeCell ref="S25:Y25"/>
    <mergeCell ref="C25:D25"/>
    <mergeCell ref="Z25:AP25"/>
    <mergeCell ref="C45:D45"/>
    <mergeCell ref="E45:K45"/>
    <mergeCell ref="L45:N45"/>
    <mergeCell ref="O45:R45"/>
    <mergeCell ref="S45:Y45"/>
    <mergeCell ref="Z45:AP45"/>
    <mergeCell ref="E35:K35"/>
    <mergeCell ref="L30:N30"/>
    <mergeCell ref="O30:R30"/>
    <mergeCell ref="Z30:AP30"/>
    <mergeCell ref="C37:D37"/>
    <mergeCell ref="S42:Y42"/>
    <mergeCell ref="Z42:AP42"/>
    <mergeCell ref="C40:D40"/>
    <mergeCell ref="E40:K40"/>
    <mergeCell ref="C41:D41"/>
    <mergeCell ref="E41:K41"/>
    <mergeCell ref="O43:R43"/>
    <mergeCell ref="S43:Y43"/>
    <mergeCell ref="Z43:AP43"/>
    <mergeCell ref="O36:R36"/>
    <mergeCell ref="AQ42:BJ42"/>
    <mergeCell ref="C119:D119"/>
    <mergeCell ref="AG16:AP16"/>
    <mergeCell ref="O20:R20"/>
    <mergeCell ref="L20:N20"/>
    <mergeCell ref="S23:Y23"/>
    <mergeCell ref="Z24:AP24"/>
    <mergeCell ref="E37:K37"/>
    <mergeCell ref="C39:D39"/>
    <mergeCell ref="E39:K39"/>
    <mergeCell ref="C30:D30"/>
    <mergeCell ref="O26:R26"/>
    <mergeCell ref="S26:Y26"/>
    <mergeCell ref="Z26:AP26"/>
    <mergeCell ref="S119:AB119"/>
    <mergeCell ref="C24:D24"/>
    <mergeCell ref="C21:D22"/>
    <mergeCell ref="C26:D26"/>
    <mergeCell ref="E21:K22"/>
    <mergeCell ref="E23:K23"/>
    <mergeCell ref="C35:D35"/>
    <mergeCell ref="Z23:AP23"/>
    <mergeCell ref="E20:K20"/>
    <mergeCell ref="E30:K30"/>
    <mergeCell ref="AQ25:BJ25"/>
    <mergeCell ref="AC119:AU119"/>
    <mergeCell ref="AC120:AU120"/>
    <mergeCell ref="L44:N44"/>
    <mergeCell ref="O44:R44"/>
    <mergeCell ref="Z44:AP44"/>
    <mergeCell ref="E44:K44"/>
    <mergeCell ref="S44:Y44"/>
    <mergeCell ref="S35:Y35"/>
    <mergeCell ref="AQ37:BJ37"/>
    <mergeCell ref="AQ39:BJ39"/>
    <mergeCell ref="AQ38:BJ38"/>
    <mergeCell ref="S120:AB120"/>
    <mergeCell ref="AQ70:BJ70"/>
    <mergeCell ref="Z39:AP39"/>
    <mergeCell ref="O38:R38"/>
    <mergeCell ref="S38:Y38"/>
    <mergeCell ref="Z38:AP38"/>
    <mergeCell ref="L46:N46"/>
    <mergeCell ref="O46:R46"/>
    <mergeCell ref="S46:Y46"/>
    <mergeCell ref="E52:K52"/>
    <mergeCell ref="AQ44:BJ44"/>
    <mergeCell ref="E46:K46"/>
    <mergeCell ref="E120:N120"/>
    <mergeCell ref="C70:D70"/>
    <mergeCell ref="E70:K70"/>
    <mergeCell ref="L70:N70"/>
    <mergeCell ref="O70:R70"/>
    <mergeCell ref="S70:Y70"/>
    <mergeCell ref="Z70:AP70"/>
    <mergeCell ref="O21:R22"/>
    <mergeCell ref="L21:N22"/>
    <mergeCell ref="E24:K24"/>
    <mergeCell ref="E25:K25"/>
    <mergeCell ref="O23:R23"/>
    <mergeCell ref="O25:R25"/>
    <mergeCell ref="O24:R24"/>
    <mergeCell ref="L23:N23"/>
    <mergeCell ref="L24:N24"/>
    <mergeCell ref="L25:N25"/>
    <mergeCell ref="E26:K26"/>
    <mergeCell ref="L26:N26"/>
    <mergeCell ref="Z21:AP22"/>
    <mergeCell ref="Z52:AP52"/>
    <mergeCell ref="C43:D43"/>
    <mergeCell ref="E43:K43"/>
    <mergeCell ref="L43:N43"/>
    <mergeCell ref="C48:D48"/>
    <mergeCell ref="E48:K48"/>
    <mergeCell ref="L48:N48"/>
    <mergeCell ref="O48:R48"/>
    <mergeCell ref="S48:Y48"/>
    <mergeCell ref="Z48:AP48"/>
    <mergeCell ref="AQ48:BJ48"/>
    <mergeCell ref="C120:D120"/>
    <mergeCell ref="AQ30:BJ30"/>
    <mergeCell ref="AQ45:BJ45"/>
    <mergeCell ref="AQ46:BJ46"/>
    <mergeCell ref="L39:N39"/>
    <mergeCell ref="O39:R39"/>
    <mergeCell ref="S39:Y39"/>
    <mergeCell ref="C68:D68"/>
    <mergeCell ref="E68:K68"/>
    <mergeCell ref="L68:N68"/>
    <mergeCell ref="O68:R68"/>
    <mergeCell ref="S68:Y68"/>
    <mergeCell ref="Z68:AP68"/>
    <mergeCell ref="AQ68:BJ68"/>
    <mergeCell ref="O119:R119"/>
    <mergeCell ref="O120:R120"/>
    <mergeCell ref="E119:N119"/>
  </mergeCells>
  <pageMargins left="0.7" right="0.7" top="0.75" bottom="0.75" header="0.3" footer="0.3"/>
  <pageSetup scale="27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78271-31EF-495D-AD5C-2D179426EE02}">
  <sheetPr>
    <tabColor rgb="FF7030A0"/>
    <pageSetUpPr fitToPage="1"/>
  </sheetPr>
  <dimension ref="A1:BK108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88" t="s">
        <v>118</v>
      </c>
      <c r="B1" s="289"/>
      <c r="C1" s="289"/>
      <c r="D1" s="289"/>
      <c r="E1" s="289"/>
      <c r="F1" s="289"/>
      <c r="G1" s="289"/>
      <c r="H1" s="289"/>
      <c r="I1" s="289"/>
      <c r="J1" s="290"/>
      <c r="K1" s="288" t="s">
        <v>119</v>
      </c>
      <c r="L1" s="289"/>
      <c r="M1" s="289"/>
      <c r="N1" s="289"/>
      <c r="O1" s="289"/>
      <c r="P1" s="289"/>
      <c r="Q1" s="289"/>
      <c r="R1" s="289"/>
      <c r="S1" s="289"/>
      <c r="T1" s="289"/>
      <c r="U1" s="289"/>
      <c r="V1" s="290"/>
      <c r="W1" s="291" t="str">
        <f>IF(表紙!W1="","",表紙!W1)</f>
        <v>詳細設計書</v>
      </c>
      <c r="X1" s="292"/>
      <c r="Y1" s="292"/>
      <c r="Z1" s="292"/>
      <c r="AA1" s="292"/>
      <c r="AB1" s="292"/>
      <c r="AC1" s="292"/>
      <c r="AD1" s="292"/>
      <c r="AE1" s="292"/>
      <c r="AF1" s="292"/>
      <c r="AG1" s="292"/>
      <c r="AH1" s="292"/>
      <c r="AI1" s="292"/>
      <c r="AJ1" s="292"/>
      <c r="AK1" s="292"/>
      <c r="AL1" s="292"/>
      <c r="AM1" s="292"/>
      <c r="AN1" s="292"/>
      <c r="AO1" s="293"/>
      <c r="AP1" s="214" t="s">
        <v>121</v>
      </c>
      <c r="AQ1" s="215"/>
      <c r="AR1" s="215"/>
      <c r="AS1" s="216"/>
      <c r="AT1" s="214" t="s">
        <v>122</v>
      </c>
      <c r="AU1" s="215"/>
      <c r="AV1" s="215"/>
      <c r="AW1" s="215"/>
      <c r="AX1" s="216"/>
      <c r="AY1" s="214" t="s">
        <v>123</v>
      </c>
      <c r="AZ1" s="215"/>
      <c r="BA1" s="215"/>
      <c r="BB1" s="216"/>
      <c r="BC1" s="214" t="s">
        <v>124</v>
      </c>
      <c r="BD1" s="215"/>
      <c r="BE1" s="215"/>
      <c r="BF1" s="215"/>
      <c r="BG1" s="216"/>
      <c r="BH1" s="214" t="s">
        <v>125</v>
      </c>
      <c r="BI1" s="215"/>
      <c r="BJ1" s="215"/>
      <c r="BK1" s="216"/>
    </row>
    <row r="2" spans="1:63" ht="15" customHeight="1" x14ac:dyDescent="0.25">
      <c r="A2" s="104" t="str">
        <f>IF(表紙!A2="","",表紙!A2)</f>
        <v>POSサーバー</v>
      </c>
      <c r="B2" s="105"/>
      <c r="C2" s="105"/>
      <c r="D2" s="105"/>
      <c r="E2" s="105"/>
      <c r="F2" s="105"/>
      <c r="G2" s="105"/>
      <c r="H2" s="105"/>
      <c r="I2" s="105"/>
      <c r="J2" s="106"/>
      <c r="K2" s="104" t="str">
        <f>IF(表紙!K2="","",表紙!K2)</f>
        <v>POSサーバー</v>
      </c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6"/>
      <c r="W2" s="294"/>
      <c r="X2" s="295"/>
      <c r="Y2" s="295"/>
      <c r="Z2" s="295"/>
      <c r="AA2" s="295"/>
      <c r="AB2" s="295"/>
      <c r="AC2" s="295"/>
      <c r="AD2" s="295"/>
      <c r="AE2" s="295"/>
      <c r="AF2" s="295"/>
      <c r="AG2" s="295"/>
      <c r="AH2" s="295"/>
      <c r="AI2" s="295"/>
      <c r="AJ2" s="295"/>
      <c r="AK2" s="295"/>
      <c r="AL2" s="295"/>
      <c r="AM2" s="295"/>
      <c r="AN2" s="295"/>
      <c r="AO2" s="296"/>
      <c r="AP2" s="223" t="str">
        <f>IF(表紙!AP2="","",表紙!AP2)</f>
        <v>DuNT</v>
      </c>
      <c r="AQ2" s="221"/>
      <c r="AR2" s="221"/>
      <c r="AS2" s="222"/>
      <c r="AT2" s="227">
        <f>IF(表紙!AT2="","",表紙!AT2)</f>
        <v>45477</v>
      </c>
      <c r="AU2" s="228"/>
      <c r="AV2" s="228"/>
      <c r="AW2" s="228"/>
      <c r="AX2" s="229"/>
      <c r="AY2" s="223" t="str">
        <f>IF(表紙!AY2="","",表紙!AY2)</f>
        <v>LoiLV</v>
      </c>
      <c r="AZ2" s="221"/>
      <c r="BA2" s="221"/>
      <c r="BB2" s="222"/>
      <c r="BC2" s="227">
        <f>IF(表紙!BC2="","",表紙!BC2)</f>
        <v>45964</v>
      </c>
      <c r="BD2" s="228"/>
      <c r="BE2" s="228"/>
      <c r="BF2" s="228"/>
      <c r="BG2" s="229"/>
      <c r="BH2" s="223">
        <f>IF(表紙!BH2="","",表紙!BH2)</f>
        <v>0.53</v>
      </c>
      <c r="BI2" s="221"/>
      <c r="BJ2" s="221"/>
      <c r="BK2" s="222"/>
    </row>
    <row r="3" spans="1:63" ht="15" customHeight="1" x14ac:dyDescent="0.25">
      <c r="A3" s="107"/>
      <c r="B3" s="108"/>
      <c r="C3" s="108"/>
      <c r="D3" s="108"/>
      <c r="E3" s="108"/>
      <c r="F3" s="108"/>
      <c r="G3" s="108"/>
      <c r="H3" s="108"/>
      <c r="I3" s="108"/>
      <c r="J3" s="109"/>
      <c r="K3" s="107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9"/>
      <c r="W3" s="297"/>
      <c r="X3" s="298"/>
      <c r="Y3" s="298"/>
      <c r="Z3" s="298"/>
      <c r="AA3" s="298"/>
      <c r="AB3" s="298"/>
      <c r="AC3" s="298"/>
      <c r="AD3" s="298"/>
      <c r="AE3" s="298"/>
      <c r="AF3" s="298"/>
      <c r="AG3" s="298"/>
      <c r="AH3" s="298"/>
      <c r="AI3" s="298"/>
      <c r="AJ3" s="298"/>
      <c r="AK3" s="298"/>
      <c r="AL3" s="298"/>
      <c r="AM3" s="298"/>
      <c r="AN3" s="298"/>
      <c r="AO3" s="299"/>
      <c r="AP3" s="233"/>
      <c r="AQ3" s="234"/>
      <c r="AR3" s="234"/>
      <c r="AS3" s="235"/>
      <c r="AT3" s="239"/>
      <c r="AU3" s="240"/>
      <c r="AV3" s="240"/>
      <c r="AW3" s="240"/>
      <c r="AX3" s="241"/>
      <c r="AY3" s="233"/>
      <c r="AZ3" s="234"/>
      <c r="BA3" s="234"/>
      <c r="BB3" s="235"/>
      <c r="BC3" s="239"/>
      <c r="BD3" s="240"/>
      <c r="BE3" s="240"/>
      <c r="BF3" s="240"/>
      <c r="BG3" s="241"/>
      <c r="BH3" s="233"/>
      <c r="BI3" s="234"/>
      <c r="BJ3" s="234"/>
      <c r="BK3" s="235"/>
    </row>
    <row r="4" spans="1:63" ht="24.95" customHeight="1" x14ac:dyDescent="0.25">
      <c r="A4" s="288" t="s">
        <v>127</v>
      </c>
      <c r="B4" s="289"/>
      <c r="C4" s="289"/>
      <c r="D4" s="289"/>
      <c r="E4" s="289"/>
      <c r="F4" s="289"/>
      <c r="G4" s="290"/>
      <c r="H4" s="110" t="str">
        <f>IF(表紙!H4="","",表紙!H4)</f>
        <v>AP1508</v>
      </c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2"/>
      <c r="U4" s="288" t="s">
        <v>128</v>
      </c>
      <c r="V4" s="289"/>
      <c r="W4" s="289"/>
      <c r="X4" s="289"/>
      <c r="Y4" s="290"/>
      <c r="Z4" s="110" t="str">
        <f>IF(表紙!Z4="","",表紙!Z4)</f>
        <v>API設計書</v>
      </c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2"/>
      <c r="AP4" s="113" t="str">
        <f ca="1">MID(CELL("filename",A1),FIND("]",CELL("filename",A1))+1,255)</f>
        <v>処理フロー</v>
      </c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306" customFormat="1" ht="15" customHeight="1" x14ac:dyDescent="0.25">
      <c r="B7" s="41"/>
      <c r="C7" s="21"/>
      <c r="D7" s="21"/>
      <c r="E7" s="21"/>
      <c r="F7" s="21"/>
      <c r="G7" s="21"/>
      <c r="AI7" s="360"/>
      <c r="BJ7" s="360"/>
      <c r="BK7" s="305"/>
    </row>
    <row r="8" spans="1:63" s="306" customFormat="1" ht="15" customHeight="1" x14ac:dyDescent="0.25">
      <c r="B8" s="41"/>
      <c r="C8" s="21"/>
      <c r="D8" s="21"/>
      <c r="E8" s="21"/>
      <c r="F8" s="21"/>
      <c r="G8" s="21"/>
      <c r="AI8" s="360"/>
      <c r="BJ8" s="360"/>
      <c r="BK8" s="305"/>
    </row>
    <row r="9" spans="1:63" s="306" customFormat="1" ht="15" customHeight="1" x14ac:dyDescent="0.25">
      <c r="B9" s="41"/>
      <c r="C9" s="21"/>
      <c r="D9" s="21"/>
      <c r="E9" s="21"/>
      <c r="F9" s="21"/>
      <c r="G9" s="21"/>
      <c r="AI9" s="360"/>
      <c r="BJ9" s="360"/>
      <c r="BK9" s="305"/>
    </row>
    <row r="10" spans="1:63" s="306" customFormat="1" ht="15" customHeight="1" x14ac:dyDescent="0.25">
      <c r="B10" s="41"/>
      <c r="C10" s="21"/>
      <c r="D10" s="21"/>
      <c r="E10" s="21"/>
      <c r="F10" s="21"/>
      <c r="G10" s="21"/>
      <c r="AI10" s="360"/>
      <c r="BJ10" s="360"/>
      <c r="BK10" s="305"/>
    </row>
    <row r="11" spans="1:63" s="306" customFormat="1" ht="15" customHeight="1" x14ac:dyDescent="0.25">
      <c r="B11" s="361" t="s">
        <v>116</v>
      </c>
      <c r="C11" s="362"/>
      <c r="D11" s="362"/>
      <c r="E11" s="362"/>
      <c r="F11" s="362"/>
      <c r="G11" s="362"/>
      <c r="H11" s="362"/>
      <c r="I11" s="362"/>
      <c r="J11" s="362"/>
      <c r="K11" s="362"/>
      <c r="L11" s="362"/>
      <c r="M11" s="362"/>
      <c r="N11" s="362"/>
      <c r="O11" s="362"/>
      <c r="P11" s="362"/>
      <c r="Q11" s="362"/>
      <c r="R11" s="362"/>
      <c r="S11" s="362"/>
      <c r="T11" s="362"/>
      <c r="U11" s="362"/>
      <c r="V11" s="362"/>
      <c r="W11" s="362"/>
      <c r="X11" s="362"/>
      <c r="Y11" s="362"/>
      <c r="Z11" s="362"/>
      <c r="AA11" s="362"/>
      <c r="AB11" s="362"/>
      <c r="AC11" s="362"/>
      <c r="AD11" s="362"/>
      <c r="AE11" s="362"/>
      <c r="AF11" s="362"/>
      <c r="AG11" s="362"/>
      <c r="AH11" s="362"/>
      <c r="AI11" s="363"/>
      <c r="AJ11" s="362"/>
      <c r="AK11" s="362"/>
      <c r="AL11" s="362"/>
      <c r="AM11" s="362"/>
      <c r="AN11" s="362"/>
      <c r="AO11" s="362"/>
      <c r="AP11" s="362"/>
      <c r="AQ11" s="362"/>
      <c r="AR11" s="362"/>
      <c r="AS11" s="362"/>
      <c r="AT11" s="362"/>
      <c r="AU11" s="362"/>
      <c r="AV11" s="362"/>
      <c r="AW11" s="362"/>
      <c r="AX11" s="362"/>
      <c r="AY11" s="362"/>
      <c r="AZ11" s="362"/>
      <c r="BA11" s="362"/>
      <c r="BB11" s="362"/>
      <c r="BC11" s="362"/>
      <c r="BD11" s="362"/>
      <c r="BE11" s="362"/>
      <c r="BF11" s="362"/>
      <c r="BG11" s="362"/>
      <c r="BH11" s="362"/>
      <c r="BI11" s="362"/>
      <c r="BJ11" s="363"/>
      <c r="BK11" s="305"/>
    </row>
    <row r="12" spans="1:63" s="306" customFormat="1" ht="15" customHeight="1" x14ac:dyDescent="0.25">
      <c r="B12" s="364"/>
      <c r="AI12" s="360"/>
      <c r="BJ12" s="360"/>
      <c r="BK12" s="305"/>
    </row>
    <row r="13" spans="1:63" s="306" customFormat="1" ht="15" customHeight="1" x14ac:dyDescent="0.25">
      <c r="B13" s="364"/>
      <c r="AI13" s="360"/>
      <c r="BJ13" s="360"/>
      <c r="BK13" s="305"/>
    </row>
    <row r="14" spans="1:63" s="306" customFormat="1" ht="15" customHeight="1" x14ac:dyDescent="0.25">
      <c r="B14" s="364"/>
      <c r="AI14" s="360"/>
      <c r="BJ14" s="360"/>
      <c r="BK14" s="305"/>
    </row>
    <row r="15" spans="1:63" s="306" customFormat="1" ht="15" customHeight="1" x14ac:dyDescent="0.25">
      <c r="B15" s="364"/>
      <c r="AI15" s="360"/>
      <c r="BJ15" s="360"/>
      <c r="BK15" s="305"/>
    </row>
    <row r="16" spans="1:63" s="306" customFormat="1" ht="15" customHeight="1" x14ac:dyDescent="0.25">
      <c r="B16" s="364"/>
      <c r="AI16" s="360"/>
      <c r="BJ16" s="360"/>
      <c r="BK16" s="305"/>
    </row>
    <row r="17" spans="2:63" s="306" customFormat="1" ht="15" customHeight="1" x14ac:dyDescent="0.25">
      <c r="B17" s="364"/>
      <c r="AI17" s="360"/>
      <c r="BJ17" s="360"/>
      <c r="BK17" s="305"/>
    </row>
    <row r="18" spans="2:63" s="306" customFormat="1" ht="15" customHeight="1" x14ac:dyDescent="0.25">
      <c r="B18" s="364"/>
      <c r="AI18" s="360"/>
      <c r="BJ18" s="360"/>
      <c r="BK18" s="305"/>
    </row>
    <row r="19" spans="2:63" s="306" customFormat="1" ht="15" customHeight="1" x14ac:dyDescent="0.25">
      <c r="B19" s="364"/>
      <c r="AI19" s="360"/>
      <c r="BJ19" s="360"/>
      <c r="BK19" s="305"/>
    </row>
    <row r="20" spans="2:63" s="306" customFormat="1" ht="15" customHeight="1" x14ac:dyDescent="0.25">
      <c r="B20" s="364"/>
      <c r="AI20" s="360"/>
      <c r="BJ20" s="360"/>
      <c r="BK20" s="305"/>
    </row>
    <row r="21" spans="2:63" s="306" customFormat="1" ht="15" customHeight="1" x14ac:dyDescent="0.25">
      <c r="B21" s="364"/>
      <c r="AI21" s="360"/>
      <c r="BJ21" s="360"/>
      <c r="BK21" s="305"/>
    </row>
    <row r="22" spans="2:63" s="306" customFormat="1" ht="15" customHeight="1" x14ac:dyDescent="0.25">
      <c r="B22" s="364"/>
      <c r="AI22" s="360"/>
      <c r="BJ22" s="360"/>
      <c r="BK22" s="305"/>
    </row>
    <row r="23" spans="2:63" s="306" customFormat="1" ht="15" customHeight="1" x14ac:dyDescent="0.25">
      <c r="B23" s="364"/>
      <c r="AI23" s="360"/>
      <c r="BJ23" s="360"/>
      <c r="BK23" s="305"/>
    </row>
    <row r="24" spans="2:63" s="306" customFormat="1" ht="15" customHeight="1" x14ac:dyDescent="0.25">
      <c r="B24" s="364"/>
      <c r="AI24" s="360"/>
      <c r="BJ24" s="360"/>
      <c r="BK24" s="305"/>
    </row>
    <row r="25" spans="2:63" s="306" customFormat="1" ht="15" customHeight="1" x14ac:dyDescent="0.25">
      <c r="B25" s="364"/>
      <c r="AI25" s="360"/>
      <c r="BJ25" s="360"/>
      <c r="BK25" s="305"/>
    </row>
    <row r="26" spans="2:63" s="306" customFormat="1" ht="15" customHeight="1" x14ac:dyDescent="0.25">
      <c r="B26" s="364"/>
      <c r="AI26" s="360"/>
      <c r="BJ26" s="360"/>
      <c r="BK26" s="305"/>
    </row>
    <row r="27" spans="2:63" s="306" customFormat="1" ht="15" customHeight="1" x14ac:dyDescent="0.25">
      <c r="B27" s="364"/>
      <c r="AI27" s="360"/>
      <c r="BJ27" s="360"/>
      <c r="BK27" s="305"/>
    </row>
    <row r="28" spans="2:63" s="306" customFormat="1" ht="15" customHeight="1" x14ac:dyDescent="0.25">
      <c r="B28" s="364"/>
      <c r="AI28" s="360"/>
      <c r="BJ28" s="360"/>
      <c r="BK28" s="305"/>
    </row>
    <row r="29" spans="2:63" s="306" customFormat="1" ht="15" customHeight="1" x14ac:dyDescent="0.25">
      <c r="B29" s="364"/>
      <c r="AI29" s="360"/>
      <c r="BJ29" s="360"/>
      <c r="BK29" s="305"/>
    </row>
    <row r="30" spans="2:63" s="306" customFormat="1" ht="15" customHeight="1" x14ac:dyDescent="0.25">
      <c r="B30" s="364"/>
      <c r="AI30" s="360"/>
      <c r="BJ30" s="360"/>
      <c r="BK30" s="305"/>
    </row>
    <row r="31" spans="2:63" s="306" customFormat="1" ht="15" customHeight="1" x14ac:dyDescent="0.25">
      <c r="B31" s="364"/>
      <c r="AI31" s="360"/>
      <c r="BJ31" s="360"/>
      <c r="BK31" s="305"/>
    </row>
    <row r="32" spans="2:63" s="306" customFormat="1" ht="15" customHeight="1" x14ac:dyDescent="0.25">
      <c r="B32" s="364"/>
      <c r="AI32" s="360"/>
      <c r="BJ32" s="360"/>
      <c r="BK32" s="305"/>
    </row>
    <row r="33" spans="2:63" s="306" customFormat="1" ht="15" customHeight="1" x14ac:dyDescent="0.25">
      <c r="B33" s="364"/>
      <c r="AI33" s="360"/>
      <c r="BJ33" s="360"/>
      <c r="BK33" s="305"/>
    </row>
    <row r="34" spans="2:63" s="306" customFormat="1" ht="15" customHeight="1" x14ac:dyDescent="0.25">
      <c r="B34" s="364"/>
      <c r="AI34" s="360"/>
      <c r="BJ34" s="360"/>
      <c r="BK34" s="305"/>
    </row>
    <row r="35" spans="2:63" s="306" customFormat="1" ht="15" customHeight="1" x14ac:dyDescent="0.25">
      <c r="B35" s="364"/>
      <c r="AI35" s="360"/>
      <c r="BJ35" s="360"/>
      <c r="BK35" s="305"/>
    </row>
    <row r="36" spans="2:63" s="306" customFormat="1" ht="15" customHeight="1" x14ac:dyDescent="0.25">
      <c r="B36" s="364"/>
      <c r="AI36" s="360"/>
      <c r="BJ36" s="360"/>
      <c r="BK36" s="305"/>
    </row>
    <row r="37" spans="2:63" s="306" customFormat="1" ht="15" customHeight="1" x14ac:dyDescent="0.25">
      <c r="B37" s="364"/>
      <c r="AI37" s="360"/>
      <c r="BJ37" s="360"/>
      <c r="BK37" s="305"/>
    </row>
    <row r="38" spans="2:63" s="306" customFormat="1" ht="15" customHeight="1" x14ac:dyDescent="0.25">
      <c r="B38" s="364"/>
      <c r="AI38" s="360"/>
      <c r="BJ38" s="360"/>
      <c r="BK38" s="305"/>
    </row>
    <row r="39" spans="2:63" s="306" customFormat="1" ht="15" customHeight="1" x14ac:dyDescent="0.25">
      <c r="B39" s="364"/>
      <c r="AI39" s="360"/>
      <c r="BJ39" s="360"/>
      <c r="BK39" s="305"/>
    </row>
    <row r="40" spans="2:63" s="306" customFormat="1" ht="15" customHeight="1" x14ac:dyDescent="0.25">
      <c r="B40" s="364"/>
      <c r="AI40" s="360"/>
      <c r="BJ40" s="360"/>
      <c r="BK40" s="305"/>
    </row>
    <row r="41" spans="2:63" ht="15" customHeight="1" x14ac:dyDescent="0.25">
      <c r="B41" s="9"/>
      <c r="AI41" s="11"/>
      <c r="BJ41" s="11"/>
      <c r="BK41" s="5"/>
    </row>
    <row r="42" spans="2:63" ht="15" customHeight="1" x14ac:dyDescent="0.25">
      <c r="B42" s="9"/>
      <c r="AI42" s="11"/>
      <c r="BJ42" s="11"/>
      <c r="BK42" s="5"/>
    </row>
    <row r="43" spans="2:63" ht="15" customHeight="1" x14ac:dyDescent="0.25">
      <c r="B43" s="9"/>
      <c r="AI43" s="11"/>
      <c r="BJ43" s="11"/>
      <c r="BK43" s="5"/>
    </row>
    <row r="44" spans="2:63" ht="15" customHeight="1" x14ac:dyDescent="0.25">
      <c r="B44" s="9"/>
      <c r="AI44" s="11"/>
      <c r="BJ44" s="11"/>
      <c r="BK44" s="5"/>
    </row>
    <row r="45" spans="2:63" ht="15" customHeight="1" x14ac:dyDescent="0.25">
      <c r="B45" s="9"/>
      <c r="AI45" s="11"/>
      <c r="BJ45" s="11"/>
      <c r="BK45" s="5"/>
    </row>
    <row r="46" spans="2:63" ht="15" customHeight="1" x14ac:dyDescent="0.25">
      <c r="B46" s="9"/>
      <c r="AI46" s="11"/>
      <c r="BJ46" s="11"/>
      <c r="BK46" s="5"/>
    </row>
    <row r="47" spans="2:63" ht="15" customHeight="1" x14ac:dyDescent="0.25">
      <c r="B47" s="9"/>
      <c r="AI47" s="11"/>
      <c r="BJ47" s="11"/>
      <c r="BK47" s="5"/>
    </row>
    <row r="48" spans="2:63" ht="15" customHeight="1" x14ac:dyDescent="0.25">
      <c r="B48" s="9"/>
      <c r="AI48" s="11"/>
      <c r="BJ48" s="11"/>
      <c r="BK48" s="5"/>
    </row>
    <row r="49" spans="2:63" ht="15" customHeight="1" x14ac:dyDescent="0.25">
      <c r="B49" s="9"/>
      <c r="AI49" s="11"/>
      <c r="BJ49" s="11"/>
      <c r="BK49" s="5"/>
    </row>
    <row r="50" spans="2:63" ht="15" customHeight="1" x14ac:dyDescent="0.25">
      <c r="B50" s="9"/>
      <c r="AI50" s="11"/>
      <c r="BJ50" s="11"/>
      <c r="BK50" s="5"/>
    </row>
    <row r="51" spans="2:63" ht="15" customHeight="1" x14ac:dyDescent="0.25">
      <c r="B51" s="9"/>
      <c r="AI51" s="11"/>
      <c r="BJ51" s="11"/>
      <c r="BK51" s="5"/>
    </row>
    <row r="52" spans="2:63" ht="15" customHeight="1" x14ac:dyDescent="0.25">
      <c r="B52" s="9"/>
      <c r="AI52" s="11"/>
      <c r="BJ52" s="11"/>
      <c r="BK52" s="5"/>
    </row>
    <row r="53" spans="2:63" ht="15" customHeight="1" x14ac:dyDescent="0.25">
      <c r="B53" s="9"/>
      <c r="AI53" s="11"/>
      <c r="BJ53" s="11"/>
      <c r="BK53" s="5"/>
    </row>
    <row r="54" spans="2:63" ht="15" customHeight="1" x14ac:dyDescent="0.25">
      <c r="B54" s="9"/>
      <c r="AI54" s="11"/>
      <c r="BJ54" s="11"/>
      <c r="BK54" s="5"/>
    </row>
    <row r="55" spans="2:63" ht="15" customHeight="1" x14ac:dyDescent="0.25">
      <c r="B55" s="9"/>
      <c r="AI55" s="11"/>
      <c r="BJ55" s="11"/>
      <c r="BK55" s="5"/>
    </row>
    <row r="56" spans="2:63" ht="15" customHeight="1" x14ac:dyDescent="0.25">
      <c r="B56" s="9"/>
      <c r="AI56" s="11"/>
      <c r="BJ56" s="11"/>
      <c r="BK56" s="5"/>
    </row>
    <row r="57" spans="2:63" ht="15" customHeight="1" x14ac:dyDescent="0.25">
      <c r="B57" s="9"/>
      <c r="AI57" s="11"/>
      <c r="BJ57" s="11"/>
      <c r="BK57" s="5"/>
    </row>
    <row r="58" spans="2:63" ht="15" customHeight="1" x14ac:dyDescent="0.25">
      <c r="B58" s="9"/>
      <c r="AI58" s="11"/>
      <c r="BJ58" s="11"/>
      <c r="BK58" s="5"/>
    </row>
    <row r="59" spans="2:63" ht="15" customHeight="1" x14ac:dyDescent="0.25">
      <c r="B59" s="9"/>
      <c r="AI59" s="11"/>
      <c r="BJ59" s="11"/>
      <c r="BK59" s="5"/>
    </row>
    <row r="60" spans="2:63" ht="15" customHeight="1" x14ac:dyDescent="0.25">
      <c r="B60" s="9"/>
      <c r="AI60" s="11"/>
      <c r="BJ60" s="11"/>
      <c r="BK60" s="5"/>
    </row>
    <row r="61" spans="2:63" ht="15" customHeight="1" x14ac:dyDescent="0.25">
      <c r="B61" s="9"/>
      <c r="AI61" s="11"/>
      <c r="BJ61" s="11"/>
      <c r="BK61" s="5"/>
    </row>
    <row r="62" spans="2:63" ht="15" customHeight="1" x14ac:dyDescent="0.25">
      <c r="B62" s="9"/>
      <c r="AI62" s="11"/>
      <c r="BJ62" s="11"/>
      <c r="BK62" s="5"/>
    </row>
    <row r="63" spans="2:63" ht="15" customHeight="1" x14ac:dyDescent="0.25">
      <c r="B63" s="9"/>
      <c r="AI63" s="11"/>
      <c r="BJ63" s="11"/>
      <c r="BK63" s="5"/>
    </row>
    <row r="64" spans="2:63" ht="15" customHeight="1" x14ac:dyDescent="0.25">
      <c r="B64" s="9"/>
      <c r="AI64" s="11"/>
      <c r="BJ64" s="11"/>
      <c r="BK64" s="5"/>
    </row>
    <row r="65" spans="2:63" ht="15" customHeight="1" x14ac:dyDescent="0.25">
      <c r="B65" s="9"/>
      <c r="AI65" s="11"/>
      <c r="BJ65" s="11"/>
      <c r="BK65" s="5"/>
    </row>
    <row r="66" spans="2:63" ht="15" customHeight="1" x14ac:dyDescent="0.25">
      <c r="B66" s="9"/>
      <c r="AI66" s="11"/>
      <c r="BJ66" s="11"/>
      <c r="BK66" s="5"/>
    </row>
    <row r="67" spans="2:63" ht="15" customHeight="1" x14ac:dyDescent="0.25">
      <c r="B67" s="9"/>
      <c r="AI67" s="11"/>
      <c r="BJ67" s="11"/>
      <c r="BK67" s="5"/>
    </row>
    <row r="68" spans="2:63" ht="15" customHeight="1" x14ac:dyDescent="0.25">
      <c r="B68" s="9"/>
      <c r="AI68" s="11"/>
      <c r="BJ68" s="11"/>
      <c r="BK68" s="5"/>
    </row>
    <row r="69" spans="2:63" ht="15" customHeight="1" x14ac:dyDescent="0.25">
      <c r="B69" s="9"/>
      <c r="AI69" s="11"/>
      <c r="BJ69" s="11"/>
      <c r="BK69" s="5"/>
    </row>
    <row r="70" spans="2:63" ht="15" customHeight="1" x14ac:dyDescent="0.25">
      <c r="B70" s="9"/>
      <c r="AI70" s="11"/>
      <c r="BJ70" s="11"/>
      <c r="BK70" s="5"/>
    </row>
    <row r="71" spans="2:63" ht="15" customHeight="1" x14ac:dyDescent="0.25">
      <c r="B71" s="9"/>
      <c r="AI71" s="11"/>
      <c r="BJ71" s="11"/>
      <c r="BK71" s="5"/>
    </row>
    <row r="72" spans="2:63" ht="15" customHeight="1" x14ac:dyDescent="0.25">
      <c r="B72" s="9"/>
      <c r="AI72" s="11"/>
      <c r="BJ72" s="11"/>
      <c r="BK72" s="5"/>
    </row>
    <row r="73" spans="2:63" ht="15" customHeight="1" x14ac:dyDescent="0.25">
      <c r="B73" s="9"/>
      <c r="AI73" s="11"/>
      <c r="BJ73" s="11"/>
      <c r="BK73" s="5"/>
    </row>
    <row r="74" spans="2:63" ht="15" customHeight="1" x14ac:dyDescent="0.25">
      <c r="B74" s="9"/>
      <c r="AI74" s="11"/>
      <c r="BJ74" s="11"/>
      <c r="BK74" s="5"/>
    </row>
    <row r="75" spans="2:63" ht="15" customHeight="1" x14ac:dyDescent="0.25">
      <c r="B75" s="9"/>
      <c r="AI75" s="11"/>
      <c r="BJ75" s="11"/>
      <c r="BK75" s="5"/>
    </row>
    <row r="76" spans="2:63" ht="15" customHeight="1" x14ac:dyDescent="0.25">
      <c r="B76" s="9"/>
      <c r="AI76" s="11"/>
      <c r="BJ76" s="11"/>
      <c r="BK76" s="5"/>
    </row>
    <row r="77" spans="2:63" ht="15" customHeight="1" x14ac:dyDescent="0.25">
      <c r="B77" s="9"/>
      <c r="AI77" s="11"/>
      <c r="BJ77" s="11"/>
      <c r="BK77" s="5"/>
    </row>
    <row r="78" spans="2:63" ht="15.75" customHeight="1" x14ac:dyDescent="0.25">
      <c r="B78" s="9"/>
      <c r="AI78" s="11"/>
      <c r="BJ78" s="11"/>
      <c r="BK78" s="5"/>
    </row>
    <row r="79" spans="2:63" ht="15" customHeight="1" x14ac:dyDescent="0.25">
      <c r="B79" s="9"/>
      <c r="AI79" s="11"/>
      <c r="BJ79" s="11"/>
      <c r="BK79" s="5"/>
    </row>
    <row r="80" spans="2:63" ht="15" customHeight="1" x14ac:dyDescent="0.25">
      <c r="B80" s="9"/>
      <c r="AI80" s="11"/>
      <c r="BJ80" s="11"/>
      <c r="BK80" s="5"/>
    </row>
    <row r="81" spans="2:63" ht="15" customHeight="1" x14ac:dyDescent="0.25">
      <c r="B81" s="9"/>
      <c r="AI81" s="11"/>
      <c r="BJ81" s="11"/>
      <c r="BK81" s="5"/>
    </row>
    <row r="82" spans="2:63" ht="15" customHeight="1" x14ac:dyDescent="0.25">
      <c r="B82" s="9"/>
      <c r="AI82" s="11"/>
      <c r="BJ82" s="11"/>
      <c r="BK82" s="5"/>
    </row>
    <row r="83" spans="2:63" ht="15" customHeight="1" x14ac:dyDescent="0.25">
      <c r="B83" s="9"/>
      <c r="AI83" s="11"/>
      <c r="BJ83" s="11"/>
      <c r="BK83" s="5"/>
    </row>
    <row r="84" spans="2:63" ht="15" customHeight="1" x14ac:dyDescent="0.25">
      <c r="B84" s="9"/>
      <c r="AI84" s="11"/>
      <c r="BJ84" s="11"/>
      <c r="BK84" s="5"/>
    </row>
    <row r="85" spans="2:63" ht="15" customHeight="1" x14ac:dyDescent="0.25">
      <c r="B85" s="9"/>
      <c r="AI85" s="11"/>
      <c r="BJ85" s="11"/>
      <c r="BK85" s="5"/>
    </row>
    <row r="86" spans="2:63" ht="15" customHeight="1" x14ac:dyDescent="0.25">
      <c r="B86" s="9"/>
      <c r="AI86" s="11"/>
      <c r="BJ86" s="11"/>
      <c r="BK86" s="5"/>
    </row>
    <row r="87" spans="2:63" ht="15" customHeight="1" x14ac:dyDescent="0.25">
      <c r="B87" s="9"/>
      <c r="AI87" s="11"/>
      <c r="BJ87" s="11"/>
      <c r="BK87" s="5"/>
    </row>
    <row r="88" spans="2:63" ht="15" customHeight="1" x14ac:dyDescent="0.25">
      <c r="B88" s="9"/>
      <c r="AI88" s="11"/>
      <c r="BJ88" s="11"/>
      <c r="BK88" s="5"/>
    </row>
    <row r="89" spans="2:63" ht="15" customHeight="1" x14ac:dyDescent="0.25">
      <c r="B89" s="9"/>
      <c r="AI89" s="11"/>
      <c r="BJ89" s="11"/>
      <c r="BK89" s="5"/>
    </row>
    <row r="90" spans="2:63" ht="15" customHeight="1" x14ac:dyDescent="0.25">
      <c r="B90" s="9"/>
      <c r="AI90" s="11"/>
      <c r="BJ90" s="11"/>
      <c r="BK90" s="5"/>
    </row>
    <row r="91" spans="2:63" ht="15" customHeight="1" x14ac:dyDescent="0.25">
      <c r="B91" s="9"/>
      <c r="AI91" s="11"/>
      <c r="BJ91" s="11"/>
      <c r="BK91" s="5"/>
    </row>
    <row r="92" spans="2:63" ht="15" customHeight="1" x14ac:dyDescent="0.25">
      <c r="B92" s="9"/>
      <c r="AI92" s="11"/>
      <c r="BJ92" s="11"/>
      <c r="BK92" s="5"/>
    </row>
    <row r="93" spans="2:63" ht="15" customHeight="1" x14ac:dyDescent="0.25">
      <c r="B93" s="9"/>
      <c r="AI93" s="11"/>
      <c r="BJ93" s="11"/>
      <c r="BK93" s="5"/>
    </row>
    <row r="94" spans="2:63" ht="15" customHeight="1" x14ac:dyDescent="0.25">
      <c r="B94" s="9"/>
      <c r="AI94" s="11"/>
      <c r="BJ94" s="11"/>
      <c r="BK94" s="5"/>
    </row>
    <row r="95" spans="2:63" ht="15" customHeight="1" x14ac:dyDescent="0.25">
      <c r="B95" s="9"/>
      <c r="AI95" s="11"/>
      <c r="BJ95" s="11"/>
      <c r="BK95" s="5"/>
    </row>
    <row r="96" spans="2:63" ht="15" customHeight="1" x14ac:dyDescent="0.25">
      <c r="B96" s="9"/>
      <c r="AI96" s="11"/>
      <c r="BJ96" s="11"/>
      <c r="BK96" s="5"/>
    </row>
    <row r="97" spans="1:63" ht="15" customHeight="1" x14ac:dyDescent="0.25">
      <c r="B97" s="9"/>
      <c r="AI97" s="11"/>
      <c r="BJ97" s="11"/>
      <c r="BK97" s="5"/>
    </row>
    <row r="98" spans="1:63" ht="15" customHeight="1" x14ac:dyDescent="0.25">
      <c r="B98" s="9"/>
      <c r="AI98" s="11"/>
      <c r="BJ98" s="11"/>
      <c r="BK98" s="5"/>
    </row>
    <row r="99" spans="1:63" ht="15" customHeight="1" x14ac:dyDescent="0.25">
      <c r="B99" s="9"/>
      <c r="AI99" s="11"/>
      <c r="BJ99" s="11"/>
      <c r="BK99" s="5"/>
    </row>
    <row r="100" spans="1:63" ht="15" customHeight="1" x14ac:dyDescent="0.25">
      <c r="B100" s="9"/>
      <c r="AI100" s="11"/>
      <c r="BJ100" s="11"/>
      <c r="BK100" s="5"/>
    </row>
    <row r="101" spans="1:63" ht="15" customHeight="1" x14ac:dyDescent="0.25">
      <c r="B101" s="9"/>
      <c r="AI101" s="11"/>
      <c r="BJ101" s="11"/>
      <c r="BK101" s="5"/>
    </row>
    <row r="102" spans="1:63" ht="15" customHeight="1" x14ac:dyDescent="0.25">
      <c r="B102" s="9"/>
      <c r="AI102" s="11"/>
      <c r="BJ102" s="11"/>
      <c r="BK102" s="5"/>
    </row>
    <row r="103" spans="1:63" ht="15" customHeight="1" x14ac:dyDescent="0.25">
      <c r="B103" s="9"/>
      <c r="AI103" s="11"/>
      <c r="BJ103" s="11"/>
      <c r="BK103" s="5"/>
    </row>
    <row r="104" spans="1:63" ht="15" customHeight="1" x14ac:dyDescent="0.25">
      <c r="B104" s="9"/>
      <c r="AI104" s="11"/>
      <c r="BJ104" s="11"/>
      <c r="BK104" s="5"/>
    </row>
    <row r="105" spans="1:63" ht="15" customHeight="1" x14ac:dyDescent="0.25">
      <c r="B105" s="9"/>
      <c r="AI105" s="11"/>
      <c r="BJ105" s="11"/>
      <c r="BK105" s="5"/>
    </row>
    <row r="106" spans="1:63" ht="15" customHeight="1" x14ac:dyDescent="0.25">
      <c r="B106" s="9"/>
      <c r="AI106" s="11"/>
      <c r="BJ106" s="11"/>
      <c r="BK106" s="5"/>
    </row>
    <row r="107" spans="1:63" ht="15" customHeight="1" x14ac:dyDescent="0.25">
      <c r="B107" s="9"/>
      <c r="AI107" s="11"/>
      <c r="BJ107" s="11"/>
      <c r="BK107" s="5"/>
    </row>
    <row r="108" spans="1:63" ht="15" customHeight="1" x14ac:dyDescent="0.25">
      <c r="A108" s="3"/>
      <c r="B108" s="10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12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12"/>
      <c r="BK108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288" t="s">
        <v>118</v>
      </c>
      <c r="B1" s="289"/>
      <c r="C1" s="289"/>
      <c r="D1" s="289"/>
      <c r="E1" s="289"/>
      <c r="F1" s="289"/>
      <c r="G1" s="289"/>
      <c r="H1" s="289"/>
      <c r="I1" s="289"/>
      <c r="J1" s="290"/>
      <c r="K1" s="288" t="s">
        <v>119</v>
      </c>
      <c r="L1" s="289"/>
      <c r="M1" s="289"/>
      <c r="N1" s="289"/>
      <c r="O1" s="289"/>
      <c r="P1" s="289"/>
      <c r="Q1" s="289"/>
      <c r="R1" s="289"/>
      <c r="S1" s="289"/>
      <c r="T1" s="289"/>
      <c r="U1" s="289"/>
      <c r="V1" s="290"/>
      <c r="W1" s="291" t="str">
        <f>IF(表紙!W1="","",表紙!W1)</f>
        <v>詳細設計書</v>
      </c>
      <c r="X1" s="292"/>
      <c r="Y1" s="292"/>
      <c r="Z1" s="292"/>
      <c r="AA1" s="292"/>
      <c r="AB1" s="292"/>
      <c r="AC1" s="292"/>
      <c r="AD1" s="292"/>
      <c r="AE1" s="292"/>
      <c r="AF1" s="292"/>
      <c r="AG1" s="292"/>
      <c r="AH1" s="292"/>
      <c r="AI1" s="292"/>
      <c r="AJ1" s="292"/>
      <c r="AK1" s="292"/>
      <c r="AL1" s="292"/>
      <c r="AM1" s="292"/>
      <c r="AN1" s="292"/>
      <c r="AO1" s="293"/>
      <c r="AP1" s="214" t="s">
        <v>121</v>
      </c>
      <c r="AQ1" s="215"/>
      <c r="AR1" s="215"/>
      <c r="AS1" s="216"/>
      <c r="AT1" s="214" t="s">
        <v>122</v>
      </c>
      <c r="AU1" s="215"/>
      <c r="AV1" s="215"/>
      <c r="AW1" s="215"/>
      <c r="AX1" s="216"/>
      <c r="AY1" s="214" t="s">
        <v>123</v>
      </c>
      <c r="AZ1" s="215"/>
      <c r="BA1" s="215"/>
      <c r="BB1" s="216"/>
      <c r="BC1" s="214" t="s">
        <v>124</v>
      </c>
      <c r="BD1" s="215"/>
      <c r="BE1" s="215"/>
      <c r="BF1" s="215"/>
      <c r="BG1" s="216"/>
      <c r="BH1" s="214" t="s">
        <v>125</v>
      </c>
      <c r="BI1" s="215"/>
      <c r="BJ1" s="215"/>
      <c r="BK1" s="216"/>
    </row>
    <row r="2" spans="1:63" ht="15" customHeight="1" x14ac:dyDescent="0.25">
      <c r="A2" s="104" t="str">
        <f>IF(表紙!A2="","",表紙!A2)</f>
        <v>POSサーバー</v>
      </c>
      <c r="B2" s="105"/>
      <c r="C2" s="105"/>
      <c r="D2" s="105"/>
      <c r="E2" s="105"/>
      <c r="F2" s="105"/>
      <c r="G2" s="105"/>
      <c r="H2" s="105"/>
      <c r="I2" s="105"/>
      <c r="J2" s="106"/>
      <c r="K2" s="104" t="str">
        <f>IF(表紙!K2="","",表紙!K2)</f>
        <v>POSサーバー</v>
      </c>
      <c r="L2" s="105"/>
      <c r="M2" s="105"/>
      <c r="N2" s="105"/>
      <c r="O2" s="105"/>
      <c r="P2" s="105"/>
      <c r="Q2" s="105"/>
      <c r="R2" s="105"/>
      <c r="S2" s="105"/>
      <c r="T2" s="105"/>
      <c r="U2" s="105"/>
      <c r="V2" s="106"/>
      <c r="W2" s="294"/>
      <c r="X2" s="295"/>
      <c r="Y2" s="295"/>
      <c r="Z2" s="295"/>
      <c r="AA2" s="295"/>
      <c r="AB2" s="295"/>
      <c r="AC2" s="295"/>
      <c r="AD2" s="295"/>
      <c r="AE2" s="295"/>
      <c r="AF2" s="295"/>
      <c r="AG2" s="295"/>
      <c r="AH2" s="295"/>
      <c r="AI2" s="295"/>
      <c r="AJ2" s="295"/>
      <c r="AK2" s="295"/>
      <c r="AL2" s="295"/>
      <c r="AM2" s="295"/>
      <c r="AN2" s="295"/>
      <c r="AO2" s="296"/>
      <c r="AP2" s="223" t="str">
        <f>IF(表紙!AP2="","",表紙!AP2)</f>
        <v>DuNT</v>
      </c>
      <c r="AQ2" s="221"/>
      <c r="AR2" s="221"/>
      <c r="AS2" s="222"/>
      <c r="AT2" s="227">
        <f>IF(表紙!AT2="","",表紙!AT2)</f>
        <v>45477</v>
      </c>
      <c r="AU2" s="228"/>
      <c r="AV2" s="228"/>
      <c r="AW2" s="228"/>
      <c r="AX2" s="229"/>
      <c r="AY2" s="223" t="str">
        <f>IF(表紙!AY2="","",表紙!AY2)</f>
        <v>LoiLV</v>
      </c>
      <c r="AZ2" s="221"/>
      <c r="BA2" s="221"/>
      <c r="BB2" s="222"/>
      <c r="BC2" s="227">
        <f>IF(表紙!BC2="","",表紙!BC2)</f>
        <v>45964</v>
      </c>
      <c r="BD2" s="228"/>
      <c r="BE2" s="228"/>
      <c r="BF2" s="228"/>
      <c r="BG2" s="229"/>
      <c r="BH2" s="223">
        <f>IF(表紙!BH2="","",表紙!BH2)</f>
        <v>0.53</v>
      </c>
      <c r="BI2" s="221"/>
      <c r="BJ2" s="221"/>
      <c r="BK2" s="222"/>
    </row>
    <row r="3" spans="1:63" ht="15" customHeight="1" x14ac:dyDescent="0.25">
      <c r="A3" s="107"/>
      <c r="B3" s="108"/>
      <c r="C3" s="108"/>
      <c r="D3" s="108"/>
      <c r="E3" s="108"/>
      <c r="F3" s="108"/>
      <c r="G3" s="108"/>
      <c r="H3" s="108"/>
      <c r="I3" s="108"/>
      <c r="J3" s="109"/>
      <c r="K3" s="107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9"/>
      <c r="W3" s="297"/>
      <c r="X3" s="298"/>
      <c r="Y3" s="298"/>
      <c r="Z3" s="298"/>
      <c r="AA3" s="298"/>
      <c r="AB3" s="298"/>
      <c r="AC3" s="298"/>
      <c r="AD3" s="298"/>
      <c r="AE3" s="298"/>
      <c r="AF3" s="298"/>
      <c r="AG3" s="298"/>
      <c r="AH3" s="298"/>
      <c r="AI3" s="298"/>
      <c r="AJ3" s="298"/>
      <c r="AK3" s="298"/>
      <c r="AL3" s="298"/>
      <c r="AM3" s="298"/>
      <c r="AN3" s="298"/>
      <c r="AO3" s="299"/>
      <c r="AP3" s="233"/>
      <c r="AQ3" s="234"/>
      <c r="AR3" s="234"/>
      <c r="AS3" s="235"/>
      <c r="AT3" s="239"/>
      <c r="AU3" s="240"/>
      <c r="AV3" s="240"/>
      <c r="AW3" s="240"/>
      <c r="AX3" s="241"/>
      <c r="AY3" s="233"/>
      <c r="AZ3" s="234"/>
      <c r="BA3" s="234"/>
      <c r="BB3" s="235"/>
      <c r="BC3" s="239"/>
      <c r="BD3" s="240"/>
      <c r="BE3" s="240"/>
      <c r="BF3" s="240"/>
      <c r="BG3" s="241"/>
      <c r="BH3" s="233"/>
      <c r="BI3" s="234"/>
      <c r="BJ3" s="234"/>
      <c r="BK3" s="235"/>
    </row>
    <row r="4" spans="1:63" ht="24.95" customHeight="1" x14ac:dyDescent="0.25">
      <c r="A4" s="288" t="s">
        <v>192</v>
      </c>
      <c r="B4" s="289"/>
      <c r="C4" s="289"/>
      <c r="D4" s="289"/>
      <c r="E4" s="289"/>
      <c r="F4" s="289"/>
      <c r="G4" s="290"/>
      <c r="H4" s="110" t="str">
        <f>IF(表紙!H4="","",表紙!H4)</f>
        <v>AP1508</v>
      </c>
      <c r="I4" s="111"/>
      <c r="J4" s="111"/>
      <c r="K4" s="111"/>
      <c r="L4" s="111"/>
      <c r="M4" s="111"/>
      <c r="N4" s="111"/>
      <c r="O4" s="111"/>
      <c r="P4" s="111"/>
      <c r="Q4" s="111"/>
      <c r="R4" s="111"/>
      <c r="S4" s="111"/>
      <c r="T4" s="112"/>
      <c r="U4" s="288" t="s">
        <v>128</v>
      </c>
      <c r="V4" s="289"/>
      <c r="W4" s="289"/>
      <c r="X4" s="289"/>
      <c r="Y4" s="290"/>
      <c r="Z4" s="110" t="str">
        <f>IF(表紙!Z4="","",表紙!Z4)</f>
        <v>API設計書</v>
      </c>
      <c r="AA4" s="111"/>
      <c r="AB4" s="111"/>
      <c r="AC4" s="111"/>
      <c r="AD4" s="111"/>
      <c r="AE4" s="111"/>
      <c r="AF4" s="111"/>
      <c r="AG4" s="111"/>
      <c r="AH4" s="111"/>
      <c r="AI4" s="111"/>
      <c r="AJ4" s="111"/>
      <c r="AK4" s="111"/>
      <c r="AL4" s="111"/>
      <c r="AM4" s="111"/>
      <c r="AN4" s="111"/>
      <c r="AO4" s="112"/>
      <c r="AP4" s="113" t="str">
        <f ca="1">MID(CELL("filename",A1),FIND("]",CELL("filename",A1))+1,255)</f>
        <v>テンプレート</v>
      </c>
      <c r="AQ4" s="111"/>
      <c r="AR4" s="111"/>
      <c r="AS4" s="111"/>
      <c r="AT4" s="111"/>
      <c r="AU4" s="111"/>
      <c r="AV4" s="111"/>
      <c r="AW4" s="111"/>
      <c r="AX4" s="111"/>
      <c r="AY4" s="111"/>
      <c r="AZ4" s="111"/>
      <c r="BA4" s="111"/>
      <c r="BB4" s="111"/>
      <c r="BC4" s="111"/>
      <c r="BD4" s="111"/>
      <c r="BE4" s="111"/>
      <c r="BF4" s="111"/>
      <c r="BG4" s="111"/>
      <c r="BH4" s="111"/>
      <c r="BI4" s="111"/>
      <c r="BJ4" s="111"/>
      <c r="BK4" s="112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306" customFormat="1" ht="15" customHeight="1" x14ac:dyDescent="0.25">
      <c r="BK7" s="305"/>
    </row>
    <row r="8" spans="1:63" s="306" customFormat="1" ht="15" customHeight="1" x14ac:dyDescent="0.25">
      <c r="BK8" s="305"/>
    </row>
    <row r="9" spans="1:63" s="306" customFormat="1" ht="15" customHeight="1" x14ac:dyDescent="0.25">
      <c r="BK9" s="305"/>
    </row>
    <row r="10" spans="1:63" s="306" customFormat="1" ht="15" customHeight="1" x14ac:dyDescent="0.25">
      <c r="BK10" s="305"/>
    </row>
    <row r="11" spans="1:63" s="306" customFormat="1" ht="15" customHeight="1" x14ac:dyDescent="0.25">
      <c r="BK11" s="305"/>
    </row>
    <row r="12" spans="1:63" s="306" customFormat="1" ht="15" customHeight="1" x14ac:dyDescent="0.25">
      <c r="BK12" s="305"/>
    </row>
    <row r="13" spans="1:63" s="306" customFormat="1" ht="15" customHeight="1" x14ac:dyDescent="0.25">
      <c r="BK13" s="305"/>
    </row>
    <row r="14" spans="1:63" s="306" customFormat="1" ht="15" customHeight="1" x14ac:dyDescent="0.25">
      <c r="BK14" s="305"/>
    </row>
    <row r="15" spans="1:63" s="306" customFormat="1" ht="15" customHeight="1" x14ac:dyDescent="0.25">
      <c r="BK15" s="305"/>
    </row>
    <row r="16" spans="1:63" s="306" customFormat="1" ht="15" customHeight="1" x14ac:dyDescent="0.25">
      <c r="BK16" s="305"/>
    </row>
    <row r="17" spans="63:63" s="306" customFormat="1" ht="15" customHeight="1" x14ac:dyDescent="0.25">
      <c r="BK17" s="305"/>
    </row>
    <row r="18" spans="63:63" s="306" customFormat="1" ht="15" customHeight="1" x14ac:dyDescent="0.25">
      <c r="BK18" s="305"/>
    </row>
    <row r="19" spans="63:63" s="306" customFormat="1" ht="15" customHeight="1" x14ac:dyDescent="0.25">
      <c r="BK19" s="305"/>
    </row>
    <row r="20" spans="63:63" s="306" customFormat="1" ht="15" customHeight="1" x14ac:dyDescent="0.25">
      <c r="BK20" s="305"/>
    </row>
    <row r="21" spans="63:63" s="306" customFormat="1" ht="15" customHeight="1" x14ac:dyDescent="0.25">
      <c r="BK21" s="305"/>
    </row>
    <row r="22" spans="63:63" s="306" customFormat="1" ht="15" customHeight="1" x14ac:dyDescent="0.25">
      <c r="BK22" s="305"/>
    </row>
    <row r="23" spans="63:63" s="306" customFormat="1" ht="15" customHeight="1" x14ac:dyDescent="0.25">
      <c r="BK23" s="305"/>
    </row>
    <row r="24" spans="63:63" s="306" customFormat="1" ht="15" customHeight="1" x14ac:dyDescent="0.25">
      <c r="BK24" s="305"/>
    </row>
    <row r="25" spans="63:63" s="306" customFormat="1" ht="15" customHeight="1" x14ac:dyDescent="0.25">
      <c r="BK25" s="305"/>
    </row>
    <row r="26" spans="63:63" s="306" customFormat="1" ht="15" customHeight="1" x14ac:dyDescent="0.25">
      <c r="BK26" s="305"/>
    </row>
    <row r="27" spans="63:63" s="306" customFormat="1" ht="15" customHeight="1" x14ac:dyDescent="0.25">
      <c r="BK27" s="305"/>
    </row>
    <row r="28" spans="63:63" s="306" customFormat="1" ht="15" customHeight="1" x14ac:dyDescent="0.25">
      <c r="BK28" s="305"/>
    </row>
    <row r="29" spans="63:63" s="306" customFormat="1" ht="15" customHeight="1" x14ac:dyDescent="0.25">
      <c r="BK29" s="305"/>
    </row>
    <row r="30" spans="63:63" s="306" customFormat="1" ht="15" customHeight="1" x14ac:dyDescent="0.25">
      <c r="BK30" s="305"/>
    </row>
    <row r="31" spans="63:63" s="306" customFormat="1" ht="15" customHeight="1" x14ac:dyDescent="0.25">
      <c r="BK31" s="305"/>
    </row>
    <row r="32" spans="63:63" s="306" customFormat="1" ht="15" customHeight="1" x14ac:dyDescent="0.25">
      <c r="BK32" s="305"/>
    </row>
    <row r="33" spans="63:63" s="306" customFormat="1" ht="15" customHeight="1" x14ac:dyDescent="0.25">
      <c r="BK33" s="305"/>
    </row>
    <row r="34" spans="63:63" s="306" customFormat="1" ht="15" customHeight="1" x14ac:dyDescent="0.25">
      <c r="BK34" s="305"/>
    </row>
    <row r="35" spans="63:63" s="306" customFormat="1" ht="15" customHeight="1" x14ac:dyDescent="0.25">
      <c r="BK35" s="305"/>
    </row>
    <row r="36" spans="63:63" s="306" customFormat="1" ht="15" customHeight="1" x14ac:dyDescent="0.25">
      <c r="BK36" s="305"/>
    </row>
    <row r="37" spans="63:63" s="306" customFormat="1" ht="15" customHeight="1" x14ac:dyDescent="0.25">
      <c r="BK37" s="305"/>
    </row>
    <row r="38" spans="63:63" s="306" customFormat="1" ht="15" customHeight="1" x14ac:dyDescent="0.25">
      <c r="BK38" s="305"/>
    </row>
    <row r="39" spans="63:63" s="306" customFormat="1" ht="15" customHeight="1" x14ac:dyDescent="0.25">
      <c r="BK39" s="305"/>
    </row>
    <row r="40" spans="63:63" s="306" customFormat="1" ht="15" customHeight="1" x14ac:dyDescent="0.25">
      <c r="BK40" s="305"/>
    </row>
    <row r="41" spans="63:63" s="306" customFormat="1" ht="15" customHeight="1" x14ac:dyDescent="0.25">
      <c r="BK41" s="305"/>
    </row>
    <row r="42" spans="63:63" s="306" customFormat="1" ht="15" customHeight="1" x14ac:dyDescent="0.25">
      <c r="BK42" s="305"/>
    </row>
    <row r="43" spans="63:63" s="306" customFormat="1" ht="15" customHeight="1" x14ac:dyDescent="0.25">
      <c r="BK43" s="305"/>
    </row>
    <row r="44" spans="63:63" s="306" customFormat="1" ht="15" customHeight="1" x14ac:dyDescent="0.25">
      <c r="BK44" s="305"/>
    </row>
    <row r="45" spans="63:63" s="306" customFormat="1" ht="15" customHeight="1" x14ac:dyDescent="0.25">
      <c r="BK45" s="305"/>
    </row>
    <row r="46" spans="63:63" s="306" customFormat="1" ht="15" customHeight="1" x14ac:dyDescent="0.25">
      <c r="BK46" s="305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DD1F270-B051-4192-ABA1-31AE50A720FE}"/>
</file>

<file path=customXml/itemProps2.xml><?xml version="1.0" encoding="utf-8"?>
<ds:datastoreItem xmlns:ds="http://schemas.openxmlformats.org/officeDocument/2006/customXml" ds:itemID="{F29FEF37-1A65-436B-9FF5-82C966298E92}"/>
</file>

<file path=customXml/itemProps3.xml><?xml version="1.0" encoding="utf-8"?>
<ds:datastoreItem xmlns:ds="http://schemas.openxmlformats.org/officeDocument/2006/customXml" ds:itemID="{01673328-246F-4196-80F3-A164ECB39ED7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AP1508</vt:lpstr>
      <vt:lpstr>処理フロー</vt:lpstr>
      <vt:lpstr>テンプレート</vt:lpstr>
      <vt:lpstr>'AP1508'!Print_Area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2025-03-21T07:21:22Z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