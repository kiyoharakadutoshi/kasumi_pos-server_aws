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707CA34-51EA-45D4-B51C-F502253C01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11" sheetId="8" r:id="rId4"/>
    <sheet name="処理フロー" sheetId="11" r:id="rId5"/>
    <sheet name="テンプレート" sheetId="7" r:id="rId6"/>
  </sheets>
  <definedNames>
    <definedName name="_xlnm.Print_Area" localSheetId="3">'AP1511'!$A$1:$BK$77</definedName>
    <definedName name="_xlnm.Print_Area" localSheetId="5">テンプレート!$A$1:$BK$54</definedName>
    <definedName name="_xlnm.Print_Area" localSheetId="4">処理フロー!$A$1:$BK$92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1"/>
  <c r="Z4" i="11"/>
  <c r="H4" i="11"/>
  <c r="K2" i="11"/>
  <c r="A2" i="11"/>
  <c r="W1" i="11"/>
  <c r="AP4" i="8"/>
  <c r="Z4" i="8"/>
  <c r="H4" i="8"/>
  <c r="K2" i="8"/>
  <c r="A2" i="8"/>
  <c r="W1" i="8"/>
  <c r="AP4" i="10"/>
  <c r="Z4" i="10"/>
  <c r="H4" i="10"/>
  <c r="K2" i="10"/>
  <c r="A2" i="10"/>
  <c r="W1" i="10"/>
  <c r="AP4" i="3" a="1"/>
  <c r="AP4" i="3" s="1"/>
  <c r="Z4" i="3"/>
  <c r="H4" i="3"/>
  <c r="K2" i="3"/>
  <c r="A2" i="3"/>
  <c r="W1" i="3"/>
  <c r="L24" i="4"/>
  <c r="AP4" i="4" a="1"/>
  <c r="AP4" i="4" s="1"/>
  <c r="BH2" i="4"/>
  <c r="BH2" i="10" s="1"/>
  <c r="BC2" i="4"/>
  <c r="BC2" i="7" s="1"/>
  <c r="AY2" i="4"/>
  <c r="AY2" i="11" s="1"/>
  <c r="AT2" i="4"/>
  <c r="AT2" i="8" s="1"/>
  <c r="AP2" i="4"/>
  <c r="AP2" i="10" s="1"/>
  <c r="AT2" i="3" l="1"/>
  <c r="AT2" i="10"/>
  <c r="AY2" i="8"/>
  <c r="BC2" i="11"/>
  <c r="AP2" i="7"/>
  <c r="BH2" i="7"/>
  <c r="AY2" i="3"/>
  <c r="AY2" i="10"/>
  <c r="BC2" i="8"/>
  <c r="AP2" i="11"/>
  <c r="BH2" i="11"/>
  <c r="AT2" i="7"/>
  <c r="BC2" i="3"/>
  <c r="BC2" i="10"/>
  <c r="AP2" i="8"/>
  <c r="BH2" i="8"/>
  <c r="AT2" i="11"/>
  <c r="AY2" i="7"/>
  <c r="AP2" i="3"/>
  <c r="BH2" i="3"/>
</calcChain>
</file>

<file path=xl/sharedStrings.xml><?xml version="1.0" encoding="utf-8"?>
<sst xmlns="http://schemas.openxmlformats.org/spreadsheetml/2006/main" count="216" uniqueCount="106">
  <si>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</si>
  <si>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</si>
  <si>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</si>
  <si>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</si>
  <si>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</si>
  <si>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</si>
  <si>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</si>
  <si>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</si>
  <si>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</si>
  <si>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</si>
  <si>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</si>
  <si>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</si>
  <si>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</si>
  <si>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</si>
  <si>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</si>
  <si>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</si>
  <si>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</si>
  <si>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</si>
  <si>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</si>
  <si>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</si>
  <si>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</si>
  <si>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</si>
  <si>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</si>
  <si>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</si>
  <si>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</si>
  <si>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</si>
  <si>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</si>
  <si>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</si>
  <si>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</si>
  <si>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</si>
  <si>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</si>
  <si>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PresetMenuMaster.StoreCode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</si>
  <si>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</si>
  <si>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PresetMenuMaster.ButtonLayoutCode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</si>
  <si>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</si>
  <si>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PresetMenuMaster.ButtonLayoutName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</si>
  <si>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</si>
  <si>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</si>
  <si>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</si>
  <si>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PresetMenuMaster.ID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</si>
  <si>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</si>
  <si>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</si>
  <si>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List&lt;Menu&gt;</t>
    </r>
  </si>
  <si>
    <r>
      <rPr>
        <sz val="11"/>
        <color rgb="FF000000"/>
        <rFont val="Meiryo UI"/>
        <family val="2"/>
      </rPr>
      <t>"store_code: "",</t>
    </r>
  </si>
  <si>
    <r>
      <rPr>
        <sz val="11"/>
        <color rgb="FF000000"/>
        <rFont val="Meiryo UI"/>
        <family val="2"/>
      </rPr>
      <t>"booking_date: "",</t>
    </r>
  </si>
  <si>
    <r>
      <rPr>
        <sz val="11"/>
        <color rgb="FF000000"/>
        <rFont val="Meiryo UI"/>
        <family val="2"/>
      </rPr>
      <t>"record_id: "",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</si>
  <si>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</si>
  <si>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</si>
  <si>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</si>
  <si>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▪プリセットメニューの追加・更新・削除処理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</si>
  <si>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</si>
  <si>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mode</t>
    </r>
  </si>
  <si>
    <r>
      <rPr>
        <sz val="11"/>
        <color rgb="FF000000"/>
        <rFont val="Meiryo UI"/>
        <family val="2"/>
      </rPr>
      <t>20245/02/25</t>
    </r>
  </si>
  <si>
    <r>
      <rPr>
        <sz val="11"/>
        <color rgb="FF000000"/>
        <rFont val="Meiryo UI"/>
        <family val="2"/>
      </rPr>
      <t>api/v1/preset/maintenance/list</t>
    </r>
  </si>
  <si>
    <r>
      <rPr>
        <sz val="11"/>
        <color rgb="FF000000"/>
        <rFont val="Meiryo UI"/>
        <family val="2"/>
      </rPr>
      <t>プリセットレイアウトを新規作成・削除する。</t>
    </r>
  </si>
  <si>
    <r>
      <rPr>
        <sz val="11"/>
        <color rgb="FF000000"/>
        <rFont val="Meiryo UI"/>
        <family val="2"/>
      </rPr>
      <t>AP1511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</si>
  <si>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</si>
  <si>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</si>
  <si>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</si>
  <si>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</si>
  <si>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</si>
  <si>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</si>
  <si>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</si>
  <si>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</si>
  <si>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</si>
  <si>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</si>
  <si>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</si>
  <si>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</si>
  <si>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</si>
  <si>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</si>
  <si>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</si>
  <si>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</si>
  <si>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</si>
  <si>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LoiLV</t>
  </si>
  <si>
    <t>プリセットレイアウトコードバリデーションチェック更新</t>
  </si>
  <si>
    <t>店舗権限更新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</si>
  <si>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</si>
  <si>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</si>
  <si>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</si>
  <si>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</si>
  <si>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</si>
  <si>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</si>
  <si>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</si>
  <si>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</si>
  <si>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</si>
  <si>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</si>
  <si>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</si>
  <si>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</si>
  <si>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r>
      <rPr>
        <sz val="11"/>
        <color rgb="FF000000"/>
        <rFont val="Meiryo UI"/>
        <family val="2"/>
      </rPr>
      <t>いなげやの場合、
0 = 保存  (翌日の新規作成・コピーに適用）
1= 確定 (即時に新規作成・コピーに適用）
カスミの場合：以下のみがある。モード1= 確定 (即時に新規作成・コピーに適用）</t>
    </r>
  </si>
  <si>
    <r>
      <rPr>
        <sz val="11"/>
        <color rgb="FF000000"/>
        <rFont val="Meiryo UI"/>
        <family val="2"/>
      </rPr>
      <t>company_code = 100 (カスミ)の場合、「1」以外の場合、エラーメッセージ = MSG_VAL_019
company_code = 800 (いなげや)の場合、「0」又は「1」以外の場合、エラーメッセージ = MSG_VAL_019</t>
    </r>
  </si>
  <si>
    <t>・新規作成の場合、operation_typeを「1」として渡す。
・削除の場合、operation_typeを「3」として渡す。
上記以外の場合、エラーメッセージ = MSG_VAL_019</t>
  </si>
  <si>
    <t>・プリセットレイアウトを新規作成する場合、record_idをnullとして渡す。
・プリセットレイアウトを削除する場合、該当するrecord_idを渡す。</t>
  </si>
  <si>
    <t>バリデーションチェック：数字、4桁 バリデーションチェックNGの場合、エラーメッセージ = MSG_VAL_019</t>
  </si>
  <si>
    <t>最大半角50文字（全角25文字）。文字数 &gt; 50の場合、 エラーメッセージ = MSG_VAL_002</t>
  </si>
  <si>
    <r>
      <rPr>
        <sz val="11"/>
        <color rgb="FF000000"/>
        <rFont val="Meiryo UI"/>
        <family val="2"/>
      </rPr>
      <t>フォーマット: yyyy/mm/dd 
・編集・削除モードの場合、予約日のバリデーションチェックを行わない。
・新規作成の場合、
   + モード = 0の場合、予約日 = 翌日
   + モード = 1の場合、予約日 = 当日
エラーの場合、エラーメッセージ = MSG_VAL_019</t>
    </r>
  </si>
  <si>
    <t>※サンプル</t>
  </si>
  <si>
    <r>
      <rPr>
        <sz val="11"/>
        <color rgb="FF000000"/>
        <rFont val="Meiryo UI"/>
        <family val="2"/>
      </rPr>
      <t>"mode": 1,</t>
    </r>
  </si>
  <si>
    <r>
      <rPr>
        <sz val="11"/>
        <color rgb="FF000000"/>
        <rFont val="Meiryo UI"/>
        <family val="2"/>
      </rPr>
      <t xml:space="preserve">            "operation_type": 1</t>
    </r>
  </si>
  <si>
    <r>
      <rPr>
        <sz val="11"/>
        <color rgb="FF000000"/>
        <rFont val="Meiryo UI"/>
        <family val="2"/>
      </rPr>
      <t>"preset_layout_code: "",</t>
    </r>
  </si>
  <si>
    <r>
      <rPr>
        <sz val="11"/>
        <color rgb="FF000000"/>
        <rFont val="Meiryo UI"/>
        <family val="2"/>
      </rPr>
      <t>"preset_layout_name: "",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</si>
  <si>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</si>
  <si>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</si>
  <si>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</si>
  <si>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</si>
  <si>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</si>
  <si>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t xml:space="preserve">バリデーションチェックの新規作成の場合：
</t>
    </r>
    <r>
      <rPr>
        <b/>
        <sz val="11"/>
        <color rgb="FF7030A0"/>
        <rFont val="Meiryo UI"/>
        <family val="2"/>
      </rPr>
      <t>カスミ様：</t>
    </r>
    <r>
      <rPr>
        <sz val="11"/>
        <color rgb="FF7030A0"/>
        <rFont val="Meiryo UI"/>
        <family val="2"/>
      </rPr>
      <t xml:space="preserve">数字4桁 -&gt; 数字ではない場合、エラーメッセージ = MSG_VAL_026、長さが4桁以外の場合、エラーメッセージ= MSG_VAL_002
</t>
    </r>
    <r>
      <rPr>
        <b/>
        <sz val="11"/>
        <color rgb="FF7030A0"/>
        <rFont val="Meiryo UI"/>
        <family val="2"/>
      </rPr>
      <t>いなげや様：</t>
    </r>
    <r>
      <rPr>
        <sz val="11"/>
        <color rgb="FF7030A0"/>
        <rFont val="Meiryo UI"/>
        <family val="2"/>
      </rPr>
      <t>形式：8XXX01 8XXX02（6桁、XXX：店舗コード）。エラーメッセージ = MSG_VAL_019。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</si>
</sst>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2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b/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4" fillId="0" borderId="0">
      <alignment vertical="center"/>
    </xf>
    <xf numFmtId="0" fontId="2" fillId="0" borderId="0">
      <alignment vertical="center"/>
    </xf>
  </cellStyleXfs>
  <cellXfs count="296">
    <xf numFmtId="0" fontId="0" fillId="0" borderId="0" xfId="0"/>
    <xf numFmtId="0" fontId="4" fillId="0" borderId="16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4" fillId="0" borderId="23" xfId="0" applyFon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12" fillId="0" borderId="23" xfId="0" quotePrefix="1" applyFont="1" applyBorder="1" applyAlignment="1">
      <alignment horizontal="left" vertical="top" wrapText="1"/>
    </xf>
    <xf numFmtId="0" fontId="4" fillId="0" borderId="24" xfId="0" quotePrefix="1" applyFont="1" applyBorder="1" applyAlignment="1">
      <alignment horizontal="left" vertical="top" wrapText="1"/>
    </xf>
    <xf numFmtId="0" fontId="4" fillId="0" borderId="25" xfId="0" quotePrefix="1" applyFont="1" applyBorder="1" applyAlignment="1">
      <alignment horizontal="left" vertical="top" wrapText="1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 wrapText="1"/>
    </xf>
    <xf numFmtId="0" fontId="3" fillId="0" borderId="25" xfId="0" quotePrefix="1" applyFont="1" applyBorder="1" applyAlignment="1">
      <alignment horizontal="left" vertical="center" wrapText="1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15" fillId="4" borderId="23" xfId="0" applyFont="1" applyFill="1" applyBorder="1" applyAlignment="1">
      <alignment horizontal="center" vertical="center"/>
    </xf>
    <xf numFmtId="0" fontId="15" fillId="4" borderId="24" xfId="0" applyFont="1" applyFill="1" applyBorder="1" applyAlignment="1">
      <alignment horizontal="center" vertical="center"/>
    </xf>
    <xf numFmtId="0" fontId="15" fillId="4" borderId="2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9" fillId="0" borderId="0" xfId="0" applyFont="1"/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14" fontId="19" fillId="0" borderId="16" xfId="0" applyNumberFormat="1" applyFont="1" applyBorder="1" applyAlignment="1">
      <alignment horizontal="center" vertical="center"/>
    </xf>
    <xf numFmtId="14" fontId="19" fillId="0" borderId="17" xfId="0" applyNumberFormat="1" applyFont="1" applyBorder="1" applyAlignment="1">
      <alignment horizontal="center" vertical="center"/>
    </xf>
    <xf numFmtId="14" fontId="19" fillId="0" borderId="18" xfId="0" applyNumberFormat="1" applyFont="1" applyBorder="1" applyAlignment="1">
      <alignment horizontal="center" vertical="center"/>
    </xf>
    <xf numFmtId="2" fontId="19" fillId="0" borderId="16" xfId="0" applyNumberFormat="1" applyFont="1" applyBorder="1" applyAlignment="1">
      <alignment horizontal="center" vertical="center"/>
    </xf>
    <xf numFmtId="2" fontId="19" fillId="0" borderId="17" xfId="0" applyNumberFormat="1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14" fontId="19" fillId="0" borderId="5" xfId="0" applyNumberFormat="1" applyFont="1" applyBorder="1" applyAlignment="1">
      <alignment horizontal="center" vertical="center"/>
    </xf>
    <xf numFmtId="2" fontId="19" fillId="0" borderId="2" xfId="0" applyNumberFormat="1" applyFont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" xfId="0" applyFont="1" applyBorder="1"/>
    <xf numFmtId="0" fontId="19" fillId="0" borderId="4" xfId="0" applyFont="1" applyBorder="1"/>
    <xf numFmtId="0" fontId="19" fillId="0" borderId="7" xfId="0" applyFont="1" applyBorder="1"/>
    <xf numFmtId="0" fontId="19" fillId="0" borderId="8" xfId="0" applyFont="1" applyBorder="1"/>
    <xf numFmtId="0" fontId="19" fillId="0" borderId="11" xfId="0" applyFont="1" applyBorder="1"/>
    <xf numFmtId="0" fontId="19" fillId="0" borderId="6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9" xfId="0" applyFont="1" applyBorder="1"/>
    <xf numFmtId="0" fontId="19" fillId="0" borderId="10" xfId="0" applyFont="1" applyBorder="1"/>
    <xf numFmtId="0" fontId="19" fillId="0" borderId="13" xfId="0" applyFont="1" applyBorder="1"/>
    <xf numFmtId="0" fontId="15" fillId="4" borderId="16" xfId="0" applyFont="1" applyFill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4" borderId="0" xfId="0" applyFont="1" applyFill="1"/>
    <xf numFmtId="0" fontId="19" fillId="0" borderId="26" xfId="0" applyFont="1" applyBorder="1"/>
    <xf numFmtId="0" fontId="19" fillId="0" borderId="27" xfId="0" applyFont="1" applyBorder="1"/>
    <xf numFmtId="0" fontId="19" fillId="0" borderId="28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6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2" xfId="0" applyFont="1" applyBorder="1"/>
    <xf numFmtId="0" fontId="15" fillId="4" borderId="23" xfId="6" applyFont="1" applyFill="1" applyBorder="1" applyAlignment="1">
      <alignment horizontal="center" vertical="center"/>
    </xf>
    <xf numFmtId="0" fontId="15" fillId="4" borderId="24" xfId="6" applyFont="1" applyFill="1" applyBorder="1" applyAlignment="1">
      <alignment horizontal="center" vertical="center"/>
    </xf>
    <xf numFmtId="0" fontId="15" fillId="4" borderId="25" xfId="6" applyFont="1" applyFill="1" applyBorder="1" applyAlignment="1">
      <alignment horizontal="center" vertical="center"/>
    </xf>
    <xf numFmtId="0" fontId="18" fillId="0" borderId="16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8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8" fillId="0" borderId="4" xfId="6" applyFont="1" applyBorder="1" applyAlignment="1">
      <alignment horizontal="center" vertical="center"/>
    </xf>
    <xf numFmtId="0" fontId="18" fillId="0" borderId="2" xfId="6" applyFont="1" applyBorder="1" applyAlignment="1">
      <alignment horizontal="center" vertical="center"/>
    </xf>
    <xf numFmtId="0" fontId="18" fillId="0" borderId="3" xfId="6" applyFont="1" applyBorder="1" applyAlignment="1">
      <alignment horizontal="center" vertical="center"/>
    </xf>
    <xf numFmtId="0" fontId="18" fillId="0" borderId="5" xfId="6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5" fillId="4" borderId="21" xfId="0" applyFont="1" applyFill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23" xfId="0" quotePrefix="1" applyFont="1" applyBorder="1" applyAlignment="1">
      <alignment horizontal="left" vertical="center"/>
    </xf>
    <xf numFmtId="0" fontId="19" fillId="0" borderId="24" xfId="0" quotePrefix="1" applyFont="1" applyBorder="1" applyAlignment="1">
      <alignment horizontal="left" vertical="center"/>
    </xf>
    <xf numFmtId="0" fontId="19" fillId="0" borderId="25" xfId="0" quotePrefix="1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6" xfId="0" quotePrefix="1" applyFont="1" applyBorder="1" applyAlignment="1">
      <alignment horizontal="left" vertical="center" wrapText="1"/>
    </xf>
    <xf numFmtId="0" fontId="19" fillId="0" borderId="17" xfId="0" quotePrefix="1" applyFont="1" applyBorder="1" applyAlignment="1">
      <alignment horizontal="left" vertical="center" wrapText="1"/>
    </xf>
    <xf numFmtId="0" fontId="19" fillId="0" borderId="18" xfId="0" quotePrefix="1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2" xfId="0" quotePrefix="1" applyFont="1" applyBorder="1" applyAlignment="1">
      <alignment horizontal="left" vertical="center" wrapText="1"/>
    </xf>
    <xf numFmtId="0" fontId="19" fillId="0" borderId="3" xfId="0" quotePrefix="1" applyFont="1" applyBorder="1" applyAlignment="1">
      <alignment horizontal="left" vertical="center" wrapText="1"/>
    </xf>
    <xf numFmtId="0" fontId="19" fillId="0" borderId="5" xfId="0" quotePrefix="1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/>
    </xf>
    <xf numFmtId="0" fontId="19" fillId="0" borderId="24" xfId="0" applyFont="1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9" fillId="0" borderId="23" xfId="0" quotePrefix="1" applyFont="1" applyBorder="1" applyAlignment="1">
      <alignment horizontal="left" vertical="center" wrapText="1"/>
    </xf>
    <xf numFmtId="0" fontId="19" fillId="0" borderId="24" xfId="0" quotePrefix="1" applyFont="1" applyBorder="1" applyAlignment="1">
      <alignment horizontal="left" vertical="center" wrapText="1"/>
    </xf>
    <xf numFmtId="0" fontId="19" fillId="0" borderId="25" xfId="0" quotePrefix="1" applyFont="1" applyBorder="1" applyAlignment="1">
      <alignment horizontal="left" vertical="center" wrapText="1"/>
    </xf>
    <xf numFmtId="0" fontId="19" fillId="0" borderId="16" xfId="0" quotePrefix="1" applyFont="1" applyBorder="1" applyAlignment="1">
      <alignment horizontal="center" vertical="center"/>
    </xf>
    <xf numFmtId="0" fontId="19" fillId="0" borderId="17" xfId="0" quotePrefix="1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/>
    </xf>
    <xf numFmtId="0" fontId="19" fillId="0" borderId="16" xfId="0" quotePrefix="1" applyFont="1" applyBorder="1" applyAlignment="1">
      <alignment horizontal="left" vertical="center"/>
    </xf>
    <xf numFmtId="0" fontId="19" fillId="0" borderId="17" xfId="0" quotePrefix="1" applyFont="1" applyBorder="1" applyAlignment="1">
      <alignment horizontal="left" vertical="center"/>
    </xf>
    <xf numFmtId="0" fontId="19" fillId="0" borderId="18" xfId="0" quotePrefix="1" applyFont="1" applyBorder="1" applyAlignment="1">
      <alignment horizontal="left" vertical="center"/>
    </xf>
    <xf numFmtId="0" fontId="19" fillId="3" borderId="16" xfId="0" quotePrefix="1" applyFont="1" applyFill="1" applyBorder="1" applyAlignment="1">
      <alignment vertical="center"/>
    </xf>
    <xf numFmtId="0" fontId="19" fillId="3" borderId="17" xfId="0" quotePrefix="1" applyFont="1" applyFill="1" applyBorder="1" applyAlignment="1">
      <alignment vertical="center"/>
    </xf>
    <xf numFmtId="0" fontId="19" fillId="3" borderId="18" xfId="0" quotePrefix="1" applyFont="1" applyFill="1" applyBorder="1" applyAlignment="1">
      <alignment vertical="center"/>
    </xf>
    <xf numFmtId="0" fontId="19" fillId="0" borderId="16" xfId="0" applyFont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19" fillId="0" borderId="17" xfId="0" quotePrefix="1" applyFont="1" applyBorder="1" applyAlignment="1">
      <alignment horizontal="left" vertical="top" wrapText="1"/>
    </xf>
    <xf numFmtId="0" fontId="19" fillId="0" borderId="18" xfId="0" quotePrefix="1" applyFont="1" applyBorder="1" applyAlignment="1">
      <alignment horizontal="left" vertical="top" wrapText="1"/>
    </xf>
    <xf numFmtId="0" fontId="19" fillId="5" borderId="24" xfId="0" applyFont="1" applyFill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19" fillId="5" borderId="23" xfId="0" applyFont="1" applyFill="1" applyBorder="1" applyAlignment="1">
      <alignment horizontal="left" vertical="center"/>
    </xf>
    <xf numFmtId="0" fontId="19" fillId="0" borderId="23" xfId="0" applyFont="1" applyBorder="1" applyAlignment="1">
      <alignment horizontal="left" vertical="center" indent="1"/>
    </xf>
    <xf numFmtId="0" fontId="19" fillId="0" borderId="24" xfId="0" applyFont="1" applyBorder="1" applyAlignment="1">
      <alignment horizontal="left" vertical="center" indent="1"/>
    </xf>
    <xf numFmtId="0" fontId="19" fillId="0" borderId="25" xfId="0" applyFont="1" applyBorder="1" applyAlignment="1">
      <alignment horizontal="left" vertical="center" indent="1"/>
    </xf>
    <xf numFmtId="0" fontId="19" fillId="0" borderId="16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2"/>
    </xf>
    <xf numFmtId="0" fontId="19" fillId="0" borderId="1" xfId="0" applyFont="1" applyBorder="1" applyAlignment="1">
      <alignment horizontal="left" vertical="center" indent="2"/>
    </xf>
    <xf numFmtId="0" fontId="19" fillId="0" borderId="2" xfId="0" applyFont="1" applyBorder="1" applyAlignment="1">
      <alignment horizontal="left" vertical="center"/>
    </xf>
    <xf numFmtId="0" fontId="19" fillId="0" borderId="21" xfId="0" applyFont="1" applyBorder="1" applyAlignment="1">
      <alignment vertical="center"/>
    </xf>
    <xf numFmtId="0" fontId="19" fillId="2" borderId="19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9" fillId="2" borderId="21" xfId="0" applyFont="1" applyFill="1" applyBorder="1" applyAlignment="1">
      <alignment vertical="center"/>
    </xf>
    <xf numFmtId="0" fontId="19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38</xdr:row>
      <xdr:rowOff>134470</xdr:rowOff>
    </xdr:from>
    <xdr:to>
      <xdr:col>62</xdr:col>
      <xdr:colOff>0</xdr:colOff>
      <xdr:row>55</xdr:row>
      <xdr:rowOff>179294</xdr:rowOff>
    </xdr:to>
    <xdr:sp macro="" textlink="" fLocksText="0">
      <xdr:nvSpPr>
        <xdr:cNvPr id="4" name="吹き出し: 線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334500" y="7486650"/>
          <a:ext cx="7200900" cy="3286125"/>
        </a:xfrm>
        <a:prstGeom prst="borderCallout1">
          <a:avLst>
            <a:gd name="adj1" fmla="val 20319"/>
            <a:gd name="adj2" fmla="val -58"/>
            <a:gd name="adj3" fmla="val 79456"/>
            <a:gd name="adj4" fmla="val -720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4.3 レコードが存在している場合、レコードを新規作成：</a:t>
          </a:r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page_number = 1,  description=null, button_column_coun=10, button_row_count=5, is_hidden=FALSE, is_display_on_cash_machine=FALSE, is_display_on_customer_screen=FALSE, style_key=PresetRadioButtonLeftStyle1     </a:t>
          </a:r>
          <a:endParaRPr lang="vi-VN" altLang="ja-JP" sz="1000" b="0" i="0" u="none" baseline="0">
            <a:solidFill>
              <a:schemeClr val="accent5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4.2 レコードが存在している場合、レコードを更新する。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4.1 対象レコードとその子レコードを削除する。 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・結合条件：PresetMenuMaster.CompanyCode, PresetMenuMaster.StoreCode, PresetMenuMaster.ButtonLayoutCode, いなげや様の場合：PresetMenuMaster.ApplyDate, PresetMenuMaster.PageNumber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・record_id = nullの場合、以下の条件を満たす全てのPresetMenuMasterとその子レコードを削除する。PresetMenuMaster.CompanyCode = User.CompanyCode, PresetMenuMaster.StoreCode = :store_code, PresetMenuMaster.ButtonLayoutCode = :button_layout_code, いなげや様の場合、PresetMenuMaster.ApplyDate:apply_date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・record_id != nullの場合、条件を満たすPresetMenuMasterとその子レコードを削除する。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PresetMenuMaster.RECORD_ID = :record_id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17</xdr:row>
      <xdr:rowOff>179294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334500" y="2400300"/>
          <a:ext cx="7200900" cy="1133475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1. ユーザーに新規作成・削除の権限があるか確認する。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店舗権限を持ち、新規作成・削除されたレコードがある場合、403, MSG_ERR_009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管理者権限又はヘッドクオーター権限を持っている場合、処理を続行する。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preset_menuリクエストデータ配列の各レコードをループする。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85</xdr:row>
      <xdr:rowOff>22412</xdr:rowOff>
    </xdr:from>
    <xdr:to>
      <xdr:col>16</xdr:col>
      <xdr:colOff>0</xdr:colOff>
      <xdr:row>87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200400" y="16325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0</xdr:colOff>
      <xdr:row>85</xdr:row>
      <xdr:rowOff>22412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endCxn id="7" idx="0"/>
        </xdr:cNvCxnSpPr>
      </xdr:nvCxnSpPr>
      <xdr:spPr>
        <a:xfrm>
          <a:off x="3733800" y="15544800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17</xdr:col>
      <xdr:colOff>6724</xdr:colOff>
      <xdr:row>26</xdr:row>
      <xdr:rowOff>0</xdr:rowOff>
    </xdr:to>
    <xdr:sp macro="" textlink="" fLocksText="0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933700" y="4114800"/>
          <a:ext cx="16097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</a:t>
          </a: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1</xdr:colOff>
      <xdr:row>27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4671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6" idx="4"/>
          <a:endCxn id="18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95250</xdr:rowOff>
    </xdr:from>
    <xdr:to>
      <xdr:col>24</xdr:col>
      <xdr:colOff>0</xdr:colOff>
      <xdr:row>28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9" idx="3"/>
          <a:endCxn id="20" idx="0"/>
        </xdr:cNvCxnSpPr>
      </xdr:nvCxnSpPr>
      <xdr:spPr>
        <a:xfrm>
          <a:off x="5067300" y="4591050"/>
          <a:ext cx="13335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34500" y="3733800"/>
          <a:ext cx="7200900" cy="762000"/>
        </a:xfrm>
        <a:prstGeom prst="borderCallout1">
          <a:avLst>
            <a:gd name="adj1" fmla="val 49926"/>
            <a:gd name="adj2" fmla="val -59"/>
            <a:gd name="adj3" fmla="val 89987"/>
            <a:gd name="adj4" fmla="val -776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▪存在している場合、「3.1 preset_menu.operation_type」のバリデーションチェックを行う。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▪存在していない場合、「3.2 preset_menu.operation_type」のバリデーションチェックを行う。</a:t>
          </a: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17</xdr:col>
      <xdr:colOff>0</xdr:colOff>
      <xdr:row>54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 プリセットメニューを編集する。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27</xdr:row>
      <xdr:rowOff>0</xdr:rowOff>
    </xdr:from>
    <xdr:to>
      <xdr:col>14</xdr:col>
      <xdr:colOff>1</xdr:colOff>
      <xdr:row>40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0" idx="2"/>
          <a:endCxn id="29" idx="0"/>
        </xdr:cNvCxnSpPr>
      </xdr:nvCxnSpPr>
      <xdr:spPr>
        <a:xfrm>
          <a:off x="3733800" y="5257800"/>
          <a:ext cx="0" cy="2476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</xdr:row>
      <xdr:rowOff>179294</xdr:rowOff>
    </xdr:from>
    <xdr:to>
      <xdr:col>14</xdr:col>
      <xdr:colOff>1</xdr:colOff>
      <xdr:row>50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0" idx="2"/>
          <a:endCxn id="14" idx="0"/>
        </xdr:cNvCxnSpPr>
      </xdr:nvCxnSpPr>
      <xdr:spPr>
        <a:xfrm>
          <a:off x="3733800" y="8867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preset_menuデータ配列ループ</a:t>
          </a:r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19</xdr:col>
      <xdr:colOff>0</xdr:colOff>
      <xdr:row>24</xdr:row>
      <xdr:rowOff>0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5339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28</xdr:row>
      <xdr:rowOff>0</xdr:rowOff>
    </xdr:from>
    <xdr:to>
      <xdr:col>27</xdr:col>
      <xdr:colOff>0</xdr:colOff>
      <xdr:row>32</xdr:row>
      <xdr:rowOff>190499</xdr:rowOff>
    </xdr:to>
    <xdr:sp macro="" textlink="" fLocksText="0">
      <xdr:nvSpPr>
        <xdr:cNvPr id="20" name="Flowchart: Decisio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6007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preset_menu.operation_type</a:t>
          </a:r>
        </a:p>
      </xdr:txBody>
    </xdr:sp>
    <xdr:clientData/>
  </xdr:twoCellAnchor>
  <xdr:twoCellAnchor>
    <xdr:from>
      <xdr:col>27</xdr:col>
      <xdr:colOff>0</xdr:colOff>
      <xdr:row>30</xdr:row>
      <xdr:rowOff>0</xdr:rowOff>
    </xdr:from>
    <xdr:to>
      <xdr:col>29</xdr:col>
      <xdr:colOff>0</xdr:colOff>
      <xdr:row>31</xdr:row>
      <xdr:rowOff>11206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7200900" y="5829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14</xdr:col>
      <xdr:colOff>1</xdr:colOff>
      <xdr:row>18</xdr:row>
      <xdr:rowOff>0</xdr:rowOff>
    </xdr:from>
    <xdr:to>
      <xdr:col>14</xdr:col>
      <xdr:colOff>3363</xdr:colOff>
      <xdr:row>21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8" idx="2"/>
          <a:endCxn id="9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235323</xdr:colOff>
      <xdr:row>16</xdr:row>
      <xdr:rowOff>0</xdr:rowOff>
    </xdr:from>
    <xdr:to>
      <xdr:col>10</xdr:col>
      <xdr:colOff>235323</xdr:colOff>
      <xdr:row>74</xdr:row>
      <xdr:rowOff>95250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46" idx="1"/>
          <a:endCxn id="18" idx="1"/>
        </xdr:cNvCxnSpPr>
      </xdr:nvCxnSpPr>
      <xdr:spPr>
        <a:xfrm rot="10800000" flipH="1">
          <a:off x="2371725" y="3162300"/>
          <a:ext cx="533400" cy="11144250"/>
        </a:xfrm>
        <a:prstGeom prst="bentConnector3">
          <a:avLst>
            <a:gd name="adj1" fmla="val -35095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</xdr:colOff>
      <xdr:row>58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14" idx="2"/>
          <a:endCxn id="32" idx="0"/>
        </xdr:cNvCxnSpPr>
      </xdr:nvCxnSpPr>
      <xdr:spPr>
        <a:xfrm flipH="1">
          <a:off x="3733800" y="10401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</xdr:row>
      <xdr:rowOff>0</xdr:rowOff>
    </xdr:from>
    <xdr:to>
      <xdr:col>17</xdr:col>
      <xdr:colOff>1</xdr:colOff>
      <xdr:row>45</xdr:row>
      <xdr:rowOff>0</xdr:rowOff>
    </xdr:to>
    <xdr:sp macro="" textlink="" fLocksText="0">
      <xdr:nvSpPr>
        <xdr:cNvPr id="29" name="Flowchart: Decisio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29337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preset_menu.operation_type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212912</xdr:colOff>
      <xdr:row>45</xdr:row>
      <xdr:rowOff>0</xdr:rowOff>
    </xdr:from>
    <xdr:to>
      <xdr:col>16</xdr:col>
      <xdr:colOff>22412</xdr:colOff>
      <xdr:row>45</xdr:row>
      <xdr:rowOff>179294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143250" y="86868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</xdr:colOff>
      <xdr:row>42</xdr:row>
      <xdr:rowOff>106456</xdr:rowOff>
    </xdr:from>
    <xdr:to>
      <xdr:col>8</xdr:col>
      <xdr:colOff>224118</xdr:colOff>
      <xdr:row>50</xdr:row>
      <xdr:rowOff>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84" idx="1"/>
          <a:endCxn id="90" idx="0"/>
        </xdr:cNvCxnSpPr>
      </xdr:nvCxnSpPr>
      <xdr:spPr>
        <a:xfrm rot="10800000" flipV="1">
          <a:off x="1600200" y="8220075"/>
          <a:ext cx="762000" cy="141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58</xdr:row>
      <xdr:rowOff>0</xdr:rowOff>
    </xdr:from>
    <xdr:to>
      <xdr:col>17</xdr:col>
      <xdr:colOff>0</xdr:colOff>
      <xdr:row>63</xdr:row>
      <xdr:rowOff>0</xdr:rowOff>
    </xdr:to>
    <xdr:sp macro="" textlink="" fLocksText="0">
      <xdr:nvSpPr>
        <xdr:cNvPr id="32" name="Flowchart: Decision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905125" y="111633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33" name="Flowchart: Proces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19</xdr:col>
      <xdr:colOff>0</xdr:colOff>
      <xdr:row>61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45339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0</xdr:colOff>
      <xdr:row>60</xdr:row>
      <xdr:rowOff>95250</xdr:rowOff>
    </xdr:from>
    <xdr:to>
      <xdr:col>33</xdr:col>
      <xdr:colOff>1</xdr:colOff>
      <xdr:row>78</xdr:row>
      <xdr:rowOff>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4" idx="3"/>
          <a:endCxn id="83" idx="0"/>
        </xdr:cNvCxnSpPr>
      </xdr:nvCxnSpPr>
      <xdr:spPr>
        <a:xfrm>
          <a:off x="5067300" y="11639550"/>
          <a:ext cx="3733800" cy="3333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31</xdr:row>
      <xdr:rowOff>11206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067300"/>
          <a:ext cx="7200900" cy="962025"/>
        </a:xfrm>
        <a:prstGeom prst="borderCallout1">
          <a:avLst>
            <a:gd name="adj1" fmla="val 49926"/>
            <a:gd name="adj2" fmla="val -59"/>
            <a:gd name="adj3" fmla="val 72163"/>
            <a:gd name="adj4" fmla="val -347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3.2.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 = 1 (新規)の場合、以下のステップを実行する。[3.2.1.予約日の確認]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▪operation_type = 3 (レコード削除)の場合: [4. [4.プリセットメニュー削除] </a:t>
          </a:r>
        </a:p>
      </xdr:txBody>
    </xdr:sp>
    <xdr:clientData/>
  </xdr:twoCellAnchor>
  <xdr:twoCellAnchor>
    <xdr:from>
      <xdr:col>35</xdr:col>
      <xdr:colOff>0</xdr:colOff>
      <xdr:row>57</xdr:row>
      <xdr:rowOff>0</xdr:rowOff>
    </xdr:from>
    <xdr:to>
      <xdr:col>62</xdr:col>
      <xdr:colOff>0</xdr:colOff>
      <xdr:row>65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334500" y="10972800"/>
          <a:ext cx="7200900" cy="1524000"/>
        </a:xfrm>
        <a:prstGeom prst="borderCallout1">
          <a:avLst>
            <a:gd name="adj1" fmla="val 20319"/>
            <a:gd name="adj2" fmla="val -58"/>
            <a:gd name="adj3" fmla="val 39818"/>
            <a:gd name="adj4" fmla="val -677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▪新規・編集が成功した場合、[6. プリセットメニューボタンのデータがあるかを確認する。]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削除が成功した場合、ステップ8を実行する。[8.プリセットメニュー配列の最後の要素であるかを確認する]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73</xdr:row>
      <xdr:rowOff>0</xdr:rowOff>
    </xdr:from>
    <xdr:to>
      <xdr:col>62</xdr:col>
      <xdr:colOff>0</xdr:colOff>
      <xdr:row>76</xdr:row>
      <xdr:rowOff>188819</xdr:rowOff>
    </xdr:to>
    <xdr:sp macro="" textlink="" fLocksText="0">
      <xdr:nvSpPr>
        <xdr:cNvPr id="39" name="吹き出し: 線 2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9334500" y="14020800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最後の要素の場合、respose code = 200を返す。API処理を終了する。</a:t>
          </a:r>
        </a:p>
      </xdr:txBody>
    </xdr:sp>
    <xdr:clientData/>
  </xdr:twoCellAnchor>
  <xdr:twoCellAnchor>
    <xdr:from>
      <xdr:col>35</xdr:col>
      <xdr:colOff>1</xdr:colOff>
      <xdr:row>33</xdr:row>
      <xdr:rowOff>1</xdr:rowOff>
    </xdr:from>
    <xdr:to>
      <xdr:col>62</xdr:col>
      <xdr:colOff>0</xdr:colOff>
      <xdr:row>38</xdr:row>
      <xdr:rowOff>0</xdr:rowOff>
    </xdr:to>
    <xdr:sp macro="" textlink="" fLocksText="0">
      <xdr:nvSpPr>
        <xdr:cNvPr id="40" name="吹き出し: 線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334500" y="6400800"/>
          <a:ext cx="7200900" cy="952500"/>
        </a:xfrm>
        <a:prstGeom prst="borderCallout1">
          <a:avLst>
            <a:gd name="adj1" fmla="val 49926"/>
            <a:gd name="adj2" fmla="val 471"/>
            <a:gd name="adj3" fmla="val 116565"/>
            <a:gd name="adj4" fmla="val -346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3.2.1. 予約日のバリデーションチェック：当日 (モード = 1の場合)又は未来日 (モード = 0の場合)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満たす場合、[4.3 新規作成]ステップを使用して、プリセットメニューを新規作成する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満たされない場合、以下のように返す。response_code = 422、message = MSG_VAL_019</a:t>
          </a:r>
        </a:p>
      </xdr:txBody>
    </xdr:sp>
    <xdr:clientData/>
  </xdr:twoCellAnchor>
  <xdr:twoCellAnchor>
    <xdr:from>
      <xdr:col>11</xdr:col>
      <xdr:colOff>0</xdr:colOff>
      <xdr:row>72</xdr:row>
      <xdr:rowOff>0</xdr:rowOff>
    </xdr:from>
    <xdr:to>
      <xdr:col>17</xdr:col>
      <xdr:colOff>0</xdr:colOff>
      <xdr:row>77</xdr:row>
      <xdr:rowOff>0</xdr:rowOff>
    </xdr:to>
    <xdr:sp macro="" textlink="" fLocksText="0">
      <xdr:nvSpPr>
        <xdr:cNvPr id="44" name="Flowchart: Decisio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933700" y="13830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76</xdr:row>
      <xdr:rowOff>180975</xdr:rowOff>
    </xdr:from>
    <xdr:to>
      <xdr:col>14</xdr:col>
      <xdr:colOff>238124</xdr:colOff>
      <xdr:row>78</xdr:row>
      <xdr:rowOff>0</xdr:rowOff>
    </xdr:to>
    <xdr:sp macro="" textlink="" fLocksText="0">
      <xdr:nvSpPr>
        <xdr:cNvPr id="45" name="Flowchart: Process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3438525" y="147732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46" name="Flowchart: Process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400300" y="1421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64</xdr:row>
      <xdr:rowOff>0</xdr:rowOff>
    </xdr:from>
    <xdr:to>
      <xdr:col>14</xdr:col>
      <xdr:colOff>1</xdr:colOff>
      <xdr:row>72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33" idx="2"/>
          <a:endCxn id="44" idx="0"/>
        </xdr:cNvCxnSpPr>
      </xdr:nvCxnSpPr>
      <xdr:spPr>
        <a:xfrm>
          <a:off x="3733800" y="12306300"/>
          <a:ext cx="0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238124</xdr:colOff>
      <xdr:row>78</xdr:row>
      <xdr:rowOff>0</xdr:rowOff>
    </xdr:from>
    <xdr:to>
      <xdr:col>14</xdr:col>
      <xdr:colOff>0</xdr:colOff>
      <xdr:row>85</xdr:row>
      <xdr:rowOff>22412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45" idx="2"/>
          <a:endCxn id="7" idx="0"/>
        </xdr:cNvCxnSpPr>
      </xdr:nvCxnSpPr>
      <xdr:spPr>
        <a:xfrm>
          <a:off x="3705225" y="14973300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224118</xdr:colOff>
      <xdr:row>65</xdr:row>
      <xdr:rowOff>100854</xdr:rowOff>
    </xdr:from>
    <xdr:to>
      <xdr:col>61</xdr:col>
      <xdr:colOff>224118</xdr:colOff>
      <xdr:row>67</xdr:row>
      <xdr:rowOff>100854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296400" y="12601575"/>
          <a:ext cx="7200900" cy="381000"/>
        </a:xfrm>
        <a:prstGeom prst="borderCallout1">
          <a:avLst>
            <a:gd name="adj1" fmla="val 51201"/>
            <a:gd name="adj2" fmla="val -58"/>
            <a:gd name="adj3" fmla="val 48833"/>
            <a:gd name="adj4" fmla="val -681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プリセットメニューボタンの追加・更新処理を実行する。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24</xdr:col>
      <xdr:colOff>0</xdr:colOff>
      <xdr:row>34</xdr:row>
      <xdr:rowOff>1</xdr:rowOff>
    </xdr:from>
    <xdr:to>
      <xdr:col>24</xdr:col>
      <xdr:colOff>1</xdr:colOff>
      <xdr:row>37</xdr:row>
      <xdr:rowOff>1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132" idx="2"/>
          <a:endCxn id="160" idx="0"/>
        </xdr:cNvCxnSpPr>
      </xdr:nvCxnSpPr>
      <xdr:spPr>
        <a:xfrm rot="5400000">
          <a:off x="6400800" y="6591300"/>
          <a:ext cx="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34</xdr:col>
      <xdr:colOff>0</xdr:colOff>
      <xdr:row>78</xdr:row>
      <xdr:rowOff>179293</xdr:rowOff>
    </xdr:to>
    <xdr:sp macro="" textlink="" fLocksText="0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8534400" y="1497330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224117</xdr:colOff>
      <xdr:row>42</xdr:row>
      <xdr:rowOff>11206</xdr:rowOff>
    </xdr:from>
    <xdr:to>
      <xdr:col>11</xdr:col>
      <xdr:colOff>0</xdr:colOff>
      <xdr:row>43</xdr:row>
      <xdr:rowOff>11206</xdr:rowOff>
    </xdr:to>
    <xdr:sp macro="" textlink="" fLocksText="0">
      <xdr:nvSpPr>
        <xdr:cNvPr id="84" name="Flowchart: Process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2362200" y="8124825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14</xdr:col>
      <xdr:colOff>1</xdr:colOff>
      <xdr:row>78</xdr:row>
      <xdr:rowOff>179292</xdr:rowOff>
    </xdr:from>
    <xdr:to>
      <xdr:col>33</xdr:col>
      <xdr:colOff>2</xdr:colOff>
      <xdr:row>85</xdr:row>
      <xdr:rowOff>22411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83" idx="2"/>
          <a:endCxn id="7" idx="0"/>
        </xdr:cNvCxnSpPr>
      </xdr:nvCxnSpPr>
      <xdr:spPr>
        <a:xfrm rot="5400000">
          <a:off x="3733800" y="15154275"/>
          <a:ext cx="5067300" cy="1171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9</xdr:col>
      <xdr:colOff>0</xdr:colOff>
      <xdr:row>54</xdr:row>
      <xdr:rowOff>0</xdr:rowOff>
    </xdr:to>
    <xdr:sp macro="" textlink="" fLocksText="0">
      <xdr:nvSpPr>
        <xdr:cNvPr id="90" name="Rectangle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8001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　削除</a:t>
          </a:r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27</xdr:col>
      <xdr:colOff>0</xdr:colOff>
      <xdr:row>54</xdr:row>
      <xdr:rowOff>0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6007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新規作成</a:t>
          </a:r>
        </a:p>
      </xdr:txBody>
    </xdr:sp>
    <xdr:clientData/>
  </xdr:twoCellAnchor>
  <xdr:twoCellAnchor>
    <xdr:from>
      <xdr:col>14</xdr:col>
      <xdr:colOff>0</xdr:colOff>
      <xdr:row>54</xdr:row>
      <xdr:rowOff>0</xdr:rowOff>
    </xdr:from>
    <xdr:to>
      <xdr:col>24</xdr:col>
      <xdr:colOff>0</xdr:colOff>
      <xdr:row>58</xdr:row>
      <xdr:rowOff>0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1" idx="2"/>
          <a:endCxn id="32" idx="0"/>
        </xdr:cNvCxnSpPr>
      </xdr:nvCxnSpPr>
      <xdr:spPr>
        <a:xfrm rot="5400000">
          <a:off x="3733800" y="10401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54</xdr:row>
      <xdr:rowOff>0</xdr:rowOff>
    </xdr:from>
    <xdr:to>
      <xdr:col>13</xdr:col>
      <xdr:colOff>235322</xdr:colOff>
      <xdr:row>58</xdr:row>
      <xdr:rowOff>0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90" idx="2"/>
          <a:endCxn id="32" idx="0"/>
        </xdr:cNvCxnSpPr>
      </xdr:nvCxnSpPr>
      <xdr:spPr>
        <a:xfrm rot="16200000" flipH="1">
          <a:off x="1600200" y="10401300"/>
          <a:ext cx="21050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30</xdr:row>
      <xdr:rowOff>100853</xdr:rowOff>
    </xdr:from>
    <xdr:to>
      <xdr:col>33</xdr:col>
      <xdr:colOff>1</xdr:colOff>
      <xdr:row>78</xdr:row>
      <xdr:rowOff>0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CxnSpPr>
          <a:stCxn id="22" idx="3"/>
          <a:endCxn id="83" idx="0"/>
        </xdr:cNvCxnSpPr>
      </xdr:nvCxnSpPr>
      <xdr:spPr>
        <a:xfrm>
          <a:off x="7734300" y="5934075"/>
          <a:ext cx="1066800" cy="903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32</xdr:row>
      <xdr:rowOff>179294</xdr:rowOff>
    </xdr:from>
    <xdr:to>
      <xdr:col>26</xdr:col>
      <xdr:colOff>1</xdr:colOff>
      <xdr:row>34</xdr:row>
      <xdr:rowOff>0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5867400" y="6391275"/>
          <a:ext cx="10668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37</xdr:row>
      <xdr:rowOff>0</xdr:rowOff>
    </xdr:from>
    <xdr:to>
      <xdr:col>27</xdr:col>
      <xdr:colOff>0</xdr:colOff>
      <xdr:row>42</xdr:row>
      <xdr:rowOff>0</xdr:rowOff>
    </xdr:to>
    <xdr:sp macro="" textlink="" fLocksText="0">
      <xdr:nvSpPr>
        <xdr:cNvPr id="160" name="Flowchart: Decision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5600700" y="716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3.2.1 booking_dateのバリデーションチェック</a:t>
          </a:r>
          <a:endParaRPr lang="en-US" sz="10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212912</xdr:colOff>
      <xdr:row>42</xdr:row>
      <xdr:rowOff>0</xdr:rowOff>
    </xdr:from>
    <xdr:to>
      <xdr:col>26</xdr:col>
      <xdr:colOff>22411</xdr:colOff>
      <xdr:row>42</xdr:row>
      <xdr:rowOff>179294</xdr:rowOff>
    </xdr:to>
    <xdr:sp macro="" textlink="" fLocksText="0">
      <xdr:nvSpPr>
        <xdr:cNvPr id="161" name="Flowchart: Process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5810250" y="81153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</a:p>
      </xdr:txBody>
    </xdr:sp>
    <xdr:clientData/>
  </xdr:twoCellAnchor>
  <xdr:twoCellAnchor>
    <xdr:from>
      <xdr:col>26</xdr:col>
      <xdr:colOff>224116</xdr:colOff>
      <xdr:row>39</xdr:row>
      <xdr:rowOff>0</xdr:rowOff>
    </xdr:from>
    <xdr:to>
      <xdr:col>29</xdr:col>
      <xdr:colOff>0</xdr:colOff>
      <xdr:row>40</xdr:row>
      <xdr:rowOff>0</xdr:rowOff>
    </xdr:to>
    <xdr:sp macro="" textlink="" fLocksText="0">
      <xdr:nvSpPr>
        <xdr:cNvPr id="162" name="Flowchart: Process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7162800" y="75438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</a:p>
      </xdr:txBody>
    </xdr:sp>
    <xdr:clientData/>
  </xdr:twoCellAnchor>
  <xdr:twoCellAnchor>
    <xdr:from>
      <xdr:col>29</xdr:col>
      <xdr:colOff>0</xdr:colOff>
      <xdr:row>39</xdr:row>
      <xdr:rowOff>95250</xdr:rowOff>
    </xdr:from>
    <xdr:to>
      <xdr:col>31</xdr:col>
      <xdr:colOff>1</xdr:colOff>
      <xdr:row>67</xdr:row>
      <xdr:rowOff>11207</xdr:rowOff>
    </xdr:to>
    <xdr:cxnSp macro="">
      <xdr:nvCxnSpPr>
        <xdr:cNvPr id="163" name="Connector: Elbow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CxnSpPr>
          <a:stCxn id="162" idx="3"/>
          <a:endCxn id="210" idx="0"/>
        </xdr:cNvCxnSpPr>
      </xdr:nvCxnSpPr>
      <xdr:spPr>
        <a:xfrm>
          <a:off x="7734300" y="7639050"/>
          <a:ext cx="533400" cy="5248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179294</xdr:rowOff>
    </xdr:from>
    <xdr:to>
      <xdr:col>24</xdr:col>
      <xdr:colOff>0</xdr:colOff>
      <xdr:row>50</xdr:row>
      <xdr:rowOff>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CxnSpPr>
          <a:stCxn id="161" idx="2"/>
          <a:endCxn id="91" idx="0"/>
        </xdr:cNvCxnSpPr>
      </xdr:nvCxnSpPr>
      <xdr:spPr>
        <a:xfrm>
          <a:off x="6400800" y="8296275"/>
          <a:ext cx="0" cy="1343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67</xdr:row>
      <xdr:rowOff>11207</xdr:rowOff>
    </xdr:from>
    <xdr:to>
      <xdr:col>32</xdr:col>
      <xdr:colOff>0</xdr:colOff>
      <xdr:row>68</xdr:row>
      <xdr:rowOff>0</xdr:rowOff>
    </xdr:to>
    <xdr:sp macro="" textlink="" fLocksText="0">
      <xdr:nvSpPr>
        <xdr:cNvPr id="210" name="Flowchart: Process 209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8001000" y="128873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68</xdr:row>
      <xdr:rowOff>0</xdr:rowOff>
    </xdr:from>
    <xdr:to>
      <xdr:col>31</xdr:col>
      <xdr:colOff>1</xdr:colOff>
      <xdr:row>72</xdr:row>
      <xdr:rowOff>0</xdr:rowOff>
    </xdr:to>
    <xdr:cxnSp macro="">
      <xdr:nvCxnSpPr>
        <xdr:cNvPr id="212" name="Connector: Elbow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stCxn id="210" idx="2"/>
          <a:endCxn id="44" idx="0"/>
        </xdr:cNvCxnSpPr>
      </xdr:nvCxnSpPr>
      <xdr:spPr>
        <a:xfrm rot="5400000">
          <a:off x="3733800" y="13068300"/>
          <a:ext cx="4533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54" customWidth="1"/>
    <col min="61" max="16384" width="2.77734375" style="154"/>
  </cols>
  <sheetData>
    <row r="1" spans="1:63" ht="24.95" customHeight="1" x14ac:dyDescent="0.25">
      <c r="A1" s="148" t="s">
        <v>56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57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51" t="s">
        <v>58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1" t="s">
        <v>64</v>
      </c>
      <c r="B2" s="155"/>
      <c r="C2" s="155"/>
      <c r="D2" s="155"/>
      <c r="E2" s="155"/>
      <c r="F2" s="155"/>
      <c r="G2" s="155"/>
      <c r="H2" s="155"/>
      <c r="I2" s="155"/>
      <c r="J2" s="156"/>
      <c r="K2" s="157" t="s">
        <v>1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157" t="str">
        <f>改訂履歴!$H$11</f>
        <v>DuNT</v>
      </c>
      <c r="AQ2" s="155"/>
      <c r="AR2" s="155"/>
      <c r="AS2" s="156"/>
      <c r="AT2" s="161" t="str">
        <f>改訂履歴!$B$11</f>
        <v>20245/02/25</v>
      </c>
      <c r="AU2" s="162"/>
      <c r="AV2" s="162"/>
      <c r="AW2" s="162"/>
      <c r="AX2" s="163"/>
      <c r="AY2" s="157" t="str">
        <f>LOOKUP(2,1/(改訂履歴!H11:H30000&lt;&gt;""),改訂履歴!H11:H30000)</f>
        <v>LoiLV</v>
      </c>
      <c r="AZ2" s="155"/>
      <c r="BA2" s="155"/>
      <c r="BB2" s="156"/>
      <c r="BC2" s="161">
        <f>LOOKUP(2,1/(改訂履歴!B11:B30000&lt;&gt;""),改訂履歴!B11:B30000)</f>
        <v>45727</v>
      </c>
      <c r="BD2" s="162"/>
      <c r="BE2" s="162"/>
      <c r="BF2" s="162"/>
      <c r="BG2" s="163"/>
      <c r="BH2" s="164">
        <f>LOOKUP(2,1/(改訂履歴!O11:O30000&lt;&gt;""),改訂履歴!O11:O30000)</f>
        <v>0.11</v>
      </c>
      <c r="BI2" s="165"/>
      <c r="BJ2" s="165"/>
      <c r="BK2" s="166"/>
    </row>
    <row r="3" spans="1:63" ht="15" customHeight="1" x14ac:dyDescent="0.25">
      <c r="A3" s="167"/>
      <c r="B3" s="168"/>
      <c r="C3" s="168"/>
      <c r="D3" s="168"/>
      <c r="E3" s="168"/>
      <c r="F3" s="168"/>
      <c r="G3" s="168"/>
      <c r="H3" s="168"/>
      <c r="I3" s="168"/>
      <c r="J3" s="169"/>
      <c r="K3" s="167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9"/>
      <c r="W3" s="170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2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76"/>
      <c r="BI3" s="177"/>
      <c r="BJ3" s="177"/>
      <c r="BK3" s="178"/>
    </row>
    <row r="4" spans="1:63" ht="24.95" customHeight="1" x14ac:dyDescent="0.25">
      <c r="A4" s="148" t="s">
        <v>65</v>
      </c>
      <c r="B4" s="149"/>
      <c r="C4" s="149"/>
      <c r="D4" s="149"/>
      <c r="E4" s="149"/>
      <c r="F4" s="149"/>
      <c r="G4" s="150"/>
      <c r="H4" s="179" t="s">
        <v>55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  <c r="U4" s="148" t="s">
        <v>66</v>
      </c>
      <c r="V4" s="149"/>
      <c r="W4" s="149"/>
      <c r="X4" s="149"/>
      <c r="Y4" s="150"/>
      <c r="Z4" s="49" t="s">
        <v>67</v>
      </c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1"/>
      <c r="AP4" s="179" t="str">
        <f t="array" aca="1" ref="AP4" ca="1">RIGHT(CELL("filename",$A$1),LEN(CELL("filename",$A$1))-FIND("]",CELL("filename",$A$1)))</f>
        <v>表紙</v>
      </c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1"/>
    </row>
    <row r="5" spans="1:63" ht="5.0999999999999996" customHeight="1" x14ac:dyDescent="0.25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4"/>
    </row>
    <row r="6" spans="1:63" ht="15" customHeight="1" x14ac:dyDescent="0.25">
      <c r="A6" s="185"/>
      <c r="BK6" s="186"/>
    </row>
    <row r="7" spans="1:63" ht="15" customHeight="1" x14ac:dyDescent="0.25">
      <c r="A7" s="185"/>
      <c r="BK7" s="186"/>
    </row>
    <row r="8" spans="1:63" ht="15" customHeight="1" x14ac:dyDescent="0.25">
      <c r="A8" s="185"/>
      <c r="BK8" s="186"/>
    </row>
    <row r="9" spans="1:63" ht="15" customHeight="1" x14ac:dyDescent="0.25">
      <c r="A9" s="185"/>
      <c r="BK9" s="186"/>
    </row>
    <row r="10" spans="1:63" ht="15" customHeight="1" x14ac:dyDescent="0.25">
      <c r="A10" s="185"/>
      <c r="BK10" s="186"/>
    </row>
    <row r="11" spans="1:63" ht="15" customHeight="1" x14ac:dyDescent="0.25">
      <c r="A11" s="185"/>
      <c r="BK11" s="186"/>
    </row>
    <row r="12" spans="1:63" ht="15" customHeight="1" x14ac:dyDescent="0.25">
      <c r="A12" s="185"/>
      <c r="BK12" s="186"/>
    </row>
    <row r="13" spans="1:63" ht="15" customHeight="1" x14ac:dyDescent="0.25">
      <c r="A13" s="185"/>
      <c r="BK13" s="186"/>
    </row>
    <row r="14" spans="1:63" ht="15" customHeight="1" thickBot="1" x14ac:dyDescent="0.3">
      <c r="A14" s="185"/>
      <c r="BK14" s="186"/>
    </row>
    <row r="15" spans="1:63" ht="15" customHeight="1" thickTop="1" x14ac:dyDescent="0.25">
      <c r="A15" s="185"/>
      <c r="K15" s="187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9"/>
      <c r="BK15" s="186"/>
    </row>
    <row r="16" spans="1:63" ht="15" customHeight="1" x14ac:dyDescent="0.25">
      <c r="A16" s="185"/>
      <c r="K16" s="190"/>
      <c r="L16" s="191" t="s">
        <v>68</v>
      </c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3"/>
      <c r="BK16" s="186"/>
    </row>
    <row r="17" spans="1:63" ht="15" customHeight="1" x14ac:dyDescent="0.25">
      <c r="A17" s="185"/>
      <c r="K17" s="190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3"/>
      <c r="BK17" s="186"/>
    </row>
    <row r="18" spans="1:63" ht="15" customHeight="1" x14ac:dyDescent="0.25">
      <c r="A18" s="185"/>
      <c r="K18" s="190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3"/>
      <c r="BK18" s="186"/>
    </row>
    <row r="19" spans="1:63" ht="15" customHeight="1" x14ac:dyDescent="0.25">
      <c r="A19" s="185"/>
      <c r="K19" s="190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3"/>
      <c r="BK19" s="186"/>
    </row>
    <row r="20" spans="1:63" ht="15" customHeight="1" x14ac:dyDescent="0.25">
      <c r="A20" s="185"/>
      <c r="K20" s="190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3"/>
      <c r="BK20" s="186"/>
    </row>
    <row r="21" spans="1:63" ht="15" customHeight="1" x14ac:dyDescent="0.25">
      <c r="A21" s="185"/>
      <c r="K21" s="190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3"/>
      <c r="BK21" s="186"/>
    </row>
    <row r="22" spans="1:63" ht="15" customHeight="1" thickBot="1" x14ac:dyDescent="0.3">
      <c r="A22" s="185"/>
      <c r="K22" s="190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194"/>
      <c r="AW22" s="194"/>
      <c r="AX22" s="194"/>
      <c r="AY22" s="194"/>
      <c r="AZ22" s="194"/>
      <c r="BA22" s="193"/>
      <c r="BK22" s="186"/>
    </row>
    <row r="23" spans="1:63" ht="15" customHeight="1" x14ac:dyDescent="0.25">
      <c r="A23" s="185"/>
      <c r="K23" s="190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195"/>
      <c r="AQ23" s="195"/>
      <c r="AR23" s="195"/>
      <c r="AS23" s="195"/>
      <c r="AT23" s="195"/>
      <c r="AU23" s="195"/>
      <c r="AV23" s="195"/>
      <c r="AW23" s="195"/>
      <c r="AX23" s="195"/>
      <c r="AY23" s="195"/>
      <c r="AZ23" s="195"/>
      <c r="BA23" s="193"/>
      <c r="BK23" s="186"/>
    </row>
    <row r="24" spans="1:63" ht="15" customHeight="1" x14ac:dyDescent="0.25">
      <c r="A24" s="185"/>
      <c r="K24" s="190"/>
      <c r="L24" s="192" t="str">
        <f>K2&amp;"/"&amp;H4&amp;"/"&amp;Z4</f>
        <v>POSサーバー/AP1511/API設計書</v>
      </c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3"/>
      <c r="BK24" s="186"/>
    </row>
    <row r="25" spans="1:63" ht="15" customHeight="1" x14ac:dyDescent="0.25">
      <c r="A25" s="185"/>
      <c r="K25" s="190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3"/>
      <c r="BK25" s="186"/>
    </row>
    <row r="26" spans="1:63" ht="15" customHeight="1" x14ac:dyDescent="0.25">
      <c r="A26" s="185"/>
      <c r="K26" s="190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3"/>
      <c r="BK26" s="186"/>
    </row>
    <row r="27" spans="1:63" ht="15" customHeight="1" x14ac:dyDescent="0.25">
      <c r="A27" s="185"/>
      <c r="K27" s="190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3"/>
      <c r="BK27" s="186"/>
    </row>
    <row r="28" spans="1:63" ht="15" customHeight="1" x14ac:dyDescent="0.25">
      <c r="A28" s="185"/>
      <c r="K28" s="190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3"/>
      <c r="BK28" s="186"/>
    </row>
    <row r="29" spans="1:63" ht="15" customHeight="1" x14ac:dyDescent="0.25">
      <c r="A29" s="185"/>
      <c r="K29" s="190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3"/>
      <c r="BK29" s="186"/>
    </row>
    <row r="30" spans="1:63" ht="15" customHeight="1" x14ac:dyDescent="0.25">
      <c r="A30" s="185"/>
      <c r="K30" s="190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3"/>
      <c r="BK30" s="186"/>
    </row>
    <row r="31" spans="1:63" ht="15" customHeight="1" x14ac:dyDescent="0.25">
      <c r="A31" s="185"/>
      <c r="K31" s="190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3"/>
      <c r="BK31" s="186"/>
    </row>
    <row r="32" spans="1:63" ht="15" customHeight="1" x14ac:dyDescent="0.25">
      <c r="A32" s="185"/>
      <c r="K32" s="190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3"/>
      <c r="BK32" s="186"/>
    </row>
    <row r="33" spans="1:63" ht="15" customHeight="1" x14ac:dyDescent="0.25">
      <c r="A33" s="185"/>
      <c r="K33" s="190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3"/>
      <c r="BK33" s="186"/>
    </row>
    <row r="34" spans="1:63" ht="15" customHeight="1" x14ac:dyDescent="0.25">
      <c r="A34" s="185"/>
      <c r="K34" s="190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3"/>
      <c r="BK34" s="186"/>
    </row>
    <row r="35" spans="1:63" ht="15" customHeight="1" x14ac:dyDescent="0.25">
      <c r="A35" s="185"/>
      <c r="K35" s="190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3"/>
      <c r="BK35" s="186"/>
    </row>
    <row r="36" spans="1:63" ht="15" customHeight="1" x14ac:dyDescent="0.25">
      <c r="A36" s="185"/>
      <c r="K36" s="190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3"/>
      <c r="BK36" s="186"/>
    </row>
    <row r="37" spans="1:63" ht="15" customHeight="1" thickBot="1" x14ac:dyDescent="0.3">
      <c r="A37" s="185"/>
      <c r="K37" s="196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  <c r="AS37" s="197"/>
      <c r="AT37" s="197"/>
      <c r="AU37" s="197"/>
      <c r="AV37" s="197"/>
      <c r="AW37" s="197"/>
      <c r="AX37" s="197"/>
      <c r="AY37" s="197"/>
      <c r="AZ37" s="197"/>
      <c r="BA37" s="198"/>
      <c r="BK37" s="186"/>
    </row>
    <row r="38" spans="1:63" ht="15" customHeight="1" thickTop="1" x14ac:dyDescent="0.25">
      <c r="A38" s="185"/>
      <c r="BK38" s="186"/>
    </row>
    <row r="39" spans="1:63" ht="15" customHeight="1" x14ac:dyDescent="0.25">
      <c r="A39" s="185"/>
      <c r="BK39" s="186"/>
    </row>
    <row r="40" spans="1:63" ht="15" customHeight="1" x14ac:dyDescent="0.25">
      <c r="A40" s="185"/>
      <c r="BK40" s="186"/>
    </row>
    <row r="41" spans="1:63" ht="15" customHeight="1" x14ac:dyDescent="0.25">
      <c r="A41" s="185"/>
      <c r="BK41" s="186"/>
    </row>
    <row r="42" spans="1:63" ht="15" customHeight="1" x14ac:dyDescent="0.25">
      <c r="A42" s="185"/>
      <c r="BK42" s="186"/>
    </row>
    <row r="43" spans="1:63" ht="15" customHeight="1" x14ac:dyDescent="0.25">
      <c r="A43" s="185"/>
      <c r="BK43" s="186"/>
    </row>
    <row r="44" spans="1:63" ht="15" customHeight="1" x14ac:dyDescent="0.25">
      <c r="A44" s="185"/>
      <c r="Q44" s="199" t="s">
        <v>69</v>
      </c>
      <c r="R44" s="200"/>
      <c r="S44" s="200"/>
      <c r="T44" s="200"/>
      <c r="U44" s="200"/>
      <c r="V44" s="200"/>
      <c r="W44" s="200"/>
      <c r="X44" s="200"/>
      <c r="Y44" s="200"/>
      <c r="Z44" s="201"/>
      <c r="AA44" s="199" t="s">
        <v>70</v>
      </c>
      <c r="AB44" s="200"/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1"/>
      <c r="AQ44" s="199" t="s">
        <v>63</v>
      </c>
      <c r="AR44" s="200"/>
      <c r="AS44" s="200"/>
      <c r="AT44" s="200"/>
      <c r="AU44" s="201"/>
      <c r="BK44" s="186"/>
    </row>
    <row r="45" spans="1:63" ht="15" customHeight="1" x14ac:dyDescent="0.25">
      <c r="A45" s="185"/>
      <c r="Q45" s="202"/>
      <c r="R45" s="203"/>
      <c r="S45" s="203"/>
      <c r="T45" s="203"/>
      <c r="U45" s="203"/>
      <c r="V45" s="203"/>
      <c r="W45" s="203"/>
      <c r="X45" s="203"/>
      <c r="Y45" s="203"/>
      <c r="Z45" s="204"/>
      <c r="AA45" s="202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4"/>
      <c r="AQ45" s="202"/>
      <c r="AR45" s="203"/>
      <c r="AS45" s="203"/>
      <c r="AT45" s="203"/>
      <c r="AU45" s="204"/>
      <c r="BK45" s="186"/>
    </row>
    <row r="46" spans="1:63" ht="15" customHeight="1" x14ac:dyDescent="0.25">
      <c r="A46" s="185"/>
      <c r="Q46" s="157"/>
      <c r="R46" s="155"/>
      <c r="S46" s="155"/>
      <c r="T46" s="155"/>
      <c r="U46" s="155"/>
      <c r="V46" s="155"/>
      <c r="W46" s="155"/>
      <c r="X46" s="155"/>
      <c r="Y46" s="155"/>
      <c r="Z46" s="156"/>
      <c r="AA46" s="157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6"/>
      <c r="AQ46" s="157"/>
      <c r="AR46" s="155"/>
      <c r="AS46" s="155"/>
      <c r="AT46" s="155"/>
      <c r="AU46" s="156"/>
      <c r="BK46" s="186"/>
    </row>
    <row r="47" spans="1:63" ht="15" customHeight="1" x14ac:dyDescent="0.25">
      <c r="A47" s="185"/>
      <c r="Q47" s="205"/>
      <c r="R47" s="206"/>
      <c r="S47" s="206"/>
      <c r="T47" s="206"/>
      <c r="U47" s="206"/>
      <c r="V47" s="206"/>
      <c r="W47" s="206"/>
      <c r="X47" s="206"/>
      <c r="Y47" s="206"/>
      <c r="Z47" s="207"/>
      <c r="AA47" s="205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6"/>
      <c r="AP47" s="207"/>
      <c r="AQ47" s="205"/>
      <c r="AR47" s="206"/>
      <c r="AS47" s="206"/>
      <c r="AT47" s="206"/>
      <c r="AU47" s="207"/>
      <c r="BK47" s="186"/>
    </row>
    <row r="48" spans="1:63" ht="15" customHeight="1" x14ac:dyDescent="0.25">
      <c r="A48" s="185"/>
      <c r="Q48" s="205"/>
      <c r="R48" s="206"/>
      <c r="S48" s="206"/>
      <c r="T48" s="206"/>
      <c r="U48" s="206"/>
      <c r="V48" s="206"/>
      <c r="W48" s="206"/>
      <c r="X48" s="206"/>
      <c r="Y48" s="206"/>
      <c r="Z48" s="207"/>
      <c r="AA48" s="205"/>
      <c r="AB48" s="206"/>
      <c r="AC48" s="206"/>
      <c r="AD48" s="206"/>
      <c r="AE48" s="206"/>
      <c r="AF48" s="206"/>
      <c r="AG48" s="206"/>
      <c r="AH48" s="206"/>
      <c r="AI48" s="206"/>
      <c r="AJ48" s="206"/>
      <c r="AK48" s="206"/>
      <c r="AL48" s="206"/>
      <c r="AM48" s="206"/>
      <c r="AN48" s="206"/>
      <c r="AO48" s="206"/>
      <c r="AP48" s="207"/>
      <c r="AQ48" s="205"/>
      <c r="AR48" s="206"/>
      <c r="AS48" s="206"/>
      <c r="AT48" s="206"/>
      <c r="AU48" s="207"/>
      <c r="BK48" s="186"/>
    </row>
    <row r="49" spans="1:63" ht="15" customHeight="1" x14ac:dyDescent="0.25">
      <c r="A49" s="185"/>
      <c r="Q49" s="167"/>
      <c r="R49" s="168"/>
      <c r="S49" s="168"/>
      <c r="T49" s="168"/>
      <c r="U49" s="168"/>
      <c r="V49" s="168"/>
      <c r="W49" s="168"/>
      <c r="X49" s="168"/>
      <c r="Y49" s="168"/>
      <c r="Z49" s="169"/>
      <c r="AA49" s="167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9"/>
      <c r="AQ49" s="167"/>
      <c r="AR49" s="168"/>
      <c r="AS49" s="168"/>
      <c r="AT49" s="168"/>
      <c r="AU49" s="169"/>
      <c r="BK49" s="186"/>
    </row>
    <row r="50" spans="1:63" ht="15" customHeight="1" x14ac:dyDescent="0.25">
      <c r="A50" s="185"/>
      <c r="BK50" s="186"/>
    </row>
    <row r="51" spans="1:63" ht="15" customHeight="1" x14ac:dyDescent="0.25">
      <c r="A51" s="185"/>
      <c r="BK51" s="186"/>
    </row>
    <row r="52" spans="1:63" ht="15" customHeight="1" x14ac:dyDescent="0.25">
      <c r="A52" s="185"/>
      <c r="BK52" s="186"/>
    </row>
    <row r="53" spans="1:63" ht="15" customHeight="1" x14ac:dyDescent="0.25">
      <c r="A53" s="185"/>
      <c r="BK53" s="186"/>
    </row>
    <row r="54" spans="1:63" ht="15" customHeight="1" x14ac:dyDescent="0.25">
      <c r="A54" s="185"/>
      <c r="BK54" s="186"/>
    </row>
    <row r="55" spans="1:63" ht="15" customHeight="1" x14ac:dyDescent="0.25">
      <c r="A55" s="18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4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54" customWidth="1"/>
    <col min="61" max="16384" width="2.77734375" style="154"/>
  </cols>
  <sheetData>
    <row r="1" spans="1:63" ht="24.95" customHeight="1" x14ac:dyDescent="0.25">
      <c r="A1" s="148" t="s">
        <v>56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57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208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157" t="str">
        <f>IF(表紙!A2="","",表紙!A2)</f>
        <v>POSサーバー</v>
      </c>
      <c r="B2" s="155"/>
      <c r="C2" s="155"/>
      <c r="D2" s="155"/>
      <c r="E2" s="155"/>
      <c r="F2" s="155"/>
      <c r="G2" s="155"/>
      <c r="H2" s="155"/>
      <c r="I2" s="155"/>
      <c r="J2" s="156"/>
      <c r="K2" s="157" t="str">
        <f>IF(表紙!K2="","",表紙!K2)</f>
        <v>POSサーバー</v>
      </c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6"/>
      <c r="W2" s="158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6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167"/>
      <c r="B3" s="168"/>
      <c r="C3" s="168"/>
      <c r="D3" s="168"/>
      <c r="E3" s="168"/>
      <c r="F3" s="168"/>
      <c r="G3" s="168"/>
      <c r="H3" s="168"/>
      <c r="I3" s="168"/>
      <c r="J3" s="169"/>
      <c r="K3" s="167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9"/>
      <c r="W3" s="170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2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148" t="s">
        <v>65</v>
      </c>
      <c r="B4" s="149"/>
      <c r="C4" s="149"/>
      <c r="D4" s="149"/>
      <c r="E4" s="149"/>
      <c r="F4" s="149"/>
      <c r="G4" s="150"/>
      <c r="H4" s="179" t="str">
        <f>IF(表紙!H4="","",表紙!H4)</f>
        <v>AP1511</v>
      </c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1"/>
      <c r="U4" s="148" t="s">
        <v>66</v>
      </c>
      <c r="V4" s="149"/>
      <c r="W4" s="149"/>
      <c r="X4" s="149"/>
      <c r="Y4" s="150"/>
      <c r="Z4" s="179" t="str">
        <f>IF(表紙!Z4="","",表紙!Z4)</f>
        <v>API設計書</v>
      </c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1"/>
      <c r="AP4" s="179" t="str">
        <f t="array" aca="1" ref="AP4" ca="1">RIGHT(CELL("filename",$A$1),LEN(CELL("filename",$A$1))-FIND("]",CELL("filename",$A$1)))</f>
        <v>改訂履歴</v>
      </c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1"/>
    </row>
    <row r="5" spans="1:63" ht="5.0999999999999996" customHeight="1" x14ac:dyDescent="0.25">
      <c r="A5" s="182"/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4"/>
    </row>
    <row r="6" spans="1:63" ht="15" customHeight="1" x14ac:dyDescent="0.25">
      <c r="A6" s="185"/>
      <c r="BK6" s="186"/>
    </row>
    <row r="7" spans="1:63" ht="15" customHeight="1" x14ac:dyDescent="0.25">
      <c r="A7" s="185"/>
      <c r="BK7" s="186"/>
    </row>
    <row r="8" spans="1:63" ht="15" customHeight="1" x14ac:dyDescent="0.25">
      <c r="A8" s="185"/>
      <c r="B8" s="154" t="s">
        <v>0</v>
      </c>
      <c r="BK8" s="186"/>
    </row>
    <row r="9" spans="1:63" ht="15" customHeight="1" x14ac:dyDescent="0.25">
      <c r="A9" s="185"/>
      <c r="BK9" s="186"/>
    </row>
    <row r="10" spans="1:63" ht="15" customHeight="1" x14ac:dyDescent="0.25">
      <c r="A10" s="185"/>
      <c r="B10" s="209" t="s">
        <v>62</v>
      </c>
      <c r="C10" s="209"/>
      <c r="D10" s="209"/>
      <c r="E10" s="209"/>
      <c r="F10" s="209"/>
      <c r="G10" s="209"/>
      <c r="H10" s="209" t="s">
        <v>61</v>
      </c>
      <c r="I10" s="209"/>
      <c r="J10" s="209"/>
      <c r="K10" s="209"/>
      <c r="L10" s="209"/>
      <c r="M10" s="209"/>
      <c r="N10" s="209"/>
      <c r="O10" s="209" t="s">
        <v>63</v>
      </c>
      <c r="P10" s="209"/>
      <c r="Q10" s="209"/>
      <c r="R10" s="209"/>
      <c r="S10" s="209" t="s">
        <v>71</v>
      </c>
      <c r="T10" s="209"/>
      <c r="U10" s="209"/>
      <c r="V10" s="209"/>
      <c r="W10" s="209"/>
      <c r="X10" s="209"/>
      <c r="Y10" s="209"/>
      <c r="Z10" s="209"/>
      <c r="AA10" s="209"/>
      <c r="AB10" s="209"/>
      <c r="AC10" s="209"/>
      <c r="AD10" s="209"/>
      <c r="AE10" s="209"/>
      <c r="AF10" s="209"/>
      <c r="AG10" s="209"/>
      <c r="AH10" s="209"/>
      <c r="AI10" s="209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09"/>
      <c r="AX10" s="209" t="s">
        <v>69</v>
      </c>
      <c r="AY10" s="209"/>
      <c r="AZ10" s="209"/>
      <c r="BA10" s="209"/>
      <c r="BB10" s="209"/>
      <c r="BC10" s="209"/>
      <c r="BD10" s="209" t="s">
        <v>70</v>
      </c>
      <c r="BE10" s="209"/>
      <c r="BF10" s="209"/>
      <c r="BG10" s="209"/>
      <c r="BH10" s="209"/>
      <c r="BI10" s="209"/>
      <c r="BJ10" s="209"/>
      <c r="BK10" s="186"/>
    </row>
    <row r="11" spans="1:63" ht="15" customHeight="1" x14ac:dyDescent="0.25">
      <c r="A11" s="185"/>
      <c r="B11" s="161" t="s">
        <v>52</v>
      </c>
      <c r="C11" s="155"/>
      <c r="D11" s="155"/>
      <c r="E11" s="155"/>
      <c r="F11" s="155"/>
      <c r="G11" s="156"/>
      <c r="H11" s="1" t="s">
        <v>72</v>
      </c>
      <c r="I11" s="155"/>
      <c r="J11" s="155"/>
      <c r="K11" s="155"/>
      <c r="L11" s="155"/>
      <c r="M11" s="155"/>
      <c r="N11" s="156"/>
      <c r="O11" s="157">
        <v>0.1</v>
      </c>
      <c r="P11" s="155"/>
      <c r="Q11" s="155"/>
      <c r="R11" s="155"/>
      <c r="S11" s="210" t="s">
        <v>2</v>
      </c>
      <c r="T11" s="211"/>
      <c r="U11" s="211"/>
      <c r="V11" s="211"/>
      <c r="W11" s="211"/>
      <c r="X11" s="211"/>
      <c r="Y11" s="211"/>
      <c r="Z11" s="211"/>
      <c r="AA11" s="211"/>
      <c r="AB11" s="211"/>
      <c r="AC11" s="211"/>
      <c r="AD11" s="211"/>
      <c r="AE11" s="211"/>
      <c r="AF11" s="211"/>
      <c r="AG11" s="211"/>
      <c r="AH11" s="211"/>
      <c r="AI11" s="211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1"/>
      <c r="AU11" s="211"/>
      <c r="AV11" s="211"/>
      <c r="AW11" s="212"/>
      <c r="AX11" s="213"/>
      <c r="AY11" s="213"/>
      <c r="AZ11" s="213"/>
      <c r="BA11" s="213"/>
      <c r="BB11" s="213"/>
      <c r="BC11" s="214"/>
      <c r="BD11" s="215"/>
      <c r="BE11" s="213"/>
      <c r="BF11" s="213"/>
      <c r="BG11" s="213"/>
      <c r="BH11" s="213"/>
      <c r="BI11" s="213"/>
      <c r="BJ11" s="214"/>
      <c r="BK11" s="186"/>
    </row>
    <row r="12" spans="1:63" ht="15" customHeight="1" x14ac:dyDescent="0.25">
      <c r="A12" s="185"/>
      <c r="B12" s="167"/>
      <c r="C12" s="168"/>
      <c r="D12" s="168"/>
      <c r="E12" s="168"/>
      <c r="F12" s="168"/>
      <c r="G12" s="169"/>
      <c r="H12" s="167"/>
      <c r="I12" s="168"/>
      <c r="J12" s="168"/>
      <c r="K12" s="168"/>
      <c r="L12" s="168"/>
      <c r="M12" s="168"/>
      <c r="N12" s="169"/>
      <c r="O12" s="167"/>
      <c r="P12" s="168"/>
      <c r="Q12" s="168"/>
      <c r="R12" s="168"/>
      <c r="S12" s="216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7"/>
      <c r="AQ12" s="217"/>
      <c r="AR12" s="217"/>
      <c r="AS12" s="217"/>
      <c r="AT12" s="217"/>
      <c r="AU12" s="217"/>
      <c r="AV12" s="217"/>
      <c r="AW12" s="218"/>
      <c r="AX12" s="219"/>
      <c r="AY12" s="219"/>
      <c r="AZ12" s="219"/>
      <c r="BA12" s="219"/>
      <c r="BB12" s="219"/>
      <c r="BC12" s="220"/>
      <c r="BD12" s="221"/>
      <c r="BE12" s="219"/>
      <c r="BF12" s="219"/>
      <c r="BG12" s="219"/>
      <c r="BH12" s="219"/>
      <c r="BI12" s="219"/>
      <c r="BJ12" s="220"/>
      <c r="BK12" s="186"/>
    </row>
    <row r="13" spans="1:63" ht="15" customHeight="1" x14ac:dyDescent="0.25">
      <c r="A13" s="185"/>
      <c r="B13" s="50">
        <v>45727</v>
      </c>
      <c r="C13" s="51"/>
      <c r="D13" s="51"/>
      <c r="E13" s="51"/>
      <c r="F13" s="51"/>
      <c r="G13" s="52"/>
      <c r="H13" s="56" t="s">
        <v>73</v>
      </c>
      <c r="I13" s="51"/>
      <c r="J13" s="51"/>
      <c r="K13" s="51"/>
      <c r="L13" s="51"/>
      <c r="M13" s="51"/>
      <c r="N13" s="52"/>
      <c r="O13" s="56">
        <v>0.11</v>
      </c>
      <c r="P13" s="51"/>
      <c r="Q13" s="51"/>
      <c r="R13" s="51"/>
      <c r="S13" s="57" t="s">
        <v>74</v>
      </c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9"/>
      <c r="AX13" s="213"/>
      <c r="AY13" s="213"/>
      <c r="AZ13" s="213"/>
      <c r="BA13" s="213"/>
      <c r="BB13" s="213"/>
      <c r="BC13" s="214"/>
      <c r="BD13" s="215"/>
      <c r="BE13" s="213"/>
      <c r="BF13" s="213"/>
      <c r="BG13" s="213"/>
      <c r="BH13" s="213"/>
      <c r="BI13" s="213"/>
      <c r="BJ13" s="214"/>
      <c r="BK13" s="186"/>
    </row>
    <row r="14" spans="1:63" ht="15" customHeight="1" x14ac:dyDescent="0.25">
      <c r="A14" s="185"/>
      <c r="B14" s="53"/>
      <c r="C14" s="54"/>
      <c r="D14" s="54"/>
      <c r="E14" s="54"/>
      <c r="F14" s="54"/>
      <c r="G14" s="55"/>
      <c r="H14" s="53"/>
      <c r="I14" s="54"/>
      <c r="J14" s="54"/>
      <c r="K14" s="54"/>
      <c r="L14" s="54"/>
      <c r="M14" s="54"/>
      <c r="N14" s="55"/>
      <c r="O14" s="53"/>
      <c r="P14" s="54"/>
      <c r="Q14" s="54"/>
      <c r="R14" s="54"/>
      <c r="S14" s="60" t="s">
        <v>75</v>
      </c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2"/>
      <c r="AX14" s="219"/>
      <c r="AY14" s="219"/>
      <c r="AZ14" s="219"/>
      <c r="BA14" s="219"/>
      <c r="BB14" s="219"/>
      <c r="BC14" s="220"/>
      <c r="BD14" s="221"/>
      <c r="BE14" s="219"/>
      <c r="BF14" s="219"/>
      <c r="BG14" s="219"/>
      <c r="BH14" s="219"/>
      <c r="BI14" s="219"/>
      <c r="BJ14" s="220"/>
      <c r="BK14" s="186"/>
    </row>
    <row r="15" spans="1:63" ht="15" customHeight="1" x14ac:dyDescent="0.25">
      <c r="A15" s="185"/>
      <c r="B15" s="161"/>
      <c r="C15" s="155"/>
      <c r="D15" s="155"/>
      <c r="E15" s="155"/>
      <c r="F15" s="155"/>
      <c r="G15" s="156"/>
      <c r="H15" s="157"/>
      <c r="I15" s="155"/>
      <c r="J15" s="155"/>
      <c r="K15" s="155"/>
      <c r="L15" s="155"/>
      <c r="M15" s="155"/>
      <c r="N15" s="156"/>
      <c r="O15" s="157"/>
      <c r="P15" s="155"/>
      <c r="Q15" s="155"/>
      <c r="R15" s="155"/>
      <c r="S15" s="210"/>
      <c r="T15" s="211"/>
      <c r="U15" s="211"/>
      <c r="V15" s="211"/>
      <c r="W15" s="211"/>
      <c r="X15" s="211"/>
      <c r="Y15" s="211"/>
      <c r="Z15" s="211"/>
      <c r="AA15" s="211"/>
      <c r="AB15" s="211"/>
      <c r="AC15" s="211"/>
      <c r="AD15" s="211"/>
      <c r="AE15" s="211"/>
      <c r="AF15" s="211"/>
      <c r="AG15" s="211"/>
      <c r="AH15" s="211"/>
      <c r="AI15" s="211"/>
      <c r="AJ15" s="211"/>
      <c r="AK15" s="211"/>
      <c r="AL15" s="211"/>
      <c r="AM15" s="211"/>
      <c r="AN15" s="211"/>
      <c r="AO15" s="211"/>
      <c r="AP15" s="211"/>
      <c r="AQ15" s="211"/>
      <c r="AR15" s="211"/>
      <c r="AS15" s="211"/>
      <c r="AT15" s="211"/>
      <c r="AU15" s="211"/>
      <c r="AV15" s="211"/>
      <c r="AW15" s="212"/>
      <c r="AX15" s="213"/>
      <c r="AY15" s="213"/>
      <c r="AZ15" s="213"/>
      <c r="BA15" s="213"/>
      <c r="BB15" s="213"/>
      <c r="BC15" s="214"/>
      <c r="BD15" s="215"/>
      <c r="BE15" s="213"/>
      <c r="BF15" s="213"/>
      <c r="BG15" s="213"/>
      <c r="BH15" s="213"/>
      <c r="BI15" s="213"/>
      <c r="BJ15" s="214"/>
      <c r="BK15" s="186"/>
    </row>
    <row r="16" spans="1:63" ht="15" customHeight="1" x14ac:dyDescent="0.25">
      <c r="A16" s="185"/>
      <c r="B16" s="167"/>
      <c r="C16" s="168"/>
      <c r="D16" s="168"/>
      <c r="E16" s="168"/>
      <c r="F16" s="168"/>
      <c r="G16" s="169"/>
      <c r="H16" s="167"/>
      <c r="I16" s="168"/>
      <c r="J16" s="168"/>
      <c r="K16" s="168"/>
      <c r="L16" s="168"/>
      <c r="M16" s="168"/>
      <c r="N16" s="169"/>
      <c r="O16" s="167"/>
      <c r="P16" s="168"/>
      <c r="Q16" s="168"/>
      <c r="R16" s="168"/>
      <c r="S16" s="216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7"/>
      <c r="AK16" s="217"/>
      <c r="AL16" s="217"/>
      <c r="AM16" s="217"/>
      <c r="AN16" s="217"/>
      <c r="AO16" s="217"/>
      <c r="AP16" s="217"/>
      <c r="AQ16" s="217"/>
      <c r="AR16" s="217"/>
      <c r="AS16" s="217"/>
      <c r="AT16" s="217"/>
      <c r="AU16" s="217"/>
      <c r="AV16" s="217"/>
      <c r="AW16" s="218"/>
      <c r="AX16" s="219"/>
      <c r="AY16" s="219"/>
      <c r="AZ16" s="219"/>
      <c r="BA16" s="219"/>
      <c r="BB16" s="219"/>
      <c r="BC16" s="220"/>
      <c r="BD16" s="221"/>
      <c r="BE16" s="219"/>
      <c r="BF16" s="219"/>
      <c r="BG16" s="219"/>
      <c r="BH16" s="219"/>
      <c r="BI16" s="219"/>
      <c r="BJ16" s="220"/>
      <c r="BK16" s="186"/>
    </row>
    <row r="17" spans="1:63" ht="15" customHeight="1" x14ac:dyDescent="0.25">
      <c r="A17" s="185"/>
      <c r="B17" s="161"/>
      <c r="C17" s="155"/>
      <c r="D17" s="155"/>
      <c r="E17" s="155"/>
      <c r="F17" s="155"/>
      <c r="G17" s="156"/>
      <c r="H17" s="157"/>
      <c r="I17" s="155"/>
      <c r="J17" s="155"/>
      <c r="K17" s="155"/>
      <c r="L17" s="155"/>
      <c r="M17" s="155"/>
      <c r="N17" s="156"/>
      <c r="O17" s="157"/>
      <c r="P17" s="155"/>
      <c r="Q17" s="155"/>
      <c r="R17" s="155"/>
      <c r="S17" s="210"/>
      <c r="T17" s="211"/>
      <c r="U17" s="211"/>
      <c r="V17" s="211"/>
      <c r="W17" s="211"/>
      <c r="X17" s="211"/>
      <c r="Y17" s="211"/>
      <c r="Z17" s="211"/>
      <c r="AA17" s="211"/>
      <c r="AB17" s="211"/>
      <c r="AC17" s="211"/>
      <c r="AD17" s="211"/>
      <c r="AE17" s="211"/>
      <c r="AF17" s="211"/>
      <c r="AG17" s="211"/>
      <c r="AH17" s="211"/>
      <c r="AI17" s="211"/>
      <c r="AJ17" s="211"/>
      <c r="AK17" s="211"/>
      <c r="AL17" s="211"/>
      <c r="AM17" s="211"/>
      <c r="AN17" s="211"/>
      <c r="AO17" s="211"/>
      <c r="AP17" s="211"/>
      <c r="AQ17" s="211"/>
      <c r="AR17" s="211"/>
      <c r="AS17" s="211"/>
      <c r="AT17" s="211"/>
      <c r="AU17" s="211"/>
      <c r="AV17" s="211"/>
      <c r="AW17" s="212"/>
      <c r="AX17" s="213"/>
      <c r="AY17" s="213"/>
      <c r="AZ17" s="213"/>
      <c r="BA17" s="213"/>
      <c r="BB17" s="213"/>
      <c r="BC17" s="214"/>
      <c r="BD17" s="215"/>
      <c r="BE17" s="213"/>
      <c r="BF17" s="213"/>
      <c r="BG17" s="213"/>
      <c r="BH17" s="213"/>
      <c r="BI17" s="213"/>
      <c r="BJ17" s="214"/>
      <c r="BK17" s="186"/>
    </row>
    <row r="18" spans="1:63" ht="15" customHeight="1" x14ac:dyDescent="0.25">
      <c r="A18" s="185"/>
      <c r="B18" s="167"/>
      <c r="C18" s="168"/>
      <c r="D18" s="168"/>
      <c r="E18" s="168"/>
      <c r="F18" s="168"/>
      <c r="G18" s="169"/>
      <c r="H18" s="167"/>
      <c r="I18" s="168"/>
      <c r="J18" s="168"/>
      <c r="K18" s="168"/>
      <c r="L18" s="168"/>
      <c r="M18" s="168"/>
      <c r="N18" s="169"/>
      <c r="O18" s="167"/>
      <c r="P18" s="168"/>
      <c r="Q18" s="168"/>
      <c r="R18" s="168"/>
      <c r="S18" s="216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7"/>
      <c r="AK18" s="217"/>
      <c r="AL18" s="217"/>
      <c r="AM18" s="217"/>
      <c r="AN18" s="217"/>
      <c r="AO18" s="217"/>
      <c r="AP18" s="217"/>
      <c r="AQ18" s="217"/>
      <c r="AR18" s="217"/>
      <c r="AS18" s="217"/>
      <c r="AT18" s="217"/>
      <c r="AU18" s="217"/>
      <c r="AV18" s="217"/>
      <c r="AW18" s="218"/>
      <c r="AX18" s="219"/>
      <c r="AY18" s="219"/>
      <c r="AZ18" s="219"/>
      <c r="BA18" s="219"/>
      <c r="BB18" s="219"/>
      <c r="BC18" s="220"/>
      <c r="BD18" s="221"/>
      <c r="BE18" s="219"/>
      <c r="BF18" s="219"/>
      <c r="BG18" s="219"/>
      <c r="BH18" s="219"/>
      <c r="BI18" s="219"/>
      <c r="BJ18" s="220"/>
      <c r="BK18" s="186"/>
    </row>
    <row r="19" spans="1:63" ht="15" customHeight="1" x14ac:dyDescent="0.25">
      <c r="A19" s="185"/>
      <c r="B19" s="161"/>
      <c r="C19" s="155"/>
      <c r="D19" s="155"/>
      <c r="E19" s="155"/>
      <c r="F19" s="155"/>
      <c r="G19" s="156"/>
      <c r="H19" s="157"/>
      <c r="I19" s="155"/>
      <c r="J19" s="155"/>
      <c r="K19" s="155"/>
      <c r="L19" s="155"/>
      <c r="M19" s="155"/>
      <c r="N19" s="156"/>
      <c r="O19" s="157"/>
      <c r="P19" s="155"/>
      <c r="Q19" s="155"/>
      <c r="R19" s="155"/>
      <c r="S19" s="210"/>
      <c r="T19" s="211"/>
      <c r="U19" s="211"/>
      <c r="V19" s="211"/>
      <c r="W19" s="211"/>
      <c r="X19" s="211"/>
      <c r="Y19" s="211"/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1"/>
      <c r="AU19" s="211"/>
      <c r="AV19" s="211"/>
      <c r="AW19" s="212"/>
      <c r="AX19" s="213"/>
      <c r="AY19" s="213"/>
      <c r="AZ19" s="213"/>
      <c r="BA19" s="213"/>
      <c r="BB19" s="213"/>
      <c r="BC19" s="214"/>
      <c r="BD19" s="215"/>
      <c r="BE19" s="213"/>
      <c r="BF19" s="213"/>
      <c r="BG19" s="213"/>
      <c r="BH19" s="213"/>
      <c r="BI19" s="213"/>
      <c r="BJ19" s="214"/>
      <c r="BK19" s="186"/>
    </row>
    <row r="20" spans="1:63" ht="15" customHeight="1" x14ac:dyDescent="0.25">
      <c r="A20" s="185"/>
      <c r="B20" s="167"/>
      <c r="C20" s="168"/>
      <c r="D20" s="168"/>
      <c r="E20" s="168"/>
      <c r="F20" s="168"/>
      <c r="G20" s="169"/>
      <c r="H20" s="167"/>
      <c r="I20" s="168"/>
      <c r="J20" s="168"/>
      <c r="K20" s="168"/>
      <c r="L20" s="168"/>
      <c r="M20" s="168"/>
      <c r="N20" s="169"/>
      <c r="O20" s="167"/>
      <c r="P20" s="168"/>
      <c r="Q20" s="168"/>
      <c r="R20" s="168"/>
      <c r="S20" s="216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7"/>
      <c r="AK20" s="217"/>
      <c r="AL20" s="217"/>
      <c r="AM20" s="217"/>
      <c r="AN20" s="217"/>
      <c r="AO20" s="217"/>
      <c r="AP20" s="217"/>
      <c r="AQ20" s="217"/>
      <c r="AR20" s="217"/>
      <c r="AS20" s="217"/>
      <c r="AT20" s="217"/>
      <c r="AU20" s="217"/>
      <c r="AV20" s="217"/>
      <c r="AW20" s="218"/>
      <c r="AX20" s="219"/>
      <c r="AY20" s="219"/>
      <c r="AZ20" s="219"/>
      <c r="BA20" s="219"/>
      <c r="BB20" s="219"/>
      <c r="BC20" s="220"/>
      <c r="BD20" s="221"/>
      <c r="BE20" s="219"/>
      <c r="BF20" s="219"/>
      <c r="BG20" s="219"/>
      <c r="BH20" s="219"/>
      <c r="BI20" s="219"/>
      <c r="BJ20" s="220"/>
      <c r="BK20" s="186"/>
    </row>
    <row r="21" spans="1:63" ht="15" customHeight="1" x14ac:dyDescent="0.25">
      <c r="A21" s="185"/>
      <c r="B21" s="63"/>
      <c r="C21" s="64"/>
      <c r="D21" s="64"/>
      <c r="E21" s="64"/>
      <c r="F21" s="64"/>
      <c r="G21" s="65"/>
      <c r="H21" s="69"/>
      <c r="I21" s="64"/>
      <c r="J21" s="64"/>
      <c r="K21" s="64"/>
      <c r="L21" s="64"/>
      <c r="M21" s="64"/>
      <c r="N21" s="65"/>
      <c r="O21" s="69"/>
      <c r="P21" s="64"/>
      <c r="Q21" s="64"/>
      <c r="R21" s="64"/>
      <c r="S21" s="70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2"/>
      <c r="AX21" s="213"/>
      <c r="AY21" s="213"/>
      <c r="AZ21" s="213"/>
      <c r="BA21" s="213"/>
      <c r="BB21" s="213"/>
      <c r="BC21" s="214"/>
      <c r="BD21" s="215"/>
      <c r="BE21" s="213"/>
      <c r="BF21" s="213"/>
      <c r="BG21" s="213"/>
      <c r="BH21" s="213"/>
      <c r="BI21" s="213"/>
      <c r="BJ21" s="214"/>
      <c r="BK21" s="186"/>
    </row>
    <row r="22" spans="1:63" ht="15" customHeight="1" x14ac:dyDescent="0.25">
      <c r="A22" s="185"/>
      <c r="B22" s="66"/>
      <c r="C22" s="67"/>
      <c r="D22" s="67"/>
      <c r="E22" s="67"/>
      <c r="F22" s="67"/>
      <c r="G22" s="68"/>
      <c r="H22" s="66"/>
      <c r="I22" s="67"/>
      <c r="J22" s="67"/>
      <c r="K22" s="67"/>
      <c r="L22" s="67"/>
      <c r="M22" s="67"/>
      <c r="N22" s="68"/>
      <c r="O22" s="66"/>
      <c r="P22" s="67"/>
      <c r="Q22" s="67"/>
      <c r="R22" s="67"/>
      <c r="S22" s="73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5"/>
      <c r="AX22" s="219"/>
      <c r="AY22" s="219"/>
      <c r="AZ22" s="219"/>
      <c r="BA22" s="219"/>
      <c r="BB22" s="219"/>
      <c r="BC22" s="220"/>
      <c r="BD22" s="221"/>
      <c r="BE22" s="219"/>
      <c r="BF22" s="219"/>
      <c r="BG22" s="219"/>
      <c r="BH22" s="219"/>
      <c r="BI22" s="219"/>
      <c r="BJ22" s="220"/>
      <c r="BK22" s="186"/>
    </row>
    <row r="23" spans="1:63" ht="15" customHeight="1" x14ac:dyDescent="0.25">
      <c r="A23" s="185"/>
      <c r="B23" s="157"/>
      <c r="C23" s="155"/>
      <c r="D23" s="155"/>
      <c r="E23" s="155"/>
      <c r="F23" s="155"/>
      <c r="G23" s="156"/>
      <c r="H23" s="157"/>
      <c r="I23" s="155"/>
      <c r="J23" s="155"/>
      <c r="K23" s="155"/>
      <c r="L23" s="155"/>
      <c r="M23" s="155"/>
      <c r="N23" s="156"/>
      <c r="O23" s="157"/>
      <c r="P23" s="155"/>
      <c r="Q23" s="155"/>
      <c r="R23" s="155"/>
      <c r="S23" s="210"/>
      <c r="T23" s="211"/>
      <c r="U23" s="211"/>
      <c r="V23" s="211"/>
      <c r="W23" s="211"/>
      <c r="X23" s="211"/>
      <c r="Y23" s="211"/>
      <c r="Z23" s="211"/>
      <c r="AA23" s="211"/>
      <c r="AB23" s="211"/>
      <c r="AC23" s="211"/>
      <c r="AD23" s="211"/>
      <c r="AE23" s="211"/>
      <c r="AF23" s="211"/>
      <c r="AG23" s="211"/>
      <c r="AH23" s="211"/>
      <c r="AI23" s="211"/>
      <c r="AJ23" s="211"/>
      <c r="AK23" s="211"/>
      <c r="AL23" s="211"/>
      <c r="AM23" s="211"/>
      <c r="AN23" s="211"/>
      <c r="AO23" s="211"/>
      <c r="AP23" s="211"/>
      <c r="AQ23" s="211"/>
      <c r="AR23" s="211"/>
      <c r="AS23" s="211"/>
      <c r="AT23" s="211"/>
      <c r="AU23" s="211"/>
      <c r="AV23" s="211"/>
      <c r="AW23" s="212"/>
      <c r="AX23" s="213"/>
      <c r="AY23" s="213"/>
      <c r="AZ23" s="213"/>
      <c r="BA23" s="213"/>
      <c r="BB23" s="213"/>
      <c r="BC23" s="214"/>
      <c r="BD23" s="215"/>
      <c r="BE23" s="213"/>
      <c r="BF23" s="213"/>
      <c r="BG23" s="213"/>
      <c r="BH23" s="213"/>
      <c r="BI23" s="213"/>
      <c r="BJ23" s="214"/>
      <c r="BK23" s="186"/>
    </row>
    <row r="24" spans="1:63" ht="15" customHeight="1" x14ac:dyDescent="0.25">
      <c r="A24" s="185"/>
      <c r="B24" s="167"/>
      <c r="C24" s="168"/>
      <c r="D24" s="168"/>
      <c r="E24" s="168"/>
      <c r="F24" s="168"/>
      <c r="G24" s="169"/>
      <c r="H24" s="167"/>
      <c r="I24" s="168"/>
      <c r="J24" s="168"/>
      <c r="K24" s="168"/>
      <c r="L24" s="168"/>
      <c r="M24" s="168"/>
      <c r="N24" s="169"/>
      <c r="O24" s="167"/>
      <c r="P24" s="168"/>
      <c r="Q24" s="168"/>
      <c r="R24" s="168"/>
      <c r="S24" s="216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8"/>
      <c r="AX24" s="219"/>
      <c r="AY24" s="219"/>
      <c r="AZ24" s="219"/>
      <c r="BA24" s="219"/>
      <c r="BB24" s="219"/>
      <c r="BC24" s="220"/>
      <c r="BD24" s="221"/>
      <c r="BE24" s="219"/>
      <c r="BF24" s="219"/>
      <c r="BG24" s="219"/>
      <c r="BH24" s="219"/>
      <c r="BI24" s="219"/>
      <c r="BJ24" s="220"/>
      <c r="BK24" s="186"/>
    </row>
    <row r="25" spans="1:63" ht="15" customHeight="1" x14ac:dyDescent="0.25">
      <c r="A25" s="185"/>
      <c r="B25" s="157"/>
      <c r="C25" s="155"/>
      <c r="D25" s="155"/>
      <c r="E25" s="155"/>
      <c r="F25" s="155"/>
      <c r="G25" s="156"/>
      <c r="H25" s="157"/>
      <c r="I25" s="155"/>
      <c r="J25" s="155"/>
      <c r="K25" s="155"/>
      <c r="L25" s="155"/>
      <c r="M25" s="155"/>
      <c r="N25" s="156"/>
      <c r="O25" s="157"/>
      <c r="P25" s="155"/>
      <c r="Q25" s="155"/>
      <c r="R25" s="155"/>
      <c r="S25" s="210"/>
      <c r="T25" s="211"/>
      <c r="U25" s="211"/>
      <c r="V25" s="211"/>
      <c r="W25" s="211"/>
      <c r="X25" s="211"/>
      <c r="Y25" s="211"/>
      <c r="Z25" s="211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1"/>
      <c r="AQ25" s="211"/>
      <c r="AR25" s="211"/>
      <c r="AS25" s="211"/>
      <c r="AT25" s="211"/>
      <c r="AU25" s="211"/>
      <c r="AV25" s="211"/>
      <c r="AW25" s="212"/>
      <c r="AX25" s="213"/>
      <c r="AY25" s="213"/>
      <c r="AZ25" s="213"/>
      <c r="BA25" s="213"/>
      <c r="BB25" s="213"/>
      <c r="BC25" s="214"/>
      <c r="BD25" s="215"/>
      <c r="BE25" s="213"/>
      <c r="BF25" s="213"/>
      <c r="BG25" s="213"/>
      <c r="BH25" s="213"/>
      <c r="BI25" s="213"/>
      <c r="BJ25" s="214"/>
      <c r="BK25" s="186"/>
    </row>
    <row r="26" spans="1:63" ht="15" customHeight="1" x14ac:dyDescent="0.25">
      <c r="A26" s="185"/>
      <c r="B26" s="167"/>
      <c r="C26" s="168"/>
      <c r="D26" s="168"/>
      <c r="E26" s="168"/>
      <c r="F26" s="168"/>
      <c r="G26" s="169"/>
      <c r="H26" s="167"/>
      <c r="I26" s="168"/>
      <c r="J26" s="168"/>
      <c r="K26" s="168"/>
      <c r="L26" s="168"/>
      <c r="M26" s="168"/>
      <c r="N26" s="169"/>
      <c r="O26" s="167"/>
      <c r="P26" s="168"/>
      <c r="Q26" s="168"/>
      <c r="R26" s="168"/>
      <c r="S26" s="216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7"/>
      <c r="AK26" s="217"/>
      <c r="AL26" s="217"/>
      <c r="AM26" s="217"/>
      <c r="AN26" s="217"/>
      <c r="AO26" s="217"/>
      <c r="AP26" s="217"/>
      <c r="AQ26" s="217"/>
      <c r="AR26" s="217"/>
      <c r="AS26" s="217"/>
      <c r="AT26" s="217"/>
      <c r="AU26" s="217"/>
      <c r="AV26" s="217"/>
      <c r="AW26" s="218"/>
      <c r="AX26" s="219"/>
      <c r="AY26" s="219"/>
      <c r="AZ26" s="219"/>
      <c r="BA26" s="219"/>
      <c r="BB26" s="219"/>
      <c r="BC26" s="220"/>
      <c r="BD26" s="221"/>
      <c r="BE26" s="219"/>
      <c r="BF26" s="219"/>
      <c r="BG26" s="219"/>
      <c r="BH26" s="219"/>
      <c r="BI26" s="219"/>
      <c r="BJ26" s="220"/>
      <c r="BK26" s="186"/>
    </row>
    <row r="27" spans="1:63" ht="15" customHeight="1" x14ac:dyDescent="0.25">
      <c r="A27" s="185"/>
      <c r="B27" s="157"/>
      <c r="C27" s="155"/>
      <c r="D27" s="155"/>
      <c r="E27" s="155"/>
      <c r="F27" s="155"/>
      <c r="G27" s="156"/>
      <c r="H27" s="157"/>
      <c r="I27" s="155"/>
      <c r="J27" s="155"/>
      <c r="K27" s="155"/>
      <c r="L27" s="155"/>
      <c r="M27" s="155"/>
      <c r="N27" s="156"/>
      <c r="O27" s="157"/>
      <c r="P27" s="155"/>
      <c r="Q27" s="155"/>
      <c r="R27" s="155"/>
      <c r="S27" s="210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2"/>
      <c r="AX27" s="213"/>
      <c r="AY27" s="213"/>
      <c r="AZ27" s="213"/>
      <c r="BA27" s="213"/>
      <c r="BB27" s="213"/>
      <c r="BC27" s="214"/>
      <c r="BD27" s="215"/>
      <c r="BE27" s="213"/>
      <c r="BF27" s="213"/>
      <c r="BG27" s="213"/>
      <c r="BH27" s="213"/>
      <c r="BI27" s="213"/>
      <c r="BJ27" s="214"/>
      <c r="BK27" s="186"/>
    </row>
    <row r="28" spans="1:63" ht="15" customHeight="1" x14ac:dyDescent="0.25">
      <c r="A28" s="185"/>
      <c r="B28" s="167"/>
      <c r="C28" s="168"/>
      <c r="D28" s="168"/>
      <c r="E28" s="168"/>
      <c r="F28" s="168"/>
      <c r="G28" s="169"/>
      <c r="H28" s="167"/>
      <c r="I28" s="168"/>
      <c r="J28" s="168"/>
      <c r="K28" s="168"/>
      <c r="L28" s="168"/>
      <c r="M28" s="168"/>
      <c r="N28" s="169"/>
      <c r="O28" s="167"/>
      <c r="P28" s="168"/>
      <c r="Q28" s="168"/>
      <c r="R28" s="168"/>
      <c r="S28" s="216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7"/>
      <c r="AK28" s="217"/>
      <c r="AL28" s="217"/>
      <c r="AM28" s="217"/>
      <c r="AN28" s="217"/>
      <c r="AO28" s="217"/>
      <c r="AP28" s="217"/>
      <c r="AQ28" s="217"/>
      <c r="AR28" s="217"/>
      <c r="AS28" s="217"/>
      <c r="AT28" s="217"/>
      <c r="AU28" s="217"/>
      <c r="AV28" s="217"/>
      <c r="AW28" s="218"/>
      <c r="AX28" s="219"/>
      <c r="AY28" s="219"/>
      <c r="AZ28" s="219"/>
      <c r="BA28" s="219"/>
      <c r="BB28" s="219"/>
      <c r="BC28" s="220"/>
      <c r="BD28" s="221"/>
      <c r="BE28" s="219"/>
      <c r="BF28" s="219"/>
      <c r="BG28" s="219"/>
      <c r="BH28" s="219"/>
      <c r="BI28" s="219"/>
      <c r="BJ28" s="220"/>
      <c r="BK28" s="186"/>
    </row>
    <row r="29" spans="1:63" ht="15" customHeight="1" x14ac:dyDescent="0.25">
      <c r="A29" s="185"/>
      <c r="B29" s="157"/>
      <c r="C29" s="155"/>
      <c r="D29" s="155"/>
      <c r="E29" s="155"/>
      <c r="F29" s="155"/>
      <c r="G29" s="156"/>
      <c r="H29" s="157"/>
      <c r="I29" s="155"/>
      <c r="J29" s="155"/>
      <c r="K29" s="155"/>
      <c r="L29" s="155"/>
      <c r="M29" s="155"/>
      <c r="N29" s="156"/>
      <c r="O29" s="157"/>
      <c r="P29" s="155"/>
      <c r="Q29" s="155"/>
      <c r="R29" s="155"/>
      <c r="S29" s="210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2"/>
      <c r="AX29" s="213"/>
      <c r="AY29" s="213"/>
      <c r="AZ29" s="213"/>
      <c r="BA29" s="213"/>
      <c r="BB29" s="213"/>
      <c r="BC29" s="214"/>
      <c r="BD29" s="215"/>
      <c r="BE29" s="213"/>
      <c r="BF29" s="213"/>
      <c r="BG29" s="213"/>
      <c r="BH29" s="213"/>
      <c r="BI29" s="213"/>
      <c r="BJ29" s="214"/>
      <c r="BK29" s="186"/>
    </row>
    <row r="30" spans="1:63" ht="15" customHeight="1" x14ac:dyDescent="0.25">
      <c r="A30" s="185"/>
      <c r="B30" s="167"/>
      <c r="C30" s="168"/>
      <c r="D30" s="168"/>
      <c r="E30" s="168"/>
      <c r="F30" s="168"/>
      <c r="G30" s="169"/>
      <c r="H30" s="167"/>
      <c r="I30" s="168"/>
      <c r="J30" s="168"/>
      <c r="K30" s="168"/>
      <c r="L30" s="168"/>
      <c r="M30" s="168"/>
      <c r="N30" s="169"/>
      <c r="O30" s="167"/>
      <c r="P30" s="168"/>
      <c r="Q30" s="168"/>
      <c r="R30" s="168"/>
      <c r="S30" s="216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7"/>
      <c r="AK30" s="217"/>
      <c r="AL30" s="217"/>
      <c r="AM30" s="217"/>
      <c r="AN30" s="217"/>
      <c r="AO30" s="217"/>
      <c r="AP30" s="217"/>
      <c r="AQ30" s="217"/>
      <c r="AR30" s="217"/>
      <c r="AS30" s="217"/>
      <c r="AT30" s="217"/>
      <c r="AU30" s="217"/>
      <c r="AV30" s="217"/>
      <c r="AW30" s="218"/>
      <c r="AX30" s="219"/>
      <c r="AY30" s="219"/>
      <c r="AZ30" s="219"/>
      <c r="BA30" s="219"/>
      <c r="BB30" s="219"/>
      <c r="BC30" s="220"/>
      <c r="BD30" s="221"/>
      <c r="BE30" s="219"/>
      <c r="BF30" s="219"/>
      <c r="BG30" s="219"/>
      <c r="BH30" s="219"/>
      <c r="BI30" s="219"/>
      <c r="BJ30" s="220"/>
      <c r="BK30" s="186"/>
    </row>
    <row r="31" spans="1:63" ht="15" customHeight="1" x14ac:dyDescent="0.25">
      <c r="A31" s="185"/>
      <c r="B31" s="157"/>
      <c r="C31" s="155"/>
      <c r="D31" s="155"/>
      <c r="E31" s="155"/>
      <c r="F31" s="155"/>
      <c r="G31" s="156"/>
      <c r="H31" s="157"/>
      <c r="I31" s="155"/>
      <c r="J31" s="155"/>
      <c r="K31" s="155"/>
      <c r="L31" s="155"/>
      <c r="M31" s="155"/>
      <c r="N31" s="156"/>
      <c r="O31" s="157"/>
      <c r="P31" s="155"/>
      <c r="Q31" s="155"/>
      <c r="R31" s="155"/>
      <c r="S31" s="210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2"/>
      <c r="AX31" s="213"/>
      <c r="AY31" s="213"/>
      <c r="AZ31" s="213"/>
      <c r="BA31" s="213"/>
      <c r="BB31" s="213"/>
      <c r="BC31" s="214"/>
      <c r="BD31" s="215"/>
      <c r="BE31" s="213"/>
      <c r="BF31" s="213"/>
      <c r="BG31" s="213"/>
      <c r="BH31" s="213"/>
      <c r="BI31" s="213"/>
      <c r="BJ31" s="214"/>
      <c r="BK31" s="186"/>
    </row>
    <row r="32" spans="1:63" ht="15" customHeight="1" x14ac:dyDescent="0.25">
      <c r="A32" s="185"/>
      <c r="B32" s="167"/>
      <c r="C32" s="168"/>
      <c r="D32" s="168"/>
      <c r="E32" s="168"/>
      <c r="F32" s="168"/>
      <c r="G32" s="169"/>
      <c r="H32" s="167"/>
      <c r="I32" s="168"/>
      <c r="J32" s="168"/>
      <c r="K32" s="168"/>
      <c r="L32" s="168"/>
      <c r="M32" s="168"/>
      <c r="N32" s="169"/>
      <c r="O32" s="167"/>
      <c r="P32" s="168"/>
      <c r="Q32" s="168"/>
      <c r="R32" s="168"/>
      <c r="S32" s="216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7"/>
      <c r="AK32" s="217"/>
      <c r="AL32" s="217"/>
      <c r="AM32" s="217"/>
      <c r="AN32" s="217"/>
      <c r="AO32" s="217"/>
      <c r="AP32" s="217"/>
      <c r="AQ32" s="217"/>
      <c r="AR32" s="217"/>
      <c r="AS32" s="217"/>
      <c r="AT32" s="217"/>
      <c r="AU32" s="217"/>
      <c r="AV32" s="217"/>
      <c r="AW32" s="218"/>
      <c r="AX32" s="219"/>
      <c r="AY32" s="219"/>
      <c r="AZ32" s="219"/>
      <c r="BA32" s="219"/>
      <c r="BB32" s="219"/>
      <c r="BC32" s="220"/>
      <c r="BD32" s="221"/>
      <c r="BE32" s="219"/>
      <c r="BF32" s="219"/>
      <c r="BG32" s="219"/>
      <c r="BH32" s="219"/>
      <c r="BI32" s="219"/>
      <c r="BJ32" s="220"/>
      <c r="BK32" s="186"/>
    </row>
    <row r="33" spans="1:63" ht="15" customHeight="1" x14ac:dyDescent="0.25">
      <c r="A33" s="185"/>
      <c r="B33" s="157"/>
      <c r="C33" s="155"/>
      <c r="D33" s="155"/>
      <c r="E33" s="155"/>
      <c r="F33" s="155"/>
      <c r="G33" s="156"/>
      <c r="H33" s="157"/>
      <c r="I33" s="155"/>
      <c r="J33" s="155"/>
      <c r="K33" s="155"/>
      <c r="L33" s="155"/>
      <c r="M33" s="155"/>
      <c r="N33" s="156"/>
      <c r="O33" s="157"/>
      <c r="P33" s="155"/>
      <c r="Q33" s="155"/>
      <c r="R33" s="155"/>
      <c r="S33" s="210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2"/>
      <c r="AX33" s="213"/>
      <c r="AY33" s="213"/>
      <c r="AZ33" s="213"/>
      <c r="BA33" s="213"/>
      <c r="BB33" s="213"/>
      <c r="BC33" s="214"/>
      <c r="BD33" s="215"/>
      <c r="BE33" s="213"/>
      <c r="BF33" s="213"/>
      <c r="BG33" s="213"/>
      <c r="BH33" s="213"/>
      <c r="BI33" s="213"/>
      <c r="BJ33" s="214"/>
      <c r="BK33" s="186"/>
    </row>
    <row r="34" spans="1:63" ht="15" customHeight="1" x14ac:dyDescent="0.25">
      <c r="A34" s="185"/>
      <c r="B34" s="167"/>
      <c r="C34" s="168"/>
      <c r="D34" s="168"/>
      <c r="E34" s="168"/>
      <c r="F34" s="168"/>
      <c r="G34" s="169"/>
      <c r="H34" s="167"/>
      <c r="I34" s="168"/>
      <c r="J34" s="168"/>
      <c r="K34" s="168"/>
      <c r="L34" s="168"/>
      <c r="M34" s="168"/>
      <c r="N34" s="169"/>
      <c r="O34" s="167"/>
      <c r="P34" s="168"/>
      <c r="Q34" s="168"/>
      <c r="R34" s="168"/>
      <c r="S34" s="216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7"/>
      <c r="AK34" s="217"/>
      <c r="AL34" s="217"/>
      <c r="AM34" s="217"/>
      <c r="AN34" s="217"/>
      <c r="AO34" s="217"/>
      <c r="AP34" s="217"/>
      <c r="AQ34" s="217"/>
      <c r="AR34" s="217"/>
      <c r="AS34" s="217"/>
      <c r="AT34" s="217"/>
      <c r="AU34" s="217"/>
      <c r="AV34" s="217"/>
      <c r="AW34" s="218"/>
      <c r="AX34" s="219"/>
      <c r="AY34" s="219"/>
      <c r="AZ34" s="219"/>
      <c r="BA34" s="219"/>
      <c r="BB34" s="219"/>
      <c r="BC34" s="220"/>
      <c r="BD34" s="221"/>
      <c r="BE34" s="219"/>
      <c r="BF34" s="219"/>
      <c r="BG34" s="219"/>
      <c r="BH34" s="219"/>
      <c r="BI34" s="219"/>
      <c r="BJ34" s="220"/>
      <c r="BK34" s="186"/>
    </row>
    <row r="35" spans="1:63" ht="15" customHeight="1" x14ac:dyDescent="0.25">
      <c r="A35" s="185"/>
      <c r="B35" s="157"/>
      <c r="C35" s="155"/>
      <c r="D35" s="155"/>
      <c r="E35" s="155"/>
      <c r="F35" s="155"/>
      <c r="G35" s="156"/>
      <c r="H35" s="157"/>
      <c r="I35" s="155"/>
      <c r="J35" s="155"/>
      <c r="K35" s="155"/>
      <c r="L35" s="155"/>
      <c r="M35" s="155"/>
      <c r="N35" s="156"/>
      <c r="O35" s="157"/>
      <c r="P35" s="155"/>
      <c r="Q35" s="155"/>
      <c r="R35" s="155"/>
      <c r="S35" s="210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2"/>
      <c r="AX35" s="213"/>
      <c r="AY35" s="213"/>
      <c r="AZ35" s="213"/>
      <c r="BA35" s="213"/>
      <c r="BB35" s="213"/>
      <c r="BC35" s="214"/>
      <c r="BD35" s="215"/>
      <c r="BE35" s="213"/>
      <c r="BF35" s="213"/>
      <c r="BG35" s="213"/>
      <c r="BH35" s="213"/>
      <c r="BI35" s="213"/>
      <c r="BJ35" s="214"/>
      <c r="BK35" s="186"/>
    </row>
    <row r="36" spans="1:63" ht="15" customHeight="1" x14ac:dyDescent="0.25">
      <c r="A36" s="185"/>
      <c r="B36" s="167"/>
      <c r="C36" s="168"/>
      <c r="D36" s="168"/>
      <c r="E36" s="168"/>
      <c r="F36" s="168"/>
      <c r="G36" s="169"/>
      <c r="H36" s="167"/>
      <c r="I36" s="168"/>
      <c r="J36" s="168"/>
      <c r="K36" s="168"/>
      <c r="L36" s="168"/>
      <c r="M36" s="168"/>
      <c r="N36" s="169"/>
      <c r="O36" s="167"/>
      <c r="P36" s="168"/>
      <c r="Q36" s="168"/>
      <c r="R36" s="168"/>
      <c r="S36" s="216"/>
      <c r="T36" s="217"/>
      <c r="U36" s="217"/>
      <c r="V36" s="217"/>
      <c r="W36" s="217"/>
      <c r="X36" s="217"/>
      <c r="Y36" s="217"/>
      <c r="Z36" s="217"/>
      <c r="AA36" s="217"/>
      <c r="AB36" s="217"/>
      <c r="AC36" s="217"/>
      <c r="AD36" s="217"/>
      <c r="AE36" s="217"/>
      <c r="AF36" s="217"/>
      <c r="AG36" s="217"/>
      <c r="AH36" s="217"/>
      <c r="AI36" s="217"/>
      <c r="AJ36" s="217"/>
      <c r="AK36" s="217"/>
      <c r="AL36" s="217"/>
      <c r="AM36" s="217"/>
      <c r="AN36" s="217"/>
      <c r="AO36" s="217"/>
      <c r="AP36" s="217"/>
      <c r="AQ36" s="217"/>
      <c r="AR36" s="217"/>
      <c r="AS36" s="217"/>
      <c r="AT36" s="217"/>
      <c r="AU36" s="217"/>
      <c r="AV36" s="217"/>
      <c r="AW36" s="218"/>
      <c r="AX36" s="219"/>
      <c r="AY36" s="219"/>
      <c r="AZ36" s="219"/>
      <c r="BA36" s="219"/>
      <c r="BB36" s="219"/>
      <c r="BC36" s="220"/>
      <c r="BD36" s="221"/>
      <c r="BE36" s="219"/>
      <c r="BF36" s="219"/>
      <c r="BG36" s="219"/>
      <c r="BH36" s="219"/>
      <c r="BI36" s="219"/>
      <c r="BJ36" s="220"/>
      <c r="BK36" s="186"/>
    </row>
    <row r="37" spans="1:63" ht="15" customHeight="1" x14ac:dyDescent="0.25">
      <c r="A37" s="185"/>
      <c r="B37" s="157"/>
      <c r="C37" s="155"/>
      <c r="D37" s="155"/>
      <c r="E37" s="155"/>
      <c r="F37" s="155"/>
      <c r="G37" s="156"/>
      <c r="H37" s="157"/>
      <c r="I37" s="155"/>
      <c r="J37" s="155"/>
      <c r="K37" s="155"/>
      <c r="L37" s="155"/>
      <c r="M37" s="155"/>
      <c r="N37" s="156"/>
      <c r="O37" s="157"/>
      <c r="P37" s="155"/>
      <c r="Q37" s="155"/>
      <c r="R37" s="155"/>
      <c r="S37" s="210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2"/>
      <c r="AX37" s="213"/>
      <c r="AY37" s="213"/>
      <c r="AZ37" s="213"/>
      <c r="BA37" s="213"/>
      <c r="BB37" s="213"/>
      <c r="BC37" s="214"/>
      <c r="BD37" s="215"/>
      <c r="BE37" s="213"/>
      <c r="BF37" s="213"/>
      <c r="BG37" s="213"/>
      <c r="BH37" s="213"/>
      <c r="BI37" s="213"/>
      <c r="BJ37" s="214"/>
      <c r="BK37" s="186"/>
    </row>
    <row r="38" spans="1:63" ht="15" customHeight="1" x14ac:dyDescent="0.25">
      <c r="A38" s="185"/>
      <c r="B38" s="167"/>
      <c r="C38" s="168"/>
      <c r="D38" s="168"/>
      <c r="E38" s="168"/>
      <c r="F38" s="168"/>
      <c r="G38" s="169"/>
      <c r="H38" s="167"/>
      <c r="I38" s="168"/>
      <c r="J38" s="168"/>
      <c r="K38" s="168"/>
      <c r="L38" s="168"/>
      <c r="M38" s="168"/>
      <c r="N38" s="169"/>
      <c r="O38" s="167"/>
      <c r="P38" s="168"/>
      <c r="Q38" s="168"/>
      <c r="R38" s="168"/>
      <c r="S38" s="216"/>
      <c r="T38" s="217"/>
      <c r="U38" s="217"/>
      <c r="V38" s="217"/>
      <c r="W38" s="217"/>
      <c r="X38" s="217"/>
      <c r="Y38" s="217"/>
      <c r="Z38" s="217"/>
      <c r="AA38" s="217"/>
      <c r="AB38" s="217"/>
      <c r="AC38" s="217"/>
      <c r="AD38" s="217"/>
      <c r="AE38" s="217"/>
      <c r="AF38" s="217"/>
      <c r="AG38" s="217"/>
      <c r="AH38" s="217"/>
      <c r="AI38" s="217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217"/>
      <c r="AU38" s="217"/>
      <c r="AV38" s="217"/>
      <c r="AW38" s="218"/>
      <c r="AX38" s="219"/>
      <c r="AY38" s="219"/>
      <c r="AZ38" s="219"/>
      <c r="BA38" s="219"/>
      <c r="BB38" s="219"/>
      <c r="BC38" s="220"/>
      <c r="BD38" s="221"/>
      <c r="BE38" s="219"/>
      <c r="BF38" s="219"/>
      <c r="BG38" s="219"/>
      <c r="BH38" s="219"/>
      <c r="BI38" s="219"/>
      <c r="BJ38" s="220"/>
      <c r="BK38" s="186"/>
    </row>
    <row r="39" spans="1:63" ht="15" customHeight="1" x14ac:dyDescent="0.25">
      <c r="A39" s="185"/>
      <c r="B39" s="157"/>
      <c r="C39" s="155"/>
      <c r="D39" s="155"/>
      <c r="E39" s="155"/>
      <c r="F39" s="155"/>
      <c r="G39" s="156"/>
      <c r="H39" s="157"/>
      <c r="I39" s="155"/>
      <c r="J39" s="155"/>
      <c r="K39" s="155"/>
      <c r="L39" s="155"/>
      <c r="M39" s="155"/>
      <c r="N39" s="156"/>
      <c r="O39" s="157"/>
      <c r="P39" s="155"/>
      <c r="Q39" s="155"/>
      <c r="R39" s="155"/>
      <c r="S39" s="210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2"/>
      <c r="AX39" s="213"/>
      <c r="AY39" s="213"/>
      <c r="AZ39" s="213"/>
      <c r="BA39" s="213"/>
      <c r="BB39" s="213"/>
      <c r="BC39" s="214"/>
      <c r="BD39" s="215"/>
      <c r="BE39" s="213"/>
      <c r="BF39" s="213"/>
      <c r="BG39" s="213"/>
      <c r="BH39" s="213"/>
      <c r="BI39" s="213"/>
      <c r="BJ39" s="214"/>
      <c r="BK39" s="186"/>
    </row>
    <row r="40" spans="1:63" ht="15" customHeight="1" x14ac:dyDescent="0.25">
      <c r="A40" s="185"/>
      <c r="B40" s="167"/>
      <c r="C40" s="168"/>
      <c r="D40" s="168"/>
      <c r="E40" s="168"/>
      <c r="F40" s="168"/>
      <c r="G40" s="169"/>
      <c r="H40" s="167"/>
      <c r="I40" s="168"/>
      <c r="J40" s="168"/>
      <c r="K40" s="168"/>
      <c r="L40" s="168"/>
      <c r="M40" s="168"/>
      <c r="N40" s="169"/>
      <c r="O40" s="167"/>
      <c r="P40" s="168"/>
      <c r="Q40" s="168"/>
      <c r="R40" s="168"/>
      <c r="S40" s="216"/>
      <c r="T40" s="217"/>
      <c r="U40" s="217"/>
      <c r="V40" s="217"/>
      <c r="W40" s="217"/>
      <c r="X40" s="217"/>
      <c r="Y40" s="217"/>
      <c r="Z40" s="217"/>
      <c r="AA40" s="217"/>
      <c r="AB40" s="217"/>
      <c r="AC40" s="217"/>
      <c r="AD40" s="217"/>
      <c r="AE40" s="217"/>
      <c r="AF40" s="217"/>
      <c r="AG40" s="217"/>
      <c r="AH40" s="217"/>
      <c r="AI40" s="217"/>
      <c r="AJ40" s="217"/>
      <c r="AK40" s="217"/>
      <c r="AL40" s="217"/>
      <c r="AM40" s="217"/>
      <c r="AN40" s="217"/>
      <c r="AO40" s="217"/>
      <c r="AP40" s="217"/>
      <c r="AQ40" s="217"/>
      <c r="AR40" s="217"/>
      <c r="AS40" s="217"/>
      <c r="AT40" s="217"/>
      <c r="AU40" s="217"/>
      <c r="AV40" s="217"/>
      <c r="AW40" s="218"/>
      <c r="AX40" s="219"/>
      <c r="AY40" s="219"/>
      <c r="AZ40" s="219"/>
      <c r="BA40" s="219"/>
      <c r="BB40" s="219"/>
      <c r="BC40" s="220"/>
      <c r="BD40" s="221"/>
      <c r="BE40" s="219"/>
      <c r="BF40" s="219"/>
      <c r="BG40" s="219"/>
      <c r="BH40" s="219"/>
      <c r="BI40" s="219"/>
      <c r="BJ40" s="220"/>
      <c r="BK40" s="186"/>
    </row>
    <row r="41" spans="1:63" ht="15" customHeight="1" x14ac:dyDescent="0.25">
      <c r="A41" s="185"/>
      <c r="B41" s="157"/>
      <c r="C41" s="155"/>
      <c r="D41" s="155"/>
      <c r="E41" s="155"/>
      <c r="F41" s="155"/>
      <c r="G41" s="156"/>
      <c r="H41" s="157"/>
      <c r="I41" s="155"/>
      <c r="J41" s="155"/>
      <c r="K41" s="155"/>
      <c r="L41" s="155"/>
      <c r="M41" s="155"/>
      <c r="N41" s="156"/>
      <c r="O41" s="157"/>
      <c r="P41" s="155"/>
      <c r="Q41" s="155"/>
      <c r="R41" s="155"/>
      <c r="S41" s="210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2"/>
      <c r="AX41" s="213"/>
      <c r="AY41" s="213"/>
      <c r="AZ41" s="213"/>
      <c r="BA41" s="213"/>
      <c r="BB41" s="213"/>
      <c r="BC41" s="214"/>
      <c r="BD41" s="215"/>
      <c r="BE41" s="213"/>
      <c r="BF41" s="213"/>
      <c r="BG41" s="213"/>
      <c r="BH41" s="213"/>
      <c r="BI41" s="213"/>
      <c r="BJ41" s="214"/>
      <c r="BK41" s="186"/>
    </row>
    <row r="42" spans="1:63" ht="15" customHeight="1" x14ac:dyDescent="0.25">
      <c r="A42" s="185"/>
      <c r="B42" s="167"/>
      <c r="C42" s="168"/>
      <c r="D42" s="168"/>
      <c r="E42" s="168"/>
      <c r="F42" s="168"/>
      <c r="G42" s="169"/>
      <c r="H42" s="167"/>
      <c r="I42" s="168"/>
      <c r="J42" s="168"/>
      <c r="K42" s="168"/>
      <c r="L42" s="168"/>
      <c r="M42" s="168"/>
      <c r="N42" s="169"/>
      <c r="O42" s="167"/>
      <c r="P42" s="168"/>
      <c r="Q42" s="168"/>
      <c r="R42" s="168"/>
      <c r="S42" s="216"/>
      <c r="T42" s="217"/>
      <c r="U42" s="217"/>
      <c r="V42" s="217"/>
      <c r="W42" s="217"/>
      <c r="X42" s="217"/>
      <c r="Y42" s="217"/>
      <c r="Z42" s="217"/>
      <c r="AA42" s="217"/>
      <c r="AB42" s="217"/>
      <c r="AC42" s="217"/>
      <c r="AD42" s="217"/>
      <c r="AE42" s="217"/>
      <c r="AF42" s="217"/>
      <c r="AG42" s="217"/>
      <c r="AH42" s="217"/>
      <c r="AI42" s="217"/>
      <c r="AJ42" s="217"/>
      <c r="AK42" s="217"/>
      <c r="AL42" s="217"/>
      <c r="AM42" s="217"/>
      <c r="AN42" s="217"/>
      <c r="AO42" s="217"/>
      <c r="AP42" s="217"/>
      <c r="AQ42" s="217"/>
      <c r="AR42" s="217"/>
      <c r="AS42" s="217"/>
      <c r="AT42" s="217"/>
      <c r="AU42" s="217"/>
      <c r="AV42" s="217"/>
      <c r="AW42" s="218"/>
      <c r="AX42" s="219"/>
      <c r="AY42" s="219"/>
      <c r="AZ42" s="219"/>
      <c r="BA42" s="219"/>
      <c r="BB42" s="219"/>
      <c r="BC42" s="220"/>
      <c r="BD42" s="221"/>
      <c r="BE42" s="219"/>
      <c r="BF42" s="219"/>
      <c r="BG42" s="219"/>
      <c r="BH42" s="219"/>
      <c r="BI42" s="219"/>
      <c r="BJ42" s="220"/>
      <c r="BK42" s="186"/>
    </row>
    <row r="43" spans="1:63" ht="15" customHeight="1" x14ac:dyDescent="0.25">
      <c r="A43" s="185"/>
      <c r="B43" s="157"/>
      <c r="C43" s="155"/>
      <c r="D43" s="155"/>
      <c r="E43" s="155"/>
      <c r="F43" s="155"/>
      <c r="G43" s="156"/>
      <c r="H43" s="157"/>
      <c r="I43" s="155"/>
      <c r="J43" s="155"/>
      <c r="K43" s="155"/>
      <c r="L43" s="155"/>
      <c r="M43" s="155"/>
      <c r="N43" s="156"/>
      <c r="O43" s="157"/>
      <c r="P43" s="155"/>
      <c r="Q43" s="155"/>
      <c r="R43" s="155"/>
      <c r="S43" s="210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2"/>
      <c r="AX43" s="213"/>
      <c r="AY43" s="213"/>
      <c r="AZ43" s="213"/>
      <c r="BA43" s="213"/>
      <c r="BB43" s="213"/>
      <c r="BC43" s="214"/>
      <c r="BD43" s="215"/>
      <c r="BE43" s="213"/>
      <c r="BF43" s="213"/>
      <c r="BG43" s="213"/>
      <c r="BH43" s="213"/>
      <c r="BI43" s="213"/>
      <c r="BJ43" s="214"/>
      <c r="BK43" s="186"/>
    </row>
    <row r="44" spans="1:63" ht="15" customHeight="1" x14ac:dyDescent="0.25">
      <c r="A44" s="185"/>
      <c r="B44" s="167"/>
      <c r="C44" s="168"/>
      <c r="D44" s="168"/>
      <c r="E44" s="168"/>
      <c r="F44" s="168"/>
      <c r="G44" s="169"/>
      <c r="H44" s="167"/>
      <c r="I44" s="168"/>
      <c r="J44" s="168"/>
      <c r="K44" s="168"/>
      <c r="L44" s="168"/>
      <c r="M44" s="168"/>
      <c r="N44" s="169"/>
      <c r="O44" s="167"/>
      <c r="P44" s="168"/>
      <c r="Q44" s="168"/>
      <c r="R44" s="168"/>
      <c r="S44" s="216"/>
      <c r="T44" s="217"/>
      <c r="U44" s="217"/>
      <c r="V44" s="217"/>
      <c r="W44" s="217"/>
      <c r="X44" s="217"/>
      <c r="Y44" s="217"/>
      <c r="Z44" s="217"/>
      <c r="AA44" s="217"/>
      <c r="AB44" s="217"/>
      <c r="AC44" s="217"/>
      <c r="AD44" s="217"/>
      <c r="AE44" s="217"/>
      <c r="AF44" s="217"/>
      <c r="AG44" s="217"/>
      <c r="AH44" s="217"/>
      <c r="AI44" s="217"/>
      <c r="AJ44" s="217"/>
      <c r="AK44" s="217"/>
      <c r="AL44" s="217"/>
      <c r="AM44" s="217"/>
      <c r="AN44" s="217"/>
      <c r="AO44" s="217"/>
      <c r="AP44" s="217"/>
      <c r="AQ44" s="217"/>
      <c r="AR44" s="217"/>
      <c r="AS44" s="217"/>
      <c r="AT44" s="217"/>
      <c r="AU44" s="217"/>
      <c r="AV44" s="217"/>
      <c r="AW44" s="218"/>
      <c r="AX44" s="219"/>
      <c r="AY44" s="219"/>
      <c r="AZ44" s="219"/>
      <c r="BA44" s="219"/>
      <c r="BB44" s="219"/>
      <c r="BC44" s="220"/>
      <c r="BD44" s="221"/>
      <c r="BE44" s="219"/>
      <c r="BF44" s="219"/>
      <c r="BG44" s="219"/>
      <c r="BH44" s="219"/>
      <c r="BI44" s="219"/>
      <c r="BJ44" s="220"/>
      <c r="BK44" s="186"/>
    </row>
    <row r="45" spans="1:63" ht="15" customHeight="1" x14ac:dyDescent="0.25">
      <c r="A45" s="185"/>
      <c r="B45" s="157"/>
      <c r="C45" s="155"/>
      <c r="D45" s="155"/>
      <c r="E45" s="155"/>
      <c r="F45" s="155"/>
      <c r="G45" s="156"/>
      <c r="H45" s="157"/>
      <c r="I45" s="155"/>
      <c r="J45" s="155"/>
      <c r="K45" s="155"/>
      <c r="L45" s="155"/>
      <c r="M45" s="155"/>
      <c r="N45" s="156"/>
      <c r="O45" s="157"/>
      <c r="P45" s="155"/>
      <c r="Q45" s="155"/>
      <c r="R45" s="155"/>
      <c r="S45" s="210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2"/>
      <c r="AX45" s="213"/>
      <c r="AY45" s="213"/>
      <c r="AZ45" s="213"/>
      <c r="BA45" s="213"/>
      <c r="BB45" s="213"/>
      <c r="BC45" s="214"/>
      <c r="BD45" s="215"/>
      <c r="BE45" s="213"/>
      <c r="BF45" s="213"/>
      <c r="BG45" s="213"/>
      <c r="BH45" s="213"/>
      <c r="BI45" s="213"/>
      <c r="BJ45" s="214"/>
      <c r="BK45" s="186"/>
    </row>
    <row r="46" spans="1:63" ht="15" customHeight="1" x14ac:dyDescent="0.25">
      <c r="A46" s="185"/>
      <c r="B46" s="167"/>
      <c r="C46" s="168"/>
      <c r="D46" s="168"/>
      <c r="E46" s="168"/>
      <c r="F46" s="168"/>
      <c r="G46" s="169"/>
      <c r="H46" s="167"/>
      <c r="I46" s="168"/>
      <c r="J46" s="168"/>
      <c r="K46" s="168"/>
      <c r="L46" s="168"/>
      <c r="M46" s="168"/>
      <c r="N46" s="169"/>
      <c r="O46" s="167"/>
      <c r="P46" s="168"/>
      <c r="Q46" s="168"/>
      <c r="R46" s="168"/>
      <c r="S46" s="216"/>
      <c r="T46" s="217"/>
      <c r="U46" s="217"/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7"/>
      <c r="AI46" s="217"/>
      <c r="AJ46" s="217"/>
      <c r="AK46" s="217"/>
      <c r="AL46" s="217"/>
      <c r="AM46" s="217"/>
      <c r="AN46" s="217"/>
      <c r="AO46" s="217"/>
      <c r="AP46" s="217"/>
      <c r="AQ46" s="217"/>
      <c r="AR46" s="217"/>
      <c r="AS46" s="217"/>
      <c r="AT46" s="217"/>
      <c r="AU46" s="217"/>
      <c r="AV46" s="217"/>
      <c r="AW46" s="218"/>
      <c r="AX46" s="219"/>
      <c r="AY46" s="219"/>
      <c r="AZ46" s="219"/>
      <c r="BA46" s="219"/>
      <c r="BB46" s="219"/>
      <c r="BC46" s="220"/>
      <c r="BD46" s="221"/>
      <c r="BE46" s="219"/>
      <c r="BF46" s="219"/>
      <c r="BG46" s="219"/>
      <c r="BH46" s="219"/>
      <c r="BI46" s="219"/>
      <c r="BJ46" s="220"/>
      <c r="BK46" s="186"/>
    </row>
    <row r="47" spans="1:63" ht="15" customHeight="1" x14ac:dyDescent="0.25">
      <c r="A47" s="185"/>
      <c r="B47" s="157"/>
      <c r="C47" s="155"/>
      <c r="D47" s="155"/>
      <c r="E47" s="155"/>
      <c r="F47" s="155"/>
      <c r="G47" s="156"/>
      <c r="H47" s="157"/>
      <c r="I47" s="155"/>
      <c r="J47" s="155"/>
      <c r="K47" s="155"/>
      <c r="L47" s="155"/>
      <c r="M47" s="155"/>
      <c r="N47" s="156"/>
      <c r="O47" s="157"/>
      <c r="P47" s="155"/>
      <c r="Q47" s="155"/>
      <c r="R47" s="155"/>
      <c r="S47" s="210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  <c r="AE47" s="211"/>
      <c r="AF47" s="211"/>
      <c r="AG47" s="211"/>
      <c r="AH47" s="21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1"/>
      <c r="AU47" s="211"/>
      <c r="AV47" s="211"/>
      <c r="AW47" s="212"/>
      <c r="AX47" s="213"/>
      <c r="AY47" s="213"/>
      <c r="AZ47" s="213"/>
      <c r="BA47" s="213"/>
      <c r="BB47" s="213"/>
      <c r="BC47" s="214"/>
      <c r="BD47" s="215"/>
      <c r="BE47" s="213"/>
      <c r="BF47" s="213"/>
      <c r="BG47" s="213"/>
      <c r="BH47" s="213"/>
      <c r="BI47" s="213"/>
      <c r="BJ47" s="214"/>
      <c r="BK47" s="186"/>
    </row>
    <row r="48" spans="1:63" ht="15" customHeight="1" x14ac:dyDescent="0.25">
      <c r="A48" s="185"/>
      <c r="B48" s="167"/>
      <c r="C48" s="168"/>
      <c r="D48" s="168"/>
      <c r="E48" s="168"/>
      <c r="F48" s="168"/>
      <c r="G48" s="169"/>
      <c r="H48" s="167"/>
      <c r="I48" s="168"/>
      <c r="J48" s="168"/>
      <c r="K48" s="168"/>
      <c r="L48" s="168"/>
      <c r="M48" s="168"/>
      <c r="N48" s="169"/>
      <c r="O48" s="167"/>
      <c r="P48" s="168"/>
      <c r="Q48" s="168"/>
      <c r="R48" s="168"/>
      <c r="S48" s="216"/>
      <c r="T48" s="217"/>
      <c r="U48" s="217"/>
      <c r="V48" s="217"/>
      <c r="W48" s="217"/>
      <c r="X48" s="217"/>
      <c r="Y48" s="217"/>
      <c r="Z48" s="217"/>
      <c r="AA48" s="217"/>
      <c r="AB48" s="217"/>
      <c r="AC48" s="217"/>
      <c r="AD48" s="217"/>
      <c r="AE48" s="217"/>
      <c r="AF48" s="217"/>
      <c r="AG48" s="217"/>
      <c r="AH48" s="217"/>
      <c r="AI48" s="217"/>
      <c r="AJ48" s="217"/>
      <c r="AK48" s="217"/>
      <c r="AL48" s="217"/>
      <c r="AM48" s="217"/>
      <c r="AN48" s="217"/>
      <c r="AO48" s="217"/>
      <c r="AP48" s="217"/>
      <c r="AQ48" s="217"/>
      <c r="AR48" s="217"/>
      <c r="AS48" s="217"/>
      <c r="AT48" s="217"/>
      <c r="AU48" s="217"/>
      <c r="AV48" s="217"/>
      <c r="AW48" s="218"/>
      <c r="AX48" s="219"/>
      <c r="AY48" s="219"/>
      <c r="AZ48" s="219"/>
      <c r="BA48" s="219"/>
      <c r="BB48" s="219"/>
      <c r="BC48" s="220"/>
      <c r="BD48" s="221"/>
      <c r="BE48" s="219"/>
      <c r="BF48" s="219"/>
      <c r="BG48" s="219"/>
      <c r="BH48" s="219"/>
      <c r="BI48" s="219"/>
      <c r="BJ48" s="220"/>
      <c r="BK48" s="186"/>
    </row>
    <row r="49" spans="1:63" ht="15" customHeight="1" x14ac:dyDescent="0.25">
      <c r="A49" s="185"/>
      <c r="B49" s="157"/>
      <c r="C49" s="155"/>
      <c r="D49" s="155"/>
      <c r="E49" s="155"/>
      <c r="F49" s="155"/>
      <c r="G49" s="156"/>
      <c r="H49" s="157"/>
      <c r="I49" s="155"/>
      <c r="J49" s="155"/>
      <c r="K49" s="155"/>
      <c r="L49" s="155"/>
      <c r="M49" s="155"/>
      <c r="N49" s="156"/>
      <c r="O49" s="157"/>
      <c r="P49" s="155"/>
      <c r="Q49" s="155"/>
      <c r="R49" s="155"/>
      <c r="S49" s="210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2"/>
      <c r="AX49" s="213"/>
      <c r="AY49" s="213"/>
      <c r="AZ49" s="213"/>
      <c r="BA49" s="213"/>
      <c r="BB49" s="213"/>
      <c r="BC49" s="214"/>
      <c r="BD49" s="215"/>
      <c r="BE49" s="213"/>
      <c r="BF49" s="213"/>
      <c r="BG49" s="213"/>
      <c r="BH49" s="213"/>
      <c r="BI49" s="213"/>
      <c r="BJ49" s="214"/>
      <c r="BK49" s="186"/>
    </row>
    <row r="50" spans="1:63" ht="15" customHeight="1" x14ac:dyDescent="0.25">
      <c r="A50" s="185"/>
      <c r="B50" s="167"/>
      <c r="C50" s="168"/>
      <c r="D50" s="168"/>
      <c r="E50" s="168"/>
      <c r="F50" s="168"/>
      <c r="G50" s="169"/>
      <c r="H50" s="167"/>
      <c r="I50" s="168"/>
      <c r="J50" s="168"/>
      <c r="K50" s="168"/>
      <c r="L50" s="168"/>
      <c r="M50" s="168"/>
      <c r="N50" s="169"/>
      <c r="O50" s="167"/>
      <c r="P50" s="168"/>
      <c r="Q50" s="168"/>
      <c r="R50" s="168"/>
      <c r="S50" s="216"/>
      <c r="T50" s="217"/>
      <c r="U50" s="217"/>
      <c r="V50" s="217"/>
      <c r="W50" s="217"/>
      <c r="X50" s="217"/>
      <c r="Y50" s="217"/>
      <c r="Z50" s="217"/>
      <c r="AA50" s="217"/>
      <c r="AB50" s="217"/>
      <c r="AC50" s="217"/>
      <c r="AD50" s="217"/>
      <c r="AE50" s="217"/>
      <c r="AF50" s="217"/>
      <c r="AG50" s="217"/>
      <c r="AH50" s="217"/>
      <c r="AI50" s="217"/>
      <c r="AJ50" s="217"/>
      <c r="AK50" s="217"/>
      <c r="AL50" s="217"/>
      <c r="AM50" s="217"/>
      <c r="AN50" s="217"/>
      <c r="AO50" s="217"/>
      <c r="AP50" s="217"/>
      <c r="AQ50" s="217"/>
      <c r="AR50" s="217"/>
      <c r="AS50" s="217"/>
      <c r="AT50" s="217"/>
      <c r="AU50" s="217"/>
      <c r="AV50" s="217"/>
      <c r="AW50" s="218"/>
      <c r="AX50" s="219"/>
      <c r="AY50" s="219"/>
      <c r="AZ50" s="219"/>
      <c r="BA50" s="219"/>
      <c r="BB50" s="219"/>
      <c r="BC50" s="220"/>
      <c r="BD50" s="221"/>
      <c r="BE50" s="219"/>
      <c r="BF50" s="219"/>
      <c r="BG50" s="219"/>
      <c r="BH50" s="219"/>
      <c r="BI50" s="219"/>
      <c r="BJ50" s="220"/>
      <c r="BK50" s="186"/>
    </row>
    <row r="51" spans="1:63" ht="15" customHeight="1" x14ac:dyDescent="0.25">
      <c r="A51" s="185"/>
      <c r="B51" s="157"/>
      <c r="C51" s="155"/>
      <c r="D51" s="155"/>
      <c r="E51" s="155"/>
      <c r="F51" s="155"/>
      <c r="G51" s="156"/>
      <c r="H51" s="157"/>
      <c r="I51" s="155"/>
      <c r="J51" s="155"/>
      <c r="K51" s="155"/>
      <c r="L51" s="155"/>
      <c r="M51" s="155"/>
      <c r="N51" s="156"/>
      <c r="O51" s="157"/>
      <c r="P51" s="155"/>
      <c r="Q51" s="155"/>
      <c r="R51" s="155"/>
      <c r="S51" s="210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2"/>
      <c r="AX51" s="213"/>
      <c r="AY51" s="213"/>
      <c r="AZ51" s="213"/>
      <c r="BA51" s="213"/>
      <c r="BB51" s="213"/>
      <c r="BC51" s="214"/>
      <c r="BD51" s="215"/>
      <c r="BE51" s="213"/>
      <c r="BF51" s="213"/>
      <c r="BG51" s="213"/>
      <c r="BH51" s="213"/>
      <c r="BI51" s="213"/>
      <c r="BJ51" s="214"/>
      <c r="BK51" s="186"/>
    </row>
    <row r="52" spans="1:63" ht="15" customHeight="1" x14ac:dyDescent="0.25">
      <c r="A52" s="185"/>
      <c r="B52" s="167"/>
      <c r="C52" s="168"/>
      <c r="D52" s="168"/>
      <c r="E52" s="168"/>
      <c r="F52" s="168"/>
      <c r="G52" s="169"/>
      <c r="H52" s="167"/>
      <c r="I52" s="168"/>
      <c r="J52" s="168"/>
      <c r="K52" s="168"/>
      <c r="L52" s="168"/>
      <c r="M52" s="168"/>
      <c r="N52" s="169"/>
      <c r="O52" s="167"/>
      <c r="P52" s="168"/>
      <c r="Q52" s="168"/>
      <c r="R52" s="168"/>
      <c r="S52" s="216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  <c r="AF52" s="217"/>
      <c r="AG52" s="217"/>
      <c r="AH52" s="217"/>
      <c r="AI52" s="217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217"/>
      <c r="AU52" s="217"/>
      <c r="AV52" s="217"/>
      <c r="AW52" s="218"/>
      <c r="AX52" s="219"/>
      <c r="AY52" s="219"/>
      <c r="AZ52" s="219"/>
      <c r="BA52" s="219"/>
      <c r="BB52" s="219"/>
      <c r="BC52" s="220"/>
      <c r="BD52" s="221"/>
      <c r="BE52" s="219"/>
      <c r="BF52" s="219"/>
      <c r="BG52" s="219"/>
      <c r="BH52" s="219"/>
      <c r="BI52" s="219"/>
      <c r="BJ52" s="220"/>
      <c r="BK52" s="186"/>
    </row>
    <row r="53" spans="1:63" ht="15" customHeight="1" x14ac:dyDescent="0.25">
      <c r="A53" s="185"/>
      <c r="B53" s="157"/>
      <c r="C53" s="155"/>
      <c r="D53" s="155"/>
      <c r="E53" s="155"/>
      <c r="F53" s="155"/>
      <c r="G53" s="156"/>
      <c r="H53" s="157"/>
      <c r="I53" s="155"/>
      <c r="J53" s="155"/>
      <c r="K53" s="155"/>
      <c r="L53" s="155"/>
      <c r="M53" s="155"/>
      <c r="N53" s="156"/>
      <c r="O53" s="157"/>
      <c r="P53" s="155"/>
      <c r="Q53" s="155"/>
      <c r="R53" s="155"/>
      <c r="S53" s="210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2"/>
      <c r="AX53" s="213"/>
      <c r="AY53" s="213"/>
      <c r="AZ53" s="213"/>
      <c r="BA53" s="213"/>
      <c r="BB53" s="213"/>
      <c r="BC53" s="214"/>
      <c r="BD53" s="215"/>
      <c r="BE53" s="213"/>
      <c r="BF53" s="213"/>
      <c r="BG53" s="213"/>
      <c r="BH53" s="213"/>
      <c r="BI53" s="213"/>
      <c r="BJ53" s="214"/>
      <c r="BK53" s="186"/>
    </row>
    <row r="54" spans="1:63" ht="15" customHeight="1" x14ac:dyDescent="0.25">
      <c r="A54" s="185"/>
      <c r="B54" s="167"/>
      <c r="C54" s="168"/>
      <c r="D54" s="168"/>
      <c r="E54" s="168"/>
      <c r="F54" s="168"/>
      <c r="G54" s="169"/>
      <c r="H54" s="167"/>
      <c r="I54" s="168"/>
      <c r="J54" s="168"/>
      <c r="K54" s="168"/>
      <c r="L54" s="168"/>
      <c r="M54" s="168"/>
      <c r="N54" s="169"/>
      <c r="O54" s="167"/>
      <c r="P54" s="168"/>
      <c r="Q54" s="168"/>
      <c r="R54" s="168"/>
      <c r="S54" s="216"/>
      <c r="T54" s="217"/>
      <c r="U54" s="217"/>
      <c r="V54" s="217"/>
      <c r="W54" s="217"/>
      <c r="X54" s="217"/>
      <c r="Y54" s="217"/>
      <c r="Z54" s="217"/>
      <c r="AA54" s="217"/>
      <c r="AB54" s="217"/>
      <c r="AC54" s="217"/>
      <c r="AD54" s="217"/>
      <c r="AE54" s="217"/>
      <c r="AF54" s="217"/>
      <c r="AG54" s="217"/>
      <c r="AH54" s="217"/>
      <c r="AI54" s="217"/>
      <c r="AJ54" s="217"/>
      <c r="AK54" s="217"/>
      <c r="AL54" s="217"/>
      <c r="AM54" s="217"/>
      <c r="AN54" s="217"/>
      <c r="AO54" s="217"/>
      <c r="AP54" s="217"/>
      <c r="AQ54" s="217"/>
      <c r="AR54" s="217"/>
      <c r="AS54" s="217"/>
      <c r="AT54" s="217"/>
      <c r="AU54" s="217"/>
      <c r="AV54" s="217"/>
      <c r="AW54" s="218"/>
      <c r="AX54" s="219"/>
      <c r="AY54" s="219"/>
      <c r="AZ54" s="219"/>
      <c r="BA54" s="219"/>
      <c r="BB54" s="219"/>
      <c r="BC54" s="220"/>
      <c r="BD54" s="221"/>
      <c r="BE54" s="219"/>
      <c r="BF54" s="219"/>
      <c r="BG54" s="219"/>
      <c r="BH54" s="219"/>
      <c r="BI54" s="219"/>
      <c r="BJ54" s="220"/>
      <c r="BK54" s="186"/>
    </row>
    <row r="55" spans="1:63" ht="15" customHeight="1" x14ac:dyDescent="0.25">
      <c r="A55" s="182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4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POSサーバー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222" t="s">
        <v>65</v>
      </c>
      <c r="B4" s="223"/>
      <c r="C4" s="223"/>
      <c r="D4" s="223"/>
      <c r="E4" s="223"/>
      <c r="F4" s="223"/>
      <c r="G4" s="224"/>
      <c r="H4" s="76" t="str">
        <f>IF(表紙!H4="","",表紙!H4)</f>
        <v>AP1511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2" t="s">
        <v>66</v>
      </c>
      <c r="V4" s="223"/>
      <c r="W4" s="223"/>
      <c r="X4" s="223"/>
      <c r="Y4" s="224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処理フロー凡例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54" customFormat="1" ht="15" customHeight="1" x14ac:dyDescent="0.25">
      <c r="A7" s="234"/>
      <c r="B7" s="235" t="s">
        <v>76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7"/>
      <c r="AF7" s="238"/>
      <c r="AG7" s="236"/>
      <c r="AH7" s="236"/>
      <c r="AI7" s="236"/>
      <c r="AJ7" s="236"/>
      <c r="AK7" s="236"/>
      <c r="AL7" s="236"/>
      <c r="AM7" s="236"/>
      <c r="AN7" s="236"/>
      <c r="AO7" s="236"/>
      <c r="AP7" s="236"/>
      <c r="AQ7" s="236"/>
      <c r="AR7" s="236"/>
      <c r="AS7" s="236"/>
      <c r="AT7" s="236"/>
      <c r="AU7" s="236"/>
      <c r="AV7" s="236"/>
      <c r="AW7" s="236"/>
      <c r="AX7" s="236"/>
      <c r="AY7" s="236"/>
      <c r="AZ7" s="236"/>
      <c r="BA7" s="236"/>
      <c r="BB7" s="236"/>
      <c r="BC7" s="236"/>
      <c r="BD7" s="236"/>
      <c r="BE7" s="236"/>
      <c r="BF7" s="236"/>
      <c r="BG7" s="236"/>
      <c r="BH7" s="236"/>
      <c r="BI7" s="237"/>
      <c r="BJ7" s="236"/>
      <c r="BK7" s="239"/>
    </row>
    <row r="8" spans="1:63" s="240" customFormat="1" ht="15" customHeight="1" x14ac:dyDescent="0.25">
      <c r="BK8" s="239"/>
    </row>
    <row r="9" spans="1:63" s="240" customFormat="1" ht="15" customHeight="1" x14ac:dyDescent="0.25">
      <c r="BK9" s="239"/>
    </row>
    <row r="10" spans="1:63" s="240" customFormat="1" ht="15" customHeight="1" x14ac:dyDescent="0.25">
      <c r="BK10" s="239"/>
    </row>
    <row r="11" spans="1:63" s="240" customFormat="1" ht="15" customHeight="1" x14ac:dyDescent="0.25">
      <c r="BK11" s="239"/>
    </row>
    <row r="12" spans="1:63" s="240" customFormat="1" ht="15" customHeight="1" x14ac:dyDescent="0.25">
      <c r="BK12" s="239"/>
    </row>
    <row r="13" spans="1:63" s="240" customFormat="1" ht="15" customHeight="1" x14ac:dyDescent="0.25">
      <c r="BK13" s="239"/>
    </row>
    <row r="14" spans="1:63" s="240" customFormat="1" ht="15" customHeight="1" x14ac:dyDescent="0.25">
      <c r="BK14" s="239"/>
    </row>
    <row r="15" spans="1:63" s="240" customFormat="1" ht="15" customHeight="1" x14ac:dyDescent="0.25">
      <c r="BK15" s="239"/>
    </row>
    <row r="16" spans="1:63" s="240" customFormat="1" ht="15" customHeight="1" x14ac:dyDescent="0.25">
      <c r="BK16" s="239"/>
    </row>
    <row r="17" spans="63:63" s="240" customFormat="1" ht="15" customHeight="1" x14ac:dyDescent="0.25">
      <c r="BK17" s="239"/>
    </row>
    <row r="18" spans="63:63" s="240" customFormat="1" ht="15" customHeight="1" x14ac:dyDescent="0.25">
      <c r="BK18" s="239"/>
    </row>
    <row r="19" spans="63:63" s="240" customFormat="1" ht="15" customHeight="1" x14ac:dyDescent="0.25">
      <c r="BK19" s="239"/>
    </row>
    <row r="20" spans="63:63" s="240" customFormat="1" ht="15" customHeight="1" x14ac:dyDescent="0.25">
      <c r="BK20" s="239"/>
    </row>
    <row r="21" spans="63:63" s="240" customFormat="1" ht="15" customHeight="1" x14ac:dyDescent="0.25">
      <c r="BK21" s="239"/>
    </row>
    <row r="22" spans="63:63" s="240" customFormat="1" ht="15" customHeight="1" x14ac:dyDescent="0.25">
      <c r="BK22" s="239"/>
    </row>
    <row r="23" spans="63:63" s="240" customFormat="1" ht="15" customHeight="1" x14ac:dyDescent="0.25">
      <c r="BK23" s="239"/>
    </row>
    <row r="24" spans="63:63" s="240" customFormat="1" ht="15" customHeight="1" x14ac:dyDescent="0.25">
      <c r="BK24" s="239"/>
    </row>
    <row r="25" spans="63:63" s="240" customFormat="1" ht="15" customHeight="1" x14ac:dyDescent="0.25">
      <c r="BK25" s="239"/>
    </row>
    <row r="26" spans="63:63" s="240" customFormat="1" ht="15" customHeight="1" x14ac:dyDescent="0.25">
      <c r="BK26" s="239"/>
    </row>
    <row r="27" spans="63:63" s="240" customFormat="1" ht="15" customHeight="1" x14ac:dyDescent="0.25">
      <c r="BK27" s="239"/>
    </row>
    <row r="28" spans="63:63" s="240" customFormat="1" ht="15" customHeight="1" x14ac:dyDescent="0.25">
      <c r="BK28" s="239"/>
    </row>
    <row r="29" spans="63:63" s="240" customFormat="1" ht="15" customHeight="1" x14ac:dyDescent="0.25">
      <c r="BK29" s="239"/>
    </row>
    <row r="30" spans="63:63" s="240" customFormat="1" ht="15" customHeight="1" x14ac:dyDescent="0.25">
      <c r="BK30" s="239"/>
    </row>
    <row r="31" spans="63:63" s="240" customFormat="1" ht="15" customHeight="1" x14ac:dyDescent="0.25">
      <c r="BK31" s="239"/>
    </row>
    <row r="32" spans="63:63" s="240" customFormat="1" ht="15" customHeight="1" x14ac:dyDescent="0.25">
      <c r="BK32" s="239"/>
    </row>
    <row r="33" spans="63:63" s="240" customFormat="1" ht="15" customHeight="1" x14ac:dyDescent="0.25">
      <c r="BK33" s="239"/>
    </row>
    <row r="34" spans="63:63" s="240" customFormat="1" ht="15" customHeight="1" x14ac:dyDescent="0.25">
      <c r="BK34" s="239"/>
    </row>
    <row r="35" spans="63:63" s="240" customFormat="1" ht="15" customHeight="1" x14ac:dyDescent="0.25">
      <c r="BK35" s="239"/>
    </row>
    <row r="36" spans="63:63" s="240" customFormat="1" ht="15" customHeight="1" x14ac:dyDescent="0.25">
      <c r="BK36" s="239"/>
    </row>
    <row r="37" spans="63:63" s="240" customFormat="1" ht="15" customHeight="1" x14ac:dyDescent="0.25">
      <c r="BK37" s="239"/>
    </row>
    <row r="38" spans="63:63" s="240" customFormat="1" ht="15" customHeight="1" x14ac:dyDescent="0.25">
      <c r="BK38" s="239"/>
    </row>
    <row r="39" spans="63:63" s="240" customFormat="1" ht="15" customHeight="1" x14ac:dyDescent="0.25">
      <c r="BK39" s="239"/>
    </row>
    <row r="40" spans="63:63" s="240" customFormat="1" ht="15" customHeight="1" x14ac:dyDescent="0.25">
      <c r="BK40" s="239"/>
    </row>
    <row r="41" spans="63:63" s="240" customFormat="1" ht="15" customHeight="1" x14ac:dyDescent="0.25">
      <c r="BK41" s="239"/>
    </row>
    <row r="42" spans="63:63" s="240" customFormat="1" ht="15" customHeight="1" x14ac:dyDescent="0.25">
      <c r="BK42" s="239"/>
    </row>
    <row r="43" spans="63:63" s="240" customFormat="1" ht="15" customHeight="1" x14ac:dyDescent="0.25">
      <c r="BK43" s="239"/>
    </row>
    <row r="44" spans="63:63" s="240" customFormat="1" ht="15" customHeight="1" x14ac:dyDescent="0.25">
      <c r="BK44" s="239"/>
    </row>
    <row r="45" spans="63:63" s="240" customFormat="1" ht="15" customHeight="1" x14ac:dyDescent="0.25">
      <c r="BK45" s="239"/>
    </row>
    <row r="46" spans="63:63" s="240" customFormat="1" ht="15" customHeight="1" x14ac:dyDescent="0.25">
      <c r="BK46" s="239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7030A0"/>
    <pageSetUpPr fitToPage="1"/>
  </sheetPr>
  <dimension ref="A1:BK7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POSサーバー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222" t="s">
        <v>65</v>
      </c>
      <c r="B4" s="223"/>
      <c r="C4" s="223"/>
      <c r="D4" s="223"/>
      <c r="E4" s="223"/>
      <c r="F4" s="223"/>
      <c r="G4" s="224"/>
      <c r="H4" s="76" t="str">
        <f>IF(表紙!H4="","",表紙!H4)</f>
        <v>AP1511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2" t="s">
        <v>66</v>
      </c>
      <c r="V4" s="223"/>
      <c r="W4" s="223"/>
      <c r="X4" s="223"/>
      <c r="Y4" s="224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AP1511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19" customFormat="1" ht="15" customHeight="1" x14ac:dyDescent="0.25">
      <c r="A7" s="14"/>
      <c r="B7" s="15" t="s">
        <v>77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241"/>
      <c r="AQ7" s="241"/>
      <c r="AR7" s="241"/>
      <c r="AS7" s="241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7"/>
      <c r="BI7" s="17"/>
      <c r="BJ7" s="17"/>
      <c r="BK7" s="18"/>
    </row>
    <row r="8" spans="1:63" s="19" customFormat="1" ht="15" customHeight="1" x14ac:dyDescent="0.25">
      <c r="A8" s="14"/>
      <c r="B8" s="20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42"/>
      <c r="AQ8" s="242"/>
      <c r="AR8" s="242"/>
      <c r="AS8" s="242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2"/>
      <c r="BI8" s="22"/>
      <c r="BJ8" s="22"/>
      <c r="BK8" s="18"/>
    </row>
    <row r="9" spans="1:63" s="19" customFormat="1" ht="15" customHeight="1" x14ac:dyDescent="0.25">
      <c r="A9" s="14"/>
      <c r="B9" s="20"/>
      <c r="C9" s="21" t="s">
        <v>54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42"/>
      <c r="AQ9" s="242"/>
      <c r="AR9" s="242"/>
      <c r="AS9" s="242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2"/>
      <c r="BI9" s="22"/>
      <c r="BJ9" s="22"/>
      <c r="BK9" s="18"/>
    </row>
    <row r="10" spans="1:63" s="19" customFormat="1" ht="15" customHeight="1" x14ac:dyDescent="0.25">
      <c r="A10" s="14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2"/>
      <c r="BI10" s="22"/>
      <c r="BJ10" s="22"/>
      <c r="BK10" s="18"/>
    </row>
    <row r="11" spans="1:63" s="19" customFormat="1" ht="15" customHeight="1" x14ac:dyDescent="0.25">
      <c r="A11" s="14"/>
      <c r="B11" s="23" t="s">
        <v>78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7"/>
      <c r="BI11" s="17"/>
      <c r="BJ11" s="17"/>
      <c r="BK11" s="18"/>
    </row>
    <row r="12" spans="1:63" s="19" customFormat="1" ht="15" customHeight="1" x14ac:dyDescent="0.25">
      <c r="A12" s="14"/>
      <c r="B12" s="21"/>
      <c r="C12" s="2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2"/>
      <c r="BI12" s="22"/>
      <c r="BJ12" s="22"/>
      <c r="BK12" s="18"/>
    </row>
    <row r="13" spans="1:63" s="19" customFormat="1" ht="15" customHeight="1" x14ac:dyDescent="0.25">
      <c r="A13" s="14"/>
      <c r="B13" s="21"/>
      <c r="C13" s="24" t="s">
        <v>79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2"/>
      <c r="BI13" s="22"/>
      <c r="BJ13" s="22"/>
      <c r="BK13" s="18"/>
    </row>
    <row r="14" spans="1:63" s="19" customFormat="1" ht="15" customHeight="1" x14ac:dyDescent="0.25">
      <c r="A14" s="14"/>
      <c r="B14" s="21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2"/>
      <c r="BI14" s="22"/>
      <c r="BJ14" s="22"/>
      <c r="BK14" s="18"/>
    </row>
    <row r="15" spans="1:63" s="19" customFormat="1" ht="15" customHeight="1" x14ac:dyDescent="0.25">
      <c r="A15" s="14"/>
      <c r="B15" s="21"/>
      <c r="C15" s="101" t="s">
        <v>12</v>
      </c>
      <c r="D15" s="103"/>
      <c r="E15" s="101" t="s">
        <v>13</v>
      </c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3"/>
      <c r="AG15" s="101" t="s">
        <v>14</v>
      </c>
      <c r="AH15" s="102"/>
      <c r="AI15" s="102"/>
      <c r="AJ15" s="102"/>
      <c r="AK15" s="102"/>
      <c r="AL15" s="102"/>
      <c r="AM15" s="102"/>
      <c r="AN15" s="102"/>
      <c r="AO15" s="102"/>
      <c r="AP15" s="103"/>
      <c r="AQ15" s="101" t="s">
        <v>15</v>
      </c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3"/>
      <c r="BK15" s="18"/>
    </row>
    <row r="16" spans="1:63" s="19" customFormat="1" ht="15" customHeight="1" x14ac:dyDescent="0.25">
      <c r="A16" s="14"/>
      <c r="B16" s="21"/>
      <c r="C16" s="86">
        <v>1</v>
      </c>
      <c r="D16" s="87"/>
      <c r="E16" s="243" t="s">
        <v>53</v>
      </c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5"/>
      <c r="AG16" s="86" t="s">
        <v>20</v>
      </c>
      <c r="AH16" s="91"/>
      <c r="AI16" s="91"/>
      <c r="AJ16" s="91"/>
      <c r="AK16" s="91"/>
      <c r="AL16" s="91"/>
      <c r="AM16" s="91"/>
      <c r="AN16" s="91"/>
      <c r="AO16" s="91"/>
      <c r="AP16" s="87"/>
      <c r="AQ16" s="107" t="s">
        <v>6</v>
      </c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9"/>
      <c r="BK16" s="18"/>
    </row>
    <row r="17" spans="1:63" s="19" customFormat="1" ht="15" customHeight="1" x14ac:dyDescent="0.25">
      <c r="A17" s="14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2"/>
      <c r="BI17" s="22"/>
      <c r="BJ17" s="22"/>
      <c r="BK17" s="18"/>
    </row>
    <row r="18" spans="1:63" s="19" customFormat="1" ht="15" customHeight="1" x14ac:dyDescent="0.25">
      <c r="A18" s="14"/>
      <c r="B18" s="21"/>
      <c r="C18" s="24" t="s">
        <v>80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2"/>
      <c r="BI18" s="22"/>
      <c r="BJ18" s="22"/>
      <c r="BK18" s="18"/>
    </row>
    <row r="19" spans="1:63" s="19" customFormat="1" ht="15" customHeight="1" x14ac:dyDescent="0.25">
      <c r="A19" s="14"/>
      <c r="B19" s="21"/>
      <c r="C19" s="24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2"/>
      <c r="BI19" s="22"/>
      <c r="BJ19" s="22"/>
      <c r="BK19" s="18"/>
    </row>
    <row r="20" spans="1:63" s="19" customFormat="1" ht="15" customHeight="1" x14ac:dyDescent="0.25">
      <c r="A20" s="14"/>
      <c r="B20" s="21"/>
      <c r="C20" s="110" t="s">
        <v>81</v>
      </c>
      <c r="D20" s="112"/>
      <c r="E20" s="110" t="s">
        <v>82</v>
      </c>
      <c r="F20" s="111"/>
      <c r="G20" s="111"/>
      <c r="H20" s="111"/>
      <c r="I20" s="111"/>
      <c r="J20" s="111"/>
      <c r="K20" s="112"/>
      <c r="L20" s="101" t="s">
        <v>16</v>
      </c>
      <c r="M20" s="102"/>
      <c r="N20" s="103"/>
      <c r="O20" s="101" t="s">
        <v>17</v>
      </c>
      <c r="P20" s="102"/>
      <c r="Q20" s="102"/>
      <c r="R20" s="103"/>
      <c r="S20" s="101" t="s">
        <v>18</v>
      </c>
      <c r="T20" s="102"/>
      <c r="U20" s="102"/>
      <c r="V20" s="102"/>
      <c r="W20" s="102"/>
      <c r="X20" s="102"/>
      <c r="Y20" s="103"/>
      <c r="Z20" s="110" t="s">
        <v>83</v>
      </c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01" t="s">
        <v>15</v>
      </c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3"/>
      <c r="BK20" s="18"/>
    </row>
    <row r="21" spans="1:63" s="19" customFormat="1" ht="15" customHeight="1" x14ac:dyDescent="0.25">
      <c r="A21" s="14"/>
      <c r="B21" s="21"/>
      <c r="C21" s="113">
        <v>1</v>
      </c>
      <c r="D21" s="115"/>
      <c r="E21" s="246" t="s">
        <v>3</v>
      </c>
      <c r="F21" s="247"/>
      <c r="G21" s="247"/>
      <c r="H21" s="247"/>
      <c r="I21" s="247"/>
      <c r="J21" s="247"/>
      <c r="K21" s="248"/>
      <c r="L21" s="121" t="s">
        <v>4</v>
      </c>
      <c r="M21" s="122"/>
      <c r="N21" s="123"/>
      <c r="O21" s="113" t="s">
        <v>5</v>
      </c>
      <c r="P21" s="114"/>
      <c r="Q21" s="114"/>
      <c r="R21" s="115"/>
      <c r="S21" s="113" t="s">
        <v>6</v>
      </c>
      <c r="T21" s="114"/>
      <c r="U21" s="114"/>
      <c r="V21" s="114"/>
      <c r="W21" s="114"/>
      <c r="X21" s="114"/>
      <c r="Y21" s="115"/>
      <c r="Z21" s="246" t="s">
        <v>7</v>
      </c>
      <c r="AA21" s="247"/>
      <c r="AB21" s="247"/>
      <c r="AC21" s="247"/>
      <c r="AD21" s="247"/>
      <c r="AE21" s="247"/>
      <c r="AF21" s="24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8"/>
      <c r="AQ21" s="249" t="s">
        <v>84</v>
      </c>
      <c r="AR21" s="250"/>
      <c r="AS21" s="250"/>
      <c r="AT21" s="250"/>
      <c r="AU21" s="250"/>
      <c r="AV21" s="250"/>
      <c r="AW21" s="250"/>
      <c r="AX21" s="250"/>
      <c r="AY21" s="250"/>
      <c r="AZ21" s="250"/>
      <c r="BA21" s="250"/>
      <c r="BB21" s="250"/>
      <c r="BC21" s="250"/>
      <c r="BD21" s="250"/>
      <c r="BE21" s="250"/>
      <c r="BF21" s="250"/>
      <c r="BG21" s="250"/>
      <c r="BH21" s="250"/>
      <c r="BI21" s="250"/>
      <c r="BJ21" s="251"/>
      <c r="BK21" s="18"/>
    </row>
    <row r="22" spans="1:63" s="19" customFormat="1" ht="15" customHeight="1" x14ac:dyDescent="0.25">
      <c r="A22" s="14"/>
      <c r="B22" s="21"/>
      <c r="C22" s="116"/>
      <c r="D22" s="118"/>
      <c r="E22" s="252"/>
      <c r="F22" s="253"/>
      <c r="G22" s="253"/>
      <c r="H22" s="253"/>
      <c r="I22" s="253"/>
      <c r="J22" s="253"/>
      <c r="K22" s="254"/>
      <c r="L22" s="124"/>
      <c r="M22" s="125"/>
      <c r="N22" s="126"/>
      <c r="O22" s="116"/>
      <c r="P22" s="117"/>
      <c r="Q22" s="117"/>
      <c r="R22" s="118"/>
      <c r="S22" s="116"/>
      <c r="T22" s="117"/>
      <c r="U22" s="117"/>
      <c r="V22" s="117"/>
      <c r="W22" s="117"/>
      <c r="X22" s="117"/>
      <c r="Y22" s="118"/>
      <c r="Z22" s="252"/>
      <c r="AA22" s="253"/>
      <c r="AB22" s="253"/>
      <c r="AC22" s="253"/>
      <c r="AD22" s="253"/>
      <c r="AE22" s="253"/>
      <c r="AF22" s="253"/>
      <c r="AG22" s="253"/>
      <c r="AH22" s="253"/>
      <c r="AI22" s="253"/>
      <c r="AJ22" s="253"/>
      <c r="AK22" s="253"/>
      <c r="AL22" s="253"/>
      <c r="AM22" s="253"/>
      <c r="AN22" s="253"/>
      <c r="AO22" s="253"/>
      <c r="AP22" s="254"/>
      <c r="AQ22" s="255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7"/>
      <c r="BK22" s="18"/>
    </row>
    <row r="23" spans="1:63" s="19" customFormat="1" ht="15" customHeight="1" x14ac:dyDescent="0.25">
      <c r="A23" s="14"/>
      <c r="B23" s="21"/>
      <c r="C23" s="86">
        <v>2</v>
      </c>
      <c r="D23" s="87"/>
      <c r="E23" s="258" t="s">
        <v>8</v>
      </c>
      <c r="F23" s="259"/>
      <c r="G23" s="259"/>
      <c r="H23" s="259"/>
      <c r="I23" s="259"/>
      <c r="J23" s="259"/>
      <c r="K23" s="260"/>
      <c r="L23" s="88" t="s">
        <v>6</v>
      </c>
      <c r="M23" s="89"/>
      <c r="N23" s="90"/>
      <c r="O23" s="86" t="s">
        <v>5</v>
      </c>
      <c r="P23" s="91"/>
      <c r="Q23" s="91"/>
      <c r="R23" s="87"/>
      <c r="S23" s="86" t="s">
        <v>6</v>
      </c>
      <c r="T23" s="91"/>
      <c r="U23" s="91"/>
      <c r="V23" s="91"/>
      <c r="W23" s="91"/>
      <c r="X23" s="91"/>
      <c r="Y23" s="87"/>
      <c r="Z23" s="258" t="s">
        <v>8</v>
      </c>
      <c r="AA23" s="259"/>
      <c r="AB23" s="259"/>
      <c r="AC23" s="259"/>
      <c r="AD23" s="259"/>
      <c r="AE23" s="259"/>
      <c r="AF23" s="259"/>
      <c r="AG23" s="259"/>
      <c r="AH23" s="259"/>
      <c r="AI23" s="259"/>
      <c r="AJ23" s="259"/>
      <c r="AK23" s="259"/>
      <c r="AL23" s="259"/>
      <c r="AM23" s="259"/>
      <c r="AN23" s="259"/>
      <c r="AO23" s="259"/>
      <c r="AP23" s="260"/>
      <c r="AQ23" s="261"/>
      <c r="AR23" s="262"/>
      <c r="AS23" s="262"/>
      <c r="AT23" s="262"/>
      <c r="AU23" s="262"/>
      <c r="AV23" s="262"/>
      <c r="AW23" s="262"/>
      <c r="AX23" s="262"/>
      <c r="AY23" s="262"/>
      <c r="AZ23" s="262"/>
      <c r="BA23" s="262"/>
      <c r="BB23" s="262"/>
      <c r="BC23" s="262"/>
      <c r="BD23" s="262"/>
      <c r="BE23" s="262"/>
      <c r="BF23" s="262"/>
      <c r="BG23" s="262"/>
      <c r="BH23" s="262"/>
      <c r="BI23" s="262"/>
      <c r="BJ23" s="263"/>
      <c r="BK23" s="18"/>
    </row>
    <row r="24" spans="1:63" s="19" customFormat="1" ht="15" customHeight="1" x14ac:dyDescent="0.25">
      <c r="A24" s="14"/>
      <c r="B24" s="21"/>
      <c r="C24" s="113">
        <v>3</v>
      </c>
      <c r="D24" s="115"/>
      <c r="E24" s="246" t="s">
        <v>9</v>
      </c>
      <c r="F24" s="247"/>
      <c r="G24" s="247"/>
      <c r="H24" s="247"/>
      <c r="I24" s="247"/>
      <c r="J24" s="247"/>
      <c r="K24" s="248"/>
      <c r="L24" s="264" t="s">
        <v>4</v>
      </c>
      <c r="M24" s="265"/>
      <c r="N24" s="266"/>
      <c r="O24" s="267" t="s">
        <v>5</v>
      </c>
      <c r="P24" s="268"/>
      <c r="Q24" s="268"/>
      <c r="R24" s="269"/>
      <c r="S24" s="270" t="s">
        <v>30</v>
      </c>
      <c r="T24" s="271"/>
      <c r="U24" s="271"/>
      <c r="V24" s="271"/>
      <c r="W24" s="271"/>
      <c r="X24" s="271"/>
      <c r="Y24" s="272"/>
      <c r="Z24" s="273" t="s">
        <v>9</v>
      </c>
      <c r="AA24" s="274"/>
      <c r="AB24" s="274"/>
      <c r="AC24" s="274"/>
      <c r="AD24" s="274"/>
      <c r="AE24" s="274"/>
      <c r="AF24" s="274"/>
      <c r="AG24" s="274"/>
      <c r="AH24" s="274"/>
      <c r="AI24" s="274"/>
      <c r="AJ24" s="274"/>
      <c r="AK24" s="274"/>
      <c r="AL24" s="274"/>
      <c r="AM24" s="274"/>
      <c r="AN24" s="274"/>
      <c r="AO24" s="274"/>
      <c r="AP24" s="275"/>
      <c r="AQ24" s="276"/>
      <c r="AR24" s="276"/>
      <c r="AS24" s="276"/>
      <c r="AT24" s="276"/>
      <c r="AU24" s="276"/>
      <c r="AV24" s="276"/>
      <c r="AW24" s="276"/>
      <c r="AX24" s="276"/>
      <c r="AY24" s="276"/>
      <c r="AZ24" s="276"/>
      <c r="BA24" s="276"/>
      <c r="BB24" s="276"/>
      <c r="BC24" s="276"/>
      <c r="BD24" s="276"/>
      <c r="BE24" s="276"/>
      <c r="BF24" s="276"/>
      <c r="BG24" s="276"/>
      <c r="BH24" s="276"/>
      <c r="BI24" s="276"/>
      <c r="BJ24" s="277"/>
      <c r="BK24" s="18"/>
    </row>
    <row r="25" spans="1:63" s="19" customFormat="1" ht="15" customHeight="1" x14ac:dyDescent="0.25">
      <c r="A25" s="14"/>
      <c r="B25" s="21"/>
      <c r="C25" s="86">
        <v>4</v>
      </c>
      <c r="D25" s="87"/>
      <c r="E25" s="258" t="s">
        <v>10</v>
      </c>
      <c r="F25" s="259"/>
      <c r="G25" s="259"/>
      <c r="H25" s="259"/>
      <c r="I25" s="259"/>
      <c r="J25" s="259"/>
      <c r="K25" s="260"/>
      <c r="L25" s="88" t="s">
        <v>6</v>
      </c>
      <c r="M25" s="89"/>
      <c r="N25" s="90"/>
      <c r="O25" s="86" t="s">
        <v>5</v>
      </c>
      <c r="P25" s="91"/>
      <c r="Q25" s="91"/>
      <c r="R25" s="87"/>
      <c r="S25" s="86" t="s">
        <v>6</v>
      </c>
      <c r="T25" s="91"/>
      <c r="U25" s="91"/>
      <c r="V25" s="91"/>
      <c r="W25" s="91"/>
      <c r="X25" s="91"/>
      <c r="Y25" s="87"/>
      <c r="Z25" s="258" t="s">
        <v>10</v>
      </c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60"/>
      <c r="AQ25" s="261"/>
      <c r="AR25" s="262"/>
      <c r="AS25" s="262"/>
      <c r="AT25" s="262"/>
      <c r="AU25" s="262"/>
      <c r="AV25" s="262"/>
      <c r="AW25" s="262"/>
      <c r="AX25" s="262"/>
      <c r="AY25" s="262"/>
      <c r="AZ25" s="262"/>
      <c r="BA25" s="262"/>
      <c r="BB25" s="262"/>
      <c r="BC25" s="262"/>
      <c r="BD25" s="262"/>
      <c r="BE25" s="262"/>
      <c r="BF25" s="262"/>
      <c r="BG25" s="262"/>
      <c r="BH25" s="262"/>
      <c r="BI25" s="262"/>
      <c r="BJ25" s="263"/>
      <c r="BK25" s="18"/>
    </row>
    <row r="26" spans="1:63" s="19" customFormat="1" ht="15" customHeight="1" x14ac:dyDescent="0.25">
      <c r="A26" s="14"/>
      <c r="B26" s="21"/>
      <c r="C26" s="86">
        <v>5</v>
      </c>
      <c r="D26" s="87"/>
      <c r="E26" s="258" t="s">
        <v>11</v>
      </c>
      <c r="F26" s="259"/>
      <c r="G26" s="259"/>
      <c r="H26" s="259"/>
      <c r="I26" s="259"/>
      <c r="J26" s="259"/>
      <c r="K26" s="260"/>
      <c r="L26" s="88" t="s">
        <v>6</v>
      </c>
      <c r="M26" s="89"/>
      <c r="N26" s="90"/>
      <c r="O26" s="86" t="s">
        <v>5</v>
      </c>
      <c r="P26" s="91"/>
      <c r="Q26" s="91"/>
      <c r="R26" s="87"/>
      <c r="S26" s="86" t="s">
        <v>6</v>
      </c>
      <c r="T26" s="91"/>
      <c r="U26" s="91"/>
      <c r="V26" s="91"/>
      <c r="W26" s="91"/>
      <c r="X26" s="91"/>
      <c r="Y26" s="87"/>
      <c r="Z26" s="258" t="s">
        <v>11</v>
      </c>
      <c r="AA26" s="259"/>
      <c r="AB26" s="259"/>
      <c r="AC26" s="259"/>
      <c r="AD26" s="259"/>
      <c r="AE26" s="259"/>
      <c r="AF26" s="259"/>
      <c r="AG26" s="259"/>
      <c r="AH26" s="259"/>
      <c r="AI26" s="259"/>
      <c r="AJ26" s="259"/>
      <c r="AK26" s="259"/>
      <c r="AL26" s="259"/>
      <c r="AM26" s="259"/>
      <c r="AN26" s="259"/>
      <c r="AO26" s="259"/>
      <c r="AP26" s="260"/>
      <c r="AQ26" s="261"/>
      <c r="AR26" s="262"/>
      <c r="AS26" s="262"/>
      <c r="AT26" s="262"/>
      <c r="AU26" s="262"/>
      <c r="AV26" s="262"/>
      <c r="AW26" s="262"/>
      <c r="AX26" s="262"/>
      <c r="AY26" s="262"/>
      <c r="AZ26" s="262"/>
      <c r="BA26" s="262"/>
      <c r="BB26" s="262"/>
      <c r="BC26" s="262"/>
      <c r="BD26" s="262"/>
      <c r="BE26" s="262"/>
      <c r="BF26" s="262"/>
      <c r="BG26" s="262"/>
      <c r="BH26" s="262"/>
      <c r="BI26" s="262"/>
      <c r="BJ26" s="263"/>
      <c r="BK26" s="18"/>
    </row>
    <row r="27" spans="1:63" s="19" customFormat="1" ht="15" customHeight="1" x14ac:dyDescent="0.25">
      <c r="A27" s="14"/>
      <c r="B27" s="21"/>
      <c r="C27" s="21"/>
      <c r="D27" s="21"/>
      <c r="E27" s="242"/>
      <c r="F27" s="242"/>
      <c r="G27" s="242"/>
      <c r="H27" s="242"/>
      <c r="I27" s="21"/>
      <c r="J27" s="21"/>
      <c r="K27" s="21"/>
      <c r="L27" s="30"/>
      <c r="M27" s="242"/>
      <c r="N27" s="242"/>
      <c r="O27" s="242"/>
      <c r="P27" s="242"/>
      <c r="Q27" s="21"/>
      <c r="R27" s="21"/>
      <c r="S27" s="21"/>
      <c r="T27" s="21"/>
      <c r="U27" s="21"/>
      <c r="V27" s="21"/>
      <c r="W27" s="21"/>
      <c r="X27" s="21"/>
      <c r="Y27" s="21"/>
      <c r="Z27" s="28"/>
      <c r="AA27" s="21"/>
      <c r="AB27" s="21"/>
      <c r="AC27" s="21"/>
      <c r="AD27" s="21"/>
      <c r="AE27" s="21"/>
      <c r="AF27" s="21"/>
      <c r="AG27" s="242"/>
      <c r="AH27" s="242"/>
      <c r="AI27" s="242"/>
      <c r="AJ27" s="242"/>
      <c r="AK27" s="242"/>
      <c r="AL27" s="242"/>
      <c r="AM27" s="242"/>
      <c r="AN27" s="242"/>
      <c r="AO27" s="242"/>
      <c r="AP27" s="21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2"/>
      <c r="BI27" s="22"/>
      <c r="BJ27" s="22"/>
      <c r="BK27" s="18"/>
    </row>
    <row r="28" spans="1:63" s="19" customFormat="1" ht="15" customHeight="1" x14ac:dyDescent="0.25">
      <c r="A28" s="14"/>
      <c r="B28" s="21"/>
      <c r="C28" s="24" t="s">
        <v>85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2"/>
      <c r="BI28" s="22"/>
      <c r="BJ28" s="22"/>
      <c r="BK28" s="18"/>
    </row>
    <row r="29" spans="1:63" s="19" customFormat="1" ht="15" customHeight="1" x14ac:dyDescent="0.25">
      <c r="A29" s="14"/>
      <c r="B29" s="21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2"/>
      <c r="BI29" s="22"/>
      <c r="BJ29" s="22"/>
      <c r="BK29" s="18"/>
    </row>
    <row r="30" spans="1:63" s="19" customFormat="1" ht="15" customHeight="1" x14ac:dyDescent="0.25">
      <c r="A30" s="14"/>
      <c r="B30" s="21"/>
      <c r="C30" s="119" t="s">
        <v>12</v>
      </c>
      <c r="D30" s="120"/>
      <c r="E30" s="110" t="s">
        <v>86</v>
      </c>
      <c r="F30" s="278"/>
      <c r="G30" s="278"/>
      <c r="H30" s="278"/>
      <c r="I30" s="278"/>
      <c r="J30" s="278"/>
      <c r="K30" s="279"/>
      <c r="L30" s="101" t="s">
        <v>16</v>
      </c>
      <c r="M30" s="102"/>
      <c r="N30" s="103"/>
      <c r="O30" s="101" t="s">
        <v>17</v>
      </c>
      <c r="P30" s="102"/>
      <c r="Q30" s="102"/>
      <c r="R30" s="103"/>
      <c r="S30" s="101" t="s">
        <v>18</v>
      </c>
      <c r="T30" s="102"/>
      <c r="U30" s="102"/>
      <c r="V30" s="102"/>
      <c r="W30" s="102"/>
      <c r="X30" s="102"/>
      <c r="Y30" s="103"/>
      <c r="Z30" s="110" t="s">
        <v>83</v>
      </c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04" t="s">
        <v>15</v>
      </c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6"/>
      <c r="BK30" s="18"/>
    </row>
    <row r="31" spans="1:63" s="19" customFormat="1" ht="15" customHeight="1" x14ac:dyDescent="0.25">
      <c r="A31" s="14"/>
      <c r="B31" s="21"/>
      <c r="C31" s="88" t="s">
        <v>21</v>
      </c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90"/>
      <c r="BK31" s="18"/>
    </row>
    <row r="32" spans="1:63" s="19" customFormat="1" ht="15" customHeight="1" x14ac:dyDescent="0.25">
      <c r="A32" s="14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2"/>
      <c r="BI32" s="22"/>
      <c r="BJ32" s="22"/>
      <c r="BK32" s="18"/>
    </row>
    <row r="33" spans="1:63" s="19" customFormat="1" ht="15" customHeight="1" x14ac:dyDescent="0.25">
      <c r="A33" s="14"/>
      <c r="B33" s="21"/>
      <c r="C33" s="24" t="s">
        <v>87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2"/>
      <c r="BI33" s="22"/>
      <c r="BJ33" s="22"/>
      <c r="BK33" s="18"/>
    </row>
    <row r="34" spans="1:63" s="19" customFormat="1" ht="15" customHeight="1" x14ac:dyDescent="0.25">
      <c r="A34" s="14"/>
      <c r="B34" s="21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2"/>
      <c r="BI34" s="22"/>
      <c r="BJ34" s="22"/>
      <c r="BK34" s="18"/>
    </row>
    <row r="35" spans="1:63" s="19" customFormat="1" ht="15" customHeight="1" x14ac:dyDescent="0.25">
      <c r="A35" s="14"/>
      <c r="B35" s="21"/>
      <c r="C35" s="119" t="s">
        <v>12</v>
      </c>
      <c r="D35" s="120"/>
      <c r="E35" s="280" t="s">
        <v>19</v>
      </c>
      <c r="F35" s="278"/>
      <c r="G35" s="278"/>
      <c r="H35" s="278"/>
      <c r="I35" s="278"/>
      <c r="J35" s="278"/>
      <c r="K35" s="279"/>
      <c r="L35" s="101" t="s">
        <v>16</v>
      </c>
      <c r="M35" s="102"/>
      <c r="N35" s="103"/>
      <c r="O35" s="101" t="s">
        <v>17</v>
      </c>
      <c r="P35" s="102"/>
      <c r="Q35" s="102"/>
      <c r="R35" s="103"/>
      <c r="S35" s="101" t="s">
        <v>18</v>
      </c>
      <c r="T35" s="102"/>
      <c r="U35" s="102"/>
      <c r="V35" s="102"/>
      <c r="W35" s="102"/>
      <c r="X35" s="102"/>
      <c r="Y35" s="103"/>
      <c r="Z35" s="110" t="s">
        <v>83</v>
      </c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04" t="s">
        <v>15</v>
      </c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6"/>
      <c r="BK35" s="18"/>
    </row>
    <row r="36" spans="1:63" s="48" customFormat="1" ht="87.75" customHeight="1" x14ac:dyDescent="0.25">
      <c r="A36" s="45"/>
      <c r="B36" s="46"/>
      <c r="C36" s="86">
        <v>1</v>
      </c>
      <c r="D36" s="87"/>
      <c r="E36" s="86" t="s">
        <v>51</v>
      </c>
      <c r="F36" s="91"/>
      <c r="G36" s="91"/>
      <c r="H36" s="91"/>
      <c r="I36" s="91"/>
      <c r="J36" s="91"/>
      <c r="K36" s="87"/>
      <c r="L36" s="88" t="s">
        <v>4</v>
      </c>
      <c r="M36" s="89"/>
      <c r="N36" s="90"/>
      <c r="O36" s="86" t="s">
        <v>41</v>
      </c>
      <c r="P36" s="91"/>
      <c r="Q36" s="91"/>
      <c r="R36" s="87"/>
      <c r="S36" s="86" t="s">
        <v>6</v>
      </c>
      <c r="T36" s="91"/>
      <c r="U36" s="91"/>
      <c r="V36" s="91"/>
      <c r="W36" s="91"/>
      <c r="X36" s="91"/>
      <c r="Y36" s="87"/>
      <c r="Z36" s="145" t="s">
        <v>88</v>
      </c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87"/>
      <c r="AQ36" s="136" t="s">
        <v>89</v>
      </c>
      <c r="AR36" s="146"/>
      <c r="AS36" s="146"/>
      <c r="AT36" s="146"/>
      <c r="AU36" s="146"/>
      <c r="AV36" s="146"/>
      <c r="AW36" s="146"/>
      <c r="AX36" s="146"/>
      <c r="AY36" s="146"/>
      <c r="AZ36" s="146"/>
      <c r="BA36" s="146"/>
      <c r="BB36" s="146"/>
      <c r="BC36" s="146"/>
      <c r="BD36" s="146"/>
      <c r="BE36" s="146"/>
      <c r="BF36" s="146"/>
      <c r="BG36" s="146"/>
      <c r="BH36" s="146"/>
      <c r="BI36" s="146"/>
      <c r="BJ36" s="147"/>
      <c r="BK36" s="47"/>
    </row>
    <row r="37" spans="1:63" s="19" customFormat="1" ht="15" customHeight="1" x14ac:dyDescent="0.25">
      <c r="A37" s="14"/>
      <c r="B37" s="21"/>
      <c r="C37" s="86">
        <v>2</v>
      </c>
      <c r="D37" s="87"/>
      <c r="E37" s="258" t="s">
        <v>38</v>
      </c>
      <c r="F37" s="259"/>
      <c r="G37" s="259"/>
      <c r="H37" s="259"/>
      <c r="I37" s="259"/>
      <c r="J37" s="259"/>
      <c r="K37" s="260"/>
      <c r="L37" s="88" t="s">
        <v>6</v>
      </c>
      <c r="M37" s="89"/>
      <c r="N37" s="90"/>
      <c r="O37" s="86" t="s">
        <v>42</v>
      </c>
      <c r="P37" s="91"/>
      <c r="Q37" s="91"/>
      <c r="R37" s="87"/>
      <c r="S37" s="86" t="s">
        <v>6</v>
      </c>
      <c r="T37" s="91"/>
      <c r="U37" s="91"/>
      <c r="V37" s="91"/>
      <c r="W37" s="91"/>
      <c r="X37" s="91"/>
      <c r="Y37" s="87"/>
      <c r="Z37" s="258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60"/>
      <c r="AQ37" s="92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4"/>
      <c r="BK37" s="18"/>
    </row>
    <row r="38" spans="1:63" s="19" customFormat="1" ht="78.75" customHeight="1" x14ac:dyDescent="0.25">
      <c r="A38" s="14"/>
      <c r="B38" s="21"/>
      <c r="C38" s="86">
        <v>3</v>
      </c>
      <c r="D38" s="87"/>
      <c r="E38" s="281" t="s">
        <v>28</v>
      </c>
      <c r="F38" s="282"/>
      <c r="G38" s="282"/>
      <c r="H38" s="282"/>
      <c r="I38" s="282"/>
      <c r="J38" s="282"/>
      <c r="K38" s="283"/>
      <c r="L38" s="88" t="s">
        <v>4</v>
      </c>
      <c r="M38" s="89"/>
      <c r="N38" s="90"/>
      <c r="O38" s="86" t="s">
        <v>48</v>
      </c>
      <c r="P38" s="91"/>
      <c r="Q38" s="91"/>
      <c r="R38" s="87"/>
      <c r="S38" s="86" t="s">
        <v>6</v>
      </c>
      <c r="T38" s="91"/>
      <c r="U38" s="91"/>
      <c r="V38" s="91"/>
      <c r="W38" s="91"/>
      <c r="X38" s="91"/>
      <c r="Y38" s="87"/>
      <c r="Z38" s="258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60"/>
      <c r="AQ38" s="127" t="s">
        <v>90</v>
      </c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4"/>
      <c r="BK38" s="18"/>
    </row>
    <row r="39" spans="1:63" s="19" customFormat="1" ht="30" customHeight="1" x14ac:dyDescent="0.25">
      <c r="A39" s="14"/>
      <c r="B39" s="21"/>
      <c r="C39" s="86">
        <v>4</v>
      </c>
      <c r="D39" s="87"/>
      <c r="E39" s="95" t="s">
        <v>27</v>
      </c>
      <c r="F39" s="96"/>
      <c r="G39" s="96"/>
      <c r="H39" s="96"/>
      <c r="I39" s="96"/>
      <c r="J39" s="96"/>
      <c r="K39" s="97"/>
      <c r="L39" s="88" t="s">
        <v>6</v>
      </c>
      <c r="M39" s="89"/>
      <c r="N39" s="90"/>
      <c r="O39" s="95" t="s">
        <v>40</v>
      </c>
      <c r="P39" s="96"/>
      <c r="Q39" s="96"/>
      <c r="R39" s="97"/>
      <c r="S39" s="86" t="s">
        <v>6</v>
      </c>
      <c r="T39" s="91"/>
      <c r="U39" s="91"/>
      <c r="V39" s="91"/>
      <c r="W39" s="91"/>
      <c r="X39" s="91"/>
      <c r="Y39" s="87"/>
      <c r="Z39" s="258" t="s">
        <v>39</v>
      </c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60"/>
      <c r="AQ39" s="127" t="s">
        <v>91</v>
      </c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4"/>
      <c r="BK39" s="18"/>
    </row>
    <row r="40" spans="1:63" s="19" customFormat="1" ht="15" customHeight="1" x14ac:dyDescent="0.25">
      <c r="A40" s="14"/>
      <c r="B40" s="21"/>
      <c r="C40" s="86">
        <v>5</v>
      </c>
      <c r="D40" s="87"/>
      <c r="E40" s="95" t="s">
        <v>26</v>
      </c>
      <c r="F40" s="96"/>
      <c r="G40" s="96"/>
      <c r="H40" s="96"/>
      <c r="I40" s="96"/>
      <c r="J40" s="96"/>
      <c r="K40" s="97"/>
      <c r="L40" s="88" t="s">
        <v>4</v>
      </c>
      <c r="M40" s="89"/>
      <c r="N40" s="90"/>
      <c r="O40" s="95" t="s">
        <v>5</v>
      </c>
      <c r="P40" s="96"/>
      <c r="Q40" s="96"/>
      <c r="R40" s="97"/>
      <c r="S40" s="86" t="s">
        <v>6</v>
      </c>
      <c r="T40" s="91"/>
      <c r="U40" s="91"/>
      <c r="V40" s="91"/>
      <c r="W40" s="91"/>
      <c r="X40" s="91"/>
      <c r="Y40" s="87"/>
      <c r="Z40" s="258" t="s">
        <v>31</v>
      </c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60"/>
      <c r="AQ40" s="92" t="s">
        <v>92</v>
      </c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4"/>
      <c r="BK40" s="18"/>
    </row>
    <row r="41" spans="1:63" s="19" customFormat="1" ht="84.75" customHeight="1" x14ac:dyDescent="0.25">
      <c r="A41" s="14"/>
      <c r="B41" s="21"/>
      <c r="C41" s="86">
        <v>6</v>
      </c>
      <c r="D41" s="87"/>
      <c r="E41" s="281" t="s">
        <v>32</v>
      </c>
      <c r="F41" s="282"/>
      <c r="G41" s="282"/>
      <c r="H41" s="282"/>
      <c r="I41" s="282"/>
      <c r="J41" s="282"/>
      <c r="K41" s="283"/>
      <c r="L41" s="88" t="s">
        <v>4</v>
      </c>
      <c r="M41" s="89"/>
      <c r="N41" s="90"/>
      <c r="O41" s="95" t="s">
        <v>5</v>
      </c>
      <c r="P41" s="96"/>
      <c r="Q41" s="96"/>
      <c r="R41" s="97"/>
      <c r="S41" s="86" t="s">
        <v>6</v>
      </c>
      <c r="T41" s="91"/>
      <c r="U41" s="91"/>
      <c r="V41" s="91"/>
      <c r="W41" s="91"/>
      <c r="X41" s="91"/>
      <c r="Y41" s="87"/>
      <c r="Z41" s="258" t="s">
        <v>33</v>
      </c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60"/>
      <c r="AQ41" s="98" t="s">
        <v>105</v>
      </c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100"/>
      <c r="BK41" s="18"/>
    </row>
    <row r="42" spans="1:63" s="19" customFormat="1" ht="30.75" customHeight="1" x14ac:dyDescent="0.25">
      <c r="A42" s="14"/>
      <c r="B42" s="21"/>
      <c r="C42" s="86">
        <v>7</v>
      </c>
      <c r="D42" s="87"/>
      <c r="E42" s="281" t="s">
        <v>34</v>
      </c>
      <c r="F42" s="282"/>
      <c r="G42" s="282"/>
      <c r="H42" s="282"/>
      <c r="I42" s="282"/>
      <c r="J42" s="282"/>
      <c r="K42" s="283"/>
      <c r="L42" s="88" t="s">
        <v>4</v>
      </c>
      <c r="M42" s="89"/>
      <c r="N42" s="90"/>
      <c r="O42" s="95" t="s">
        <v>5</v>
      </c>
      <c r="P42" s="96"/>
      <c r="Q42" s="96"/>
      <c r="R42" s="97"/>
      <c r="S42" s="86" t="s">
        <v>6</v>
      </c>
      <c r="T42" s="91"/>
      <c r="U42" s="91"/>
      <c r="V42" s="91"/>
      <c r="W42" s="91"/>
      <c r="X42" s="91"/>
      <c r="Y42" s="87"/>
      <c r="Z42" s="258" t="s">
        <v>35</v>
      </c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60"/>
      <c r="AQ42" s="127" t="s">
        <v>93</v>
      </c>
      <c r="AR42" s="131"/>
      <c r="AS42" s="131"/>
      <c r="AT42" s="131"/>
      <c r="AU42" s="131"/>
      <c r="AV42" s="131"/>
      <c r="AW42" s="131"/>
      <c r="AX42" s="131"/>
      <c r="AY42" s="131"/>
      <c r="AZ42" s="131"/>
      <c r="BA42" s="131"/>
      <c r="BB42" s="131"/>
      <c r="BC42" s="131"/>
      <c r="BD42" s="131"/>
      <c r="BE42" s="131"/>
      <c r="BF42" s="131"/>
      <c r="BG42" s="131"/>
      <c r="BH42" s="131"/>
      <c r="BI42" s="131"/>
      <c r="BJ42" s="132"/>
      <c r="BK42" s="18"/>
    </row>
    <row r="43" spans="1:63" s="19" customFormat="1" ht="100.5" customHeight="1" x14ac:dyDescent="0.25">
      <c r="A43" s="14"/>
      <c r="B43" s="21"/>
      <c r="C43" s="86">
        <v>8</v>
      </c>
      <c r="D43" s="87"/>
      <c r="E43" s="281" t="s">
        <v>36</v>
      </c>
      <c r="F43" s="282"/>
      <c r="G43" s="282"/>
      <c r="H43" s="282"/>
      <c r="I43" s="282"/>
      <c r="J43" s="282"/>
      <c r="K43" s="283"/>
      <c r="L43" s="88" t="s">
        <v>4</v>
      </c>
      <c r="M43" s="89"/>
      <c r="N43" s="90"/>
      <c r="O43" s="95" t="s">
        <v>5</v>
      </c>
      <c r="P43" s="96"/>
      <c r="Q43" s="96"/>
      <c r="R43" s="97"/>
      <c r="S43" s="86" t="s">
        <v>6</v>
      </c>
      <c r="T43" s="91"/>
      <c r="U43" s="91"/>
      <c r="V43" s="91"/>
      <c r="W43" s="91"/>
      <c r="X43" s="91"/>
      <c r="Y43" s="87"/>
      <c r="Z43" s="258" t="s">
        <v>37</v>
      </c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60"/>
      <c r="AQ43" s="136" t="s">
        <v>94</v>
      </c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8"/>
      <c r="BK43" s="18"/>
    </row>
    <row r="44" spans="1:63" s="19" customFormat="1" ht="15" customHeight="1" x14ac:dyDescent="0.25">
      <c r="A44" s="14"/>
      <c r="B44" s="21"/>
      <c r="C44" s="21"/>
      <c r="D44" s="21"/>
      <c r="E44" s="242"/>
      <c r="F44" s="242"/>
      <c r="G44" s="242"/>
      <c r="H44" s="242"/>
      <c r="I44" s="242"/>
      <c r="J44" s="242"/>
      <c r="K44" s="242"/>
      <c r="L44" s="43"/>
      <c r="M44" s="43"/>
      <c r="N44" s="43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42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  <c r="AM44" s="242"/>
      <c r="AN44" s="242"/>
      <c r="AO44" s="242"/>
      <c r="AP44" s="242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18"/>
    </row>
    <row r="45" spans="1:63" s="19" customFormat="1" ht="15" customHeight="1" x14ac:dyDescent="0.25">
      <c r="A45" s="14"/>
      <c r="B45" s="21"/>
      <c r="C45" s="24" t="s">
        <v>95</v>
      </c>
      <c r="D45" s="21"/>
      <c r="E45" s="242"/>
      <c r="F45" s="21"/>
      <c r="G45" s="242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18"/>
    </row>
    <row r="46" spans="1:63" s="19" customFormat="1" ht="15" customHeight="1" x14ac:dyDescent="0.25">
      <c r="A46" s="14"/>
      <c r="B46" s="21"/>
      <c r="C46" s="24"/>
      <c r="D46" s="242"/>
      <c r="E46" s="242"/>
      <c r="F46" s="21"/>
      <c r="G46" s="242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18"/>
    </row>
    <row r="47" spans="1:63" s="19" customFormat="1" ht="15" customHeight="1" x14ac:dyDescent="0.25">
      <c r="A47" s="14"/>
      <c r="B47" s="21"/>
      <c r="C47" s="284" t="s">
        <v>22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25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18"/>
    </row>
    <row r="48" spans="1:63" s="19" customFormat="1" ht="15" customHeight="1" x14ac:dyDescent="0.25">
      <c r="A48" s="14"/>
      <c r="B48" s="21"/>
      <c r="C48" s="285" t="s">
        <v>96</v>
      </c>
      <c r="D48" s="286"/>
      <c r="E48" s="287"/>
      <c r="F48" s="242"/>
      <c r="G48" s="242"/>
      <c r="H48" s="242"/>
      <c r="I48" s="242"/>
      <c r="J48" s="242"/>
      <c r="K48" s="242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6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18"/>
    </row>
    <row r="49" spans="1:63" s="19" customFormat="1" ht="15" customHeight="1" x14ac:dyDescent="0.25">
      <c r="A49" s="14"/>
      <c r="B49" s="21"/>
      <c r="C49" s="285" t="s">
        <v>47</v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6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18"/>
    </row>
    <row r="50" spans="1:63" s="19" customFormat="1" ht="15" customHeight="1" x14ac:dyDescent="0.25">
      <c r="A50" s="14"/>
      <c r="B50" s="21"/>
      <c r="C50" s="285"/>
      <c r="D50" s="288" t="s">
        <v>22</v>
      </c>
      <c r="E50" s="287"/>
      <c r="F50" s="242"/>
      <c r="G50" s="242"/>
      <c r="H50" s="242"/>
      <c r="I50" s="242"/>
      <c r="J50" s="242"/>
      <c r="K50" s="242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6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18"/>
    </row>
    <row r="51" spans="1:63" s="19" customFormat="1" ht="15" customHeight="1" x14ac:dyDescent="0.25">
      <c r="A51" s="14"/>
      <c r="B51" s="21"/>
      <c r="C51" s="289" t="s">
        <v>97</v>
      </c>
      <c r="D51" s="286"/>
      <c r="E51" s="287"/>
      <c r="F51" s="242"/>
      <c r="G51" s="242"/>
      <c r="H51" s="242"/>
      <c r="I51" s="242"/>
      <c r="J51" s="242"/>
      <c r="K51" s="242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6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18"/>
    </row>
    <row r="52" spans="1:63" s="19" customFormat="1" ht="15" customHeight="1" x14ac:dyDescent="0.25">
      <c r="A52" s="14"/>
      <c r="B52" s="21"/>
      <c r="C52" s="285"/>
      <c r="D52" s="286" t="s">
        <v>45</v>
      </c>
      <c r="E52" s="286"/>
      <c r="F52" s="287"/>
      <c r="G52" s="287"/>
      <c r="H52" s="287"/>
      <c r="I52" s="242"/>
      <c r="J52" s="242"/>
      <c r="K52" s="242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6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18"/>
    </row>
    <row r="53" spans="1:63" s="19" customFormat="1" ht="15" customHeight="1" x14ac:dyDescent="0.25">
      <c r="A53" s="14"/>
      <c r="B53" s="21"/>
      <c r="C53" s="285"/>
      <c r="D53" s="286" t="s">
        <v>43</v>
      </c>
      <c r="E53" s="286"/>
      <c r="F53" s="287"/>
      <c r="G53" s="287"/>
      <c r="H53" s="287"/>
      <c r="I53" s="242"/>
      <c r="J53" s="242"/>
      <c r="K53" s="242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6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18"/>
    </row>
    <row r="54" spans="1:63" s="19" customFormat="1" ht="15" customHeight="1" x14ac:dyDescent="0.25">
      <c r="A54" s="14"/>
      <c r="B54" s="21"/>
      <c r="C54" s="285"/>
      <c r="D54" s="286" t="s">
        <v>98</v>
      </c>
      <c r="E54" s="286"/>
      <c r="F54" s="287"/>
      <c r="G54" s="287"/>
      <c r="H54" s="287"/>
      <c r="I54" s="242"/>
      <c r="J54" s="242"/>
      <c r="K54" s="242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6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18"/>
    </row>
    <row r="55" spans="1:63" s="19" customFormat="1" ht="15" customHeight="1" x14ac:dyDescent="0.25">
      <c r="A55" s="14"/>
      <c r="B55" s="21"/>
      <c r="C55" s="285"/>
      <c r="D55" s="286" t="s">
        <v>99</v>
      </c>
      <c r="E55" s="286"/>
      <c r="F55" s="287"/>
      <c r="G55" s="287"/>
      <c r="H55" s="287"/>
      <c r="I55" s="242"/>
      <c r="J55" s="242"/>
      <c r="K55" s="242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6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18"/>
    </row>
    <row r="56" spans="1:63" s="19" customFormat="1" ht="15" customHeight="1" x14ac:dyDescent="0.25">
      <c r="A56" s="14"/>
      <c r="B56" s="21"/>
      <c r="C56" s="285"/>
      <c r="D56" s="286" t="s">
        <v>44</v>
      </c>
      <c r="E56" s="286"/>
      <c r="F56" s="287"/>
      <c r="G56" s="287"/>
      <c r="H56" s="287"/>
      <c r="I56" s="242"/>
      <c r="J56" s="242"/>
      <c r="K56" s="242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6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18"/>
    </row>
    <row r="57" spans="1:63" s="19" customFormat="1" ht="15" customHeight="1" x14ac:dyDescent="0.25">
      <c r="A57" s="14"/>
      <c r="B57" s="21"/>
      <c r="C57" s="285"/>
      <c r="D57" s="288" t="s">
        <v>23</v>
      </c>
      <c r="E57" s="288"/>
      <c r="F57" s="287"/>
      <c r="G57" s="287"/>
      <c r="H57" s="287"/>
      <c r="I57" s="242"/>
      <c r="J57" s="242"/>
      <c r="K57" s="242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6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18"/>
    </row>
    <row r="58" spans="1:63" s="19" customFormat="1" ht="15" customHeight="1" x14ac:dyDescent="0.25">
      <c r="A58" s="14"/>
      <c r="B58" s="21"/>
      <c r="C58" s="285"/>
      <c r="D58" s="287" t="s">
        <v>46</v>
      </c>
      <c r="E58" s="287"/>
      <c r="F58" s="287"/>
      <c r="G58" s="287"/>
      <c r="H58" s="287"/>
      <c r="I58" s="242"/>
      <c r="J58" s="242"/>
      <c r="K58" s="242"/>
      <c r="L58" s="242"/>
      <c r="M58" s="242"/>
      <c r="N58" s="242"/>
      <c r="O58" s="242"/>
      <c r="P58" s="242"/>
      <c r="Q58" s="33"/>
      <c r="R58" s="33"/>
      <c r="S58" s="33"/>
      <c r="T58" s="33"/>
      <c r="U58" s="33"/>
      <c r="V58" s="33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6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18"/>
    </row>
    <row r="59" spans="1:63" s="19" customFormat="1" ht="15" customHeight="1" x14ac:dyDescent="0.25">
      <c r="A59" s="14"/>
      <c r="B59" s="21"/>
      <c r="C59" s="290" t="s">
        <v>23</v>
      </c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27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18"/>
    </row>
    <row r="60" spans="1:63" s="19" customFormat="1" ht="15" customHeight="1" x14ac:dyDescent="0.25">
      <c r="A60" s="14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2"/>
      <c r="BI60" s="22"/>
      <c r="BJ60" s="22"/>
      <c r="BK60" s="18"/>
    </row>
    <row r="61" spans="1:63" s="19" customFormat="1" ht="15" customHeight="1" x14ac:dyDescent="0.25">
      <c r="A61" s="14"/>
      <c r="B61" s="23" t="s">
        <v>100</v>
      </c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7"/>
      <c r="BI61" s="17"/>
      <c r="BJ61" s="17"/>
      <c r="BK61" s="18"/>
    </row>
    <row r="62" spans="1:63" s="19" customFormat="1" ht="15" customHeight="1" x14ac:dyDescent="0.25">
      <c r="A62" s="14"/>
      <c r="B62" s="20"/>
      <c r="C62" s="24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2"/>
      <c r="BI62" s="22"/>
      <c r="BJ62" s="22"/>
      <c r="BK62" s="18"/>
    </row>
    <row r="63" spans="1:63" s="19" customFormat="1" ht="15" customHeight="1" x14ac:dyDescent="0.25">
      <c r="A63" s="14"/>
      <c r="B63" s="20"/>
      <c r="C63" s="24" t="s">
        <v>101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2"/>
      <c r="BI63" s="22"/>
      <c r="BJ63" s="22"/>
      <c r="BK63" s="18"/>
    </row>
    <row r="64" spans="1:63" s="19" customFormat="1" ht="15" customHeight="1" x14ac:dyDescent="0.25">
      <c r="A64" s="14"/>
      <c r="B64" s="20"/>
      <c r="C64" s="24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2"/>
      <c r="BI64" s="22"/>
      <c r="BJ64" s="22"/>
      <c r="BK64" s="18"/>
    </row>
    <row r="65" spans="1:63" s="19" customFormat="1" ht="15" customHeight="1" x14ac:dyDescent="0.25">
      <c r="A65" s="14"/>
      <c r="B65" s="21"/>
      <c r="C65" s="101" t="s">
        <v>12</v>
      </c>
      <c r="D65" s="103"/>
      <c r="E65" s="142" t="s">
        <v>102</v>
      </c>
      <c r="F65" s="143"/>
      <c r="G65" s="143"/>
      <c r="H65" s="143"/>
      <c r="I65" s="143"/>
      <c r="J65" s="143"/>
      <c r="K65" s="143"/>
      <c r="L65" s="143"/>
      <c r="M65" s="143"/>
      <c r="N65" s="144"/>
      <c r="O65" s="139" t="s">
        <v>17</v>
      </c>
      <c r="P65" s="140"/>
      <c r="Q65" s="140"/>
      <c r="R65" s="141"/>
      <c r="S65" s="133" t="s">
        <v>83</v>
      </c>
      <c r="T65" s="134"/>
      <c r="U65" s="134"/>
      <c r="V65" s="134"/>
      <c r="W65" s="134"/>
      <c r="X65" s="134"/>
      <c r="Y65" s="134"/>
      <c r="Z65" s="134"/>
      <c r="AA65" s="134"/>
      <c r="AB65" s="135"/>
      <c r="AC65" s="101" t="s">
        <v>15</v>
      </c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3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2"/>
      <c r="BI65" s="22"/>
      <c r="BJ65" s="22"/>
      <c r="BK65" s="18"/>
    </row>
    <row r="66" spans="1:63" s="19" customFormat="1" ht="15" customHeight="1" x14ac:dyDescent="0.25">
      <c r="A66" s="14"/>
      <c r="B66" s="21"/>
      <c r="C66" s="86">
        <v>1</v>
      </c>
      <c r="D66" s="87"/>
      <c r="E66" s="86" t="s">
        <v>24</v>
      </c>
      <c r="F66" s="91"/>
      <c r="G66" s="91"/>
      <c r="H66" s="91"/>
      <c r="I66" s="91"/>
      <c r="J66" s="91"/>
      <c r="K66" s="91"/>
      <c r="L66" s="91"/>
      <c r="M66" s="91"/>
      <c r="N66" s="87"/>
      <c r="O66" s="86" t="s">
        <v>29</v>
      </c>
      <c r="P66" s="91"/>
      <c r="Q66" s="91"/>
      <c r="R66" s="87"/>
      <c r="S66" s="128" t="s">
        <v>6</v>
      </c>
      <c r="T66" s="129"/>
      <c r="U66" s="129"/>
      <c r="V66" s="129"/>
      <c r="W66" s="129"/>
      <c r="X66" s="129"/>
      <c r="Y66" s="129"/>
      <c r="Z66" s="129"/>
      <c r="AA66" s="129"/>
      <c r="AB66" s="130"/>
      <c r="AC66" s="86" t="s">
        <v>25</v>
      </c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87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2"/>
      <c r="BI66" s="22"/>
      <c r="BJ66" s="22"/>
      <c r="BK66" s="18"/>
    </row>
    <row r="67" spans="1:63" s="19" customFormat="1" ht="15" customHeight="1" x14ac:dyDescent="0.25">
      <c r="A67" s="14"/>
      <c r="B67" s="21"/>
      <c r="C67" s="21"/>
      <c r="D67" s="21"/>
      <c r="E67" s="242"/>
      <c r="F67" s="242"/>
      <c r="G67" s="242"/>
      <c r="H67" s="242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42"/>
      <c r="T67" s="242"/>
      <c r="U67" s="242"/>
      <c r="V67" s="242"/>
      <c r="W67" s="242"/>
      <c r="X67" s="242"/>
      <c r="Y67" s="242"/>
      <c r="Z67" s="242"/>
      <c r="AA67" s="242"/>
      <c r="AB67" s="21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2"/>
      <c r="BI67" s="22"/>
      <c r="BJ67" s="22"/>
      <c r="BK67" s="18"/>
    </row>
    <row r="68" spans="1:63" s="19" customFormat="1" ht="15" customHeight="1" x14ac:dyDescent="0.25">
      <c r="A68" s="14"/>
      <c r="B68" s="21"/>
      <c r="C68" s="24" t="s">
        <v>95</v>
      </c>
      <c r="D68" s="21"/>
      <c r="E68" s="242"/>
      <c r="F68" s="21"/>
      <c r="G68" s="242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2"/>
      <c r="BI68" s="22"/>
      <c r="BJ68" s="22"/>
      <c r="BK68" s="18"/>
    </row>
    <row r="69" spans="1:63" s="19" customFormat="1" ht="15" customHeight="1" x14ac:dyDescent="0.25">
      <c r="A69" s="14"/>
      <c r="B69" s="21"/>
      <c r="C69" s="24"/>
      <c r="D69" s="242"/>
      <c r="E69" s="242"/>
      <c r="F69" s="21"/>
      <c r="G69" s="242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2"/>
      <c r="BI69" s="22"/>
      <c r="BJ69" s="22"/>
      <c r="BK69" s="18"/>
    </row>
    <row r="70" spans="1:63" s="19" customFormat="1" ht="15" customHeight="1" x14ac:dyDescent="0.25">
      <c r="A70" s="14"/>
      <c r="B70" s="21"/>
      <c r="C70" s="284" t="s">
        <v>22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25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2"/>
      <c r="BI70" s="22"/>
      <c r="BJ70" s="22"/>
      <c r="BK70" s="18"/>
    </row>
    <row r="71" spans="1:63" s="19" customFormat="1" ht="15" customHeight="1" x14ac:dyDescent="0.25">
      <c r="A71" s="14"/>
      <c r="B71" s="21"/>
      <c r="C71" s="285" t="s">
        <v>103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6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2"/>
      <c r="BI71" s="22"/>
      <c r="BJ71" s="22"/>
      <c r="BK71" s="18"/>
    </row>
    <row r="72" spans="1:63" s="19" customFormat="1" ht="15" customHeight="1" x14ac:dyDescent="0.25">
      <c r="A72" s="14"/>
      <c r="B72" s="21"/>
      <c r="C72" s="290" t="s">
        <v>23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27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2"/>
      <c r="BI72" s="22"/>
      <c r="BJ72" s="22"/>
      <c r="BK72" s="18"/>
    </row>
    <row r="73" spans="1:63" s="19" customFormat="1" ht="15" customHeight="1" x14ac:dyDescent="0.25">
      <c r="A73" s="14"/>
      <c r="B73" s="21"/>
      <c r="C73" s="21"/>
      <c r="D73" s="242"/>
      <c r="E73" s="24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2"/>
      <c r="BI73" s="22"/>
      <c r="BJ73" s="22"/>
      <c r="BK73" s="18"/>
    </row>
    <row r="74" spans="1:63" s="19" customFormat="1" ht="15" customHeight="1" x14ac:dyDescent="0.25">
      <c r="A74" s="14"/>
      <c r="B74" s="21"/>
      <c r="C74" s="20" t="s">
        <v>104</v>
      </c>
      <c r="D74" s="21"/>
      <c r="E74" s="242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2"/>
      <c r="BI74" s="22"/>
      <c r="BJ74" s="22"/>
      <c r="BK74" s="18"/>
    </row>
    <row r="75" spans="1:63" s="19" customFormat="1" ht="15" customHeight="1" x14ac:dyDescent="0.25">
      <c r="A75" s="14"/>
      <c r="B75" s="21"/>
      <c r="C75" s="20"/>
      <c r="D75" s="21"/>
      <c r="E75" s="242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2"/>
      <c r="BI75" s="22"/>
      <c r="BJ75" s="22"/>
      <c r="BK75" s="18"/>
    </row>
    <row r="76" spans="1:63" s="19" customFormat="1" ht="15" customHeight="1" x14ac:dyDescent="0.25">
      <c r="A76" s="14"/>
      <c r="B76" s="21"/>
      <c r="C76" s="20" t="s">
        <v>50</v>
      </c>
      <c r="D76" s="21"/>
      <c r="E76" s="242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2"/>
      <c r="BI76" s="22"/>
      <c r="BJ76" s="22"/>
      <c r="BK76" s="18"/>
    </row>
    <row r="77" spans="1:63" s="41" customFormat="1" ht="15" customHeight="1" x14ac:dyDescent="0.25">
      <c r="A77" s="36"/>
      <c r="B77" s="37"/>
      <c r="C77" s="37"/>
      <c r="D77" s="37"/>
      <c r="E77" s="38"/>
      <c r="F77" s="38"/>
      <c r="G77" s="38"/>
      <c r="H77" s="38"/>
      <c r="I77" s="38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9"/>
      <c r="BI77" s="39"/>
      <c r="BJ77" s="39"/>
      <c r="BK77" s="40"/>
    </row>
  </sheetData>
  <mergeCells count="150">
    <mergeCell ref="AQ36:BJ36"/>
    <mergeCell ref="L40:N40"/>
    <mergeCell ref="O40:R40"/>
    <mergeCell ref="O36:R36"/>
    <mergeCell ref="S43:Y43"/>
    <mergeCell ref="Z43:AP43"/>
    <mergeCell ref="E37:K37"/>
    <mergeCell ref="AQ43:BJ43"/>
    <mergeCell ref="C66:D66"/>
    <mergeCell ref="AQ30:BJ30"/>
    <mergeCell ref="L39:N39"/>
    <mergeCell ref="O39:R39"/>
    <mergeCell ref="S39:Y39"/>
    <mergeCell ref="O65:R65"/>
    <mergeCell ref="O66:R66"/>
    <mergeCell ref="E65:N65"/>
    <mergeCell ref="E66:N66"/>
    <mergeCell ref="C65:D65"/>
    <mergeCell ref="C40:D40"/>
    <mergeCell ref="C41:D41"/>
    <mergeCell ref="C43:D43"/>
    <mergeCell ref="L36:N36"/>
    <mergeCell ref="Z37:AP37"/>
    <mergeCell ref="S37:Y37"/>
    <mergeCell ref="O37:R37"/>
    <mergeCell ref="L37:N37"/>
    <mergeCell ref="S36:Y36"/>
    <mergeCell ref="Z36:AP36"/>
    <mergeCell ref="L23:N23"/>
    <mergeCell ref="L24:N24"/>
    <mergeCell ref="L25:N25"/>
    <mergeCell ref="Z24:AP24"/>
    <mergeCell ref="E43:K43"/>
    <mergeCell ref="L43:N43"/>
    <mergeCell ref="AC65:AU65"/>
    <mergeCell ref="AC66:AU66"/>
    <mergeCell ref="S35:Y35"/>
    <mergeCell ref="AQ37:BJ37"/>
    <mergeCell ref="AQ39:BJ39"/>
    <mergeCell ref="AQ38:BJ38"/>
    <mergeCell ref="S66:AB66"/>
    <mergeCell ref="Z39:AP39"/>
    <mergeCell ref="O38:R38"/>
    <mergeCell ref="S38:Y38"/>
    <mergeCell ref="Z38:AP38"/>
    <mergeCell ref="AQ42:BJ42"/>
    <mergeCell ref="S65:AB65"/>
    <mergeCell ref="S42:Y42"/>
    <mergeCell ref="Z42:AP42"/>
    <mergeCell ref="E40:K40"/>
    <mergeCell ref="E41:K41"/>
    <mergeCell ref="O43:R43"/>
    <mergeCell ref="C15:D15"/>
    <mergeCell ref="C16:D16"/>
    <mergeCell ref="AG15:AP15"/>
    <mergeCell ref="S25:Y25"/>
    <mergeCell ref="C25:D25"/>
    <mergeCell ref="Z25:AP25"/>
    <mergeCell ref="E35:K35"/>
    <mergeCell ref="L30:N30"/>
    <mergeCell ref="O30:R30"/>
    <mergeCell ref="Z30:AP30"/>
    <mergeCell ref="Z21:AP22"/>
    <mergeCell ref="L35:N35"/>
    <mergeCell ref="O35:R35"/>
    <mergeCell ref="Z35:AP35"/>
    <mergeCell ref="E15:AF15"/>
    <mergeCell ref="C20:D20"/>
    <mergeCell ref="S20:Y20"/>
    <mergeCell ref="C21:D22"/>
    <mergeCell ref="C26:D26"/>
    <mergeCell ref="E21:K22"/>
    <mergeCell ref="E23:K23"/>
    <mergeCell ref="C35:D35"/>
    <mergeCell ref="Z23:AP23"/>
    <mergeCell ref="E20:K20"/>
    <mergeCell ref="L20:N20"/>
    <mergeCell ref="S23:Y23"/>
    <mergeCell ref="AQ21:BJ22"/>
    <mergeCell ref="S21:Y22"/>
    <mergeCell ref="C39:D39"/>
    <mergeCell ref="E39:K39"/>
    <mergeCell ref="C30:D30"/>
    <mergeCell ref="O26:R26"/>
    <mergeCell ref="S26:Y26"/>
    <mergeCell ref="Z26:AP26"/>
    <mergeCell ref="C24:D24"/>
    <mergeCell ref="E30:K30"/>
    <mergeCell ref="C37:D37"/>
    <mergeCell ref="C36:D36"/>
    <mergeCell ref="E36:K36"/>
    <mergeCell ref="E26:K26"/>
    <mergeCell ref="L26:N26"/>
    <mergeCell ref="O21:R22"/>
    <mergeCell ref="L21:N22"/>
    <mergeCell ref="E24:K24"/>
    <mergeCell ref="E25:K25"/>
    <mergeCell ref="O23:R23"/>
    <mergeCell ref="O25:R25"/>
    <mergeCell ref="O24:R2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C42:D42"/>
    <mergeCell ref="E42:K42"/>
    <mergeCell ref="L42:N42"/>
    <mergeCell ref="O42:R42"/>
    <mergeCell ref="H4:T4"/>
    <mergeCell ref="U4:Y4"/>
    <mergeCell ref="Z4:AO4"/>
    <mergeCell ref="AP4:BK4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AQ25:BJ25"/>
    <mergeCell ref="A4:G4"/>
    <mergeCell ref="C23:D23"/>
    <mergeCell ref="Z20:AP20"/>
    <mergeCell ref="S30:Y30"/>
    <mergeCell ref="C31:BJ31"/>
    <mergeCell ref="AG16:AP16"/>
    <mergeCell ref="O20:R20"/>
    <mergeCell ref="C38:D38"/>
    <mergeCell ref="E38:K38"/>
    <mergeCell ref="L38:N38"/>
    <mergeCell ref="S40:Y40"/>
    <mergeCell ref="Z40:AP40"/>
    <mergeCell ref="AQ40:BJ40"/>
    <mergeCell ref="L41:N41"/>
    <mergeCell ref="O41:R41"/>
    <mergeCell ref="S41:Y41"/>
    <mergeCell ref="Z41:AP41"/>
    <mergeCell ref="AQ41:BJ4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8271-31EF-495D-AD5C-2D179426EE02}">
  <sheetPr>
    <tabColor rgb="FF7030A0"/>
    <pageSetUpPr fitToPage="1"/>
  </sheetPr>
  <dimension ref="A1:BK9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POSサーバー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222" t="s">
        <v>65</v>
      </c>
      <c r="B4" s="223"/>
      <c r="C4" s="223"/>
      <c r="D4" s="223"/>
      <c r="E4" s="223"/>
      <c r="F4" s="223"/>
      <c r="G4" s="224"/>
      <c r="H4" s="76" t="str">
        <f>IF(表紙!H4="","",表紙!H4)</f>
        <v>AP1511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2" t="s">
        <v>66</v>
      </c>
      <c r="V4" s="223"/>
      <c r="W4" s="223"/>
      <c r="X4" s="223"/>
      <c r="Y4" s="224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処理フロー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40" customFormat="1" ht="15" customHeight="1" x14ac:dyDescent="0.25">
      <c r="B7" s="42"/>
      <c r="C7" s="22"/>
      <c r="D7" s="22"/>
      <c r="E7" s="22"/>
      <c r="F7" s="22"/>
      <c r="G7" s="22"/>
      <c r="AI7" s="291"/>
      <c r="BJ7" s="291"/>
      <c r="BK7" s="239"/>
    </row>
    <row r="8" spans="1:63" s="240" customFormat="1" ht="15" customHeight="1" x14ac:dyDescent="0.25">
      <c r="B8" s="42"/>
      <c r="C8" s="22"/>
      <c r="D8" s="22"/>
      <c r="E8" s="22"/>
      <c r="F8" s="22"/>
      <c r="G8" s="22"/>
      <c r="AI8" s="291"/>
      <c r="BJ8" s="291"/>
      <c r="BK8" s="239"/>
    </row>
    <row r="9" spans="1:63" s="240" customFormat="1" ht="15" customHeight="1" x14ac:dyDescent="0.25">
      <c r="B9" s="42"/>
      <c r="C9" s="22"/>
      <c r="D9" s="22"/>
      <c r="E9" s="22"/>
      <c r="F9" s="22"/>
      <c r="G9" s="22"/>
      <c r="AI9" s="291"/>
      <c r="BJ9" s="291"/>
      <c r="BK9" s="239"/>
    </row>
    <row r="10" spans="1:63" s="240" customFormat="1" ht="15" customHeight="1" x14ac:dyDescent="0.25">
      <c r="B10" s="42"/>
      <c r="C10" s="22"/>
      <c r="D10" s="22"/>
      <c r="E10" s="22"/>
      <c r="F10" s="22"/>
      <c r="G10" s="22"/>
      <c r="AI10" s="291"/>
      <c r="BJ10" s="291"/>
      <c r="BK10" s="239"/>
    </row>
    <row r="11" spans="1:63" s="240" customFormat="1" ht="15" customHeight="1" x14ac:dyDescent="0.25">
      <c r="B11" s="292" t="s">
        <v>49</v>
      </c>
      <c r="C11" s="293"/>
      <c r="D11" s="293"/>
      <c r="E11" s="293"/>
      <c r="F11" s="293"/>
      <c r="G11" s="293"/>
      <c r="H11" s="293"/>
      <c r="I11" s="293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/>
      <c r="AH11" s="293"/>
      <c r="AI11" s="294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293"/>
      <c r="AZ11" s="293"/>
      <c r="BA11" s="293"/>
      <c r="BB11" s="293"/>
      <c r="BC11" s="293"/>
      <c r="BD11" s="293"/>
      <c r="BE11" s="293"/>
      <c r="BF11" s="293"/>
      <c r="BG11" s="293"/>
      <c r="BH11" s="293"/>
      <c r="BI11" s="293"/>
      <c r="BJ11" s="294"/>
      <c r="BK11" s="239"/>
    </row>
    <row r="12" spans="1:63" s="240" customFormat="1" ht="15" customHeight="1" x14ac:dyDescent="0.25">
      <c r="B12" s="295"/>
      <c r="AI12" s="291"/>
      <c r="BJ12" s="291"/>
      <c r="BK12" s="239"/>
    </row>
    <row r="13" spans="1:63" s="240" customFormat="1" ht="15" customHeight="1" x14ac:dyDescent="0.25">
      <c r="B13" s="295"/>
      <c r="AI13" s="291"/>
      <c r="BJ13" s="291"/>
      <c r="BK13" s="239"/>
    </row>
    <row r="14" spans="1:63" s="240" customFormat="1" ht="15" customHeight="1" x14ac:dyDescent="0.25">
      <c r="B14" s="295"/>
      <c r="AI14" s="291"/>
      <c r="BJ14" s="291"/>
      <c r="BK14" s="239"/>
    </row>
    <row r="15" spans="1:63" s="240" customFormat="1" ht="15" customHeight="1" x14ac:dyDescent="0.25">
      <c r="B15" s="295"/>
      <c r="AI15" s="291"/>
      <c r="BJ15" s="291"/>
      <c r="BK15" s="239"/>
    </row>
    <row r="16" spans="1:63" s="240" customFormat="1" ht="15" customHeight="1" x14ac:dyDescent="0.25">
      <c r="B16" s="295"/>
      <c r="AI16" s="291"/>
      <c r="BJ16" s="291"/>
      <c r="BK16" s="239"/>
    </row>
    <row r="17" spans="2:63" s="240" customFormat="1" ht="15" customHeight="1" x14ac:dyDescent="0.25">
      <c r="B17" s="295"/>
      <c r="AI17" s="291"/>
      <c r="BJ17" s="291"/>
      <c r="BK17" s="239"/>
    </row>
    <row r="18" spans="2:63" s="240" customFormat="1" ht="15" customHeight="1" x14ac:dyDescent="0.25">
      <c r="B18" s="295"/>
      <c r="AI18" s="291"/>
      <c r="BJ18" s="291"/>
      <c r="BK18" s="239"/>
    </row>
    <row r="19" spans="2:63" s="240" customFormat="1" ht="15" customHeight="1" x14ac:dyDescent="0.25">
      <c r="B19" s="295"/>
      <c r="AI19" s="291"/>
      <c r="BJ19" s="291"/>
      <c r="BK19" s="239"/>
    </row>
    <row r="20" spans="2:63" s="240" customFormat="1" ht="15" customHeight="1" x14ac:dyDescent="0.25">
      <c r="B20" s="295"/>
      <c r="AI20" s="291"/>
      <c r="BJ20" s="291"/>
      <c r="BK20" s="239"/>
    </row>
    <row r="21" spans="2:63" s="240" customFormat="1" ht="15" customHeight="1" x14ac:dyDescent="0.25">
      <c r="B21" s="295"/>
      <c r="AI21" s="291"/>
      <c r="BJ21" s="291"/>
      <c r="BK21" s="239"/>
    </row>
    <row r="22" spans="2:63" s="240" customFormat="1" ht="15" customHeight="1" x14ac:dyDescent="0.25">
      <c r="B22" s="295"/>
      <c r="AI22" s="291"/>
      <c r="BJ22" s="291"/>
      <c r="BK22" s="239"/>
    </row>
    <row r="23" spans="2:63" s="240" customFormat="1" ht="15" customHeight="1" x14ac:dyDescent="0.25">
      <c r="B23" s="295"/>
      <c r="AI23" s="291"/>
      <c r="BJ23" s="291"/>
      <c r="BK23" s="239"/>
    </row>
    <row r="24" spans="2:63" s="240" customFormat="1" ht="15" customHeight="1" x14ac:dyDescent="0.25">
      <c r="B24" s="295"/>
      <c r="AI24" s="291"/>
      <c r="BJ24" s="291"/>
      <c r="BK24" s="239"/>
    </row>
    <row r="25" spans="2:63" s="240" customFormat="1" ht="15" customHeight="1" x14ac:dyDescent="0.25">
      <c r="B25" s="295"/>
      <c r="AI25" s="291"/>
      <c r="BJ25" s="291"/>
      <c r="BK25" s="239"/>
    </row>
    <row r="26" spans="2:63" s="240" customFormat="1" ht="15" customHeight="1" x14ac:dyDescent="0.25">
      <c r="B26" s="295"/>
      <c r="AI26" s="291"/>
      <c r="BJ26" s="291"/>
      <c r="BK26" s="239"/>
    </row>
    <row r="27" spans="2:63" s="240" customFormat="1" ht="15" customHeight="1" x14ac:dyDescent="0.25">
      <c r="B27" s="295"/>
      <c r="AI27" s="291"/>
      <c r="BJ27" s="291"/>
      <c r="BK27" s="239"/>
    </row>
    <row r="28" spans="2:63" s="240" customFormat="1" ht="15" customHeight="1" x14ac:dyDescent="0.25">
      <c r="B28" s="295"/>
      <c r="AI28" s="291"/>
      <c r="BJ28" s="291"/>
      <c r="BK28" s="239"/>
    </row>
    <row r="29" spans="2:63" s="240" customFormat="1" ht="15" customHeight="1" x14ac:dyDescent="0.25">
      <c r="B29" s="295"/>
      <c r="AI29" s="291"/>
      <c r="BJ29" s="291"/>
      <c r="BK29" s="239"/>
    </row>
    <row r="30" spans="2:63" s="240" customFormat="1" ht="15" customHeight="1" x14ac:dyDescent="0.25">
      <c r="B30" s="295"/>
      <c r="AI30" s="291"/>
      <c r="BJ30" s="291"/>
      <c r="BK30" s="239"/>
    </row>
    <row r="31" spans="2:63" s="240" customFormat="1" ht="15" customHeight="1" x14ac:dyDescent="0.25">
      <c r="B31" s="295"/>
      <c r="AI31" s="291"/>
      <c r="BJ31" s="291"/>
      <c r="BK31" s="239"/>
    </row>
    <row r="32" spans="2:63" s="240" customFormat="1" ht="15" customHeight="1" x14ac:dyDescent="0.25">
      <c r="B32" s="295"/>
      <c r="AI32" s="291"/>
      <c r="BJ32" s="291"/>
      <c r="BK32" s="239"/>
    </row>
    <row r="33" spans="2:63" s="240" customFormat="1" ht="15" customHeight="1" x14ac:dyDescent="0.25">
      <c r="B33" s="295"/>
      <c r="AI33" s="291"/>
      <c r="BJ33" s="291"/>
      <c r="BK33" s="239"/>
    </row>
    <row r="34" spans="2:63" s="240" customFormat="1" ht="15" customHeight="1" x14ac:dyDescent="0.25">
      <c r="B34" s="295"/>
      <c r="AI34" s="291"/>
      <c r="BJ34" s="291"/>
      <c r="BK34" s="239"/>
    </row>
    <row r="35" spans="2:63" s="240" customFormat="1" ht="15" customHeight="1" x14ac:dyDescent="0.25">
      <c r="B35" s="295"/>
      <c r="AI35" s="291"/>
      <c r="BJ35" s="291"/>
      <c r="BK35" s="239"/>
    </row>
    <row r="36" spans="2:63" s="240" customFormat="1" ht="15" customHeight="1" x14ac:dyDescent="0.25">
      <c r="B36" s="295"/>
      <c r="AI36" s="291"/>
      <c r="BJ36" s="291"/>
      <c r="BK36" s="239"/>
    </row>
    <row r="37" spans="2:63" s="240" customFormat="1" ht="15" customHeight="1" x14ac:dyDescent="0.25">
      <c r="B37" s="295"/>
      <c r="AI37" s="291"/>
      <c r="BJ37" s="291"/>
      <c r="BK37" s="239"/>
    </row>
    <row r="38" spans="2:63" s="240" customFormat="1" ht="15" customHeight="1" x14ac:dyDescent="0.25">
      <c r="B38" s="295"/>
      <c r="AI38" s="291"/>
      <c r="BJ38" s="291"/>
      <c r="BK38" s="239"/>
    </row>
    <row r="39" spans="2:63" s="240" customFormat="1" ht="15" customHeight="1" x14ac:dyDescent="0.25">
      <c r="B39" s="295"/>
      <c r="AI39" s="291"/>
      <c r="BJ39" s="291"/>
      <c r="BK39" s="239"/>
    </row>
    <row r="40" spans="2:63" s="240" customFormat="1" ht="15" customHeight="1" x14ac:dyDescent="0.25">
      <c r="B40" s="295"/>
      <c r="AI40" s="291"/>
      <c r="BJ40" s="291"/>
      <c r="BK40" s="239"/>
    </row>
    <row r="41" spans="2:63" ht="15" customHeight="1" x14ac:dyDescent="0.25">
      <c r="B41" s="10"/>
      <c r="AI41" s="12"/>
      <c r="BJ41" s="12"/>
      <c r="BK41" s="6"/>
    </row>
    <row r="42" spans="2:63" ht="15" customHeight="1" x14ac:dyDescent="0.25">
      <c r="B42" s="10"/>
      <c r="AI42" s="12"/>
      <c r="BJ42" s="12"/>
      <c r="BK42" s="6"/>
    </row>
    <row r="43" spans="2:63" ht="15" customHeight="1" x14ac:dyDescent="0.25">
      <c r="B43" s="10"/>
      <c r="AI43" s="12"/>
      <c r="BJ43" s="12"/>
      <c r="BK43" s="6"/>
    </row>
    <row r="44" spans="2:63" ht="15" customHeight="1" x14ac:dyDescent="0.25">
      <c r="B44" s="10"/>
      <c r="AI44" s="12"/>
      <c r="BJ44" s="12"/>
      <c r="BK44" s="6"/>
    </row>
    <row r="45" spans="2:63" ht="15" customHeight="1" x14ac:dyDescent="0.25">
      <c r="B45" s="10"/>
      <c r="AI45" s="12"/>
      <c r="BJ45" s="12"/>
      <c r="BK45" s="6"/>
    </row>
    <row r="46" spans="2:63" ht="15" customHeight="1" x14ac:dyDescent="0.25">
      <c r="B46" s="10"/>
      <c r="AI46" s="12"/>
      <c r="BJ46" s="12"/>
      <c r="BK46" s="6"/>
    </row>
    <row r="47" spans="2:63" ht="15" customHeight="1" x14ac:dyDescent="0.25">
      <c r="B47" s="10"/>
      <c r="AI47" s="12"/>
      <c r="BJ47" s="12"/>
      <c r="BK47" s="6"/>
    </row>
    <row r="48" spans="2:63" ht="15" customHeight="1" x14ac:dyDescent="0.25">
      <c r="B48" s="10"/>
      <c r="AI48" s="12"/>
      <c r="BJ48" s="12"/>
      <c r="BK48" s="6"/>
    </row>
    <row r="49" spans="2:63" ht="15" customHeight="1" x14ac:dyDescent="0.25">
      <c r="B49" s="10"/>
      <c r="AI49" s="12"/>
      <c r="BJ49" s="12"/>
      <c r="BK49" s="6"/>
    </row>
    <row r="50" spans="2:63" ht="15" customHeight="1" x14ac:dyDescent="0.25">
      <c r="B50" s="10"/>
      <c r="AI50" s="12"/>
      <c r="BJ50" s="12"/>
      <c r="BK50" s="6"/>
    </row>
    <row r="51" spans="2:63" ht="15" customHeight="1" x14ac:dyDescent="0.25">
      <c r="B51" s="10"/>
      <c r="AI51" s="12"/>
      <c r="BJ51" s="12"/>
      <c r="BK51" s="6"/>
    </row>
    <row r="52" spans="2:63" ht="15" customHeight="1" x14ac:dyDescent="0.25">
      <c r="B52" s="10"/>
      <c r="AI52" s="12"/>
      <c r="BJ52" s="12"/>
      <c r="BK52" s="6"/>
    </row>
    <row r="53" spans="2:63" ht="15" customHeight="1" x14ac:dyDescent="0.25">
      <c r="B53" s="10"/>
      <c r="AI53" s="12"/>
      <c r="BJ53" s="12"/>
      <c r="BK53" s="6"/>
    </row>
    <row r="54" spans="2:63" ht="15" customHeight="1" x14ac:dyDescent="0.25">
      <c r="B54" s="10"/>
      <c r="AI54" s="12"/>
      <c r="BJ54" s="12"/>
      <c r="BK54" s="6"/>
    </row>
    <row r="55" spans="2:63" ht="15" customHeight="1" x14ac:dyDescent="0.25">
      <c r="B55" s="10"/>
      <c r="AI55" s="12"/>
      <c r="BJ55" s="12"/>
      <c r="BK55" s="6"/>
    </row>
    <row r="56" spans="2:63" ht="15" customHeight="1" x14ac:dyDescent="0.25">
      <c r="B56" s="10"/>
      <c r="AI56" s="12"/>
      <c r="BJ56" s="12"/>
      <c r="BK56" s="6"/>
    </row>
    <row r="57" spans="2:63" ht="15" customHeight="1" x14ac:dyDescent="0.25">
      <c r="B57" s="10"/>
      <c r="AI57" s="12"/>
      <c r="BJ57" s="12"/>
      <c r="BK57" s="6"/>
    </row>
    <row r="58" spans="2:63" ht="15" customHeight="1" x14ac:dyDescent="0.25">
      <c r="B58" s="10"/>
      <c r="AI58" s="12"/>
      <c r="BJ58" s="12"/>
      <c r="BK58" s="6"/>
    </row>
    <row r="59" spans="2:63" ht="15" customHeight="1" x14ac:dyDescent="0.25">
      <c r="B59" s="10"/>
      <c r="AI59" s="12"/>
      <c r="BJ59" s="12"/>
      <c r="BK59" s="6"/>
    </row>
    <row r="60" spans="2:63" ht="15" customHeight="1" x14ac:dyDescent="0.25">
      <c r="B60" s="10"/>
      <c r="AI60" s="12"/>
      <c r="BJ60" s="12"/>
      <c r="BK60" s="6"/>
    </row>
    <row r="61" spans="2:63" ht="15" customHeight="1" x14ac:dyDescent="0.25">
      <c r="B61" s="10"/>
      <c r="AI61" s="12"/>
      <c r="BJ61" s="12"/>
      <c r="BK61" s="6"/>
    </row>
    <row r="62" spans="2:63" ht="15" customHeight="1" x14ac:dyDescent="0.25">
      <c r="B62" s="10"/>
      <c r="AI62" s="12"/>
      <c r="BJ62" s="12"/>
      <c r="BK62" s="6"/>
    </row>
    <row r="63" spans="2:63" ht="15" customHeight="1" x14ac:dyDescent="0.25">
      <c r="B63" s="10"/>
      <c r="AI63" s="12"/>
      <c r="BJ63" s="12"/>
      <c r="BK63" s="6"/>
    </row>
    <row r="64" spans="2:63" ht="15" customHeight="1" x14ac:dyDescent="0.25">
      <c r="B64" s="10"/>
      <c r="AI64" s="12"/>
      <c r="BJ64" s="12"/>
      <c r="BK64" s="6"/>
    </row>
    <row r="65" spans="2:63" ht="15" customHeight="1" x14ac:dyDescent="0.25">
      <c r="B65" s="10"/>
      <c r="AI65" s="12"/>
      <c r="BJ65" s="12"/>
      <c r="BK65" s="6"/>
    </row>
    <row r="66" spans="2:63" ht="15" customHeight="1" x14ac:dyDescent="0.25">
      <c r="B66" s="10"/>
      <c r="AI66" s="12"/>
      <c r="BJ66" s="12"/>
      <c r="BK66" s="6"/>
    </row>
    <row r="67" spans="2:63" ht="15" customHeight="1" x14ac:dyDescent="0.25">
      <c r="B67" s="10"/>
      <c r="AI67" s="12"/>
      <c r="BJ67" s="12"/>
      <c r="BK67" s="6"/>
    </row>
    <row r="68" spans="2:63" ht="15" customHeight="1" x14ac:dyDescent="0.25">
      <c r="B68" s="10"/>
      <c r="AI68" s="12"/>
      <c r="BJ68" s="12"/>
      <c r="BK68" s="6"/>
    </row>
    <row r="69" spans="2:63" ht="15" customHeight="1" x14ac:dyDescent="0.25">
      <c r="B69" s="10"/>
      <c r="AI69" s="12"/>
      <c r="BJ69" s="12"/>
      <c r="BK69" s="6"/>
    </row>
    <row r="70" spans="2:63" ht="15" customHeight="1" x14ac:dyDescent="0.25">
      <c r="B70" s="10"/>
      <c r="AI70" s="12"/>
      <c r="BJ70" s="12"/>
      <c r="BK70" s="6"/>
    </row>
    <row r="71" spans="2:63" ht="15" customHeight="1" x14ac:dyDescent="0.25">
      <c r="B71" s="10"/>
      <c r="AI71" s="12"/>
      <c r="BJ71" s="12"/>
      <c r="BK71" s="6"/>
    </row>
    <row r="72" spans="2:63" ht="15" customHeight="1" x14ac:dyDescent="0.25">
      <c r="B72" s="10"/>
      <c r="AI72" s="12"/>
      <c r="BJ72" s="12"/>
      <c r="BK72" s="6"/>
    </row>
    <row r="73" spans="2:63" ht="15" customHeight="1" x14ac:dyDescent="0.25">
      <c r="B73" s="10"/>
      <c r="AI73" s="12"/>
      <c r="BJ73" s="12"/>
      <c r="BK73" s="6"/>
    </row>
    <row r="74" spans="2:63" ht="15" customHeight="1" x14ac:dyDescent="0.25">
      <c r="B74" s="10"/>
      <c r="AI74" s="12"/>
      <c r="BJ74" s="12"/>
      <c r="BK74" s="6"/>
    </row>
    <row r="75" spans="2:63" ht="15" customHeight="1" x14ac:dyDescent="0.25">
      <c r="B75" s="10"/>
      <c r="AI75" s="12"/>
      <c r="BJ75" s="12"/>
      <c r="BK75" s="6"/>
    </row>
    <row r="76" spans="2:63" ht="15" customHeight="1" x14ac:dyDescent="0.25">
      <c r="B76" s="10"/>
      <c r="AI76" s="12"/>
      <c r="BJ76" s="12"/>
      <c r="BK76" s="6"/>
    </row>
    <row r="77" spans="2:63" ht="15" customHeight="1" x14ac:dyDescent="0.25">
      <c r="B77" s="10"/>
      <c r="AI77" s="12"/>
      <c r="BJ77" s="12"/>
      <c r="BK77" s="6"/>
    </row>
    <row r="78" spans="2:63" ht="15" customHeight="1" x14ac:dyDescent="0.25">
      <c r="B78" s="10"/>
      <c r="AI78" s="12"/>
      <c r="BJ78" s="12"/>
      <c r="BK78" s="6"/>
    </row>
    <row r="79" spans="2:63" ht="15" customHeight="1" x14ac:dyDescent="0.25">
      <c r="B79" s="10"/>
      <c r="AI79" s="12"/>
      <c r="BJ79" s="12"/>
      <c r="BK79" s="6"/>
    </row>
    <row r="80" spans="2:63" ht="15" customHeight="1" x14ac:dyDescent="0.25">
      <c r="B80" s="10"/>
      <c r="AI80" s="12"/>
      <c r="BJ80" s="12"/>
      <c r="BK80" s="6"/>
    </row>
    <row r="81" spans="1:63" ht="15" customHeight="1" x14ac:dyDescent="0.25">
      <c r="B81" s="10"/>
      <c r="AI81" s="12"/>
      <c r="BJ81" s="12"/>
      <c r="BK81" s="6"/>
    </row>
    <row r="82" spans="1:63" ht="15" customHeight="1" x14ac:dyDescent="0.25">
      <c r="B82" s="10"/>
      <c r="AI82" s="12"/>
      <c r="BJ82" s="12"/>
      <c r="BK82" s="6"/>
    </row>
    <row r="83" spans="1:63" ht="15" customHeight="1" x14ac:dyDescent="0.25">
      <c r="B83" s="10"/>
      <c r="AI83" s="12"/>
      <c r="BJ83" s="12"/>
      <c r="BK83" s="6"/>
    </row>
    <row r="84" spans="1:63" ht="15" customHeight="1" x14ac:dyDescent="0.25">
      <c r="B84" s="10"/>
      <c r="AI84" s="12"/>
      <c r="BJ84" s="12"/>
      <c r="BK84" s="6"/>
    </row>
    <row r="85" spans="1:63" ht="15" customHeight="1" x14ac:dyDescent="0.25">
      <c r="B85" s="10"/>
      <c r="AI85" s="12"/>
      <c r="BJ85" s="12"/>
      <c r="BK85" s="6"/>
    </row>
    <row r="86" spans="1:63" ht="15" customHeight="1" x14ac:dyDescent="0.25">
      <c r="B86" s="10"/>
      <c r="AI86" s="12"/>
      <c r="BJ86" s="12"/>
      <c r="BK86" s="6"/>
    </row>
    <row r="87" spans="1:63" ht="15" customHeight="1" x14ac:dyDescent="0.25">
      <c r="B87" s="10"/>
      <c r="AI87" s="12"/>
      <c r="BJ87" s="12"/>
      <c r="BK87" s="6"/>
    </row>
    <row r="88" spans="1:63" ht="15" customHeight="1" x14ac:dyDescent="0.25">
      <c r="B88" s="10"/>
      <c r="AI88" s="12"/>
      <c r="BJ88" s="12"/>
      <c r="BK88" s="6"/>
    </row>
    <row r="89" spans="1:63" ht="15" customHeight="1" x14ac:dyDescent="0.25">
      <c r="B89" s="10"/>
      <c r="AI89" s="12"/>
      <c r="BJ89" s="12"/>
      <c r="BK89" s="6"/>
    </row>
    <row r="90" spans="1:63" ht="15" customHeight="1" x14ac:dyDescent="0.25">
      <c r="B90" s="10"/>
      <c r="AI90" s="12"/>
      <c r="BJ90" s="12"/>
      <c r="BK90" s="6"/>
    </row>
    <row r="91" spans="1:63" ht="15" customHeight="1" x14ac:dyDescent="0.25">
      <c r="B91" s="10"/>
      <c r="AI91" s="12"/>
      <c r="BJ91" s="12"/>
      <c r="BK91" s="6"/>
    </row>
    <row r="92" spans="1:63" ht="15" customHeight="1" x14ac:dyDescent="0.25">
      <c r="A92" s="4"/>
      <c r="B92" s="1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13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13"/>
      <c r="BK92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222" t="s">
        <v>56</v>
      </c>
      <c r="B1" s="223"/>
      <c r="C1" s="223"/>
      <c r="D1" s="223"/>
      <c r="E1" s="223"/>
      <c r="F1" s="223"/>
      <c r="G1" s="223"/>
      <c r="H1" s="223"/>
      <c r="I1" s="223"/>
      <c r="J1" s="224"/>
      <c r="K1" s="222" t="s">
        <v>57</v>
      </c>
      <c r="L1" s="223"/>
      <c r="M1" s="223"/>
      <c r="N1" s="223"/>
      <c r="O1" s="223"/>
      <c r="P1" s="223"/>
      <c r="Q1" s="223"/>
      <c r="R1" s="223"/>
      <c r="S1" s="223"/>
      <c r="T1" s="223"/>
      <c r="U1" s="223"/>
      <c r="V1" s="224"/>
      <c r="W1" s="225" t="str">
        <f>IF(表紙!W1="","",表紙!W1)</f>
        <v>詳細設計書</v>
      </c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7"/>
      <c r="AP1" s="148" t="s">
        <v>59</v>
      </c>
      <c r="AQ1" s="149"/>
      <c r="AR1" s="149"/>
      <c r="AS1" s="150"/>
      <c r="AT1" s="148" t="s">
        <v>60</v>
      </c>
      <c r="AU1" s="149"/>
      <c r="AV1" s="149"/>
      <c r="AW1" s="149"/>
      <c r="AX1" s="150"/>
      <c r="AY1" s="148" t="s">
        <v>61</v>
      </c>
      <c r="AZ1" s="149"/>
      <c r="BA1" s="149"/>
      <c r="BB1" s="150"/>
      <c r="BC1" s="148" t="s">
        <v>62</v>
      </c>
      <c r="BD1" s="149"/>
      <c r="BE1" s="149"/>
      <c r="BF1" s="149"/>
      <c r="BG1" s="150"/>
      <c r="BH1" s="148" t="s">
        <v>63</v>
      </c>
      <c r="BI1" s="149"/>
      <c r="BJ1" s="149"/>
      <c r="BK1" s="150"/>
    </row>
    <row r="2" spans="1:63" ht="15" customHeight="1" x14ac:dyDescent="0.25">
      <c r="A2" s="80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0" t="str">
        <f>IF(表紙!K2="","",表紙!K2)</f>
        <v>POSサーバー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228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30"/>
      <c r="AP2" s="157" t="str">
        <f>IF(表紙!AP2="","",表紙!AP2)</f>
        <v>DuNT</v>
      </c>
      <c r="AQ2" s="155"/>
      <c r="AR2" s="155"/>
      <c r="AS2" s="156"/>
      <c r="AT2" s="161" t="str">
        <f>IF(表紙!AT2="","",表紙!AT2)</f>
        <v>20245/02/25</v>
      </c>
      <c r="AU2" s="162"/>
      <c r="AV2" s="162"/>
      <c r="AW2" s="162"/>
      <c r="AX2" s="163"/>
      <c r="AY2" s="157" t="str">
        <f>IF(表紙!AY2="","",表紙!AY2)</f>
        <v>LoiLV</v>
      </c>
      <c r="AZ2" s="155"/>
      <c r="BA2" s="155"/>
      <c r="BB2" s="156"/>
      <c r="BC2" s="161">
        <f>IF(表紙!BC2="","",表紙!BC2)</f>
        <v>45727</v>
      </c>
      <c r="BD2" s="162"/>
      <c r="BE2" s="162"/>
      <c r="BF2" s="162"/>
      <c r="BG2" s="163"/>
      <c r="BH2" s="157">
        <f>IF(表紙!BH2="","",表紙!BH2)</f>
        <v>0.11</v>
      </c>
      <c r="BI2" s="155"/>
      <c r="BJ2" s="155"/>
      <c r="BK2" s="156"/>
    </row>
    <row r="3" spans="1:63" ht="15" customHeight="1" x14ac:dyDescent="0.25">
      <c r="A3" s="83"/>
      <c r="B3" s="84"/>
      <c r="C3" s="84"/>
      <c r="D3" s="84"/>
      <c r="E3" s="84"/>
      <c r="F3" s="84"/>
      <c r="G3" s="84"/>
      <c r="H3" s="84"/>
      <c r="I3" s="84"/>
      <c r="J3" s="85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  <c r="V3" s="85"/>
      <c r="W3" s="231"/>
      <c r="X3" s="232"/>
      <c r="Y3" s="232"/>
      <c r="Z3" s="232"/>
      <c r="AA3" s="232"/>
      <c r="AB3" s="232"/>
      <c r="AC3" s="232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3"/>
      <c r="AP3" s="167"/>
      <c r="AQ3" s="168"/>
      <c r="AR3" s="168"/>
      <c r="AS3" s="169"/>
      <c r="AT3" s="173"/>
      <c r="AU3" s="174"/>
      <c r="AV3" s="174"/>
      <c r="AW3" s="174"/>
      <c r="AX3" s="175"/>
      <c r="AY3" s="167"/>
      <c r="AZ3" s="168"/>
      <c r="BA3" s="168"/>
      <c r="BB3" s="169"/>
      <c r="BC3" s="173"/>
      <c r="BD3" s="174"/>
      <c r="BE3" s="174"/>
      <c r="BF3" s="174"/>
      <c r="BG3" s="175"/>
      <c r="BH3" s="167"/>
      <c r="BI3" s="168"/>
      <c r="BJ3" s="168"/>
      <c r="BK3" s="169"/>
    </row>
    <row r="4" spans="1:63" ht="24.95" customHeight="1" x14ac:dyDescent="0.25">
      <c r="A4" s="222" t="s">
        <v>65</v>
      </c>
      <c r="B4" s="223"/>
      <c r="C4" s="223"/>
      <c r="D4" s="223"/>
      <c r="E4" s="223"/>
      <c r="F4" s="223"/>
      <c r="G4" s="224"/>
      <c r="H4" s="76" t="str">
        <f>IF(表紙!H4="","",表紙!H4)</f>
        <v>AP1511</v>
      </c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8"/>
      <c r="U4" s="222" t="s">
        <v>66</v>
      </c>
      <c r="V4" s="223"/>
      <c r="W4" s="223"/>
      <c r="X4" s="223"/>
      <c r="Y4" s="224"/>
      <c r="Z4" s="76" t="str">
        <f>IF(表紙!Z4="","",表紙!Z4)</f>
        <v>API設計書</v>
      </c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8"/>
      <c r="AP4" s="79" t="str">
        <f ca="1">MID(CELL("filename",A1),FIND("]",CELL("filename",A1))+1,255)</f>
        <v>テンプレート</v>
      </c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8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9"/>
    </row>
    <row r="7" spans="1:63" s="240" customFormat="1" ht="15" customHeight="1" x14ac:dyDescent="0.25">
      <c r="BK7" s="239"/>
    </row>
    <row r="8" spans="1:63" s="240" customFormat="1" ht="15" customHeight="1" x14ac:dyDescent="0.25">
      <c r="BK8" s="239"/>
    </row>
    <row r="9" spans="1:63" s="240" customFormat="1" ht="15" customHeight="1" x14ac:dyDescent="0.25">
      <c r="BK9" s="239"/>
    </row>
    <row r="10" spans="1:63" s="240" customFormat="1" ht="15" customHeight="1" x14ac:dyDescent="0.25">
      <c r="BK10" s="239"/>
    </row>
    <row r="11" spans="1:63" s="240" customFormat="1" ht="15" customHeight="1" x14ac:dyDescent="0.25">
      <c r="BK11" s="239"/>
    </row>
    <row r="12" spans="1:63" s="240" customFormat="1" ht="15" customHeight="1" x14ac:dyDescent="0.25">
      <c r="BK12" s="239"/>
    </row>
    <row r="13" spans="1:63" s="240" customFormat="1" ht="15" customHeight="1" x14ac:dyDescent="0.25">
      <c r="BK13" s="239"/>
    </row>
    <row r="14" spans="1:63" s="240" customFormat="1" ht="15" customHeight="1" x14ac:dyDescent="0.25">
      <c r="BK14" s="239"/>
    </row>
    <row r="15" spans="1:63" s="240" customFormat="1" ht="15" customHeight="1" x14ac:dyDescent="0.25">
      <c r="BK15" s="239"/>
    </row>
    <row r="16" spans="1:63" s="240" customFormat="1" ht="15" customHeight="1" x14ac:dyDescent="0.25">
      <c r="BK16" s="239"/>
    </row>
    <row r="17" spans="63:63" s="240" customFormat="1" ht="15" customHeight="1" x14ac:dyDescent="0.25">
      <c r="BK17" s="239"/>
    </row>
    <row r="18" spans="63:63" s="240" customFormat="1" ht="15" customHeight="1" x14ac:dyDescent="0.25">
      <c r="BK18" s="239"/>
    </row>
    <row r="19" spans="63:63" s="240" customFormat="1" ht="15" customHeight="1" x14ac:dyDescent="0.25">
      <c r="BK19" s="239"/>
    </row>
    <row r="20" spans="63:63" s="240" customFormat="1" ht="15" customHeight="1" x14ac:dyDescent="0.25">
      <c r="BK20" s="239"/>
    </row>
    <row r="21" spans="63:63" s="240" customFormat="1" ht="15" customHeight="1" x14ac:dyDescent="0.25">
      <c r="BK21" s="239"/>
    </row>
    <row r="22" spans="63:63" s="240" customFormat="1" ht="15" customHeight="1" x14ac:dyDescent="0.25">
      <c r="BK22" s="239"/>
    </row>
    <row r="23" spans="63:63" s="240" customFormat="1" ht="15" customHeight="1" x14ac:dyDescent="0.25">
      <c r="BK23" s="239"/>
    </row>
    <row r="24" spans="63:63" s="240" customFormat="1" ht="15" customHeight="1" x14ac:dyDescent="0.25">
      <c r="BK24" s="239"/>
    </row>
    <row r="25" spans="63:63" s="240" customFormat="1" ht="15" customHeight="1" x14ac:dyDescent="0.25">
      <c r="BK25" s="239"/>
    </row>
    <row r="26" spans="63:63" s="240" customFormat="1" ht="15" customHeight="1" x14ac:dyDescent="0.25">
      <c r="BK26" s="239"/>
    </row>
    <row r="27" spans="63:63" s="240" customFormat="1" ht="15" customHeight="1" x14ac:dyDescent="0.25">
      <c r="BK27" s="239"/>
    </row>
    <row r="28" spans="63:63" s="240" customFormat="1" ht="15" customHeight="1" x14ac:dyDescent="0.25">
      <c r="BK28" s="239"/>
    </row>
    <row r="29" spans="63:63" s="240" customFormat="1" ht="15" customHeight="1" x14ac:dyDescent="0.25">
      <c r="BK29" s="239"/>
    </row>
    <row r="30" spans="63:63" s="240" customFormat="1" ht="15" customHeight="1" x14ac:dyDescent="0.25">
      <c r="BK30" s="239"/>
    </row>
    <row r="31" spans="63:63" s="240" customFormat="1" ht="15" customHeight="1" x14ac:dyDescent="0.25">
      <c r="BK31" s="239"/>
    </row>
    <row r="32" spans="63:63" s="240" customFormat="1" ht="15" customHeight="1" x14ac:dyDescent="0.25">
      <c r="BK32" s="239"/>
    </row>
    <row r="33" spans="63:63" s="240" customFormat="1" ht="15" customHeight="1" x14ac:dyDescent="0.25">
      <c r="BK33" s="239"/>
    </row>
    <row r="34" spans="63:63" s="240" customFormat="1" ht="15" customHeight="1" x14ac:dyDescent="0.25">
      <c r="BK34" s="239"/>
    </row>
    <row r="35" spans="63:63" s="240" customFormat="1" ht="15" customHeight="1" x14ac:dyDescent="0.25">
      <c r="BK35" s="239"/>
    </row>
    <row r="36" spans="63:63" s="240" customFormat="1" ht="15" customHeight="1" x14ac:dyDescent="0.25">
      <c r="BK36" s="239"/>
    </row>
    <row r="37" spans="63:63" s="240" customFormat="1" ht="15" customHeight="1" x14ac:dyDescent="0.25">
      <c r="BK37" s="239"/>
    </row>
    <row r="38" spans="63:63" s="240" customFormat="1" ht="15" customHeight="1" x14ac:dyDescent="0.25">
      <c r="BK38" s="239"/>
    </row>
    <row r="39" spans="63:63" s="240" customFormat="1" ht="15" customHeight="1" x14ac:dyDescent="0.25">
      <c r="BK39" s="239"/>
    </row>
    <row r="40" spans="63:63" s="240" customFormat="1" ht="15" customHeight="1" x14ac:dyDescent="0.25">
      <c r="BK40" s="239"/>
    </row>
    <row r="41" spans="63:63" s="240" customFormat="1" ht="15" customHeight="1" x14ac:dyDescent="0.25">
      <c r="BK41" s="239"/>
    </row>
    <row r="42" spans="63:63" s="240" customFormat="1" ht="15" customHeight="1" x14ac:dyDescent="0.25">
      <c r="BK42" s="239"/>
    </row>
    <row r="43" spans="63:63" s="240" customFormat="1" ht="15" customHeight="1" x14ac:dyDescent="0.25">
      <c r="BK43" s="239"/>
    </row>
    <row r="44" spans="63:63" s="240" customFormat="1" ht="15" customHeight="1" x14ac:dyDescent="0.25">
      <c r="BK44" s="239"/>
    </row>
    <row r="45" spans="63:63" s="240" customFormat="1" ht="15" customHeight="1" x14ac:dyDescent="0.25">
      <c r="BK45" s="239"/>
    </row>
    <row r="46" spans="63:63" s="240" customFormat="1" ht="15" customHeight="1" x14ac:dyDescent="0.25">
      <c r="BK46" s="239"/>
    </row>
    <row r="47" spans="63:63" ht="15" customHeight="1" x14ac:dyDescent="0.25">
      <c r="BK47" s="6"/>
    </row>
    <row r="48" spans="63:63" ht="15" customHeight="1" x14ac:dyDescent="0.25">
      <c r="BK48" s="6"/>
    </row>
    <row r="49" spans="1:63" ht="15" customHeight="1" x14ac:dyDescent="0.25">
      <c r="BK49" s="6"/>
    </row>
    <row r="50" spans="1:63" ht="15" customHeight="1" x14ac:dyDescent="0.25">
      <c r="BK50" s="6"/>
    </row>
    <row r="51" spans="1:63" ht="15" customHeight="1" x14ac:dyDescent="0.25">
      <c r="BK51" s="6"/>
    </row>
    <row r="52" spans="1:63" ht="15" customHeight="1" x14ac:dyDescent="0.25">
      <c r="BK52" s="6"/>
    </row>
    <row r="53" spans="1:63" ht="15" customHeight="1" x14ac:dyDescent="0.25">
      <c r="BK53" s="6"/>
    </row>
    <row r="54" spans="1:63" ht="1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5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AP1511</vt:lpstr>
      <vt:lpstr>処理フロー</vt:lpstr>
      <vt:lpstr>テンプレート</vt:lpstr>
      <vt:lpstr>'AP1511'!Print_Area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2025-03-21T08:55:57Z</dcterms:modified>
  <cp:category/>
  <cp:contentStatus/>
</cp:coreProperties>
</file>