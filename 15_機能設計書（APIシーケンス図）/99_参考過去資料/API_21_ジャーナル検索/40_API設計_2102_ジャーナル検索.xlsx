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21_ジャーナル検索\"/>
    </mc:Choice>
  </mc:AlternateContent>
  <xr:revisionPtr revIDLastSave="0" documentId="13_ncr:1_{6647713A-BD76-42D0-86E9-C406A60210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2102" sheetId="8" r:id="rId4"/>
    <sheet name="処理フロー" sheetId="9" r:id="rId5"/>
    <sheet name="テンプレート" sheetId="7" r:id="rId6"/>
  </sheets>
  <definedNames>
    <definedName name="_xlnm.Print_Area" localSheetId="3">'AP2102'!$A$1:$BK$121</definedName>
    <definedName name="_xlnm.Print_Area" localSheetId="5">テンプレート!$A$1:$BK$54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P2" i="9"/>
  <c r="K2" i="9"/>
  <c r="A2" i="9"/>
  <c r="W1" i="9"/>
  <c r="C58" i="8"/>
  <c r="C59" i="8" s="1"/>
  <c r="C60" i="8" s="1"/>
  <c r="C61" i="8" s="1"/>
  <c r="C62" i="8" s="1"/>
  <c r="C63" i="8" s="1"/>
  <c r="C64" i="8" s="1"/>
  <c r="C65" i="8" s="1"/>
  <c r="C66" i="8" s="1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10" s="1"/>
  <c r="AP2" i="4"/>
  <c r="AP2" i="10" s="1"/>
  <c r="AY2" i="3" l="1"/>
  <c r="AY2" i="10"/>
  <c r="BC2" i="8"/>
  <c r="BC2" i="9"/>
  <c r="AP2" i="7"/>
  <c r="BH2" i="7"/>
  <c r="BC2" i="3"/>
  <c r="BC2" i="10"/>
  <c r="BH2" i="8"/>
  <c r="BH2" i="9"/>
  <c r="AT2" i="7"/>
  <c r="AP2" i="3"/>
  <c r="BH2" i="3"/>
  <c r="AT2" i="8"/>
  <c r="AT2" i="9"/>
  <c r="AY2" i="7"/>
  <c r="AT2" i="3"/>
  <c r="AY2" i="8"/>
</calcChain>
</file>

<file path=xl/sharedStrings.xml><?xml version="1.0" encoding="utf-8"?>
<sst xmlns="http://schemas.openxmlformats.org/spreadsheetml/2006/main" count="317" uniqueCount="192">
  <si>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</si>
  <si>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</si>
  <si>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</si>
  <si>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</si>
  <si>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</si>
  <si>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</si>
  <si>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</si>
  <si>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</si>
  <si>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</si>
  <si>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</si>
  <si>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</si>
  <si>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</si>
  <si>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</si>
  <si>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</si>
  <si>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</si>
  <si>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</si>
  <si>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</si>
  <si>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</si>
  <si>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</si>
  <si>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</si>
  <si>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</si>
  <si>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</si>
  <si>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</si>
  <si>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</si>
  <si>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</si>
  <si>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</si>
  <si>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</si>
  <si>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</si>
  <si>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</si>
  <si>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</si>
  <si>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</si>
  <si>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</si>
  <si>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</si>
  <si>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</si>
  <si>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</si>
  <si>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</si>
  <si>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</si>
  <si>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</si>
  <si>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</si>
  <si>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</si>
  <si>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</si>
  <si>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</si>
  <si>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</si>
  <si>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LoiLV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</si>
  <si>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</si>
  <si>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</si>
  <si>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List&lt;Object&gt;</t>
    </r>
  </si>
  <si>
    <t>{</t>
  </si>
  <si>
    <t>}</t>
  </si>
  <si>
    <t>},</t>
  </si>
  <si>
    <r>
      <rPr>
        <sz val="11"/>
        <color rgb="FF000000"/>
        <rFont val="Meiryo UI"/>
        <family val="2"/>
      </rPr>
      <t>cash_register_code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</si>
  <si>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</si>
  <si>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</si>
  <si>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任意文字列</t>
    </r>
  </si>
  <si>
    <r>
      <rPr>
        <sz val="11"/>
        <color rgb="FF000000"/>
        <rFont val="Meiryo UI"/>
        <family val="2"/>
      </rPr>
      <t>business_date_from</t>
    </r>
  </si>
  <si>
    <r>
      <rPr>
        <sz val="11"/>
        <color rgb="FF000000"/>
        <rFont val="Meiryo UI"/>
        <family val="2"/>
      </rPr>
      <t>business_date_to</t>
    </r>
  </si>
  <si>
    <r>
      <rPr>
        <sz val="11"/>
        <color rgb="FF000000"/>
        <rFont val="Meiryo UI"/>
        <family val="2"/>
      </rPr>
      <t>ジャーナル一覧</t>
    </r>
  </si>
  <si>
    <r>
      <rPr>
        <sz val="11"/>
        <color rgb="FF000000"/>
        <rFont val="Meiryo UI"/>
        <family val="2"/>
      </rPr>
      <t>transaction_date</t>
    </r>
  </si>
  <si>
    <r>
      <rPr>
        <sz val="11"/>
        <color rgb="FF000000"/>
        <rFont val="Meiryo UI"/>
        <family val="2"/>
      </rPr>
      <t>journal_data</t>
    </r>
  </si>
  <si>
    <r>
      <rPr>
        <sz val="11"/>
        <color rgb="FF000000"/>
        <rFont val="Meiryo UI"/>
        <family val="2"/>
      </rPr>
      <t>receipt_no</t>
    </r>
  </si>
  <si>
    <r>
      <rPr>
        <sz val="11"/>
        <color rgb="FF000000"/>
        <rFont val="Meiryo UI"/>
        <family val="2"/>
      </rPr>
      <t>receipt_no_from</t>
    </r>
  </si>
  <si>
    <r>
      <rPr>
        <sz val="11"/>
        <color rgb="FF000000"/>
        <rFont val="Meiryo UI"/>
        <family val="2"/>
      </rPr>
      <t>receipt_no_to</t>
    </r>
  </si>
  <si>
    <r>
      <rPr>
        <sz val="11"/>
        <color rgb="FF000000"/>
        <rFont val="Meiryo UI"/>
        <family val="2"/>
      </rPr>
      <t>"journal_data": ""--------------------------------\n               点検             \n2023年08月29日(火)22:44\n店:02701 レジNo:6201\n                                \n前回出力日時    2023/08/29 22:25\n今回出力日時    2023/08/29 22:44\n--------------------------------\n                                \nﾁｬｰｼﾞ合計        0点  ¥        0\n--------------------------------\n入出金処理\n--------------------------------\n釣銭機補充       0点  ¥        0\n売上             0点  ¥        0\n釣銭機回収       1点  ¥        0\n残置金額              ¥        0\n現金過不足            ¥        0\n--------------------------------\nﾚｼｰﾄNo:325\n責:045088025レジ担当者\nc"</t>
    </r>
  </si>
  <si>
    <r>
      <rPr>
        <sz val="11"/>
        <color rgb="FF000000"/>
        <rFont val="Meiryo UI"/>
        <family val="2"/>
      </rPr>
      <t>AP2102</t>
    </r>
  </si>
  <si>
    <r>
      <rPr>
        <sz val="11"/>
        <color rgb="FF000000"/>
        <rFont val="Meiryo UI"/>
        <family val="2"/>
      </rPr>
      <t>検索できた総件数</t>
    </r>
  </si>
  <si>
    <r>
      <rPr>
        <sz val="11"/>
        <color rgb="FF000000"/>
        <rFont val="Meiryo UI"/>
        <family val="2"/>
      </rPr>
      <t>形式：yyyy/MM/dd HH:mm:ss</t>
    </r>
  </si>
  <si>
    <r>
      <rPr>
        <sz val="11"/>
        <color rgb="FF000000"/>
        <rFont val="Meiryo UI"/>
        <family val="2"/>
      </rPr>
      <t>journal_data: ""--------------------------------\n               点検             \n2023年08月29日(火)22:44\n店:02701 レジNo:6201\n                                \n前回出力日時    2023/08/29 22:25\n今回出力日時    2023/08/29 22:44\n--------------------------------\n                                \nﾁｬｰｼﾞ合計        0点  ¥        0\n--------------------------------\n入出金処理\n--------------------------------\n釣銭機補充       0点  ¥        0\n売上             0点  ¥        0\n釣銭機回収       1点  ¥        0\n残置金額              ¥        0\n現金過不足            ¥        0\n--------------------------------\nﾚｼｰﾄNo:324\n責:045088025レジ担当者\nc"</t>
    </r>
  </si>
  <si>
    <r>
      <rPr>
        <sz val="11"/>
        <color rgb="FF000000"/>
        <rFont val="Meiryo UI"/>
        <family val="2"/>
      </rPr>
      <t>total_count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</si>
  <si>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</si>
  <si>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担当者番号</t>
    </r>
  </si>
  <si>
    <r>
      <rPr>
        <sz val="11"/>
        <color rgb="FF000000"/>
        <rFont val="Meiryo UI"/>
        <family val="2"/>
      </rPr>
      <t>開始レシートNo.</t>
    </r>
  </si>
  <si>
    <r>
      <rPr>
        <sz val="11"/>
        <color rgb="FF000000"/>
        <rFont val="Meiryo UI"/>
        <family val="2"/>
      </rPr>
      <t>終了レシートNo.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</si>
  <si>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</si>
  <si>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"store_name": ":検証店",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</si>
  <si>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</si>
  <si>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keyword_1</t>
    </r>
  </si>
  <si>
    <r>
      <rPr>
        <sz val="11"/>
        <color rgb="FF000000"/>
        <rFont val="Meiryo UI"/>
        <family val="2"/>
      </rPr>
      <t>keyword_2</t>
    </r>
  </si>
  <si>
    <r>
      <rPr>
        <sz val="11"/>
        <color rgb="FF000000"/>
        <rFont val="Meiryo UI"/>
        <family val="2"/>
      </rPr>
      <t>condition_type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</si>
  <si>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</si>
  <si>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</si>
  <si>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Integer</t>
    </r>
  </si>
  <si>
    <t xml:space="preserve">- </t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</si>
  <si>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</si>
  <si>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datetime</t>
    </r>
  </si>
  <si>
    <t>]</t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</si>
  <si>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</si>
  <si>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"items": [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</si>
  <si>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</si>
  <si>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ジャーナル検索</t>
    </r>
  </si>
  <si>
    <r>
      <rPr>
        <sz val="11"/>
        <color rgb="FF000000"/>
        <rFont val="Meiryo UI"/>
        <family val="2"/>
      </rPr>
      <t>更新</t>
    </r>
  </si>
  <si>
    <r>
      <rPr>
        <sz val="11"/>
        <color rgb="FF000000"/>
        <rFont val="Meiryo UI"/>
        <family val="2"/>
      </rPr>
      <t>api/v1/journals</t>
    </r>
  </si>
  <si>
    <r>
      <rPr>
        <sz val="11"/>
        <color rgb="FF000000"/>
        <rFont val="Meiryo UI"/>
        <family val="2"/>
      </rPr>
      <t>レジ種別コード</t>
    </r>
  </si>
  <si>
    <r>
      <rPr>
        <sz val="11"/>
        <color rgb="FF000000"/>
        <rFont val="Meiryo UI"/>
        <family val="2"/>
      </rPr>
      <t>keyword_1、keyword_2の検索条件組み合わせタイプ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</si>
  <si>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</si>
  <si>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cash_register_codeマッピング更新</t>
    </r>
  </si>
  <si>
    <r>
      <rPr>
        <sz val="11"/>
        <color rgb="FF000000"/>
        <rFont val="Meiryo UI"/>
        <family val="2"/>
      </rPr>
      <t>date</t>
    </r>
  </si>
  <si>
    <r>
      <rPr>
        <sz val="11"/>
        <color rgb="FF000000"/>
        <rFont val="Meiryo UI"/>
        <family val="2"/>
      </rPr>
      <t>開始営業日</t>
    </r>
  </si>
  <si>
    <r>
      <rPr>
        <sz val="11"/>
        <color rgb="FF000000"/>
        <rFont val="Meiryo UI"/>
        <family val="2"/>
      </rPr>
      <t>終了営業日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</si>
  <si>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</si>
  <si>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string</t>
    </r>
  </si>
  <si>
    <t>詳細設計書</t>
  </si>
  <si>
    <t>POSサーバー</t>
  </si>
  <si>
    <t>API設計書</t>
  </si>
  <si>
    <t>POSサーバーの詳細設計書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</si>
  <si>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</si>
  <si>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</si>
  <si>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</si>
  <si>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</si>
  <si>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</si>
  <si>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</si>
  <si>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</si>
  <si>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</si>
  <si>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</si>
  <si>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</si>
  <si>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</si>
  <si>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シート：[AP2102]、[処理フロー]</t>
  </si>
  <si>
    <t>TuyenNH</t>
  </si>
  <si>
    <t>・t_journalテーブルのDB構造を変更する。
・金額での検索項目を削除する。
・開始日から終了日までの期間で検索する。
・複数の店舗を選択可能とする。</t>
  </si>
  <si>
    <t>シート[AP2102]</t>
  </si>
  <si>
    <t>●API処理フロー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</si>
  <si>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</si>
  <si>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</si>
  <si>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</si>
  <si>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</si>
  <si>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</si>
  <si>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</si>
  <si>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</si>
  <si>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</si>
  <si>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</si>
  <si>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</si>
  <si>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</si>
  <si>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NA</t>
  </si>
  <si>
    <t>2.4 Request Body</t>
  </si>
  <si>
    <t>selected_stores</t>
  </si>
  <si>
    <t>Array</t>
  </si>
  <si>
    <t>1つ又は複数の店舗がある</t>
  </si>
  <si>
    <t>business_time_from</t>
  </si>
  <si>
    <t>time</t>
  </si>
  <si>
    <t>開始時間</t>
  </si>
  <si>
    <t>形式: HH:mm
入力なしのバリデーションチェック: エラーメッセージ：MSG_VAL_001
バリデーションチェック：不正な形式の時間（エラーメッセージ：MSG_VAL_016。その中、{0}が「business_time_from」である。</t>
  </si>
  <si>
    <t>business_time_to</t>
  </si>
  <si>
    <t>終了時間</t>
  </si>
  <si>
    <t>バリデーションチェック：receipt_no_from &gt; receipt_no_to。エラーメッセージ：MSG_VAL_004。リクエストにreceipt_no_fromとreceipt_no_toがある場合、{0}が「receipt_no_from」であり、{1}が「receipt_no_to」である。</t>
  </si>
  <si>
    <t>入力された文字を含む値をジャーナルデータで検索する。</t>
  </si>
  <si>
    <r>
      <rPr>
        <sz val="11"/>
        <color rgb="FF000000"/>
        <rFont val="Meiryo UI"/>
        <family val="2"/>
      </rPr>
      <t>・値：
0: Or
1: And</t>
    </r>
  </si>
  <si>
    <t>amount_money</t>
  </si>
  <si>
    <t>string</t>
  </si>
  <si>
    <t>金額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</si>
  <si>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</si>
  <si>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</si>
  <si>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</si>
  <si>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T_JOURNAL.RECORD_ID</t>
  </si>
  <si>
    <t>T_JOURNAL.STORE_CODE</t>
  </si>
  <si>
    <t xml:space="preserve">M_STORE.TENNAME </t>
  </si>
  <si>
    <t>T_JOURNAL.INSTORE_CODE</t>
  </si>
  <si>
    <t>T_JOURNAL.RECORD_DT</t>
  </si>
  <si>
    <t>T_JOURNAL.PRCNO</t>
  </si>
  <si>
    <t>journal_no</t>
  </si>
  <si>
    <t>bigint</t>
  </si>
  <si>
    <t>T_JOURNAL.JournalNo</t>
  </si>
  <si>
    <t>T_JOURNAL.JRNDATA</t>
  </si>
  <si>
    <t>type</t>
  </si>
  <si>
    <t>int</t>
  </si>
  <si>
    <t>T_JOURNAL.TYPE</t>
  </si>
  <si>
    <t>is_training_mode</t>
  </si>
  <si>
    <t>T_JOURNAL.IS_TRAINING_MODE</t>
  </si>
  <si>
    <t>receipt_name</t>
  </si>
  <si>
    <t>T_JOURNAL.PRCNAME</t>
  </si>
  <si>
    <t>※サンプル</t>
  </si>
  <si>
    <r>
      <rPr>
        <sz val="11"/>
        <color rgb="FF000000"/>
        <rFont val="Meiryo UI"/>
        <family val="2"/>
      </rPr>
      <t>"status_code": 200,</t>
    </r>
  </si>
  <si>
    <r>
      <rPr>
        <sz val="11"/>
        <color rgb="FF000000"/>
        <rFont val="Meiryo UI"/>
        <family val="2"/>
      </rPr>
      <t>"total_count": 2</t>
    </r>
  </si>
  <si>
    <r>
      <rPr>
        <sz val="11"/>
        <color rgb="FF000000"/>
        <rFont val="Meiryo UI"/>
        <family val="2"/>
      </rPr>
      <t>"record_id": 1,</t>
    </r>
  </si>
  <si>
    <r>
      <rPr>
        <sz val="11"/>
        <color rgb="FF000000"/>
        <rFont val="Meiryo UI"/>
        <family val="2"/>
      </rPr>
      <t>"store_code": "09176",</t>
    </r>
  </si>
  <si>
    <r>
      <rPr>
        <sz val="11"/>
        <color rgb="FF000000"/>
        <rFont val="Meiryo UI"/>
        <family val="2"/>
      </rPr>
      <t>"cash_register_code": "151",</t>
    </r>
  </si>
  <si>
    <r>
      <rPr>
        <sz val="11"/>
        <color rgb="FF000000"/>
        <rFont val="Meiryo UI"/>
        <family val="2"/>
      </rPr>
      <t>"transaction_date": "2024/06/17 08:00:01",</t>
    </r>
  </si>
  <si>
    <r>
      <rPr>
        <sz val="11"/>
        <color rgb="FF000000"/>
        <rFont val="Meiryo UI"/>
        <family val="2"/>
      </rPr>
      <t>"receipt_no": 324,</t>
    </r>
  </si>
  <si>
    <t>"journal_no": 324,</t>
  </si>
  <si>
    <t>"type": 201,</t>
  </si>
  <si>
    <t>"is_training_mode": "",</t>
  </si>
  <si>
    <t>"receipt_name": "点検"</t>
  </si>
  <si>
    <r>
      <rPr>
        <sz val="11"/>
        <color rgb="FF000000"/>
        <rFont val="Meiryo UI"/>
        <family val="2"/>
      </rPr>
      <t>"record_id": 2,</t>
    </r>
  </si>
  <si>
    <r>
      <rPr>
        <sz val="11"/>
        <color rgb="FF000000"/>
        <rFont val="Meiryo UI"/>
        <family val="2"/>
      </rPr>
      <t>"transaction_date": "2024/06/17 12:00:01",</t>
    </r>
  </si>
  <si>
    <r>
      <rPr>
        <sz val="11"/>
        <color rgb="FF000000"/>
        <rFont val="Meiryo UI"/>
        <family val="2"/>
      </rPr>
      <t>"receipt_no": 325,</t>
    </r>
  </si>
  <si>
    <t>"journal_no": 325,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</si>
  <si>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</si>
  <si>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店舗コード</t>
  </si>
  <si>
    <r>
      <t>形式：yyyy/MM/dd
入力なしのバリデーションチェック: エラーメッセージ：MSG_VAL_001
日付の形式が正しくないことのバリデーションチェック（エラーメッセージ：</t>
    </r>
    <r>
      <rPr>
        <sz val="11"/>
        <color rgb="FF0000FF"/>
        <rFont val="Meiryo UI"/>
        <family val="2"/>
      </rPr>
      <t>MSG_VAL_016</t>
    </r>
    <r>
      <rPr>
        <sz val="11"/>
        <color rgb="FF000000"/>
        <rFont val="Meiryo UI"/>
        <family val="2"/>
      </rPr>
      <t xml:space="preserve">。その中、{0} が「business_date_from」である。）
</t>
    </r>
    <r>
      <rPr>
        <sz val="11"/>
        <color rgb="FF0000FF"/>
        <rFont val="Meiryo UI"/>
        <family val="2"/>
      </rPr>
      <t>未来日のバリデーションチェック（エラーメッセージ：MSG_VAL_049）</t>
    </r>
  </si>
  <si>
    <r>
      <t>形式：yyyy/MM/dd
入力なしのバリデーションチェック：エラーメッセージ：MSG_VAL_001。その中、{0}が「business_date_to」である。
・バリデーションチェック: 不正な形式の日付、</t>
    </r>
    <r>
      <rPr>
        <sz val="11"/>
        <color rgb="FF0000FF"/>
        <rFont val="Meiryo UI"/>
        <family val="2"/>
      </rPr>
      <t>未来日</t>
    </r>
    <r>
      <rPr>
        <sz val="11"/>
        <color rgb="FF000000"/>
        <rFont val="Meiryo UI"/>
        <family val="2"/>
      </rPr>
      <t>（エラーメッセージ：</t>
    </r>
    <r>
      <rPr>
        <sz val="11"/>
        <color rgb="FF0000FF"/>
        <rFont val="Meiryo UI"/>
        <family val="2"/>
      </rPr>
      <t>MSG_VAL_016</t>
    </r>
    <r>
      <rPr>
        <sz val="11"/>
        <color rgb="FF000000"/>
        <rFont val="Meiryo UI"/>
        <family val="2"/>
      </rPr>
      <t xml:space="preserve">。その中、{0}が 「business_date_to」である。）
</t>
    </r>
    <r>
      <rPr>
        <sz val="11"/>
        <color rgb="FF0000FF"/>
        <rFont val="Meiryo UI"/>
        <family val="2"/>
      </rPr>
      <t>未来日のバリデーションチェック（エラーメッセージ：MSG_VAL_049）</t>
    </r>
    <r>
      <rPr>
        <sz val="11"/>
        <color rgb="FF00B05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バリデーションチェック：business_date_from&gt;business_date_to。エラーメッセージ：MSG_VAL_004。その中、{0}が「business_date_from」であり、{1}が「business_date_to」である。</t>
    </r>
  </si>
  <si>
    <t>形式: HH:mm
入力なしのバリデーションチェック：エラーメッセージ：MSG_VAL_001。その中、{0}が「business_time_to」である。
バリデーションチェック：不正な形式の時間（エラーメッセージ：MSG_VAL_003。その中、{0}が「business_time_to」である。）
バリデーションチェック：business_time_from&gt;business_time_to（エラーメッセージ：MSG_VAL_004.その中、{0}：business_time_from、{1}：business_time_to）</t>
  </si>
  <si>
    <r>
      <t>入力された金額を含む値をジャーナルデータで検索する。</t>
    </r>
    <r>
      <rPr>
        <sz val="11"/>
        <color rgb="FF0000FF"/>
        <rFont val="Meiryo UI"/>
        <family val="2"/>
      </rPr>
      <t xml:space="preserve">
</t>
    </r>
    <r>
      <rPr>
        <strike/>
        <sz val="11"/>
        <color rgb="FF0000FF"/>
        <rFont val="Meiryo UI"/>
        <family val="2"/>
      </rPr>
      <t>入力値は数字のみ可能 入力値が数字ではない場合、</t>
    </r>
    <r>
      <rPr>
        <sz val="11"/>
        <color rgb="FF0000FF"/>
        <rFont val="Meiryo UI"/>
        <family val="2"/>
      </rPr>
      <t>MSG_VAL_019を表示する。</t>
    </r>
  </si>
  <si>
    <t>以下の順番に並べ替える。
cash_register_code -&gt; transaction_date -&gt; receipt no -&gt; journal no</t>
  </si>
  <si>
    <t>以下のフィールドを追加する。
IS_TRAINING_MODE（モード（トレーニング/本番）、PRCNAME: レシート区分 （取引・開設等)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</si>
</sst>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b/>
      <sz val="11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trike/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  <font>
      <strike/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7" fillId="0" borderId="0">
      <alignment vertical="center"/>
    </xf>
    <xf numFmtId="0" fontId="5" fillId="0" borderId="0">
      <alignment vertical="center"/>
    </xf>
  </cellStyleXfs>
  <cellXfs count="3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3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4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22" fillId="0" borderId="0" xfId="0" applyFont="1"/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7" xfId="0" applyFont="1" applyBorder="1"/>
    <xf numFmtId="0" fontId="22" fillId="0" borderId="8" xfId="0" applyFont="1" applyBorder="1"/>
    <xf numFmtId="0" fontId="22" fillId="0" borderId="11" xfId="0" applyFont="1" applyBorder="1"/>
    <xf numFmtId="0" fontId="22" fillId="0" borderId="6" xfId="0" applyFont="1" applyBorder="1"/>
    <xf numFmtId="0" fontId="22" fillId="0" borderId="12" xfId="0" applyFont="1" applyBorder="1"/>
    <xf numFmtId="0" fontId="22" fillId="0" borderId="14" xfId="0" applyFont="1" applyBorder="1"/>
    <xf numFmtId="0" fontId="22" fillId="0" borderId="15" xfId="0" applyFont="1" applyBorder="1"/>
    <xf numFmtId="0" fontId="22" fillId="0" borderId="9" xfId="0" applyFont="1" applyBorder="1"/>
    <xf numFmtId="0" fontId="22" fillId="0" borderId="10" xfId="0" applyFont="1" applyBorder="1"/>
    <xf numFmtId="0" fontId="22" fillId="0" borderId="13" xfId="0" applyFont="1" applyBorder="1"/>
    <xf numFmtId="0" fontId="22" fillId="0" borderId="1" xfId="0" applyFont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20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3" borderId="0" xfId="0" applyFont="1" applyFill="1" applyAlignment="1">
      <alignment vertical="center"/>
    </xf>
    <xf numFmtId="0" fontId="22" fillId="0" borderId="4" xfId="0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0" xfId="0" applyFont="1" applyAlignment="1">
      <alignment vertical="top"/>
    </xf>
    <xf numFmtId="0" fontId="25" fillId="0" borderId="0" xfId="0" applyFont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4" xfId="0" applyFont="1" applyBorder="1" applyAlignment="1">
      <alignment vertical="center"/>
    </xf>
    <xf numFmtId="0" fontId="25" fillId="3" borderId="0" xfId="0" applyFont="1" applyFill="1" applyAlignment="1">
      <alignment vertical="center"/>
    </xf>
    <xf numFmtId="0" fontId="25" fillId="0" borderId="0" xfId="0" applyFont="1" applyAlignment="1">
      <alignment vertical="top"/>
    </xf>
    <xf numFmtId="0" fontId="25" fillId="0" borderId="0" xfId="0" applyFont="1" applyAlignment="1">
      <alignment horizontal="left" vertical="top" wrapText="1"/>
    </xf>
    <xf numFmtId="0" fontId="26" fillId="0" borderId="1" xfId="0" applyFon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4" xfId="0" applyFont="1" applyBorder="1" applyAlignment="1">
      <alignment vertical="center"/>
    </xf>
    <xf numFmtId="0" fontId="26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18" fillId="4" borderId="23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/>
    </xf>
    <xf numFmtId="2" fontId="22" fillId="0" borderId="18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14" fontId="25" fillId="0" borderId="16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6" xfId="0" quotePrefix="1" applyFont="1" applyBorder="1" applyAlignment="1">
      <alignment vertical="top" wrapText="1"/>
    </xf>
    <xf numFmtId="0" fontId="25" fillId="0" borderId="27" xfId="0" applyFont="1" applyBorder="1" applyAlignment="1">
      <alignment vertical="top"/>
    </xf>
    <xf numFmtId="0" fontId="25" fillId="0" borderId="28" xfId="0" applyFont="1" applyBorder="1" applyAlignment="1">
      <alignment vertical="top"/>
    </xf>
    <xf numFmtId="0" fontId="25" fillId="0" borderId="29" xfId="0" applyFont="1" applyBorder="1"/>
    <xf numFmtId="0" fontId="25" fillId="0" borderId="30" xfId="0" applyFont="1" applyBorder="1"/>
    <xf numFmtId="0" fontId="25" fillId="0" borderId="31" xfId="0" applyFont="1" applyBorder="1"/>
    <xf numFmtId="0" fontId="0" fillId="0" borderId="26" xfId="0" applyBorder="1" applyAlignment="1">
      <alignment wrapText="1"/>
    </xf>
    <xf numFmtId="0" fontId="25" fillId="0" borderId="26" xfId="0" applyFont="1" applyBorder="1" applyAlignment="1">
      <alignment wrapText="1"/>
    </xf>
    <xf numFmtId="0" fontId="25" fillId="0" borderId="27" xfId="0" applyFont="1" applyBorder="1" applyAlignment="1">
      <alignment wrapText="1"/>
    </xf>
    <xf numFmtId="0" fontId="25" fillId="0" borderId="28" xfId="0" applyFont="1" applyBorder="1" applyAlignment="1">
      <alignment wrapText="1"/>
    </xf>
    <xf numFmtId="0" fontId="18" fillId="4" borderId="23" xfId="6" applyFont="1" applyFill="1" applyBorder="1" applyAlignment="1">
      <alignment horizontal="center" vertical="center"/>
    </xf>
    <xf numFmtId="0" fontId="18" fillId="4" borderId="24" xfId="6" applyFont="1" applyFill="1" applyBorder="1" applyAlignment="1">
      <alignment horizontal="center" vertical="center"/>
    </xf>
    <xf numFmtId="0" fontId="18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5" fillId="0" borderId="23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22" fillId="0" borderId="0" xfId="0" applyFont="1" applyAlignment="1">
      <alignment horizontal="left" vertical="top" wrapText="1"/>
    </xf>
    <xf numFmtId="0" fontId="22" fillId="0" borderId="23" xfId="0" applyFont="1" applyBorder="1" applyAlignment="1">
      <alignment horizontal="left" vertical="center" indent="1"/>
    </xf>
    <xf numFmtId="0" fontId="22" fillId="0" borderId="24" xfId="0" applyFont="1" applyBorder="1" applyAlignment="1">
      <alignment horizontal="left" vertical="center" indent="1"/>
    </xf>
    <xf numFmtId="0" fontId="22" fillId="0" borderId="25" xfId="0" applyFont="1" applyBorder="1" applyAlignment="1">
      <alignment horizontal="left" vertical="center" indent="1"/>
    </xf>
    <xf numFmtId="0" fontId="25" fillId="0" borderId="23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2" fillId="0" borderId="23" xfId="0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25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 indent="1"/>
    </xf>
    <xf numFmtId="0" fontId="25" fillId="0" borderId="24" xfId="0" applyFont="1" applyBorder="1" applyAlignment="1">
      <alignment horizontal="left" vertical="center" indent="1"/>
    </xf>
    <xf numFmtId="0" fontId="25" fillId="0" borderId="25" xfId="0" applyFont="1" applyBorder="1" applyAlignment="1">
      <alignment horizontal="left" vertical="center" indent="1"/>
    </xf>
    <xf numFmtId="0" fontId="25" fillId="0" borderId="23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12" fillId="0" borderId="23" xfId="0" quotePrefix="1" applyFont="1" applyBorder="1" applyAlignment="1">
      <alignment horizontal="left" vertical="center"/>
    </xf>
    <xf numFmtId="0" fontId="12" fillId="0" borderId="24" xfId="0" quotePrefix="1" applyFont="1" applyBorder="1" applyAlignment="1">
      <alignment horizontal="left" vertical="center"/>
    </xf>
    <xf numFmtId="0" fontId="12" fillId="0" borderId="25" xfId="0" quotePrefix="1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16" fillId="0" borderId="23" xfId="0" quotePrefix="1" applyFont="1" applyBorder="1" applyAlignment="1">
      <alignment horizontal="left" vertical="center"/>
    </xf>
    <xf numFmtId="0" fontId="16" fillId="0" borderId="24" xfId="0" quotePrefix="1" applyFont="1" applyBorder="1" applyAlignment="1">
      <alignment horizontal="left" vertical="center"/>
    </xf>
    <xf numFmtId="0" fontId="16" fillId="0" borderId="25" xfId="0" quotePrefix="1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 indent="1"/>
    </xf>
    <xf numFmtId="0" fontId="26" fillId="0" borderId="24" xfId="0" applyFont="1" applyBorder="1" applyAlignment="1">
      <alignment horizontal="left" vertical="center" indent="1"/>
    </xf>
    <xf numFmtId="0" fontId="26" fillId="0" borderId="25" xfId="0" applyFont="1" applyBorder="1" applyAlignment="1">
      <alignment horizontal="left" vertical="center" indent="1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26" fillId="0" borderId="23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6" fillId="0" borderId="25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6" fillId="0" borderId="23" xfId="0" quotePrefix="1" applyFont="1" applyBorder="1" applyAlignment="1">
      <alignment vertical="center"/>
    </xf>
    <xf numFmtId="0" fontId="25" fillId="0" borderId="23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3" xfId="0" applyFont="1" applyBorder="1" applyAlignment="1">
      <alignment horizontal="left" vertical="center" wrapText="1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67239</xdr:rowOff>
    </xdr:from>
    <xdr:to>
      <xdr:col>62</xdr:col>
      <xdr:colOff>0</xdr:colOff>
      <xdr:row>34</xdr:row>
      <xdr:rowOff>67239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1704975"/>
          <a:ext cx="7200900" cy="4953000"/>
        </a:xfrm>
        <a:prstGeom prst="borderCallout1">
          <a:avLst>
            <a:gd name="adj1" fmla="val 25701"/>
            <a:gd name="adj2" fmla="val 294"/>
            <a:gd name="adj3" fmla="val 25781"/>
            <a:gd name="adj4" fmla="val -9622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DBレポート、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T_JOURNAL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テーブル内で、以下の条件を満たすレコード一覧を取得する。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T_JOURNAL.COMPANY_CODE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= User.CompanyCode(ログインしているアカウントが所属する会社)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T_JOURNAL.STORE_CODE IN request.selected_stores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DATE(T_JOURNAL.RECORD_DT) &gt;= request.transaction_date_from &amp;&amp; DATE(T_JOURNAL.RECORD_DT) &lt;= request.transaction_date_to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TIME(T_JOURNAL.RECORD_DT) &gt;= request.transaction_time_from &amp;&amp; TIME(T_JOURNAL.RECORD_DT) &lt;= request.transaction_time_to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request.cash_register_code == null ||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T_JOURNAL.INSTORE_CODE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= request.cash_register_code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request.employee_code == null ||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T_JOURNAL.ACCOUNT_ID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= request.employee_code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(request.receipt_no_from == null ||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T_JOURNAL.</a:t>
          </a:r>
          <a:r>
            <a:rPr lang="vi-VN" altLang="ja-JP" sz="1100" b="0" i="0" u="none" baseline="0">
              <a:solidFill>
                <a:srgbClr val="0000FF"/>
              </a:solidFill>
              <a:latin typeface="Calibri"/>
              <a:ea typeface="Meiryo UI" panose="020B0604030504040204" pitchFamily="34" charset="-128"/>
            </a:rPr>
            <a:t>PRCNO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&gt;= request.receipt_no_from) &amp;&amp; (request.receipt_no_to == null ||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T_JOURNAL.</a:t>
          </a:r>
          <a:r>
            <a:rPr lang="vi-VN" altLang="ja-JP" sz="1100" b="0" i="0" u="none" baseline="0">
              <a:solidFill>
                <a:srgbClr val="0000FF"/>
              </a:solidFill>
              <a:latin typeface="Calibri"/>
              <a:ea typeface="Meiryo UI" panose="020B0604030504040204" pitchFamily="34" charset="-128"/>
            </a:rPr>
            <a:t>PRCNO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&lt;= request.receipt_no_to)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・以下の条件は渡されるrequest.condition_typeパラメータに依存する。具体的には、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場合1: request. condition_type = 0 (OR)：レコードは以下の検索条件のいずれかを満たせば返却結果に含まれる。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場合2: request.condition_type = 1 (AND)： レコードは以下の全ての検索条件を満たせば返却結果に含まれる。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検索条件：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request.keyword_1 == null || request.keyword_1 == "" ||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T_JOURNAL.</a:t>
          </a:r>
          <a:r>
            <a:rPr lang="vi-VN" altLang="ja-JP" sz="1100" b="0" i="0" u="none" baseline="0">
              <a:solidFill>
                <a:srgbClr val="0000FF"/>
              </a:solidFill>
              <a:latin typeface="Calibri"/>
              <a:ea typeface="Meiryo UI" panose="020B0604030504040204" pitchFamily="34" charset="-128"/>
            </a:rPr>
            <a:t>JRNDATA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LIKE "%{request.keyword_1.trim()}%"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+ request.keyword_2 == null || request.keyword_1 == "" ||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T_JOURNAL.</a:t>
          </a:r>
          <a:r>
            <a:rPr lang="vi-VN" altLang="ja-JP" sz="1100" b="0" i="0" u="none" baseline="0">
              <a:solidFill>
                <a:srgbClr val="0000FF"/>
              </a:solidFill>
              <a:latin typeface="Calibri"/>
              <a:ea typeface="Meiryo UI" panose="020B0604030504040204" pitchFamily="34" charset="-128"/>
            </a:rPr>
            <a:t>JRNDATA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LIKE "%{request.keyword_2.trim()}%"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- ORDER By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T_JOURNAL.</a:t>
          </a:r>
          <a:r>
            <a:rPr lang="vi-VN" altLang="ja-JP" sz="1100" b="0" i="0" u="none" baseline="0">
              <a:solidFill>
                <a:srgbClr val="0000FF"/>
              </a:solidFill>
              <a:latin typeface="Calibri"/>
              <a:ea typeface="Meiryo UI" panose="020B0604030504040204" pitchFamily="34" charset="-128"/>
            </a:rPr>
            <a:t>INSTORE_CODE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ASC, T_JOURNAL.</a:t>
          </a:r>
          <a:r>
            <a:rPr lang="vi-VN" altLang="ja-JP" sz="1100" b="0" i="0" u="none" baseline="0">
              <a:solidFill>
                <a:srgbClr val="0000FF"/>
              </a:solidFill>
              <a:latin typeface="Calibri"/>
              <a:ea typeface="Meiryo UI" panose="020B0604030504040204" pitchFamily="34" charset="-128"/>
            </a:rPr>
            <a:t>RECORD_DT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ASC, T_JOURNAL.</a:t>
          </a:r>
          <a:r>
            <a:rPr lang="vi-VN" altLang="ja-JP" sz="1100" b="0" i="0" u="none" baseline="0">
              <a:solidFill>
                <a:srgbClr val="0000FF"/>
              </a:solidFill>
              <a:latin typeface="Calibri"/>
              <a:ea typeface="Meiryo UI" panose="020B0604030504040204" pitchFamily="34" charset="-128"/>
            </a:rPr>
            <a:t>PRCNO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ASC</a:t>
          </a:r>
        </a:p>
      </xdr:txBody>
    </xdr:sp>
    <xdr:clientData/>
  </xdr:twoCellAnchor>
  <xdr:twoCellAnchor>
    <xdr:from>
      <xdr:col>35</xdr:col>
      <xdr:colOff>0</xdr:colOff>
      <xdr:row>42</xdr:row>
      <xdr:rowOff>0</xdr:rowOff>
    </xdr:from>
    <xdr:to>
      <xdr:col>62</xdr:col>
      <xdr:colOff>0</xdr:colOff>
      <xdr:row>46</xdr:row>
      <xdr:rowOff>0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9334500" y="8115300"/>
          <a:ext cx="7200900" cy="762000"/>
        </a:xfrm>
        <a:prstGeom prst="borderCallout1">
          <a:avLst>
            <a:gd name="adj1" fmla="val 51887"/>
            <a:gd name="adj2" fmla="val 470"/>
            <a:gd name="adj3" fmla="val -495962"/>
            <a:gd name="adj4" fmla="val -10041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・レコードが存在している場合、ログを記録し、結果を返す。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・レコードが存在していない場合、以下のレスポンスを返す。status_code = 200。データが空のリストである。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ジャーナル一覧を取得する。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8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1" idx="0"/>
        </xdr:cNvCxnSpPr>
      </xdr:nvCxnSpPr>
      <xdr:spPr>
        <a:xfrm>
          <a:off x="1600200" y="335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400300" y="411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34</xdr:row>
      <xdr:rowOff>22412</xdr:rowOff>
    </xdr:from>
    <xdr:to>
      <xdr:col>8</xdr:col>
      <xdr:colOff>0</xdr:colOff>
      <xdr:row>36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6610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</xdr:colOff>
      <xdr:row>34</xdr:row>
      <xdr:rowOff>22412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6" idx="2"/>
          <a:endCxn id="20" idx="0"/>
        </xdr:cNvCxnSpPr>
      </xdr:nvCxnSpPr>
      <xdr:spPr>
        <a:xfrm flipH="1">
          <a:off x="1600200" y="4876800"/>
          <a:ext cx="0" cy="1733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95250</xdr:rowOff>
    </xdr:from>
    <xdr:to>
      <xdr:col>11</xdr:col>
      <xdr:colOff>0</xdr:colOff>
      <xdr:row>34</xdr:row>
      <xdr:rowOff>22412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17" idx="3"/>
          <a:endCxn id="20" idx="0"/>
        </xdr:cNvCxnSpPr>
      </xdr:nvCxnSpPr>
      <xdr:spPr>
        <a:xfrm flipH="1">
          <a:off x="1600200" y="4210050"/>
          <a:ext cx="1333500" cy="2400300"/>
        </a:xfrm>
        <a:prstGeom prst="bentConnector4">
          <a:avLst>
            <a:gd name="adj1" fmla="val -19429"/>
            <a:gd name="adj2" fmla="val 51981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3" customWidth="1"/>
    <col min="61" max="16384" width="2.77734375" style="53"/>
  </cols>
  <sheetData>
    <row r="1" spans="1:63" ht="24.95" customHeight="1" x14ac:dyDescent="0.25">
      <c r="A1" s="105" t="s">
        <v>104</v>
      </c>
      <c r="B1" s="106"/>
      <c r="C1" s="106"/>
      <c r="D1" s="106"/>
      <c r="E1" s="106"/>
      <c r="F1" s="106"/>
      <c r="G1" s="106"/>
      <c r="H1" s="106"/>
      <c r="I1" s="106"/>
      <c r="J1" s="107"/>
      <c r="K1" s="105" t="s">
        <v>105</v>
      </c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15" t="s">
        <v>100</v>
      </c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7"/>
      <c r="AP1" s="105" t="s">
        <v>106</v>
      </c>
      <c r="AQ1" s="106"/>
      <c r="AR1" s="106"/>
      <c r="AS1" s="107"/>
      <c r="AT1" s="105" t="s">
        <v>107</v>
      </c>
      <c r="AU1" s="106"/>
      <c r="AV1" s="106"/>
      <c r="AW1" s="106"/>
      <c r="AX1" s="107"/>
      <c r="AY1" s="105" t="s">
        <v>108</v>
      </c>
      <c r="AZ1" s="106"/>
      <c r="BA1" s="106"/>
      <c r="BB1" s="107"/>
      <c r="BC1" s="105" t="s">
        <v>109</v>
      </c>
      <c r="BD1" s="106"/>
      <c r="BE1" s="106"/>
      <c r="BF1" s="106"/>
      <c r="BG1" s="107"/>
      <c r="BH1" s="105" t="s">
        <v>110</v>
      </c>
      <c r="BI1" s="106"/>
      <c r="BJ1" s="106"/>
      <c r="BK1" s="107"/>
    </row>
    <row r="2" spans="1:63" ht="15" customHeight="1" x14ac:dyDescent="0.25">
      <c r="A2" s="114" t="s">
        <v>101</v>
      </c>
      <c r="B2" s="109"/>
      <c r="C2" s="109"/>
      <c r="D2" s="109"/>
      <c r="E2" s="109"/>
      <c r="F2" s="109"/>
      <c r="G2" s="109"/>
      <c r="H2" s="109"/>
      <c r="I2" s="109"/>
      <c r="J2" s="110"/>
      <c r="K2" s="108" t="s">
        <v>13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10"/>
      <c r="W2" s="118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20"/>
      <c r="AP2" s="108" t="str">
        <f>改訂履歴!$H$11</f>
        <v>LoiLV</v>
      </c>
      <c r="AQ2" s="109"/>
      <c r="AR2" s="109"/>
      <c r="AS2" s="110"/>
      <c r="AT2" s="136">
        <f>改訂履歴!$B$11</f>
        <v>45461</v>
      </c>
      <c r="AU2" s="137"/>
      <c r="AV2" s="137"/>
      <c r="AW2" s="137"/>
      <c r="AX2" s="138"/>
      <c r="AY2" s="108" t="str">
        <f>LOOKUP(2,1/(改訂履歴!H11:H30000&lt;&gt;""),改訂履歴!H11:H30000)</f>
        <v>TuyenNH</v>
      </c>
      <c r="AZ2" s="109"/>
      <c r="BA2" s="109"/>
      <c r="BB2" s="110"/>
      <c r="BC2" s="136">
        <f>LOOKUP(2,1/(改訂履歴!B11:B30000&lt;&gt;""),改訂履歴!B11:B30000)</f>
        <v>45601</v>
      </c>
      <c r="BD2" s="137"/>
      <c r="BE2" s="137"/>
      <c r="BF2" s="137"/>
      <c r="BG2" s="138"/>
      <c r="BH2" s="130">
        <f>LOOKUP(2,1/(改訂履歴!O11:O30000&lt;&gt;""),改訂履歴!O11:O30000)</f>
        <v>0.11</v>
      </c>
      <c r="BI2" s="131"/>
      <c r="BJ2" s="131"/>
      <c r="BK2" s="132"/>
    </row>
    <row r="3" spans="1:63" ht="15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3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3"/>
      <c r="W3" s="121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3"/>
      <c r="AP3" s="111"/>
      <c r="AQ3" s="112"/>
      <c r="AR3" s="112"/>
      <c r="AS3" s="113"/>
      <c r="AT3" s="139"/>
      <c r="AU3" s="140"/>
      <c r="AV3" s="140"/>
      <c r="AW3" s="140"/>
      <c r="AX3" s="141"/>
      <c r="AY3" s="111"/>
      <c r="AZ3" s="112"/>
      <c r="BA3" s="112"/>
      <c r="BB3" s="113"/>
      <c r="BC3" s="139"/>
      <c r="BD3" s="140"/>
      <c r="BE3" s="140"/>
      <c r="BF3" s="140"/>
      <c r="BG3" s="141"/>
      <c r="BH3" s="133"/>
      <c r="BI3" s="134"/>
      <c r="BJ3" s="134"/>
      <c r="BK3" s="135"/>
    </row>
    <row r="4" spans="1:63" ht="24.95" customHeight="1" x14ac:dyDescent="0.25">
      <c r="A4" s="105" t="s">
        <v>111</v>
      </c>
      <c r="B4" s="106"/>
      <c r="C4" s="106"/>
      <c r="D4" s="106"/>
      <c r="E4" s="106"/>
      <c r="F4" s="106"/>
      <c r="G4" s="107"/>
      <c r="H4" s="126" t="s">
        <v>63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05" t="s">
        <v>112</v>
      </c>
      <c r="V4" s="106"/>
      <c r="W4" s="106"/>
      <c r="X4" s="106"/>
      <c r="Y4" s="107"/>
      <c r="Z4" s="129" t="s">
        <v>102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6" t="str">
        <f t="array" aca="1" ref="AP4" ca="1">RIGHT(CELL("filename",$A$1),LEN(CELL("filename",$A$1))-FIND("]",CELL("filename",$A$1)))</f>
        <v>表紙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</row>
    <row r="6" spans="1:63" ht="15" customHeight="1" x14ac:dyDescent="0.25">
      <c r="A6" s="57"/>
      <c r="BK6" s="58"/>
    </row>
    <row r="7" spans="1:63" ht="15" customHeight="1" x14ac:dyDescent="0.25">
      <c r="A7" s="57"/>
      <c r="BK7" s="58"/>
    </row>
    <row r="8" spans="1:63" ht="15" customHeight="1" x14ac:dyDescent="0.25">
      <c r="A8" s="57"/>
      <c r="BK8" s="58"/>
    </row>
    <row r="9" spans="1:63" ht="15" customHeight="1" x14ac:dyDescent="0.25">
      <c r="A9" s="57"/>
      <c r="BK9" s="58"/>
    </row>
    <row r="10" spans="1:63" ht="15" customHeight="1" x14ac:dyDescent="0.25">
      <c r="A10" s="57"/>
      <c r="BK10" s="58"/>
    </row>
    <row r="11" spans="1:63" ht="15" customHeight="1" x14ac:dyDescent="0.25">
      <c r="A11" s="57"/>
      <c r="BK11" s="58"/>
    </row>
    <row r="12" spans="1:63" ht="15" customHeight="1" x14ac:dyDescent="0.25">
      <c r="A12" s="57"/>
      <c r="BK12" s="58"/>
    </row>
    <row r="13" spans="1:63" ht="15" customHeight="1" x14ac:dyDescent="0.25">
      <c r="A13" s="57"/>
      <c r="BK13" s="58"/>
    </row>
    <row r="14" spans="1:63" ht="15" customHeight="1" thickBot="1" x14ac:dyDescent="0.3">
      <c r="A14" s="57"/>
      <c r="BK14" s="58"/>
    </row>
    <row r="15" spans="1:63" ht="15" customHeight="1" thickTop="1" x14ac:dyDescent="0.25">
      <c r="A15" s="57"/>
      <c r="K15" s="59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1"/>
      <c r="BK15" s="58"/>
    </row>
    <row r="16" spans="1:63" ht="15" customHeight="1" x14ac:dyDescent="0.25">
      <c r="A16" s="57"/>
      <c r="K16" s="62"/>
      <c r="L16" s="124" t="s">
        <v>103</v>
      </c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63"/>
      <c r="BK16" s="58"/>
    </row>
    <row r="17" spans="1:63" ht="15" customHeight="1" x14ac:dyDescent="0.25">
      <c r="A17" s="57"/>
      <c r="K17" s="62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63"/>
      <c r="BK17" s="58"/>
    </row>
    <row r="18" spans="1:63" ht="15" customHeight="1" x14ac:dyDescent="0.25">
      <c r="A18" s="57"/>
      <c r="K18" s="62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63"/>
      <c r="BK18" s="58"/>
    </row>
    <row r="19" spans="1:63" ht="15" customHeight="1" x14ac:dyDescent="0.25">
      <c r="A19" s="57"/>
      <c r="K19" s="62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63"/>
      <c r="BK19" s="58"/>
    </row>
    <row r="20" spans="1:63" ht="15" customHeight="1" x14ac:dyDescent="0.25">
      <c r="A20" s="57"/>
      <c r="K20" s="62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63"/>
      <c r="BK20" s="58"/>
    </row>
    <row r="21" spans="1:63" ht="15" customHeight="1" x14ac:dyDescent="0.25">
      <c r="A21" s="57"/>
      <c r="K21" s="62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63"/>
      <c r="BK21" s="58"/>
    </row>
    <row r="22" spans="1:63" ht="15" customHeight="1" thickBot="1" x14ac:dyDescent="0.3">
      <c r="A22" s="57"/>
      <c r="K22" s="62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3"/>
      <c r="BK22" s="58"/>
    </row>
    <row r="23" spans="1:63" ht="15" customHeight="1" x14ac:dyDescent="0.25">
      <c r="A23" s="57"/>
      <c r="K23" s="62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3"/>
      <c r="BK23" s="58"/>
    </row>
    <row r="24" spans="1:63" ht="15" customHeight="1" x14ac:dyDescent="0.25">
      <c r="A24" s="57"/>
      <c r="K24" s="62"/>
      <c r="L24" s="125" t="str">
        <f>K2&amp;"/"&amp;H4&amp;"/"&amp;Z4</f>
        <v>POSサーバー/AP2102/API設計書</v>
      </c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63"/>
      <c r="BK24" s="58"/>
    </row>
    <row r="25" spans="1:63" ht="15" customHeight="1" x14ac:dyDescent="0.25">
      <c r="A25" s="57"/>
      <c r="K25" s="62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63"/>
      <c r="BK25" s="58"/>
    </row>
    <row r="26" spans="1:63" ht="15" customHeight="1" x14ac:dyDescent="0.25">
      <c r="A26" s="57"/>
      <c r="K26" s="62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63"/>
      <c r="BK26" s="58"/>
    </row>
    <row r="27" spans="1:63" ht="15" customHeight="1" x14ac:dyDescent="0.25">
      <c r="A27" s="57"/>
      <c r="K27" s="62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63"/>
      <c r="BK27" s="58"/>
    </row>
    <row r="28" spans="1:63" ht="15" customHeight="1" x14ac:dyDescent="0.25">
      <c r="A28" s="57"/>
      <c r="K28" s="62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63"/>
      <c r="BK28" s="58"/>
    </row>
    <row r="29" spans="1:63" ht="15" customHeight="1" x14ac:dyDescent="0.25">
      <c r="A29" s="57"/>
      <c r="K29" s="62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63"/>
      <c r="BK29" s="58"/>
    </row>
    <row r="30" spans="1:63" ht="15" customHeight="1" x14ac:dyDescent="0.25">
      <c r="A30" s="57"/>
      <c r="K30" s="62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63"/>
      <c r="BK30" s="58"/>
    </row>
    <row r="31" spans="1:63" ht="15" customHeight="1" x14ac:dyDescent="0.25">
      <c r="A31" s="57"/>
      <c r="K31" s="62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63"/>
      <c r="BK31" s="58"/>
    </row>
    <row r="32" spans="1:63" ht="15" customHeight="1" x14ac:dyDescent="0.25">
      <c r="A32" s="57"/>
      <c r="K32" s="62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63"/>
      <c r="BK32" s="58"/>
    </row>
    <row r="33" spans="1:63" ht="15" customHeight="1" x14ac:dyDescent="0.25">
      <c r="A33" s="57"/>
      <c r="K33" s="62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63"/>
      <c r="BK33" s="58"/>
    </row>
    <row r="34" spans="1:63" ht="15" customHeight="1" x14ac:dyDescent="0.25">
      <c r="A34" s="57"/>
      <c r="K34" s="62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63"/>
      <c r="BK34" s="58"/>
    </row>
    <row r="35" spans="1:63" ht="15" customHeight="1" x14ac:dyDescent="0.25">
      <c r="A35" s="57"/>
      <c r="K35" s="62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63"/>
      <c r="BK35" s="58"/>
    </row>
    <row r="36" spans="1:63" ht="15" customHeight="1" x14ac:dyDescent="0.25">
      <c r="A36" s="57"/>
      <c r="K36" s="62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63"/>
      <c r="BK36" s="58"/>
    </row>
    <row r="37" spans="1:63" ht="15" customHeight="1" thickBot="1" x14ac:dyDescent="0.3">
      <c r="A37" s="57"/>
      <c r="K37" s="66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8"/>
      <c r="BK37" s="58"/>
    </row>
    <row r="38" spans="1:63" ht="15" customHeight="1" thickTop="1" x14ac:dyDescent="0.25">
      <c r="A38" s="57"/>
      <c r="BK38" s="58"/>
    </row>
    <row r="39" spans="1:63" ht="15" customHeight="1" x14ac:dyDescent="0.25">
      <c r="A39" s="57"/>
      <c r="BK39" s="58"/>
    </row>
    <row r="40" spans="1:63" ht="15" customHeight="1" x14ac:dyDescent="0.25">
      <c r="A40" s="57"/>
      <c r="BK40" s="58"/>
    </row>
    <row r="41" spans="1:63" ht="15" customHeight="1" x14ac:dyDescent="0.25">
      <c r="A41" s="57"/>
      <c r="BK41" s="58"/>
    </row>
    <row r="42" spans="1:63" ht="15" customHeight="1" x14ac:dyDescent="0.25">
      <c r="A42" s="57"/>
      <c r="BK42" s="58"/>
    </row>
    <row r="43" spans="1:63" ht="15" customHeight="1" x14ac:dyDescent="0.25">
      <c r="A43" s="57"/>
      <c r="BK43" s="58"/>
    </row>
    <row r="44" spans="1:63" ht="15" customHeight="1" x14ac:dyDescent="0.25">
      <c r="A44" s="57"/>
      <c r="Q44" s="145" t="s">
        <v>113</v>
      </c>
      <c r="R44" s="146"/>
      <c r="S44" s="146"/>
      <c r="T44" s="146"/>
      <c r="U44" s="146"/>
      <c r="V44" s="146"/>
      <c r="W44" s="146"/>
      <c r="X44" s="146"/>
      <c r="Y44" s="146"/>
      <c r="Z44" s="147"/>
      <c r="AA44" s="145" t="s">
        <v>114</v>
      </c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7"/>
      <c r="AQ44" s="145" t="s">
        <v>110</v>
      </c>
      <c r="AR44" s="146"/>
      <c r="AS44" s="146"/>
      <c r="AT44" s="146"/>
      <c r="AU44" s="147"/>
      <c r="BK44" s="58"/>
    </row>
    <row r="45" spans="1:63" ht="15" customHeight="1" x14ac:dyDescent="0.25">
      <c r="A45" s="57"/>
      <c r="Q45" s="148"/>
      <c r="R45" s="149"/>
      <c r="S45" s="149"/>
      <c r="T45" s="149"/>
      <c r="U45" s="149"/>
      <c r="V45" s="149"/>
      <c r="W45" s="149"/>
      <c r="X45" s="149"/>
      <c r="Y45" s="149"/>
      <c r="Z45" s="150"/>
      <c r="AA45" s="148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50"/>
      <c r="AQ45" s="148"/>
      <c r="AR45" s="149"/>
      <c r="AS45" s="149"/>
      <c r="AT45" s="149"/>
      <c r="AU45" s="150"/>
      <c r="BK45" s="58"/>
    </row>
    <row r="46" spans="1:63" ht="15" customHeight="1" x14ac:dyDescent="0.25">
      <c r="A46" s="57"/>
      <c r="Q46" s="108"/>
      <c r="R46" s="109"/>
      <c r="S46" s="109"/>
      <c r="T46" s="109"/>
      <c r="U46" s="109"/>
      <c r="V46" s="109"/>
      <c r="W46" s="109"/>
      <c r="X46" s="109"/>
      <c r="Y46" s="109"/>
      <c r="Z46" s="110"/>
      <c r="AA46" s="108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10"/>
      <c r="AQ46" s="108"/>
      <c r="AR46" s="109"/>
      <c r="AS46" s="109"/>
      <c r="AT46" s="109"/>
      <c r="AU46" s="110"/>
      <c r="BK46" s="58"/>
    </row>
    <row r="47" spans="1:63" ht="15" customHeight="1" x14ac:dyDescent="0.25">
      <c r="A47" s="57"/>
      <c r="Q47" s="142"/>
      <c r="R47" s="143"/>
      <c r="S47" s="143"/>
      <c r="T47" s="143"/>
      <c r="U47" s="143"/>
      <c r="V47" s="143"/>
      <c r="W47" s="143"/>
      <c r="X47" s="143"/>
      <c r="Y47" s="143"/>
      <c r="Z47" s="144"/>
      <c r="AA47" s="142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4"/>
      <c r="AQ47" s="142"/>
      <c r="AR47" s="143"/>
      <c r="AS47" s="143"/>
      <c r="AT47" s="143"/>
      <c r="AU47" s="144"/>
      <c r="BK47" s="58"/>
    </row>
    <row r="48" spans="1:63" ht="15" customHeight="1" x14ac:dyDescent="0.25">
      <c r="A48" s="57"/>
      <c r="Q48" s="142"/>
      <c r="R48" s="143"/>
      <c r="S48" s="143"/>
      <c r="T48" s="143"/>
      <c r="U48" s="143"/>
      <c r="V48" s="143"/>
      <c r="W48" s="143"/>
      <c r="X48" s="143"/>
      <c r="Y48" s="143"/>
      <c r="Z48" s="144"/>
      <c r="AA48" s="142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4"/>
      <c r="AQ48" s="142"/>
      <c r="AR48" s="143"/>
      <c r="AS48" s="143"/>
      <c r="AT48" s="143"/>
      <c r="AU48" s="144"/>
      <c r="BK48" s="58"/>
    </row>
    <row r="49" spans="1:63" ht="15" customHeight="1" x14ac:dyDescent="0.25">
      <c r="A49" s="57"/>
      <c r="Q49" s="111"/>
      <c r="R49" s="112"/>
      <c r="S49" s="112"/>
      <c r="T49" s="112"/>
      <c r="U49" s="112"/>
      <c r="V49" s="112"/>
      <c r="W49" s="112"/>
      <c r="X49" s="112"/>
      <c r="Y49" s="112"/>
      <c r="Z49" s="113"/>
      <c r="AA49" s="111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3"/>
      <c r="AQ49" s="111"/>
      <c r="AR49" s="112"/>
      <c r="AS49" s="112"/>
      <c r="AT49" s="112"/>
      <c r="AU49" s="113"/>
      <c r="BK49" s="58"/>
    </row>
    <row r="50" spans="1:63" ht="15" customHeight="1" x14ac:dyDescent="0.25">
      <c r="A50" s="57"/>
      <c r="BK50" s="58"/>
    </row>
    <row r="51" spans="1:63" ht="15" customHeight="1" x14ac:dyDescent="0.25">
      <c r="A51" s="57"/>
      <c r="BK51" s="58"/>
    </row>
    <row r="52" spans="1:63" ht="15" customHeight="1" x14ac:dyDescent="0.25">
      <c r="A52" s="57"/>
      <c r="BK52" s="58"/>
    </row>
    <row r="53" spans="1:63" ht="15" customHeight="1" x14ac:dyDescent="0.25">
      <c r="A53" s="57"/>
      <c r="BK53" s="58"/>
    </row>
    <row r="54" spans="1:63" ht="15" customHeight="1" x14ac:dyDescent="0.25">
      <c r="A54" s="57"/>
      <c r="BK54" s="58"/>
    </row>
    <row r="55" spans="1:63" ht="15" customHeight="1" x14ac:dyDescent="0.25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6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51" t="s">
        <v>0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2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151" t="s">
        <v>3</v>
      </c>
      <c r="AQ1" s="152"/>
      <c r="AR1" s="152"/>
      <c r="AS1" s="153"/>
      <c r="AT1" s="151" t="s">
        <v>4</v>
      </c>
      <c r="AU1" s="152"/>
      <c r="AV1" s="152"/>
      <c r="AW1" s="152"/>
      <c r="AX1" s="153"/>
      <c r="AY1" s="151" t="s">
        <v>5</v>
      </c>
      <c r="AZ1" s="152"/>
      <c r="BA1" s="152"/>
      <c r="BB1" s="153"/>
      <c r="BC1" s="151" t="s">
        <v>6</v>
      </c>
      <c r="BD1" s="152"/>
      <c r="BE1" s="152"/>
      <c r="BF1" s="152"/>
      <c r="BG1" s="153"/>
      <c r="BH1" s="151" t="s">
        <v>7</v>
      </c>
      <c r="BI1" s="152"/>
      <c r="BJ1" s="152"/>
      <c r="BK1" s="153"/>
    </row>
    <row r="2" spans="1:63" ht="15" customHeight="1" x14ac:dyDescent="0.25">
      <c r="A2" s="166" t="str">
        <f>IF(表紙!A2="","",表紙!A2)</f>
        <v>POSサーバー</v>
      </c>
      <c r="B2" s="167"/>
      <c r="C2" s="167"/>
      <c r="D2" s="167"/>
      <c r="E2" s="167"/>
      <c r="F2" s="167"/>
      <c r="G2" s="167"/>
      <c r="H2" s="167"/>
      <c r="I2" s="167"/>
      <c r="J2" s="168"/>
      <c r="K2" s="166" t="str">
        <f>IF(表紙!K2="","",表紙!K2)</f>
        <v>POSサーバー</v>
      </c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8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166" t="str">
        <f>IF(表紙!AP2="","",表紙!AP2)</f>
        <v>LoiLV</v>
      </c>
      <c r="AQ2" s="167"/>
      <c r="AR2" s="167"/>
      <c r="AS2" s="168"/>
      <c r="AT2" s="172">
        <f>IF(表紙!AT2="","",表紙!AT2)</f>
        <v>45461</v>
      </c>
      <c r="AU2" s="173"/>
      <c r="AV2" s="173"/>
      <c r="AW2" s="173"/>
      <c r="AX2" s="174"/>
      <c r="AY2" s="166" t="str">
        <f>IF(表紙!AY2="","",表紙!AY2)</f>
        <v>TuyenNH</v>
      </c>
      <c r="AZ2" s="167"/>
      <c r="BA2" s="167"/>
      <c r="BB2" s="168"/>
      <c r="BC2" s="172">
        <f>IF(表紙!BC2="","",表紙!BC2)</f>
        <v>45601</v>
      </c>
      <c r="BD2" s="173"/>
      <c r="BE2" s="173"/>
      <c r="BF2" s="173"/>
      <c r="BG2" s="174"/>
      <c r="BH2" s="166">
        <f>IF(表紙!BH2="","",表紙!BH2)</f>
        <v>0.11</v>
      </c>
      <c r="BI2" s="167"/>
      <c r="BJ2" s="167"/>
      <c r="BK2" s="168"/>
    </row>
    <row r="3" spans="1:63" ht="15" customHeight="1" x14ac:dyDescent="0.25">
      <c r="A3" s="169"/>
      <c r="B3" s="170"/>
      <c r="C3" s="170"/>
      <c r="D3" s="170"/>
      <c r="E3" s="170"/>
      <c r="F3" s="170"/>
      <c r="G3" s="170"/>
      <c r="H3" s="170"/>
      <c r="I3" s="170"/>
      <c r="J3" s="171"/>
      <c r="K3" s="169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1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169"/>
      <c r="AQ3" s="170"/>
      <c r="AR3" s="170"/>
      <c r="AS3" s="171"/>
      <c r="AT3" s="175"/>
      <c r="AU3" s="176"/>
      <c r="AV3" s="176"/>
      <c r="AW3" s="176"/>
      <c r="AX3" s="177"/>
      <c r="AY3" s="169"/>
      <c r="AZ3" s="170"/>
      <c r="BA3" s="170"/>
      <c r="BB3" s="171"/>
      <c r="BC3" s="175"/>
      <c r="BD3" s="176"/>
      <c r="BE3" s="176"/>
      <c r="BF3" s="176"/>
      <c r="BG3" s="177"/>
      <c r="BH3" s="169"/>
      <c r="BI3" s="170"/>
      <c r="BJ3" s="170"/>
      <c r="BK3" s="171"/>
    </row>
    <row r="4" spans="1:63" ht="24.95" customHeight="1" x14ac:dyDescent="0.25">
      <c r="A4" s="151" t="s">
        <v>1</v>
      </c>
      <c r="B4" s="152"/>
      <c r="C4" s="152"/>
      <c r="D4" s="152"/>
      <c r="E4" s="152"/>
      <c r="F4" s="152"/>
      <c r="G4" s="153"/>
      <c r="H4" s="163" t="str">
        <f>IF(表紙!H4="","",表紙!H4)</f>
        <v>AP2102</v>
      </c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5"/>
      <c r="U4" s="151" t="s">
        <v>8</v>
      </c>
      <c r="V4" s="152"/>
      <c r="W4" s="152"/>
      <c r="X4" s="152"/>
      <c r="Y4" s="153"/>
      <c r="Z4" s="163" t="str">
        <f>IF(表紙!Z4="","",表紙!Z4)</f>
        <v>API設計書</v>
      </c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5"/>
      <c r="AP4" s="163" t="str">
        <f t="array" aca="1" ref="AP4" ca="1">RIGHT(CELL("filename",$A$1),LEN(CELL("filename",$A$1))-FIND("]",CELL("filename",$A$1)))</f>
        <v>改訂履歴</v>
      </c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90" t="s">
        <v>6</v>
      </c>
      <c r="C10" s="190"/>
      <c r="D10" s="190"/>
      <c r="E10" s="190"/>
      <c r="F10" s="190"/>
      <c r="G10" s="190"/>
      <c r="H10" s="190" t="s">
        <v>5</v>
      </c>
      <c r="I10" s="190"/>
      <c r="J10" s="190"/>
      <c r="K10" s="190"/>
      <c r="L10" s="190"/>
      <c r="M10" s="190"/>
      <c r="N10" s="190"/>
      <c r="O10" s="190" t="s">
        <v>7</v>
      </c>
      <c r="P10" s="190"/>
      <c r="Q10" s="190"/>
      <c r="R10" s="190"/>
      <c r="S10" s="190" t="s">
        <v>10</v>
      </c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 t="s">
        <v>11</v>
      </c>
      <c r="AY10" s="190"/>
      <c r="AZ10" s="190"/>
      <c r="BA10" s="190"/>
      <c r="BB10" s="190"/>
      <c r="BC10" s="190"/>
      <c r="BD10" s="190" t="s">
        <v>12</v>
      </c>
      <c r="BE10" s="190"/>
      <c r="BF10" s="190"/>
      <c r="BG10" s="190"/>
      <c r="BH10" s="190"/>
      <c r="BI10" s="190"/>
      <c r="BJ10" s="190"/>
      <c r="BK10" s="4"/>
    </row>
    <row r="11" spans="1:63" ht="15" customHeight="1" x14ac:dyDescent="0.25">
      <c r="A11" s="1"/>
      <c r="B11" s="172">
        <v>45461</v>
      </c>
      <c r="C11" s="167"/>
      <c r="D11" s="167"/>
      <c r="E11" s="167"/>
      <c r="F11" s="167"/>
      <c r="G11" s="168"/>
      <c r="H11" s="114" t="s">
        <v>43</v>
      </c>
      <c r="I11" s="167"/>
      <c r="J11" s="167"/>
      <c r="K11" s="167"/>
      <c r="L11" s="167"/>
      <c r="M11" s="167"/>
      <c r="N11" s="168"/>
      <c r="O11" s="166">
        <v>0.1</v>
      </c>
      <c r="P11" s="167"/>
      <c r="Q11" s="167"/>
      <c r="R11" s="167"/>
      <c r="S11" s="178" t="s">
        <v>14</v>
      </c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80"/>
      <c r="AX11" s="181"/>
      <c r="AY11" s="181"/>
      <c r="AZ11" s="181"/>
      <c r="BA11" s="181"/>
      <c r="BB11" s="181"/>
      <c r="BC11" s="182"/>
      <c r="BD11" s="185"/>
      <c r="BE11" s="181"/>
      <c r="BF11" s="181"/>
      <c r="BG11" s="181"/>
      <c r="BH11" s="181"/>
      <c r="BI11" s="181"/>
      <c r="BJ11" s="182"/>
      <c r="BK11" s="4"/>
    </row>
    <row r="12" spans="1:63" ht="15" customHeight="1" x14ac:dyDescent="0.25">
      <c r="A12" s="1"/>
      <c r="B12" s="169"/>
      <c r="C12" s="170"/>
      <c r="D12" s="170"/>
      <c r="E12" s="170"/>
      <c r="F12" s="170"/>
      <c r="G12" s="171"/>
      <c r="H12" s="169"/>
      <c r="I12" s="170"/>
      <c r="J12" s="170"/>
      <c r="K12" s="170"/>
      <c r="L12" s="170"/>
      <c r="M12" s="170"/>
      <c r="N12" s="171"/>
      <c r="O12" s="169"/>
      <c r="P12" s="170"/>
      <c r="Q12" s="170"/>
      <c r="R12" s="170"/>
      <c r="S12" s="187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9"/>
      <c r="AX12" s="183"/>
      <c r="AY12" s="183"/>
      <c r="AZ12" s="183"/>
      <c r="BA12" s="183"/>
      <c r="BB12" s="183"/>
      <c r="BC12" s="184"/>
      <c r="BD12" s="186"/>
      <c r="BE12" s="183"/>
      <c r="BF12" s="183"/>
      <c r="BG12" s="183"/>
      <c r="BH12" s="183"/>
      <c r="BI12" s="183"/>
      <c r="BJ12" s="184"/>
      <c r="BK12" s="4"/>
    </row>
    <row r="13" spans="1:63" ht="15" customHeight="1" x14ac:dyDescent="0.25">
      <c r="A13" s="1"/>
      <c r="B13" s="172">
        <v>45505</v>
      </c>
      <c r="C13" s="167"/>
      <c r="D13" s="167"/>
      <c r="E13" s="167"/>
      <c r="F13" s="167"/>
      <c r="G13" s="168"/>
      <c r="H13" s="166" t="s">
        <v>85</v>
      </c>
      <c r="I13" s="167"/>
      <c r="J13" s="167"/>
      <c r="K13" s="167"/>
      <c r="L13" s="167"/>
      <c r="M13" s="167"/>
      <c r="N13" s="168"/>
      <c r="O13" s="166">
        <v>0.12</v>
      </c>
      <c r="P13" s="167"/>
      <c r="Q13" s="167"/>
      <c r="R13" s="167"/>
      <c r="S13" s="178" t="s">
        <v>89</v>
      </c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80"/>
      <c r="AX13" s="181"/>
      <c r="AY13" s="181"/>
      <c r="AZ13" s="181"/>
      <c r="BA13" s="181"/>
      <c r="BB13" s="181"/>
      <c r="BC13" s="182"/>
      <c r="BD13" s="185"/>
      <c r="BE13" s="181"/>
      <c r="BF13" s="181"/>
      <c r="BG13" s="181"/>
      <c r="BH13" s="181"/>
      <c r="BI13" s="181"/>
      <c r="BJ13" s="182"/>
      <c r="BK13" s="4"/>
    </row>
    <row r="14" spans="1:63" ht="15" customHeight="1" x14ac:dyDescent="0.25">
      <c r="A14" s="1"/>
      <c r="B14" s="169"/>
      <c r="C14" s="170"/>
      <c r="D14" s="170"/>
      <c r="E14" s="170"/>
      <c r="F14" s="170"/>
      <c r="G14" s="171"/>
      <c r="H14" s="169"/>
      <c r="I14" s="170"/>
      <c r="J14" s="170"/>
      <c r="K14" s="170"/>
      <c r="L14" s="170"/>
      <c r="M14" s="170"/>
      <c r="N14" s="171"/>
      <c r="O14" s="169"/>
      <c r="P14" s="170"/>
      <c r="Q14" s="170"/>
      <c r="R14" s="170"/>
      <c r="S14" s="187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9"/>
      <c r="AX14" s="183"/>
      <c r="AY14" s="183"/>
      <c r="AZ14" s="183"/>
      <c r="BA14" s="183"/>
      <c r="BB14" s="183"/>
      <c r="BC14" s="184"/>
      <c r="BD14" s="186"/>
      <c r="BE14" s="183"/>
      <c r="BF14" s="183"/>
      <c r="BG14" s="183"/>
      <c r="BH14" s="183"/>
      <c r="BI14" s="183"/>
      <c r="BJ14" s="184"/>
      <c r="BK14" s="4"/>
    </row>
    <row r="15" spans="1:63" x14ac:dyDescent="0.25">
      <c r="A15" s="1"/>
      <c r="B15" s="172">
        <v>45566</v>
      </c>
      <c r="C15" s="167"/>
      <c r="D15" s="167"/>
      <c r="E15" s="167"/>
      <c r="F15" s="167"/>
      <c r="G15" s="168"/>
      <c r="H15" s="166" t="s">
        <v>93</v>
      </c>
      <c r="I15" s="167"/>
      <c r="J15" s="167"/>
      <c r="K15" s="167"/>
      <c r="L15" s="167"/>
      <c r="M15" s="167"/>
      <c r="N15" s="168"/>
      <c r="O15" s="166">
        <v>0.13</v>
      </c>
      <c r="P15" s="167"/>
      <c r="Q15" s="167"/>
      <c r="R15" s="167"/>
      <c r="S15" s="204" t="s">
        <v>94</v>
      </c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80"/>
      <c r="AX15" s="181"/>
      <c r="AY15" s="181"/>
      <c r="AZ15" s="181"/>
      <c r="BA15" s="181"/>
      <c r="BB15" s="181"/>
      <c r="BC15" s="182"/>
      <c r="BD15" s="185"/>
      <c r="BE15" s="181"/>
      <c r="BF15" s="181"/>
      <c r="BG15" s="181"/>
      <c r="BH15" s="181"/>
      <c r="BI15" s="181"/>
      <c r="BJ15" s="182"/>
      <c r="BK15" s="4"/>
    </row>
    <row r="16" spans="1:63" ht="15" customHeight="1" x14ac:dyDescent="0.25">
      <c r="A16" s="1"/>
      <c r="B16" s="169"/>
      <c r="C16" s="170"/>
      <c r="D16" s="170"/>
      <c r="E16" s="170"/>
      <c r="F16" s="170"/>
      <c r="G16" s="171"/>
      <c r="H16" s="169"/>
      <c r="I16" s="170"/>
      <c r="J16" s="170"/>
      <c r="K16" s="170"/>
      <c r="L16" s="170"/>
      <c r="M16" s="170"/>
      <c r="N16" s="171"/>
      <c r="O16" s="169"/>
      <c r="P16" s="170"/>
      <c r="Q16" s="170"/>
      <c r="R16" s="170"/>
      <c r="S16" s="187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9"/>
      <c r="AX16" s="183"/>
      <c r="AY16" s="183"/>
      <c r="AZ16" s="183"/>
      <c r="BA16" s="183"/>
      <c r="BB16" s="183"/>
      <c r="BC16" s="184"/>
      <c r="BD16" s="186"/>
      <c r="BE16" s="183"/>
      <c r="BF16" s="183"/>
      <c r="BG16" s="183"/>
      <c r="BH16" s="183"/>
      <c r="BI16" s="183"/>
      <c r="BJ16" s="184"/>
      <c r="BK16" s="4"/>
    </row>
    <row r="17" spans="1:63" ht="69.75" customHeight="1" x14ac:dyDescent="0.25">
      <c r="A17" s="1"/>
      <c r="B17" s="191">
        <v>45580</v>
      </c>
      <c r="C17" s="192"/>
      <c r="D17" s="192"/>
      <c r="E17" s="192"/>
      <c r="F17" s="192"/>
      <c r="G17" s="193"/>
      <c r="H17" s="197" t="s">
        <v>116</v>
      </c>
      <c r="I17" s="192"/>
      <c r="J17" s="192"/>
      <c r="K17" s="192"/>
      <c r="L17" s="192"/>
      <c r="M17" s="192"/>
      <c r="N17" s="193"/>
      <c r="O17" s="197">
        <v>0.14000000000000001</v>
      </c>
      <c r="P17" s="192"/>
      <c r="Q17" s="192"/>
      <c r="R17" s="192"/>
      <c r="S17" s="198" t="s">
        <v>117</v>
      </c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200"/>
      <c r="AX17" s="181"/>
      <c r="AY17" s="181"/>
      <c r="AZ17" s="181"/>
      <c r="BA17" s="181"/>
      <c r="BB17" s="181"/>
      <c r="BC17" s="182"/>
      <c r="BD17" s="185"/>
      <c r="BE17" s="181"/>
      <c r="BF17" s="181"/>
      <c r="BG17" s="181"/>
      <c r="BH17" s="181"/>
      <c r="BI17" s="181"/>
      <c r="BJ17" s="182"/>
      <c r="BK17" s="4"/>
    </row>
    <row r="18" spans="1:63" ht="15" customHeight="1" x14ac:dyDescent="0.25">
      <c r="A18" s="1"/>
      <c r="B18" s="194"/>
      <c r="C18" s="195"/>
      <c r="D18" s="195"/>
      <c r="E18" s="195"/>
      <c r="F18" s="195"/>
      <c r="G18" s="196"/>
      <c r="H18" s="194"/>
      <c r="I18" s="195"/>
      <c r="J18" s="195"/>
      <c r="K18" s="195"/>
      <c r="L18" s="195"/>
      <c r="M18" s="195"/>
      <c r="N18" s="196"/>
      <c r="O18" s="194"/>
      <c r="P18" s="195"/>
      <c r="Q18" s="195"/>
      <c r="R18" s="195"/>
      <c r="S18" s="201" t="s">
        <v>115</v>
      </c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3"/>
      <c r="AX18" s="183"/>
      <c r="AY18" s="183"/>
      <c r="AZ18" s="183"/>
      <c r="BA18" s="183"/>
      <c r="BB18" s="183"/>
      <c r="BC18" s="184"/>
      <c r="BD18" s="186"/>
      <c r="BE18" s="183"/>
      <c r="BF18" s="183"/>
      <c r="BG18" s="183"/>
      <c r="BH18" s="183"/>
      <c r="BI18" s="183"/>
      <c r="BJ18" s="184"/>
      <c r="BK18" s="4"/>
    </row>
    <row r="19" spans="1:63" ht="32.25" customHeight="1" x14ac:dyDescent="0.25">
      <c r="A19" s="1"/>
      <c r="B19" s="191">
        <v>45601</v>
      </c>
      <c r="C19" s="192"/>
      <c r="D19" s="192"/>
      <c r="E19" s="192"/>
      <c r="F19" s="192"/>
      <c r="G19" s="193"/>
      <c r="H19" s="197" t="s">
        <v>116</v>
      </c>
      <c r="I19" s="192"/>
      <c r="J19" s="192"/>
      <c r="K19" s="192"/>
      <c r="L19" s="192"/>
      <c r="M19" s="192"/>
      <c r="N19" s="193"/>
      <c r="O19" s="197">
        <v>0.11</v>
      </c>
      <c r="P19" s="192"/>
      <c r="Q19" s="192"/>
      <c r="R19" s="192"/>
      <c r="S19" s="205" t="s">
        <v>191</v>
      </c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7"/>
      <c r="AX19" s="181"/>
      <c r="AY19" s="181"/>
      <c r="AZ19" s="181"/>
      <c r="BA19" s="181"/>
      <c r="BB19" s="181"/>
      <c r="BC19" s="182"/>
      <c r="BD19" s="185"/>
      <c r="BE19" s="181"/>
      <c r="BF19" s="181"/>
      <c r="BG19" s="181"/>
      <c r="BH19" s="181"/>
      <c r="BI19" s="181"/>
      <c r="BJ19" s="182"/>
      <c r="BK19" s="4"/>
    </row>
    <row r="20" spans="1:63" ht="15" customHeight="1" x14ac:dyDescent="0.25">
      <c r="A20" s="1"/>
      <c r="B20" s="194"/>
      <c r="C20" s="195"/>
      <c r="D20" s="195"/>
      <c r="E20" s="195"/>
      <c r="F20" s="195"/>
      <c r="G20" s="196"/>
      <c r="H20" s="194"/>
      <c r="I20" s="195"/>
      <c r="J20" s="195"/>
      <c r="K20" s="195"/>
      <c r="L20" s="195"/>
      <c r="M20" s="195"/>
      <c r="N20" s="196"/>
      <c r="O20" s="194"/>
      <c r="P20" s="195"/>
      <c r="Q20" s="195"/>
      <c r="R20" s="195"/>
      <c r="S20" s="201" t="s">
        <v>118</v>
      </c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3"/>
      <c r="AX20" s="183"/>
      <c r="AY20" s="183"/>
      <c r="AZ20" s="183"/>
      <c r="BA20" s="183"/>
      <c r="BB20" s="183"/>
      <c r="BC20" s="184"/>
      <c r="BD20" s="186"/>
      <c r="BE20" s="183"/>
      <c r="BF20" s="183"/>
      <c r="BG20" s="183"/>
      <c r="BH20" s="183"/>
      <c r="BI20" s="183"/>
      <c r="BJ20" s="184"/>
      <c r="BK20" s="4"/>
    </row>
    <row r="21" spans="1:63" ht="15" customHeight="1" x14ac:dyDescent="0.25">
      <c r="A21" s="1"/>
      <c r="B21" s="166"/>
      <c r="C21" s="167"/>
      <c r="D21" s="167"/>
      <c r="E21" s="167"/>
      <c r="F21" s="167"/>
      <c r="G21" s="168"/>
      <c r="H21" s="166"/>
      <c r="I21" s="167"/>
      <c r="J21" s="167"/>
      <c r="K21" s="167"/>
      <c r="L21" s="167"/>
      <c r="M21" s="167"/>
      <c r="N21" s="168"/>
      <c r="O21" s="166"/>
      <c r="P21" s="167"/>
      <c r="Q21" s="167"/>
      <c r="R21" s="167"/>
      <c r="S21" s="178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80"/>
      <c r="AX21" s="181"/>
      <c r="AY21" s="181"/>
      <c r="AZ21" s="181"/>
      <c r="BA21" s="181"/>
      <c r="BB21" s="181"/>
      <c r="BC21" s="182"/>
      <c r="BD21" s="185"/>
      <c r="BE21" s="181"/>
      <c r="BF21" s="181"/>
      <c r="BG21" s="181"/>
      <c r="BH21" s="181"/>
      <c r="BI21" s="181"/>
      <c r="BJ21" s="182"/>
      <c r="BK21" s="4"/>
    </row>
    <row r="22" spans="1:63" ht="15" customHeight="1" x14ac:dyDescent="0.25">
      <c r="A22" s="1"/>
      <c r="B22" s="169"/>
      <c r="C22" s="170"/>
      <c r="D22" s="170"/>
      <c r="E22" s="170"/>
      <c r="F22" s="170"/>
      <c r="G22" s="171"/>
      <c r="H22" s="169"/>
      <c r="I22" s="170"/>
      <c r="J22" s="170"/>
      <c r="K22" s="170"/>
      <c r="L22" s="170"/>
      <c r="M22" s="170"/>
      <c r="N22" s="171"/>
      <c r="O22" s="169"/>
      <c r="P22" s="170"/>
      <c r="Q22" s="170"/>
      <c r="R22" s="170"/>
      <c r="S22" s="187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9"/>
      <c r="AX22" s="183"/>
      <c r="AY22" s="183"/>
      <c r="AZ22" s="183"/>
      <c r="BA22" s="183"/>
      <c r="BB22" s="183"/>
      <c r="BC22" s="184"/>
      <c r="BD22" s="186"/>
      <c r="BE22" s="183"/>
      <c r="BF22" s="183"/>
      <c r="BG22" s="183"/>
      <c r="BH22" s="183"/>
      <c r="BI22" s="183"/>
      <c r="BJ22" s="184"/>
      <c r="BK22" s="4"/>
    </row>
    <row r="23" spans="1:63" ht="15" customHeight="1" x14ac:dyDescent="0.25">
      <c r="A23" s="1"/>
      <c r="B23" s="166"/>
      <c r="C23" s="167"/>
      <c r="D23" s="167"/>
      <c r="E23" s="167"/>
      <c r="F23" s="167"/>
      <c r="G23" s="168"/>
      <c r="H23" s="166"/>
      <c r="I23" s="167"/>
      <c r="J23" s="167"/>
      <c r="K23" s="167"/>
      <c r="L23" s="167"/>
      <c r="M23" s="167"/>
      <c r="N23" s="168"/>
      <c r="O23" s="166"/>
      <c r="P23" s="167"/>
      <c r="Q23" s="167"/>
      <c r="R23" s="167"/>
      <c r="S23" s="178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80"/>
      <c r="AX23" s="181"/>
      <c r="AY23" s="181"/>
      <c r="AZ23" s="181"/>
      <c r="BA23" s="181"/>
      <c r="BB23" s="181"/>
      <c r="BC23" s="182"/>
      <c r="BD23" s="185"/>
      <c r="BE23" s="181"/>
      <c r="BF23" s="181"/>
      <c r="BG23" s="181"/>
      <c r="BH23" s="181"/>
      <c r="BI23" s="181"/>
      <c r="BJ23" s="182"/>
      <c r="BK23" s="4"/>
    </row>
    <row r="24" spans="1:63" ht="15" customHeight="1" x14ac:dyDescent="0.25">
      <c r="A24" s="1"/>
      <c r="B24" s="169"/>
      <c r="C24" s="170"/>
      <c r="D24" s="170"/>
      <c r="E24" s="170"/>
      <c r="F24" s="170"/>
      <c r="G24" s="171"/>
      <c r="H24" s="169"/>
      <c r="I24" s="170"/>
      <c r="J24" s="170"/>
      <c r="K24" s="170"/>
      <c r="L24" s="170"/>
      <c r="M24" s="170"/>
      <c r="N24" s="171"/>
      <c r="O24" s="169"/>
      <c r="P24" s="170"/>
      <c r="Q24" s="170"/>
      <c r="R24" s="170"/>
      <c r="S24" s="187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9"/>
      <c r="AX24" s="183"/>
      <c r="AY24" s="183"/>
      <c r="AZ24" s="183"/>
      <c r="BA24" s="183"/>
      <c r="BB24" s="183"/>
      <c r="BC24" s="184"/>
      <c r="BD24" s="186"/>
      <c r="BE24" s="183"/>
      <c r="BF24" s="183"/>
      <c r="BG24" s="183"/>
      <c r="BH24" s="183"/>
      <c r="BI24" s="183"/>
      <c r="BJ24" s="184"/>
      <c r="BK24" s="4"/>
    </row>
    <row r="25" spans="1:63" ht="15" customHeight="1" x14ac:dyDescent="0.25">
      <c r="A25" s="1"/>
      <c r="B25" s="166"/>
      <c r="C25" s="167"/>
      <c r="D25" s="167"/>
      <c r="E25" s="167"/>
      <c r="F25" s="167"/>
      <c r="G25" s="168"/>
      <c r="H25" s="166"/>
      <c r="I25" s="167"/>
      <c r="J25" s="167"/>
      <c r="K25" s="167"/>
      <c r="L25" s="167"/>
      <c r="M25" s="167"/>
      <c r="N25" s="168"/>
      <c r="O25" s="166"/>
      <c r="P25" s="167"/>
      <c r="Q25" s="167"/>
      <c r="R25" s="167"/>
      <c r="S25" s="178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79"/>
      <c r="AU25" s="179"/>
      <c r="AV25" s="179"/>
      <c r="AW25" s="180"/>
      <c r="AX25" s="181"/>
      <c r="AY25" s="181"/>
      <c r="AZ25" s="181"/>
      <c r="BA25" s="181"/>
      <c r="BB25" s="181"/>
      <c r="BC25" s="182"/>
      <c r="BD25" s="185"/>
      <c r="BE25" s="181"/>
      <c r="BF25" s="181"/>
      <c r="BG25" s="181"/>
      <c r="BH25" s="181"/>
      <c r="BI25" s="181"/>
      <c r="BJ25" s="182"/>
      <c r="BK25" s="4"/>
    </row>
    <row r="26" spans="1:63" ht="15" customHeight="1" x14ac:dyDescent="0.25">
      <c r="A26" s="1"/>
      <c r="B26" s="169"/>
      <c r="C26" s="170"/>
      <c r="D26" s="170"/>
      <c r="E26" s="170"/>
      <c r="F26" s="170"/>
      <c r="G26" s="171"/>
      <c r="H26" s="169"/>
      <c r="I26" s="170"/>
      <c r="J26" s="170"/>
      <c r="K26" s="170"/>
      <c r="L26" s="170"/>
      <c r="M26" s="170"/>
      <c r="N26" s="171"/>
      <c r="O26" s="169"/>
      <c r="P26" s="170"/>
      <c r="Q26" s="170"/>
      <c r="R26" s="170"/>
      <c r="S26" s="187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9"/>
      <c r="AX26" s="183"/>
      <c r="AY26" s="183"/>
      <c r="AZ26" s="183"/>
      <c r="BA26" s="183"/>
      <c r="BB26" s="183"/>
      <c r="BC26" s="184"/>
      <c r="BD26" s="186"/>
      <c r="BE26" s="183"/>
      <c r="BF26" s="183"/>
      <c r="BG26" s="183"/>
      <c r="BH26" s="183"/>
      <c r="BI26" s="183"/>
      <c r="BJ26" s="184"/>
      <c r="BK26" s="4"/>
    </row>
    <row r="27" spans="1:63" ht="15" customHeight="1" x14ac:dyDescent="0.25">
      <c r="A27" s="1"/>
      <c r="B27" s="166"/>
      <c r="C27" s="167"/>
      <c r="D27" s="167"/>
      <c r="E27" s="167"/>
      <c r="F27" s="167"/>
      <c r="G27" s="168"/>
      <c r="H27" s="166"/>
      <c r="I27" s="167"/>
      <c r="J27" s="167"/>
      <c r="K27" s="167"/>
      <c r="L27" s="167"/>
      <c r="M27" s="167"/>
      <c r="N27" s="168"/>
      <c r="O27" s="166"/>
      <c r="P27" s="167"/>
      <c r="Q27" s="167"/>
      <c r="R27" s="167"/>
      <c r="S27" s="178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80"/>
      <c r="AX27" s="181"/>
      <c r="AY27" s="181"/>
      <c r="AZ27" s="181"/>
      <c r="BA27" s="181"/>
      <c r="BB27" s="181"/>
      <c r="BC27" s="182"/>
      <c r="BD27" s="185"/>
      <c r="BE27" s="181"/>
      <c r="BF27" s="181"/>
      <c r="BG27" s="181"/>
      <c r="BH27" s="181"/>
      <c r="BI27" s="181"/>
      <c r="BJ27" s="182"/>
      <c r="BK27" s="4"/>
    </row>
    <row r="28" spans="1:63" ht="15" customHeight="1" x14ac:dyDescent="0.25">
      <c r="A28" s="1"/>
      <c r="B28" s="169"/>
      <c r="C28" s="170"/>
      <c r="D28" s="170"/>
      <c r="E28" s="170"/>
      <c r="F28" s="170"/>
      <c r="G28" s="171"/>
      <c r="H28" s="169"/>
      <c r="I28" s="170"/>
      <c r="J28" s="170"/>
      <c r="K28" s="170"/>
      <c r="L28" s="170"/>
      <c r="M28" s="170"/>
      <c r="N28" s="171"/>
      <c r="O28" s="169"/>
      <c r="P28" s="170"/>
      <c r="Q28" s="170"/>
      <c r="R28" s="170"/>
      <c r="S28" s="187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9"/>
      <c r="AX28" s="183"/>
      <c r="AY28" s="183"/>
      <c r="AZ28" s="183"/>
      <c r="BA28" s="183"/>
      <c r="BB28" s="183"/>
      <c r="BC28" s="184"/>
      <c r="BD28" s="186"/>
      <c r="BE28" s="183"/>
      <c r="BF28" s="183"/>
      <c r="BG28" s="183"/>
      <c r="BH28" s="183"/>
      <c r="BI28" s="183"/>
      <c r="BJ28" s="184"/>
      <c r="BK28" s="4"/>
    </row>
    <row r="29" spans="1:63" ht="15" customHeight="1" x14ac:dyDescent="0.25">
      <c r="A29" s="1"/>
      <c r="B29" s="166"/>
      <c r="C29" s="167"/>
      <c r="D29" s="167"/>
      <c r="E29" s="167"/>
      <c r="F29" s="167"/>
      <c r="G29" s="168"/>
      <c r="H29" s="166"/>
      <c r="I29" s="167"/>
      <c r="J29" s="167"/>
      <c r="K29" s="167"/>
      <c r="L29" s="167"/>
      <c r="M29" s="167"/>
      <c r="N29" s="168"/>
      <c r="O29" s="166"/>
      <c r="P29" s="167"/>
      <c r="Q29" s="167"/>
      <c r="R29" s="167"/>
      <c r="S29" s="178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80"/>
      <c r="AX29" s="181"/>
      <c r="AY29" s="181"/>
      <c r="AZ29" s="181"/>
      <c r="BA29" s="181"/>
      <c r="BB29" s="181"/>
      <c r="BC29" s="182"/>
      <c r="BD29" s="185"/>
      <c r="BE29" s="181"/>
      <c r="BF29" s="181"/>
      <c r="BG29" s="181"/>
      <c r="BH29" s="181"/>
      <c r="BI29" s="181"/>
      <c r="BJ29" s="182"/>
      <c r="BK29" s="4"/>
    </row>
    <row r="30" spans="1:63" ht="15" customHeight="1" x14ac:dyDescent="0.25">
      <c r="A30" s="1"/>
      <c r="B30" s="169"/>
      <c r="C30" s="170"/>
      <c r="D30" s="170"/>
      <c r="E30" s="170"/>
      <c r="F30" s="170"/>
      <c r="G30" s="171"/>
      <c r="H30" s="169"/>
      <c r="I30" s="170"/>
      <c r="J30" s="170"/>
      <c r="K30" s="170"/>
      <c r="L30" s="170"/>
      <c r="M30" s="170"/>
      <c r="N30" s="171"/>
      <c r="O30" s="169"/>
      <c r="P30" s="170"/>
      <c r="Q30" s="170"/>
      <c r="R30" s="170"/>
      <c r="S30" s="187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9"/>
      <c r="AX30" s="183"/>
      <c r="AY30" s="183"/>
      <c r="AZ30" s="183"/>
      <c r="BA30" s="183"/>
      <c r="BB30" s="183"/>
      <c r="BC30" s="184"/>
      <c r="BD30" s="186"/>
      <c r="BE30" s="183"/>
      <c r="BF30" s="183"/>
      <c r="BG30" s="183"/>
      <c r="BH30" s="183"/>
      <c r="BI30" s="183"/>
      <c r="BJ30" s="184"/>
      <c r="BK30" s="4"/>
    </row>
    <row r="31" spans="1:63" ht="15" customHeight="1" x14ac:dyDescent="0.25">
      <c r="A31" s="1"/>
      <c r="B31" s="166"/>
      <c r="C31" s="167"/>
      <c r="D31" s="167"/>
      <c r="E31" s="167"/>
      <c r="F31" s="167"/>
      <c r="G31" s="168"/>
      <c r="H31" s="166"/>
      <c r="I31" s="167"/>
      <c r="J31" s="167"/>
      <c r="K31" s="167"/>
      <c r="L31" s="167"/>
      <c r="M31" s="167"/>
      <c r="N31" s="168"/>
      <c r="O31" s="166"/>
      <c r="P31" s="167"/>
      <c r="Q31" s="167"/>
      <c r="R31" s="167"/>
      <c r="S31" s="178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80"/>
      <c r="AX31" s="181"/>
      <c r="AY31" s="181"/>
      <c r="AZ31" s="181"/>
      <c r="BA31" s="181"/>
      <c r="BB31" s="181"/>
      <c r="BC31" s="182"/>
      <c r="BD31" s="185"/>
      <c r="BE31" s="181"/>
      <c r="BF31" s="181"/>
      <c r="BG31" s="181"/>
      <c r="BH31" s="181"/>
      <c r="BI31" s="181"/>
      <c r="BJ31" s="182"/>
      <c r="BK31" s="4"/>
    </row>
    <row r="32" spans="1:63" ht="15" customHeight="1" x14ac:dyDescent="0.25">
      <c r="A32" s="1"/>
      <c r="B32" s="169"/>
      <c r="C32" s="170"/>
      <c r="D32" s="170"/>
      <c r="E32" s="170"/>
      <c r="F32" s="170"/>
      <c r="G32" s="171"/>
      <c r="H32" s="169"/>
      <c r="I32" s="170"/>
      <c r="J32" s="170"/>
      <c r="K32" s="170"/>
      <c r="L32" s="170"/>
      <c r="M32" s="170"/>
      <c r="N32" s="171"/>
      <c r="O32" s="169"/>
      <c r="P32" s="170"/>
      <c r="Q32" s="170"/>
      <c r="R32" s="170"/>
      <c r="S32" s="187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9"/>
      <c r="AX32" s="183"/>
      <c r="AY32" s="183"/>
      <c r="AZ32" s="183"/>
      <c r="BA32" s="183"/>
      <c r="BB32" s="183"/>
      <c r="BC32" s="184"/>
      <c r="BD32" s="186"/>
      <c r="BE32" s="183"/>
      <c r="BF32" s="183"/>
      <c r="BG32" s="183"/>
      <c r="BH32" s="183"/>
      <c r="BI32" s="183"/>
      <c r="BJ32" s="184"/>
      <c r="BK32" s="4"/>
    </row>
    <row r="33" spans="1:63" ht="15" customHeight="1" x14ac:dyDescent="0.25">
      <c r="A33" s="1"/>
      <c r="B33" s="166"/>
      <c r="C33" s="167"/>
      <c r="D33" s="167"/>
      <c r="E33" s="167"/>
      <c r="F33" s="167"/>
      <c r="G33" s="168"/>
      <c r="H33" s="166"/>
      <c r="I33" s="167"/>
      <c r="J33" s="167"/>
      <c r="K33" s="167"/>
      <c r="L33" s="167"/>
      <c r="M33" s="167"/>
      <c r="N33" s="168"/>
      <c r="O33" s="166"/>
      <c r="P33" s="167"/>
      <c r="Q33" s="167"/>
      <c r="R33" s="167"/>
      <c r="S33" s="178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80"/>
      <c r="AX33" s="181"/>
      <c r="AY33" s="181"/>
      <c r="AZ33" s="181"/>
      <c r="BA33" s="181"/>
      <c r="BB33" s="181"/>
      <c r="BC33" s="182"/>
      <c r="BD33" s="185"/>
      <c r="BE33" s="181"/>
      <c r="BF33" s="181"/>
      <c r="BG33" s="181"/>
      <c r="BH33" s="181"/>
      <c r="BI33" s="181"/>
      <c r="BJ33" s="182"/>
      <c r="BK33" s="4"/>
    </row>
    <row r="34" spans="1:63" ht="15" customHeight="1" x14ac:dyDescent="0.25">
      <c r="A34" s="1"/>
      <c r="B34" s="169"/>
      <c r="C34" s="170"/>
      <c r="D34" s="170"/>
      <c r="E34" s="170"/>
      <c r="F34" s="170"/>
      <c r="G34" s="171"/>
      <c r="H34" s="169"/>
      <c r="I34" s="170"/>
      <c r="J34" s="170"/>
      <c r="K34" s="170"/>
      <c r="L34" s="170"/>
      <c r="M34" s="170"/>
      <c r="N34" s="171"/>
      <c r="O34" s="169"/>
      <c r="P34" s="170"/>
      <c r="Q34" s="170"/>
      <c r="R34" s="170"/>
      <c r="S34" s="187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9"/>
      <c r="AX34" s="183"/>
      <c r="AY34" s="183"/>
      <c r="AZ34" s="183"/>
      <c r="BA34" s="183"/>
      <c r="BB34" s="183"/>
      <c r="BC34" s="184"/>
      <c r="BD34" s="186"/>
      <c r="BE34" s="183"/>
      <c r="BF34" s="183"/>
      <c r="BG34" s="183"/>
      <c r="BH34" s="183"/>
      <c r="BI34" s="183"/>
      <c r="BJ34" s="184"/>
      <c r="BK34" s="4"/>
    </row>
    <row r="35" spans="1:63" ht="15" customHeight="1" x14ac:dyDescent="0.25">
      <c r="A35" s="1"/>
      <c r="B35" s="166"/>
      <c r="C35" s="167"/>
      <c r="D35" s="167"/>
      <c r="E35" s="167"/>
      <c r="F35" s="167"/>
      <c r="G35" s="168"/>
      <c r="H35" s="166"/>
      <c r="I35" s="167"/>
      <c r="J35" s="167"/>
      <c r="K35" s="167"/>
      <c r="L35" s="167"/>
      <c r="M35" s="167"/>
      <c r="N35" s="168"/>
      <c r="O35" s="166"/>
      <c r="P35" s="167"/>
      <c r="Q35" s="167"/>
      <c r="R35" s="167"/>
      <c r="S35" s="178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80"/>
      <c r="AX35" s="181"/>
      <c r="AY35" s="181"/>
      <c r="AZ35" s="181"/>
      <c r="BA35" s="181"/>
      <c r="BB35" s="181"/>
      <c r="BC35" s="182"/>
      <c r="BD35" s="185"/>
      <c r="BE35" s="181"/>
      <c r="BF35" s="181"/>
      <c r="BG35" s="181"/>
      <c r="BH35" s="181"/>
      <c r="BI35" s="181"/>
      <c r="BJ35" s="182"/>
      <c r="BK35" s="4"/>
    </row>
    <row r="36" spans="1:63" ht="15" customHeight="1" x14ac:dyDescent="0.25">
      <c r="A36" s="1"/>
      <c r="B36" s="169"/>
      <c r="C36" s="170"/>
      <c r="D36" s="170"/>
      <c r="E36" s="170"/>
      <c r="F36" s="170"/>
      <c r="G36" s="171"/>
      <c r="H36" s="169"/>
      <c r="I36" s="170"/>
      <c r="J36" s="170"/>
      <c r="K36" s="170"/>
      <c r="L36" s="170"/>
      <c r="M36" s="170"/>
      <c r="N36" s="171"/>
      <c r="O36" s="169"/>
      <c r="P36" s="170"/>
      <c r="Q36" s="170"/>
      <c r="R36" s="170"/>
      <c r="S36" s="187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9"/>
      <c r="AX36" s="183"/>
      <c r="AY36" s="183"/>
      <c r="AZ36" s="183"/>
      <c r="BA36" s="183"/>
      <c r="BB36" s="183"/>
      <c r="BC36" s="184"/>
      <c r="BD36" s="186"/>
      <c r="BE36" s="183"/>
      <c r="BF36" s="183"/>
      <c r="BG36" s="183"/>
      <c r="BH36" s="183"/>
      <c r="BI36" s="183"/>
      <c r="BJ36" s="184"/>
      <c r="BK36" s="4"/>
    </row>
    <row r="37" spans="1:63" ht="15" customHeight="1" x14ac:dyDescent="0.25">
      <c r="A37" s="1"/>
      <c r="B37" s="166"/>
      <c r="C37" s="167"/>
      <c r="D37" s="167"/>
      <c r="E37" s="167"/>
      <c r="F37" s="167"/>
      <c r="G37" s="168"/>
      <c r="H37" s="166"/>
      <c r="I37" s="167"/>
      <c r="J37" s="167"/>
      <c r="K37" s="167"/>
      <c r="L37" s="167"/>
      <c r="M37" s="167"/>
      <c r="N37" s="168"/>
      <c r="O37" s="166"/>
      <c r="P37" s="167"/>
      <c r="Q37" s="167"/>
      <c r="R37" s="167"/>
      <c r="S37" s="178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79"/>
      <c r="AU37" s="179"/>
      <c r="AV37" s="179"/>
      <c r="AW37" s="180"/>
      <c r="AX37" s="181"/>
      <c r="AY37" s="181"/>
      <c r="AZ37" s="181"/>
      <c r="BA37" s="181"/>
      <c r="BB37" s="181"/>
      <c r="BC37" s="182"/>
      <c r="BD37" s="185"/>
      <c r="BE37" s="181"/>
      <c r="BF37" s="181"/>
      <c r="BG37" s="181"/>
      <c r="BH37" s="181"/>
      <c r="BI37" s="181"/>
      <c r="BJ37" s="182"/>
      <c r="BK37" s="4"/>
    </row>
    <row r="38" spans="1:63" ht="15" customHeight="1" x14ac:dyDescent="0.25">
      <c r="A38" s="1"/>
      <c r="B38" s="169"/>
      <c r="C38" s="170"/>
      <c r="D38" s="170"/>
      <c r="E38" s="170"/>
      <c r="F38" s="170"/>
      <c r="G38" s="171"/>
      <c r="H38" s="169"/>
      <c r="I38" s="170"/>
      <c r="J38" s="170"/>
      <c r="K38" s="170"/>
      <c r="L38" s="170"/>
      <c r="M38" s="170"/>
      <c r="N38" s="171"/>
      <c r="O38" s="169"/>
      <c r="P38" s="170"/>
      <c r="Q38" s="170"/>
      <c r="R38" s="170"/>
      <c r="S38" s="187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9"/>
      <c r="AX38" s="183"/>
      <c r="AY38" s="183"/>
      <c r="AZ38" s="183"/>
      <c r="BA38" s="183"/>
      <c r="BB38" s="183"/>
      <c r="BC38" s="184"/>
      <c r="BD38" s="186"/>
      <c r="BE38" s="183"/>
      <c r="BF38" s="183"/>
      <c r="BG38" s="183"/>
      <c r="BH38" s="183"/>
      <c r="BI38" s="183"/>
      <c r="BJ38" s="184"/>
      <c r="BK38" s="4"/>
    </row>
    <row r="39" spans="1:63" ht="15" customHeight="1" x14ac:dyDescent="0.25">
      <c r="A39" s="1"/>
      <c r="B39" s="166"/>
      <c r="C39" s="167"/>
      <c r="D39" s="167"/>
      <c r="E39" s="167"/>
      <c r="F39" s="167"/>
      <c r="G39" s="168"/>
      <c r="H39" s="166"/>
      <c r="I39" s="167"/>
      <c r="J39" s="167"/>
      <c r="K39" s="167"/>
      <c r="L39" s="167"/>
      <c r="M39" s="167"/>
      <c r="N39" s="168"/>
      <c r="O39" s="166"/>
      <c r="P39" s="167"/>
      <c r="Q39" s="167"/>
      <c r="R39" s="167"/>
      <c r="S39" s="178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80"/>
      <c r="AX39" s="181"/>
      <c r="AY39" s="181"/>
      <c r="AZ39" s="181"/>
      <c r="BA39" s="181"/>
      <c r="BB39" s="181"/>
      <c r="BC39" s="182"/>
      <c r="BD39" s="185"/>
      <c r="BE39" s="181"/>
      <c r="BF39" s="181"/>
      <c r="BG39" s="181"/>
      <c r="BH39" s="181"/>
      <c r="BI39" s="181"/>
      <c r="BJ39" s="182"/>
      <c r="BK39" s="4"/>
    </row>
    <row r="40" spans="1:63" ht="15" customHeight="1" x14ac:dyDescent="0.25">
      <c r="A40" s="1"/>
      <c r="B40" s="169"/>
      <c r="C40" s="170"/>
      <c r="D40" s="170"/>
      <c r="E40" s="170"/>
      <c r="F40" s="170"/>
      <c r="G40" s="171"/>
      <c r="H40" s="169"/>
      <c r="I40" s="170"/>
      <c r="J40" s="170"/>
      <c r="K40" s="170"/>
      <c r="L40" s="170"/>
      <c r="M40" s="170"/>
      <c r="N40" s="171"/>
      <c r="O40" s="169"/>
      <c r="P40" s="170"/>
      <c r="Q40" s="170"/>
      <c r="R40" s="170"/>
      <c r="S40" s="187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9"/>
      <c r="AX40" s="183"/>
      <c r="AY40" s="183"/>
      <c r="AZ40" s="183"/>
      <c r="BA40" s="183"/>
      <c r="BB40" s="183"/>
      <c r="BC40" s="184"/>
      <c r="BD40" s="186"/>
      <c r="BE40" s="183"/>
      <c r="BF40" s="183"/>
      <c r="BG40" s="183"/>
      <c r="BH40" s="183"/>
      <c r="BI40" s="183"/>
      <c r="BJ40" s="184"/>
      <c r="BK40" s="4"/>
    </row>
    <row r="41" spans="1:63" ht="15" customHeight="1" x14ac:dyDescent="0.25">
      <c r="A41" s="1"/>
      <c r="B41" s="166"/>
      <c r="C41" s="167"/>
      <c r="D41" s="167"/>
      <c r="E41" s="167"/>
      <c r="F41" s="167"/>
      <c r="G41" s="168"/>
      <c r="H41" s="166"/>
      <c r="I41" s="167"/>
      <c r="J41" s="167"/>
      <c r="K41" s="167"/>
      <c r="L41" s="167"/>
      <c r="M41" s="167"/>
      <c r="N41" s="168"/>
      <c r="O41" s="166"/>
      <c r="P41" s="167"/>
      <c r="Q41" s="167"/>
      <c r="R41" s="167"/>
      <c r="S41" s="178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79"/>
      <c r="AU41" s="179"/>
      <c r="AV41" s="179"/>
      <c r="AW41" s="180"/>
      <c r="AX41" s="181"/>
      <c r="AY41" s="181"/>
      <c r="AZ41" s="181"/>
      <c r="BA41" s="181"/>
      <c r="BB41" s="181"/>
      <c r="BC41" s="182"/>
      <c r="BD41" s="185"/>
      <c r="BE41" s="181"/>
      <c r="BF41" s="181"/>
      <c r="BG41" s="181"/>
      <c r="BH41" s="181"/>
      <c r="BI41" s="181"/>
      <c r="BJ41" s="182"/>
      <c r="BK41" s="4"/>
    </row>
    <row r="42" spans="1:63" ht="15" customHeight="1" x14ac:dyDescent="0.25">
      <c r="A42" s="1"/>
      <c r="B42" s="169"/>
      <c r="C42" s="170"/>
      <c r="D42" s="170"/>
      <c r="E42" s="170"/>
      <c r="F42" s="170"/>
      <c r="G42" s="171"/>
      <c r="H42" s="169"/>
      <c r="I42" s="170"/>
      <c r="J42" s="170"/>
      <c r="K42" s="170"/>
      <c r="L42" s="170"/>
      <c r="M42" s="170"/>
      <c r="N42" s="171"/>
      <c r="O42" s="169"/>
      <c r="P42" s="170"/>
      <c r="Q42" s="170"/>
      <c r="R42" s="170"/>
      <c r="S42" s="187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9"/>
      <c r="AX42" s="183"/>
      <c r="AY42" s="183"/>
      <c r="AZ42" s="183"/>
      <c r="BA42" s="183"/>
      <c r="BB42" s="183"/>
      <c r="BC42" s="184"/>
      <c r="BD42" s="186"/>
      <c r="BE42" s="183"/>
      <c r="BF42" s="183"/>
      <c r="BG42" s="183"/>
      <c r="BH42" s="183"/>
      <c r="BI42" s="183"/>
      <c r="BJ42" s="184"/>
      <c r="BK42" s="4"/>
    </row>
    <row r="43" spans="1:63" ht="15" customHeight="1" x14ac:dyDescent="0.25">
      <c r="A43" s="1"/>
      <c r="B43" s="166"/>
      <c r="C43" s="167"/>
      <c r="D43" s="167"/>
      <c r="E43" s="167"/>
      <c r="F43" s="167"/>
      <c r="G43" s="168"/>
      <c r="H43" s="166"/>
      <c r="I43" s="167"/>
      <c r="J43" s="167"/>
      <c r="K43" s="167"/>
      <c r="L43" s="167"/>
      <c r="M43" s="167"/>
      <c r="N43" s="168"/>
      <c r="O43" s="166"/>
      <c r="P43" s="167"/>
      <c r="Q43" s="167"/>
      <c r="R43" s="167"/>
      <c r="S43" s="178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80"/>
      <c r="AX43" s="181"/>
      <c r="AY43" s="181"/>
      <c r="AZ43" s="181"/>
      <c r="BA43" s="181"/>
      <c r="BB43" s="181"/>
      <c r="BC43" s="182"/>
      <c r="BD43" s="185"/>
      <c r="BE43" s="181"/>
      <c r="BF43" s="181"/>
      <c r="BG43" s="181"/>
      <c r="BH43" s="181"/>
      <c r="BI43" s="181"/>
      <c r="BJ43" s="182"/>
      <c r="BK43" s="4"/>
    </row>
    <row r="44" spans="1:63" ht="15" customHeight="1" x14ac:dyDescent="0.25">
      <c r="A44" s="1"/>
      <c r="B44" s="169"/>
      <c r="C44" s="170"/>
      <c r="D44" s="170"/>
      <c r="E44" s="170"/>
      <c r="F44" s="170"/>
      <c r="G44" s="171"/>
      <c r="H44" s="169"/>
      <c r="I44" s="170"/>
      <c r="J44" s="170"/>
      <c r="K44" s="170"/>
      <c r="L44" s="170"/>
      <c r="M44" s="170"/>
      <c r="N44" s="171"/>
      <c r="O44" s="169"/>
      <c r="P44" s="170"/>
      <c r="Q44" s="170"/>
      <c r="R44" s="170"/>
      <c r="S44" s="187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9"/>
      <c r="AX44" s="183"/>
      <c r="AY44" s="183"/>
      <c r="AZ44" s="183"/>
      <c r="BA44" s="183"/>
      <c r="BB44" s="183"/>
      <c r="BC44" s="184"/>
      <c r="BD44" s="186"/>
      <c r="BE44" s="183"/>
      <c r="BF44" s="183"/>
      <c r="BG44" s="183"/>
      <c r="BH44" s="183"/>
      <c r="BI44" s="183"/>
      <c r="BJ44" s="184"/>
      <c r="BK44" s="4"/>
    </row>
    <row r="45" spans="1:63" ht="15" customHeight="1" x14ac:dyDescent="0.25">
      <c r="A45" s="1"/>
      <c r="B45" s="166"/>
      <c r="C45" s="167"/>
      <c r="D45" s="167"/>
      <c r="E45" s="167"/>
      <c r="F45" s="167"/>
      <c r="G45" s="168"/>
      <c r="H45" s="166"/>
      <c r="I45" s="167"/>
      <c r="J45" s="167"/>
      <c r="K45" s="167"/>
      <c r="L45" s="167"/>
      <c r="M45" s="167"/>
      <c r="N45" s="168"/>
      <c r="O45" s="166"/>
      <c r="P45" s="167"/>
      <c r="Q45" s="167"/>
      <c r="R45" s="167"/>
      <c r="S45" s="178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79"/>
      <c r="AQ45" s="179"/>
      <c r="AR45" s="179"/>
      <c r="AS45" s="179"/>
      <c r="AT45" s="179"/>
      <c r="AU45" s="179"/>
      <c r="AV45" s="179"/>
      <c r="AW45" s="180"/>
      <c r="AX45" s="181"/>
      <c r="AY45" s="181"/>
      <c r="AZ45" s="181"/>
      <c r="BA45" s="181"/>
      <c r="BB45" s="181"/>
      <c r="BC45" s="182"/>
      <c r="BD45" s="185"/>
      <c r="BE45" s="181"/>
      <c r="BF45" s="181"/>
      <c r="BG45" s="181"/>
      <c r="BH45" s="181"/>
      <c r="BI45" s="181"/>
      <c r="BJ45" s="182"/>
      <c r="BK45" s="4"/>
    </row>
    <row r="46" spans="1:63" ht="15" customHeight="1" x14ac:dyDescent="0.25">
      <c r="A46" s="1"/>
      <c r="B46" s="169"/>
      <c r="C46" s="170"/>
      <c r="D46" s="170"/>
      <c r="E46" s="170"/>
      <c r="F46" s="170"/>
      <c r="G46" s="171"/>
      <c r="H46" s="169"/>
      <c r="I46" s="170"/>
      <c r="J46" s="170"/>
      <c r="K46" s="170"/>
      <c r="L46" s="170"/>
      <c r="M46" s="170"/>
      <c r="N46" s="171"/>
      <c r="O46" s="169"/>
      <c r="P46" s="170"/>
      <c r="Q46" s="170"/>
      <c r="R46" s="170"/>
      <c r="S46" s="187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9"/>
      <c r="AX46" s="183"/>
      <c r="AY46" s="183"/>
      <c r="AZ46" s="183"/>
      <c r="BA46" s="183"/>
      <c r="BB46" s="183"/>
      <c r="BC46" s="184"/>
      <c r="BD46" s="186"/>
      <c r="BE46" s="183"/>
      <c r="BF46" s="183"/>
      <c r="BG46" s="183"/>
      <c r="BH46" s="183"/>
      <c r="BI46" s="183"/>
      <c r="BJ46" s="184"/>
      <c r="BK46" s="4"/>
    </row>
    <row r="47" spans="1:63" ht="15" customHeight="1" x14ac:dyDescent="0.25">
      <c r="A47" s="1"/>
      <c r="B47" s="166"/>
      <c r="C47" s="167"/>
      <c r="D47" s="167"/>
      <c r="E47" s="167"/>
      <c r="F47" s="167"/>
      <c r="G47" s="168"/>
      <c r="H47" s="166"/>
      <c r="I47" s="167"/>
      <c r="J47" s="167"/>
      <c r="K47" s="167"/>
      <c r="L47" s="167"/>
      <c r="M47" s="167"/>
      <c r="N47" s="168"/>
      <c r="O47" s="166"/>
      <c r="P47" s="167"/>
      <c r="Q47" s="167"/>
      <c r="R47" s="167"/>
      <c r="S47" s="178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180"/>
      <c r="AX47" s="181"/>
      <c r="AY47" s="181"/>
      <c r="AZ47" s="181"/>
      <c r="BA47" s="181"/>
      <c r="BB47" s="181"/>
      <c r="BC47" s="182"/>
      <c r="BD47" s="185"/>
      <c r="BE47" s="181"/>
      <c r="BF47" s="181"/>
      <c r="BG47" s="181"/>
      <c r="BH47" s="181"/>
      <c r="BI47" s="181"/>
      <c r="BJ47" s="182"/>
      <c r="BK47" s="4"/>
    </row>
    <row r="48" spans="1:63" ht="15" customHeight="1" x14ac:dyDescent="0.25">
      <c r="A48" s="1"/>
      <c r="B48" s="169"/>
      <c r="C48" s="170"/>
      <c r="D48" s="170"/>
      <c r="E48" s="170"/>
      <c r="F48" s="170"/>
      <c r="G48" s="171"/>
      <c r="H48" s="169"/>
      <c r="I48" s="170"/>
      <c r="J48" s="170"/>
      <c r="K48" s="170"/>
      <c r="L48" s="170"/>
      <c r="M48" s="170"/>
      <c r="N48" s="171"/>
      <c r="O48" s="169"/>
      <c r="P48" s="170"/>
      <c r="Q48" s="170"/>
      <c r="R48" s="170"/>
      <c r="S48" s="187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9"/>
      <c r="AX48" s="183"/>
      <c r="AY48" s="183"/>
      <c r="AZ48" s="183"/>
      <c r="BA48" s="183"/>
      <c r="BB48" s="183"/>
      <c r="BC48" s="184"/>
      <c r="BD48" s="186"/>
      <c r="BE48" s="183"/>
      <c r="BF48" s="183"/>
      <c r="BG48" s="183"/>
      <c r="BH48" s="183"/>
      <c r="BI48" s="183"/>
      <c r="BJ48" s="184"/>
      <c r="BK48" s="4"/>
    </row>
    <row r="49" spans="1:63" ht="15" customHeight="1" x14ac:dyDescent="0.25">
      <c r="A49" s="1"/>
      <c r="B49" s="166"/>
      <c r="C49" s="167"/>
      <c r="D49" s="167"/>
      <c r="E49" s="167"/>
      <c r="F49" s="167"/>
      <c r="G49" s="168"/>
      <c r="H49" s="166"/>
      <c r="I49" s="167"/>
      <c r="J49" s="167"/>
      <c r="K49" s="167"/>
      <c r="L49" s="167"/>
      <c r="M49" s="167"/>
      <c r="N49" s="168"/>
      <c r="O49" s="166"/>
      <c r="P49" s="167"/>
      <c r="Q49" s="167"/>
      <c r="R49" s="167"/>
      <c r="S49" s="178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80"/>
      <c r="AX49" s="181"/>
      <c r="AY49" s="181"/>
      <c r="AZ49" s="181"/>
      <c r="BA49" s="181"/>
      <c r="BB49" s="181"/>
      <c r="BC49" s="182"/>
      <c r="BD49" s="185"/>
      <c r="BE49" s="181"/>
      <c r="BF49" s="181"/>
      <c r="BG49" s="181"/>
      <c r="BH49" s="181"/>
      <c r="BI49" s="181"/>
      <c r="BJ49" s="182"/>
      <c r="BK49" s="4"/>
    </row>
    <row r="50" spans="1:63" ht="15" customHeight="1" x14ac:dyDescent="0.25">
      <c r="A50" s="1"/>
      <c r="B50" s="169"/>
      <c r="C50" s="170"/>
      <c r="D50" s="170"/>
      <c r="E50" s="170"/>
      <c r="F50" s="170"/>
      <c r="G50" s="171"/>
      <c r="H50" s="169"/>
      <c r="I50" s="170"/>
      <c r="J50" s="170"/>
      <c r="K50" s="170"/>
      <c r="L50" s="170"/>
      <c r="M50" s="170"/>
      <c r="N50" s="171"/>
      <c r="O50" s="169"/>
      <c r="P50" s="170"/>
      <c r="Q50" s="170"/>
      <c r="R50" s="170"/>
      <c r="S50" s="187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9"/>
      <c r="AX50" s="183"/>
      <c r="AY50" s="183"/>
      <c r="AZ50" s="183"/>
      <c r="BA50" s="183"/>
      <c r="BB50" s="183"/>
      <c r="BC50" s="184"/>
      <c r="BD50" s="186"/>
      <c r="BE50" s="183"/>
      <c r="BF50" s="183"/>
      <c r="BG50" s="183"/>
      <c r="BH50" s="183"/>
      <c r="BI50" s="183"/>
      <c r="BJ50" s="184"/>
      <c r="BK50" s="4"/>
    </row>
    <row r="51" spans="1:63" ht="15" customHeight="1" x14ac:dyDescent="0.25">
      <c r="A51" s="1"/>
      <c r="B51" s="166"/>
      <c r="C51" s="167"/>
      <c r="D51" s="167"/>
      <c r="E51" s="167"/>
      <c r="F51" s="167"/>
      <c r="G51" s="168"/>
      <c r="H51" s="166"/>
      <c r="I51" s="167"/>
      <c r="J51" s="167"/>
      <c r="K51" s="167"/>
      <c r="L51" s="167"/>
      <c r="M51" s="167"/>
      <c r="N51" s="168"/>
      <c r="O51" s="166"/>
      <c r="P51" s="167"/>
      <c r="Q51" s="167"/>
      <c r="R51" s="167"/>
      <c r="S51" s="178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79"/>
      <c r="AU51" s="179"/>
      <c r="AV51" s="179"/>
      <c r="AW51" s="180"/>
      <c r="AX51" s="181"/>
      <c r="AY51" s="181"/>
      <c r="AZ51" s="181"/>
      <c r="BA51" s="181"/>
      <c r="BB51" s="181"/>
      <c r="BC51" s="182"/>
      <c r="BD51" s="185"/>
      <c r="BE51" s="181"/>
      <c r="BF51" s="181"/>
      <c r="BG51" s="181"/>
      <c r="BH51" s="181"/>
      <c r="BI51" s="181"/>
      <c r="BJ51" s="182"/>
      <c r="BK51" s="4"/>
    </row>
    <row r="52" spans="1:63" ht="15" customHeight="1" x14ac:dyDescent="0.25">
      <c r="A52" s="1"/>
      <c r="B52" s="169"/>
      <c r="C52" s="170"/>
      <c r="D52" s="170"/>
      <c r="E52" s="170"/>
      <c r="F52" s="170"/>
      <c r="G52" s="171"/>
      <c r="H52" s="169"/>
      <c r="I52" s="170"/>
      <c r="J52" s="170"/>
      <c r="K52" s="170"/>
      <c r="L52" s="170"/>
      <c r="M52" s="170"/>
      <c r="N52" s="171"/>
      <c r="O52" s="169"/>
      <c r="P52" s="170"/>
      <c r="Q52" s="170"/>
      <c r="R52" s="170"/>
      <c r="S52" s="187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9"/>
      <c r="AX52" s="183"/>
      <c r="AY52" s="183"/>
      <c r="AZ52" s="183"/>
      <c r="BA52" s="183"/>
      <c r="BB52" s="183"/>
      <c r="BC52" s="184"/>
      <c r="BD52" s="186"/>
      <c r="BE52" s="183"/>
      <c r="BF52" s="183"/>
      <c r="BG52" s="183"/>
      <c r="BH52" s="183"/>
      <c r="BI52" s="183"/>
      <c r="BJ52" s="184"/>
      <c r="BK52" s="4"/>
    </row>
    <row r="53" spans="1:63" ht="15" customHeight="1" x14ac:dyDescent="0.25">
      <c r="A53" s="1"/>
      <c r="B53" s="166"/>
      <c r="C53" s="167"/>
      <c r="D53" s="167"/>
      <c r="E53" s="167"/>
      <c r="F53" s="167"/>
      <c r="G53" s="168"/>
      <c r="H53" s="166"/>
      <c r="I53" s="167"/>
      <c r="J53" s="167"/>
      <c r="K53" s="167"/>
      <c r="L53" s="167"/>
      <c r="M53" s="167"/>
      <c r="N53" s="168"/>
      <c r="O53" s="166"/>
      <c r="P53" s="167"/>
      <c r="Q53" s="167"/>
      <c r="R53" s="167"/>
      <c r="S53" s="178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79"/>
      <c r="AU53" s="179"/>
      <c r="AV53" s="179"/>
      <c r="AW53" s="180"/>
      <c r="AX53" s="181"/>
      <c r="AY53" s="181"/>
      <c r="AZ53" s="181"/>
      <c r="BA53" s="181"/>
      <c r="BB53" s="181"/>
      <c r="BC53" s="182"/>
      <c r="BD53" s="185"/>
      <c r="BE53" s="181"/>
      <c r="BF53" s="181"/>
      <c r="BG53" s="181"/>
      <c r="BH53" s="181"/>
      <c r="BI53" s="181"/>
      <c r="BJ53" s="182"/>
      <c r="BK53" s="4"/>
    </row>
    <row r="54" spans="1:63" ht="15" customHeight="1" x14ac:dyDescent="0.25">
      <c r="A54" s="1"/>
      <c r="B54" s="169"/>
      <c r="C54" s="170"/>
      <c r="D54" s="170"/>
      <c r="E54" s="170"/>
      <c r="F54" s="170"/>
      <c r="G54" s="171"/>
      <c r="H54" s="169"/>
      <c r="I54" s="170"/>
      <c r="J54" s="170"/>
      <c r="K54" s="170"/>
      <c r="L54" s="170"/>
      <c r="M54" s="170"/>
      <c r="N54" s="171"/>
      <c r="O54" s="169"/>
      <c r="P54" s="170"/>
      <c r="Q54" s="170"/>
      <c r="R54" s="170"/>
      <c r="S54" s="187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9"/>
      <c r="AX54" s="183"/>
      <c r="AY54" s="183"/>
      <c r="AZ54" s="183"/>
      <c r="BA54" s="183"/>
      <c r="BB54" s="183"/>
      <c r="BC54" s="184"/>
      <c r="BD54" s="186"/>
      <c r="BE54" s="183"/>
      <c r="BF54" s="183"/>
      <c r="BG54" s="183"/>
      <c r="BH54" s="183"/>
      <c r="BI54" s="183"/>
      <c r="BJ54" s="184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4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208" t="s">
        <v>104</v>
      </c>
      <c r="B1" s="209"/>
      <c r="C1" s="209"/>
      <c r="D1" s="209"/>
      <c r="E1" s="209"/>
      <c r="F1" s="209"/>
      <c r="G1" s="209"/>
      <c r="H1" s="209"/>
      <c r="I1" s="209"/>
      <c r="J1" s="210"/>
      <c r="K1" s="208" t="s">
        <v>105</v>
      </c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10"/>
      <c r="W1" s="221" t="str">
        <f>IF(表紙!W1="","",表紙!W1)</f>
        <v>詳細設計書</v>
      </c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3"/>
      <c r="AP1" s="105" t="s">
        <v>106</v>
      </c>
      <c r="AQ1" s="106"/>
      <c r="AR1" s="106"/>
      <c r="AS1" s="107"/>
      <c r="AT1" s="105" t="s">
        <v>107</v>
      </c>
      <c r="AU1" s="106"/>
      <c r="AV1" s="106"/>
      <c r="AW1" s="106"/>
      <c r="AX1" s="107"/>
      <c r="AY1" s="105" t="s">
        <v>108</v>
      </c>
      <c r="AZ1" s="106"/>
      <c r="BA1" s="106"/>
      <c r="BB1" s="107"/>
      <c r="BC1" s="105" t="s">
        <v>109</v>
      </c>
      <c r="BD1" s="106"/>
      <c r="BE1" s="106"/>
      <c r="BF1" s="106"/>
      <c r="BG1" s="107"/>
      <c r="BH1" s="105" t="s">
        <v>110</v>
      </c>
      <c r="BI1" s="106"/>
      <c r="BJ1" s="106"/>
      <c r="BK1" s="107"/>
    </row>
    <row r="2" spans="1:63" ht="15" customHeight="1" x14ac:dyDescent="0.25">
      <c r="A2" s="215" t="str">
        <f>IF(表紙!A2="","",表紙!A2)</f>
        <v>POSサーバー</v>
      </c>
      <c r="B2" s="216"/>
      <c r="C2" s="216"/>
      <c r="D2" s="216"/>
      <c r="E2" s="216"/>
      <c r="F2" s="216"/>
      <c r="G2" s="216"/>
      <c r="H2" s="216"/>
      <c r="I2" s="216"/>
      <c r="J2" s="217"/>
      <c r="K2" s="215" t="str">
        <f>IF(表紙!K2="","",表紙!K2)</f>
        <v>POSサーバー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224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6"/>
      <c r="AP2" s="108" t="str">
        <f>IF(表紙!AP2="","",表紙!AP2)</f>
        <v>LoiLV</v>
      </c>
      <c r="AQ2" s="109"/>
      <c r="AR2" s="109"/>
      <c r="AS2" s="110"/>
      <c r="AT2" s="136">
        <f>IF(表紙!AT2="","",表紙!AT2)</f>
        <v>45461</v>
      </c>
      <c r="AU2" s="137"/>
      <c r="AV2" s="137"/>
      <c r="AW2" s="137"/>
      <c r="AX2" s="138"/>
      <c r="AY2" s="108" t="str">
        <f>IF(表紙!AY2="","",表紙!AY2)</f>
        <v>TuyenNH</v>
      </c>
      <c r="AZ2" s="109"/>
      <c r="BA2" s="109"/>
      <c r="BB2" s="110"/>
      <c r="BC2" s="136">
        <f>IF(表紙!BC2="","",表紙!BC2)</f>
        <v>45601</v>
      </c>
      <c r="BD2" s="137"/>
      <c r="BE2" s="137"/>
      <c r="BF2" s="137"/>
      <c r="BG2" s="138"/>
      <c r="BH2" s="108">
        <f>IF(表紙!BH2="","",表紙!BH2)</f>
        <v>0.11</v>
      </c>
      <c r="BI2" s="109"/>
      <c r="BJ2" s="109"/>
      <c r="BK2" s="110"/>
    </row>
    <row r="3" spans="1:63" ht="15" customHeight="1" x14ac:dyDescent="0.25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9"/>
      <c r="AP3" s="111"/>
      <c r="AQ3" s="112"/>
      <c r="AR3" s="112"/>
      <c r="AS3" s="113"/>
      <c r="AT3" s="139"/>
      <c r="AU3" s="140"/>
      <c r="AV3" s="140"/>
      <c r="AW3" s="140"/>
      <c r="AX3" s="141"/>
      <c r="AY3" s="111"/>
      <c r="AZ3" s="112"/>
      <c r="BA3" s="112"/>
      <c r="BB3" s="113"/>
      <c r="BC3" s="139"/>
      <c r="BD3" s="140"/>
      <c r="BE3" s="140"/>
      <c r="BF3" s="140"/>
      <c r="BG3" s="141"/>
      <c r="BH3" s="111"/>
      <c r="BI3" s="112"/>
      <c r="BJ3" s="112"/>
      <c r="BK3" s="113"/>
    </row>
    <row r="4" spans="1:63" ht="24.95" customHeight="1" x14ac:dyDescent="0.25">
      <c r="A4" s="208" t="s">
        <v>111</v>
      </c>
      <c r="B4" s="209"/>
      <c r="C4" s="209"/>
      <c r="D4" s="209"/>
      <c r="E4" s="209"/>
      <c r="F4" s="209"/>
      <c r="G4" s="210"/>
      <c r="H4" s="211" t="str">
        <f>IF(表紙!H4="","",表紙!H4)</f>
        <v>AP2102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208" t="s">
        <v>112</v>
      </c>
      <c r="V4" s="209"/>
      <c r="W4" s="209"/>
      <c r="X4" s="209"/>
      <c r="Y4" s="210"/>
      <c r="Z4" s="211" t="str">
        <f>IF(表紙!Z4="","",表紙!Z4)</f>
        <v>API設計書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4" t="str">
        <f ca="1">MID(CELL("filename",A1),FIND("]",CELL("filename",A1))+1,255)</f>
        <v>処理フロー凡例</v>
      </c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3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53" customFormat="1" ht="15" customHeight="1" x14ac:dyDescent="0.25">
      <c r="A7" s="69"/>
      <c r="B7" s="70" t="s">
        <v>119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2"/>
      <c r="AF7" s="73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2"/>
      <c r="BJ7" s="71"/>
      <c r="BK7" s="74"/>
    </row>
    <row r="8" spans="1:63" s="75" customFormat="1" ht="15" customHeight="1" x14ac:dyDescent="0.25">
      <c r="BK8" s="74"/>
    </row>
    <row r="9" spans="1:63" s="75" customFormat="1" ht="15" customHeight="1" x14ac:dyDescent="0.25">
      <c r="BK9" s="74"/>
    </row>
    <row r="10" spans="1:63" s="75" customFormat="1" ht="15" customHeight="1" x14ac:dyDescent="0.25">
      <c r="BK10" s="74"/>
    </row>
    <row r="11" spans="1:63" s="75" customFormat="1" ht="15" customHeight="1" x14ac:dyDescent="0.25">
      <c r="BK11" s="74"/>
    </row>
    <row r="12" spans="1:63" s="75" customFormat="1" ht="15" customHeight="1" x14ac:dyDescent="0.25">
      <c r="BK12" s="74"/>
    </row>
    <row r="13" spans="1:63" s="75" customFormat="1" ht="15" customHeight="1" x14ac:dyDescent="0.25">
      <c r="BK13" s="74"/>
    </row>
    <row r="14" spans="1:63" s="75" customFormat="1" ht="15" customHeight="1" x14ac:dyDescent="0.25">
      <c r="BK14" s="74"/>
    </row>
    <row r="15" spans="1:63" s="75" customFormat="1" ht="15" customHeight="1" x14ac:dyDescent="0.25">
      <c r="BK15" s="74"/>
    </row>
    <row r="16" spans="1:63" s="75" customFormat="1" ht="15" customHeight="1" x14ac:dyDescent="0.25">
      <c r="BK16" s="74"/>
    </row>
    <row r="17" spans="63:63" s="75" customFormat="1" ht="15" customHeight="1" x14ac:dyDescent="0.25">
      <c r="BK17" s="74"/>
    </row>
    <row r="18" spans="63:63" s="75" customFormat="1" ht="15" customHeight="1" x14ac:dyDescent="0.25">
      <c r="BK18" s="74"/>
    </row>
    <row r="19" spans="63:63" s="75" customFormat="1" ht="15" customHeight="1" x14ac:dyDescent="0.25">
      <c r="BK19" s="74"/>
    </row>
    <row r="20" spans="63:63" s="75" customFormat="1" ht="15" customHeight="1" x14ac:dyDescent="0.25">
      <c r="BK20" s="74"/>
    </row>
    <row r="21" spans="63:63" s="75" customFormat="1" ht="15" customHeight="1" x14ac:dyDescent="0.25">
      <c r="BK21" s="74"/>
    </row>
    <row r="22" spans="63:63" s="75" customFormat="1" ht="15" customHeight="1" x14ac:dyDescent="0.25">
      <c r="BK22" s="74"/>
    </row>
    <row r="23" spans="63:63" s="75" customFormat="1" ht="15" customHeight="1" x14ac:dyDescent="0.25">
      <c r="BK23" s="74"/>
    </row>
    <row r="24" spans="63:63" s="75" customFormat="1" ht="15" customHeight="1" x14ac:dyDescent="0.25">
      <c r="BK24" s="74"/>
    </row>
    <row r="25" spans="63:63" s="75" customFormat="1" ht="15" customHeight="1" x14ac:dyDescent="0.25">
      <c r="BK25" s="74"/>
    </row>
    <row r="26" spans="63:63" s="75" customFormat="1" ht="15" customHeight="1" x14ac:dyDescent="0.25">
      <c r="BK26" s="74"/>
    </row>
    <row r="27" spans="63:63" s="75" customFormat="1" ht="15" customHeight="1" x14ac:dyDescent="0.25">
      <c r="BK27" s="74"/>
    </row>
    <row r="28" spans="63:63" s="75" customFormat="1" ht="15" customHeight="1" x14ac:dyDescent="0.25">
      <c r="BK28" s="74"/>
    </row>
    <row r="29" spans="63:63" s="75" customFormat="1" ht="15" customHeight="1" x14ac:dyDescent="0.25">
      <c r="BK29" s="74"/>
    </row>
    <row r="30" spans="63:63" s="75" customFormat="1" ht="15" customHeight="1" x14ac:dyDescent="0.25">
      <c r="BK30" s="74"/>
    </row>
    <row r="31" spans="63:63" s="75" customFormat="1" ht="15" customHeight="1" x14ac:dyDescent="0.25">
      <c r="BK31" s="74"/>
    </row>
    <row r="32" spans="63:63" s="75" customFormat="1" ht="15" customHeight="1" x14ac:dyDescent="0.25">
      <c r="BK32" s="74"/>
    </row>
    <row r="33" spans="63:63" s="75" customFormat="1" ht="15" customHeight="1" x14ac:dyDescent="0.25">
      <c r="BK33" s="74"/>
    </row>
    <row r="34" spans="63:63" s="75" customFormat="1" ht="15" customHeight="1" x14ac:dyDescent="0.25">
      <c r="BK34" s="74"/>
    </row>
    <row r="35" spans="63:63" s="75" customFormat="1" ht="15" customHeight="1" x14ac:dyDescent="0.25">
      <c r="BK35" s="74"/>
    </row>
    <row r="36" spans="63:63" s="75" customFormat="1" ht="15" customHeight="1" x14ac:dyDescent="0.25">
      <c r="BK36" s="74"/>
    </row>
    <row r="37" spans="63:63" s="75" customFormat="1" ht="15" customHeight="1" x14ac:dyDescent="0.25">
      <c r="BK37" s="74"/>
    </row>
    <row r="38" spans="63:63" s="75" customFormat="1" ht="15" customHeight="1" x14ac:dyDescent="0.25">
      <c r="BK38" s="74"/>
    </row>
    <row r="39" spans="63:63" s="75" customFormat="1" ht="15" customHeight="1" x14ac:dyDescent="0.25">
      <c r="BK39" s="74"/>
    </row>
    <row r="40" spans="63:63" s="75" customFormat="1" ht="15" customHeight="1" x14ac:dyDescent="0.25">
      <c r="BK40" s="74"/>
    </row>
    <row r="41" spans="63:63" s="75" customFormat="1" ht="15" customHeight="1" x14ac:dyDescent="0.25">
      <c r="BK41" s="74"/>
    </row>
    <row r="42" spans="63:63" s="75" customFormat="1" ht="15" customHeight="1" x14ac:dyDescent="0.25">
      <c r="BK42" s="74"/>
    </row>
    <row r="43" spans="63:63" s="75" customFormat="1" ht="15" customHeight="1" x14ac:dyDescent="0.25">
      <c r="BK43" s="74"/>
    </row>
    <row r="44" spans="63:63" s="75" customFormat="1" ht="15" customHeight="1" x14ac:dyDescent="0.25">
      <c r="BK44" s="74"/>
    </row>
    <row r="45" spans="63:63" s="75" customFormat="1" ht="15" customHeight="1" x14ac:dyDescent="0.25">
      <c r="BK45" s="74"/>
    </row>
    <row r="46" spans="63:63" s="75" customFormat="1" ht="15" customHeight="1" x14ac:dyDescent="0.25">
      <c r="BK46" s="74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12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6" customWidth="1"/>
    <col min="43" max="62" width="3.5546875" style="6" customWidth="1"/>
    <col min="63" max="63" width="2.77734375" style="6" customWidth="1"/>
    <col min="64" max="16384" width="10.109375" style="6"/>
  </cols>
  <sheetData>
    <row r="1" spans="1:63" ht="24.95" customHeight="1" x14ac:dyDescent="0.25">
      <c r="A1" s="208" t="s">
        <v>104</v>
      </c>
      <c r="B1" s="209"/>
      <c r="C1" s="209"/>
      <c r="D1" s="209"/>
      <c r="E1" s="209"/>
      <c r="F1" s="209"/>
      <c r="G1" s="209"/>
      <c r="H1" s="209"/>
      <c r="I1" s="209"/>
      <c r="J1" s="210"/>
      <c r="K1" s="208" t="s">
        <v>105</v>
      </c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10"/>
      <c r="W1" s="221" t="str">
        <f>IF(表紙!W1="","",表紙!W1)</f>
        <v>詳細設計書</v>
      </c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3"/>
      <c r="AP1" s="105" t="s">
        <v>106</v>
      </c>
      <c r="AQ1" s="106"/>
      <c r="AR1" s="106"/>
      <c r="AS1" s="107"/>
      <c r="AT1" s="105" t="s">
        <v>107</v>
      </c>
      <c r="AU1" s="106"/>
      <c r="AV1" s="106"/>
      <c r="AW1" s="106"/>
      <c r="AX1" s="107"/>
      <c r="AY1" s="105" t="s">
        <v>108</v>
      </c>
      <c r="AZ1" s="106"/>
      <c r="BA1" s="106"/>
      <c r="BB1" s="107"/>
      <c r="BC1" s="105" t="s">
        <v>109</v>
      </c>
      <c r="BD1" s="106"/>
      <c r="BE1" s="106"/>
      <c r="BF1" s="106"/>
      <c r="BG1" s="107"/>
      <c r="BH1" s="105" t="s">
        <v>110</v>
      </c>
      <c r="BI1" s="106"/>
      <c r="BJ1" s="106"/>
      <c r="BK1" s="107"/>
    </row>
    <row r="2" spans="1:63" ht="15" customHeight="1" x14ac:dyDescent="0.25">
      <c r="A2" s="215" t="str">
        <f>IF(表紙!A2="","",表紙!A2)</f>
        <v>POSサーバー</v>
      </c>
      <c r="B2" s="216"/>
      <c r="C2" s="216"/>
      <c r="D2" s="216"/>
      <c r="E2" s="216"/>
      <c r="F2" s="216"/>
      <c r="G2" s="216"/>
      <c r="H2" s="216"/>
      <c r="I2" s="216"/>
      <c r="J2" s="217"/>
      <c r="K2" s="215" t="str">
        <f>IF(表紙!K2="","",表紙!K2)</f>
        <v>POSサーバー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224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6"/>
      <c r="AP2" s="108" t="str">
        <f>IF(表紙!AP2="","",表紙!AP2)</f>
        <v>LoiLV</v>
      </c>
      <c r="AQ2" s="109"/>
      <c r="AR2" s="109"/>
      <c r="AS2" s="110"/>
      <c r="AT2" s="136">
        <f>IF(表紙!AT2="","",表紙!AT2)</f>
        <v>45461</v>
      </c>
      <c r="AU2" s="137"/>
      <c r="AV2" s="137"/>
      <c r="AW2" s="137"/>
      <c r="AX2" s="138"/>
      <c r="AY2" s="108" t="str">
        <f>IF(表紙!AY2="","",表紙!AY2)</f>
        <v>TuyenNH</v>
      </c>
      <c r="AZ2" s="109"/>
      <c r="BA2" s="109"/>
      <c r="BB2" s="110"/>
      <c r="BC2" s="136">
        <f>IF(表紙!BC2="","",表紙!BC2)</f>
        <v>45601</v>
      </c>
      <c r="BD2" s="137"/>
      <c r="BE2" s="137"/>
      <c r="BF2" s="137"/>
      <c r="BG2" s="138"/>
      <c r="BH2" s="108">
        <f>IF(表紙!BH2="","",表紙!BH2)</f>
        <v>0.11</v>
      </c>
      <c r="BI2" s="109"/>
      <c r="BJ2" s="109"/>
      <c r="BK2" s="110"/>
    </row>
    <row r="3" spans="1:63" ht="15" customHeight="1" x14ac:dyDescent="0.25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9"/>
      <c r="AP3" s="111"/>
      <c r="AQ3" s="112"/>
      <c r="AR3" s="112"/>
      <c r="AS3" s="113"/>
      <c r="AT3" s="139"/>
      <c r="AU3" s="140"/>
      <c r="AV3" s="140"/>
      <c r="AW3" s="140"/>
      <c r="AX3" s="141"/>
      <c r="AY3" s="111"/>
      <c r="AZ3" s="112"/>
      <c r="BA3" s="112"/>
      <c r="BB3" s="113"/>
      <c r="BC3" s="139"/>
      <c r="BD3" s="140"/>
      <c r="BE3" s="140"/>
      <c r="BF3" s="140"/>
      <c r="BG3" s="141"/>
      <c r="BH3" s="111"/>
      <c r="BI3" s="112"/>
      <c r="BJ3" s="112"/>
      <c r="BK3" s="113"/>
    </row>
    <row r="4" spans="1:63" ht="24.95" customHeight="1" x14ac:dyDescent="0.25">
      <c r="A4" s="208" t="s">
        <v>111</v>
      </c>
      <c r="B4" s="209"/>
      <c r="C4" s="209"/>
      <c r="D4" s="209"/>
      <c r="E4" s="209"/>
      <c r="F4" s="209"/>
      <c r="G4" s="210"/>
      <c r="H4" s="211" t="str">
        <f>IF(表紙!H4="","",表紙!H4)</f>
        <v>AP2102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208" t="s">
        <v>112</v>
      </c>
      <c r="V4" s="209"/>
      <c r="W4" s="209"/>
      <c r="X4" s="209"/>
      <c r="Y4" s="210"/>
      <c r="Z4" s="211" t="str">
        <f>IF(表紙!Z4="","",表紙!Z4)</f>
        <v>API設計書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4" t="str">
        <f ca="1">MID(CELL("filename",A1),FIND("]",CELL("filename",A1))+1,255)</f>
        <v>AP2102</v>
      </c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3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21" customFormat="1" ht="15" customHeight="1" x14ac:dyDescent="0.25">
      <c r="A7" s="16"/>
      <c r="B7" s="17" t="s">
        <v>121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76"/>
      <c r="AQ7" s="76"/>
      <c r="AR7" s="76"/>
      <c r="AS7" s="76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9"/>
      <c r="BI7" s="19"/>
      <c r="BJ7" s="19"/>
      <c r="BK7" s="20"/>
    </row>
    <row r="8" spans="1:63" s="21" customFormat="1" ht="15" customHeight="1" x14ac:dyDescent="0.25">
      <c r="A8" s="16"/>
      <c r="B8" s="22"/>
      <c r="C8" s="4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77"/>
      <c r="AQ8" s="77"/>
      <c r="AR8" s="77"/>
      <c r="AS8" s="77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4"/>
      <c r="BI8" s="24"/>
      <c r="BJ8" s="24"/>
      <c r="BK8" s="20"/>
    </row>
    <row r="9" spans="1:63" s="79" customFormat="1" ht="15" customHeight="1" x14ac:dyDescent="0.25">
      <c r="A9" s="78"/>
      <c r="B9" s="48"/>
      <c r="C9" s="77" t="s">
        <v>88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5"/>
      <c r="BI9" s="75"/>
      <c r="BJ9" s="75"/>
      <c r="BK9" s="74"/>
    </row>
    <row r="10" spans="1:63" s="21" customFormat="1" ht="15" customHeight="1" x14ac:dyDescent="0.25">
      <c r="A10" s="16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77"/>
      <c r="AQ10" s="77"/>
      <c r="AR10" s="77"/>
      <c r="AS10" s="77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4"/>
      <c r="BI10" s="24"/>
      <c r="BJ10" s="24"/>
      <c r="BK10" s="20"/>
    </row>
    <row r="11" spans="1:63" s="21" customFormat="1" ht="15" customHeight="1" x14ac:dyDescent="0.25">
      <c r="A11" s="16"/>
      <c r="B11" s="25" t="s">
        <v>122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20"/>
    </row>
    <row r="12" spans="1:63" s="21" customFormat="1" ht="15" customHeight="1" x14ac:dyDescent="0.25">
      <c r="A12" s="16"/>
      <c r="B12" s="23"/>
      <c r="C12" s="26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4"/>
      <c r="BI12" s="24"/>
      <c r="BJ12" s="24"/>
      <c r="BK12" s="20"/>
    </row>
    <row r="13" spans="1:63" s="21" customFormat="1" ht="15" customHeight="1" x14ac:dyDescent="0.25">
      <c r="A13" s="16"/>
      <c r="B13" s="23"/>
      <c r="C13" s="26" t="s">
        <v>123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4"/>
      <c r="BI13" s="24"/>
      <c r="BJ13" s="24"/>
      <c r="BK13" s="20"/>
    </row>
    <row r="14" spans="1:63" s="21" customFormat="1" ht="15" customHeight="1" x14ac:dyDescent="0.25">
      <c r="A14" s="16"/>
      <c r="B14" s="23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4"/>
      <c r="BI14" s="24"/>
      <c r="BJ14" s="24"/>
      <c r="BK14" s="20"/>
    </row>
    <row r="15" spans="1:63" s="21" customFormat="1" ht="15" customHeight="1" x14ac:dyDescent="0.25">
      <c r="A15" s="16"/>
      <c r="B15" s="23"/>
      <c r="C15" s="236" t="s">
        <v>26</v>
      </c>
      <c r="D15" s="238"/>
      <c r="E15" s="236" t="s">
        <v>36</v>
      </c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8"/>
      <c r="AG15" s="236" t="s">
        <v>37</v>
      </c>
      <c r="AH15" s="237"/>
      <c r="AI15" s="237"/>
      <c r="AJ15" s="237"/>
      <c r="AK15" s="237"/>
      <c r="AL15" s="237"/>
      <c r="AM15" s="237"/>
      <c r="AN15" s="237"/>
      <c r="AO15" s="237"/>
      <c r="AP15" s="238"/>
      <c r="AQ15" s="236" t="s">
        <v>38</v>
      </c>
      <c r="AR15" s="237"/>
      <c r="AS15" s="237"/>
      <c r="AT15" s="237"/>
      <c r="AU15" s="237"/>
      <c r="AV15" s="237"/>
      <c r="AW15" s="237"/>
      <c r="AX15" s="237"/>
      <c r="AY15" s="237"/>
      <c r="AZ15" s="237"/>
      <c r="BA15" s="237"/>
      <c r="BB15" s="237"/>
      <c r="BC15" s="237"/>
      <c r="BD15" s="237"/>
      <c r="BE15" s="237"/>
      <c r="BF15" s="237"/>
      <c r="BG15" s="237"/>
      <c r="BH15" s="237"/>
      <c r="BI15" s="237"/>
      <c r="BJ15" s="238"/>
      <c r="BK15" s="20"/>
    </row>
    <row r="16" spans="1:63" s="79" customFormat="1" ht="15" customHeight="1" x14ac:dyDescent="0.25">
      <c r="A16" s="78"/>
      <c r="B16" s="77"/>
      <c r="C16" s="242">
        <v>1</v>
      </c>
      <c r="D16" s="243"/>
      <c r="E16" s="233" t="s">
        <v>90</v>
      </c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5"/>
      <c r="AG16" s="242" t="s">
        <v>44</v>
      </c>
      <c r="AH16" s="244"/>
      <c r="AI16" s="244"/>
      <c r="AJ16" s="244"/>
      <c r="AK16" s="244"/>
      <c r="AL16" s="244"/>
      <c r="AM16" s="244"/>
      <c r="AN16" s="244"/>
      <c r="AO16" s="244"/>
      <c r="AP16" s="243"/>
      <c r="AQ16" s="242" t="s">
        <v>18</v>
      </c>
      <c r="AR16" s="244"/>
      <c r="AS16" s="244"/>
      <c r="AT16" s="244"/>
      <c r="AU16" s="244"/>
      <c r="AV16" s="244"/>
      <c r="AW16" s="244"/>
      <c r="AX16" s="244"/>
      <c r="AY16" s="244"/>
      <c r="AZ16" s="244"/>
      <c r="BA16" s="244"/>
      <c r="BB16" s="244"/>
      <c r="BC16" s="244"/>
      <c r="BD16" s="244"/>
      <c r="BE16" s="244"/>
      <c r="BF16" s="244"/>
      <c r="BG16" s="244"/>
      <c r="BH16" s="244"/>
      <c r="BI16" s="244"/>
      <c r="BJ16" s="243"/>
      <c r="BK16" s="74"/>
    </row>
    <row r="17" spans="1:63" s="21" customFormat="1" ht="15" customHeight="1" x14ac:dyDescent="0.25">
      <c r="A17" s="1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4"/>
      <c r="BI17" s="24"/>
      <c r="BJ17" s="24"/>
      <c r="BK17" s="20"/>
    </row>
    <row r="18" spans="1:63" s="21" customFormat="1" ht="15" customHeight="1" x14ac:dyDescent="0.25">
      <c r="A18" s="16"/>
      <c r="B18" s="23"/>
      <c r="C18" s="26" t="s">
        <v>124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4"/>
      <c r="BI18" s="24"/>
      <c r="BJ18" s="24"/>
      <c r="BK18" s="20"/>
    </row>
    <row r="19" spans="1:63" s="21" customFormat="1" ht="15" customHeight="1" x14ac:dyDescent="0.25">
      <c r="A19" s="16"/>
      <c r="B19" s="23"/>
      <c r="C19" s="2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4"/>
      <c r="BI19" s="24"/>
      <c r="BJ19" s="24"/>
      <c r="BK19" s="20"/>
    </row>
    <row r="20" spans="1:63" s="21" customFormat="1" ht="15" customHeight="1" x14ac:dyDescent="0.25">
      <c r="A20" s="16"/>
      <c r="B20" s="23"/>
      <c r="C20" s="273" t="s">
        <v>125</v>
      </c>
      <c r="D20" s="275"/>
      <c r="E20" s="273" t="s">
        <v>126</v>
      </c>
      <c r="F20" s="274"/>
      <c r="G20" s="274"/>
      <c r="H20" s="274"/>
      <c r="I20" s="274"/>
      <c r="J20" s="274"/>
      <c r="K20" s="275"/>
      <c r="L20" s="236" t="s">
        <v>39</v>
      </c>
      <c r="M20" s="237"/>
      <c r="N20" s="238"/>
      <c r="O20" s="236" t="s">
        <v>40</v>
      </c>
      <c r="P20" s="237"/>
      <c r="Q20" s="237"/>
      <c r="R20" s="238"/>
      <c r="S20" s="236" t="s">
        <v>41</v>
      </c>
      <c r="T20" s="237"/>
      <c r="U20" s="237"/>
      <c r="V20" s="237"/>
      <c r="W20" s="237"/>
      <c r="X20" s="237"/>
      <c r="Y20" s="238"/>
      <c r="Z20" s="273" t="s">
        <v>127</v>
      </c>
      <c r="AA20" s="274"/>
      <c r="AB20" s="274"/>
      <c r="AC20" s="274"/>
      <c r="AD20" s="274"/>
      <c r="AE20" s="274"/>
      <c r="AF20" s="274"/>
      <c r="AG20" s="274"/>
      <c r="AH20" s="274"/>
      <c r="AI20" s="274"/>
      <c r="AJ20" s="274"/>
      <c r="AK20" s="274"/>
      <c r="AL20" s="274"/>
      <c r="AM20" s="274"/>
      <c r="AN20" s="274"/>
      <c r="AO20" s="274"/>
      <c r="AP20" s="275"/>
      <c r="AQ20" s="236" t="s">
        <v>38</v>
      </c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37"/>
      <c r="BG20" s="237"/>
      <c r="BH20" s="237"/>
      <c r="BI20" s="237"/>
      <c r="BJ20" s="238"/>
      <c r="BK20" s="20"/>
    </row>
    <row r="21" spans="1:63" s="21" customFormat="1" ht="15" customHeight="1" x14ac:dyDescent="0.25">
      <c r="A21" s="16"/>
      <c r="B21" s="23"/>
      <c r="C21" s="239">
        <v>1</v>
      </c>
      <c r="D21" s="241"/>
      <c r="E21" s="242" t="s">
        <v>15</v>
      </c>
      <c r="F21" s="244"/>
      <c r="G21" s="244"/>
      <c r="H21" s="244"/>
      <c r="I21" s="244"/>
      <c r="J21" s="244"/>
      <c r="K21" s="243"/>
      <c r="L21" s="315" t="s">
        <v>16</v>
      </c>
      <c r="M21" s="316"/>
      <c r="N21" s="317"/>
      <c r="O21" s="239" t="s">
        <v>17</v>
      </c>
      <c r="P21" s="240"/>
      <c r="Q21" s="240"/>
      <c r="R21" s="241"/>
      <c r="S21" s="239" t="s">
        <v>18</v>
      </c>
      <c r="T21" s="240"/>
      <c r="U21" s="240"/>
      <c r="V21" s="240"/>
      <c r="W21" s="240"/>
      <c r="X21" s="240"/>
      <c r="Y21" s="241"/>
      <c r="Z21" s="242" t="s">
        <v>19</v>
      </c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3"/>
      <c r="AQ21" s="233" t="s">
        <v>128</v>
      </c>
      <c r="AR21" s="234"/>
      <c r="AS21" s="234"/>
      <c r="AT21" s="234"/>
      <c r="AU21" s="234"/>
      <c r="AV21" s="234"/>
      <c r="AW21" s="234"/>
      <c r="AX21" s="234"/>
      <c r="AY21" s="234"/>
      <c r="AZ21" s="234"/>
      <c r="BA21" s="234"/>
      <c r="BB21" s="234"/>
      <c r="BC21" s="234"/>
      <c r="BD21" s="234"/>
      <c r="BE21" s="234"/>
      <c r="BF21" s="234"/>
      <c r="BG21" s="234"/>
      <c r="BH21" s="234"/>
      <c r="BI21" s="234"/>
      <c r="BJ21" s="235"/>
      <c r="BK21" s="20"/>
    </row>
    <row r="22" spans="1:63" s="21" customFormat="1" ht="15" customHeight="1" x14ac:dyDescent="0.25">
      <c r="A22" s="16"/>
      <c r="B22" s="23"/>
      <c r="C22" s="239">
        <v>2</v>
      </c>
      <c r="D22" s="241"/>
      <c r="E22" s="242" t="s">
        <v>20</v>
      </c>
      <c r="F22" s="244"/>
      <c r="G22" s="244"/>
      <c r="H22" s="244"/>
      <c r="I22" s="244"/>
      <c r="J22" s="244"/>
      <c r="K22" s="243"/>
      <c r="L22" s="315" t="s">
        <v>18</v>
      </c>
      <c r="M22" s="316"/>
      <c r="N22" s="317"/>
      <c r="O22" s="239" t="s">
        <v>17</v>
      </c>
      <c r="P22" s="240"/>
      <c r="Q22" s="240"/>
      <c r="R22" s="241"/>
      <c r="S22" s="239" t="s">
        <v>18</v>
      </c>
      <c r="T22" s="240"/>
      <c r="U22" s="240"/>
      <c r="V22" s="240"/>
      <c r="W22" s="240"/>
      <c r="X22" s="240"/>
      <c r="Y22" s="241"/>
      <c r="Z22" s="242" t="s">
        <v>20</v>
      </c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3"/>
      <c r="AQ22" s="233" t="s">
        <v>21</v>
      </c>
      <c r="AR22" s="234"/>
      <c r="AS22" s="234"/>
      <c r="AT22" s="234"/>
      <c r="AU22" s="234"/>
      <c r="AV22" s="234"/>
      <c r="AW22" s="234"/>
      <c r="AX22" s="234"/>
      <c r="AY22" s="234"/>
      <c r="AZ22" s="234"/>
      <c r="BA22" s="234"/>
      <c r="BB22" s="234"/>
      <c r="BC22" s="234"/>
      <c r="BD22" s="234"/>
      <c r="BE22" s="234"/>
      <c r="BF22" s="234"/>
      <c r="BG22" s="234"/>
      <c r="BH22" s="234"/>
      <c r="BI22" s="234"/>
      <c r="BJ22" s="235"/>
      <c r="BK22" s="20"/>
    </row>
    <row r="23" spans="1:63" s="21" customFormat="1" ht="15" customHeight="1" x14ac:dyDescent="0.25">
      <c r="A23" s="16"/>
      <c r="B23" s="23"/>
      <c r="C23" s="294">
        <v>3</v>
      </c>
      <c r="D23" s="295"/>
      <c r="E23" s="300" t="s">
        <v>22</v>
      </c>
      <c r="F23" s="301"/>
      <c r="G23" s="301"/>
      <c r="H23" s="301"/>
      <c r="I23" s="301"/>
      <c r="J23" s="301"/>
      <c r="K23" s="302"/>
      <c r="L23" s="344" t="s">
        <v>18</v>
      </c>
      <c r="M23" s="345"/>
      <c r="N23" s="346"/>
      <c r="O23" s="326" t="s">
        <v>17</v>
      </c>
      <c r="P23" s="327"/>
      <c r="Q23" s="327"/>
      <c r="R23" s="328"/>
      <c r="S23" s="326" t="s">
        <v>18</v>
      </c>
      <c r="T23" s="327"/>
      <c r="U23" s="327"/>
      <c r="V23" s="327"/>
      <c r="W23" s="327"/>
      <c r="X23" s="327"/>
      <c r="Y23" s="328"/>
      <c r="Z23" s="335" t="s">
        <v>22</v>
      </c>
      <c r="AA23" s="336"/>
      <c r="AB23" s="336"/>
      <c r="AC23" s="336"/>
      <c r="AD23" s="336"/>
      <c r="AE23" s="336"/>
      <c r="AF23" s="336"/>
      <c r="AG23" s="336"/>
      <c r="AH23" s="336"/>
      <c r="AI23" s="336"/>
      <c r="AJ23" s="336"/>
      <c r="AK23" s="336"/>
      <c r="AL23" s="336"/>
      <c r="AM23" s="336"/>
      <c r="AN23" s="336"/>
      <c r="AO23" s="336"/>
      <c r="AP23" s="337"/>
      <c r="AQ23" s="309" t="s">
        <v>120</v>
      </c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10"/>
      <c r="BK23" s="20"/>
    </row>
    <row r="24" spans="1:63" s="21" customFormat="1" ht="15" customHeight="1" x14ac:dyDescent="0.25">
      <c r="A24" s="16"/>
      <c r="B24" s="23"/>
      <c r="C24" s="296"/>
      <c r="D24" s="297"/>
      <c r="E24" s="303"/>
      <c r="F24" s="304"/>
      <c r="G24" s="304"/>
      <c r="H24" s="304"/>
      <c r="I24" s="304"/>
      <c r="J24" s="304"/>
      <c r="K24" s="305"/>
      <c r="L24" s="347"/>
      <c r="M24" s="348"/>
      <c r="N24" s="349"/>
      <c r="O24" s="329"/>
      <c r="P24" s="330"/>
      <c r="Q24" s="330"/>
      <c r="R24" s="331"/>
      <c r="S24" s="329"/>
      <c r="T24" s="330"/>
      <c r="U24" s="330"/>
      <c r="V24" s="330"/>
      <c r="W24" s="330"/>
      <c r="X24" s="330"/>
      <c r="Y24" s="331"/>
      <c r="Z24" s="338"/>
      <c r="AA24" s="339"/>
      <c r="AB24" s="339"/>
      <c r="AC24" s="339"/>
      <c r="AD24" s="339"/>
      <c r="AE24" s="339"/>
      <c r="AF24" s="339"/>
      <c r="AG24" s="339"/>
      <c r="AH24" s="339"/>
      <c r="AI24" s="339"/>
      <c r="AJ24" s="339"/>
      <c r="AK24" s="339"/>
      <c r="AL24" s="339"/>
      <c r="AM24" s="339"/>
      <c r="AN24" s="339"/>
      <c r="AO24" s="339"/>
      <c r="AP24" s="340"/>
      <c r="AQ24" s="311"/>
      <c r="AR24" s="311"/>
      <c r="AS24" s="311"/>
      <c r="AT24" s="311"/>
      <c r="AU24" s="311"/>
      <c r="AV24" s="311"/>
      <c r="AW24" s="311"/>
      <c r="AX24" s="311"/>
      <c r="AY24" s="311"/>
      <c r="AZ24" s="311"/>
      <c r="BA24" s="311"/>
      <c r="BB24" s="311"/>
      <c r="BC24" s="311"/>
      <c r="BD24" s="311"/>
      <c r="BE24" s="311"/>
      <c r="BF24" s="311"/>
      <c r="BG24" s="311"/>
      <c r="BH24" s="311"/>
      <c r="BI24" s="311"/>
      <c r="BJ24" s="312"/>
      <c r="BK24" s="20"/>
    </row>
    <row r="25" spans="1:63" s="21" customFormat="1" ht="24" customHeight="1" x14ac:dyDescent="0.25">
      <c r="A25" s="16"/>
      <c r="B25" s="23"/>
      <c r="C25" s="298"/>
      <c r="D25" s="299"/>
      <c r="E25" s="306"/>
      <c r="F25" s="307"/>
      <c r="G25" s="307"/>
      <c r="H25" s="307"/>
      <c r="I25" s="307"/>
      <c r="J25" s="307"/>
      <c r="K25" s="308"/>
      <c r="L25" s="350"/>
      <c r="M25" s="351"/>
      <c r="N25" s="352"/>
      <c r="O25" s="332"/>
      <c r="P25" s="333"/>
      <c r="Q25" s="333"/>
      <c r="R25" s="334"/>
      <c r="S25" s="332"/>
      <c r="T25" s="333"/>
      <c r="U25" s="333"/>
      <c r="V25" s="333"/>
      <c r="W25" s="333"/>
      <c r="X25" s="333"/>
      <c r="Y25" s="334"/>
      <c r="Z25" s="341"/>
      <c r="AA25" s="342"/>
      <c r="AB25" s="342"/>
      <c r="AC25" s="342"/>
      <c r="AD25" s="342"/>
      <c r="AE25" s="342"/>
      <c r="AF25" s="342"/>
      <c r="AG25" s="342"/>
      <c r="AH25" s="342"/>
      <c r="AI25" s="342"/>
      <c r="AJ25" s="342"/>
      <c r="AK25" s="342"/>
      <c r="AL25" s="342"/>
      <c r="AM25" s="342"/>
      <c r="AN25" s="342"/>
      <c r="AO25" s="342"/>
      <c r="AP25" s="343"/>
      <c r="AQ25" s="313"/>
      <c r="AR25" s="313"/>
      <c r="AS25" s="313"/>
      <c r="AT25" s="313"/>
      <c r="AU25" s="313"/>
      <c r="AV25" s="313"/>
      <c r="AW25" s="313"/>
      <c r="AX25" s="313"/>
      <c r="AY25" s="313"/>
      <c r="AZ25" s="313"/>
      <c r="BA25" s="313"/>
      <c r="BB25" s="313"/>
      <c r="BC25" s="313"/>
      <c r="BD25" s="313"/>
      <c r="BE25" s="313"/>
      <c r="BF25" s="313"/>
      <c r="BG25" s="313"/>
      <c r="BH25" s="313"/>
      <c r="BI25" s="313"/>
      <c r="BJ25" s="314"/>
      <c r="BK25" s="20"/>
    </row>
    <row r="26" spans="1:63" s="21" customFormat="1" ht="15" customHeight="1" x14ac:dyDescent="0.25">
      <c r="A26" s="16"/>
      <c r="B26" s="23"/>
      <c r="C26" s="239">
        <v>4</v>
      </c>
      <c r="D26" s="241"/>
      <c r="E26" s="242" t="s">
        <v>23</v>
      </c>
      <c r="F26" s="244"/>
      <c r="G26" s="244"/>
      <c r="H26" s="244"/>
      <c r="I26" s="244"/>
      <c r="J26" s="244"/>
      <c r="K26" s="243"/>
      <c r="L26" s="315" t="s">
        <v>18</v>
      </c>
      <c r="M26" s="316"/>
      <c r="N26" s="317"/>
      <c r="O26" s="239" t="s">
        <v>17</v>
      </c>
      <c r="P26" s="240"/>
      <c r="Q26" s="240"/>
      <c r="R26" s="241"/>
      <c r="S26" s="239" t="s">
        <v>18</v>
      </c>
      <c r="T26" s="240"/>
      <c r="U26" s="240"/>
      <c r="V26" s="240"/>
      <c r="W26" s="240"/>
      <c r="X26" s="240"/>
      <c r="Y26" s="241"/>
      <c r="Z26" s="242" t="s">
        <v>23</v>
      </c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3"/>
      <c r="AQ26" s="233" t="s">
        <v>24</v>
      </c>
      <c r="AR26" s="234"/>
      <c r="AS26" s="234"/>
      <c r="AT26" s="234"/>
      <c r="AU26" s="234"/>
      <c r="AV26" s="234"/>
      <c r="AW26" s="234"/>
      <c r="AX26" s="234"/>
      <c r="AY26" s="234"/>
      <c r="AZ26" s="234"/>
      <c r="BA26" s="234"/>
      <c r="BB26" s="234"/>
      <c r="BC26" s="234"/>
      <c r="BD26" s="234"/>
      <c r="BE26" s="234"/>
      <c r="BF26" s="234"/>
      <c r="BG26" s="234"/>
      <c r="BH26" s="234"/>
      <c r="BI26" s="234"/>
      <c r="BJ26" s="235"/>
      <c r="BK26" s="20"/>
    </row>
    <row r="27" spans="1:63" s="21" customFormat="1" ht="15" customHeight="1" x14ac:dyDescent="0.25">
      <c r="A27" s="16"/>
      <c r="B27" s="23"/>
      <c r="C27" s="239">
        <v>5</v>
      </c>
      <c r="D27" s="241"/>
      <c r="E27" s="242" t="s">
        <v>25</v>
      </c>
      <c r="F27" s="244"/>
      <c r="G27" s="244"/>
      <c r="H27" s="244"/>
      <c r="I27" s="244"/>
      <c r="J27" s="244"/>
      <c r="K27" s="243"/>
      <c r="L27" s="315" t="s">
        <v>18</v>
      </c>
      <c r="M27" s="316"/>
      <c r="N27" s="317"/>
      <c r="O27" s="239" t="s">
        <v>17</v>
      </c>
      <c r="P27" s="240"/>
      <c r="Q27" s="240"/>
      <c r="R27" s="241"/>
      <c r="S27" s="239" t="s">
        <v>18</v>
      </c>
      <c r="T27" s="240"/>
      <c r="U27" s="240"/>
      <c r="V27" s="240"/>
      <c r="W27" s="240"/>
      <c r="X27" s="240"/>
      <c r="Y27" s="241"/>
      <c r="Z27" s="242" t="s">
        <v>25</v>
      </c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3"/>
      <c r="AQ27" s="233" t="s">
        <v>129</v>
      </c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  <c r="BE27" s="234"/>
      <c r="BF27" s="234"/>
      <c r="BG27" s="234"/>
      <c r="BH27" s="234"/>
      <c r="BI27" s="234"/>
      <c r="BJ27" s="235"/>
      <c r="BK27" s="20"/>
    </row>
    <row r="28" spans="1:63" s="21" customFormat="1" ht="15" customHeight="1" x14ac:dyDescent="0.25">
      <c r="A28" s="16"/>
      <c r="B28" s="23"/>
      <c r="C28" s="23"/>
      <c r="D28" s="23"/>
      <c r="E28" s="77"/>
      <c r="F28" s="77"/>
      <c r="G28" s="77"/>
      <c r="H28" s="77"/>
      <c r="I28" s="23"/>
      <c r="J28" s="23"/>
      <c r="K28" s="23"/>
      <c r="L28" s="81"/>
      <c r="M28" s="77"/>
      <c r="N28" s="77"/>
      <c r="O28" s="77"/>
      <c r="P28" s="77"/>
      <c r="Q28" s="23"/>
      <c r="R28" s="23"/>
      <c r="S28" s="23"/>
      <c r="T28" s="23"/>
      <c r="U28" s="23"/>
      <c r="V28" s="23"/>
      <c r="W28" s="23"/>
      <c r="X28" s="23"/>
      <c r="Y28" s="23"/>
      <c r="Z28" s="30"/>
      <c r="AA28" s="23"/>
      <c r="AB28" s="23"/>
      <c r="AC28" s="23"/>
      <c r="AD28" s="23"/>
      <c r="AE28" s="23"/>
      <c r="AF28" s="23"/>
      <c r="AG28" s="77"/>
      <c r="AH28" s="77"/>
      <c r="AI28" s="77"/>
      <c r="AJ28" s="77"/>
      <c r="AK28" s="77"/>
      <c r="AL28" s="77"/>
      <c r="AM28" s="77"/>
      <c r="AN28" s="77"/>
      <c r="AO28" s="77"/>
      <c r="AP28" s="23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24"/>
      <c r="BI28" s="24"/>
      <c r="BJ28" s="24"/>
      <c r="BK28" s="20"/>
    </row>
    <row r="29" spans="1:63" s="21" customFormat="1" ht="15" customHeight="1" x14ac:dyDescent="0.25">
      <c r="A29" s="16"/>
      <c r="B29" s="23"/>
      <c r="C29" s="23"/>
      <c r="D29" s="23"/>
      <c r="E29" s="77"/>
      <c r="F29" s="77"/>
      <c r="G29" s="77"/>
      <c r="H29" s="77"/>
      <c r="I29" s="23"/>
      <c r="J29" s="23"/>
      <c r="K29" s="23"/>
      <c r="L29" s="32"/>
      <c r="M29" s="77"/>
      <c r="N29" s="77"/>
      <c r="O29" s="77"/>
      <c r="P29" s="77"/>
      <c r="Q29" s="23"/>
      <c r="R29" s="23"/>
      <c r="S29" s="23"/>
      <c r="T29" s="23"/>
      <c r="U29" s="23"/>
      <c r="V29" s="23"/>
      <c r="W29" s="23"/>
      <c r="X29" s="23"/>
      <c r="Y29" s="23"/>
      <c r="Z29" s="30"/>
      <c r="AA29" s="23"/>
      <c r="AB29" s="23"/>
      <c r="AC29" s="23"/>
      <c r="AD29" s="23"/>
      <c r="AE29" s="23"/>
      <c r="AF29" s="23"/>
      <c r="AG29" s="77"/>
      <c r="AH29" s="77"/>
      <c r="AI29" s="77"/>
      <c r="AJ29" s="77"/>
      <c r="AK29" s="77"/>
      <c r="AL29" s="77"/>
      <c r="AM29" s="77"/>
      <c r="AN29" s="77"/>
      <c r="AO29" s="77"/>
      <c r="AP29" s="23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24"/>
      <c r="BI29" s="24"/>
      <c r="BJ29" s="24"/>
      <c r="BK29" s="20"/>
    </row>
    <row r="30" spans="1:63" s="21" customFormat="1" ht="15" customHeight="1" x14ac:dyDescent="0.25">
      <c r="A30" s="16"/>
      <c r="B30" s="23"/>
      <c r="C30" s="26" t="s">
        <v>130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4"/>
      <c r="BI30" s="24"/>
      <c r="BJ30" s="24"/>
      <c r="BK30" s="20"/>
    </row>
    <row r="31" spans="1:63" s="21" customFormat="1" ht="15" customHeight="1" x14ac:dyDescent="0.25">
      <c r="A31" s="16"/>
      <c r="B31" s="23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4"/>
      <c r="BI31" s="24"/>
      <c r="BJ31" s="24"/>
      <c r="BK31" s="20"/>
    </row>
    <row r="32" spans="1:63" s="21" customFormat="1" ht="15" customHeight="1" x14ac:dyDescent="0.25">
      <c r="A32" s="16"/>
      <c r="B32" s="23"/>
      <c r="C32" s="22"/>
      <c r="D32" s="83" t="s">
        <v>131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4"/>
      <c r="BI32" s="24"/>
      <c r="BJ32" s="24"/>
      <c r="BK32" s="20"/>
    </row>
    <row r="33" spans="1:63" s="21" customFormat="1" ht="15" customHeight="1" x14ac:dyDescent="0.25">
      <c r="A33" s="16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4"/>
      <c r="BI33" s="24"/>
      <c r="BJ33" s="24"/>
      <c r="BK33" s="20"/>
    </row>
    <row r="34" spans="1:63" s="21" customFormat="1" ht="15" customHeight="1" x14ac:dyDescent="0.25">
      <c r="A34" s="16"/>
      <c r="B34" s="23"/>
      <c r="C34" s="26" t="s">
        <v>132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4"/>
      <c r="BI34" s="24"/>
      <c r="BJ34" s="24"/>
      <c r="BK34" s="20"/>
    </row>
    <row r="35" spans="1:63" s="21" customFormat="1" ht="15" customHeight="1" x14ac:dyDescent="0.25">
      <c r="A35" s="16"/>
      <c r="B35" s="23"/>
      <c r="C35" s="26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4"/>
      <c r="BI35" s="24"/>
      <c r="BJ35" s="24"/>
      <c r="BK35" s="20"/>
    </row>
    <row r="36" spans="1:63" s="21" customFormat="1" ht="15" customHeight="1" x14ac:dyDescent="0.25">
      <c r="A36" s="16"/>
      <c r="B36" s="23"/>
      <c r="C36" s="318" t="s">
        <v>26</v>
      </c>
      <c r="D36" s="319"/>
      <c r="E36" s="320" t="s">
        <v>42</v>
      </c>
      <c r="F36" s="321"/>
      <c r="G36" s="321"/>
      <c r="H36" s="321"/>
      <c r="I36" s="321"/>
      <c r="J36" s="321"/>
      <c r="K36" s="322"/>
      <c r="L36" s="236" t="s">
        <v>39</v>
      </c>
      <c r="M36" s="237"/>
      <c r="N36" s="238"/>
      <c r="O36" s="236" t="s">
        <v>40</v>
      </c>
      <c r="P36" s="237"/>
      <c r="Q36" s="237"/>
      <c r="R36" s="238"/>
      <c r="S36" s="236" t="s">
        <v>41</v>
      </c>
      <c r="T36" s="237"/>
      <c r="U36" s="237"/>
      <c r="V36" s="237"/>
      <c r="W36" s="237"/>
      <c r="X36" s="237"/>
      <c r="Y36" s="238"/>
      <c r="Z36" s="273" t="s">
        <v>127</v>
      </c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L36" s="274"/>
      <c r="AM36" s="274"/>
      <c r="AN36" s="274"/>
      <c r="AO36" s="274"/>
      <c r="AP36" s="275"/>
      <c r="AQ36" s="248" t="s">
        <v>38</v>
      </c>
      <c r="AR36" s="249"/>
      <c r="AS36" s="249"/>
      <c r="AT36" s="249"/>
      <c r="AU36" s="249"/>
      <c r="AV36" s="249"/>
      <c r="AW36" s="249"/>
      <c r="AX36" s="249"/>
      <c r="AY36" s="249"/>
      <c r="AZ36" s="249"/>
      <c r="BA36" s="249"/>
      <c r="BB36" s="249"/>
      <c r="BC36" s="249"/>
      <c r="BD36" s="249"/>
      <c r="BE36" s="249"/>
      <c r="BF36" s="249"/>
      <c r="BG36" s="249"/>
      <c r="BH36" s="249"/>
      <c r="BI36" s="249"/>
      <c r="BJ36" s="250"/>
      <c r="BK36" s="20"/>
    </row>
    <row r="37" spans="1:63" s="21" customFormat="1" ht="15" customHeight="1" x14ac:dyDescent="0.25">
      <c r="A37" s="16"/>
      <c r="B37" s="23"/>
      <c r="C37" s="239">
        <v>1</v>
      </c>
      <c r="D37" s="241"/>
      <c r="E37" s="267" t="s">
        <v>133</v>
      </c>
      <c r="F37" s="268"/>
      <c r="G37" s="268"/>
      <c r="H37" s="268"/>
      <c r="I37" s="268"/>
      <c r="J37" s="268"/>
      <c r="K37" s="269"/>
      <c r="L37" s="323" t="s">
        <v>16</v>
      </c>
      <c r="M37" s="324"/>
      <c r="N37" s="325"/>
      <c r="O37" s="267" t="s">
        <v>134</v>
      </c>
      <c r="P37" s="268"/>
      <c r="Q37" s="268"/>
      <c r="R37" s="269"/>
      <c r="S37" s="267" t="s">
        <v>18</v>
      </c>
      <c r="T37" s="268"/>
      <c r="U37" s="268"/>
      <c r="V37" s="268"/>
      <c r="W37" s="268"/>
      <c r="X37" s="268"/>
      <c r="Y37" s="269"/>
      <c r="Z37" s="267" t="s">
        <v>185</v>
      </c>
      <c r="AA37" s="268"/>
      <c r="AB37" s="268"/>
      <c r="AC37" s="268"/>
      <c r="AD37" s="268"/>
      <c r="AE37" s="268"/>
      <c r="AF37" s="268"/>
      <c r="AG37" s="268"/>
      <c r="AH37" s="268"/>
      <c r="AI37" s="268"/>
      <c r="AJ37" s="268"/>
      <c r="AK37" s="268"/>
      <c r="AL37" s="268"/>
      <c r="AM37" s="268"/>
      <c r="AN37" s="268"/>
      <c r="AO37" s="268"/>
      <c r="AP37" s="269"/>
      <c r="AQ37" s="267" t="s">
        <v>135</v>
      </c>
      <c r="AR37" s="268"/>
      <c r="AS37" s="268"/>
      <c r="AT37" s="268"/>
      <c r="AU37" s="268"/>
      <c r="AV37" s="268"/>
      <c r="AW37" s="268"/>
      <c r="AX37" s="268"/>
      <c r="AY37" s="268"/>
      <c r="AZ37" s="268"/>
      <c r="BA37" s="268"/>
      <c r="BB37" s="268"/>
      <c r="BC37" s="268"/>
      <c r="BD37" s="268"/>
      <c r="BE37" s="268"/>
      <c r="BF37" s="268"/>
      <c r="BG37" s="268"/>
      <c r="BH37" s="268"/>
      <c r="BI37" s="268"/>
      <c r="BJ37" s="269"/>
      <c r="BK37" s="20"/>
    </row>
    <row r="38" spans="1:63" s="21" customFormat="1" ht="85.5" customHeight="1" x14ac:dyDescent="0.25">
      <c r="A38" s="16"/>
      <c r="B38" s="23"/>
      <c r="C38" s="239">
        <v>2</v>
      </c>
      <c r="D38" s="241"/>
      <c r="E38" s="242" t="s">
        <v>54</v>
      </c>
      <c r="F38" s="244"/>
      <c r="G38" s="244"/>
      <c r="H38" s="244"/>
      <c r="I38" s="244"/>
      <c r="J38" s="244"/>
      <c r="K38" s="243"/>
      <c r="L38" s="315" t="s">
        <v>16</v>
      </c>
      <c r="M38" s="316"/>
      <c r="N38" s="317"/>
      <c r="O38" s="239" t="s">
        <v>95</v>
      </c>
      <c r="P38" s="240"/>
      <c r="Q38" s="240"/>
      <c r="R38" s="241"/>
      <c r="S38" s="239" t="s">
        <v>18</v>
      </c>
      <c r="T38" s="240"/>
      <c r="U38" s="240"/>
      <c r="V38" s="240"/>
      <c r="W38" s="240"/>
      <c r="X38" s="240"/>
      <c r="Y38" s="241"/>
      <c r="Z38" s="242" t="s">
        <v>96</v>
      </c>
      <c r="AA38" s="244"/>
      <c r="AB38" s="244"/>
      <c r="AC38" s="244"/>
      <c r="AD38" s="244"/>
      <c r="AE38" s="244"/>
      <c r="AF38" s="244"/>
      <c r="AG38" s="244"/>
      <c r="AH38" s="244"/>
      <c r="AI38" s="244"/>
      <c r="AJ38" s="244"/>
      <c r="AK38" s="244"/>
      <c r="AL38" s="244"/>
      <c r="AM38" s="244"/>
      <c r="AN38" s="244"/>
      <c r="AO38" s="244"/>
      <c r="AP38" s="243"/>
      <c r="AQ38" s="245" t="s">
        <v>186</v>
      </c>
      <c r="AR38" s="292"/>
      <c r="AS38" s="292"/>
      <c r="AT38" s="292"/>
      <c r="AU38" s="292"/>
      <c r="AV38" s="292"/>
      <c r="AW38" s="292"/>
      <c r="AX38" s="292"/>
      <c r="AY38" s="292"/>
      <c r="AZ38" s="292"/>
      <c r="BA38" s="292"/>
      <c r="BB38" s="292"/>
      <c r="BC38" s="292"/>
      <c r="BD38" s="292"/>
      <c r="BE38" s="292"/>
      <c r="BF38" s="292"/>
      <c r="BG38" s="292"/>
      <c r="BH38" s="292"/>
      <c r="BI38" s="292"/>
      <c r="BJ38" s="293"/>
      <c r="BK38" s="20"/>
    </row>
    <row r="39" spans="1:63" s="21" customFormat="1" ht="143.25" customHeight="1" x14ac:dyDescent="0.25">
      <c r="A39" s="16"/>
      <c r="B39" s="23"/>
      <c r="C39" s="239">
        <v>3</v>
      </c>
      <c r="D39" s="241"/>
      <c r="E39" s="242" t="s">
        <v>55</v>
      </c>
      <c r="F39" s="244"/>
      <c r="G39" s="244"/>
      <c r="H39" s="244"/>
      <c r="I39" s="244"/>
      <c r="J39" s="244"/>
      <c r="K39" s="243"/>
      <c r="L39" s="315" t="s">
        <v>16</v>
      </c>
      <c r="M39" s="316"/>
      <c r="N39" s="317"/>
      <c r="O39" s="239" t="s">
        <v>95</v>
      </c>
      <c r="P39" s="240"/>
      <c r="Q39" s="240"/>
      <c r="R39" s="241"/>
      <c r="S39" s="239" t="s">
        <v>18</v>
      </c>
      <c r="T39" s="240"/>
      <c r="U39" s="240"/>
      <c r="V39" s="240"/>
      <c r="W39" s="240"/>
      <c r="X39" s="240"/>
      <c r="Y39" s="241"/>
      <c r="Z39" s="242" t="s">
        <v>97</v>
      </c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4"/>
      <c r="AM39" s="244"/>
      <c r="AN39" s="244"/>
      <c r="AO39" s="244"/>
      <c r="AP39" s="243"/>
      <c r="AQ39" s="245" t="s">
        <v>187</v>
      </c>
      <c r="AR39" s="292"/>
      <c r="AS39" s="292"/>
      <c r="AT39" s="292"/>
      <c r="AU39" s="292"/>
      <c r="AV39" s="292"/>
      <c r="AW39" s="292"/>
      <c r="AX39" s="292"/>
      <c r="AY39" s="292"/>
      <c r="AZ39" s="292"/>
      <c r="BA39" s="292"/>
      <c r="BB39" s="292"/>
      <c r="BC39" s="292"/>
      <c r="BD39" s="292"/>
      <c r="BE39" s="292"/>
      <c r="BF39" s="292"/>
      <c r="BG39" s="292"/>
      <c r="BH39" s="292"/>
      <c r="BI39" s="292"/>
      <c r="BJ39" s="293"/>
      <c r="BK39" s="20"/>
    </row>
    <row r="40" spans="1:63" s="52" customFormat="1" ht="66.75" customHeight="1" x14ac:dyDescent="0.25">
      <c r="A40" s="49"/>
      <c r="B40" s="50"/>
      <c r="C40" s="267">
        <v>4</v>
      </c>
      <c r="D40" s="269"/>
      <c r="E40" s="267" t="s">
        <v>136</v>
      </c>
      <c r="F40" s="268"/>
      <c r="G40" s="268"/>
      <c r="H40" s="268"/>
      <c r="I40" s="268"/>
      <c r="J40" s="268"/>
      <c r="K40" s="269"/>
      <c r="L40" s="323" t="s">
        <v>16</v>
      </c>
      <c r="M40" s="324"/>
      <c r="N40" s="325"/>
      <c r="O40" s="267" t="s">
        <v>137</v>
      </c>
      <c r="P40" s="268"/>
      <c r="Q40" s="268"/>
      <c r="R40" s="269"/>
      <c r="S40" s="267" t="s">
        <v>18</v>
      </c>
      <c r="T40" s="268"/>
      <c r="U40" s="268"/>
      <c r="V40" s="268"/>
      <c r="W40" s="268"/>
      <c r="X40" s="268"/>
      <c r="Y40" s="269"/>
      <c r="Z40" s="267" t="s">
        <v>138</v>
      </c>
      <c r="AA40" s="268"/>
      <c r="AB40" s="268"/>
      <c r="AC40" s="268"/>
      <c r="AD40" s="268"/>
      <c r="AE40" s="268"/>
      <c r="AF40" s="268"/>
      <c r="AG40" s="268"/>
      <c r="AH40" s="268"/>
      <c r="AI40" s="268"/>
      <c r="AJ40" s="268"/>
      <c r="AK40" s="268"/>
      <c r="AL40" s="268"/>
      <c r="AM40" s="268"/>
      <c r="AN40" s="268"/>
      <c r="AO40" s="268"/>
      <c r="AP40" s="269"/>
      <c r="AQ40" s="361" t="s">
        <v>139</v>
      </c>
      <c r="AR40" s="268"/>
      <c r="AS40" s="268"/>
      <c r="AT40" s="268"/>
      <c r="AU40" s="268"/>
      <c r="AV40" s="268"/>
      <c r="AW40" s="268"/>
      <c r="AX40" s="268"/>
      <c r="AY40" s="268"/>
      <c r="AZ40" s="268"/>
      <c r="BA40" s="268"/>
      <c r="BB40" s="268"/>
      <c r="BC40" s="268"/>
      <c r="BD40" s="268"/>
      <c r="BE40" s="268"/>
      <c r="BF40" s="268"/>
      <c r="BG40" s="268"/>
      <c r="BH40" s="268"/>
      <c r="BI40" s="268"/>
      <c r="BJ40" s="269"/>
      <c r="BK40" s="51"/>
    </row>
    <row r="41" spans="1:63" s="52" customFormat="1" ht="129.75" customHeight="1" x14ac:dyDescent="0.25">
      <c r="A41" s="49"/>
      <c r="B41" s="50"/>
      <c r="C41" s="267">
        <v>5</v>
      </c>
      <c r="D41" s="269"/>
      <c r="E41" s="267" t="s">
        <v>140</v>
      </c>
      <c r="F41" s="268"/>
      <c r="G41" s="268"/>
      <c r="H41" s="268"/>
      <c r="I41" s="268"/>
      <c r="J41" s="268"/>
      <c r="K41" s="269"/>
      <c r="L41" s="323" t="s">
        <v>16</v>
      </c>
      <c r="M41" s="324"/>
      <c r="N41" s="325"/>
      <c r="O41" s="267" t="s">
        <v>137</v>
      </c>
      <c r="P41" s="268"/>
      <c r="Q41" s="268"/>
      <c r="R41" s="269"/>
      <c r="S41" s="267" t="s">
        <v>18</v>
      </c>
      <c r="T41" s="268"/>
      <c r="U41" s="268"/>
      <c r="V41" s="268"/>
      <c r="W41" s="268"/>
      <c r="X41" s="268"/>
      <c r="Y41" s="269"/>
      <c r="Z41" s="267" t="s">
        <v>141</v>
      </c>
      <c r="AA41" s="268"/>
      <c r="AB41" s="268"/>
      <c r="AC41" s="268"/>
      <c r="AD41" s="268"/>
      <c r="AE41" s="268"/>
      <c r="AF41" s="268"/>
      <c r="AG41" s="268"/>
      <c r="AH41" s="268"/>
      <c r="AI41" s="268"/>
      <c r="AJ41" s="268"/>
      <c r="AK41" s="268"/>
      <c r="AL41" s="268"/>
      <c r="AM41" s="268"/>
      <c r="AN41" s="268"/>
      <c r="AO41" s="268"/>
      <c r="AP41" s="269"/>
      <c r="AQ41" s="361" t="s">
        <v>188</v>
      </c>
      <c r="AR41" s="268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268"/>
      <c r="BD41" s="268"/>
      <c r="BE41" s="268"/>
      <c r="BF41" s="268"/>
      <c r="BG41" s="268"/>
      <c r="BH41" s="268"/>
      <c r="BI41" s="268"/>
      <c r="BJ41" s="269"/>
      <c r="BK41" s="51"/>
    </row>
    <row r="42" spans="1:63" s="79" customFormat="1" ht="15" customHeight="1" x14ac:dyDescent="0.25">
      <c r="A42" s="78"/>
      <c r="B42" s="77"/>
      <c r="C42" s="242">
        <v>6</v>
      </c>
      <c r="D42" s="243"/>
      <c r="E42" s="242" t="s">
        <v>50</v>
      </c>
      <c r="F42" s="244"/>
      <c r="G42" s="244"/>
      <c r="H42" s="244"/>
      <c r="I42" s="244"/>
      <c r="J42" s="244"/>
      <c r="K42" s="243"/>
      <c r="L42" s="126" t="s">
        <v>18</v>
      </c>
      <c r="M42" s="127"/>
      <c r="N42" s="128"/>
      <c r="O42" s="242" t="s">
        <v>99</v>
      </c>
      <c r="P42" s="244"/>
      <c r="Q42" s="244"/>
      <c r="R42" s="243"/>
      <c r="S42" s="242" t="s">
        <v>18</v>
      </c>
      <c r="T42" s="244"/>
      <c r="U42" s="244"/>
      <c r="V42" s="244"/>
      <c r="W42" s="244"/>
      <c r="X42" s="244"/>
      <c r="Y42" s="243"/>
      <c r="Z42" s="242" t="s">
        <v>91</v>
      </c>
      <c r="AA42" s="244"/>
      <c r="AB42" s="244"/>
      <c r="AC42" s="244"/>
      <c r="AD42" s="244"/>
      <c r="AE42" s="244"/>
      <c r="AF42" s="244"/>
      <c r="AG42" s="244"/>
      <c r="AH42" s="244"/>
      <c r="AI42" s="244"/>
      <c r="AJ42" s="244"/>
      <c r="AK42" s="244"/>
      <c r="AL42" s="244"/>
      <c r="AM42" s="244"/>
      <c r="AN42" s="244"/>
      <c r="AO42" s="244"/>
      <c r="AP42" s="243"/>
      <c r="AQ42" s="242" t="s">
        <v>18</v>
      </c>
      <c r="AR42" s="244"/>
      <c r="AS42" s="244"/>
      <c r="AT42" s="244"/>
      <c r="AU42" s="244"/>
      <c r="AV42" s="244"/>
      <c r="AW42" s="244"/>
      <c r="AX42" s="244"/>
      <c r="AY42" s="244"/>
      <c r="AZ42" s="244"/>
      <c r="BA42" s="244"/>
      <c r="BB42" s="244"/>
      <c r="BC42" s="244"/>
      <c r="BD42" s="244"/>
      <c r="BE42" s="244"/>
      <c r="BF42" s="244"/>
      <c r="BG42" s="244"/>
      <c r="BH42" s="244"/>
      <c r="BI42" s="244"/>
      <c r="BJ42" s="243"/>
      <c r="BK42" s="74"/>
    </row>
    <row r="43" spans="1:63" s="21" customFormat="1" ht="15" customHeight="1" x14ac:dyDescent="0.25">
      <c r="A43" s="16"/>
      <c r="B43" s="23"/>
      <c r="C43" s="239">
        <v>7</v>
      </c>
      <c r="D43" s="241"/>
      <c r="E43" s="242" t="s">
        <v>52</v>
      </c>
      <c r="F43" s="244"/>
      <c r="G43" s="244"/>
      <c r="H43" s="244"/>
      <c r="I43" s="244"/>
      <c r="J43" s="244"/>
      <c r="K43" s="243"/>
      <c r="L43" s="315" t="s">
        <v>18</v>
      </c>
      <c r="M43" s="316"/>
      <c r="N43" s="317"/>
      <c r="O43" s="239" t="s">
        <v>99</v>
      </c>
      <c r="P43" s="240"/>
      <c r="Q43" s="240"/>
      <c r="R43" s="241"/>
      <c r="S43" s="239" t="s">
        <v>18</v>
      </c>
      <c r="T43" s="240"/>
      <c r="U43" s="240"/>
      <c r="V43" s="240"/>
      <c r="W43" s="240"/>
      <c r="X43" s="240"/>
      <c r="Y43" s="241"/>
      <c r="Z43" s="242" t="s">
        <v>69</v>
      </c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  <c r="AL43" s="244"/>
      <c r="AM43" s="244"/>
      <c r="AN43" s="244"/>
      <c r="AO43" s="244"/>
      <c r="AP43" s="243"/>
      <c r="AQ43" s="291" t="s">
        <v>18</v>
      </c>
      <c r="AR43" s="292"/>
      <c r="AS43" s="292"/>
      <c r="AT43" s="292"/>
      <c r="AU43" s="292"/>
      <c r="AV43" s="292"/>
      <c r="AW43" s="292"/>
      <c r="AX43" s="292"/>
      <c r="AY43" s="292"/>
      <c r="AZ43" s="292"/>
      <c r="BA43" s="292"/>
      <c r="BB43" s="292"/>
      <c r="BC43" s="292"/>
      <c r="BD43" s="292"/>
      <c r="BE43" s="292"/>
      <c r="BF43" s="292"/>
      <c r="BG43" s="292"/>
      <c r="BH43" s="292"/>
      <c r="BI43" s="292"/>
      <c r="BJ43" s="293"/>
      <c r="BK43" s="20"/>
    </row>
    <row r="44" spans="1:63" s="21" customFormat="1" ht="15" customHeight="1" x14ac:dyDescent="0.25">
      <c r="A44" s="16"/>
      <c r="B44" s="23"/>
      <c r="C44" s="242">
        <v>8</v>
      </c>
      <c r="D44" s="243"/>
      <c r="E44" s="242" t="s">
        <v>60</v>
      </c>
      <c r="F44" s="244"/>
      <c r="G44" s="244"/>
      <c r="H44" s="244"/>
      <c r="I44" s="244"/>
      <c r="J44" s="244"/>
      <c r="K44" s="243"/>
      <c r="L44" s="315" t="s">
        <v>18</v>
      </c>
      <c r="M44" s="316"/>
      <c r="N44" s="317"/>
      <c r="O44" s="239" t="s">
        <v>51</v>
      </c>
      <c r="P44" s="240"/>
      <c r="Q44" s="240"/>
      <c r="R44" s="241"/>
      <c r="S44" s="239" t="s">
        <v>18</v>
      </c>
      <c r="T44" s="240"/>
      <c r="U44" s="240"/>
      <c r="V44" s="240"/>
      <c r="W44" s="240"/>
      <c r="X44" s="240"/>
      <c r="Y44" s="241"/>
      <c r="Z44" s="242" t="s">
        <v>70</v>
      </c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244"/>
      <c r="AL44" s="244"/>
      <c r="AM44" s="244"/>
      <c r="AN44" s="244"/>
      <c r="AO44" s="244"/>
      <c r="AP44" s="243"/>
      <c r="AQ44" s="291" t="s">
        <v>18</v>
      </c>
      <c r="AR44" s="292"/>
      <c r="AS44" s="292"/>
      <c r="AT44" s="292"/>
      <c r="AU44" s="292"/>
      <c r="AV44" s="292"/>
      <c r="AW44" s="292"/>
      <c r="AX44" s="292"/>
      <c r="AY44" s="292"/>
      <c r="AZ44" s="292"/>
      <c r="BA44" s="292"/>
      <c r="BB44" s="292"/>
      <c r="BC44" s="292"/>
      <c r="BD44" s="292"/>
      <c r="BE44" s="292"/>
      <c r="BF44" s="292"/>
      <c r="BG44" s="292"/>
      <c r="BH44" s="292"/>
      <c r="BI44" s="292"/>
      <c r="BJ44" s="293"/>
      <c r="BK44" s="20"/>
    </row>
    <row r="45" spans="1:63" s="21" customFormat="1" ht="51" customHeight="1" x14ac:dyDescent="0.25">
      <c r="A45" s="16"/>
      <c r="B45" s="23"/>
      <c r="C45" s="239">
        <v>9</v>
      </c>
      <c r="D45" s="241"/>
      <c r="E45" s="242" t="s">
        <v>61</v>
      </c>
      <c r="F45" s="244"/>
      <c r="G45" s="244"/>
      <c r="H45" s="244"/>
      <c r="I45" s="244"/>
      <c r="J45" s="244"/>
      <c r="K45" s="243"/>
      <c r="L45" s="315" t="s">
        <v>18</v>
      </c>
      <c r="M45" s="316"/>
      <c r="N45" s="317"/>
      <c r="O45" s="239" t="s">
        <v>51</v>
      </c>
      <c r="P45" s="240"/>
      <c r="Q45" s="240"/>
      <c r="R45" s="241"/>
      <c r="S45" s="239" t="s">
        <v>18</v>
      </c>
      <c r="T45" s="240"/>
      <c r="U45" s="240"/>
      <c r="V45" s="240"/>
      <c r="W45" s="240"/>
      <c r="X45" s="240"/>
      <c r="Y45" s="241"/>
      <c r="Z45" s="242" t="s">
        <v>71</v>
      </c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3"/>
      <c r="AQ45" s="353" t="s">
        <v>142</v>
      </c>
      <c r="AR45" s="354"/>
      <c r="AS45" s="354"/>
      <c r="AT45" s="354"/>
      <c r="AU45" s="354"/>
      <c r="AV45" s="354"/>
      <c r="AW45" s="354"/>
      <c r="AX45" s="354"/>
      <c r="AY45" s="354"/>
      <c r="AZ45" s="354"/>
      <c r="BA45" s="354"/>
      <c r="BB45" s="354"/>
      <c r="BC45" s="354"/>
      <c r="BD45" s="354"/>
      <c r="BE45" s="354"/>
      <c r="BF45" s="354"/>
      <c r="BG45" s="354"/>
      <c r="BH45" s="354"/>
      <c r="BI45" s="354"/>
      <c r="BJ45" s="355"/>
      <c r="BK45" s="20"/>
    </row>
    <row r="46" spans="1:63" s="21" customFormat="1" ht="15" customHeight="1" x14ac:dyDescent="0.25">
      <c r="A46" s="16"/>
      <c r="B46" s="23"/>
      <c r="C46" s="242">
        <v>10</v>
      </c>
      <c r="D46" s="243"/>
      <c r="E46" s="242" t="s">
        <v>75</v>
      </c>
      <c r="F46" s="244"/>
      <c r="G46" s="244"/>
      <c r="H46" s="244"/>
      <c r="I46" s="244"/>
      <c r="J46" s="244"/>
      <c r="K46" s="243"/>
      <c r="L46" s="126" t="s">
        <v>18</v>
      </c>
      <c r="M46" s="127"/>
      <c r="N46" s="128"/>
      <c r="O46" s="242" t="s">
        <v>99</v>
      </c>
      <c r="P46" s="244"/>
      <c r="Q46" s="244"/>
      <c r="R46" s="243"/>
      <c r="S46" s="239" t="s">
        <v>18</v>
      </c>
      <c r="T46" s="240"/>
      <c r="U46" s="240"/>
      <c r="V46" s="240"/>
      <c r="W46" s="240"/>
      <c r="X46" s="240"/>
      <c r="Y46" s="241"/>
      <c r="Z46" s="242" t="s">
        <v>53</v>
      </c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3"/>
      <c r="AQ46" s="291" t="s">
        <v>143</v>
      </c>
      <c r="AR46" s="292"/>
      <c r="AS46" s="292"/>
      <c r="AT46" s="292"/>
      <c r="AU46" s="292"/>
      <c r="AV46" s="292"/>
      <c r="AW46" s="292"/>
      <c r="AX46" s="292"/>
      <c r="AY46" s="292"/>
      <c r="AZ46" s="292"/>
      <c r="BA46" s="292"/>
      <c r="BB46" s="292"/>
      <c r="BC46" s="292"/>
      <c r="BD46" s="292"/>
      <c r="BE46" s="292"/>
      <c r="BF46" s="292"/>
      <c r="BG46" s="292"/>
      <c r="BH46" s="292"/>
      <c r="BI46" s="292"/>
      <c r="BJ46" s="293"/>
      <c r="BK46" s="20"/>
    </row>
    <row r="47" spans="1:63" s="21" customFormat="1" ht="15" customHeight="1" x14ac:dyDescent="0.25">
      <c r="A47" s="16"/>
      <c r="B47" s="23"/>
      <c r="C47" s="239">
        <v>11</v>
      </c>
      <c r="D47" s="241"/>
      <c r="E47" s="242" t="s">
        <v>76</v>
      </c>
      <c r="F47" s="244"/>
      <c r="G47" s="244"/>
      <c r="H47" s="244"/>
      <c r="I47" s="244"/>
      <c r="J47" s="244"/>
      <c r="K47" s="243"/>
      <c r="L47" s="126" t="s">
        <v>18</v>
      </c>
      <c r="M47" s="127"/>
      <c r="N47" s="128"/>
      <c r="O47" s="242" t="s">
        <v>99</v>
      </c>
      <c r="P47" s="244"/>
      <c r="Q47" s="244"/>
      <c r="R47" s="243"/>
      <c r="S47" s="239" t="s">
        <v>18</v>
      </c>
      <c r="T47" s="240"/>
      <c r="U47" s="240"/>
      <c r="V47" s="240"/>
      <c r="W47" s="240"/>
      <c r="X47" s="240"/>
      <c r="Y47" s="241"/>
      <c r="Z47" s="242" t="s">
        <v>53</v>
      </c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44"/>
      <c r="AM47" s="244"/>
      <c r="AN47" s="244"/>
      <c r="AO47" s="244"/>
      <c r="AP47" s="243"/>
      <c r="AQ47" s="291" t="s">
        <v>143</v>
      </c>
      <c r="AR47" s="292"/>
      <c r="AS47" s="292"/>
      <c r="AT47" s="292"/>
      <c r="AU47" s="292"/>
      <c r="AV47" s="292"/>
      <c r="AW47" s="292"/>
      <c r="AX47" s="292"/>
      <c r="AY47" s="292"/>
      <c r="AZ47" s="292"/>
      <c r="BA47" s="292"/>
      <c r="BB47" s="292"/>
      <c r="BC47" s="292"/>
      <c r="BD47" s="292"/>
      <c r="BE47" s="292"/>
      <c r="BF47" s="292"/>
      <c r="BG47" s="292"/>
      <c r="BH47" s="292"/>
      <c r="BI47" s="292"/>
      <c r="BJ47" s="293"/>
      <c r="BK47" s="20"/>
    </row>
    <row r="48" spans="1:63" s="79" customFormat="1" ht="52.5" customHeight="1" x14ac:dyDescent="0.25">
      <c r="A48" s="78"/>
      <c r="B48" s="77"/>
      <c r="C48" s="242">
        <v>12</v>
      </c>
      <c r="D48" s="243"/>
      <c r="E48" s="242" t="s">
        <v>77</v>
      </c>
      <c r="F48" s="244"/>
      <c r="G48" s="244"/>
      <c r="H48" s="244"/>
      <c r="I48" s="244"/>
      <c r="J48" s="244"/>
      <c r="K48" s="243"/>
      <c r="L48" s="126" t="s">
        <v>16</v>
      </c>
      <c r="M48" s="127"/>
      <c r="N48" s="128"/>
      <c r="O48" s="242" t="s">
        <v>68</v>
      </c>
      <c r="P48" s="244"/>
      <c r="Q48" s="244"/>
      <c r="R48" s="243"/>
      <c r="S48" s="242" t="s">
        <v>18</v>
      </c>
      <c r="T48" s="244"/>
      <c r="U48" s="244"/>
      <c r="V48" s="244"/>
      <c r="W48" s="244"/>
      <c r="X48" s="244"/>
      <c r="Y48" s="243"/>
      <c r="Z48" s="242" t="s">
        <v>92</v>
      </c>
      <c r="AA48" s="244"/>
      <c r="AB48" s="244"/>
      <c r="AC48" s="244"/>
      <c r="AD48" s="244"/>
      <c r="AE48" s="244"/>
      <c r="AF48" s="244"/>
      <c r="AG48" s="244"/>
      <c r="AH48" s="244"/>
      <c r="AI48" s="244"/>
      <c r="AJ48" s="244"/>
      <c r="AK48" s="244"/>
      <c r="AL48" s="244"/>
      <c r="AM48" s="244"/>
      <c r="AN48" s="244"/>
      <c r="AO48" s="244"/>
      <c r="AP48" s="243"/>
      <c r="AQ48" s="258" t="s">
        <v>144</v>
      </c>
      <c r="AR48" s="244"/>
      <c r="AS48" s="244"/>
      <c r="AT48" s="244"/>
      <c r="AU48" s="244"/>
      <c r="AV48" s="244"/>
      <c r="AW48" s="244"/>
      <c r="AX48" s="244"/>
      <c r="AY48" s="244"/>
      <c r="AZ48" s="244"/>
      <c r="BA48" s="244"/>
      <c r="BB48" s="244"/>
      <c r="BC48" s="244"/>
      <c r="BD48" s="244"/>
      <c r="BE48" s="244"/>
      <c r="BF48" s="244"/>
      <c r="BG48" s="244"/>
      <c r="BH48" s="244"/>
      <c r="BI48" s="244"/>
      <c r="BJ48" s="243"/>
      <c r="BK48" s="74"/>
    </row>
    <row r="49" spans="1:63" s="21" customFormat="1" ht="49.5" customHeight="1" x14ac:dyDescent="0.25">
      <c r="A49" s="16"/>
      <c r="B49" s="23"/>
      <c r="C49" s="261">
        <v>13</v>
      </c>
      <c r="D49" s="263"/>
      <c r="E49" s="261" t="s">
        <v>145</v>
      </c>
      <c r="F49" s="262"/>
      <c r="G49" s="262"/>
      <c r="H49" s="262"/>
      <c r="I49" s="262"/>
      <c r="J49" s="262"/>
      <c r="K49" s="263"/>
      <c r="L49" s="362" t="s">
        <v>18</v>
      </c>
      <c r="M49" s="363"/>
      <c r="N49" s="364"/>
      <c r="O49" s="261" t="s">
        <v>146</v>
      </c>
      <c r="P49" s="262"/>
      <c r="Q49" s="262"/>
      <c r="R49" s="263"/>
      <c r="S49" s="261" t="s">
        <v>18</v>
      </c>
      <c r="T49" s="262"/>
      <c r="U49" s="262"/>
      <c r="V49" s="262"/>
      <c r="W49" s="262"/>
      <c r="X49" s="262"/>
      <c r="Y49" s="263"/>
      <c r="Z49" s="261" t="s">
        <v>147</v>
      </c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  <c r="AL49" s="262"/>
      <c r="AM49" s="262"/>
      <c r="AN49" s="262"/>
      <c r="AO49" s="262"/>
      <c r="AP49" s="263"/>
      <c r="AQ49" s="365" t="s">
        <v>189</v>
      </c>
      <c r="AR49" s="262"/>
      <c r="AS49" s="262"/>
      <c r="AT49" s="262"/>
      <c r="AU49" s="262"/>
      <c r="AV49" s="262"/>
      <c r="AW49" s="262"/>
      <c r="AX49" s="262"/>
      <c r="AY49" s="262"/>
      <c r="AZ49" s="262"/>
      <c r="BA49" s="262"/>
      <c r="BB49" s="262"/>
      <c r="BC49" s="262"/>
      <c r="BD49" s="262"/>
      <c r="BE49" s="262"/>
      <c r="BF49" s="262"/>
      <c r="BG49" s="262"/>
      <c r="BH49" s="262"/>
      <c r="BI49" s="262"/>
      <c r="BJ49" s="263"/>
      <c r="BK49" s="20"/>
    </row>
    <row r="50" spans="1:63" s="21" customFormat="1" ht="15" customHeight="1" x14ac:dyDescent="0.25">
      <c r="A50" s="16"/>
      <c r="B50" s="23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4"/>
      <c r="BI50" s="24"/>
      <c r="BJ50" s="24"/>
      <c r="BK50" s="20"/>
    </row>
    <row r="51" spans="1:63" s="21" customFormat="1" ht="15" customHeight="1" x14ac:dyDescent="0.25">
      <c r="A51" s="16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4"/>
      <c r="BI51" s="24"/>
      <c r="BJ51" s="24"/>
      <c r="BK51" s="20"/>
    </row>
    <row r="52" spans="1:63" s="21" customFormat="1" ht="15" customHeight="1" x14ac:dyDescent="0.25">
      <c r="A52" s="16"/>
      <c r="B52" s="17" t="s">
        <v>148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9"/>
      <c r="BI52" s="19"/>
      <c r="BJ52" s="19"/>
      <c r="BK52" s="20"/>
    </row>
    <row r="53" spans="1:63" s="21" customFormat="1" ht="15" customHeight="1" x14ac:dyDescent="0.25">
      <c r="A53" s="16"/>
      <c r="B53" s="22"/>
      <c r="C53" s="26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4"/>
      <c r="BI53" s="24"/>
      <c r="BJ53" s="24"/>
      <c r="BK53" s="20"/>
    </row>
    <row r="54" spans="1:63" s="21" customFormat="1" ht="15" customHeight="1" x14ac:dyDescent="0.25">
      <c r="A54" s="16"/>
      <c r="B54" s="22"/>
      <c r="C54" s="26" t="s">
        <v>149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4"/>
      <c r="BI54" s="24"/>
      <c r="BJ54" s="24"/>
      <c r="BK54" s="20"/>
    </row>
    <row r="55" spans="1:63" s="21" customFormat="1" ht="15" customHeight="1" x14ac:dyDescent="0.25">
      <c r="A55" s="16"/>
      <c r="B55" s="22"/>
      <c r="C55" s="26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4"/>
      <c r="BI55" s="24"/>
      <c r="BJ55" s="24"/>
      <c r="BK55" s="20"/>
    </row>
    <row r="56" spans="1:63" s="21" customFormat="1" ht="15" customHeight="1" x14ac:dyDescent="0.25">
      <c r="A56" s="16"/>
      <c r="B56" s="23"/>
      <c r="C56" s="236" t="s">
        <v>26</v>
      </c>
      <c r="D56" s="238"/>
      <c r="E56" s="273" t="s">
        <v>150</v>
      </c>
      <c r="F56" s="237"/>
      <c r="G56" s="237"/>
      <c r="H56" s="237"/>
      <c r="I56" s="237"/>
      <c r="J56" s="237"/>
      <c r="K56" s="238"/>
      <c r="L56" s="236" t="s">
        <v>40</v>
      </c>
      <c r="M56" s="237"/>
      <c r="N56" s="237"/>
      <c r="O56" s="237"/>
      <c r="P56" s="237"/>
      <c r="Q56" s="237"/>
      <c r="R56" s="238"/>
      <c r="S56" s="282" t="s">
        <v>127</v>
      </c>
      <c r="T56" s="283"/>
      <c r="U56" s="283"/>
      <c r="V56" s="283"/>
      <c r="W56" s="283"/>
      <c r="X56" s="283"/>
      <c r="Y56" s="283"/>
      <c r="Z56" s="283"/>
      <c r="AA56" s="283"/>
      <c r="AB56" s="284"/>
      <c r="AC56" s="236" t="s">
        <v>38</v>
      </c>
      <c r="AD56" s="237"/>
      <c r="AE56" s="237"/>
      <c r="AF56" s="237"/>
      <c r="AG56" s="237"/>
      <c r="AH56" s="237"/>
      <c r="AI56" s="237"/>
      <c r="AJ56" s="237"/>
      <c r="AK56" s="237"/>
      <c r="AL56" s="237"/>
      <c r="AM56" s="237"/>
      <c r="AN56" s="237"/>
      <c r="AO56" s="237"/>
      <c r="AP56" s="237"/>
      <c r="AQ56" s="237"/>
      <c r="AR56" s="237"/>
      <c r="AS56" s="237"/>
      <c r="AT56" s="237"/>
      <c r="AU56" s="238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4"/>
      <c r="BI56" s="24"/>
      <c r="BJ56" s="24"/>
      <c r="BK56" s="20"/>
    </row>
    <row r="57" spans="1:63" s="21" customFormat="1" ht="15" customHeight="1" x14ac:dyDescent="0.25">
      <c r="A57" s="16"/>
      <c r="B57" s="23"/>
      <c r="C57" s="239">
        <v>1</v>
      </c>
      <c r="D57" s="241"/>
      <c r="E57" s="239" t="s">
        <v>79</v>
      </c>
      <c r="F57" s="240"/>
      <c r="G57" s="240"/>
      <c r="H57" s="240"/>
      <c r="I57" s="240"/>
      <c r="J57" s="240"/>
      <c r="K57" s="241"/>
      <c r="L57" s="239" t="s">
        <v>80</v>
      </c>
      <c r="M57" s="240"/>
      <c r="N57" s="240"/>
      <c r="O57" s="240"/>
      <c r="P57" s="240"/>
      <c r="Q57" s="240"/>
      <c r="R57" s="241"/>
      <c r="S57" s="360" t="s">
        <v>81</v>
      </c>
      <c r="T57" s="286"/>
      <c r="U57" s="286"/>
      <c r="V57" s="286"/>
      <c r="W57" s="286"/>
      <c r="X57" s="286"/>
      <c r="Y57" s="286"/>
      <c r="Z57" s="286"/>
      <c r="AA57" s="286"/>
      <c r="AB57" s="287"/>
      <c r="AC57" s="239" t="s">
        <v>82</v>
      </c>
      <c r="AD57" s="240"/>
      <c r="AE57" s="240"/>
      <c r="AF57" s="240"/>
      <c r="AG57" s="240"/>
      <c r="AH57" s="240"/>
      <c r="AI57" s="240"/>
      <c r="AJ57" s="240"/>
      <c r="AK57" s="240"/>
      <c r="AL57" s="240"/>
      <c r="AM57" s="240"/>
      <c r="AN57" s="240"/>
      <c r="AO57" s="240"/>
      <c r="AP57" s="240"/>
      <c r="AQ57" s="240"/>
      <c r="AR57" s="240"/>
      <c r="AS57" s="240"/>
      <c r="AT57" s="240"/>
      <c r="AU57" s="241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4"/>
      <c r="BI57" s="24"/>
      <c r="BJ57" s="24"/>
      <c r="BK57" s="20"/>
    </row>
    <row r="58" spans="1:63" s="21" customFormat="1" ht="15" customHeight="1" x14ac:dyDescent="0.25">
      <c r="A58" s="16"/>
      <c r="B58" s="23"/>
      <c r="C58" s="239">
        <f>C57+1</f>
        <v>2</v>
      </c>
      <c r="D58" s="241"/>
      <c r="E58" s="239" t="s">
        <v>67</v>
      </c>
      <c r="F58" s="240"/>
      <c r="G58" s="240"/>
      <c r="H58" s="240"/>
      <c r="I58" s="240"/>
      <c r="J58" s="240"/>
      <c r="K58" s="241"/>
      <c r="L58" s="239" t="s">
        <v>51</v>
      </c>
      <c r="M58" s="240"/>
      <c r="N58" s="240"/>
      <c r="O58" s="240"/>
      <c r="P58" s="240"/>
      <c r="Q58" s="240"/>
      <c r="R58" s="241"/>
      <c r="S58" s="285" t="s">
        <v>64</v>
      </c>
      <c r="T58" s="286"/>
      <c r="U58" s="286"/>
      <c r="V58" s="286"/>
      <c r="W58" s="286"/>
      <c r="X58" s="286"/>
      <c r="Y58" s="286"/>
      <c r="Z58" s="286"/>
      <c r="AA58" s="286"/>
      <c r="AB58" s="287"/>
      <c r="AC58" s="357" t="s">
        <v>18</v>
      </c>
      <c r="AD58" s="358"/>
      <c r="AE58" s="358"/>
      <c r="AF58" s="358"/>
      <c r="AG58" s="358"/>
      <c r="AH58" s="358"/>
      <c r="AI58" s="358"/>
      <c r="AJ58" s="358"/>
      <c r="AK58" s="358"/>
      <c r="AL58" s="358"/>
      <c r="AM58" s="358"/>
      <c r="AN58" s="358"/>
      <c r="AO58" s="358"/>
      <c r="AP58" s="358"/>
      <c r="AQ58" s="358"/>
      <c r="AR58" s="358"/>
      <c r="AS58" s="358"/>
      <c r="AT58" s="358"/>
      <c r="AU58" s="359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4"/>
      <c r="BI58" s="24"/>
      <c r="BJ58" s="24"/>
      <c r="BK58" s="20"/>
    </row>
    <row r="59" spans="1:63" s="21" customFormat="1" ht="30.75" customHeight="1" x14ac:dyDescent="0.25">
      <c r="A59" s="16"/>
      <c r="B59" s="23"/>
      <c r="C59" s="239">
        <f t="shared" ref="C59:C66" si="0">C58+1</f>
        <v>3</v>
      </c>
      <c r="D59" s="241"/>
      <c r="E59" s="239" t="s">
        <v>78</v>
      </c>
      <c r="F59" s="240"/>
      <c r="G59" s="240"/>
      <c r="H59" s="240"/>
      <c r="I59" s="240"/>
      <c r="J59" s="240"/>
      <c r="K59" s="241"/>
      <c r="L59" s="239" t="s">
        <v>46</v>
      </c>
      <c r="M59" s="240"/>
      <c r="N59" s="240"/>
      <c r="O59" s="240"/>
      <c r="P59" s="240"/>
      <c r="Q59" s="240"/>
      <c r="R59" s="241"/>
      <c r="S59" s="285" t="s">
        <v>56</v>
      </c>
      <c r="T59" s="286"/>
      <c r="U59" s="286"/>
      <c r="V59" s="286"/>
      <c r="W59" s="286"/>
      <c r="X59" s="286"/>
      <c r="Y59" s="286"/>
      <c r="Z59" s="286"/>
      <c r="AA59" s="286"/>
      <c r="AB59" s="287"/>
      <c r="AC59" s="245" t="s">
        <v>190</v>
      </c>
      <c r="AD59" s="246"/>
      <c r="AE59" s="246"/>
      <c r="AF59" s="246"/>
      <c r="AG59" s="246"/>
      <c r="AH59" s="246"/>
      <c r="AI59" s="246"/>
      <c r="AJ59" s="246"/>
      <c r="AK59" s="246"/>
      <c r="AL59" s="246"/>
      <c r="AM59" s="246"/>
      <c r="AN59" s="246"/>
      <c r="AO59" s="246"/>
      <c r="AP59" s="246"/>
      <c r="AQ59" s="246"/>
      <c r="AR59" s="246"/>
      <c r="AS59" s="246"/>
      <c r="AT59" s="246"/>
      <c r="AU59" s="247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4"/>
      <c r="BI59" s="24"/>
      <c r="BJ59" s="24"/>
      <c r="BK59" s="20"/>
    </row>
    <row r="60" spans="1:63" s="79" customFormat="1" ht="30.75" customHeight="1" x14ac:dyDescent="0.25">
      <c r="A60" s="78"/>
      <c r="B60" s="77"/>
      <c r="C60" s="242">
        <f t="shared" si="0"/>
        <v>4</v>
      </c>
      <c r="D60" s="243"/>
      <c r="E60" s="252" t="s">
        <v>87</v>
      </c>
      <c r="F60" s="253"/>
      <c r="G60" s="253"/>
      <c r="H60" s="253"/>
      <c r="I60" s="253"/>
      <c r="J60" s="253"/>
      <c r="K60" s="254"/>
      <c r="L60" s="242" t="s">
        <v>98</v>
      </c>
      <c r="M60" s="244"/>
      <c r="N60" s="244"/>
      <c r="O60" s="244"/>
      <c r="P60" s="244"/>
      <c r="Q60" s="244"/>
      <c r="R60" s="243"/>
      <c r="S60" s="230" t="s">
        <v>151</v>
      </c>
      <c r="T60" s="231"/>
      <c r="U60" s="231"/>
      <c r="V60" s="231"/>
      <c r="W60" s="231"/>
      <c r="X60" s="231"/>
      <c r="Y60" s="231"/>
      <c r="Z60" s="231"/>
      <c r="AA60" s="231"/>
      <c r="AB60" s="232"/>
      <c r="AC60" s="233" t="s">
        <v>18</v>
      </c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34"/>
      <c r="AO60" s="234"/>
      <c r="AP60" s="234"/>
      <c r="AQ60" s="234"/>
      <c r="AR60" s="234"/>
      <c r="AS60" s="234"/>
      <c r="AT60" s="234"/>
      <c r="AU60" s="235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5"/>
      <c r="BI60" s="75"/>
      <c r="BJ60" s="75"/>
      <c r="BK60" s="74"/>
    </row>
    <row r="61" spans="1:63" s="21" customFormat="1" ht="15" customHeight="1" x14ac:dyDescent="0.25">
      <c r="A61" s="16"/>
      <c r="B61" s="23"/>
      <c r="C61" s="239">
        <f t="shared" si="0"/>
        <v>5</v>
      </c>
      <c r="D61" s="241"/>
      <c r="E61" s="252" t="s">
        <v>45</v>
      </c>
      <c r="F61" s="253"/>
      <c r="G61" s="253"/>
      <c r="H61" s="253"/>
      <c r="I61" s="253"/>
      <c r="J61" s="253"/>
      <c r="K61" s="254"/>
      <c r="L61" s="242" t="s">
        <v>99</v>
      </c>
      <c r="M61" s="244"/>
      <c r="N61" s="244"/>
      <c r="O61" s="244"/>
      <c r="P61" s="244"/>
      <c r="Q61" s="244"/>
      <c r="R61" s="243"/>
      <c r="S61" s="230" t="s">
        <v>152</v>
      </c>
      <c r="T61" s="231"/>
      <c r="U61" s="231"/>
      <c r="V61" s="231"/>
      <c r="W61" s="231"/>
      <c r="X61" s="231"/>
      <c r="Y61" s="231"/>
      <c r="Z61" s="231"/>
      <c r="AA61" s="231"/>
      <c r="AB61" s="232"/>
      <c r="AC61" s="233" t="s">
        <v>18</v>
      </c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/>
      <c r="AP61" s="234"/>
      <c r="AQ61" s="234"/>
      <c r="AR61" s="234"/>
      <c r="AS61" s="234"/>
      <c r="AT61" s="234"/>
      <c r="AU61" s="235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4"/>
      <c r="BI61" s="24"/>
      <c r="BJ61" s="24"/>
      <c r="BK61" s="20"/>
    </row>
    <row r="62" spans="1:63" s="21" customFormat="1" ht="29.25" customHeight="1" x14ac:dyDescent="0.25">
      <c r="A62" s="16"/>
      <c r="B62" s="23"/>
      <c r="C62" s="239">
        <f t="shared" si="0"/>
        <v>6</v>
      </c>
      <c r="D62" s="241"/>
      <c r="E62" s="252" t="s">
        <v>72</v>
      </c>
      <c r="F62" s="253"/>
      <c r="G62" s="253"/>
      <c r="H62" s="253"/>
      <c r="I62" s="253"/>
      <c r="J62" s="253"/>
      <c r="K62" s="254"/>
      <c r="L62" s="242" t="s">
        <v>99</v>
      </c>
      <c r="M62" s="244"/>
      <c r="N62" s="244"/>
      <c r="O62" s="244"/>
      <c r="P62" s="244"/>
      <c r="Q62" s="244"/>
      <c r="R62" s="243"/>
      <c r="S62" s="230" t="s">
        <v>153</v>
      </c>
      <c r="T62" s="231"/>
      <c r="U62" s="231"/>
      <c r="V62" s="231"/>
      <c r="W62" s="231"/>
      <c r="X62" s="231"/>
      <c r="Y62" s="231"/>
      <c r="Z62" s="231"/>
      <c r="AA62" s="231"/>
      <c r="AB62" s="232"/>
      <c r="AC62" s="233" t="s">
        <v>18</v>
      </c>
      <c r="AD62" s="234"/>
      <c r="AE62" s="234"/>
      <c r="AF62" s="234"/>
      <c r="AG62" s="234"/>
      <c r="AH62" s="234"/>
      <c r="AI62" s="234"/>
      <c r="AJ62" s="234"/>
      <c r="AK62" s="234"/>
      <c r="AL62" s="234"/>
      <c r="AM62" s="234"/>
      <c r="AN62" s="234"/>
      <c r="AO62" s="234"/>
      <c r="AP62" s="234"/>
      <c r="AQ62" s="234"/>
      <c r="AR62" s="234"/>
      <c r="AS62" s="234"/>
      <c r="AT62" s="234"/>
      <c r="AU62" s="235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4"/>
      <c r="BI62" s="24"/>
      <c r="BJ62" s="24"/>
      <c r="BK62" s="20"/>
    </row>
    <row r="63" spans="1:63" s="21" customFormat="1" ht="15" customHeight="1" x14ac:dyDescent="0.25">
      <c r="A63" s="16"/>
      <c r="B63" s="23"/>
      <c r="C63" s="239">
        <f t="shared" si="0"/>
        <v>7</v>
      </c>
      <c r="D63" s="241"/>
      <c r="E63" s="252" t="s">
        <v>50</v>
      </c>
      <c r="F63" s="253"/>
      <c r="G63" s="253"/>
      <c r="H63" s="253"/>
      <c r="I63" s="253"/>
      <c r="J63" s="253"/>
      <c r="K63" s="254"/>
      <c r="L63" s="242" t="s">
        <v>99</v>
      </c>
      <c r="M63" s="244"/>
      <c r="N63" s="244"/>
      <c r="O63" s="244"/>
      <c r="P63" s="244"/>
      <c r="Q63" s="244"/>
      <c r="R63" s="243"/>
      <c r="S63" s="230" t="s">
        <v>154</v>
      </c>
      <c r="T63" s="231"/>
      <c r="U63" s="231"/>
      <c r="V63" s="231"/>
      <c r="W63" s="231"/>
      <c r="X63" s="231"/>
      <c r="Y63" s="231"/>
      <c r="Z63" s="231"/>
      <c r="AA63" s="231"/>
      <c r="AB63" s="232"/>
      <c r="AC63" s="242"/>
      <c r="AD63" s="244"/>
      <c r="AE63" s="244"/>
      <c r="AF63" s="244"/>
      <c r="AG63" s="244"/>
      <c r="AH63" s="244"/>
      <c r="AI63" s="244"/>
      <c r="AJ63" s="244"/>
      <c r="AK63" s="244"/>
      <c r="AL63" s="244"/>
      <c r="AM63" s="244"/>
      <c r="AN63" s="244"/>
      <c r="AO63" s="244"/>
      <c r="AP63" s="244"/>
      <c r="AQ63" s="244"/>
      <c r="AR63" s="244"/>
      <c r="AS63" s="244"/>
      <c r="AT63" s="244"/>
      <c r="AU63" s="24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4"/>
      <c r="BI63" s="24"/>
      <c r="BJ63" s="24"/>
      <c r="BK63" s="20"/>
    </row>
    <row r="64" spans="1:63" s="21" customFormat="1" ht="29.25" customHeight="1" x14ac:dyDescent="0.25">
      <c r="A64" s="16"/>
      <c r="B64" s="23"/>
      <c r="C64" s="239">
        <f t="shared" si="0"/>
        <v>8</v>
      </c>
      <c r="D64" s="241"/>
      <c r="E64" s="252" t="s">
        <v>57</v>
      </c>
      <c r="F64" s="253"/>
      <c r="G64" s="253"/>
      <c r="H64" s="253"/>
      <c r="I64" s="253"/>
      <c r="J64" s="253"/>
      <c r="K64" s="254"/>
      <c r="L64" s="242" t="s">
        <v>83</v>
      </c>
      <c r="M64" s="244"/>
      <c r="N64" s="244"/>
      <c r="O64" s="244"/>
      <c r="P64" s="244"/>
      <c r="Q64" s="244"/>
      <c r="R64" s="243"/>
      <c r="S64" s="255" t="s">
        <v>155</v>
      </c>
      <c r="T64" s="256"/>
      <c r="U64" s="256"/>
      <c r="V64" s="256"/>
      <c r="W64" s="256"/>
      <c r="X64" s="256"/>
      <c r="Y64" s="256"/>
      <c r="Z64" s="256"/>
      <c r="AA64" s="256"/>
      <c r="AB64" s="257"/>
      <c r="AC64" s="258" t="s">
        <v>65</v>
      </c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60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4"/>
      <c r="BI64" s="24"/>
      <c r="BJ64" s="24"/>
      <c r="BK64" s="20"/>
    </row>
    <row r="65" spans="1:63" s="21" customFormat="1" ht="15" customHeight="1" x14ac:dyDescent="0.25">
      <c r="A65" s="16"/>
      <c r="B65" s="23"/>
      <c r="C65" s="239">
        <f t="shared" si="0"/>
        <v>9</v>
      </c>
      <c r="D65" s="241"/>
      <c r="E65" s="252" t="s">
        <v>59</v>
      </c>
      <c r="F65" s="253"/>
      <c r="G65" s="253"/>
      <c r="H65" s="253"/>
      <c r="I65" s="253"/>
      <c r="J65" s="253"/>
      <c r="K65" s="254"/>
      <c r="L65" s="242" t="s">
        <v>98</v>
      </c>
      <c r="M65" s="244"/>
      <c r="N65" s="244"/>
      <c r="O65" s="244"/>
      <c r="P65" s="244"/>
      <c r="Q65" s="244"/>
      <c r="R65" s="243"/>
      <c r="S65" s="230" t="s">
        <v>156</v>
      </c>
      <c r="T65" s="231"/>
      <c r="U65" s="231"/>
      <c r="V65" s="231"/>
      <c r="W65" s="231"/>
      <c r="X65" s="231"/>
      <c r="Y65" s="231"/>
      <c r="Z65" s="231"/>
      <c r="AA65" s="231"/>
      <c r="AB65" s="232"/>
      <c r="AC65" s="233" t="s">
        <v>18</v>
      </c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4"/>
      <c r="AS65" s="234"/>
      <c r="AT65" s="234"/>
      <c r="AU65" s="235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4"/>
      <c r="BI65" s="24"/>
      <c r="BJ65" s="24"/>
      <c r="BK65" s="20"/>
    </row>
    <row r="66" spans="1:63" s="21" customFormat="1" ht="15" customHeight="1" x14ac:dyDescent="0.25">
      <c r="A66" s="16"/>
      <c r="B66" s="23"/>
      <c r="C66" s="261">
        <f t="shared" si="0"/>
        <v>10</v>
      </c>
      <c r="D66" s="263"/>
      <c r="E66" s="279" t="s">
        <v>157</v>
      </c>
      <c r="F66" s="280"/>
      <c r="G66" s="280"/>
      <c r="H66" s="280"/>
      <c r="I66" s="280"/>
      <c r="J66" s="280"/>
      <c r="K66" s="281"/>
      <c r="L66" s="261" t="s">
        <v>158</v>
      </c>
      <c r="M66" s="262"/>
      <c r="N66" s="262"/>
      <c r="O66" s="262"/>
      <c r="P66" s="262"/>
      <c r="Q66" s="262"/>
      <c r="R66" s="263"/>
      <c r="S66" s="288" t="s">
        <v>159</v>
      </c>
      <c r="T66" s="289"/>
      <c r="U66" s="289"/>
      <c r="V66" s="289"/>
      <c r="W66" s="289"/>
      <c r="X66" s="289"/>
      <c r="Y66" s="289"/>
      <c r="Z66" s="289"/>
      <c r="AA66" s="289"/>
      <c r="AB66" s="290"/>
      <c r="AC66" s="276" t="s">
        <v>18</v>
      </c>
      <c r="AD66" s="277"/>
      <c r="AE66" s="277"/>
      <c r="AF66" s="277"/>
      <c r="AG66" s="277"/>
      <c r="AH66" s="277"/>
      <c r="AI66" s="277"/>
      <c r="AJ66" s="277"/>
      <c r="AK66" s="277"/>
      <c r="AL66" s="277"/>
      <c r="AM66" s="277"/>
      <c r="AN66" s="277"/>
      <c r="AO66" s="277"/>
      <c r="AP66" s="277"/>
      <c r="AQ66" s="277"/>
      <c r="AR66" s="277"/>
      <c r="AS66" s="277"/>
      <c r="AT66" s="277"/>
      <c r="AU66" s="278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4"/>
      <c r="BI66" s="24"/>
      <c r="BJ66" s="24"/>
      <c r="BK66" s="20"/>
    </row>
    <row r="67" spans="1:63" s="21" customFormat="1" ht="15" customHeight="1" x14ac:dyDescent="0.25">
      <c r="A67" s="16"/>
      <c r="B67" s="23"/>
      <c r="C67" s="239">
        <v>10</v>
      </c>
      <c r="D67" s="241"/>
      <c r="E67" s="252" t="s">
        <v>58</v>
      </c>
      <c r="F67" s="253"/>
      <c r="G67" s="253"/>
      <c r="H67" s="253"/>
      <c r="I67" s="253"/>
      <c r="J67" s="253"/>
      <c r="K67" s="254"/>
      <c r="L67" s="242" t="s">
        <v>99</v>
      </c>
      <c r="M67" s="244"/>
      <c r="N67" s="244"/>
      <c r="O67" s="244"/>
      <c r="P67" s="244"/>
      <c r="Q67" s="244"/>
      <c r="R67" s="243"/>
      <c r="S67" s="230" t="s">
        <v>160</v>
      </c>
      <c r="T67" s="231"/>
      <c r="U67" s="231"/>
      <c r="V67" s="231"/>
      <c r="W67" s="231"/>
      <c r="X67" s="231"/>
      <c r="Y67" s="231"/>
      <c r="Z67" s="231"/>
      <c r="AA67" s="231"/>
      <c r="AB67" s="232"/>
      <c r="AC67" s="233" t="s">
        <v>18</v>
      </c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5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4"/>
      <c r="BI67" s="24"/>
      <c r="BJ67" s="24"/>
      <c r="BK67" s="20"/>
    </row>
    <row r="68" spans="1:63" s="21" customFormat="1" ht="15" customHeight="1" x14ac:dyDescent="0.25">
      <c r="A68" s="16"/>
      <c r="B68" s="23"/>
      <c r="C68" s="267">
        <v>11</v>
      </c>
      <c r="D68" s="269"/>
      <c r="E68" s="264" t="s">
        <v>161</v>
      </c>
      <c r="F68" s="265"/>
      <c r="G68" s="265"/>
      <c r="H68" s="265"/>
      <c r="I68" s="265"/>
      <c r="J68" s="265"/>
      <c r="K68" s="266"/>
      <c r="L68" s="267" t="s">
        <v>162</v>
      </c>
      <c r="M68" s="268"/>
      <c r="N68" s="268"/>
      <c r="O68" s="268"/>
      <c r="P68" s="268"/>
      <c r="Q68" s="268"/>
      <c r="R68" s="269"/>
      <c r="S68" s="230" t="s">
        <v>163</v>
      </c>
      <c r="T68" s="231"/>
      <c r="U68" s="231"/>
      <c r="V68" s="231"/>
      <c r="W68" s="231"/>
      <c r="X68" s="231"/>
      <c r="Y68" s="231"/>
      <c r="Z68" s="231"/>
      <c r="AA68" s="231"/>
      <c r="AB68" s="232"/>
      <c r="AC68" s="270" t="s">
        <v>18</v>
      </c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271"/>
      <c r="AO68" s="271"/>
      <c r="AP68" s="271"/>
      <c r="AQ68" s="271"/>
      <c r="AR68" s="271"/>
      <c r="AS68" s="271"/>
      <c r="AT68" s="271"/>
      <c r="AU68" s="272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4"/>
      <c r="BI68" s="24"/>
      <c r="BJ68" s="24"/>
      <c r="BK68" s="20"/>
    </row>
    <row r="69" spans="1:63" s="21" customFormat="1" ht="15" customHeight="1" x14ac:dyDescent="0.25">
      <c r="A69" s="16"/>
      <c r="B69" s="23"/>
      <c r="C69" s="267">
        <v>12</v>
      </c>
      <c r="D69" s="269"/>
      <c r="E69" s="264" t="s">
        <v>164</v>
      </c>
      <c r="F69" s="265"/>
      <c r="G69" s="265"/>
      <c r="H69" s="265"/>
      <c r="I69" s="265"/>
      <c r="J69" s="265"/>
      <c r="K69" s="266"/>
      <c r="L69" s="267" t="s">
        <v>146</v>
      </c>
      <c r="M69" s="268"/>
      <c r="N69" s="268"/>
      <c r="O69" s="268"/>
      <c r="P69" s="268"/>
      <c r="Q69" s="268"/>
      <c r="R69" s="269"/>
      <c r="S69" s="230" t="s">
        <v>165</v>
      </c>
      <c r="T69" s="231"/>
      <c r="U69" s="231"/>
      <c r="V69" s="231"/>
      <c r="W69" s="231"/>
      <c r="X69" s="231"/>
      <c r="Y69" s="231"/>
      <c r="Z69" s="231"/>
      <c r="AA69" s="231"/>
      <c r="AB69" s="232"/>
      <c r="AC69" s="270" t="s">
        <v>18</v>
      </c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271"/>
      <c r="AO69" s="271"/>
      <c r="AP69" s="271"/>
      <c r="AQ69" s="271"/>
      <c r="AR69" s="271"/>
      <c r="AS69" s="271"/>
      <c r="AT69" s="271"/>
      <c r="AU69" s="272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4"/>
      <c r="BI69" s="24"/>
      <c r="BJ69" s="24"/>
      <c r="BK69" s="20"/>
    </row>
    <row r="70" spans="1:63" s="21" customFormat="1" ht="15" customHeight="1" x14ac:dyDescent="0.25">
      <c r="A70" s="16"/>
      <c r="B70" s="23"/>
      <c r="C70" s="267">
        <v>12</v>
      </c>
      <c r="D70" s="269"/>
      <c r="E70" s="264" t="s">
        <v>166</v>
      </c>
      <c r="F70" s="265"/>
      <c r="G70" s="265"/>
      <c r="H70" s="265"/>
      <c r="I70" s="265"/>
      <c r="J70" s="265"/>
      <c r="K70" s="266"/>
      <c r="L70" s="267" t="s">
        <v>146</v>
      </c>
      <c r="M70" s="268"/>
      <c r="N70" s="268"/>
      <c r="O70" s="268"/>
      <c r="P70" s="268"/>
      <c r="Q70" s="268"/>
      <c r="R70" s="269"/>
      <c r="S70" s="230" t="s">
        <v>167</v>
      </c>
      <c r="T70" s="231"/>
      <c r="U70" s="231"/>
      <c r="V70" s="231"/>
      <c r="W70" s="231"/>
      <c r="X70" s="231"/>
      <c r="Y70" s="231"/>
      <c r="Z70" s="231"/>
      <c r="AA70" s="231"/>
      <c r="AB70" s="232"/>
      <c r="AC70" s="270" t="s">
        <v>18</v>
      </c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1"/>
      <c r="AR70" s="271"/>
      <c r="AS70" s="271"/>
      <c r="AT70" s="271"/>
      <c r="AU70" s="272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4"/>
      <c r="BI70" s="24"/>
      <c r="BJ70" s="24"/>
      <c r="BK70" s="20"/>
    </row>
    <row r="71" spans="1:63" s="21" customFormat="1" ht="15" customHeight="1" x14ac:dyDescent="0.25">
      <c r="A71" s="16"/>
      <c r="B71" s="23"/>
      <c r="C71" s="23"/>
      <c r="D71" s="23"/>
      <c r="E71" s="77"/>
      <c r="F71" s="77"/>
      <c r="G71" s="77"/>
      <c r="H71" s="77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77"/>
      <c r="T71" s="77"/>
      <c r="U71" s="77"/>
      <c r="V71" s="77"/>
      <c r="W71" s="77"/>
      <c r="X71" s="77"/>
      <c r="Y71" s="77"/>
      <c r="Z71" s="77"/>
      <c r="AA71" s="77"/>
      <c r="AB71" s="23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4"/>
      <c r="BI71" s="24"/>
      <c r="BJ71" s="24"/>
      <c r="BK71" s="20"/>
    </row>
    <row r="72" spans="1:63" s="21" customFormat="1" ht="15" customHeight="1" x14ac:dyDescent="0.25">
      <c r="A72" s="16"/>
      <c r="B72" s="23"/>
      <c r="C72" s="26" t="s">
        <v>168</v>
      </c>
      <c r="D72" s="23"/>
      <c r="E72" s="77"/>
      <c r="F72" s="23"/>
      <c r="G72" s="77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4"/>
      <c r="BI72" s="24"/>
      <c r="BJ72" s="24"/>
      <c r="BK72" s="20"/>
    </row>
    <row r="73" spans="1:63" s="21" customFormat="1" ht="15" customHeight="1" x14ac:dyDescent="0.25">
      <c r="A73" s="16"/>
      <c r="B73" s="23"/>
      <c r="C73" s="26"/>
      <c r="D73" s="77"/>
      <c r="E73" s="77"/>
      <c r="F73" s="23"/>
      <c r="G73" s="77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4"/>
      <c r="BI73" s="24"/>
      <c r="BJ73" s="24"/>
      <c r="BK73" s="20"/>
    </row>
    <row r="74" spans="1:63" s="21" customFormat="1" ht="15" customHeight="1" x14ac:dyDescent="0.25">
      <c r="A74" s="16"/>
      <c r="B74" s="23"/>
      <c r="C74" s="43"/>
      <c r="D74" s="33" t="s">
        <v>47</v>
      </c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27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4"/>
      <c r="BI74" s="24"/>
      <c r="BJ74" s="24"/>
      <c r="BK74" s="20"/>
    </row>
    <row r="75" spans="1:63" s="21" customFormat="1" ht="15" customHeight="1" x14ac:dyDescent="0.25">
      <c r="A75" s="16"/>
      <c r="B75" s="23"/>
      <c r="C75" s="16"/>
      <c r="D75" s="23"/>
      <c r="E75" s="77" t="s">
        <v>169</v>
      </c>
      <c r="F75" s="77"/>
      <c r="G75" s="77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8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4"/>
      <c r="BI75" s="24"/>
      <c r="BJ75" s="24"/>
      <c r="BK75" s="20"/>
    </row>
    <row r="76" spans="1:63" s="21" customFormat="1" ht="15" customHeight="1" x14ac:dyDescent="0.25">
      <c r="A76" s="16"/>
      <c r="B76" s="23"/>
      <c r="C76" s="16"/>
      <c r="D76" s="23"/>
      <c r="E76" s="77" t="s">
        <v>170</v>
      </c>
      <c r="F76" s="77"/>
      <c r="G76" s="77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8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4"/>
      <c r="BI76" s="24"/>
      <c r="BJ76" s="24"/>
      <c r="BK76" s="20"/>
    </row>
    <row r="77" spans="1:63" s="21" customFormat="1" ht="15" customHeight="1" x14ac:dyDescent="0.25">
      <c r="A77" s="16"/>
      <c r="B77" s="23"/>
      <c r="C77" s="16"/>
      <c r="D77" s="23"/>
      <c r="E77" s="77" t="s">
        <v>86</v>
      </c>
      <c r="F77" s="77"/>
      <c r="G77" s="7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8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4"/>
      <c r="BI77" s="24"/>
      <c r="BJ77" s="24"/>
      <c r="BK77" s="20"/>
    </row>
    <row r="78" spans="1:63" s="21" customFormat="1" ht="15" customHeight="1" x14ac:dyDescent="0.25">
      <c r="A78" s="16"/>
      <c r="B78" s="23"/>
      <c r="C78" s="16"/>
      <c r="D78" s="23"/>
      <c r="E78" s="23"/>
      <c r="F78" s="23"/>
      <c r="G78" s="23"/>
      <c r="H78" s="23" t="s">
        <v>47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8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4"/>
      <c r="BI78" s="24"/>
      <c r="BJ78" s="24"/>
      <c r="BK78" s="20"/>
    </row>
    <row r="79" spans="1:63" s="79" customFormat="1" ht="15" customHeight="1" x14ac:dyDescent="0.25">
      <c r="A79" s="78"/>
      <c r="B79" s="77"/>
      <c r="C79" s="78"/>
      <c r="D79" s="77"/>
      <c r="E79" s="77"/>
      <c r="F79" s="77"/>
      <c r="G79" s="77"/>
      <c r="H79" s="77"/>
      <c r="I79" s="77" t="s">
        <v>171</v>
      </c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80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5"/>
      <c r="BI79" s="75"/>
      <c r="BJ79" s="75"/>
      <c r="BK79" s="74"/>
    </row>
    <row r="80" spans="1:63" s="79" customFormat="1" ht="15" customHeight="1" x14ac:dyDescent="0.25">
      <c r="A80" s="78"/>
      <c r="B80" s="77"/>
      <c r="C80" s="78"/>
      <c r="D80" s="77"/>
      <c r="E80" s="77"/>
      <c r="F80" s="77"/>
      <c r="G80" s="77"/>
      <c r="H80" s="77"/>
      <c r="I80" s="77" t="s">
        <v>172</v>
      </c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80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5"/>
      <c r="BI80" s="75"/>
      <c r="BJ80" s="75"/>
      <c r="BK80" s="74"/>
    </row>
    <row r="81" spans="1:63" s="79" customFormat="1" ht="15" customHeight="1" x14ac:dyDescent="0.25">
      <c r="A81" s="78"/>
      <c r="B81" s="77"/>
      <c r="C81" s="78"/>
      <c r="D81" s="77"/>
      <c r="E81" s="77"/>
      <c r="F81" s="77"/>
      <c r="G81" s="77"/>
      <c r="H81" s="77"/>
      <c r="I81" s="77" t="s">
        <v>73</v>
      </c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80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5"/>
      <c r="BI81" s="75"/>
      <c r="BJ81" s="75"/>
      <c r="BK81" s="74"/>
    </row>
    <row r="82" spans="1:63" s="79" customFormat="1" ht="15" customHeight="1" x14ac:dyDescent="0.25">
      <c r="A82" s="78"/>
      <c r="B82" s="77"/>
      <c r="C82" s="78"/>
      <c r="D82" s="77"/>
      <c r="E82" s="77"/>
      <c r="F82" s="77"/>
      <c r="G82" s="77"/>
      <c r="H82" s="77"/>
      <c r="I82" s="77" t="s">
        <v>173</v>
      </c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80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5"/>
      <c r="BI82" s="75"/>
      <c r="BJ82" s="75"/>
      <c r="BK82" s="74"/>
    </row>
    <row r="83" spans="1:63" s="79" customFormat="1" ht="15" customHeight="1" x14ac:dyDescent="0.25">
      <c r="A83" s="78"/>
      <c r="B83" s="77"/>
      <c r="C83" s="78"/>
      <c r="D83" s="77"/>
      <c r="E83" s="77"/>
      <c r="F83" s="77"/>
      <c r="G83" s="77"/>
      <c r="H83" s="77"/>
      <c r="I83" s="77" t="s">
        <v>174</v>
      </c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80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5"/>
      <c r="BI83" s="75"/>
      <c r="BJ83" s="75"/>
      <c r="BK83" s="74"/>
    </row>
    <row r="84" spans="1:63" s="79" customFormat="1" ht="15" customHeight="1" x14ac:dyDescent="0.25">
      <c r="A84" s="78"/>
      <c r="B84" s="77"/>
      <c r="C84" s="78"/>
      <c r="D84" s="77"/>
      <c r="E84" s="77"/>
      <c r="F84" s="77"/>
      <c r="G84" s="77"/>
      <c r="H84" s="77"/>
      <c r="I84" s="77" t="s">
        <v>175</v>
      </c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80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5"/>
      <c r="BI84" s="75"/>
      <c r="BJ84" s="75"/>
      <c r="BK84" s="74"/>
    </row>
    <row r="85" spans="1:63" s="89" customFormat="1" ht="15" customHeight="1" x14ac:dyDescent="0.25">
      <c r="A85" s="84"/>
      <c r="B85" s="83"/>
      <c r="C85" s="84"/>
      <c r="D85" s="83"/>
      <c r="E85" s="83"/>
      <c r="F85" s="83"/>
      <c r="G85" s="83"/>
      <c r="H85" s="83"/>
      <c r="I85" s="85" t="s">
        <v>176</v>
      </c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6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7"/>
      <c r="BI85" s="87"/>
      <c r="BJ85" s="87"/>
      <c r="BK85" s="88"/>
    </row>
    <row r="86" spans="1:63" s="79" customFormat="1" ht="15" customHeight="1" x14ac:dyDescent="0.25">
      <c r="A86" s="78"/>
      <c r="B86" s="77"/>
      <c r="C86" s="78"/>
      <c r="D86" s="77"/>
      <c r="E86" s="77"/>
      <c r="F86" s="82"/>
      <c r="G86" s="82"/>
      <c r="H86" s="82"/>
      <c r="I86" s="251" t="s">
        <v>66</v>
      </c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51"/>
      <c r="AC86" s="251"/>
      <c r="AD86" s="251"/>
      <c r="AE86" s="251"/>
      <c r="AF86" s="251"/>
      <c r="AG86" s="251"/>
      <c r="AH86" s="251"/>
      <c r="AI86" s="251"/>
      <c r="AJ86" s="251"/>
      <c r="AK86" s="251"/>
      <c r="AL86" s="251"/>
      <c r="AM86" s="251"/>
      <c r="AN86" s="251"/>
      <c r="AO86" s="251"/>
      <c r="AP86" s="251"/>
      <c r="AQ86" s="77"/>
      <c r="AR86" s="77"/>
      <c r="AS86" s="77"/>
      <c r="AT86" s="77"/>
      <c r="AU86" s="80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5"/>
      <c r="BI86" s="75"/>
      <c r="BJ86" s="75"/>
      <c r="BK86" s="74"/>
    </row>
    <row r="87" spans="1:63" s="79" customFormat="1" ht="15" customHeight="1" x14ac:dyDescent="0.25">
      <c r="A87" s="78"/>
      <c r="B87" s="77"/>
      <c r="C87" s="78"/>
      <c r="D87" s="77"/>
      <c r="E87" s="77"/>
      <c r="F87" s="82"/>
      <c r="G87" s="82"/>
      <c r="H87" s="82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  <c r="AA87" s="251"/>
      <c r="AB87" s="251"/>
      <c r="AC87" s="251"/>
      <c r="AD87" s="251"/>
      <c r="AE87" s="251"/>
      <c r="AF87" s="251"/>
      <c r="AG87" s="251"/>
      <c r="AH87" s="251"/>
      <c r="AI87" s="251"/>
      <c r="AJ87" s="251"/>
      <c r="AK87" s="251"/>
      <c r="AL87" s="251"/>
      <c r="AM87" s="251"/>
      <c r="AN87" s="251"/>
      <c r="AO87" s="251"/>
      <c r="AP87" s="251"/>
      <c r="AQ87" s="77"/>
      <c r="AR87" s="77"/>
      <c r="AS87" s="77"/>
      <c r="AT87" s="77"/>
      <c r="AU87" s="80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5"/>
      <c r="BI87" s="75"/>
      <c r="BJ87" s="75"/>
      <c r="BK87" s="74"/>
    </row>
    <row r="88" spans="1:63" s="79" customFormat="1" ht="15" customHeight="1" x14ac:dyDescent="0.25">
      <c r="A88" s="78"/>
      <c r="B88" s="77"/>
      <c r="C88" s="78"/>
      <c r="D88" s="77"/>
      <c r="E88" s="77"/>
      <c r="F88" s="82"/>
      <c r="G88" s="82"/>
      <c r="H88" s="82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  <c r="AA88" s="251"/>
      <c r="AB88" s="251"/>
      <c r="AC88" s="251"/>
      <c r="AD88" s="251"/>
      <c r="AE88" s="251"/>
      <c r="AF88" s="251"/>
      <c r="AG88" s="251"/>
      <c r="AH88" s="251"/>
      <c r="AI88" s="251"/>
      <c r="AJ88" s="251"/>
      <c r="AK88" s="251"/>
      <c r="AL88" s="251"/>
      <c r="AM88" s="251"/>
      <c r="AN88" s="251"/>
      <c r="AO88" s="251"/>
      <c r="AP88" s="251"/>
      <c r="AQ88" s="77"/>
      <c r="AR88" s="77"/>
      <c r="AS88" s="77"/>
      <c r="AT88" s="77"/>
      <c r="AU88" s="80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5"/>
      <c r="BI88" s="75"/>
      <c r="BJ88" s="75"/>
      <c r="BK88" s="74"/>
    </row>
    <row r="89" spans="1:63" s="79" customFormat="1" ht="15" customHeight="1" x14ac:dyDescent="0.25">
      <c r="A89" s="78"/>
      <c r="B89" s="77"/>
      <c r="C89" s="78"/>
      <c r="D89" s="77"/>
      <c r="E89" s="77"/>
      <c r="F89" s="82"/>
      <c r="G89" s="82"/>
      <c r="H89" s="82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  <c r="AA89" s="251"/>
      <c r="AB89" s="251"/>
      <c r="AC89" s="251"/>
      <c r="AD89" s="251"/>
      <c r="AE89" s="251"/>
      <c r="AF89" s="251"/>
      <c r="AG89" s="251"/>
      <c r="AH89" s="251"/>
      <c r="AI89" s="251"/>
      <c r="AJ89" s="251"/>
      <c r="AK89" s="251"/>
      <c r="AL89" s="251"/>
      <c r="AM89" s="251"/>
      <c r="AN89" s="251"/>
      <c r="AO89" s="251"/>
      <c r="AP89" s="251"/>
      <c r="AQ89" s="77"/>
      <c r="AR89" s="77"/>
      <c r="AS89" s="77"/>
      <c r="AT89" s="77"/>
      <c r="AU89" s="80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5"/>
      <c r="BI89" s="75"/>
      <c r="BJ89" s="75"/>
      <c r="BK89" s="74"/>
    </row>
    <row r="90" spans="1:63" s="79" customFormat="1" ht="15" customHeight="1" x14ac:dyDescent="0.25">
      <c r="A90" s="78"/>
      <c r="B90" s="77"/>
      <c r="C90" s="78"/>
      <c r="D90" s="77"/>
      <c r="E90" s="77"/>
      <c r="F90" s="82"/>
      <c r="G90" s="82"/>
      <c r="H90" s="82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  <c r="AA90" s="251"/>
      <c r="AB90" s="251"/>
      <c r="AC90" s="251"/>
      <c r="AD90" s="251"/>
      <c r="AE90" s="251"/>
      <c r="AF90" s="251"/>
      <c r="AG90" s="251"/>
      <c r="AH90" s="251"/>
      <c r="AI90" s="251"/>
      <c r="AJ90" s="251"/>
      <c r="AK90" s="251"/>
      <c r="AL90" s="251"/>
      <c r="AM90" s="251"/>
      <c r="AN90" s="251"/>
      <c r="AO90" s="251"/>
      <c r="AP90" s="251"/>
      <c r="AQ90" s="77"/>
      <c r="AR90" s="77"/>
      <c r="AS90" s="77"/>
      <c r="AT90" s="77"/>
      <c r="AU90" s="80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5"/>
      <c r="BI90" s="75"/>
      <c r="BJ90" s="75"/>
      <c r="BK90" s="74"/>
    </row>
    <row r="91" spans="1:63" s="79" customFormat="1" ht="15" customHeight="1" x14ac:dyDescent="0.25">
      <c r="A91" s="78"/>
      <c r="B91" s="77"/>
      <c r="C91" s="78"/>
      <c r="D91" s="77"/>
      <c r="E91" s="77"/>
      <c r="F91" s="82"/>
      <c r="G91" s="82"/>
      <c r="H91" s="82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  <c r="AA91" s="251"/>
      <c r="AB91" s="251"/>
      <c r="AC91" s="251"/>
      <c r="AD91" s="251"/>
      <c r="AE91" s="251"/>
      <c r="AF91" s="251"/>
      <c r="AG91" s="251"/>
      <c r="AH91" s="251"/>
      <c r="AI91" s="251"/>
      <c r="AJ91" s="251"/>
      <c r="AK91" s="251"/>
      <c r="AL91" s="251"/>
      <c r="AM91" s="251"/>
      <c r="AN91" s="251"/>
      <c r="AO91" s="251"/>
      <c r="AP91" s="251"/>
      <c r="AQ91" s="77"/>
      <c r="AR91" s="77"/>
      <c r="AS91" s="77"/>
      <c r="AT91" s="77"/>
      <c r="AU91" s="80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5"/>
      <c r="BI91" s="75"/>
      <c r="BJ91" s="75"/>
      <c r="BK91" s="74"/>
    </row>
    <row r="92" spans="1:63" s="89" customFormat="1" ht="15" customHeight="1" x14ac:dyDescent="0.25">
      <c r="A92" s="84"/>
      <c r="B92" s="83"/>
      <c r="C92" s="84"/>
      <c r="D92" s="83"/>
      <c r="E92" s="83"/>
      <c r="F92" s="90"/>
      <c r="G92" s="90"/>
      <c r="H92" s="90"/>
      <c r="I92" s="83" t="s">
        <v>177</v>
      </c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83"/>
      <c r="AR92" s="83"/>
      <c r="AS92" s="83"/>
      <c r="AT92" s="83"/>
      <c r="AU92" s="86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7"/>
      <c r="BI92" s="87"/>
      <c r="BJ92" s="87"/>
      <c r="BK92" s="88"/>
    </row>
    <row r="93" spans="1:63" s="89" customFormat="1" ht="15" customHeight="1" x14ac:dyDescent="0.25">
      <c r="A93" s="84"/>
      <c r="B93" s="83"/>
      <c r="C93" s="84"/>
      <c r="D93" s="83"/>
      <c r="E93" s="83"/>
      <c r="F93" s="90"/>
      <c r="G93" s="90"/>
      <c r="H93" s="90"/>
      <c r="I93" s="83" t="s">
        <v>178</v>
      </c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83"/>
      <c r="AR93" s="83"/>
      <c r="AS93" s="83"/>
      <c r="AT93" s="83"/>
      <c r="AU93" s="86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7"/>
      <c r="BI93" s="87"/>
      <c r="BJ93" s="87"/>
      <c r="BK93" s="88"/>
    </row>
    <row r="94" spans="1:63" s="89" customFormat="1" ht="15" customHeight="1" x14ac:dyDescent="0.25">
      <c r="A94" s="84"/>
      <c r="B94" s="83"/>
      <c r="C94" s="84"/>
      <c r="D94" s="83"/>
      <c r="E94" s="83"/>
      <c r="F94" s="90"/>
      <c r="G94" s="90"/>
      <c r="H94" s="90"/>
      <c r="I94" s="83" t="s">
        <v>179</v>
      </c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83"/>
      <c r="AR94" s="83"/>
      <c r="AS94" s="83"/>
      <c r="AT94" s="83"/>
      <c r="AU94" s="86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7"/>
      <c r="BI94" s="87"/>
      <c r="BJ94" s="87"/>
      <c r="BK94" s="88"/>
    </row>
    <row r="95" spans="1:63" s="79" customFormat="1" ht="15" customHeight="1" x14ac:dyDescent="0.25">
      <c r="A95" s="78"/>
      <c r="B95" s="77"/>
      <c r="C95" s="78"/>
      <c r="D95" s="77"/>
      <c r="E95" s="77"/>
      <c r="F95" s="77"/>
      <c r="G95" s="77"/>
      <c r="H95" s="77" t="s">
        <v>49</v>
      </c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80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5"/>
      <c r="BI95" s="75"/>
      <c r="BJ95" s="75"/>
      <c r="BK95" s="74"/>
    </row>
    <row r="96" spans="1:63" s="79" customFormat="1" ht="15" customHeight="1" x14ac:dyDescent="0.25">
      <c r="A96" s="78"/>
      <c r="B96" s="77"/>
      <c r="C96" s="78"/>
      <c r="D96" s="77"/>
      <c r="E96" s="77"/>
      <c r="F96" s="77"/>
      <c r="G96" s="77"/>
      <c r="H96" s="77" t="s">
        <v>47</v>
      </c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80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5"/>
      <c r="BI96" s="75"/>
      <c r="BJ96" s="75"/>
      <c r="BK96" s="74"/>
    </row>
    <row r="97" spans="1:63" s="79" customFormat="1" ht="15" customHeight="1" x14ac:dyDescent="0.25">
      <c r="A97" s="78"/>
      <c r="B97" s="77"/>
      <c r="C97" s="78"/>
      <c r="D97" s="77"/>
      <c r="E97" s="77"/>
      <c r="F97" s="77"/>
      <c r="G97" s="77"/>
      <c r="H97" s="77"/>
      <c r="I97" s="77" t="s">
        <v>180</v>
      </c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80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5"/>
      <c r="BI97" s="75"/>
      <c r="BJ97" s="75"/>
      <c r="BK97" s="74"/>
    </row>
    <row r="98" spans="1:63" s="21" customFormat="1" ht="15" customHeight="1" x14ac:dyDescent="0.25">
      <c r="A98" s="16"/>
      <c r="B98" s="23"/>
      <c r="C98" s="16"/>
      <c r="D98" s="23"/>
      <c r="E98" s="23"/>
      <c r="F98" s="23"/>
      <c r="G98" s="23"/>
      <c r="H98" s="23"/>
      <c r="I98" s="23" t="s">
        <v>172</v>
      </c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8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4"/>
      <c r="BI98" s="24"/>
      <c r="BJ98" s="24"/>
      <c r="BK98" s="20"/>
    </row>
    <row r="99" spans="1:63" s="21" customFormat="1" ht="15" customHeight="1" x14ac:dyDescent="0.25">
      <c r="A99" s="16"/>
      <c r="B99" s="23"/>
      <c r="C99" s="16"/>
      <c r="D99" s="23"/>
      <c r="E99" s="23"/>
      <c r="F99" s="23"/>
      <c r="G99" s="23"/>
      <c r="H99" s="23"/>
      <c r="I99" s="23" t="s">
        <v>73</v>
      </c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8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4"/>
      <c r="BI99" s="24"/>
      <c r="BJ99" s="24"/>
      <c r="BK99" s="20"/>
    </row>
    <row r="100" spans="1:63" s="21" customFormat="1" ht="15" customHeight="1" x14ac:dyDescent="0.25">
      <c r="A100" s="16"/>
      <c r="B100" s="23"/>
      <c r="C100" s="16"/>
      <c r="D100" s="23"/>
      <c r="E100" s="23"/>
      <c r="F100" s="23"/>
      <c r="G100" s="23"/>
      <c r="H100" s="23"/>
      <c r="I100" s="23" t="s">
        <v>173</v>
      </c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8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4"/>
      <c r="BI100" s="24"/>
      <c r="BJ100" s="24"/>
      <c r="BK100" s="20"/>
    </row>
    <row r="101" spans="1:63" s="21" customFormat="1" ht="15" customHeight="1" x14ac:dyDescent="0.25">
      <c r="A101" s="16"/>
      <c r="B101" s="23"/>
      <c r="C101" s="16"/>
      <c r="D101" s="23"/>
      <c r="E101" s="23"/>
      <c r="F101" s="23"/>
      <c r="G101" s="23"/>
      <c r="H101" s="23"/>
      <c r="I101" s="23" t="s">
        <v>181</v>
      </c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8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4"/>
      <c r="BI101" s="24"/>
      <c r="BJ101" s="24"/>
      <c r="BK101" s="20"/>
    </row>
    <row r="102" spans="1:63" s="21" customFormat="1" ht="15" customHeight="1" x14ac:dyDescent="0.25">
      <c r="A102" s="16"/>
      <c r="B102" s="23"/>
      <c r="C102" s="16"/>
      <c r="D102" s="23"/>
      <c r="E102" s="23"/>
      <c r="F102" s="23"/>
      <c r="G102" s="23"/>
      <c r="H102" s="23"/>
      <c r="I102" s="23" t="s">
        <v>182</v>
      </c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8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4"/>
      <c r="BI102" s="24"/>
      <c r="BJ102" s="24"/>
      <c r="BK102" s="20"/>
    </row>
    <row r="103" spans="1:63" s="96" customFormat="1" ht="15" customHeight="1" x14ac:dyDescent="0.25">
      <c r="A103" s="92"/>
      <c r="B103" s="85"/>
      <c r="C103" s="92"/>
      <c r="D103" s="85"/>
      <c r="E103" s="85"/>
      <c r="F103" s="85"/>
      <c r="G103" s="85"/>
      <c r="H103" s="85"/>
      <c r="I103" s="85" t="s">
        <v>183</v>
      </c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93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94"/>
      <c r="BI103" s="94"/>
      <c r="BJ103" s="94"/>
      <c r="BK103" s="95"/>
    </row>
    <row r="104" spans="1:63" s="21" customFormat="1" ht="15.75" customHeight="1" x14ac:dyDescent="0.25">
      <c r="A104" s="16"/>
      <c r="B104" s="23"/>
      <c r="C104" s="16"/>
      <c r="D104" s="23"/>
      <c r="E104" s="23"/>
      <c r="F104" s="45"/>
      <c r="G104" s="45"/>
      <c r="H104" s="45"/>
      <c r="I104" s="356" t="s">
        <v>62</v>
      </c>
      <c r="J104" s="356"/>
      <c r="K104" s="356"/>
      <c r="L104" s="356"/>
      <c r="M104" s="356"/>
      <c r="N104" s="356"/>
      <c r="O104" s="356"/>
      <c r="P104" s="356"/>
      <c r="Q104" s="356"/>
      <c r="R104" s="356"/>
      <c r="S104" s="356"/>
      <c r="T104" s="356"/>
      <c r="U104" s="356"/>
      <c r="V104" s="356"/>
      <c r="W104" s="356"/>
      <c r="X104" s="356"/>
      <c r="Y104" s="356"/>
      <c r="Z104" s="356"/>
      <c r="AA104" s="356"/>
      <c r="AB104" s="356"/>
      <c r="AC104" s="356"/>
      <c r="AD104" s="356"/>
      <c r="AE104" s="356"/>
      <c r="AF104" s="356"/>
      <c r="AG104" s="356"/>
      <c r="AH104" s="356"/>
      <c r="AI104" s="356"/>
      <c r="AJ104" s="356"/>
      <c r="AK104" s="356"/>
      <c r="AL104" s="356"/>
      <c r="AM104" s="356"/>
      <c r="AN104" s="356"/>
      <c r="AO104" s="356"/>
      <c r="AP104" s="356"/>
      <c r="AQ104" s="23"/>
      <c r="AR104" s="23"/>
      <c r="AS104" s="23"/>
      <c r="AT104" s="23"/>
      <c r="AU104" s="28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4"/>
      <c r="BI104" s="24"/>
      <c r="BJ104" s="24"/>
      <c r="BK104" s="20"/>
    </row>
    <row r="105" spans="1:63" s="21" customFormat="1" x14ac:dyDescent="0.25">
      <c r="A105" s="16"/>
      <c r="B105" s="23"/>
      <c r="C105" s="16"/>
      <c r="D105" s="23"/>
      <c r="E105" s="23"/>
      <c r="F105" s="45"/>
      <c r="G105" s="45"/>
      <c r="H105" s="45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/>
      <c r="U105" s="356"/>
      <c r="V105" s="356"/>
      <c r="W105" s="356"/>
      <c r="X105" s="356"/>
      <c r="Y105" s="356"/>
      <c r="Z105" s="356"/>
      <c r="AA105" s="356"/>
      <c r="AB105" s="356"/>
      <c r="AC105" s="356"/>
      <c r="AD105" s="356"/>
      <c r="AE105" s="356"/>
      <c r="AF105" s="356"/>
      <c r="AG105" s="356"/>
      <c r="AH105" s="356"/>
      <c r="AI105" s="356"/>
      <c r="AJ105" s="356"/>
      <c r="AK105" s="356"/>
      <c r="AL105" s="356"/>
      <c r="AM105" s="356"/>
      <c r="AN105" s="356"/>
      <c r="AO105" s="356"/>
      <c r="AP105" s="356"/>
      <c r="AQ105" s="23"/>
      <c r="AR105" s="23"/>
      <c r="AS105" s="23"/>
      <c r="AT105" s="23"/>
      <c r="AU105" s="28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4"/>
      <c r="BI105" s="24"/>
      <c r="BJ105" s="24"/>
      <c r="BK105" s="20"/>
    </row>
    <row r="106" spans="1:63" s="21" customFormat="1" x14ac:dyDescent="0.25">
      <c r="A106" s="16"/>
      <c r="B106" s="23"/>
      <c r="C106" s="16"/>
      <c r="D106" s="23"/>
      <c r="E106" s="23"/>
      <c r="F106" s="45"/>
      <c r="G106" s="45"/>
      <c r="H106" s="45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56"/>
      <c r="X106" s="356"/>
      <c r="Y106" s="356"/>
      <c r="Z106" s="356"/>
      <c r="AA106" s="356"/>
      <c r="AB106" s="356"/>
      <c r="AC106" s="356"/>
      <c r="AD106" s="356"/>
      <c r="AE106" s="356"/>
      <c r="AF106" s="356"/>
      <c r="AG106" s="356"/>
      <c r="AH106" s="356"/>
      <c r="AI106" s="356"/>
      <c r="AJ106" s="356"/>
      <c r="AK106" s="356"/>
      <c r="AL106" s="356"/>
      <c r="AM106" s="356"/>
      <c r="AN106" s="356"/>
      <c r="AO106" s="356"/>
      <c r="AP106" s="356"/>
      <c r="AQ106" s="23"/>
      <c r="AR106" s="23"/>
      <c r="AS106" s="23"/>
      <c r="AT106" s="23"/>
      <c r="AU106" s="28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4"/>
      <c r="BI106" s="24"/>
      <c r="BJ106" s="24"/>
      <c r="BK106" s="20"/>
    </row>
    <row r="107" spans="1:63" s="21" customFormat="1" x14ac:dyDescent="0.25">
      <c r="A107" s="16"/>
      <c r="B107" s="23"/>
      <c r="C107" s="16"/>
      <c r="D107" s="23"/>
      <c r="E107" s="23"/>
      <c r="F107" s="45"/>
      <c r="G107" s="45"/>
      <c r="H107" s="45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23"/>
      <c r="AR107" s="23"/>
      <c r="AS107" s="23"/>
      <c r="AT107" s="23"/>
      <c r="AU107" s="28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4"/>
      <c r="BI107" s="24"/>
      <c r="BJ107" s="24"/>
      <c r="BK107" s="20"/>
    </row>
    <row r="108" spans="1:63" s="21" customFormat="1" x14ac:dyDescent="0.25">
      <c r="A108" s="16"/>
      <c r="B108" s="23"/>
      <c r="C108" s="16"/>
      <c r="D108" s="23"/>
      <c r="E108" s="23"/>
      <c r="F108" s="45"/>
      <c r="G108" s="45"/>
      <c r="H108" s="45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356"/>
      <c r="AB108" s="356"/>
      <c r="AC108" s="356"/>
      <c r="AD108" s="356"/>
      <c r="AE108" s="356"/>
      <c r="AF108" s="356"/>
      <c r="AG108" s="356"/>
      <c r="AH108" s="356"/>
      <c r="AI108" s="356"/>
      <c r="AJ108" s="356"/>
      <c r="AK108" s="356"/>
      <c r="AL108" s="356"/>
      <c r="AM108" s="356"/>
      <c r="AN108" s="356"/>
      <c r="AO108" s="356"/>
      <c r="AP108" s="356"/>
      <c r="AQ108" s="23"/>
      <c r="AR108" s="23"/>
      <c r="AS108" s="23"/>
      <c r="AT108" s="23"/>
      <c r="AU108" s="28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4"/>
      <c r="BI108" s="24"/>
      <c r="BJ108" s="24"/>
      <c r="BK108" s="20"/>
    </row>
    <row r="109" spans="1:63" s="89" customFormat="1" ht="15" customHeight="1" x14ac:dyDescent="0.25">
      <c r="A109" s="84"/>
      <c r="B109" s="83"/>
      <c r="C109" s="84"/>
      <c r="D109" s="83"/>
      <c r="E109" s="83"/>
      <c r="F109" s="90"/>
      <c r="G109" s="90"/>
      <c r="H109" s="90"/>
      <c r="I109" s="83" t="s">
        <v>177</v>
      </c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83"/>
      <c r="AR109" s="83"/>
      <c r="AS109" s="83"/>
      <c r="AT109" s="83"/>
      <c r="AU109" s="86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7"/>
      <c r="BI109" s="87"/>
      <c r="BJ109" s="87"/>
      <c r="BK109" s="88"/>
    </row>
    <row r="110" spans="1:63" s="89" customFormat="1" ht="15" customHeight="1" x14ac:dyDescent="0.25">
      <c r="A110" s="84"/>
      <c r="B110" s="83"/>
      <c r="C110" s="84"/>
      <c r="D110" s="83"/>
      <c r="E110" s="83"/>
      <c r="F110" s="90"/>
      <c r="G110" s="90"/>
      <c r="H110" s="90"/>
      <c r="I110" s="83" t="s">
        <v>178</v>
      </c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83"/>
      <c r="AR110" s="83"/>
      <c r="AS110" s="83"/>
      <c r="AT110" s="83"/>
      <c r="AU110" s="86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7"/>
      <c r="BI110" s="87"/>
      <c r="BJ110" s="87"/>
      <c r="BK110" s="88"/>
    </row>
    <row r="111" spans="1:63" s="89" customFormat="1" ht="15" customHeight="1" x14ac:dyDescent="0.25">
      <c r="A111" s="84"/>
      <c r="B111" s="83"/>
      <c r="C111" s="84"/>
      <c r="D111" s="83"/>
      <c r="E111" s="83"/>
      <c r="F111" s="90"/>
      <c r="G111" s="90"/>
      <c r="H111" s="90"/>
      <c r="I111" s="83" t="s">
        <v>179</v>
      </c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83"/>
      <c r="AR111" s="83"/>
      <c r="AS111" s="83"/>
      <c r="AT111" s="83"/>
      <c r="AU111" s="86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7"/>
      <c r="BI111" s="87"/>
      <c r="BJ111" s="87"/>
      <c r="BK111" s="88"/>
    </row>
    <row r="112" spans="1:63" s="21" customFormat="1" ht="15" customHeight="1" x14ac:dyDescent="0.25">
      <c r="A112" s="16"/>
      <c r="B112" s="23"/>
      <c r="C112" s="16"/>
      <c r="D112" s="23"/>
      <c r="E112" s="23"/>
      <c r="F112" s="23"/>
      <c r="G112" s="23"/>
      <c r="H112" s="23" t="s">
        <v>48</v>
      </c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8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4"/>
      <c r="BI112" s="24"/>
      <c r="BJ112" s="24"/>
      <c r="BK112" s="20"/>
    </row>
    <row r="113" spans="1:63" s="21" customFormat="1" ht="15" customHeight="1" x14ac:dyDescent="0.25">
      <c r="A113" s="16"/>
      <c r="B113" s="23"/>
      <c r="C113" s="16"/>
      <c r="D113" s="23"/>
      <c r="E113" s="23"/>
      <c r="F113" s="46" t="s">
        <v>84</v>
      </c>
      <c r="G113" s="46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8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4"/>
      <c r="BI113" s="24"/>
      <c r="BJ113" s="24"/>
      <c r="BK113" s="20"/>
    </row>
    <row r="114" spans="1:63" s="21" customFormat="1" ht="15" customHeight="1" x14ac:dyDescent="0.25">
      <c r="A114" s="16"/>
      <c r="B114" s="23"/>
      <c r="C114" s="16"/>
      <c r="D114" s="23" t="s">
        <v>48</v>
      </c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8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4"/>
      <c r="BI114" s="24"/>
      <c r="BJ114" s="24"/>
      <c r="BK114" s="20"/>
    </row>
    <row r="115" spans="1:63" s="21" customFormat="1" ht="15" customHeight="1" x14ac:dyDescent="0.25">
      <c r="A115" s="16"/>
      <c r="B115" s="23"/>
      <c r="C115" s="44"/>
      <c r="D115" s="35"/>
      <c r="E115" s="35"/>
      <c r="F115" s="47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29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4"/>
      <c r="BI115" s="24"/>
      <c r="BJ115" s="24"/>
      <c r="BK115" s="20"/>
    </row>
    <row r="116" spans="1:63" s="21" customFormat="1" ht="15" customHeight="1" x14ac:dyDescent="0.25">
      <c r="A116" s="16"/>
      <c r="B116" s="23"/>
      <c r="C116" s="23"/>
      <c r="D116" s="77"/>
      <c r="E116" s="77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4"/>
      <c r="BI116" s="24"/>
      <c r="BJ116" s="24"/>
      <c r="BK116" s="20"/>
    </row>
    <row r="117" spans="1:63" s="21" customFormat="1" ht="15" customHeight="1" x14ac:dyDescent="0.25">
      <c r="A117" s="16"/>
      <c r="B117" s="23"/>
      <c r="C117" s="22" t="s">
        <v>184</v>
      </c>
      <c r="D117" s="23"/>
      <c r="E117" s="77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4"/>
      <c r="BI117" s="24"/>
      <c r="BJ117" s="24"/>
      <c r="BK117" s="20"/>
    </row>
    <row r="118" spans="1:63" s="21" customFormat="1" ht="15" customHeight="1" x14ac:dyDescent="0.25">
      <c r="A118" s="16"/>
      <c r="B118" s="23"/>
      <c r="C118" s="22"/>
      <c r="D118" s="23"/>
      <c r="E118" s="77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4"/>
      <c r="BI118" s="24"/>
      <c r="BJ118" s="24"/>
      <c r="BK118" s="20"/>
    </row>
    <row r="119" spans="1:63" s="21" customFormat="1" ht="15" customHeight="1" x14ac:dyDescent="0.25">
      <c r="A119" s="16"/>
      <c r="B119" s="23"/>
      <c r="C119" s="22"/>
      <c r="D119" s="23" t="s">
        <v>74</v>
      </c>
      <c r="E119" s="77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4"/>
      <c r="BI119" s="24"/>
      <c r="BJ119" s="24"/>
      <c r="BK119" s="20"/>
    </row>
    <row r="120" spans="1:63" s="21" customFormat="1" ht="15" customHeight="1" x14ac:dyDescent="0.25">
      <c r="A120" s="16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4"/>
      <c r="BI120" s="24"/>
      <c r="BJ120" s="24"/>
      <c r="BK120" s="20"/>
    </row>
    <row r="121" spans="1:63" s="41" customFormat="1" ht="15" customHeight="1" x14ac:dyDescent="0.25">
      <c r="A121" s="36"/>
      <c r="B121" s="37"/>
      <c r="C121" s="37"/>
      <c r="D121" s="37"/>
      <c r="E121" s="38"/>
      <c r="F121" s="38"/>
      <c r="G121" s="38"/>
      <c r="H121" s="38"/>
      <c r="I121" s="38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9"/>
      <c r="BI121" s="39"/>
      <c r="BJ121" s="39"/>
      <c r="BK121" s="40"/>
    </row>
  </sheetData>
  <mergeCells count="245">
    <mergeCell ref="S47:Y47"/>
    <mergeCell ref="C69:D69"/>
    <mergeCell ref="AQ40:BJ40"/>
    <mergeCell ref="C41:D41"/>
    <mergeCell ref="E41:K41"/>
    <mergeCell ref="L41:N41"/>
    <mergeCell ref="O41:R41"/>
    <mergeCell ref="S41:Y41"/>
    <mergeCell ref="Z41:AP41"/>
    <mergeCell ref="AQ41:BJ41"/>
    <mergeCell ref="C68:D68"/>
    <mergeCell ref="E68:K68"/>
    <mergeCell ref="L68:R68"/>
    <mergeCell ref="S68:AB68"/>
    <mergeCell ref="AC68:AU68"/>
    <mergeCell ref="E49:K49"/>
    <mergeCell ref="L49:N49"/>
    <mergeCell ref="O49:R49"/>
    <mergeCell ref="S49:Y49"/>
    <mergeCell ref="Z49:AP49"/>
    <mergeCell ref="AQ49:BJ49"/>
    <mergeCell ref="C47:D47"/>
    <mergeCell ref="E47:K47"/>
    <mergeCell ref="L47:N47"/>
    <mergeCell ref="O47:R47"/>
    <mergeCell ref="S43:Y43"/>
    <mergeCell ref="I104:AP108"/>
    <mergeCell ref="C58:D58"/>
    <mergeCell ref="E58:K58"/>
    <mergeCell ref="L58:R58"/>
    <mergeCell ref="S58:AB58"/>
    <mergeCell ref="AC58:AU58"/>
    <mergeCell ref="C57:D57"/>
    <mergeCell ref="E57:K57"/>
    <mergeCell ref="L57:R57"/>
    <mergeCell ref="S57:AB57"/>
    <mergeCell ref="AC57:AU57"/>
    <mergeCell ref="C61:D61"/>
    <mergeCell ref="E61:K61"/>
    <mergeCell ref="L61:R61"/>
    <mergeCell ref="S61:AB61"/>
    <mergeCell ref="AC61:AU61"/>
    <mergeCell ref="C62:D62"/>
    <mergeCell ref="E62:K62"/>
    <mergeCell ref="L62:R62"/>
    <mergeCell ref="S62:AB62"/>
    <mergeCell ref="AC62:AU62"/>
    <mergeCell ref="C63:D63"/>
    <mergeCell ref="C64:D64"/>
    <mergeCell ref="C22:D22"/>
    <mergeCell ref="Z47:AP47"/>
    <mergeCell ref="AQ47:BJ47"/>
    <mergeCell ref="C48:D48"/>
    <mergeCell ref="E48:K48"/>
    <mergeCell ref="L48:N48"/>
    <mergeCell ref="O48:R48"/>
    <mergeCell ref="S48:Y48"/>
    <mergeCell ref="Z48:AP48"/>
    <mergeCell ref="C38:D38"/>
    <mergeCell ref="L45:N45"/>
    <mergeCell ref="O45:R45"/>
    <mergeCell ref="S45:Y45"/>
    <mergeCell ref="Z45:AP45"/>
    <mergeCell ref="AQ45:BJ45"/>
    <mergeCell ref="C43:D43"/>
    <mergeCell ref="E43:K43"/>
    <mergeCell ref="L43:N43"/>
    <mergeCell ref="AQ43:BJ43"/>
    <mergeCell ref="C44:D44"/>
    <mergeCell ref="E44:K44"/>
    <mergeCell ref="L44:N44"/>
    <mergeCell ref="Z44:AP44"/>
    <mergeCell ref="AQ44:BJ44"/>
    <mergeCell ref="C21:D21"/>
    <mergeCell ref="O22:R22"/>
    <mergeCell ref="L21:N21"/>
    <mergeCell ref="L22:N22"/>
    <mergeCell ref="AC65:AU65"/>
    <mergeCell ref="S38:Y38"/>
    <mergeCell ref="Z38:AP38"/>
    <mergeCell ref="AQ38:BJ38"/>
    <mergeCell ref="C39:D39"/>
    <mergeCell ref="E39:K39"/>
    <mergeCell ref="L39:N39"/>
    <mergeCell ref="S39:Y39"/>
    <mergeCell ref="Z39:AP39"/>
    <mergeCell ref="AQ39:BJ39"/>
    <mergeCell ref="AQ48:BJ48"/>
    <mergeCell ref="L42:N42"/>
    <mergeCell ref="O42:R42"/>
    <mergeCell ref="S42:Y42"/>
    <mergeCell ref="Z42:AP42"/>
    <mergeCell ref="AQ42:BJ42"/>
    <mergeCell ref="C45:D45"/>
    <mergeCell ref="E45:K45"/>
    <mergeCell ref="E65:K65"/>
    <mergeCell ref="O23:R25"/>
    <mergeCell ref="AQ20:BJ20"/>
    <mergeCell ref="L36:N36"/>
    <mergeCell ref="O36:R36"/>
    <mergeCell ref="Z36:AP36"/>
    <mergeCell ref="O20:R20"/>
    <mergeCell ref="L20:N20"/>
    <mergeCell ref="S22:Y22"/>
    <mergeCell ref="S23:Y25"/>
    <mergeCell ref="S21:Y21"/>
    <mergeCell ref="Z27:AP27"/>
    <mergeCell ref="Z23:AP25"/>
    <mergeCell ref="S36:Y36"/>
    <mergeCell ref="O26:R26"/>
    <mergeCell ref="O27:R27"/>
    <mergeCell ref="AQ22:BJ22"/>
    <mergeCell ref="AQ21:BJ21"/>
    <mergeCell ref="S26:Y26"/>
    <mergeCell ref="Z22:AP22"/>
    <mergeCell ref="L23:N25"/>
    <mergeCell ref="E21:K21"/>
    <mergeCell ref="E22:K22"/>
    <mergeCell ref="C23:D25"/>
    <mergeCell ref="E23:K25"/>
    <mergeCell ref="AQ23:BJ25"/>
    <mergeCell ref="Z21:AP21"/>
    <mergeCell ref="C56:D56"/>
    <mergeCell ref="C59:D59"/>
    <mergeCell ref="C65:D65"/>
    <mergeCell ref="L26:N26"/>
    <mergeCell ref="L27:N27"/>
    <mergeCell ref="C36:D36"/>
    <mergeCell ref="E36:K36"/>
    <mergeCell ref="C26:D26"/>
    <mergeCell ref="Z26:AP26"/>
    <mergeCell ref="E37:K37"/>
    <mergeCell ref="AQ37:BJ37"/>
    <mergeCell ref="S37:Y37"/>
    <mergeCell ref="AQ26:BJ26"/>
    <mergeCell ref="Z37:AP37"/>
    <mergeCell ref="L37:N37"/>
    <mergeCell ref="O37:R37"/>
    <mergeCell ref="E26:K26"/>
    <mergeCell ref="E27:K27"/>
    <mergeCell ref="C66:D66"/>
    <mergeCell ref="E56:K56"/>
    <mergeCell ref="AC66:AU66"/>
    <mergeCell ref="E59:K59"/>
    <mergeCell ref="E66:K66"/>
    <mergeCell ref="O43:R43"/>
    <mergeCell ref="S56:AB56"/>
    <mergeCell ref="S59:AB59"/>
    <mergeCell ref="S65:AB65"/>
    <mergeCell ref="O44:R44"/>
    <mergeCell ref="S44:Y44"/>
    <mergeCell ref="S66:AB66"/>
    <mergeCell ref="C46:D46"/>
    <mergeCell ref="E46:K46"/>
    <mergeCell ref="L46:N46"/>
    <mergeCell ref="O46:R46"/>
    <mergeCell ref="E63:K63"/>
    <mergeCell ref="S46:Y46"/>
    <mergeCell ref="Z46:AP46"/>
    <mergeCell ref="AQ46:BJ46"/>
    <mergeCell ref="C49:D49"/>
    <mergeCell ref="C60:D60"/>
    <mergeCell ref="E60:K60"/>
    <mergeCell ref="L60:R60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E20:K20"/>
    <mergeCell ref="C20:D20"/>
    <mergeCell ref="S20:Y20"/>
    <mergeCell ref="Z20:AP20"/>
    <mergeCell ref="O21:R21"/>
    <mergeCell ref="AG16:AP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I86:AP91"/>
    <mergeCell ref="E64:K64"/>
    <mergeCell ref="C67:D67"/>
    <mergeCell ref="E67:K67"/>
    <mergeCell ref="L67:R67"/>
    <mergeCell ref="S67:AB67"/>
    <mergeCell ref="AC67:AU67"/>
    <mergeCell ref="L63:R63"/>
    <mergeCell ref="L64:R64"/>
    <mergeCell ref="S63:AB63"/>
    <mergeCell ref="S64:AB64"/>
    <mergeCell ref="AC63:AU63"/>
    <mergeCell ref="AC64:AU64"/>
    <mergeCell ref="L65:R65"/>
    <mergeCell ref="L66:R66"/>
    <mergeCell ref="E69:K69"/>
    <mergeCell ref="L69:R69"/>
    <mergeCell ref="S69:AB69"/>
    <mergeCell ref="AC69:AU69"/>
    <mergeCell ref="C70:D70"/>
    <mergeCell ref="E70:K70"/>
    <mergeCell ref="L70:R70"/>
    <mergeCell ref="S70:AB70"/>
    <mergeCell ref="AC70:AU70"/>
    <mergeCell ref="S60:AB60"/>
    <mergeCell ref="AC60:AU60"/>
    <mergeCell ref="L56:R56"/>
    <mergeCell ref="L59:R59"/>
    <mergeCell ref="C42:D42"/>
    <mergeCell ref="E42:K42"/>
    <mergeCell ref="AC56:AU56"/>
    <mergeCell ref="AC59:AU59"/>
    <mergeCell ref="AQ27:BJ27"/>
    <mergeCell ref="C37:D37"/>
    <mergeCell ref="AQ36:BJ36"/>
    <mergeCell ref="S27:Y27"/>
    <mergeCell ref="C27:D27"/>
    <mergeCell ref="Z43:AP43"/>
    <mergeCell ref="O39:R39"/>
    <mergeCell ref="C40:D40"/>
    <mergeCell ref="E40:K40"/>
    <mergeCell ref="L40:N40"/>
    <mergeCell ref="O40:R40"/>
    <mergeCell ref="S40:Y40"/>
    <mergeCell ref="Z40:AP40"/>
    <mergeCell ref="E38:K38"/>
    <mergeCell ref="L38:N38"/>
    <mergeCell ref="O38:R38"/>
  </mergeCells>
  <pageMargins left="0.7" right="0.7" top="0.75" bottom="0.75" header="0.3" footer="0.3"/>
  <pageSetup scale="2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208" t="s">
        <v>104</v>
      </c>
      <c r="B1" s="209"/>
      <c r="C1" s="209"/>
      <c r="D1" s="209"/>
      <c r="E1" s="209"/>
      <c r="F1" s="209"/>
      <c r="G1" s="209"/>
      <c r="H1" s="209"/>
      <c r="I1" s="209"/>
      <c r="J1" s="210"/>
      <c r="K1" s="208" t="s">
        <v>105</v>
      </c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10"/>
      <c r="W1" s="221" t="str">
        <f>IF(表紙!W1="","",表紙!W1)</f>
        <v>詳細設計書</v>
      </c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3"/>
      <c r="AP1" s="105" t="s">
        <v>106</v>
      </c>
      <c r="AQ1" s="106"/>
      <c r="AR1" s="106"/>
      <c r="AS1" s="107"/>
      <c r="AT1" s="105" t="s">
        <v>107</v>
      </c>
      <c r="AU1" s="106"/>
      <c r="AV1" s="106"/>
      <c r="AW1" s="106"/>
      <c r="AX1" s="107"/>
      <c r="AY1" s="105" t="s">
        <v>108</v>
      </c>
      <c r="AZ1" s="106"/>
      <c r="BA1" s="106"/>
      <c r="BB1" s="107"/>
      <c r="BC1" s="105" t="s">
        <v>109</v>
      </c>
      <c r="BD1" s="106"/>
      <c r="BE1" s="106"/>
      <c r="BF1" s="106"/>
      <c r="BG1" s="107"/>
      <c r="BH1" s="105" t="s">
        <v>110</v>
      </c>
      <c r="BI1" s="106"/>
      <c r="BJ1" s="106"/>
      <c r="BK1" s="107"/>
    </row>
    <row r="2" spans="1:63" ht="15" customHeight="1" x14ac:dyDescent="0.25">
      <c r="A2" s="215" t="str">
        <f>IF(表紙!A2="","",表紙!A2)</f>
        <v>POSサーバー</v>
      </c>
      <c r="B2" s="216"/>
      <c r="C2" s="216"/>
      <c r="D2" s="216"/>
      <c r="E2" s="216"/>
      <c r="F2" s="216"/>
      <c r="G2" s="216"/>
      <c r="H2" s="216"/>
      <c r="I2" s="216"/>
      <c r="J2" s="217"/>
      <c r="K2" s="215" t="str">
        <f>IF(表紙!K2="","",表紙!K2)</f>
        <v>POSサーバー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224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6"/>
      <c r="AP2" s="108" t="str">
        <f>IF(表紙!AP2="","",表紙!AP2)</f>
        <v>LoiLV</v>
      </c>
      <c r="AQ2" s="109"/>
      <c r="AR2" s="109"/>
      <c r="AS2" s="110"/>
      <c r="AT2" s="136">
        <f>IF(表紙!AT2="","",表紙!AT2)</f>
        <v>45461</v>
      </c>
      <c r="AU2" s="137"/>
      <c r="AV2" s="137"/>
      <c r="AW2" s="137"/>
      <c r="AX2" s="138"/>
      <c r="AY2" s="108" t="str">
        <f>IF(表紙!AY2="","",表紙!AY2)</f>
        <v>TuyenNH</v>
      </c>
      <c r="AZ2" s="109"/>
      <c r="BA2" s="109"/>
      <c r="BB2" s="110"/>
      <c r="BC2" s="136">
        <f>IF(表紙!BC2="","",表紙!BC2)</f>
        <v>45601</v>
      </c>
      <c r="BD2" s="137"/>
      <c r="BE2" s="137"/>
      <c r="BF2" s="137"/>
      <c r="BG2" s="138"/>
      <c r="BH2" s="108">
        <f>IF(表紙!BH2="","",表紙!BH2)</f>
        <v>0.11</v>
      </c>
      <c r="BI2" s="109"/>
      <c r="BJ2" s="109"/>
      <c r="BK2" s="110"/>
    </row>
    <row r="3" spans="1:63" ht="15" customHeight="1" x14ac:dyDescent="0.25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9"/>
      <c r="AP3" s="111"/>
      <c r="AQ3" s="112"/>
      <c r="AR3" s="112"/>
      <c r="AS3" s="113"/>
      <c r="AT3" s="139"/>
      <c r="AU3" s="140"/>
      <c r="AV3" s="140"/>
      <c r="AW3" s="140"/>
      <c r="AX3" s="141"/>
      <c r="AY3" s="111"/>
      <c r="AZ3" s="112"/>
      <c r="BA3" s="112"/>
      <c r="BB3" s="113"/>
      <c r="BC3" s="139"/>
      <c r="BD3" s="140"/>
      <c r="BE3" s="140"/>
      <c r="BF3" s="140"/>
      <c r="BG3" s="141"/>
      <c r="BH3" s="111"/>
      <c r="BI3" s="112"/>
      <c r="BJ3" s="112"/>
      <c r="BK3" s="113"/>
    </row>
    <row r="4" spans="1:63" ht="24.95" customHeight="1" x14ac:dyDescent="0.25">
      <c r="A4" s="208" t="s">
        <v>111</v>
      </c>
      <c r="B4" s="209"/>
      <c r="C4" s="209"/>
      <c r="D4" s="209"/>
      <c r="E4" s="209"/>
      <c r="F4" s="209"/>
      <c r="G4" s="210"/>
      <c r="H4" s="211" t="str">
        <f>IF(表紙!H4="","",表紙!H4)</f>
        <v>AP2102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208" t="s">
        <v>112</v>
      </c>
      <c r="V4" s="209"/>
      <c r="W4" s="209"/>
      <c r="X4" s="209"/>
      <c r="Y4" s="210"/>
      <c r="Z4" s="211" t="str">
        <f>IF(表紙!Z4="","",表紙!Z4)</f>
        <v>API設計書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4" t="str">
        <f ca="1">MID(CELL("filename",A1),FIND("]",CELL("filename",A1))+1,255)</f>
        <v>処理フロー</v>
      </c>
      <c r="AQ4" s="366"/>
      <c r="AR4" s="366"/>
      <c r="AS4" s="366"/>
      <c r="AT4" s="366"/>
      <c r="AU4" s="366"/>
      <c r="AV4" s="366"/>
      <c r="AW4" s="366"/>
      <c r="AX4" s="366"/>
      <c r="AY4" s="366"/>
      <c r="AZ4" s="366"/>
      <c r="BA4" s="366"/>
      <c r="BB4" s="366"/>
      <c r="BC4" s="366"/>
      <c r="BD4" s="366"/>
      <c r="BE4" s="366"/>
      <c r="BF4" s="366"/>
      <c r="BG4" s="366"/>
      <c r="BH4" s="366"/>
      <c r="BI4" s="366"/>
      <c r="BJ4" s="366"/>
      <c r="BK4" s="367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75" customFormat="1" ht="15" customHeight="1" x14ac:dyDescent="0.25">
      <c r="B7" s="97"/>
      <c r="C7" s="24"/>
      <c r="D7" s="24"/>
      <c r="E7" s="24"/>
      <c r="F7" s="24"/>
      <c r="G7" s="24"/>
      <c r="AI7" s="98"/>
      <c r="BJ7" s="98"/>
      <c r="BK7" s="74"/>
    </row>
    <row r="8" spans="1:63" s="75" customFormat="1" ht="15" customHeight="1" x14ac:dyDescent="0.25">
      <c r="B8" s="97"/>
      <c r="C8" s="24"/>
      <c r="D8" s="24"/>
      <c r="E8" s="24"/>
      <c r="F8" s="24"/>
      <c r="G8" s="24"/>
      <c r="AI8" s="98"/>
      <c r="BJ8" s="98"/>
      <c r="BK8" s="74"/>
    </row>
    <row r="9" spans="1:63" s="75" customFormat="1" ht="15" customHeight="1" x14ac:dyDescent="0.25">
      <c r="B9" s="97"/>
      <c r="C9" s="24"/>
      <c r="D9" s="24"/>
      <c r="E9" s="24"/>
      <c r="F9" s="24"/>
      <c r="G9" s="24"/>
      <c r="AI9" s="98"/>
      <c r="BJ9" s="98"/>
      <c r="BK9" s="74"/>
    </row>
    <row r="10" spans="1:63" s="75" customFormat="1" ht="15" customHeight="1" x14ac:dyDescent="0.25">
      <c r="B10" s="97"/>
      <c r="C10" s="24"/>
      <c r="D10" s="24"/>
      <c r="E10" s="24"/>
      <c r="F10" s="24"/>
      <c r="G10" s="24"/>
      <c r="AI10" s="98"/>
      <c r="BJ10" s="98"/>
      <c r="BK10" s="74"/>
    </row>
    <row r="11" spans="1:63" s="75" customFormat="1" ht="15" customHeight="1" x14ac:dyDescent="0.25">
      <c r="B11" s="99"/>
      <c r="AI11" s="98"/>
      <c r="BJ11" s="98"/>
      <c r="BK11" s="74"/>
    </row>
    <row r="12" spans="1:63" s="75" customFormat="1" ht="15" customHeight="1" x14ac:dyDescent="0.25">
      <c r="B12" s="99"/>
      <c r="AI12" s="98"/>
      <c r="BJ12" s="98"/>
      <c r="BK12" s="74"/>
    </row>
    <row r="13" spans="1:63" s="75" customFormat="1" ht="15" customHeight="1" x14ac:dyDescent="0.25">
      <c r="B13" s="99"/>
      <c r="AI13" s="98"/>
      <c r="BJ13" s="98"/>
      <c r="BK13" s="74"/>
    </row>
    <row r="14" spans="1:63" s="75" customFormat="1" ht="15" customHeight="1" x14ac:dyDescent="0.25">
      <c r="B14" s="99"/>
      <c r="AI14" s="98"/>
      <c r="BJ14" s="98"/>
      <c r="BK14" s="74"/>
    </row>
    <row r="15" spans="1:63" s="75" customFormat="1" ht="15" customHeight="1" x14ac:dyDescent="0.25">
      <c r="B15" s="99"/>
      <c r="AA15" s="100"/>
      <c r="AI15" s="98"/>
      <c r="BJ15" s="98"/>
      <c r="BK15" s="74"/>
    </row>
    <row r="16" spans="1:63" s="75" customFormat="1" ht="15" customHeight="1" x14ac:dyDescent="0.25">
      <c r="B16" s="99"/>
      <c r="AI16" s="98"/>
      <c r="BJ16" s="98"/>
      <c r="BK16" s="74"/>
    </row>
    <row r="17" spans="2:63" s="75" customFormat="1" ht="15" customHeight="1" x14ac:dyDescent="0.25">
      <c r="B17" s="99"/>
      <c r="AI17" s="98"/>
      <c r="BJ17" s="98"/>
      <c r="BK17" s="74"/>
    </row>
    <row r="18" spans="2:63" s="75" customFormat="1" ht="15" customHeight="1" x14ac:dyDescent="0.25">
      <c r="B18" s="99"/>
      <c r="AI18" s="98"/>
      <c r="BJ18" s="98"/>
      <c r="BK18" s="74"/>
    </row>
    <row r="19" spans="2:63" s="75" customFormat="1" ht="15" customHeight="1" x14ac:dyDescent="0.25">
      <c r="B19" s="99"/>
      <c r="AI19" s="98"/>
      <c r="BJ19" s="98"/>
      <c r="BK19" s="74"/>
    </row>
    <row r="20" spans="2:63" s="75" customFormat="1" ht="15" customHeight="1" x14ac:dyDescent="0.25">
      <c r="B20" s="99"/>
      <c r="AI20" s="98"/>
      <c r="BJ20" s="98"/>
      <c r="BK20" s="74"/>
    </row>
    <row r="21" spans="2:63" s="75" customFormat="1" ht="15" customHeight="1" x14ac:dyDescent="0.25">
      <c r="B21" s="99"/>
      <c r="AI21" s="98"/>
      <c r="BJ21" s="98"/>
      <c r="BK21" s="74"/>
    </row>
    <row r="22" spans="2:63" s="75" customFormat="1" ht="15" customHeight="1" x14ac:dyDescent="0.25">
      <c r="B22" s="99"/>
      <c r="AI22" s="98"/>
      <c r="BJ22" s="98"/>
      <c r="BK22" s="74"/>
    </row>
    <row r="23" spans="2:63" s="75" customFormat="1" ht="15" customHeight="1" x14ac:dyDescent="0.25">
      <c r="B23" s="99"/>
      <c r="AI23" s="98"/>
      <c r="BJ23" s="98"/>
      <c r="BK23" s="74"/>
    </row>
    <row r="24" spans="2:63" s="75" customFormat="1" ht="15" customHeight="1" x14ac:dyDescent="0.25">
      <c r="B24" s="99"/>
      <c r="AI24" s="98"/>
      <c r="BJ24" s="98"/>
      <c r="BK24" s="74"/>
    </row>
    <row r="25" spans="2:63" s="75" customFormat="1" ht="15" customHeight="1" x14ac:dyDescent="0.25">
      <c r="B25" s="99"/>
      <c r="AI25" s="98"/>
      <c r="BJ25" s="98"/>
      <c r="BK25" s="74"/>
    </row>
    <row r="26" spans="2:63" s="75" customFormat="1" ht="15" customHeight="1" x14ac:dyDescent="0.25">
      <c r="B26" s="99"/>
      <c r="AI26" s="98"/>
      <c r="BJ26" s="98"/>
      <c r="BK26" s="74"/>
    </row>
    <row r="27" spans="2:63" s="75" customFormat="1" ht="15" customHeight="1" x14ac:dyDescent="0.25">
      <c r="B27" s="99"/>
      <c r="AI27" s="98"/>
      <c r="BJ27" s="98"/>
      <c r="BK27" s="74"/>
    </row>
    <row r="28" spans="2:63" s="75" customFormat="1" ht="15" customHeight="1" x14ac:dyDescent="0.25">
      <c r="B28" s="99"/>
      <c r="AI28" s="98"/>
      <c r="BJ28" s="98"/>
      <c r="BK28" s="74"/>
    </row>
    <row r="29" spans="2:63" s="75" customFormat="1" ht="15" customHeight="1" x14ac:dyDescent="0.25">
      <c r="B29" s="99"/>
      <c r="AI29" s="98"/>
      <c r="BJ29" s="98"/>
      <c r="BK29" s="74"/>
    </row>
    <row r="30" spans="2:63" s="75" customFormat="1" ht="15" customHeight="1" x14ac:dyDescent="0.25">
      <c r="B30" s="99"/>
      <c r="AI30" s="98"/>
      <c r="BJ30" s="98"/>
      <c r="BK30" s="74"/>
    </row>
    <row r="31" spans="2:63" s="75" customFormat="1" ht="15" customHeight="1" x14ac:dyDescent="0.25">
      <c r="B31" s="99"/>
      <c r="AI31" s="98"/>
      <c r="BJ31" s="98"/>
      <c r="BK31" s="74"/>
    </row>
    <row r="32" spans="2:63" s="75" customFormat="1" ht="15" customHeight="1" x14ac:dyDescent="0.25">
      <c r="B32" s="99"/>
      <c r="AI32" s="98"/>
      <c r="BJ32" s="98"/>
      <c r="BK32" s="74"/>
    </row>
    <row r="33" spans="2:63" s="75" customFormat="1" ht="15" customHeight="1" x14ac:dyDescent="0.25">
      <c r="B33" s="99"/>
      <c r="AI33" s="98"/>
      <c r="BJ33" s="98"/>
      <c r="BK33" s="74"/>
    </row>
    <row r="34" spans="2:63" s="75" customFormat="1" ht="15" customHeight="1" x14ac:dyDescent="0.25">
      <c r="B34" s="99"/>
      <c r="AI34" s="98"/>
      <c r="BJ34" s="98"/>
      <c r="BK34" s="74"/>
    </row>
    <row r="35" spans="2:63" s="75" customFormat="1" ht="15" customHeight="1" x14ac:dyDescent="0.25">
      <c r="B35" s="99"/>
      <c r="AI35" s="98"/>
      <c r="BJ35" s="98"/>
      <c r="BK35" s="74"/>
    </row>
    <row r="36" spans="2:63" s="75" customFormat="1" ht="15" customHeight="1" x14ac:dyDescent="0.25">
      <c r="B36" s="99"/>
      <c r="AI36" s="98"/>
      <c r="BJ36" s="98"/>
      <c r="BK36" s="74"/>
    </row>
    <row r="37" spans="2:63" s="75" customFormat="1" ht="15" customHeight="1" x14ac:dyDescent="0.25">
      <c r="B37" s="99"/>
      <c r="AI37" s="98"/>
      <c r="BJ37" s="98"/>
      <c r="BK37" s="74"/>
    </row>
    <row r="38" spans="2:63" s="75" customFormat="1" ht="15" customHeight="1" x14ac:dyDescent="0.25">
      <c r="B38" s="99"/>
      <c r="AI38" s="98"/>
      <c r="BJ38" s="98"/>
      <c r="BK38" s="74"/>
    </row>
    <row r="39" spans="2:63" s="75" customFormat="1" ht="15" customHeight="1" x14ac:dyDescent="0.25">
      <c r="B39" s="99"/>
      <c r="AI39" s="98"/>
      <c r="BJ39" s="98"/>
      <c r="BK39" s="74"/>
    </row>
    <row r="40" spans="2:63" s="75" customFormat="1" ht="15" customHeight="1" x14ac:dyDescent="0.25">
      <c r="B40" s="99"/>
      <c r="AI40" s="98"/>
      <c r="BJ40" s="98"/>
      <c r="BK40" s="74"/>
    </row>
    <row r="41" spans="2:63" s="75" customFormat="1" ht="15" customHeight="1" x14ac:dyDescent="0.25">
      <c r="B41" s="99"/>
      <c r="AI41" s="98"/>
      <c r="BJ41" s="98"/>
      <c r="BK41" s="74"/>
    </row>
    <row r="42" spans="2:63" s="75" customFormat="1" ht="15" customHeight="1" x14ac:dyDescent="0.25">
      <c r="B42" s="99"/>
      <c r="AI42" s="98"/>
      <c r="BJ42" s="98"/>
      <c r="BK42" s="74"/>
    </row>
    <row r="43" spans="2:63" s="75" customFormat="1" ht="15" customHeight="1" x14ac:dyDescent="0.25">
      <c r="B43" s="99"/>
      <c r="AI43" s="98"/>
      <c r="BJ43" s="98"/>
      <c r="BK43" s="74"/>
    </row>
    <row r="44" spans="2:63" s="75" customFormat="1" ht="15" customHeight="1" x14ac:dyDescent="0.25">
      <c r="B44" s="99"/>
      <c r="AI44" s="98"/>
      <c r="BJ44" s="98"/>
      <c r="BK44" s="74"/>
    </row>
    <row r="45" spans="2:63" s="75" customFormat="1" ht="15" customHeight="1" x14ac:dyDescent="0.25">
      <c r="B45" s="99"/>
      <c r="AI45" s="98"/>
      <c r="BJ45" s="98"/>
      <c r="BK45" s="74"/>
    </row>
    <row r="46" spans="2:63" s="75" customFormat="1" ht="15" customHeight="1" x14ac:dyDescent="0.25">
      <c r="B46" s="99"/>
      <c r="AI46" s="98"/>
      <c r="BJ46" s="98"/>
      <c r="BK46" s="74"/>
    </row>
    <row r="47" spans="2:63" ht="15" customHeight="1" x14ac:dyDescent="0.25">
      <c r="B47" s="101"/>
      <c r="AI47" s="102"/>
      <c r="BJ47" s="102"/>
      <c r="BK47" s="10"/>
    </row>
    <row r="48" spans="2:63" ht="15" customHeight="1" x14ac:dyDescent="0.25">
      <c r="B48" s="101"/>
      <c r="AI48" s="102"/>
      <c r="BJ48" s="102"/>
      <c r="BK48" s="10"/>
    </row>
    <row r="49" spans="1:63" ht="15" customHeight="1" x14ac:dyDescent="0.25">
      <c r="B49" s="101"/>
      <c r="AI49" s="102"/>
      <c r="BJ49" s="102"/>
      <c r="BK49" s="10"/>
    </row>
    <row r="50" spans="1:63" ht="15" customHeight="1" x14ac:dyDescent="0.25">
      <c r="B50" s="101"/>
      <c r="AI50" s="102"/>
      <c r="BJ50" s="102"/>
      <c r="BK50" s="10"/>
    </row>
    <row r="51" spans="1:63" ht="15" customHeight="1" x14ac:dyDescent="0.25">
      <c r="B51" s="101"/>
      <c r="AI51" s="102"/>
      <c r="BJ51" s="102"/>
      <c r="BK51" s="10"/>
    </row>
    <row r="52" spans="1:63" ht="15" customHeight="1" x14ac:dyDescent="0.25">
      <c r="B52" s="101"/>
      <c r="AI52" s="102"/>
      <c r="BJ52" s="102"/>
      <c r="BK52" s="10"/>
    </row>
    <row r="53" spans="1:63" ht="15" customHeight="1" x14ac:dyDescent="0.25">
      <c r="B53" s="101"/>
      <c r="AI53" s="102"/>
      <c r="BJ53" s="102"/>
      <c r="BK53" s="10"/>
    </row>
    <row r="54" spans="1:63" ht="15" customHeight="1" x14ac:dyDescent="0.25">
      <c r="B54" s="101"/>
      <c r="AI54" s="102"/>
      <c r="BJ54" s="102"/>
      <c r="BK54" s="10"/>
    </row>
    <row r="55" spans="1:63" ht="15" customHeight="1" x14ac:dyDescent="0.25">
      <c r="B55" s="101"/>
      <c r="AI55" s="102"/>
      <c r="BJ55" s="102"/>
      <c r="BK55" s="10"/>
    </row>
    <row r="56" spans="1:63" ht="15" customHeight="1" x14ac:dyDescent="0.25">
      <c r="B56" s="101"/>
      <c r="AI56" s="102"/>
      <c r="BJ56" s="102"/>
      <c r="BK56" s="10"/>
    </row>
    <row r="57" spans="1:63" ht="15" customHeight="1" x14ac:dyDescent="0.25">
      <c r="B57" s="101"/>
      <c r="AI57" s="102"/>
      <c r="BJ57" s="102"/>
      <c r="BK57" s="10"/>
    </row>
    <row r="58" spans="1:63" ht="15" customHeight="1" x14ac:dyDescent="0.25">
      <c r="A58" s="8"/>
      <c r="B58" s="10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04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04"/>
      <c r="BK58" s="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activeCell="L24" sqref="L24:AZ36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368" t="s">
        <v>27</v>
      </c>
      <c r="B1" s="369"/>
      <c r="C1" s="369"/>
      <c r="D1" s="369"/>
      <c r="E1" s="369"/>
      <c r="F1" s="369"/>
      <c r="G1" s="369"/>
      <c r="H1" s="369"/>
      <c r="I1" s="369"/>
      <c r="J1" s="370"/>
      <c r="K1" s="368" t="s">
        <v>28</v>
      </c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70"/>
      <c r="W1" s="371" t="str">
        <f>IF(表紙!W1="","",表紙!W1)</f>
        <v>詳細設計書</v>
      </c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2"/>
      <c r="AO1" s="373"/>
      <c r="AP1" s="151" t="s">
        <v>29</v>
      </c>
      <c r="AQ1" s="152"/>
      <c r="AR1" s="152"/>
      <c r="AS1" s="153"/>
      <c r="AT1" s="151" t="s">
        <v>30</v>
      </c>
      <c r="AU1" s="152"/>
      <c r="AV1" s="152"/>
      <c r="AW1" s="152"/>
      <c r="AX1" s="153"/>
      <c r="AY1" s="151" t="s">
        <v>31</v>
      </c>
      <c r="AZ1" s="152"/>
      <c r="BA1" s="152"/>
      <c r="BB1" s="153"/>
      <c r="BC1" s="151" t="s">
        <v>32</v>
      </c>
      <c r="BD1" s="152"/>
      <c r="BE1" s="152"/>
      <c r="BF1" s="152"/>
      <c r="BG1" s="153"/>
      <c r="BH1" s="151" t="s">
        <v>33</v>
      </c>
      <c r="BI1" s="152"/>
      <c r="BJ1" s="152"/>
      <c r="BK1" s="153"/>
    </row>
    <row r="2" spans="1:63" ht="15" customHeight="1" x14ac:dyDescent="0.25">
      <c r="A2" s="215" t="str">
        <f>IF(表紙!A2="","",表紙!A2)</f>
        <v>POSサーバー</v>
      </c>
      <c r="B2" s="216"/>
      <c r="C2" s="216"/>
      <c r="D2" s="216"/>
      <c r="E2" s="216"/>
      <c r="F2" s="216"/>
      <c r="G2" s="216"/>
      <c r="H2" s="216"/>
      <c r="I2" s="216"/>
      <c r="J2" s="217"/>
      <c r="K2" s="215" t="str">
        <f>IF(表紙!K2="","",表紙!K2)</f>
        <v>POSサーバー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374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5"/>
      <c r="AO2" s="376"/>
      <c r="AP2" s="166" t="str">
        <f>IF(表紙!AP2="","",表紙!AP2)</f>
        <v>LoiLV</v>
      </c>
      <c r="AQ2" s="167"/>
      <c r="AR2" s="167"/>
      <c r="AS2" s="168"/>
      <c r="AT2" s="172">
        <f>IF(表紙!AT2="","",表紙!AT2)</f>
        <v>45461</v>
      </c>
      <c r="AU2" s="173"/>
      <c r="AV2" s="173"/>
      <c r="AW2" s="173"/>
      <c r="AX2" s="174"/>
      <c r="AY2" s="166" t="str">
        <f>IF(表紙!AY2="","",表紙!AY2)</f>
        <v>TuyenNH</v>
      </c>
      <c r="AZ2" s="167"/>
      <c r="BA2" s="167"/>
      <c r="BB2" s="168"/>
      <c r="BC2" s="172">
        <f>IF(表紙!BC2="","",表紙!BC2)</f>
        <v>45601</v>
      </c>
      <c r="BD2" s="173"/>
      <c r="BE2" s="173"/>
      <c r="BF2" s="173"/>
      <c r="BG2" s="174"/>
      <c r="BH2" s="166">
        <f>IF(表紙!BH2="","",表紙!BH2)</f>
        <v>0.11</v>
      </c>
      <c r="BI2" s="167"/>
      <c r="BJ2" s="167"/>
      <c r="BK2" s="168"/>
    </row>
    <row r="3" spans="1:63" ht="15" customHeight="1" x14ac:dyDescent="0.25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377"/>
      <c r="X3" s="378"/>
      <c r="Y3" s="378"/>
      <c r="Z3" s="378"/>
      <c r="AA3" s="378"/>
      <c r="AB3" s="378"/>
      <c r="AC3" s="378"/>
      <c r="AD3" s="378"/>
      <c r="AE3" s="378"/>
      <c r="AF3" s="378"/>
      <c r="AG3" s="378"/>
      <c r="AH3" s="378"/>
      <c r="AI3" s="378"/>
      <c r="AJ3" s="378"/>
      <c r="AK3" s="378"/>
      <c r="AL3" s="378"/>
      <c r="AM3" s="378"/>
      <c r="AN3" s="378"/>
      <c r="AO3" s="379"/>
      <c r="AP3" s="169"/>
      <c r="AQ3" s="170"/>
      <c r="AR3" s="170"/>
      <c r="AS3" s="171"/>
      <c r="AT3" s="175"/>
      <c r="AU3" s="176"/>
      <c r="AV3" s="176"/>
      <c r="AW3" s="176"/>
      <c r="AX3" s="177"/>
      <c r="AY3" s="169"/>
      <c r="AZ3" s="170"/>
      <c r="BA3" s="170"/>
      <c r="BB3" s="171"/>
      <c r="BC3" s="175"/>
      <c r="BD3" s="176"/>
      <c r="BE3" s="176"/>
      <c r="BF3" s="176"/>
      <c r="BG3" s="177"/>
      <c r="BH3" s="169"/>
      <c r="BI3" s="170"/>
      <c r="BJ3" s="170"/>
      <c r="BK3" s="171"/>
    </row>
    <row r="4" spans="1:63" ht="24.95" customHeight="1" x14ac:dyDescent="0.25">
      <c r="A4" s="368" t="s">
        <v>34</v>
      </c>
      <c r="B4" s="369"/>
      <c r="C4" s="369"/>
      <c r="D4" s="369"/>
      <c r="E4" s="369"/>
      <c r="F4" s="369"/>
      <c r="G4" s="370"/>
      <c r="H4" s="211" t="str">
        <f>IF(表紙!H4="","",表紙!H4)</f>
        <v>AP2102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368" t="s">
        <v>35</v>
      </c>
      <c r="V4" s="369"/>
      <c r="W4" s="369"/>
      <c r="X4" s="369"/>
      <c r="Y4" s="370"/>
      <c r="Z4" s="211" t="str">
        <f>IF(表紙!Z4="","",表紙!Z4)</f>
        <v>API設計書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4" t="str">
        <f ca="1">MID(CELL("filename",A1),FIND("]",CELL("filename",A1))+1,255)</f>
        <v>テンプレート</v>
      </c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3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11" customFormat="1" ht="15" customHeight="1" x14ac:dyDescent="0.25">
      <c r="BK7" s="15"/>
    </row>
    <row r="8" spans="1:63" s="11" customFormat="1" ht="15" customHeight="1" x14ac:dyDescent="0.25">
      <c r="BK8" s="15"/>
    </row>
    <row r="9" spans="1:63" s="11" customFormat="1" ht="15" customHeight="1" x14ac:dyDescent="0.25">
      <c r="BK9" s="15"/>
    </row>
    <row r="10" spans="1:63" s="11" customFormat="1" ht="15" customHeight="1" x14ac:dyDescent="0.25">
      <c r="BK10" s="15"/>
    </row>
    <row r="11" spans="1:63" s="11" customFormat="1" ht="15" customHeight="1" x14ac:dyDescent="0.25">
      <c r="BK11" s="15"/>
    </row>
    <row r="12" spans="1:63" s="11" customFormat="1" ht="15" customHeight="1" x14ac:dyDescent="0.25">
      <c r="BK12" s="15"/>
    </row>
    <row r="13" spans="1:63" s="11" customFormat="1" ht="15" customHeight="1" x14ac:dyDescent="0.25">
      <c r="BK13" s="15"/>
    </row>
    <row r="14" spans="1:63" s="11" customFormat="1" ht="15" customHeight="1" x14ac:dyDescent="0.25">
      <c r="BK14" s="15"/>
    </row>
    <row r="15" spans="1:63" s="11" customFormat="1" ht="15" customHeight="1" x14ac:dyDescent="0.25">
      <c r="BK15" s="15"/>
    </row>
    <row r="16" spans="1:63" s="11" customFormat="1" ht="15" customHeight="1" x14ac:dyDescent="0.25">
      <c r="BK16" s="15"/>
    </row>
    <row r="17" spans="63:63" s="11" customFormat="1" ht="15" customHeight="1" x14ac:dyDescent="0.25">
      <c r="BK17" s="15"/>
    </row>
    <row r="18" spans="63:63" s="11" customFormat="1" ht="15" customHeight="1" x14ac:dyDescent="0.25">
      <c r="BK18" s="15"/>
    </row>
    <row r="19" spans="63:63" s="11" customFormat="1" ht="15" customHeight="1" x14ac:dyDescent="0.25">
      <c r="BK19" s="15"/>
    </row>
    <row r="20" spans="63:63" s="11" customFormat="1" ht="15" customHeight="1" x14ac:dyDescent="0.25">
      <c r="BK20" s="15"/>
    </row>
    <row r="21" spans="63:63" s="11" customFormat="1" ht="15" customHeight="1" x14ac:dyDescent="0.25">
      <c r="BK21" s="15"/>
    </row>
    <row r="22" spans="63:63" s="11" customFormat="1" ht="15" customHeight="1" x14ac:dyDescent="0.25">
      <c r="BK22" s="15"/>
    </row>
    <row r="23" spans="63:63" s="11" customFormat="1" ht="15" customHeight="1" x14ac:dyDescent="0.25">
      <c r="BK23" s="15"/>
    </row>
    <row r="24" spans="63:63" s="11" customFormat="1" ht="15" customHeight="1" x14ac:dyDescent="0.25">
      <c r="BK24" s="15"/>
    </row>
    <row r="25" spans="63:63" s="11" customFormat="1" ht="15" customHeight="1" x14ac:dyDescent="0.25">
      <c r="BK25" s="15"/>
    </row>
    <row r="26" spans="63:63" s="11" customFormat="1" ht="15" customHeight="1" x14ac:dyDescent="0.25">
      <c r="BK26" s="15"/>
    </row>
    <row r="27" spans="63:63" s="11" customFormat="1" ht="15" customHeight="1" x14ac:dyDescent="0.25">
      <c r="BK27" s="15"/>
    </row>
    <row r="28" spans="63:63" s="11" customFormat="1" ht="15" customHeight="1" x14ac:dyDescent="0.25">
      <c r="BK28" s="15"/>
    </row>
    <row r="29" spans="63:63" s="11" customFormat="1" ht="15" customHeight="1" x14ac:dyDescent="0.25">
      <c r="BK29" s="15"/>
    </row>
    <row r="30" spans="63:63" s="11" customFormat="1" ht="15" customHeight="1" x14ac:dyDescent="0.25">
      <c r="BK30" s="15"/>
    </row>
    <row r="31" spans="63:63" s="11" customFormat="1" ht="15" customHeight="1" x14ac:dyDescent="0.25">
      <c r="BK31" s="15"/>
    </row>
    <row r="32" spans="63:63" s="11" customFormat="1" ht="15" customHeight="1" x14ac:dyDescent="0.25">
      <c r="BK32" s="15"/>
    </row>
    <row r="33" spans="63:63" s="11" customFormat="1" ht="15" customHeight="1" x14ac:dyDescent="0.25">
      <c r="BK33" s="15"/>
    </row>
    <row r="34" spans="63:63" s="11" customFormat="1" ht="15" customHeight="1" x14ac:dyDescent="0.25">
      <c r="BK34" s="15"/>
    </row>
    <row r="35" spans="63:63" s="11" customFormat="1" ht="15" customHeight="1" x14ac:dyDescent="0.25">
      <c r="BK35" s="15"/>
    </row>
    <row r="36" spans="63:63" s="11" customFormat="1" ht="15" customHeight="1" x14ac:dyDescent="0.25">
      <c r="BK36" s="15"/>
    </row>
    <row r="37" spans="63:63" s="11" customFormat="1" ht="15" customHeight="1" x14ac:dyDescent="0.25">
      <c r="BK37" s="15"/>
    </row>
    <row r="38" spans="63:63" s="11" customFormat="1" ht="15" customHeight="1" x14ac:dyDescent="0.25">
      <c r="BK38" s="15"/>
    </row>
    <row r="39" spans="63:63" s="11" customFormat="1" ht="15" customHeight="1" x14ac:dyDescent="0.25">
      <c r="BK39" s="15"/>
    </row>
    <row r="40" spans="63:63" s="11" customFormat="1" ht="15" customHeight="1" x14ac:dyDescent="0.25">
      <c r="BK40" s="15"/>
    </row>
    <row r="41" spans="63:63" s="11" customFormat="1" ht="15" customHeight="1" x14ac:dyDescent="0.25">
      <c r="BK41" s="15"/>
    </row>
    <row r="42" spans="63:63" s="11" customFormat="1" ht="15" customHeight="1" x14ac:dyDescent="0.25">
      <c r="BK42" s="15"/>
    </row>
    <row r="43" spans="63:63" s="11" customFormat="1" ht="15" customHeight="1" x14ac:dyDescent="0.25">
      <c r="BK43" s="15"/>
    </row>
    <row r="44" spans="63:63" s="11" customFormat="1" ht="15" customHeight="1" x14ac:dyDescent="0.25">
      <c r="BK44" s="15"/>
    </row>
    <row r="45" spans="63:63" s="11" customFormat="1" ht="15" customHeight="1" x14ac:dyDescent="0.25">
      <c r="BK45" s="15"/>
    </row>
    <row r="46" spans="63:63" s="11" customFormat="1" ht="15" customHeight="1" x14ac:dyDescent="0.25">
      <c r="BK46" s="15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AP2102</vt:lpstr>
      <vt:lpstr>処理フロー</vt:lpstr>
      <vt:lpstr>テンプレート</vt:lpstr>
      <vt:lpstr>'AP2102'!Print_Area</vt:lpstr>
      <vt:lpstr>テンプレート!Print_Area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2024-11-18T07:09:48Z</dcterms:modified>
  <cp:category/>
  <cp:contentStatus/>
</cp:coreProperties>
</file>