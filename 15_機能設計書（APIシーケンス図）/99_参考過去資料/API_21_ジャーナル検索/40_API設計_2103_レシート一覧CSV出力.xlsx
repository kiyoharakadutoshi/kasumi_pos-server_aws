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6DB06B0E-A5C7-4D3F-9B7F-EBBFC850F9B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2103" sheetId="8" r:id="rId4"/>
    <sheet name="処理フロー" sheetId="9" r:id="rId5"/>
    <sheet name="テンプレート" sheetId="7" r:id="rId6"/>
  </sheets>
  <definedNames>
    <definedName name="_xlnm.Print_Area" localSheetId="3">'AP2103'!$A$1:$BK$50</definedName>
    <definedName name="_xlnm.Print_Area" localSheetId="5">テンプレート!$A$1:$BK$54</definedName>
    <definedName name="_xlnm.Print_Area" localSheetId="4">処理フロー!$A$1:$BK$63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AT2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/>
  <c r="BH2" i="4"/>
  <c r="BH2" i="10" s="1"/>
  <c r="BC2" i="4"/>
  <c r="BC2" i="7" s="1"/>
  <c r="AY2" i="4"/>
  <c r="AY2" i="9" s="1"/>
  <c r="AT2" i="4"/>
  <c r="AT2" i="9" s="1"/>
  <c r="AP2" i="4"/>
  <c r="AP2" i="10" s="1"/>
  <c r="AP2" i="7" l="1"/>
  <c r="BH2" i="7"/>
  <c r="AY2" i="8"/>
  <c r="BC2" i="9"/>
  <c r="AP2" i="9"/>
  <c r="BH2" i="9"/>
  <c r="AT2" i="7"/>
  <c r="AY2" i="3"/>
  <c r="AY2" i="10"/>
  <c r="BC2" i="8"/>
  <c r="BC2" i="3"/>
  <c r="BC2" i="10"/>
  <c r="AP2" i="8"/>
  <c r="BH2" i="8"/>
  <c r="AY2" i="7"/>
  <c r="AP2" i="3"/>
  <c r="BH2" i="3"/>
</calcChain>
</file>

<file path=xl/sharedStrings.xml><?xml version="1.0" encoding="utf-8"?>
<sst xmlns="http://schemas.openxmlformats.org/spreadsheetml/2006/main" count="173" uniqueCount="105">
  <si>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</si>
  <si>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</si>
  <si>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</si>
  <si>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</si>
  <si>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</si>
  <si>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</si>
  <si>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</si>
  <si>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</si>
  <si>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</si>
  <si>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</si>
  <si>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</si>
  <si>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</si>
  <si>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</si>
  <si>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</si>
  <si>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</si>
  <si>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</si>
  <si>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</si>
  <si>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</si>
  <si>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</si>
  <si>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</si>
  <si>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</si>
  <si>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</si>
  <si>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</si>
  <si>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</si>
  <si>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</si>
  <si>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</si>
  <si>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</si>
  <si>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</si>
  <si>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</si>
  <si>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</si>
  <si>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</si>
  <si>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</si>
  <si>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</si>
  <si>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</si>
  <si>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</si>
  <si>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</si>
  <si>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</si>
  <si>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</si>
  <si>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</si>
  <si>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</si>
  <si>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</si>
  <si>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</si>
  <si>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</si>
  <si>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</si>
  <si>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</si>
  <si>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FFFFFF"/>
        <rFont val="Meiryo UI"/>
        <family val="3"/>
        <charset val="128"/>
      </rPr>
      <t>●API処理フロー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</si>
  <si>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</si>
  <si>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</si>
  <si>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</si>
  <si>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</si>
  <si>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</si>
  <si>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AP2103_レシート一覧CSV出力</t>
    </r>
  </si>
  <si>
    <r>
      <rPr>
        <sz val="11"/>
        <color rgb="FF000000"/>
        <rFont val="Meiryo UI"/>
        <family val="2"/>
      </rPr>
      <t>レシート一覧を出力する。</t>
    </r>
  </si>
  <si>
    <r>
      <rPr>
        <sz val="11"/>
        <color rgb="FF000000"/>
        <rFont val="Meiryo UI"/>
        <family val="2"/>
      </rPr>
      <t>api/v1/journals/export</t>
    </r>
  </si>
  <si>
    <r>
      <rPr>
        <sz val="11"/>
        <color rgb="FF000000"/>
        <rFont val="Meiryo UI"/>
        <family val="2"/>
      </rPr>
      <t>List&lt;bigint&gt;</t>
    </r>
  </si>
  <si>
    <r>
      <rPr>
        <sz val="11"/>
        <color rgb="FF000000"/>
        <rFont val="Meiryo UI"/>
        <family val="2"/>
      </rPr>
      <t>language</t>
    </r>
  </si>
  <si>
    <r>
      <rPr>
        <sz val="11"/>
        <color rgb="FF000000"/>
        <rFont val="Meiryo UI"/>
        <family val="2"/>
      </rPr>
      <t>ja</t>
    </r>
  </si>
  <si>
    <r>
      <rPr>
        <sz val="11"/>
        <color rgb="FF000000"/>
        <rFont val="Meiryo UI"/>
        <family val="2"/>
      </rPr>
      <t>出力言語</t>
    </r>
  </si>
  <si>
    <r>
      <rPr>
        <sz val="11"/>
        <color rgb="FF000000"/>
        <rFont val="Meiryo UI"/>
        <family val="2"/>
      </rPr>
      <t>内部レビューバグ修正</t>
    </r>
  </si>
  <si>
    <r>
      <rPr>
        <sz val="11"/>
        <color rgb="FF000000"/>
        <rFont val="Meiryo UI"/>
        <family val="2"/>
      </rPr>
      <t>record_ids</t>
    </r>
  </si>
  <si>
    <r>
      <rPr>
        <sz val="11"/>
        <color rgb="FF000000"/>
        <rFont val="Meiryo UI"/>
        <family val="2"/>
      </rPr>
      <t>出力する必要があるトランザクションのレコードIDの一覧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</si>
  <si>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</si>
  <si>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String</t>
    </r>
  </si>
  <si>
    <t>システム管理者権限：全ての店舗を取得する。
ユーザー・本部ユーザー権限：UserStoreテーブルで権限を持つ店舗のみ取得する。</t>
  </si>
  <si>
    <t>処理フロー</t>
  </si>
  <si>
    <t>・以下のフィールドでソートロジックを追加する。
店舗コード、レジ番号、取引日時、レシートNo.</t>
  </si>
  <si>
    <t>DuNT</t>
  </si>
  <si>
    <t>データがない場合はエラーメッセージを表示し、空のCSVファイルを返さない。</t>
  </si>
  <si>
    <t>TuyenNH</t>
  </si>
  <si>
    <t>・t_journalテーブルのDB構造を変更する。
・店舗名はstore_masterテーブルから取得する。
・従業員名はemployee_masterテーブルから取得する。</t>
  </si>
  <si>
    <t>シート[AP2103]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</si>
  <si>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</si>
  <si>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</si>
  <si>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</si>
  <si>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</si>
  <si>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</si>
  <si>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</si>
  <si>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</si>
  <si>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</si>
  <si>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</si>
  <si>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</si>
  <si>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</si>
  <si>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</si>
  <si>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</si>
  <si>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</si>
  <si>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</si>
  <si>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</si>
  <si>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</si>
  <si>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</si>
  <si>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</si>
  <si>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</si>
  <si>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</si>
  <si>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>ja: 日本語、en: 英語。サポートされていない言語の場合、エラーメッセージ = MSG_VAL_019</t>
    </r>
  </si>
  <si>
    <t>sort_column</t>
  </si>
  <si>
    <t>String</t>
  </si>
  <si>
    <t>列のソート</t>
  </si>
  <si>
    <t>以下のフィールドでソート可能
  store_code : 店舗コード
  cash_register_code: レジ番号
  transaction_date: 取引日時
  receipt_no: レシートNo</t>
  </si>
  <si>
    <t>sort_value</t>
  </si>
  <si>
    <t>ASC</t>
  </si>
  <si>
    <t>値のソート</t>
  </si>
  <si>
    <t>ASC又はDESC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</si>
  <si>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</si>
  <si>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</si>
  <si>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sz val="11"/>
        <color rgb="FF000000"/>
        <rFont val="Meiryo UI"/>
        <family val="2"/>
      </rPr>
      <t>以下の形式でcsvファイルを返す。CSV2101_レシート一覧.xlsx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</si>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</sst>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rgb="FF0000FF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  <xf numFmtId="0" fontId="6" fillId="0" borderId="0">
      <alignment vertical="center"/>
    </xf>
  </cellStyleXfs>
  <cellXfs count="292">
    <xf numFmtId="0" fontId="0" fillId="0" borderId="0" xfId="0"/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21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5" fillId="4" borderId="19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21" xfId="0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4" fillId="0" borderId="17" xfId="0" applyFont="1" applyBorder="1"/>
    <xf numFmtId="0" fontId="14" fillId="0" borderId="18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6" xfId="0" applyFont="1" applyBorder="1"/>
    <xf numFmtId="0" fontId="14" fillId="0" borderId="2" xfId="0" applyFont="1" applyBorder="1"/>
    <xf numFmtId="0" fontId="2" fillId="4" borderId="0" xfId="0" applyFont="1" applyFill="1"/>
    <xf numFmtId="0" fontId="3" fillId="0" borderId="16" xfId="0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24" xfId="0" quotePrefix="1" applyFont="1" applyBorder="1" applyAlignment="1">
      <alignment horizontal="left" vertical="center"/>
    </xf>
    <xf numFmtId="0" fontId="7" fillId="0" borderId="25" xfId="0" quotePrefix="1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14" fontId="19" fillId="0" borderId="1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26" xfId="0" applyFont="1" applyBorder="1" applyAlignment="1">
      <alignment wrapText="1"/>
    </xf>
    <xf numFmtId="0" fontId="19" fillId="0" borderId="27" xfId="0" applyFont="1" applyBorder="1"/>
    <xf numFmtId="0" fontId="19" fillId="0" borderId="28" xfId="0" applyFont="1" applyBorder="1"/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0" fontId="19" fillId="0" borderId="26" xfId="0" quotePrefix="1" applyFont="1" applyBorder="1" applyAlignment="1">
      <alignment vertical="top" wrapText="1"/>
    </xf>
    <xf numFmtId="0" fontId="19" fillId="0" borderId="27" xfId="0" applyFont="1" applyBorder="1" applyAlignment="1">
      <alignment vertical="top"/>
    </xf>
    <xf numFmtId="0" fontId="19" fillId="0" borderId="28" xfId="0" applyFont="1" applyBorder="1" applyAlignment="1">
      <alignment vertical="top"/>
    </xf>
    <xf numFmtId="0" fontId="19" fillId="0" borderId="26" xfId="0" applyFont="1" applyBorder="1" applyAlignment="1">
      <alignment vertical="top" wrapText="1"/>
    </xf>
    <xf numFmtId="0" fontId="20" fillId="4" borderId="23" xfId="6" applyFont="1" applyFill="1" applyBorder="1" applyAlignment="1">
      <alignment horizontal="center" vertical="center"/>
    </xf>
    <xf numFmtId="0" fontId="20" fillId="4" borderId="24" xfId="6" applyFont="1" applyFill="1" applyBorder="1" applyAlignment="1">
      <alignment horizontal="center" vertical="center"/>
    </xf>
    <xf numFmtId="0" fontId="20" fillId="4" borderId="25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0" fillId="4" borderId="23" xfId="0" applyFont="1" applyFill="1" applyBorder="1" applyAlignment="1">
      <alignment horizontal="center" vertical="center"/>
    </xf>
    <xf numFmtId="0" fontId="20" fillId="4" borderId="24" xfId="0" applyFont="1" applyFill="1" applyBorder="1" applyAlignment="1">
      <alignment horizontal="center" vertical="center"/>
    </xf>
    <xf numFmtId="0" fontId="20" fillId="4" borderId="25" xfId="0" applyFont="1" applyFill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23" fillId="0" borderId="24" xfId="0" applyFont="1" applyBorder="1" applyAlignment="1">
      <alignment horizontal="left" vertical="center"/>
    </xf>
    <xf numFmtId="0" fontId="23" fillId="0" borderId="25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4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4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top"/>
    </xf>
    <xf numFmtId="0" fontId="23" fillId="0" borderId="0" xfId="0" applyFont="1" applyAlignment="1">
      <alignment horizontal="left" vertical="top"/>
    </xf>
    <xf numFmtId="0" fontId="23" fillId="0" borderId="4" xfId="0" applyFont="1" applyBorder="1" applyAlignment="1">
      <alignment horizontal="left" vertical="top"/>
    </xf>
    <xf numFmtId="0" fontId="23" fillId="0" borderId="0" xfId="0" quotePrefix="1" applyFont="1" applyAlignment="1">
      <alignment horizontal="left" vertical="top" wrapText="1"/>
    </xf>
    <xf numFmtId="0" fontId="23" fillId="0" borderId="4" xfId="0" quotePrefix="1" applyFont="1" applyBorder="1" applyAlignment="1">
      <alignment horizontal="left" vertical="top" wrapText="1"/>
    </xf>
    <xf numFmtId="0" fontId="23" fillId="0" borderId="2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23" fillId="0" borderId="2" xfId="0" quotePrefix="1" applyFont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2" xfId="0" quotePrefix="1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3" fillId="0" borderId="5" xfId="0" quotePrefix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top"/>
    </xf>
    <xf numFmtId="0" fontId="23" fillId="0" borderId="3" xfId="0" applyFont="1" applyBorder="1" applyAlignment="1">
      <alignment horizontal="left" vertical="top"/>
    </xf>
    <xf numFmtId="0" fontId="23" fillId="0" borderId="5" xfId="0" applyFont="1" applyBorder="1" applyAlignment="1">
      <alignment horizontal="left" vertical="top"/>
    </xf>
    <xf numFmtId="0" fontId="23" fillId="0" borderId="3" xfId="0" quotePrefix="1" applyFont="1" applyBorder="1" applyAlignment="1">
      <alignment horizontal="left" vertical="top" wrapText="1"/>
    </xf>
    <xf numFmtId="0" fontId="23" fillId="0" borderId="5" xfId="0" quotePrefix="1" applyFont="1" applyBorder="1" applyAlignment="1">
      <alignment horizontal="left" vertical="top" wrapText="1"/>
    </xf>
    <xf numFmtId="0" fontId="23" fillId="0" borderId="0" xfId="0" quotePrefix="1" applyFont="1" applyAlignment="1">
      <alignment horizontal="left" vertical="center"/>
    </xf>
    <xf numFmtId="0" fontId="23" fillId="5" borderId="23" xfId="0" applyFont="1" applyFill="1" applyBorder="1" applyAlignment="1">
      <alignment horizontal="left" vertical="center"/>
    </xf>
    <xf numFmtId="0" fontId="23" fillId="5" borderId="24" xfId="0" applyFont="1" applyFill="1" applyBorder="1" applyAlignment="1">
      <alignment horizontal="left" vertical="center"/>
    </xf>
    <xf numFmtId="0" fontId="23" fillId="5" borderId="25" xfId="0" applyFont="1" applyFill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3" xfId="0" applyFont="1" applyBorder="1" applyAlignment="1">
      <alignment horizontal="left" vertical="center" wrapText="1"/>
    </xf>
    <xf numFmtId="0" fontId="23" fillId="0" borderId="24" xfId="0" applyFont="1" applyBorder="1" applyAlignment="1">
      <alignment horizontal="left" vertical="center" wrapText="1"/>
    </xf>
    <xf numFmtId="0" fontId="23" fillId="0" borderId="25" xfId="0" applyFont="1" applyBorder="1" applyAlignment="1">
      <alignment horizontal="left" vertical="center" wrapText="1"/>
    </xf>
    <xf numFmtId="0" fontId="23" fillId="0" borderId="4" xfId="0" applyFont="1" applyBorder="1" applyAlignment="1">
      <alignment vertical="center"/>
    </xf>
    <xf numFmtId="0" fontId="23" fillId="3" borderId="0" xfId="0" applyFont="1" applyFill="1" applyAlignment="1">
      <alignment vertical="center"/>
    </xf>
    <xf numFmtId="0" fontId="19" fillId="0" borderId="23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3" xfId="0" quotePrefix="1" applyFont="1" applyBorder="1" applyAlignment="1">
      <alignment horizontal="left" vertical="center" wrapText="1"/>
    </xf>
    <xf numFmtId="0" fontId="23" fillId="0" borderId="0" xfId="0" applyFont="1" applyAlignment="1">
      <alignment vertical="center"/>
    </xf>
    <xf numFmtId="0" fontId="23" fillId="0" borderId="21" xfId="0" applyFont="1" applyBorder="1" applyAlignment="1">
      <alignment vertical="center"/>
    </xf>
    <xf numFmtId="0" fontId="23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22412</xdr:rowOff>
    </xdr:from>
    <xdr:to>
      <xdr:col>62</xdr:col>
      <xdr:colOff>0</xdr:colOff>
      <xdr:row>19</xdr:row>
      <xdr:rowOff>0</xdr:rowOff>
    </xdr:to>
    <xdr:sp macro="" textlink="" fLocksText="0">
      <xdr:nvSpPr>
        <xdr:cNvPr id="10" name="吹き出し: 線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9334500" y="2419350"/>
          <a:ext cx="7200900" cy="1314450"/>
        </a:xfrm>
        <a:prstGeom prst="borderCallout1">
          <a:avLst>
            <a:gd name="adj1" fmla="val 49238"/>
            <a:gd name="adj2" fmla="val -235"/>
            <a:gd name="adj3" fmla="val 49269"/>
            <a:gd name="adj4" fmla="val -9587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1.操作権限がある店舗一覧を取得する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マスタDBでは：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1.1 </a:t>
          </a:r>
          <a:r>
            <a:rPr lang="en-US" altLang="ja-JP" sz="1000" b="0" i="0" u="none" kern="0" spc="0" baseline="0">
              <a:ln>
                <a:noFill/>
              </a:ln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User.RoleCode = 02 (Store User)又はUser.RoleCode = 01 (Headquaters user)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UserStoreテーブルで、以下の条件を満たす一覧でstoresを付与する。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・UserStore.UserId = User.Id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 User.RoleCode = 00 (System administrator)の場合、</a:t>
          </a:r>
          <a:r>
            <a:rPr lang="en-US" altLang="ja-JP" sz="1000" b="0" i="0" u="none" kern="0" spc="0" baseline="0">
              <a:ln>
                <a:noFill/>
              </a:ln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会社の全ての店舗を取得する。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26</xdr:row>
      <xdr:rowOff>4</xdr:rowOff>
    </xdr:from>
    <xdr:to>
      <xdr:col>9</xdr:col>
      <xdr:colOff>0</xdr:colOff>
      <xdr:row>30</xdr:row>
      <xdr:rowOff>4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5067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トランザクション一覧を取得する。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14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23" idx="0"/>
        </xdr:cNvCxnSpPr>
      </xdr:nvCxnSpPr>
      <xdr:spPr>
        <a:xfrm>
          <a:off x="1600200" y="1628775"/>
          <a:ext cx="0" cy="1152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30</xdr:row>
      <xdr:rowOff>4</xdr:rowOff>
    </xdr:from>
    <xdr:to>
      <xdr:col>6</xdr:col>
      <xdr:colOff>1</xdr:colOff>
      <xdr:row>40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2"/>
          <a:endCxn id="2" idx="0"/>
        </xdr:cNvCxnSpPr>
      </xdr:nvCxnSpPr>
      <xdr:spPr>
        <a:xfrm>
          <a:off x="1600200" y="5829300"/>
          <a:ext cx="0" cy="1905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57</xdr:row>
      <xdr:rowOff>22412</xdr:rowOff>
    </xdr:from>
    <xdr:to>
      <xdr:col>8</xdr:col>
      <xdr:colOff>0</xdr:colOff>
      <xdr:row>59</xdr:row>
      <xdr:rowOff>0</xdr:rowOff>
    </xdr:to>
    <xdr:sp macro="" textlink="" fLocksText="0">
      <xdr:nvSpPr>
        <xdr:cNvPr id="20" name="Oval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066800" y="109918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35</xdr:col>
      <xdr:colOff>0</xdr:colOff>
      <xdr:row>23</xdr:row>
      <xdr:rowOff>0</xdr:rowOff>
    </xdr:from>
    <xdr:to>
      <xdr:col>62</xdr:col>
      <xdr:colOff>0</xdr:colOff>
      <xdr:row>37</xdr:row>
      <xdr:rowOff>0</xdr:rowOff>
    </xdr:to>
    <xdr:sp macro="" textlink="" fLocksText="0">
      <xdr:nvSpPr>
        <xdr:cNvPr id="22" name="吹き出し: 線 2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9334500" y="4495800"/>
          <a:ext cx="7200900" cy="2667000"/>
        </a:xfrm>
        <a:prstGeom prst="borderCallout1">
          <a:avLst>
            <a:gd name="adj1" fmla="val 35815"/>
            <a:gd name="adj2" fmla="val -235"/>
            <a:gd name="adj3" fmla="val 35493"/>
            <a:gd name="adj4" fmla="val -964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トランザクション一覧を取得する。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レポートDBでは：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以下の条件を満たすトランザクション一覧を取得する。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・request.record_idsに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t_journal.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RECORD_IDが含まれている。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・storesに</a:t>
          </a: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t_journal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.STORE_CODE含まれている。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・店舗名はs</a:t>
          </a: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tore_master.nameから取得する。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・従業員名はemployee_master.nameから取得する。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・ORDER BY param {sort_colum} param {sort_value}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sort_columが渡されない場合、 以下のフィールドでソートを実行する。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T_JOURNAL.INSTORE_CODE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T_JOURNAL.RECORD_DT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T_JOURNAL.PRCNO ASC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14</xdr:row>
      <xdr:rowOff>0</xdr:rowOff>
    </xdr:from>
    <xdr:to>
      <xdr:col>9</xdr:col>
      <xdr:colOff>0</xdr:colOff>
      <xdr:row>18</xdr:row>
      <xdr:rowOff>0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00100" y="278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ユーザーが操作権限を持つ店舗一覧を取得する。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18</xdr:row>
      <xdr:rowOff>0</xdr:rowOff>
    </xdr:from>
    <xdr:to>
      <xdr:col>6</xdr:col>
      <xdr:colOff>1</xdr:colOff>
      <xdr:row>26</xdr:row>
      <xdr:rowOff>4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23" idx="2"/>
          <a:endCxn id="8" idx="0"/>
        </xdr:cNvCxnSpPr>
      </xdr:nvCxnSpPr>
      <xdr:spPr>
        <a:xfrm>
          <a:off x="1600200" y="3543300"/>
          <a:ext cx="0" cy="1524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48</xdr:row>
      <xdr:rowOff>0</xdr:rowOff>
    </xdr:from>
    <xdr:to>
      <xdr:col>9</xdr:col>
      <xdr:colOff>0</xdr:colOff>
      <xdr:row>52</xdr:row>
      <xdr:rowOff>0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00100" y="9258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返却結果を保存するCSVファイルの作成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52</xdr:row>
      <xdr:rowOff>0</xdr:rowOff>
    </xdr:from>
    <xdr:to>
      <xdr:col>6</xdr:col>
      <xdr:colOff>1</xdr:colOff>
      <xdr:row>57</xdr:row>
      <xdr:rowOff>22412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41" idx="2"/>
          <a:endCxn id="20" idx="0"/>
        </xdr:cNvCxnSpPr>
      </xdr:nvCxnSpPr>
      <xdr:spPr>
        <a:xfrm flipH="1">
          <a:off x="1600200" y="10020300"/>
          <a:ext cx="0" cy="971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46</xdr:row>
      <xdr:rowOff>0</xdr:rowOff>
    </xdr:from>
    <xdr:to>
      <xdr:col>62</xdr:col>
      <xdr:colOff>0</xdr:colOff>
      <xdr:row>54</xdr:row>
      <xdr:rowOff>0</xdr:rowOff>
    </xdr:to>
    <xdr:sp macro="" textlink="" fLocksText="0">
      <xdr:nvSpPr>
        <xdr:cNvPr id="51" name="吹き出し: 線 2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/>
      </xdr:nvSpPr>
      <xdr:spPr>
        <a:xfrm>
          <a:off x="9334500" y="8877300"/>
          <a:ext cx="7200900" cy="1524000"/>
        </a:xfrm>
        <a:prstGeom prst="borderCallout1">
          <a:avLst>
            <a:gd name="adj1" fmla="val 49681"/>
            <a:gd name="adj2" fmla="val -59"/>
            <a:gd name="adj3" fmla="val 50339"/>
            <a:gd name="adj4" fmla="val -9604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返却結果を保存するCSVファイルを作成する。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・ステップ2で取得したトランザクションデータをマッピングし、CSVファイルに格納する (CSVのサンプルCSV2101_レシート一覧.xlsxにある)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 CSVファイルは以下のパスに保存される。{保存先}/TransactionReceip/ジャーナル検索_yyyyMMddHHmmss.csv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・ヘッダーとファイル名はrequest.languageに基づいて多言語対応する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strike="sngStrik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条件を満たすレコードがない場合、ヘッダーのみを含むCSVファイルを送信する。</a:t>
          </a:r>
        </a:p>
      </xdr:txBody>
    </xdr:sp>
    <xdr:clientData/>
  </xdr:twoCellAnchor>
  <xdr:twoCellAnchor>
    <xdr:from>
      <xdr:col>3</xdr:col>
      <xdr:colOff>0</xdr:colOff>
      <xdr:row>40</xdr:row>
      <xdr:rowOff>0</xdr:rowOff>
    </xdr:from>
    <xdr:to>
      <xdr:col>9</xdr:col>
      <xdr:colOff>0</xdr:colOff>
      <xdr:row>44</xdr:row>
      <xdr:rowOff>179294</xdr:rowOff>
    </xdr:to>
    <xdr:sp macro="" textlink="" fLocksText="0">
      <xdr:nvSpPr>
        <xdr:cNvPr id="2" name="Flowchart: Decisio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773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レコードが存在している</a:t>
          </a:r>
          <a:endParaRPr lang="en-US" sz="8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44</xdr:row>
      <xdr:rowOff>179294</xdr:rowOff>
    </xdr:from>
    <xdr:to>
      <xdr:col>7</xdr:col>
      <xdr:colOff>0</xdr:colOff>
      <xdr:row>45</xdr:row>
      <xdr:rowOff>179294</xdr:rowOff>
    </xdr:to>
    <xdr:sp macro="" textlink="" fLocksText="0">
      <xdr:nvSpPr>
        <xdr:cNvPr id="6" name="Flowchart: Process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333500" y="867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41</xdr:row>
      <xdr:rowOff>179294</xdr:rowOff>
    </xdr:from>
    <xdr:to>
      <xdr:col>11</xdr:col>
      <xdr:colOff>0</xdr:colOff>
      <xdr:row>42</xdr:row>
      <xdr:rowOff>179294</xdr:rowOff>
    </xdr:to>
    <xdr:sp macro="" textlink="" fLocksText="0">
      <xdr:nvSpPr>
        <xdr:cNvPr id="11" name="Flowchart: Process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2400300" y="810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</xdr:colOff>
      <xdr:row>45</xdr:row>
      <xdr:rowOff>179294</xdr:rowOff>
    </xdr:from>
    <xdr:to>
      <xdr:col>6</xdr:col>
      <xdr:colOff>1</xdr:colOff>
      <xdr:row>48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6" idx="2"/>
          <a:endCxn id="41" idx="0"/>
        </xdr:cNvCxnSpPr>
      </xdr:nvCxnSpPr>
      <xdr:spPr>
        <a:xfrm>
          <a:off x="1600200" y="88677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42</xdr:row>
      <xdr:rowOff>84044</xdr:rowOff>
    </xdr:from>
    <xdr:to>
      <xdr:col>11</xdr:col>
      <xdr:colOff>0</xdr:colOff>
      <xdr:row>57</xdr:row>
      <xdr:rowOff>22412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11" idx="3"/>
          <a:endCxn id="20" idx="0"/>
        </xdr:cNvCxnSpPr>
      </xdr:nvCxnSpPr>
      <xdr:spPr>
        <a:xfrm flipH="1">
          <a:off x="1600200" y="8201025"/>
          <a:ext cx="1333500" cy="2790825"/>
        </a:xfrm>
        <a:prstGeom prst="bentConnector4">
          <a:avLst>
            <a:gd name="adj1" fmla="val -19429"/>
            <a:gd name="adj2" fmla="val 8537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230842</xdr:colOff>
      <xdr:row>41</xdr:row>
      <xdr:rowOff>0</xdr:rowOff>
    </xdr:from>
    <xdr:to>
      <xdr:col>61</xdr:col>
      <xdr:colOff>230842</xdr:colOff>
      <xdr:row>44</xdr:row>
      <xdr:rowOff>1</xdr:rowOff>
    </xdr:to>
    <xdr:sp macro="" textlink="" fLocksText="0">
      <xdr:nvSpPr>
        <xdr:cNvPr id="26" name="吹き出し: 線 2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9296400" y="7924800"/>
          <a:ext cx="7200900" cy="571500"/>
        </a:xfrm>
        <a:prstGeom prst="borderCallout1">
          <a:avLst>
            <a:gd name="adj1" fmla="val 51887"/>
            <a:gd name="adj2" fmla="val 470"/>
            <a:gd name="adj3" fmla="val 48869"/>
            <a:gd name="adj4" fmla="val -9463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レコードが存在している場合、ステップ4を実行する。</a:t>
          </a:r>
        </a:p>
        <a:p>
          <a:pPr>
            <a:defRPr lang="en-US" altLang="ja-JP" sz="1000" b="0" i="0" u="non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レコードが存在していない場合、レスポンスコード404、「MSG_ERR_001」エラーメッセージを返す。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5" t="s">
        <v>17</v>
      </c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7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 x14ac:dyDescent="0.25">
      <c r="A2" s="94" t="s">
        <v>15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13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98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100"/>
      <c r="AP2" s="14" t="str">
        <f>改訂履歴!$H$11</f>
        <v>AnhDD</v>
      </c>
      <c r="AQ2" s="13"/>
      <c r="AR2" s="13"/>
      <c r="AS2" s="12"/>
      <c r="AT2" s="88">
        <f>改訂履歴!$B$11</f>
        <v>45517</v>
      </c>
      <c r="AU2" s="89"/>
      <c r="AV2" s="89"/>
      <c r="AW2" s="89"/>
      <c r="AX2" s="90"/>
      <c r="AY2" s="14" t="str">
        <f>LOOKUP(2,1/(改訂履歴!H11:H30000&lt;&gt;""),改訂履歴!H11:H30000)</f>
        <v>DuNT</v>
      </c>
      <c r="AZ2" s="13"/>
      <c r="BA2" s="13"/>
      <c r="BB2" s="12"/>
      <c r="BC2" s="88">
        <f>LOOKUP(2,1/(改訂履歴!B11:B30000&lt;&gt;""),改訂履歴!B11:B30000)</f>
        <v>45621</v>
      </c>
      <c r="BD2" s="89"/>
      <c r="BE2" s="89"/>
      <c r="BF2" s="89"/>
      <c r="BG2" s="90"/>
      <c r="BH2" s="82">
        <f>LOOKUP(2,1/(改訂履歴!O11:O30000&lt;&gt;""),改訂履歴!O11:O30000)</f>
        <v>0.51</v>
      </c>
      <c r="BI2" s="83"/>
      <c r="BJ2" s="83"/>
      <c r="BK2" s="84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8"/>
      <c r="AQ3" s="7"/>
      <c r="AR3" s="7"/>
      <c r="AS3" s="6"/>
      <c r="AT3" s="91"/>
      <c r="AU3" s="92"/>
      <c r="AV3" s="92"/>
      <c r="AW3" s="92"/>
      <c r="AX3" s="93"/>
      <c r="AY3" s="8"/>
      <c r="AZ3" s="7"/>
      <c r="BA3" s="7"/>
      <c r="BB3" s="6"/>
      <c r="BC3" s="91"/>
      <c r="BD3" s="92"/>
      <c r="BE3" s="92"/>
      <c r="BF3" s="92"/>
      <c r="BG3" s="93"/>
      <c r="BH3" s="85"/>
      <c r="BI3" s="86"/>
      <c r="BJ3" s="86"/>
      <c r="BK3" s="87"/>
    </row>
    <row r="4" spans="1:63" ht="24.95" customHeight="1" x14ac:dyDescent="0.25">
      <c r="A4" s="73" t="s">
        <v>1</v>
      </c>
      <c r="B4" s="74"/>
      <c r="C4" s="74"/>
      <c r="D4" s="74"/>
      <c r="E4" s="74"/>
      <c r="F4" s="74"/>
      <c r="G4" s="75"/>
      <c r="H4" s="78" t="s">
        <v>51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8</v>
      </c>
      <c r="V4" s="74"/>
      <c r="W4" s="74"/>
      <c r="X4" s="74"/>
      <c r="Y4" s="75"/>
      <c r="Z4" s="81" t="s">
        <v>16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str">
        <f ca="1">RIGHT(CELL("filename",$A$1),LEN(CELL("filename",$A$1))-FIND("]",CELL("filename",$A$1)))</f>
        <v>表紙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6" t="s">
        <v>49</v>
      </c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26"/>
      <c r="BK16" s="18"/>
    </row>
    <row r="17" spans="1:63" ht="15" customHeight="1" x14ac:dyDescent="0.25">
      <c r="A17" s="15"/>
      <c r="K17" s="20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26"/>
      <c r="BK17" s="18"/>
    </row>
    <row r="18" spans="1:63" ht="15" customHeight="1" x14ac:dyDescent="0.25">
      <c r="A18" s="15"/>
      <c r="K18" s="20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26"/>
      <c r="BK18" s="18"/>
    </row>
    <row r="19" spans="1:63" ht="15" customHeight="1" x14ac:dyDescent="0.25">
      <c r="A19" s="15"/>
      <c r="K19" s="20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26"/>
      <c r="BK19" s="18"/>
    </row>
    <row r="20" spans="1:63" ht="15" customHeight="1" x14ac:dyDescent="0.25">
      <c r="A20" s="15"/>
      <c r="K20" s="20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26"/>
      <c r="BK20" s="18"/>
    </row>
    <row r="21" spans="1:63" ht="15" customHeight="1" x14ac:dyDescent="0.25">
      <c r="A21" s="15"/>
      <c r="K21" s="20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7" t="str">
        <f>K2&amp;"/"&amp;H4&amp;"/"&amp;Z4</f>
        <v>POSサーバー/AP2103_レシート一覧CSV出力/API設計書</v>
      </c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26"/>
      <c r="BK24" s="18"/>
    </row>
    <row r="25" spans="1:63" ht="15" customHeight="1" x14ac:dyDescent="0.25">
      <c r="A25" s="15"/>
      <c r="K25" s="20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26"/>
      <c r="BK25" s="18"/>
    </row>
    <row r="26" spans="1:63" ht="15" customHeight="1" x14ac:dyDescent="0.25">
      <c r="A26" s="15"/>
      <c r="K26" s="20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26"/>
      <c r="BK26" s="18"/>
    </row>
    <row r="27" spans="1:63" ht="15" customHeight="1" x14ac:dyDescent="0.25">
      <c r="A27" s="15"/>
      <c r="K27" s="20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26"/>
      <c r="BK27" s="18"/>
    </row>
    <row r="28" spans="1:63" ht="15" customHeight="1" x14ac:dyDescent="0.25">
      <c r="A28" s="15"/>
      <c r="K28" s="20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26"/>
      <c r="BK28" s="18"/>
    </row>
    <row r="29" spans="1:63" ht="15" customHeight="1" x14ac:dyDescent="0.25">
      <c r="A29" s="15"/>
      <c r="K29" s="20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26"/>
      <c r="BK29" s="18"/>
    </row>
    <row r="30" spans="1:63" ht="15" customHeight="1" x14ac:dyDescent="0.25">
      <c r="A30" s="15"/>
      <c r="K30" s="20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26"/>
      <c r="BK30" s="18"/>
    </row>
    <row r="31" spans="1:63" ht="15" customHeight="1" x14ac:dyDescent="0.25">
      <c r="A31" s="15"/>
      <c r="K31" s="20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26"/>
      <c r="BK31" s="18"/>
    </row>
    <row r="32" spans="1:63" ht="15" customHeight="1" x14ac:dyDescent="0.25">
      <c r="A32" s="15"/>
      <c r="K32" s="20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26"/>
      <c r="BK32" s="18"/>
    </row>
    <row r="33" spans="1:63" ht="15" customHeight="1" x14ac:dyDescent="0.25">
      <c r="A33" s="15"/>
      <c r="K33" s="20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26"/>
      <c r="BK33" s="18"/>
    </row>
    <row r="34" spans="1:63" ht="15" customHeight="1" x14ac:dyDescent="0.25">
      <c r="A34" s="15"/>
      <c r="K34" s="20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26"/>
      <c r="BK34" s="18"/>
    </row>
    <row r="35" spans="1:63" ht="15" customHeight="1" x14ac:dyDescent="0.25">
      <c r="A35" s="15"/>
      <c r="K35" s="20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26"/>
      <c r="BK35" s="18"/>
    </row>
    <row r="36" spans="1:63" ht="15" customHeight="1" x14ac:dyDescent="0.25">
      <c r="A36" s="15"/>
      <c r="K36" s="20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5" t="s">
        <v>11</v>
      </c>
      <c r="R44" s="4"/>
      <c r="S44" s="4"/>
      <c r="T44" s="4"/>
      <c r="U44" s="4"/>
      <c r="V44" s="4"/>
      <c r="W44" s="4"/>
      <c r="X44" s="4"/>
      <c r="Y44" s="4"/>
      <c r="Z44" s="3"/>
      <c r="AA44" s="5" t="s">
        <v>12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3"/>
      <c r="AQ44" s="5" t="s">
        <v>7</v>
      </c>
      <c r="AR44" s="4"/>
      <c r="AS44" s="4"/>
      <c r="AT44" s="4"/>
      <c r="AU44" s="3"/>
      <c r="BK44" s="18"/>
    </row>
    <row r="45" spans="1:63" ht="15" customHeight="1" x14ac:dyDescent="0.25">
      <c r="A45" s="15"/>
      <c r="Q45" s="2"/>
      <c r="R45" s="1"/>
      <c r="S45" s="1"/>
      <c r="T45" s="1"/>
      <c r="U45" s="1"/>
      <c r="V45" s="1"/>
      <c r="W45" s="1"/>
      <c r="X45" s="1"/>
      <c r="Y45" s="1"/>
      <c r="Z45" s="72"/>
      <c r="AA45" s="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72"/>
      <c r="AQ45" s="2"/>
      <c r="AR45" s="1"/>
      <c r="AS45" s="1"/>
      <c r="AT45" s="1"/>
      <c r="AU45" s="72"/>
      <c r="BK45" s="18"/>
    </row>
    <row r="46" spans="1:63" ht="15" customHeight="1" x14ac:dyDescent="0.25">
      <c r="A46" s="15"/>
      <c r="Q46" s="14"/>
      <c r="R46" s="13"/>
      <c r="S46" s="13"/>
      <c r="T46" s="13"/>
      <c r="U46" s="13"/>
      <c r="V46" s="13"/>
      <c r="W46" s="13"/>
      <c r="X46" s="13"/>
      <c r="Y46" s="13"/>
      <c r="Z46" s="12"/>
      <c r="AA46" s="14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2"/>
      <c r="AQ46" s="14"/>
      <c r="AR46" s="13"/>
      <c r="AS46" s="13"/>
      <c r="AT46" s="13"/>
      <c r="AU46" s="12"/>
      <c r="BK46" s="18"/>
    </row>
    <row r="47" spans="1:63" ht="15" customHeight="1" x14ac:dyDescent="0.25">
      <c r="A47" s="15"/>
      <c r="Q47" s="11"/>
      <c r="R47" s="10"/>
      <c r="S47" s="10"/>
      <c r="T47" s="10"/>
      <c r="U47" s="10"/>
      <c r="V47" s="10"/>
      <c r="W47" s="10"/>
      <c r="X47" s="10"/>
      <c r="Y47" s="10"/>
      <c r="Z47" s="9"/>
      <c r="AA47" s="11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9"/>
      <c r="AQ47" s="11"/>
      <c r="AR47" s="10"/>
      <c r="AS47" s="10"/>
      <c r="AT47" s="10"/>
      <c r="AU47" s="9"/>
      <c r="BK47" s="18"/>
    </row>
    <row r="48" spans="1:63" ht="15" customHeight="1" x14ac:dyDescent="0.25">
      <c r="A48" s="15"/>
      <c r="Q48" s="11"/>
      <c r="R48" s="10"/>
      <c r="S48" s="10"/>
      <c r="T48" s="10"/>
      <c r="U48" s="10"/>
      <c r="V48" s="10"/>
      <c r="W48" s="10"/>
      <c r="X48" s="10"/>
      <c r="Y48" s="10"/>
      <c r="Z48" s="9"/>
      <c r="AA48" s="11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9"/>
      <c r="AQ48" s="11"/>
      <c r="AR48" s="10"/>
      <c r="AS48" s="10"/>
      <c r="AT48" s="10"/>
      <c r="AU48" s="9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123" t="str">
        <f>IF(表紙!W1="","",表紙!W1)</f>
        <v>詳細設計書</v>
      </c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7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 x14ac:dyDescent="0.25">
      <c r="A2" s="14" t="str">
        <f>IF(表紙!A2="","",表紙!A2)</f>
        <v>POSサーバー</v>
      </c>
      <c r="B2" s="13"/>
      <c r="C2" s="13"/>
      <c r="D2" s="13"/>
      <c r="E2" s="13"/>
      <c r="F2" s="13"/>
      <c r="G2" s="13"/>
      <c r="H2" s="13"/>
      <c r="I2" s="13"/>
      <c r="J2" s="12"/>
      <c r="K2" s="14" t="str">
        <f>IF(表紙!K2="","",表紙!K2)</f>
        <v>POSサーバー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98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100"/>
      <c r="AP2" s="14" t="str">
        <f>IF(表紙!AP2="","",表紙!AP2)</f>
        <v>AnhDD</v>
      </c>
      <c r="AQ2" s="13"/>
      <c r="AR2" s="13"/>
      <c r="AS2" s="12"/>
      <c r="AT2" s="88">
        <f>IF(表紙!AT2="","",表紙!AT2)</f>
        <v>45517</v>
      </c>
      <c r="AU2" s="89"/>
      <c r="AV2" s="89"/>
      <c r="AW2" s="89"/>
      <c r="AX2" s="90"/>
      <c r="AY2" s="14" t="str">
        <f>IF(表紙!AY2="","",表紙!AY2)</f>
        <v>DuNT</v>
      </c>
      <c r="AZ2" s="13"/>
      <c r="BA2" s="13"/>
      <c r="BB2" s="12"/>
      <c r="BC2" s="88">
        <f>IF(表紙!BC2="","",表紙!BC2)</f>
        <v>45621</v>
      </c>
      <c r="BD2" s="89"/>
      <c r="BE2" s="89"/>
      <c r="BF2" s="89"/>
      <c r="BG2" s="90"/>
      <c r="BH2" s="14">
        <f>IF(表紙!BH2="","",表紙!BH2)</f>
        <v>0.51</v>
      </c>
      <c r="BI2" s="13"/>
      <c r="BJ2" s="13"/>
      <c r="BK2" s="12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8"/>
      <c r="AQ3" s="7"/>
      <c r="AR3" s="7"/>
      <c r="AS3" s="6"/>
      <c r="AT3" s="91"/>
      <c r="AU3" s="92"/>
      <c r="AV3" s="92"/>
      <c r="AW3" s="92"/>
      <c r="AX3" s="93"/>
      <c r="AY3" s="8"/>
      <c r="AZ3" s="7"/>
      <c r="BA3" s="7"/>
      <c r="BB3" s="6"/>
      <c r="BC3" s="91"/>
      <c r="BD3" s="92"/>
      <c r="BE3" s="92"/>
      <c r="BF3" s="92"/>
      <c r="BG3" s="93"/>
      <c r="BH3" s="8"/>
      <c r="BI3" s="7"/>
      <c r="BJ3" s="7"/>
      <c r="BK3" s="6"/>
    </row>
    <row r="4" spans="1:63" ht="24.95" customHeight="1" x14ac:dyDescent="0.25">
      <c r="A4" s="73" t="s">
        <v>1</v>
      </c>
      <c r="B4" s="74"/>
      <c r="C4" s="74"/>
      <c r="D4" s="74"/>
      <c r="E4" s="74"/>
      <c r="F4" s="74"/>
      <c r="G4" s="75"/>
      <c r="H4" s="78" t="str">
        <f>IF(表紙!H4="","",表紙!H4)</f>
        <v>AP2103_レシート一覧CSV出力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8</v>
      </c>
      <c r="V4" s="74"/>
      <c r="W4" s="74"/>
      <c r="X4" s="74"/>
      <c r="Y4" s="75"/>
      <c r="Z4" s="78" t="str">
        <f>IF(表紙!Z4="","",表紙!Z4)</f>
        <v>API設計書</v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str">
        <f t="array" aca="1" ref="AP4" ca="1">RIGHT(CELL("filename",$A$1),LEN(CELL("filename",$A$1))-FIND("]",CELL("filename",$A$1)))</f>
        <v>改訂履歴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2" t="s">
        <v>6</v>
      </c>
      <c r="C10" s="122"/>
      <c r="D10" s="122"/>
      <c r="E10" s="122"/>
      <c r="F10" s="122"/>
      <c r="G10" s="122"/>
      <c r="H10" s="122" t="s">
        <v>5</v>
      </c>
      <c r="I10" s="122"/>
      <c r="J10" s="122"/>
      <c r="K10" s="122"/>
      <c r="L10" s="122"/>
      <c r="M10" s="122"/>
      <c r="N10" s="122"/>
      <c r="O10" s="122" t="s">
        <v>7</v>
      </c>
      <c r="P10" s="122"/>
      <c r="Q10" s="122"/>
      <c r="R10" s="122"/>
      <c r="S10" s="122" t="s">
        <v>10</v>
      </c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 t="s">
        <v>11</v>
      </c>
      <c r="AY10" s="122"/>
      <c r="AZ10" s="122"/>
      <c r="BA10" s="122"/>
      <c r="BB10" s="122"/>
      <c r="BC10" s="122"/>
      <c r="BD10" s="122" t="s">
        <v>12</v>
      </c>
      <c r="BE10" s="122"/>
      <c r="BF10" s="122"/>
      <c r="BG10" s="122"/>
      <c r="BH10" s="122"/>
      <c r="BI10" s="122"/>
      <c r="BJ10" s="122"/>
      <c r="BK10" s="18"/>
    </row>
    <row r="11" spans="1:63" ht="15" customHeight="1" x14ac:dyDescent="0.25">
      <c r="A11" s="15"/>
      <c r="B11" s="88">
        <v>45517</v>
      </c>
      <c r="C11" s="13"/>
      <c r="D11" s="13"/>
      <c r="E11" s="13"/>
      <c r="F11" s="13"/>
      <c r="G11" s="12"/>
      <c r="H11" s="94" t="s">
        <v>61</v>
      </c>
      <c r="I11" s="13"/>
      <c r="J11" s="13"/>
      <c r="K11" s="13"/>
      <c r="L11" s="13"/>
      <c r="M11" s="13"/>
      <c r="N11" s="12"/>
      <c r="O11" s="14">
        <v>0.1</v>
      </c>
      <c r="P11" s="13"/>
      <c r="Q11" s="13"/>
      <c r="R11" s="13"/>
      <c r="S11" s="104" t="s">
        <v>14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6"/>
      <c r="AX11" s="107"/>
      <c r="AY11" s="107"/>
      <c r="AZ11" s="107"/>
      <c r="BA11" s="107"/>
      <c r="BB11" s="107"/>
      <c r="BC11" s="108"/>
      <c r="BD11" s="111"/>
      <c r="BE11" s="107"/>
      <c r="BF11" s="107"/>
      <c r="BG11" s="107"/>
      <c r="BH11" s="107"/>
      <c r="BI11" s="107"/>
      <c r="BJ11" s="108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13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4"/>
      <c r="AU12" s="114"/>
      <c r="AV12" s="114"/>
      <c r="AW12" s="115"/>
      <c r="AX12" s="109"/>
      <c r="AY12" s="109"/>
      <c r="AZ12" s="109"/>
      <c r="BA12" s="109"/>
      <c r="BB12" s="109"/>
      <c r="BC12" s="110"/>
      <c r="BD12" s="112"/>
      <c r="BE12" s="109"/>
      <c r="BF12" s="109"/>
      <c r="BG12" s="109"/>
      <c r="BH12" s="109"/>
      <c r="BI12" s="109"/>
      <c r="BJ12" s="110"/>
      <c r="BK12" s="18"/>
    </row>
    <row r="13" spans="1:63" ht="15" customHeight="1" x14ac:dyDescent="0.25">
      <c r="A13" s="15"/>
      <c r="B13" s="88">
        <v>45524</v>
      </c>
      <c r="C13" s="13"/>
      <c r="D13" s="13"/>
      <c r="E13" s="13"/>
      <c r="F13" s="13"/>
      <c r="G13" s="12"/>
      <c r="H13" s="14" t="s">
        <v>50</v>
      </c>
      <c r="I13" s="13"/>
      <c r="J13" s="13"/>
      <c r="K13" s="13"/>
      <c r="L13" s="13"/>
      <c r="M13" s="13"/>
      <c r="N13" s="12"/>
      <c r="O13" s="14">
        <v>0.2</v>
      </c>
      <c r="P13" s="13"/>
      <c r="Q13" s="13"/>
      <c r="R13" s="13"/>
      <c r="S13" s="104" t="s">
        <v>58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6"/>
      <c r="AX13" s="107"/>
      <c r="AY13" s="107"/>
      <c r="AZ13" s="107"/>
      <c r="BA13" s="107"/>
      <c r="BB13" s="107"/>
      <c r="BC13" s="108"/>
      <c r="BD13" s="111"/>
      <c r="BE13" s="107"/>
      <c r="BF13" s="107"/>
      <c r="BG13" s="107"/>
      <c r="BH13" s="107"/>
      <c r="BI13" s="107"/>
      <c r="BJ13" s="108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113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5"/>
      <c r="AX14" s="109"/>
      <c r="AY14" s="109"/>
      <c r="AZ14" s="109"/>
      <c r="BA14" s="109"/>
      <c r="BB14" s="109"/>
      <c r="BC14" s="110"/>
      <c r="BD14" s="112"/>
      <c r="BE14" s="109"/>
      <c r="BF14" s="109"/>
      <c r="BG14" s="109"/>
      <c r="BH14" s="109"/>
      <c r="BI14" s="109"/>
      <c r="BJ14" s="110"/>
      <c r="BK14" s="18"/>
    </row>
    <row r="15" spans="1:63" x14ac:dyDescent="0.25">
      <c r="A15" s="15"/>
      <c r="B15" s="175">
        <v>45580</v>
      </c>
      <c r="C15" s="176"/>
      <c r="D15" s="176"/>
      <c r="E15" s="176"/>
      <c r="F15" s="176"/>
      <c r="G15" s="177"/>
      <c r="H15" s="178" t="s">
        <v>66</v>
      </c>
      <c r="I15" s="176"/>
      <c r="J15" s="176"/>
      <c r="K15" s="176"/>
      <c r="L15" s="176"/>
      <c r="M15" s="176"/>
      <c r="N15" s="177"/>
      <c r="O15" s="178">
        <v>0.3</v>
      </c>
      <c r="P15" s="176"/>
      <c r="Q15" s="176"/>
      <c r="R15" s="176"/>
      <c r="S15" s="179" t="s">
        <v>67</v>
      </c>
      <c r="T15" s="180"/>
      <c r="U15" s="180"/>
      <c r="V15" s="180"/>
      <c r="W15" s="180"/>
      <c r="X15" s="180"/>
      <c r="Y15" s="180"/>
      <c r="Z15" s="180"/>
      <c r="AA15" s="180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  <c r="AT15" s="180"/>
      <c r="AU15" s="180"/>
      <c r="AV15" s="180"/>
      <c r="AW15" s="181"/>
      <c r="AX15" s="107"/>
      <c r="AY15" s="107"/>
      <c r="AZ15" s="107"/>
      <c r="BA15" s="107"/>
      <c r="BB15" s="107"/>
      <c r="BC15" s="108"/>
      <c r="BD15" s="111"/>
      <c r="BE15" s="107"/>
      <c r="BF15" s="107"/>
      <c r="BG15" s="107"/>
      <c r="BH15" s="107"/>
      <c r="BI15" s="107"/>
      <c r="BJ15" s="108"/>
      <c r="BK15" s="18"/>
    </row>
    <row r="16" spans="1:63" ht="15" customHeight="1" x14ac:dyDescent="0.25">
      <c r="A16" s="15"/>
      <c r="B16" s="182"/>
      <c r="C16" s="183"/>
      <c r="D16" s="183"/>
      <c r="E16" s="183"/>
      <c r="F16" s="183"/>
      <c r="G16" s="184"/>
      <c r="H16" s="182"/>
      <c r="I16" s="183"/>
      <c r="J16" s="183"/>
      <c r="K16" s="183"/>
      <c r="L16" s="183"/>
      <c r="M16" s="183"/>
      <c r="N16" s="184"/>
      <c r="O16" s="182"/>
      <c r="P16" s="183"/>
      <c r="Q16" s="183"/>
      <c r="R16" s="183"/>
      <c r="S16" s="185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/>
      <c r="AO16" s="186"/>
      <c r="AP16" s="186"/>
      <c r="AQ16" s="186"/>
      <c r="AR16" s="186"/>
      <c r="AS16" s="186"/>
      <c r="AT16" s="186"/>
      <c r="AU16" s="186"/>
      <c r="AV16" s="186"/>
      <c r="AW16" s="187"/>
      <c r="AX16" s="109"/>
      <c r="AY16" s="109"/>
      <c r="AZ16" s="109"/>
      <c r="BA16" s="109"/>
      <c r="BB16" s="109"/>
      <c r="BC16" s="110"/>
      <c r="BD16" s="112"/>
      <c r="BE16" s="109"/>
      <c r="BF16" s="109"/>
      <c r="BG16" s="109"/>
      <c r="BH16" s="109"/>
      <c r="BI16" s="109"/>
      <c r="BJ16" s="110"/>
      <c r="BK16" s="18"/>
    </row>
    <row r="17" spans="1:63" ht="48.75" customHeight="1" x14ac:dyDescent="0.25">
      <c r="A17" s="15"/>
      <c r="B17" s="175">
        <v>45580</v>
      </c>
      <c r="C17" s="176"/>
      <c r="D17" s="176"/>
      <c r="E17" s="176"/>
      <c r="F17" s="176"/>
      <c r="G17" s="177"/>
      <c r="H17" s="178" t="s">
        <v>68</v>
      </c>
      <c r="I17" s="176"/>
      <c r="J17" s="176"/>
      <c r="K17" s="176"/>
      <c r="L17" s="176"/>
      <c r="M17" s="176"/>
      <c r="N17" s="177"/>
      <c r="O17" s="178">
        <v>0.4</v>
      </c>
      <c r="P17" s="176"/>
      <c r="Q17" s="176"/>
      <c r="R17" s="176"/>
      <c r="S17" s="188" t="s">
        <v>69</v>
      </c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89"/>
      <c r="AS17" s="189"/>
      <c r="AT17" s="189"/>
      <c r="AU17" s="189"/>
      <c r="AV17" s="189"/>
      <c r="AW17" s="190"/>
      <c r="AX17" s="107"/>
      <c r="AY17" s="107"/>
      <c r="AZ17" s="107"/>
      <c r="BA17" s="107"/>
      <c r="BB17" s="107"/>
      <c r="BC17" s="108"/>
      <c r="BD17" s="111"/>
      <c r="BE17" s="107"/>
      <c r="BF17" s="107"/>
      <c r="BG17" s="107"/>
      <c r="BH17" s="107"/>
      <c r="BI17" s="107"/>
      <c r="BJ17" s="108"/>
      <c r="BK17" s="18"/>
    </row>
    <row r="18" spans="1:63" ht="15" customHeight="1" x14ac:dyDescent="0.25">
      <c r="A18" s="15"/>
      <c r="B18" s="182"/>
      <c r="C18" s="183"/>
      <c r="D18" s="183"/>
      <c r="E18" s="183"/>
      <c r="F18" s="183"/>
      <c r="G18" s="184"/>
      <c r="H18" s="182"/>
      <c r="I18" s="183"/>
      <c r="J18" s="183"/>
      <c r="K18" s="183"/>
      <c r="L18" s="183"/>
      <c r="M18" s="183"/>
      <c r="N18" s="184"/>
      <c r="O18" s="182"/>
      <c r="P18" s="183"/>
      <c r="Q18" s="183"/>
      <c r="R18" s="183"/>
      <c r="S18" s="185" t="s">
        <v>70</v>
      </c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7"/>
      <c r="AX18" s="109"/>
      <c r="AY18" s="109"/>
      <c r="AZ18" s="109"/>
      <c r="BA18" s="109"/>
      <c r="BB18" s="109"/>
      <c r="BC18" s="110"/>
      <c r="BD18" s="112"/>
      <c r="BE18" s="109"/>
      <c r="BF18" s="109"/>
      <c r="BG18" s="109"/>
      <c r="BH18" s="109"/>
      <c r="BI18" s="109"/>
      <c r="BJ18" s="110"/>
      <c r="BK18" s="18"/>
    </row>
    <row r="19" spans="1:63" ht="34.5" customHeight="1" x14ac:dyDescent="0.25">
      <c r="A19" s="15"/>
      <c r="B19" s="175">
        <v>45610</v>
      </c>
      <c r="C19" s="176"/>
      <c r="D19" s="176"/>
      <c r="E19" s="176"/>
      <c r="F19" s="176"/>
      <c r="G19" s="177"/>
      <c r="H19" s="178" t="s">
        <v>68</v>
      </c>
      <c r="I19" s="176"/>
      <c r="J19" s="176"/>
      <c r="K19" s="176"/>
      <c r="L19" s="176"/>
      <c r="M19" s="176"/>
      <c r="N19" s="177"/>
      <c r="O19" s="178">
        <v>0.5</v>
      </c>
      <c r="P19" s="176"/>
      <c r="Q19" s="176"/>
      <c r="R19" s="176"/>
      <c r="S19" s="188" t="s">
        <v>65</v>
      </c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89"/>
      <c r="AS19" s="189"/>
      <c r="AT19" s="189"/>
      <c r="AU19" s="189"/>
      <c r="AV19" s="189"/>
      <c r="AW19" s="190"/>
      <c r="AX19" s="116"/>
      <c r="AY19" s="116"/>
      <c r="AZ19" s="116"/>
      <c r="BA19" s="116"/>
      <c r="BB19" s="116"/>
      <c r="BC19" s="117"/>
      <c r="BD19" s="120"/>
      <c r="BE19" s="116"/>
      <c r="BF19" s="116"/>
      <c r="BG19" s="116"/>
      <c r="BH19" s="116"/>
      <c r="BI19" s="116"/>
      <c r="BJ19" s="117"/>
      <c r="BK19" s="18"/>
    </row>
    <row r="20" spans="1:63" ht="15" customHeight="1" x14ac:dyDescent="0.25">
      <c r="A20" s="15"/>
      <c r="B20" s="182"/>
      <c r="C20" s="183"/>
      <c r="D20" s="183"/>
      <c r="E20" s="183"/>
      <c r="F20" s="183"/>
      <c r="G20" s="184"/>
      <c r="H20" s="182"/>
      <c r="I20" s="183"/>
      <c r="J20" s="183"/>
      <c r="K20" s="183"/>
      <c r="L20" s="183"/>
      <c r="M20" s="183"/>
      <c r="N20" s="184"/>
      <c r="O20" s="182"/>
      <c r="P20" s="183"/>
      <c r="Q20" s="183"/>
      <c r="R20" s="183"/>
      <c r="S20" s="185" t="s">
        <v>70</v>
      </c>
      <c r="T20" s="186"/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  <c r="AR20" s="186"/>
      <c r="AS20" s="186"/>
      <c r="AT20" s="186"/>
      <c r="AU20" s="186"/>
      <c r="AV20" s="186"/>
      <c r="AW20" s="187"/>
      <c r="AX20" s="118"/>
      <c r="AY20" s="118"/>
      <c r="AZ20" s="118"/>
      <c r="BA20" s="118"/>
      <c r="BB20" s="118"/>
      <c r="BC20" s="119"/>
      <c r="BD20" s="121"/>
      <c r="BE20" s="118"/>
      <c r="BF20" s="118"/>
      <c r="BG20" s="118"/>
      <c r="BH20" s="118"/>
      <c r="BI20" s="118"/>
      <c r="BJ20" s="119"/>
      <c r="BK20" s="18"/>
    </row>
    <row r="21" spans="1:63" ht="34.5" customHeight="1" x14ac:dyDescent="0.25">
      <c r="A21" s="15"/>
      <c r="B21" s="175">
        <v>45621</v>
      </c>
      <c r="C21" s="176"/>
      <c r="D21" s="176"/>
      <c r="E21" s="176"/>
      <c r="F21" s="176"/>
      <c r="G21" s="177"/>
      <c r="H21" s="178" t="s">
        <v>66</v>
      </c>
      <c r="I21" s="176"/>
      <c r="J21" s="176"/>
      <c r="K21" s="176"/>
      <c r="L21" s="176"/>
      <c r="M21" s="176"/>
      <c r="N21" s="177"/>
      <c r="O21" s="178">
        <v>0.51</v>
      </c>
      <c r="P21" s="176"/>
      <c r="Q21" s="176"/>
      <c r="R21" s="176"/>
      <c r="S21" s="191" t="s">
        <v>63</v>
      </c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89"/>
      <c r="AU21" s="189"/>
      <c r="AV21" s="189"/>
      <c r="AW21" s="190"/>
      <c r="AX21" s="107"/>
      <c r="AY21" s="107"/>
      <c r="AZ21" s="107"/>
      <c r="BA21" s="107"/>
      <c r="BB21" s="107"/>
      <c r="BC21" s="108"/>
      <c r="BD21" s="111"/>
      <c r="BE21" s="107"/>
      <c r="BF21" s="107"/>
      <c r="BG21" s="107"/>
      <c r="BH21" s="107"/>
      <c r="BI21" s="107"/>
      <c r="BJ21" s="108"/>
      <c r="BK21" s="18"/>
    </row>
    <row r="22" spans="1:63" ht="15" customHeight="1" x14ac:dyDescent="0.25">
      <c r="A22" s="15"/>
      <c r="B22" s="182"/>
      <c r="C22" s="183"/>
      <c r="D22" s="183"/>
      <c r="E22" s="183"/>
      <c r="F22" s="183"/>
      <c r="G22" s="184"/>
      <c r="H22" s="182"/>
      <c r="I22" s="183"/>
      <c r="J22" s="183"/>
      <c r="K22" s="183"/>
      <c r="L22" s="183"/>
      <c r="M22" s="183"/>
      <c r="N22" s="184"/>
      <c r="O22" s="182"/>
      <c r="P22" s="183"/>
      <c r="Q22" s="183"/>
      <c r="R22" s="183"/>
      <c r="S22" s="185" t="s">
        <v>64</v>
      </c>
      <c r="T22" s="186"/>
      <c r="U22" s="186"/>
      <c r="V22" s="186"/>
      <c r="W22" s="186"/>
      <c r="X22" s="186"/>
      <c r="Y22" s="186"/>
      <c r="Z22" s="186"/>
      <c r="AA22" s="186"/>
      <c r="AB22" s="186"/>
      <c r="AC22" s="186"/>
      <c r="AD22" s="186"/>
      <c r="AE22" s="186"/>
      <c r="AF22" s="186"/>
      <c r="AG22" s="186"/>
      <c r="AH22" s="186"/>
      <c r="AI22" s="186"/>
      <c r="AJ22" s="186"/>
      <c r="AK22" s="186"/>
      <c r="AL22" s="186"/>
      <c r="AM22" s="186"/>
      <c r="AN22" s="186"/>
      <c r="AO22" s="186"/>
      <c r="AP22" s="186"/>
      <c r="AQ22" s="186"/>
      <c r="AR22" s="186"/>
      <c r="AS22" s="186"/>
      <c r="AT22" s="186"/>
      <c r="AU22" s="186"/>
      <c r="AV22" s="186"/>
      <c r="AW22" s="187"/>
      <c r="AX22" s="109"/>
      <c r="AY22" s="109"/>
      <c r="AZ22" s="109"/>
      <c r="BA22" s="109"/>
      <c r="BB22" s="109"/>
      <c r="BC22" s="110"/>
      <c r="BD22" s="112"/>
      <c r="BE22" s="109"/>
      <c r="BF22" s="109"/>
      <c r="BG22" s="109"/>
      <c r="BH22" s="109"/>
      <c r="BI22" s="109"/>
      <c r="BJ22" s="110"/>
      <c r="BK22" s="18"/>
    </row>
    <row r="23" spans="1:63" ht="15" customHeight="1" x14ac:dyDescent="0.25">
      <c r="A23" s="15"/>
      <c r="B23" s="14"/>
      <c r="C23" s="13"/>
      <c r="D23" s="13"/>
      <c r="E23" s="13"/>
      <c r="F23" s="13"/>
      <c r="G23" s="12"/>
      <c r="H23" s="14"/>
      <c r="I23" s="13"/>
      <c r="J23" s="13"/>
      <c r="K23" s="13"/>
      <c r="L23" s="13"/>
      <c r="M23" s="13"/>
      <c r="N23" s="12"/>
      <c r="O23" s="14"/>
      <c r="P23" s="13"/>
      <c r="Q23" s="13"/>
      <c r="R23" s="13"/>
      <c r="S23" s="104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6"/>
      <c r="AX23" s="107"/>
      <c r="AY23" s="107"/>
      <c r="AZ23" s="107"/>
      <c r="BA23" s="107"/>
      <c r="BB23" s="107"/>
      <c r="BC23" s="108"/>
      <c r="BD23" s="111"/>
      <c r="BE23" s="107"/>
      <c r="BF23" s="107"/>
      <c r="BG23" s="107"/>
      <c r="BH23" s="107"/>
      <c r="BI23" s="107"/>
      <c r="BJ23" s="108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13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5"/>
      <c r="AX24" s="109"/>
      <c r="AY24" s="109"/>
      <c r="AZ24" s="109"/>
      <c r="BA24" s="109"/>
      <c r="BB24" s="109"/>
      <c r="BC24" s="110"/>
      <c r="BD24" s="112"/>
      <c r="BE24" s="109"/>
      <c r="BF24" s="109"/>
      <c r="BG24" s="109"/>
      <c r="BH24" s="109"/>
      <c r="BI24" s="109"/>
      <c r="BJ24" s="110"/>
      <c r="BK24" s="18"/>
    </row>
    <row r="25" spans="1:63" ht="15" customHeight="1" x14ac:dyDescent="0.25">
      <c r="A25" s="15"/>
      <c r="B25" s="14"/>
      <c r="C25" s="13"/>
      <c r="D25" s="13"/>
      <c r="E25" s="13"/>
      <c r="F25" s="13"/>
      <c r="G25" s="12"/>
      <c r="H25" s="14"/>
      <c r="I25" s="13"/>
      <c r="J25" s="13"/>
      <c r="K25" s="13"/>
      <c r="L25" s="13"/>
      <c r="M25" s="13"/>
      <c r="N25" s="12"/>
      <c r="O25" s="14"/>
      <c r="P25" s="13"/>
      <c r="Q25" s="13"/>
      <c r="R25" s="13"/>
      <c r="S25" s="104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6"/>
      <c r="AX25" s="107"/>
      <c r="AY25" s="107"/>
      <c r="AZ25" s="107"/>
      <c r="BA25" s="107"/>
      <c r="BB25" s="107"/>
      <c r="BC25" s="108"/>
      <c r="BD25" s="111"/>
      <c r="BE25" s="107"/>
      <c r="BF25" s="107"/>
      <c r="BG25" s="107"/>
      <c r="BH25" s="107"/>
      <c r="BI25" s="107"/>
      <c r="BJ25" s="108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13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114"/>
      <c r="AS26" s="114"/>
      <c r="AT26" s="114"/>
      <c r="AU26" s="114"/>
      <c r="AV26" s="114"/>
      <c r="AW26" s="115"/>
      <c r="AX26" s="109"/>
      <c r="AY26" s="109"/>
      <c r="AZ26" s="109"/>
      <c r="BA26" s="109"/>
      <c r="BB26" s="109"/>
      <c r="BC26" s="110"/>
      <c r="BD26" s="112"/>
      <c r="BE26" s="109"/>
      <c r="BF26" s="109"/>
      <c r="BG26" s="109"/>
      <c r="BH26" s="109"/>
      <c r="BI26" s="109"/>
      <c r="BJ26" s="110"/>
      <c r="BK26" s="18"/>
    </row>
    <row r="27" spans="1:63" ht="15" customHeight="1" x14ac:dyDescent="0.25">
      <c r="A27" s="15"/>
      <c r="B27" s="14"/>
      <c r="C27" s="13"/>
      <c r="D27" s="13"/>
      <c r="E27" s="13"/>
      <c r="F27" s="13"/>
      <c r="G27" s="12"/>
      <c r="H27" s="14"/>
      <c r="I27" s="13"/>
      <c r="J27" s="13"/>
      <c r="K27" s="13"/>
      <c r="L27" s="13"/>
      <c r="M27" s="13"/>
      <c r="N27" s="12"/>
      <c r="O27" s="14"/>
      <c r="P27" s="13"/>
      <c r="Q27" s="13"/>
      <c r="R27" s="13"/>
      <c r="S27" s="104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6"/>
      <c r="AX27" s="107"/>
      <c r="AY27" s="107"/>
      <c r="AZ27" s="107"/>
      <c r="BA27" s="107"/>
      <c r="BB27" s="107"/>
      <c r="BC27" s="108"/>
      <c r="BD27" s="111"/>
      <c r="BE27" s="107"/>
      <c r="BF27" s="107"/>
      <c r="BG27" s="107"/>
      <c r="BH27" s="107"/>
      <c r="BI27" s="107"/>
      <c r="BJ27" s="108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13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  <c r="AN28" s="114"/>
      <c r="AO28" s="114"/>
      <c r="AP28" s="114"/>
      <c r="AQ28" s="114"/>
      <c r="AR28" s="114"/>
      <c r="AS28" s="114"/>
      <c r="AT28" s="114"/>
      <c r="AU28" s="114"/>
      <c r="AV28" s="114"/>
      <c r="AW28" s="115"/>
      <c r="AX28" s="109"/>
      <c r="AY28" s="109"/>
      <c r="AZ28" s="109"/>
      <c r="BA28" s="109"/>
      <c r="BB28" s="109"/>
      <c r="BC28" s="110"/>
      <c r="BD28" s="112"/>
      <c r="BE28" s="109"/>
      <c r="BF28" s="109"/>
      <c r="BG28" s="109"/>
      <c r="BH28" s="109"/>
      <c r="BI28" s="109"/>
      <c r="BJ28" s="110"/>
      <c r="BK28" s="18"/>
    </row>
    <row r="29" spans="1:63" ht="15" customHeight="1" x14ac:dyDescent="0.25">
      <c r="A29" s="15"/>
      <c r="B29" s="14"/>
      <c r="C29" s="13"/>
      <c r="D29" s="13"/>
      <c r="E29" s="13"/>
      <c r="F29" s="13"/>
      <c r="G29" s="12"/>
      <c r="H29" s="14"/>
      <c r="I29" s="13"/>
      <c r="J29" s="13"/>
      <c r="K29" s="13"/>
      <c r="L29" s="13"/>
      <c r="M29" s="13"/>
      <c r="N29" s="12"/>
      <c r="O29" s="14"/>
      <c r="P29" s="13"/>
      <c r="Q29" s="13"/>
      <c r="R29" s="13"/>
      <c r="S29" s="104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  <c r="AU29" s="105"/>
      <c r="AV29" s="105"/>
      <c r="AW29" s="106"/>
      <c r="AX29" s="107"/>
      <c r="AY29" s="107"/>
      <c r="AZ29" s="107"/>
      <c r="BA29" s="107"/>
      <c r="BB29" s="107"/>
      <c r="BC29" s="108"/>
      <c r="BD29" s="111"/>
      <c r="BE29" s="107"/>
      <c r="BF29" s="107"/>
      <c r="BG29" s="107"/>
      <c r="BH29" s="107"/>
      <c r="BI29" s="107"/>
      <c r="BJ29" s="108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13"/>
      <c r="T30" s="114"/>
      <c r="U30" s="114"/>
      <c r="V30" s="114"/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114"/>
      <c r="AS30" s="114"/>
      <c r="AT30" s="114"/>
      <c r="AU30" s="114"/>
      <c r="AV30" s="114"/>
      <c r="AW30" s="115"/>
      <c r="AX30" s="109"/>
      <c r="AY30" s="109"/>
      <c r="AZ30" s="109"/>
      <c r="BA30" s="109"/>
      <c r="BB30" s="109"/>
      <c r="BC30" s="110"/>
      <c r="BD30" s="112"/>
      <c r="BE30" s="109"/>
      <c r="BF30" s="109"/>
      <c r="BG30" s="109"/>
      <c r="BH30" s="109"/>
      <c r="BI30" s="109"/>
      <c r="BJ30" s="110"/>
      <c r="BK30" s="18"/>
    </row>
    <row r="31" spans="1:63" ht="15" customHeight="1" x14ac:dyDescent="0.25">
      <c r="A31" s="15"/>
      <c r="B31" s="14"/>
      <c r="C31" s="13"/>
      <c r="D31" s="13"/>
      <c r="E31" s="13"/>
      <c r="F31" s="13"/>
      <c r="G31" s="12"/>
      <c r="H31" s="14"/>
      <c r="I31" s="13"/>
      <c r="J31" s="13"/>
      <c r="K31" s="13"/>
      <c r="L31" s="13"/>
      <c r="M31" s="13"/>
      <c r="N31" s="12"/>
      <c r="O31" s="14"/>
      <c r="P31" s="13"/>
      <c r="Q31" s="13"/>
      <c r="R31" s="13"/>
      <c r="S31" s="104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  <c r="AU31" s="105"/>
      <c r="AV31" s="105"/>
      <c r="AW31" s="106"/>
      <c r="AX31" s="107"/>
      <c r="AY31" s="107"/>
      <c r="AZ31" s="107"/>
      <c r="BA31" s="107"/>
      <c r="BB31" s="107"/>
      <c r="BC31" s="108"/>
      <c r="BD31" s="111"/>
      <c r="BE31" s="107"/>
      <c r="BF31" s="107"/>
      <c r="BG31" s="107"/>
      <c r="BH31" s="107"/>
      <c r="BI31" s="107"/>
      <c r="BJ31" s="108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13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14"/>
      <c r="AS32" s="114"/>
      <c r="AT32" s="114"/>
      <c r="AU32" s="114"/>
      <c r="AV32" s="114"/>
      <c r="AW32" s="115"/>
      <c r="AX32" s="109"/>
      <c r="AY32" s="109"/>
      <c r="AZ32" s="109"/>
      <c r="BA32" s="109"/>
      <c r="BB32" s="109"/>
      <c r="BC32" s="110"/>
      <c r="BD32" s="112"/>
      <c r="BE32" s="109"/>
      <c r="BF32" s="109"/>
      <c r="BG32" s="109"/>
      <c r="BH32" s="109"/>
      <c r="BI32" s="109"/>
      <c r="BJ32" s="110"/>
      <c r="BK32" s="18"/>
    </row>
    <row r="33" spans="1:63" ht="15" customHeight="1" x14ac:dyDescent="0.25">
      <c r="A33" s="15"/>
      <c r="B33" s="14"/>
      <c r="C33" s="13"/>
      <c r="D33" s="13"/>
      <c r="E33" s="13"/>
      <c r="F33" s="13"/>
      <c r="G33" s="12"/>
      <c r="H33" s="14"/>
      <c r="I33" s="13"/>
      <c r="J33" s="13"/>
      <c r="K33" s="13"/>
      <c r="L33" s="13"/>
      <c r="M33" s="13"/>
      <c r="N33" s="12"/>
      <c r="O33" s="14"/>
      <c r="P33" s="13"/>
      <c r="Q33" s="13"/>
      <c r="R33" s="13"/>
      <c r="S33" s="104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  <c r="AU33" s="105"/>
      <c r="AV33" s="105"/>
      <c r="AW33" s="106"/>
      <c r="AX33" s="107"/>
      <c r="AY33" s="107"/>
      <c r="AZ33" s="107"/>
      <c r="BA33" s="107"/>
      <c r="BB33" s="107"/>
      <c r="BC33" s="108"/>
      <c r="BD33" s="111"/>
      <c r="BE33" s="107"/>
      <c r="BF33" s="107"/>
      <c r="BG33" s="107"/>
      <c r="BH33" s="107"/>
      <c r="BI33" s="107"/>
      <c r="BJ33" s="108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13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  <c r="AS34" s="114"/>
      <c r="AT34" s="114"/>
      <c r="AU34" s="114"/>
      <c r="AV34" s="114"/>
      <c r="AW34" s="115"/>
      <c r="AX34" s="109"/>
      <c r="AY34" s="109"/>
      <c r="AZ34" s="109"/>
      <c r="BA34" s="109"/>
      <c r="BB34" s="109"/>
      <c r="BC34" s="110"/>
      <c r="BD34" s="112"/>
      <c r="BE34" s="109"/>
      <c r="BF34" s="109"/>
      <c r="BG34" s="109"/>
      <c r="BH34" s="109"/>
      <c r="BI34" s="109"/>
      <c r="BJ34" s="110"/>
      <c r="BK34" s="18"/>
    </row>
    <row r="35" spans="1:63" ht="15" customHeight="1" x14ac:dyDescent="0.25">
      <c r="A35" s="15"/>
      <c r="B35" s="14"/>
      <c r="C35" s="13"/>
      <c r="D35" s="13"/>
      <c r="E35" s="13"/>
      <c r="F35" s="13"/>
      <c r="G35" s="12"/>
      <c r="H35" s="14"/>
      <c r="I35" s="13"/>
      <c r="J35" s="13"/>
      <c r="K35" s="13"/>
      <c r="L35" s="13"/>
      <c r="M35" s="13"/>
      <c r="N35" s="12"/>
      <c r="O35" s="14"/>
      <c r="P35" s="13"/>
      <c r="Q35" s="13"/>
      <c r="R35" s="13"/>
      <c r="S35" s="104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6"/>
      <c r="AX35" s="107"/>
      <c r="AY35" s="107"/>
      <c r="AZ35" s="107"/>
      <c r="BA35" s="107"/>
      <c r="BB35" s="107"/>
      <c r="BC35" s="108"/>
      <c r="BD35" s="111"/>
      <c r="BE35" s="107"/>
      <c r="BF35" s="107"/>
      <c r="BG35" s="107"/>
      <c r="BH35" s="107"/>
      <c r="BI35" s="107"/>
      <c r="BJ35" s="108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13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  <c r="AS36" s="114"/>
      <c r="AT36" s="114"/>
      <c r="AU36" s="114"/>
      <c r="AV36" s="114"/>
      <c r="AW36" s="115"/>
      <c r="AX36" s="109"/>
      <c r="AY36" s="109"/>
      <c r="AZ36" s="109"/>
      <c r="BA36" s="109"/>
      <c r="BB36" s="109"/>
      <c r="BC36" s="110"/>
      <c r="BD36" s="112"/>
      <c r="BE36" s="109"/>
      <c r="BF36" s="109"/>
      <c r="BG36" s="109"/>
      <c r="BH36" s="109"/>
      <c r="BI36" s="109"/>
      <c r="BJ36" s="110"/>
      <c r="BK36" s="18"/>
    </row>
    <row r="37" spans="1:63" ht="15" customHeight="1" x14ac:dyDescent="0.25">
      <c r="A37" s="15"/>
      <c r="B37" s="14"/>
      <c r="C37" s="13"/>
      <c r="D37" s="13"/>
      <c r="E37" s="13"/>
      <c r="F37" s="13"/>
      <c r="G37" s="12"/>
      <c r="H37" s="14"/>
      <c r="I37" s="13"/>
      <c r="J37" s="13"/>
      <c r="K37" s="13"/>
      <c r="L37" s="13"/>
      <c r="M37" s="13"/>
      <c r="N37" s="12"/>
      <c r="O37" s="14"/>
      <c r="P37" s="13"/>
      <c r="Q37" s="13"/>
      <c r="R37" s="13"/>
      <c r="S37" s="104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  <c r="AU37" s="105"/>
      <c r="AV37" s="105"/>
      <c r="AW37" s="106"/>
      <c r="AX37" s="107"/>
      <c r="AY37" s="107"/>
      <c r="AZ37" s="107"/>
      <c r="BA37" s="107"/>
      <c r="BB37" s="107"/>
      <c r="BC37" s="108"/>
      <c r="BD37" s="111"/>
      <c r="BE37" s="107"/>
      <c r="BF37" s="107"/>
      <c r="BG37" s="107"/>
      <c r="BH37" s="107"/>
      <c r="BI37" s="107"/>
      <c r="BJ37" s="108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13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  <c r="AS38" s="114"/>
      <c r="AT38" s="114"/>
      <c r="AU38" s="114"/>
      <c r="AV38" s="114"/>
      <c r="AW38" s="115"/>
      <c r="AX38" s="109"/>
      <c r="AY38" s="109"/>
      <c r="AZ38" s="109"/>
      <c r="BA38" s="109"/>
      <c r="BB38" s="109"/>
      <c r="BC38" s="110"/>
      <c r="BD38" s="112"/>
      <c r="BE38" s="109"/>
      <c r="BF38" s="109"/>
      <c r="BG38" s="109"/>
      <c r="BH38" s="109"/>
      <c r="BI38" s="109"/>
      <c r="BJ38" s="110"/>
      <c r="BK38" s="18"/>
    </row>
    <row r="39" spans="1:63" ht="15" customHeight="1" x14ac:dyDescent="0.25">
      <c r="A39" s="15"/>
      <c r="B39" s="14"/>
      <c r="C39" s="13"/>
      <c r="D39" s="13"/>
      <c r="E39" s="13"/>
      <c r="F39" s="13"/>
      <c r="G39" s="12"/>
      <c r="H39" s="14"/>
      <c r="I39" s="13"/>
      <c r="J39" s="13"/>
      <c r="K39" s="13"/>
      <c r="L39" s="13"/>
      <c r="M39" s="13"/>
      <c r="N39" s="12"/>
      <c r="O39" s="14"/>
      <c r="P39" s="13"/>
      <c r="Q39" s="13"/>
      <c r="R39" s="13"/>
      <c r="S39" s="104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105"/>
      <c r="AV39" s="105"/>
      <c r="AW39" s="106"/>
      <c r="AX39" s="107"/>
      <c r="AY39" s="107"/>
      <c r="AZ39" s="107"/>
      <c r="BA39" s="107"/>
      <c r="BB39" s="107"/>
      <c r="BC39" s="108"/>
      <c r="BD39" s="111"/>
      <c r="BE39" s="107"/>
      <c r="BF39" s="107"/>
      <c r="BG39" s="107"/>
      <c r="BH39" s="107"/>
      <c r="BI39" s="107"/>
      <c r="BJ39" s="108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13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  <c r="AU40" s="114"/>
      <c r="AV40" s="114"/>
      <c r="AW40" s="115"/>
      <c r="AX40" s="109"/>
      <c r="AY40" s="109"/>
      <c r="AZ40" s="109"/>
      <c r="BA40" s="109"/>
      <c r="BB40" s="109"/>
      <c r="BC40" s="110"/>
      <c r="BD40" s="112"/>
      <c r="BE40" s="109"/>
      <c r="BF40" s="109"/>
      <c r="BG40" s="109"/>
      <c r="BH40" s="109"/>
      <c r="BI40" s="109"/>
      <c r="BJ40" s="110"/>
      <c r="BK40" s="18"/>
    </row>
    <row r="41" spans="1:63" ht="15" customHeight="1" x14ac:dyDescent="0.25">
      <c r="A41" s="15"/>
      <c r="B41" s="14"/>
      <c r="C41" s="13"/>
      <c r="D41" s="13"/>
      <c r="E41" s="13"/>
      <c r="F41" s="13"/>
      <c r="G41" s="12"/>
      <c r="H41" s="14"/>
      <c r="I41" s="13"/>
      <c r="J41" s="13"/>
      <c r="K41" s="13"/>
      <c r="L41" s="13"/>
      <c r="M41" s="13"/>
      <c r="N41" s="12"/>
      <c r="O41" s="14"/>
      <c r="P41" s="13"/>
      <c r="Q41" s="13"/>
      <c r="R41" s="13"/>
      <c r="S41" s="104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6"/>
      <c r="AX41" s="107"/>
      <c r="AY41" s="107"/>
      <c r="AZ41" s="107"/>
      <c r="BA41" s="107"/>
      <c r="BB41" s="107"/>
      <c r="BC41" s="108"/>
      <c r="BD41" s="111"/>
      <c r="BE41" s="107"/>
      <c r="BF41" s="107"/>
      <c r="BG41" s="107"/>
      <c r="BH41" s="107"/>
      <c r="BI41" s="107"/>
      <c r="BJ41" s="108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13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  <c r="AU42" s="114"/>
      <c r="AV42" s="114"/>
      <c r="AW42" s="115"/>
      <c r="AX42" s="109"/>
      <c r="AY42" s="109"/>
      <c r="AZ42" s="109"/>
      <c r="BA42" s="109"/>
      <c r="BB42" s="109"/>
      <c r="BC42" s="110"/>
      <c r="BD42" s="112"/>
      <c r="BE42" s="109"/>
      <c r="BF42" s="109"/>
      <c r="BG42" s="109"/>
      <c r="BH42" s="109"/>
      <c r="BI42" s="109"/>
      <c r="BJ42" s="110"/>
      <c r="BK42" s="18"/>
    </row>
    <row r="43" spans="1:63" ht="15" customHeight="1" x14ac:dyDescent="0.25">
      <c r="A43" s="15"/>
      <c r="B43" s="14"/>
      <c r="C43" s="13"/>
      <c r="D43" s="13"/>
      <c r="E43" s="13"/>
      <c r="F43" s="13"/>
      <c r="G43" s="12"/>
      <c r="H43" s="14"/>
      <c r="I43" s="13"/>
      <c r="J43" s="13"/>
      <c r="K43" s="13"/>
      <c r="L43" s="13"/>
      <c r="M43" s="13"/>
      <c r="N43" s="12"/>
      <c r="O43" s="14"/>
      <c r="P43" s="13"/>
      <c r="Q43" s="13"/>
      <c r="R43" s="13"/>
      <c r="S43" s="104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5"/>
      <c r="AQ43" s="105"/>
      <c r="AR43" s="105"/>
      <c r="AS43" s="105"/>
      <c r="AT43" s="105"/>
      <c r="AU43" s="105"/>
      <c r="AV43" s="105"/>
      <c r="AW43" s="106"/>
      <c r="AX43" s="107"/>
      <c r="AY43" s="107"/>
      <c r="AZ43" s="107"/>
      <c r="BA43" s="107"/>
      <c r="BB43" s="107"/>
      <c r="BC43" s="108"/>
      <c r="BD43" s="111"/>
      <c r="BE43" s="107"/>
      <c r="BF43" s="107"/>
      <c r="BG43" s="107"/>
      <c r="BH43" s="107"/>
      <c r="BI43" s="107"/>
      <c r="BJ43" s="108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13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  <c r="AU44" s="114"/>
      <c r="AV44" s="114"/>
      <c r="AW44" s="115"/>
      <c r="AX44" s="109"/>
      <c r="AY44" s="109"/>
      <c r="AZ44" s="109"/>
      <c r="BA44" s="109"/>
      <c r="BB44" s="109"/>
      <c r="BC44" s="110"/>
      <c r="BD44" s="112"/>
      <c r="BE44" s="109"/>
      <c r="BF44" s="109"/>
      <c r="BG44" s="109"/>
      <c r="BH44" s="109"/>
      <c r="BI44" s="109"/>
      <c r="BJ44" s="110"/>
      <c r="BK44" s="18"/>
    </row>
    <row r="45" spans="1:63" ht="15" customHeight="1" x14ac:dyDescent="0.25">
      <c r="A45" s="15"/>
      <c r="B45" s="14"/>
      <c r="C45" s="13"/>
      <c r="D45" s="13"/>
      <c r="E45" s="13"/>
      <c r="F45" s="13"/>
      <c r="G45" s="12"/>
      <c r="H45" s="14"/>
      <c r="I45" s="13"/>
      <c r="J45" s="13"/>
      <c r="K45" s="13"/>
      <c r="L45" s="13"/>
      <c r="M45" s="13"/>
      <c r="N45" s="12"/>
      <c r="O45" s="14"/>
      <c r="P45" s="13"/>
      <c r="Q45" s="13"/>
      <c r="R45" s="13"/>
      <c r="S45" s="104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6"/>
      <c r="AX45" s="107"/>
      <c r="AY45" s="107"/>
      <c r="AZ45" s="107"/>
      <c r="BA45" s="107"/>
      <c r="BB45" s="107"/>
      <c r="BC45" s="108"/>
      <c r="BD45" s="111"/>
      <c r="BE45" s="107"/>
      <c r="BF45" s="107"/>
      <c r="BG45" s="107"/>
      <c r="BH45" s="107"/>
      <c r="BI45" s="107"/>
      <c r="BJ45" s="108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13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  <c r="AQ46" s="114"/>
      <c r="AR46" s="114"/>
      <c r="AS46" s="114"/>
      <c r="AT46" s="114"/>
      <c r="AU46" s="114"/>
      <c r="AV46" s="114"/>
      <c r="AW46" s="115"/>
      <c r="AX46" s="109"/>
      <c r="AY46" s="109"/>
      <c r="AZ46" s="109"/>
      <c r="BA46" s="109"/>
      <c r="BB46" s="109"/>
      <c r="BC46" s="110"/>
      <c r="BD46" s="112"/>
      <c r="BE46" s="109"/>
      <c r="BF46" s="109"/>
      <c r="BG46" s="109"/>
      <c r="BH46" s="109"/>
      <c r="BI46" s="109"/>
      <c r="BJ46" s="110"/>
      <c r="BK46" s="18"/>
    </row>
    <row r="47" spans="1:63" ht="15" customHeight="1" x14ac:dyDescent="0.25">
      <c r="A47" s="15"/>
      <c r="B47" s="14"/>
      <c r="C47" s="13"/>
      <c r="D47" s="13"/>
      <c r="E47" s="13"/>
      <c r="F47" s="13"/>
      <c r="G47" s="12"/>
      <c r="H47" s="14"/>
      <c r="I47" s="13"/>
      <c r="J47" s="13"/>
      <c r="K47" s="13"/>
      <c r="L47" s="13"/>
      <c r="M47" s="13"/>
      <c r="N47" s="12"/>
      <c r="O47" s="14"/>
      <c r="P47" s="13"/>
      <c r="Q47" s="13"/>
      <c r="R47" s="13"/>
      <c r="S47" s="104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6"/>
      <c r="AX47" s="107"/>
      <c r="AY47" s="107"/>
      <c r="AZ47" s="107"/>
      <c r="BA47" s="107"/>
      <c r="BB47" s="107"/>
      <c r="BC47" s="108"/>
      <c r="BD47" s="111"/>
      <c r="BE47" s="107"/>
      <c r="BF47" s="107"/>
      <c r="BG47" s="107"/>
      <c r="BH47" s="107"/>
      <c r="BI47" s="107"/>
      <c r="BJ47" s="108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13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  <c r="AU48" s="114"/>
      <c r="AV48" s="114"/>
      <c r="AW48" s="115"/>
      <c r="AX48" s="109"/>
      <c r="AY48" s="109"/>
      <c r="AZ48" s="109"/>
      <c r="BA48" s="109"/>
      <c r="BB48" s="109"/>
      <c r="BC48" s="110"/>
      <c r="BD48" s="112"/>
      <c r="BE48" s="109"/>
      <c r="BF48" s="109"/>
      <c r="BG48" s="109"/>
      <c r="BH48" s="109"/>
      <c r="BI48" s="109"/>
      <c r="BJ48" s="110"/>
      <c r="BK48" s="18"/>
    </row>
    <row r="49" spans="1:63" ht="15" customHeight="1" x14ac:dyDescent="0.25">
      <c r="A49" s="15"/>
      <c r="B49" s="14"/>
      <c r="C49" s="13"/>
      <c r="D49" s="13"/>
      <c r="E49" s="13"/>
      <c r="F49" s="13"/>
      <c r="G49" s="12"/>
      <c r="H49" s="14"/>
      <c r="I49" s="13"/>
      <c r="J49" s="13"/>
      <c r="K49" s="13"/>
      <c r="L49" s="13"/>
      <c r="M49" s="13"/>
      <c r="N49" s="12"/>
      <c r="O49" s="14"/>
      <c r="P49" s="13"/>
      <c r="Q49" s="13"/>
      <c r="R49" s="13"/>
      <c r="S49" s="104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05"/>
      <c r="AS49" s="105"/>
      <c r="AT49" s="105"/>
      <c r="AU49" s="105"/>
      <c r="AV49" s="105"/>
      <c r="AW49" s="106"/>
      <c r="AX49" s="107"/>
      <c r="AY49" s="107"/>
      <c r="AZ49" s="107"/>
      <c r="BA49" s="107"/>
      <c r="BB49" s="107"/>
      <c r="BC49" s="108"/>
      <c r="BD49" s="111"/>
      <c r="BE49" s="107"/>
      <c r="BF49" s="107"/>
      <c r="BG49" s="107"/>
      <c r="BH49" s="107"/>
      <c r="BI49" s="107"/>
      <c r="BJ49" s="108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13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  <c r="AU50" s="114"/>
      <c r="AV50" s="114"/>
      <c r="AW50" s="115"/>
      <c r="AX50" s="109"/>
      <c r="AY50" s="109"/>
      <c r="AZ50" s="109"/>
      <c r="BA50" s="109"/>
      <c r="BB50" s="109"/>
      <c r="BC50" s="110"/>
      <c r="BD50" s="112"/>
      <c r="BE50" s="109"/>
      <c r="BF50" s="109"/>
      <c r="BG50" s="109"/>
      <c r="BH50" s="109"/>
      <c r="BI50" s="109"/>
      <c r="BJ50" s="110"/>
      <c r="BK50" s="18"/>
    </row>
    <row r="51" spans="1:63" ht="15" customHeight="1" x14ac:dyDescent="0.25">
      <c r="A51" s="15"/>
      <c r="B51" s="14"/>
      <c r="C51" s="13"/>
      <c r="D51" s="13"/>
      <c r="E51" s="13"/>
      <c r="F51" s="13"/>
      <c r="G51" s="12"/>
      <c r="H51" s="14"/>
      <c r="I51" s="13"/>
      <c r="J51" s="13"/>
      <c r="K51" s="13"/>
      <c r="L51" s="13"/>
      <c r="M51" s="13"/>
      <c r="N51" s="12"/>
      <c r="O51" s="14"/>
      <c r="P51" s="13"/>
      <c r="Q51" s="13"/>
      <c r="R51" s="13"/>
      <c r="S51" s="104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  <c r="AT51" s="105"/>
      <c r="AU51" s="105"/>
      <c r="AV51" s="105"/>
      <c r="AW51" s="106"/>
      <c r="AX51" s="107"/>
      <c r="AY51" s="107"/>
      <c r="AZ51" s="107"/>
      <c r="BA51" s="107"/>
      <c r="BB51" s="107"/>
      <c r="BC51" s="108"/>
      <c r="BD51" s="111"/>
      <c r="BE51" s="107"/>
      <c r="BF51" s="107"/>
      <c r="BG51" s="107"/>
      <c r="BH51" s="107"/>
      <c r="BI51" s="107"/>
      <c r="BJ51" s="108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13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  <c r="AM52" s="114"/>
      <c r="AN52" s="114"/>
      <c r="AO52" s="114"/>
      <c r="AP52" s="114"/>
      <c r="AQ52" s="114"/>
      <c r="AR52" s="114"/>
      <c r="AS52" s="114"/>
      <c r="AT52" s="114"/>
      <c r="AU52" s="114"/>
      <c r="AV52" s="114"/>
      <c r="AW52" s="115"/>
      <c r="AX52" s="109"/>
      <c r="AY52" s="109"/>
      <c r="AZ52" s="109"/>
      <c r="BA52" s="109"/>
      <c r="BB52" s="109"/>
      <c r="BC52" s="110"/>
      <c r="BD52" s="112"/>
      <c r="BE52" s="109"/>
      <c r="BF52" s="109"/>
      <c r="BG52" s="109"/>
      <c r="BH52" s="109"/>
      <c r="BI52" s="109"/>
      <c r="BJ52" s="110"/>
      <c r="BK52" s="18"/>
    </row>
    <row r="53" spans="1:63" ht="15" customHeight="1" x14ac:dyDescent="0.25">
      <c r="A53" s="15"/>
      <c r="B53" s="14"/>
      <c r="C53" s="13"/>
      <c r="D53" s="13"/>
      <c r="E53" s="13"/>
      <c r="F53" s="13"/>
      <c r="G53" s="12"/>
      <c r="H53" s="14"/>
      <c r="I53" s="13"/>
      <c r="J53" s="13"/>
      <c r="K53" s="13"/>
      <c r="L53" s="13"/>
      <c r="M53" s="13"/>
      <c r="N53" s="12"/>
      <c r="O53" s="14"/>
      <c r="P53" s="13"/>
      <c r="Q53" s="13"/>
      <c r="R53" s="13"/>
      <c r="S53" s="104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05"/>
      <c r="AN53" s="105"/>
      <c r="AO53" s="105"/>
      <c r="AP53" s="105"/>
      <c r="AQ53" s="105"/>
      <c r="AR53" s="105"/>
      <c r="AS53" s="105"/>
      <c r="AT53" s="105"/>
      <c r="AU53" s="105"/>
      <c r="AV53" s="105"/>
      <c r="AW53" s="106"/>
      <c r="AX53" s="107"/>
      <c r="AY53" s="107"/>
      <c r="AZ53" s="107"/>
      <c r="BA53" s="107"/>
      <c r="BB53" s="107"/>
      <c r="BC53" s="108"/>
      <c r="BD53" s="111"/>
      <c r="BE53" s="107"/>
      <c r="BF53" s="107"/>
      <c r="BG53" s="107"/>
      <c r="BH53" s="107"/>
      <c r="BI53" s="107"/>
      <c r="BJ53" s="108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13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  <c r="AU54" s="114"/>
      <c r="AV54" s="114"/>
      <c r="AW54" s="115"/>
      <c r="AX54" s="109"/>
      <c r="AY54" s="109"/>
      <c r="AZ54" s="109"/>
      <c r="BA54" s="109"/>
      <c r="BB54" s="109"/>
      <c r="BC54" s="110"/>
      <c r="BD54" s="112"/>
      <c r="BE54" s="109"/>
      <c r="BF54" s="109"/>
      <c r="BG54" s="109"/>
      <c r="BH54" s="109"/>
      <c r="BI54" s="109"/>
      <c r="BJ54" s="110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30" t="s">
        <v>29</v>
      </c>
      <c r="B1" s="131"/>
      <c r="C1" s="131"/>
      <c r="D1" s="131"/>
      <c r="E1" s="131"/>
      <c r="F1" s="131"/>
      <c r="G1" s="131"/>
      <c r="H1" s="131"/>
      <c r="I1" s="131"/>
      <c r="J1" s="132"/>
      <c r="K1" s="130" t="s">
        <v>30</v>
      </c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2"/>
      <c r="W1" s="133" t="str">
        <f>IF(表紙!W1="","",表紙!W1)</f>
        <v>詳細設計書</v>
      </c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5"/>
      <c r="AP1" s="73" t="s">
        <v>31</v>
      </c>
      <c r="AQ1" s="74"/>
      <c r="AR1" s="74"/>
      <c r="AS1" s="75"/>
      <c r="AT1" s="73" t="s">
        <v>32</v>
      </c>
      <c r="AU1" s="74"/>
      <c r="AV1" s="74"/>
      <c r="AW1" s="74"/>
      <c r="AX1" s="75"/>
      <c r="AY1" s="73" t="s">
        <v>33</v>
      </c>
      <c r="AZ1" s="74"/>
      <c r="BA1" s="74"/>
      <c r="BB1" s="75"/>
      <c r="BC1" s="73" t="s">
        <v>34</v>
      </c>
      <c r="BD1" s="74"/>
      <c r="BE1" s="74"/>
      <c r="BF1" s="74"/>
      <c r="BG1" s="75"/>
      <c r="BH1" s="73" t="s">
        <v>35</v>
      </c>
      <c r="BI1" s="74"/>
      <c r="BJ1" s="74"/>
      <c r="BK1" s="75"/>
    </row>
    <row r="2" spans="1:63" ht="15" customHeight="1" x14ac:dyDescent="0.25">
      <c r="A2" s="124" t="str">
        <f>IF(表紙!A2="","",表紙!A2)</f>
        <v>POSサーバー</v>
      </c>
      <c r="B2" s="125"/>
      <c r="C2" s="125"/>
      <c r="D2" s="125"/>
      <c r="E2" s="125"/>
      <c r="F2" s="125"/>
      <c r="G2" s="125"/>
      <c r="H2" s="125"/>
      <c r="I2" s="125"/>
      <c r="J2" s="126"/>
      <c r="K2" s="124" t="str">
        <f>IF(表紙!K2="","",表紙!K2)</f>
        <v>POSサーバー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136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8"/>
      <c r="AP2" s="14" t="str">
        <f>IF(表紙!AP2="","",表紙!AP2)</f>
        <v>AnhDD</v>
      </c>
      <c r="AQ2" s="13"/>
      <c r="AR2" s="13"/>
      <c r="AS2" s="12"/>
      <c r="AT2" s="88">
        <f>IF(表紙!AT2="","",表紙!AT2)</f>
        <v>45517</v>
      </c>
      <c r="AU2" s="89"/>
      <c r="AV2" s="89"/>
      <c r="AW2" s="89"/>
      <c r="AX2" s="90"/>
      <c r="AY2" s="14" t="str">
        <f>IF(表紙!AY2="","",表紙!AY2)</f>
        <v>DuNT</v>
      </c>
      <c r="AZ2" s="13"/>
      <c r="BA2" s="13"/>
      <c r="BB2" s="12"/>
      <c r="BC2" s="88">
        <f>IF(表紙!BC2="","",表紙!BC2)</f>
        <v>45621</v>
      </c>
      <c r="BD2" s="89"/>
      <c r="BE2" s="89"/>
      <c r="BF2" s="89"/>
      <c r="BG2" s="90"/>
      <c r="BH2" s="14">
        <f>IF(表紙!BH2="","",表紙!BH2)</f>
        <v>0.51</v>
      </c>
      <c r="BI2" s="13"/>
      <c r="BJ2" s="13"/>
      <c r="BK2" s="12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139"/>
      <c r="X3" s="140"/>
      <c r="Y3" s="140"/>
      <c r="Z3" s="140"/>
      <c r="AA3" s="140"/>
      <c r="AB3" s="140"/>
      <c r="AC3" s="140"/>
      <c r="AD3" s="140"/>
      <c r="AE3" s="140"/>
      <c r="AF3" s="140"/>
      <c r="AG3" s="140"/>
      <c r="AH3" s="140"/>
      <c r="AI3" s="140"/>
      <c r="AJ3" s="140"/>
      <c r="AK3" s="140"/>
      <c r="AL3" s="140"/>
      <c r="AM3" s="140"/>
      <c r="AN3" s="140"/>
      <c r="AO3" s="141"/>
      <c r="AP3" s="8"/>
      <c r="AQ3" s="7"/>
      <c r="AR3" s="7"/>
      <c r="AS3" s="6"/>
      <c r="AT3" s="91"/>
      <c r="AU3" s="92"/>
      <c r="AV3" s="92"/>
      <c r="AW3" s="92"/>
      <c r="AX3" s="93"/>
      <c r="AY3" s="8"/>
      <c r="AZ3" s="7"/>
      <c r="BA3" s="7"/>
      <c r="BB3" s="6"/>
      <c r="BC3" s="91"/>
      <c r="BD3" s="92"/>
      <c r="BE3" s="92"/>
      <c r="BF3" s="92"/>
      <c r="BG3" s="93"/>
      <c r="BH3" s="8"/>
      <c r="BI3" s="7"/>
      <c r="BJ3" s="7"/>
      <c r="BK3" s="6"/>
    </row>
    <row r="4" spans="1:63" ht="24.95" customHeight="1" x14ac:dyDescent="0.25">
      <c r="A4" s="130" t="s">
        <v>36</v>
      </c>
      <c r="B4" s="131"/>
      <c r="C4" s="131"/>
      <c r="D4" s="131"/>
      <c r="E4" s="131"/>
      <c r="F4" s="131"/>
      <c r="G4" s="132"/>
      <c r="H4" s="142" t="str">
        <f>IF(表紙!H4="","",表紙!H4)</f>
        <v>AP2103_レシート一覧CSV出力</v>
      </c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4"/>
      <c r="U4" s="130" t="s">
        <v>37</v>
      </c>
      <c r="V4" s="131"/>
      <c r="W4" s="131"/>
      <c r="X4" s="131"/>
      <c r="Y4" s="132"/>
      <c r="Z4" s="142" t="str">
        <f>IF(表紙!Z4="","",表紙!Z4)</f>
        <v>API設計書</v>
      </c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4"/>
      <c r="AP4" s="145" t="str">
        <f ca="1">MID(CELL("filename",A1),FIND("]",CELL("filename",A1))+1,255)</f>
        <v>処理フロー凡例</v>
      </c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customFormat="1" ht="15" customHeight="1" x14ac:dyDescent="0.25">
      <c r="A7" s="66"/>
      <c r="B7" s="67" t="s">
        <v>45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9"/>
      <c r="AF7" s="70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9"/>
      <c r="BJ7" s="68"/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5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30" customWidth="1"/>
    <col min="43" max="62" width="3.5546875" style="30" customWidth="1"/>
    <col min="63" max="63" width="2.77734375" style="30" customWidth="1"/>
    <col min="64" max="16384" width="10.109375" style="30"/>
  </cols>
  <sheetData>
    <row r="1" spans="1:63" ht="24.95" customHeight="1" x14ac:dyDescent="0.25">
      <c r="A1" s="192" t="s">
        <v>71</v>
      </c>
      <c r="B1" s="193"/>
      <c r="C1" s="193"/>
      <c r="D1" s="193"/>
      <c r="E1" s="193"/>
      <c r="F1" s="193"/>
      <c r="G1" s="193"/>
      <c r="H1" s="193"/>
      <c r="I1" s="193"/>
      <c r="J1" s="194"/>
      <c r="K1" s="192" t="s">
        <v>72</v>
      </c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4"/>
      <c r="W1" s="195" t="str">
        <f>IF(表紙!W1="","",表紙!W1)</f>
        <v>詳細設計書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7"/>
      <c r="AP1" s="198" t="s">
        <v>73</v>
      </c>
      <c r="AQ1" s="199"/>
      <c r="AR1" s="199"/>
      <c r="AS1" s="200"/>
      <c r="AT1" s="198" t="s">
        <v>74</v>
      </c>
      <c r="AU1" s="199"/>
      <c r="AV1" s="199"/>
      <c r="AW1" s="199"/>
      <c r="AX1" s="200"/>
      <c r="AY1" s="198" t="s">
        <v>75</v>
      </c>
      <c r="AZ1" s="199"/>
      <c r="BA1" s="199"/>
      <c r="BB1" s="200"/>
      <c r="BC1" s="198" t="s">
        <v>76</v>
      </c>
      <c r="BD1" s="199"/>
      <c r="BE1" s="199"/>
      <c r="BF1" s="199"/>
      <c r="BG1" s="200"/>
      <c r="BH1" s="198" t="s">
        <v>77</v>
      </c>
      <c r="BI1" s="199"/>
      <c r="BJ1" s="199"/>
      <c r="BK1" s="200"/>
    </row>
    <row r="2" spans="1:63" ht="15" customHeight="1" x14ac:dyDescent="0.25">
      <c r="A2" s="124" t="str">
        <f>IF(表紙!A2="","",表紙!A2)</f>
        <v>POSサーバー</v>
      </c>
      <c r="B2" s="125"/>
      <c r="C2" s="125"/>
      <c r="D2" s="125"/>
      <c r="E2" s="125"/>
      <c r="F2" s="125"/>
      <c r="G2" s="125"/>
      <c r="H2" s="125"/>
      <c r="I2" s="125"/>
      <c r="J2" s="126"/>
      <c r="K2" s="124" t="str">
        <f>IF(表紙!K2="","",表紙!K2)</f>
        <v>POSサーバー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201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3"/>
      <c r="AP2" s="204" t="str">
        <f>IF(表紙!AP2="","",表紙!AP2)</f>
        <v>AnhDD</v>
      </c>
      <c r="AQ2" s="205"/>
      <c r="AR2" s="205"/>
      <c r="AS2" s="206"/>
      <c r="AT2" s="207">
        <f>IF(表紙!AT2="","",表紙!AT2)</f>
        <v>45517</v>
      </c>
      <c r="AU2" s="208"/>
      <c r="AV2" s="208"/>
      <c r="AW2" s="208"/>
      <c r="AX2" s="209"/>
      <c r="AY2" s="204" t="str">
        <f>IF(表紙!AY2="","",表紙!AY2)</f>
        <v>DuNT</v>
      </c>
      <c r="AZ2" s="205"/>
      <c r="BA2" s="205"/>
      <c r="BB2" s="206"/>
      <c r="BC2" s="207">
        <f>IF(表紙!BC2="","",表紙!BC2)</f>
        <v>45621</v>
      </c>
      <c r="BD2" s="208"/>
      <c r="BE2" s="208"/>
      <c r="BF2" s="208"/>
      <c r="BG2" s="209"/>
      <c r="BH2" s="204">
        <f>IF(表紙!BH2="","",表紙!BH2)</f>
        <v>0.51</v>
      </c>
      <c r="BI2" s="205"/>
      <c r="BJ2" s="205"/>
      <c r="BK2" s="206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210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2"/>
      <c r="AP3" s="213"/>
      <c r="AQ3" s="214"/>
      <c r="AR3" s="214"/>
      <c r="AS3" s="215"/>
      <c r="AT3" s="216"/>
      <c r="AU3" s="217"/>
      <c r="AV3" s="217"/>
      <c r="AW3" s="217"/>
      <c r="AX3" s="218"/>
      <c r="AY3" s="213"/>
      <c r="AZ3" s="214"/>
      <c r="BA3" s="214"/>
      <c r="BB3" s="215"/>
      <c r="BC3" s="216"/>
      <c r="BD3" s="217"/>
      <c r="BE3" s="217"/>
      <c r="BF3" s="217"/>
      <c r="BG3" s="218"/>
      <c r="BH3" s="213"/>
      <c r="BI3" s="214"/>
      <c r="BJ3" s="214"/>
      <c r="BK3" s="215"/>
    </row>
    <row r="4" spans="1:63" ht="24.95" customHeight="1" x14ac:dyDescent="0.25">
      <c r="A4" s="192" t="s">
        <v>78</v>
      </c>
      <c r="B4" s="193"/>
      <c r="C4" s="193"/>
      <c r="D4" s="193"/>
      <c r="E4" s="193"/>
      <c r="F4" s="193"/>
      <c r="G4" s="194"/>
      <c r="H4" s="142" t="str">
        <f>IF(表紙!H4="","",表紙!H4)</f>
        <v>AP2103_レシート一覧CSV出力</v>
      </c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4"/>
      <c r="U4" s="192" t="s">
        <v>79</v>
      </c>
      <c r="V4" s="193"/>
      <c r="W4" s="193"/>
      <c r="X4" s="193"/>
      <c r="Y4" s="194"/>
      <c r="Z4" s="142" t="str">
        <f>IF(表紙!Z4="","",表紙!Z4)</f>
        <v>API設計書</v>
      </c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4"/>
      <c r="AP4" s="145" t="str">
        <f ca="1">MID(CELL("filename",A1),FIND("]",CELL("filename",A1))+1,255)</f>
        <v>AP2103</v>
      </c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49" customFormat="1" ht="15" customHeight="1" x14ac:dyDescent="0.25">
      <c r="A7" s="44"/>
      <c r="B7" s="45" t="s">
        <v>80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219"/>
      <c r="AQ7" s="219"/>
      <c r="AR7" s="219"/>
      <c r="AS7" s="219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7"/>
      <c r="BI7" s="47"/>
      <c r="BJ7" s="47"/>
      <c r="BK7" s="48"/>
    </row>
    <row r="8" spans="1:63" s="49" customFormat="1" ht="15" customHeight="1" x14ac:dyDescent="0.25">
      <c r="A8" s="44"/>
      <c r="B8" s="50"/>
      <c r="C8" s="7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220"/>
      <c r="AQ8" s="220"/>
      <c r="AR8" s="220"/>
      <c r="AS8" s="220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2"/>
      <c r="BI8" s="52"/>
      <c r="BJ8" s="52"/>
      <c r="BK8" s="48"/>
    </row>
    <row r="9" spans="1:63" s="49" customFormat="1" ht="15" customHeight="1" x14ac:dyDescent="0.25">
      <c r="A9" s="44"/>
      <c r="B9" s="50"/>
      <c r="C9" s="51" t="s">
        <v>52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220"/>
      <c r="AQ9" s="220"/>
      <c r="AR9" s="220"/>
      <c r="AS9" s="220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2"/>
      <c r="BI9" s="52"/>
      <c r="BJ9" s="52"/>
      <c r="BK9" s="48"/>
    </row>
    <row r="10" spans="1:63" s="49" customFormat="1" ht="15" customHeight="1" x14ac:dyDescent="0.25">
      <c r="A10" s="44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220"/>
      <c r="AQ10" s="220"/>
      <c r="AR10" s="220"/>
      <c r="AS10" s="220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2"/>
      <c r="BI10" s="52"/>
      <c r="BJ10" s="52"/>
      <c r="BK10" s="48"/>
    </row>
    <row r="11" spans="1:63" s="49" customFormat="1" ht="15" customHeight="1" x14ac:dyDescent="0.25">
      <c r="A11" s="44"/>
      <c r="B11" s="53" t="s">
        <v>81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7"/>
      <c r="BI11" s="47"/>
      <c r="BJ11" s="47"/>
      <c r="BK11" s="48"/>
    </row>
    <row r="12" spans="1:63" s="49" customFormat="1" ht="15" customHeight="1" x14ac:dyDescent="0.25">
      <c r="A12" s="44"/>
      <c r="B12" s="51"/>
      <c r="C12" s="54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2"/>
      <c r="BI12" s="52"/>
      <c r="BJ12" s="52"/>
      <c r="BK12" s="48"/>
    </row>
    <row r="13" spans="1:63" s="49" customFormat="1" ht="15" customHeight="1" x14ac:dyDescent="0.25">
      <c r="A13" s="44"/>
      <c r="B13" s="51"/>
      <c r="C13" s="54" t="s">
        <v>82</v>
      </c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2"/>
      <c r="BI13" s="52"/>
      <c r="BJ13" s="52"/>
      <c r="BK13" s="48"/>
    </row>
    <row r="14" spans="1:63" s="49" customFormat="1" ht="15" customHeight="1" x14ac:dyDescent="0.25">
      <c r="A14" s="44"/>
      <c r="B14" s="51"/>
      <c r="C14" s="50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2"/>
      <c r="BI14" s="52"/>
      <c r="BJ14" s="52"/>
      <c r="BK14" s="48"/>
    </row>
    <row r="15" spans="1:63" s="49" customFormat="1" ht="15" customHeight="1" x14ac:dyDescent="0.25">
      <c r="A15" s="44"/>
      <c r="B15" s="51"/>
      <c r="C15" s="152" t="s">
        <v>28</v>
      </c>
      <c r="D15" s="154"/>
      <c r="E15" s="152" t="s">
        <v>38</v>
      </c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4"/>
      <c r="AG15" s="152" t="s">
        <v>39</v>
      </c>
      <c r="AH15" s="153"/>
      <c r="AI15" s="153"/>
      <c r="AJ15" s="153"/>
      <c r="AK15" s="153"/>
      <c r="AL15" s="153"/>
      <c r="AM15" s="153"/>
      <c r="AN15" s="153"/>
      <c r="AO15" s="153"/>
      <c r="AP15" s="154"/>
      <c r="AQ15" s="152" t="s">
        <v>40</v>
      </c>
      <c r="AR15" s="153"/>
      <c r="AS15" s="153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H15" s="153"/>
      <c r="BI15" s="153"/>
      <c r="BJ15" s="154"/>
      <c r="BK15" s="48"/>
    </row>
    <row r="16" spans="1:63" s="49" customFormat="1" ht="15" customHeight="1" x14ac:dyDescent="0.25">
      <c r="A16" s="44"/>
      <c r="B16" s="51"/>
      <c r="C16" s="146">
        <v>1</v>
      </c>
      <c r="D16" s="148"/>
      <c r="E16" s="164" t="s">
        <v>53</v>
      </c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6"/>
      <c r="AG16" s="146" t="s">
        <v>46</v>
      </c>
      <c r="AH16" s="147"/>
      <c r="AI16" s="147"/>
      <c r="AJ16" s="147"/>
      <c r="AK16" s="147"/>
      <c r="AL16" s="147"/>
      <c r="AM16" s="147"/>
      <c r="AN16" s="147"/>
      <c r="AO16" s="147"/>
      <c r="AP16" s="148"/>
      <c r="AQ16" s="167" t="s">
        <v>20</v>
      </c>
      <c r="AR16" s="168"/>
      <c r="AS16" s="168"/>
      <c r="AT16" s="168"/>
      <c r="AU16" s="168"/>
      <c r="AV16" s="168"/>
      <c r="AW16" s="168"/>
      <c r="AX16" s="168"/>
      <c r="AY16" s="168"/>
      <c r="AZ16" s="168"/>
      <c r="BA16" s="168"/>
      <c r="BB16" s="168"/>
      <c r="BC16" s="168"/>
      <c r="BD16" s="168"/>
      <c r="BE16" s="168"/>
      <c r="BF16" s="168"/>
      <c r="BG16" s="168"/>
      <c r="BH16" s="168"/>
      <c r="BI16" s="168"/>
      <c r="BJ16" s="169"/>
      <c r="BK16" s="48"/>
    </row>
    <row r="17" spans="1:63" s="49" customFormat="1" ht="15" customHeight="1" x14ac:dyDescent="0.25">
      <c r="A17" s="44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2"/>
      <c r="BI17" s="52"/>
      <c r="BJ17" s="52"/>
      <c r="BK17" s="48"/>
    </row>
    <row r="18" spans="1:63" s="49" customFormat="1" ht="15" customHeight="1" x14ac:dyDescent="0.25">
      <c r="A18" s="44"/>
      <c r="B18" s="51"/>
      <c r="C18" s="54" t="s">
        <v>83</v>
      </c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2"/>
      <c r="BI18" s="52"/>
      <c r="BJ18" s="52"/>
      <c r="BK18" s="48"/>
    </row>
    <row r="19" spans="1:63" s="49" customFormat="1" ht="15" customHeight="1" x14ac:dyDescent="0.25">
      <c r="A19" s="44"/>
      <c r="B19" s="51"/>
      <c r="C19" s="54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2"/>
      <c r="BI19" s="52"/>
      <c r="BJ19" s="52"/>
      <c r="BK19" s="48"/>
    </row>
    <row r="20" spans="1:63" s="49" customFormat="1" ht="15" customHeight="1" x14ac:dyDescent="0.25">
      <c r="A20" s="44"/>
      <c r="B20" s="51"/>
      <c r="C20" s="155" t="s">
        <v>84</v>
      </c>
      <c r="D20" s="157"/>
      <c r="E20" s="155" t="s">
        <v>85</v>
      </c>
      <c r="F20" s="156"/>
      <c r="G20" s="156"/>
      <c r="H20" s="156"/>
      <c r="I20" s="156"/>
      <c r="J20" s="156"/>
      <c r="K20" s="157"/>
      <c r="L20" s="152" t="s">
        <v>41</v>
      </c>
      <c r="M20" s="153"/>
      <c r="N20" s="154"/>
      <c r="O20" s="152" t="s">
        <v>42</v>
      </c>
      <c r="P20" s="153"/>
      <c r="Q20" s="153"/>
      <c r="R20" s="154"/>
      <c r="S20" s="152" t="s">
        <v>43</v>
      </c>
      <c r="T20" s="153"/>
      <c r="U20" s="153"/>
      <c r="V20" s="153"/>
      <c r="W20" s="153"/>
      <c r="X20" s="153"/>
      <c r="Y20" s="154"/>
      <c r="Z20" s="155" t="s">
        <v>86</v>
      </c>
      <c r="AA20" s="156"/>
      <c r="AB20" s="156"/>
      <c r="AC20" s="156"/>
      <c r="AD20" s="156"/>
      <c r="AE20" s="156"/>
      <c r="AF20" s="156"/>
      <c r="AG20" s="156"/>
      <c r="AH20" s="156"/>
      <c r="AI20" s="156"/>
      <c r="AJ20" s="156"/>
      <c r="AK20" s="156"/>
      <c r="AL20" s="156"/>
      <c r="AM20" s="156"/>
      <c r="AN20" s="156"/>
      <c r="AO20" s="156"/>
      <c r="AP20" s="157"/>
      <c r="AQ20" s="152" t="s">
        <v>40</v>
      </c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4"/>
      <c r="BK20" s="48"/>
    </row>
    <row r="21" spans="1:63" s="49" customFormat="1" ht="15" customHeight="1" x14ac:dyDescent="0.25">
      <c r="A21" s="44"/>
      <c r="B21" s="51"/>
      <c r="C21" s="146">
        <v>1</v>
      </c>
      <c r="D21" s="148"/>
      <c r="E21" s="221" t="s">
        <v>18</v>
      </c>
      <c r="F21" s="222"/>
      <c r="G21" s="222"/>
      <c r="H21" s="222"/>
      <c r="I21" s="222"/>
      <c r="J21" s="222"/>
      <c r="K21" s="223"/>
      <c r="L21" s="149" t="s">
        <v>19</v>
      </c>
      <c r="M21" s="150"/>
      <c r="N21" s="151"/>
      <c r="O21" s="146" t="s">
        <v>62</v>
      </c>
      <c r="P21" s="147"/>
      <c r="Q21" s="147"/>
      <c r="R21" s="148"/>
      <c r="S21" s="146" t="s">
        <v>20</v>
      </c>
      <c r="T21" s="147"/>
      <c r="U21" s="147"/>
      <c r="V21" s="147"/>
      <c r="W21" s="147"/>
      <c r="X21" s="147"/>
      <c r="Y21" s="148"/>
      <c r="Z21" s="221" t="s">
        <v>21</v>
      </c>
      <c r="AA21" s="222"/>
      <c r="AB21" s="222"/>
      <c r="AC21" s="222"/>
      <c r="AD21" s="222"/>
      <c r="AE21" s="222"/>
      <c r="AF21" s="222"/>
      <c r="AG21" s="222"/>
      <c r="AH21" s="222"/>
      <c r="AI21" s="222"/>
      <c r="AJ21" s="222"/>
      <c r="AK21" s="222"/>
      <c r="AL21" s="222"/>
      <c r="AM21" s="222"/>
      <c r="AN21" s="222"/>
      <c r="AO21" s="222"/>
      <c r="AP21" s="223"/>
      <c r="AQ21" s="224" t="s">
        <v>87</v>
      </c>
      <c r="AR21" s="225"/>
      <c r="AS21" s="225"/>
      <c r="AT21" s="225"/>
      <c r="AU21" s="225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25"/>
      <c r="BG21" s="225"/>
      <c r="BH21" s="225"/>
      <c r="BI21" s="225"/>
      <c r="BJ21" s="226"/>
      <c r="BK21" s="48"/>
    </row>
    <row r="22" spans="1:63" s="49" customFormat="1" ht="15" customHeight="1" x14ac:dyDescent="0.25">
      <c r="A22" s="44"/>
      <c r="B22" s="51"/>
      <c r="C22" s="146">
        <v>2</v>
      </c>
      <c r="D22" s="148"/>
      <c r="E22" s="221" t="s">
        <v>22</v>
      </c>
      <c r="F22" s="222"/>
      <c r="G22" s="222"/>
      <c r="H22" s="222"/>
      <c r="I22" s="222"/>
      <c r="J22" s="222"/>
      <c r="K22" s="223"/>
      <c r="L22" s="149" t="s">
        <v>20</v>
      </c>
      <c r="M22" s="150"/>
      <c r="N22" s="151"/>
      <c r="O22" s="146" t="s">
        <v>62</v>
      </c>
      <c r="P22" s="147"/>
      <c r="Q22" s="147"/>
      <c r="R22" s="148"/>
      <c r="S22" s="146" t="s">
        <v>20</v>
      </c>
      <c r="T22" s="147"/>
      <c r="U22" s="147"/>
      <c r="V22" s="147"/>
      <c r="W22" s="147"/>
      <c r="X22" s="147"/>
      <c r="Y22" s="148"/>
      <c r="Z22" s="221" t="s">
        <v>22</v>
      </c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3"/>
      <c r="AQ22" s="224" t="s">
        <v>23</v>
      </c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25"/>
      <c r="BG22" s="225"/>
      <c r="BH22" s="225"/>
      <c r="BI22" s="225"/>
      <c r="BJ22" s="226"/>
      <c r="BK22" s="48"/>
    </row>
    <row r="23" spans="1:63" s="49" customFormat="1" ht="19.5" customHeight="1" x14ac:dyDescent="0.25">
      <c r="A23" s="44"/>
      <c r="B23" s="51"/>
      <c r="C23" s="158">
        <v>3</v>
      </c>
      <c r="D23" s="159"/>
      <c r="E23" s="227" t="s">
        <v>24</v>
      </c>
      <c r="F23" s="228"/>
      <c r="G23" s="228"/>
      <c r="H23" s="228"/>
      <c r="I23" s="228"/>
      <c r="J23" s="228"/>
      <c r="K23" s="229"/>
      <c r="L23" s="230" t="s">
        <v>20</v>
      </c>
      <c r="M23" s="231"/>
      <c r="N23" s="232"/>
      <c r="O23" s="233" t="s">
        <v>62</v>
      </c>
      <c r="P23" s="234"/>
      <c r="Q23" s="234"/>
      <c r="R23" s="235"/>
      <c r="S23" s="233" t="s">
        <v>20</v>
      </c>
      <c r="T23" s="234"/>
      <c r="U23" s="234"/>
      <c r="V23" s="234"/>
      <c r="W23" s="234"/>
      <c r="X23" s="234"/>
      <c r="Y23" s="235"/>
      <c r="Z23" s="236" t="s">
        <v>24</v>
      </c>
      <c r="AA23" s="237"/>
      <c r="AB23" s="237"/>
      <c r="AC23" s="237"/>
      <c r="AD23" s="237"/>
      <c r="AE23" s="237"/>
      <c r="AF23" s="237"/>
      <c r="AG23" s="237"/>
      <c r="AH23" s="237"/>
      <c r="AI23" s="237"/>
      <c r="AJ23" s="237"/>
      <c r="AK23" s="237"/>
      <c r="AL23" s="237"/>
      <c r="AM23" s="237"/>
      <c r="AN23" s="237"/>
      <c r="AO23" s="237"/>
      <c r="AP23" s="238"/>
      <c r="AQ23" s="239" t="s">
        <v>88</v>
      </c>
      <c r="AR23" s="239"/>
      <c r="AS23" s="239"/>
      <c r="AT23" s="239"/>
      <c r="AU23" s="239"/>
      <c r="AV23" s="239"/>
      <c r="AW23" s="239"/>
      <c r="AX23" s="239"/>
      <c r="AY23" s="239"/>
      <c r="AZ23" s="239"/>
      <c r="BA23" s="239"/>
      <c r="BB23" s="239"/>
      <c r="BC23" s="239"/>
      <c r="BD23" s="239"/>
      <c r="BE23" s="239"/>
      <c r="BF23" s="239"/>
      <c r="BG23" s="239"/>
      <c r="BH23" s="239"/>
      <c r="BI23" s="239"/>
      <c r="BJ23" s="240"/>
      <c r="BK23" s="48"/>
    </row>
    <row r="24" spans="1:63" s="49" customFormat="1" ht="19.5" customHeight="1" x14ac:dyDescent="0.25">
      <c r="A24" s="44"/>
      <c r="B24" s="51"/>
      <c r="C24" s="160"/>
      <c r="D24" s="161"/>
      <c r="E24" s="241"/>
      <c r="F24" s="242"/>
      <c r="G24" s="242"/>
      <c r="H24" s="242"/>
      <c r="I24" s="242"/>
      <c r="J24" s="242"/>
      <c r="K24" s="243"/>
      <c r="L24" s="244"/>
      <c r="M24" s="245"/>
      <c r="N24" s="246"/>
      <c r="O24" s="247"/>
      <c r="P24" s="248"/>
      <c r="Q24" s="248"/>
      <c r="R24" s="249"/>
      <c r="S24" s="247"/>
      <c r="T24" s="248"/>
      <c r="U24" s="248"/>
      <c r="V24" s="248"/>
      <c r="W24" s="248"/>
      <c r="X24" s="248"/>
      <c r="Y24" s="249"/>
      <c r="Z24" s="250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2"/>
      <c r="AQ24" s="253"/>
      <c r="AR24" s="253"/>
      <c r="AS24" s="253"/>
      <c r="AT24" s="253"/>
      <c r="AU24" s="253"/>
      <c r="AV24" s="253"/>
      <c r="AW24" s="253"/>
      <c r="AX24" s="253"/>
      <c r="AY24" s="253"/>
      <c r="AZ24" s="253"/>
      <c r="BA24" s="253"/>
      <c r="BB24" s="253"/>
      <c r="BC24" s="253"/>
      <c r="BD24" s="253"/>
      <c r="BE24" s="253"/>
      <c r="BF24" s="253"/>
      <c r="BG24" s="253"/>
      <c r="BH24" s="253"/>
      <c r="BI24" s="253"/>
      <c r="BJ24" s="254"/>
      <c r="BK24" s="48"/>
    </row>
    <row r="25" spans="1:63" s="49" customFormat="1" ht="19.5" customHeight="1" x14ac:dyDescent="0.25">
      <c r="A25" s="44"/>
      <c r="B25" s="51"/>
      <c r="C25" s="162"/>
      <c r="D25" s="163"/>
      <c r="E25" s="255"/>
      <c r="F25" s="256"/>
      <c r="G25" s="256"/>
      <c r="H25" s="256"/>
      <c r="I25" s="256"/>
      <c r="J25" s="256"/>
      <c r="K25" s="257"/>
      <c r="L25" s="258"/>
      <c r="M25" s="259"/>
      <c r="N25" s="260"/>
      <c r="O25" s="261"/>
      <c r="P25" s="262"/>
      <c r="Q25" s="262"/>
      <c r="R25" s="263"/>
      <c r="S25" s="261"/>
      <c r="T25" s="262"/>
      <c r="U25" s="262"/>
      <c r="V25" s="262"/>
      <c r="W25" s="262"/>
      <c r="X25" s="262"/>
      <c r="Y25" s="263"/>
      <c r="Z25" s="264"/>
      <c r="AA25" s="265"/>
      <c r="AB25" s="265"/>
      <c r="AC25" s="265"/>
      <c r="AD25" s="265"/>
      <c r="AE25" s="265"/>
      <c r="AF25" s="265"/>
      <c r="AG25" s="265"/>
      <c r="AH25" s="265"/>
      <c r="AI25" s="265"/>
      <c r="AJ25" s="265"/>
      <c r="AK25" s="265"/>
      <c r="AL25" s="265"/>
      <c r="AM25" s="265"/>
      <c r="AN25" s="265"/>
      <c r="AO25" s="265"/>
      <c r="AP25" s="266"/>
      <c r="AQ25" s="267"/>
      <c r="AR25" s="267"/>
      <c r="AS25" s="267"/>
      <c r="AT25" s="267"/>
      <c r="AU25" s="267"/>
      <c r="AV25" s="267"/>
      <c r="AW25" s="267"/>
      <c r="AX25" s="267"/>
      <c r="AY25" s="267"/>
      <c r="AZ25" s="267"/>
      <c r="BA25" s="267"/>
      <c r="BB25" s="267"/>
      <c r="BC25" s="267"/>
      <c r="BD25" s="267"/>
      <c r="BE25" s="267"/>
      <c r="BF25" s="267"/>
      <c r="BG25" s="267"/>
      <c r="BH25" s="267"/>
      <c r="BI25" s="267"/>
      <c r="BJ25" s="268"/>
      <c r="BK25" s="48"/>
    </row>
    <row r="26" spans="1:63" s="49" customFormat="1" ht="15" customHeight="1" x14ac:dyDescent="0.25">
      <c r="A26" s="44"/>
      <c r="B26" s="51"/>
      <c r="C26" s="146">
        <v>4</v>
      </c>
      <c r="D26" s="148"/>
      <c r="E26" s="221" t="s">
        <v>25</v>
      </c>
      <c r="F26" s="222"/>
      <c r="G26" s="222"/>
      <c r="H26" s="222"/>
      <c r="I26" s="222"/>
      <c r="J26" s="222"/>
      <c r="K26" s="223"/>
      <c r="L26" s="149" t="s">
        <v>20</v>
      </c>
      <c r="M26" s="150"/>
      <c r="N26" s="151"/>
      <c r="O26" s="146" t="s">
        <v>62</v>
      </c>
      <c r="P26" s="147"/>
      <c r="Q26" s="147"/>
      <c r="R26" s="148"/>
      <c r="S26" s="146" t="s">
        <v>20</v>
      </c>
      <c r="T26" s="147"/>
      <c r="U26" s="147"/>
      <c r="V26" s="147"/>
      <c r="W26" s="147"/>
      <c r="X26" s="147"/>
      <c r="Y26" s="148"/>
      <c r="Z26" s="221" t="s">
        <v>25</v>
      </c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3"/>
      <c r="AQ26" s="224" t="s">
        <v>26</v>
      </c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  <c r="BD26" s="225"/>
      <c r="BE26" s="225"/>
      <c r="BF26" s="225"/>
      <c r="BG26" s="225"/>
      <c r="BH26" s="225"/>
      <c r="BI26" s="225"/>
      <c r="BJ26" s="226"/>
      <c r="BK26" s="48"/>
    </row>
    <row r="27" spans="1:63" s="49" customFormat="1" ht="15" customHeight="1" x14ac:dyDescent="0.25">
      <c r="A27" s="44"/>
      <c r="B27" s="51"/>
      <c r="C27" s="146">
        <v>5</v>
      </c>
      <c r="D27" s="148"/>
      <c r="E27" s="221" t="s">
        <v>27</v>
      </c>
      <c r="F27" s="222"/>
      <c r="G27" s="222"/>
      <c r="H27" s="222"/>
      <c r="I27" s="222"/>
      <c r="J27" s="222"/>
      <c r="K27" s="223"/>
      <c r="L27" s="149" t="s">
        <v>20</v>
      </c>
      <c r="M27" s="150"/>
      <c r="N27" s="151"/>
      <c r="O27" s="146" t="s">
        <v>62</v>
      </c>
      <c r="P27" s="147"/>
      <c r="Q27" s="147"/>
      <c r="R27" s="148"/>
      <c r="S27" s="146" t="s">
        <v>20</v>
      </c>
      <c r="T27" s="147"/>
      <c r="U27" s="147"/>
      <c r="V27" s="147"/>
      <c r="W27" s="147"/>
      <c r="X27" s="147"/>
      <c r="Y27" s="148"/>
      <c r="Z27" s="221" t="s">
        <v>27</v>
      </c>
      <c r="AA27" s="222"/>
      <c r="AB27" s="222"/>
      <c r="AC27" s="222"/>
      <c r="AD27" s="222"/>
      <c r="AE27" s="222"/>
      <c r="AF27" s="222"/>
      <c r="AG27" s="222"/>
      <c r="AH27" s="222"/>
      <c r="AI27" s="222"/>
      <c r="AJ27" s="222"/>
      <c r="AK27" s="222"/>
      <c r="AL27" s="222"/>
      <c r="AM27" s="222"/>
      <c r="AN27" s="222"/>
      <c r="AO27" s="222"/>
      <c r="AP27" s="223"/>
      <c r="AQ27" s="224" t="s">
        <v>89</v>
      </c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25"/>
      <c r="BG27" s="225"/>
      <c r="BH27" s="225"/>
      <c r="BI27" s="225"/>
      <c r="BJ27" s="226"/>
      <c r="BK27" s="48"/>
    </row>
    <row r="28" spans="1:63" s="49" customFormat="1" ht="15" customHeight="1" x14ac:dyDescent="0.25">
      <c r="A28" s="44"/>
      <c r="B28" s="51"/>
      <c r="C28" s="51"/>
      <c r="D28" s="51"/>
      <c r="E28" s="220"/>
      <c r="F28" s="220"/>
      <c r="G28" s="220"/>
      <c r="H28" s="220"/>
      <c r="I28" s="51"/>
      <c r="J28" s="51"/>
      <c r="K28" s="51"/>
      <c r="L28" s="269"/>
      <c r="M28" s="220"/>
      <c r="N28" s="220"/>
      <c r="O28" s="220"/>
      <c r="P28" s="220"/>
      <c r="Q28" s="51"/>
      <c r="R28" s="51"/>
      <c r="S28" s="51"/>
      <c r="T28" s="51"/>
      <c r="U28" s="51"/>
      <c r="V28" s="51"/>
      <c r="W28" s="51"/>
      <c r="X28" s="51"/>
      <c r="Y28" s="51"/>
      <c r="Z28" s="55"/>
      <c r="AA28" s="51"/>
      <c r="AB28" s="51"/>
      <c r="AC28" s="51"/>
      <c r="AD28" s="51"/>
      <c r="AE28" s="51"/>
      <c r="AF28" s="51"/>
      <c r="AG28" s="220"/>
      <c r="AH28" s="220"/>
      <c r="AI28" s="220"/>
      <c r="AJ28" s="220"/>
      <c r="AK28" s="220"/>
      <c r="AL28" s="220"/>
      <c r="AM28" s="220"/>
      <c r="AN28" s="220"/>
      <c r="AO28" s="220"/>
      <c r="AP28" s="51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2"/>
      <c r="BI28" s="52"/>
      <c r="BJ28" s="52"/>
      <c r="BK28" s="48"/>
    </row>
    <row r="29" spans="1:63" s="49" customFormat="1" ht="15" customHeight="1" x14ac:dyDescent="0.25">
      <c r="A29" s="44"/>
      <c r="B29" s="51"/>
      <c r="C29" s="51"/>
      <c r="D29" s="51"/>
      <c r="E29" s="220"/>
      <c r="F29" s="220"/>
      <c r="G29" s="220"/>
      <c r="H29" s="220"/>
      <c r="I29" s="51"/>
      <c r="J29" s="51"/>
      <c r="K29" s="51"/>
      <c r="L29" s="57"/>
      <c r="M29" s="220"/>
      <c r="N29" s="220"/>
      <c r="O29" s="220"/>
      <c r="P29" s="220"/>
      <c r="Q29" s="51"/>
      <c r="R29" s="51"/>
      <c r="S29" s="51"/>
      <c r="T29" s="51"/>
      <c r="U29" s="51"/>
      <c r="V29" s="51"/>
      <c r="W29" s="51"/>
      <c r="X29" s="51"/>
      <c r="Y29" s="51"/>
      <c r="Z29" s="55"/>
      <c r="AA29" s="51"/>
      <c r="AB29" s="51"/>
      <c r="AC29" s="51"/>
      <c r="AD29" s="51"/>
      <c r="AE29" s="51"/>
      <c r="AF29" s="51"/>
      <c r="AG29" s="220"/>
      <c r="AH29" s="220"/>
      <c r="AI29" s="220"/>
      <c r="AJ29" s="220"/>
      <c r="AK29" s="220"/>
      <c r="AL29" s="220"/>
      <c r="AM29" s="220"/>
      <c r="AN29" s="220"/>
      <c r="AO29" s="220"/>
      <c r="AP29" s="51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2"/>
      <c r="BI29" s="52"/>
      <c r="BJ29" s="52"/>
      <c r="BK29" s="48"/>
    </row>
    <row r="30" spans="1:63" s="49" customFormat="1" ht="15" customHeight="1" x14ac:dyDescent="0.25">
      <c r="A30" s="44"/>
      <c r="B30" s="51"/>
      <c r="C30" s="54" t="s">
        <v>90</v>
      </c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2"/>
      <c r="BI30" s="52"/>
      <c r="BJ30" s="52"/>
      <c r="BK30" s="48"/>
    </row>
    <row r="31" spans="1:63" s="49" customFormat="1" ht="15" customHeight="1" x14ac:dyDescent="0.25">
      <c r="A31" s="44"/>
      <c r="B31" s="51"/>
      <c r="C31" s="50"/>
      <c r="D31" s="51" t="s">
        <v>47</v>
      </c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2"/>
      <c r="BI31" s="52"/>
      <c r="BJ31" s="52"/>
      <c r="BK31" s="48"/>
    </row>
    <row r="32" spans="1:63" s="49" customFormat="1" ht="15" customHeight="1" x14ac:dyDescent="0.25">
      <c r="A32" s="44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2"/>
      <c r="BI32" s="52"/>
      <c r="BJ32" s="52"/>
      <c r="BK32" s="48"/>
    </row>
    <row r="33" spans="1:63" s="49" customFormat="1" ht="15" customHeight="1" x14ac:dyDescent="0.25">
      <c r="A33" s="44"/>
      <c r="B33" s="51"/>
      <c r="C33" s="54" t="s">
        <v>91</v>
      </c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2"/>
      <c r="BI33" s="52"/>
      <c r="BJ33" s="52"/>
      <c r="BK33" s="48"/>
    </row>
    <row r="34" spans="1:63" s="49" customFormat="1" ht="15" customHeight="1" x14ac:dyDescent="0.25">
      <c r="A34" s="44"/>
      <c r="B34" s="51"/>
      <c r="C34" s="173" t="s">
        <v>28</v>
      </c>
      <c r="D34" s="174"/>
      <c r="E34" s="270" t="s">
        <v>44</v>
      </c>
      <c r="F34" s="271"/>
      <c r="G34" s="271"/>
      <c r="H34" s="271"/>
      <c r="I34" s="271"/>
      <c r="J34" s="271"/>
      <c r="K34" s="272"/>
      <c r="L34" s="152" t="s">
        <v>41</v>
      </c>
      <c r="M34" s="153"/>
      <c r="N34" s="154"/>
      <c r="O34" s="152" t="s">
        <v>42</v>
      </c>
      <c r="P34" s="153"/>
      <c r="Q34" s="153"/>
      <c r="R34" s="154"/>
      <c r="S34" s="152" t="s">
        <v>43</v>
      </c>
      <c r="T34" s="153"/>
      <c r="U34" s="153"/>
      <c r="V34" s="153"/>
      <c r="W34" s="153"/>
      <c r="X34" s="153"/>
      <c r="Y34" s="154"/>
      <c r="Z34" s="155" t="s">
        <v>86</v>
      </c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56"/>
      <c r="AO34" s="156"/>
      <c r="AP34" s="157"/>
      <c r="AQ34" s="170" t="s">
        <v>40</v>
      </c>
      <c r="AR34" s="171"/>
      <c r="AS34" s="171"/>
      <c r="AT34" s="171"/>
      <c r="AU34" s="171"/>
      <c r="AV34" s="171"/>
      <c r="AW34" s="171"/>
      <c r="AX34" s="171"/>
      <c r="AY34" s="171"/>
      <c r="AZ34" s="171"/>
      <c r="BA34" s="171"/>
      <c r="BB34" s="171"/>
      <c r="BC34" s="171"/>
      <c r="BD34" s="171"/>
      <c r="BE34" s="171"/>
      <c r="BF34" s="171"/>
      <c r="BG34" s="171"/>
      <c r="BH34" s="171"/>
      <c r="BI34" s="171"/>
      <c r="BJ34" s="172"/>
      <c r="BK34" s="48"/>
    </row>
    <row r="35" spans="1:63" s="49" customFormat="1" ht="15" customHeight="1" x14ac:dyDescent="0.25">
      <c r="A35" s="44"/>
      <c r="B35" s="51"/>
      <c r="C35" s="146">
        <v>1</v>
      </c>
      <c r="D35" s="148"/>
      <c r="E35" s="221" t="s">
        <v>59</v>
      </c>
      <c r="F35" s="222"/>
      <c r="G35" s="222"/>
      <c r="H35" s="222"/>
      <c r="I35" s="222"/>
      <c r="J35" s="222"/>
      <c r="K35" s="223"/>
      <c r="L35" s="149" t="s">
        <v>19</v>
      </c>
      <c r="M35" s="150"/>
      <c r="N35" s="151"/>
      <c r="O35" s="146" t="s">
        <v>54</v>
      </c>
      <c r="P35" s="147"/>
      <c r="Q35" s="147"/>
      <c r="R35" s="148"/>
      <c r="S35" s="146" t="s">
        <v>20</v>
      </c>
      <c r="T35" s="147"/>
      <c r="U35" s="147"/>
      <c r="V35" s="147"/>
      <c r="W35" s="147"/>
      <c r="X35" s="147"/>
      <c r="Y35" s="148"/>
      <c r="Z35" s="221" t="s">
        <v>60</v>
      </c>
      <c r="AA35" s="222"/>
      <c r="AB35" s="222"/>
      <c r="AC35" s="222"/>
      <c r="AD35" s="222"/>
      <c r="AE35" s="222"/>
      <c r="AF35" s="222"/>
      <c r="AG35" s="222"/>
      <c r="AH35" s="222"/>
      <c r="AI35" s="222"/>
      <c r="AJ35" s="222"/>
      <c r="AK35" s="222"/>
      <c r="AL35" s="222"/>
      <c r="AM35" s="222"/>
      <c r="AN35" s="222"/>
      <c r="AO35" s="222"/>
      <c r="AP35" s="223"/>
      <c r="AQ35" s="167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68"/>
      <c r="BJ35" s="169"/>
      <c r="BK35" s="48"/>
    </row>
    <row r="36" spans="1:63" s="281" customFormat="1" ht="30" customHeight="1" x14ac:dyDescent="0.25">
      <c r="A36" s="273"/>
      <c r="B36" s="220"/>
      <c r="C36" s="221">
        <v>2</v>
      </c>
      <c r="D36" s="223"/>
      <c r="E36" s="221" t="s">
        <v>55</v>
      </c>
      <c r="F36" s="222"/>
      <c r="G36" s="222"/>
      <c r="H36" s="222"/>
      <c r="I36" s="222"/>
      <c r="J36" s="222"/>
      <c r="K36" s="223"/>
      <c r="L36" s="274" t="s">
        <v>20</v>
      </c>
      <c r="M36" s="275"/>
      <c r="N36" s="276"/>
      <c r="O36" s="221" t="s">
        <v>62</v>
      </c>
      <c r="P36" s="222"/>
      <c r="Q36" s="222"/>
      <c r="R36" s="223"/>
      <c r="S36" s="221" t="s">
        <v>56</v>
      </c>
      <c r="T36" s="222"/>
      <c r="U36" s="222"/>
      <c r="V36" s="222"/>
      <c r="W36" s="222"/>
      <c r="X36" s="222"/>
      <c r="Y36" s="223"/>
      <c r="Z36" s="221" t="s">
        <v>57</v>
      </c>
      <c r="AA36" s="222"/>
      <c r="AB36" s="222"/>
      <c r="AC36" s="222"/>
      <c r="AD36" s="222"/>
      <c r="AE36" s="222"/>
      <c r="AF36" s="222"/>
      <c r="AG36" s="222"/>
      <c r="AH36" s="222"/>
      <c r="AI36" s="222"/>
      <c r="AJ36" s="222"/>
      <c r="AK36" s="222"/>
      <c r="AL36" s="222"/>
      <c r="AM36" s="222"/>
      <c r="AN36" s="222"/>
      <c r="AO36" s="222"/>
      <c r="AP36" s="223"/>
      <c r="AQ36" s="277" t="s">
        <v>92</v>
      </c>
      <c r="AR36" s="278"/>
      <c r="AS36" s="278"/>
      <c r="AT36" s="278"/>
      <c r="AU36" s="278"/>
      <c r="AV36" s="278"/>
      <c r="AW36" s="278"/>
      <c r="AX36" s="278"/>
      <c r="AY36" s="278"/>
      <c r="AZ36" s="278"/>
      <c r="BA36" s="278"/>
      <c r="BB36" s="278"/>
      <c r="BC36" s="278"/>
      <c r="BD36" s="278"/>
      <c r="BE36" s="278"/>
      <c r="BF36" s="278"/>
      <c r="BG36" s="278"/>
      <c r="BH36" s="278"/>
      <c r="BI36" s="278"/>
      <c r="BJ36" s="279"/>
      <c r="BK36" s="280"/>
    </row>
    <row r="37" spans="1:63" s="49" customFormat="1" ht="90" customHeight="1" x14ac:dyDescent="0.25">
      <c r="A37" s="44"/>
      <c r="B37" s="51"/>
      <c r="C37" s="282">
        <v>3</v>
      </c>
      <c r="D37" s="283"/>
      <c r="E37" s="282" t="s">
        <v>93</v>
      </c>
      <c r="F37" s="284"/>
      <c r="G37" s="284"/>
      <c r="H37" s="284"/>
      <c r="I37" s="284"/>
      <c r="J37" s="284"/>
      <c r="K37" s="283"/>
      <c r="L37" s="285" t="s">
        <v>20</v>
      </c>
      <c r="M37" s="286"/>
      <c r="N37" s="287"/>
      <c r="O37" s="282" t="s">
        <v>94</v>
      </c>
      <c r="P37" s="284"/>
      <c r="Q37" s="284"/>
      <c r="R37" s="283"/>
      <c r="S37" s="282" t="s">
        <v>20</v>
      </c>
      <c r="T37" s="284"/>
      <c r="U37" s="284"/>
      <c r="V37" s="284"/>
      <c r="W37" s="284"/>
      <c r="X37" s="284"/>
      <c r="Y37" s="283"/>
      <c r="Z37" s="282" t="s">
        <v>95</v>
      </c>
      <c r="AA37" s="284"/>
      <c r="AB37" s="284"/>
      <c r="AC37" s="284"/>
      <c r="AD37" s="284"/>
      <c r="AE37" s="284"/>
      <c r="AF37" s="284"/>
      <c r="AG37" s="284"/>
      <c r="AH37" s="284"/>
      <c r="AI37" s="284"/>
      <c r="AJ37" s="284"/>
      <c r="AK37" s="284"/>
      <c r="AL37" s="284"/>
      <c r="AM37" s="284"/>
      <c r="AN37" s="284"/>
      <c r="AO37" s="284"/>
      <c r="AP37" s="283"/>
      <c r="AQ37" s="288" t="s">
        <v>96</v>
      </c>
      <c r="AR37" s="284"/>
      <c r="AS37" s="284"/>
      <c r="AT37" s="284"/>
      <c r="AU37" s="284"/>
      <c r="AV37" s="284"/>
      <c r="AW37" s="284"/>
      <c r="AX37" s="284"/>
      <c r="AY37" s="284"/>
      <c r="AZ37" s="284"/>
      <c r="BA37" s="284"/>
      <c r="BB37" s="284"/>
      <c r="BC37" s="284"/>
      <c r="BD37" s="284"/>
      <c r="BE37" s="284"/>
      <c r="BF37" s="284"/>
      <c r="BG37" s="284"/>
      <c r="BH37" s="284"/>
      <c r="BI37" s="284"/>
      <c r="BJ37" s="283"/>
      <c r="BK37" s="48"/>
    </row>
    <row r="38" spans="1:63" s="49" customFormat="1" ht="15" customHeight="1" x14ac:dyDescent="0.25">
      <c r="A38" s="44"/>
      <c r="B38" s="51"/>
      <c r="C38" s="282">
        <v>4</v>
      </c>
      <c r="D38" s="283"/>
      <c r="E38" s="282" t="s">
        <v>97</v>
      </c>
      <c r="F38" s="284"/>
      <c r="G38" s="284"/>
      <c r="H38" s="284"/>
      <c r="I38" s="284"/>
      <c r="J38" s="284"/>
      <c r="K38" s="283"/>
      <c r="L38" s="285" t="s">
        <v>20</v>
      </c>
      <c r="M38" s="286"/>
      <c r="N38" s="287"/>
      <c r="O38" s="282" t="s">
        <v>94</v>
      </c>
      <c r="P38" s="284"/>
      <c r="Q38" s="284"/>
      <c r="R38" s="283"/>
      <c r="S38" s="282" t="s">
        <v>98</v>
      </c>
      <c r="T38" s="284"/>
      <c r="U38" s="284"/>
      <c r="V38" s="284"/>
      <c r="W38" s="284"/>
      <c r="X38" s="284"/>
      <c r="Y38" s="283"/>
      <c r="Z38" s="282" t="s">
        <v>99</v>
      </c>
      <c r="AA38" s="284"/>
      <c r="AB38" s="284"/>
      <c r="AC38" s="284"/>
      <c r="AD38" s="284"/>
      <c r="AE38" s="284"/>
      <c r="AF38" s="284"/>
      <c r="AG38" s="284"/>
      <c r="AH38" s="284"/>
      <c r="AI38" s="284"/>
      <c r="AJ38" s="284"/>
      <c r="AK38" s="284"/>
      <c r="AL38" s="284"/>
      <c r="AM38" s="284"/>
      <c r="AN38" s="284"/>
      <c r="AO38" s="284"/>
      <c r="AP38" s="283"/>
      <c r="AQ38" s="282" t="s">
        <v>100</v>
      </c>
      <c r="AR38" s="284"/>
      <c r="AS38" s="284"/>
      <c r="AT38" s="284"/>
      <c r="AU38" s="284"/>
      <c r="AV38" s="284"/>
      <c r="AW38" s="284"/>
      <c r="AX38" s="284"/>
      <c r="AY38" s="284"/>
      <c r="AZ38" s="284"/>
      <c r="BA38" s="284"/>
      <c r="BB38" s="284"/>
      <c r="BC38" s="284"/>
      <c r="BD38" s="284"/>
      <c r="BE38" s="284"/>
      <c r="BF38" s="284"/>
      <c r="BG38" s="284"/>
      <c r="BH38" s="284"/>
      <c r="BI38" s="284"/>
      <c r="BJ38" s="283"/>
      <c r="BK38" s="48"/>
    </row>
    <row r="39" spans="1:63" s="49" customFormat="1" ht="15" customHeight="1" x14ac:dyDescent="0.25">
      <c r="A39" s="44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2"/>
      <c r="BI39" s="52"/>
      <c r="BJ39" s="52"/>
      <c r="BK39" s="48"/>
    </row>
    <row r="40" spans="1:63" s="49" customFormat="1" ht="15" customHeight="1" x14ac:dyDescent="0.25">
      <c r="A40" s="44"/>
      <c r="B40" s="45" t="s">
        <v>101</v>
      </c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7"/>
      <c r="BI40" s="47"/>
      <c r="BJ40" s="47"/>
      <c r="BK40" s="48"/>
    </row>
    <row r="41" spans="1:63" s="49" customFormat="1" ht="15" customHeight="1" x14ac:dyDescent="0.25">
      <c r="A41" s="44"/>
      <c r="B41" s="50"/>
      <c r="C41" s="54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2"/>
      <c r="BI41" s="52"/>
      <c r="BJ41" s="52"/>
      <c r="BK41" s="48"/>
    </row>
    <row r="42" spans="1:63" s="49" customFormat="1" ht="15" customHeight="1" x14ac:dyDescent="0.25">
      <c r="A42" s="44"/>
      <c r="B42" s="50"/>
      <c r="C42" s="54" t="s">
        <v>102</v>
      </c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2"/>
      <c r="BI42" s="52"/>
      <c r="BJ42" s="52"/>
      <c r="BK42" s="48"/>
    </row>
    <row r="43" spans="1:63" s="49" customFormat="1" ht="15" customHeight="1" x14ac:dyDescent="0.25">
      <c r="A43" s="44"/>
      <c r="B43" s="50"/>
      <c r="C43" s="54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2"/>
      <c r="BI43" s="52"/>
      <c r="BJ43" s="52"/>
      <c r="BK43" s="48"/>
    </row>
    <row r="44" spans="1:63" s="49" customFormat="1" ht="15" customHeight="1" x14ac:dyDescent="0.25">
      <c r="A44" s="44"/>
      <c r="B44" s="51"/>
      <c r="C44" s="51"/>
      <c r="D44" s="51" t="s">
        <v>103</v>
      </c>
      <c r="E44" s="220"/>
      <c r="F44" s="220"/>
      <c r="G44" s="220"/>
      <c r="H44" s="220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220"/>
      <c r="T44" s="220"/>
      <c r="U44" s="220"/>
      <c r="V44" s="220"/>
      <c r="W44" s="220"/>
      <c r="X44" s="220"/>
      <c r="Y44" s="220"/>
      <c r="Z44" s="220"/>
      <c r="AA44" s="220"/>
      <c r="AB44" s="51"/>
      <c r="AC44" s="220"/>
      <c r="AD44" s="220"/>
      <c r="AE44" s="220"/>
      <c r="AF44" s="220"/>
      <c r="AG44" s="220"/>
      <c r="AH44" s="220"/>
      <c r="AI44" s="220"/>
      <c r="AJ44" s="220"/>
      <c r="AK44" s="220"/>
      <c r="AL44" s="220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2"/>
      <c r="BI44" s="52"/>
      <c r="BJ44" s="52"/>
      <c r="BK44" s="48"/>
    </row>
    <row r="45" spans="1:63" s="49" customFormat="1" ht="15" customHeight="1" x14ac:dyDescent="0.25">
      <c r="A45" s="44"/>
      <c r="B45" s="51"/>
      <c r="C45" s="51"/>
      <c r="D45" s="220"/>
      <c r="E45" s="220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2"/>
      <c r="BI45" s="52"/>
      <c r="BJ45" s="52"/>
      <c r="BK45" s="48"/>
    </row>
    <row r="46" spans="1:63" s="49" customFormat="1" ht="15" customHeight="1" x14ac:dyDescent="0.25">
      <c r="A46" s="44"/>
      <c r="B46" s="51"/>
      <c r="C46" s="50" t="s">
        <v>104</v>
      </c>
      <c r="D46" s="51"/>
      <c r="E46" s="220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2"/>
      <c r="BI46" s="52"/>
      <c r="BJ46" s="52"/>
      <c r="BK46" s="48"/>
    </row>
    <row r="47" spans="1:63" s="49" customFormat="1" ht="15" customHeight="1" x14ac:dyDescent="0.25">
      <c r="A47" s="44"/>
      <c r="B47" s="51"/>
      <c r="C47" s="50"/>
      <c r="D47" s="51"/>
      <c r="E47" s="220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2"/>
      <c r="BI47" s="52"/>
      <c r="BJ47" s="52"/>
      <c r="BK47" s="48"/>
    </row>
    <row r="48" spans="1:63" s="49" customFormat="1" ht="15" customHeight="1" x14ac:dyDescent="0.25">
      <c r="A48" s="44"/>
      <c r="B48" s="51"/>
      <c r="C48" s="50"/>
      <c r="D48" s="51" t="s">
        <v>48</v>
      </c>
      <c r="E48" s="220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2"/>
      <c r="BI48" s="52"/>
      <c r="BJ48" s="52"/>
      <c r="BK48" s="48"/>
    </row>
    <row r="49" spans="1:63" s="49" customFormat="1" ht="15" customHeight="1" x14ac:dyDescent="0.25">
      <c r="A49" s="44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2"/>
      <c r="BI49" s="52"/>
      <c r="BJ49" s="52"/>
      <c r="BK49" s="48"/>
    </row>
    <row r="50" spans="1:63" s="64" customFormat="1" ht="15" customHeight="1" x14ac:dyDescent="0.25">
      <c r="A50" s="59"/>
      <c r="B50" s="60"/>
      <c r="C50" s="60"/>
      <c r="D50" s="60"/>
      <c r="E50" s="61"/>
      <c r="F50" s="61"/>
      <c r="G50" s="61"/>
      <c r="H50" s="61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2"/>
      <c r="BI50" s="62"/>
      <c r="BJ50" s="62"/>
      <c r="BK50" s="63"/>
    </row>
  </sheetData>
  <mergeCells count="105">
    <mergeCell ref="Z36:AP36"/>
    <mergeCell ref="AQ36:BJ36"/>
    <mergeCell ref="C36:D36"/>
    <mergeCell ref="E36:K36"/>
    <mergeCell ref="L36:N36"/>
    <mergeCell ref="O36:R36"/>
    <mergeCell ref="S36:Y36"/>
    <mergeCell ref="Z23:AP25"/>
    <mergeCell ref="Z34:AP34"/>
    <mergeCell ref="AQ34:BJ34"/>
    <mergeCell ref="C35:D35"/>
    <mergeCell ref="E35:K35"/>
    <mergeCell ref="L35:N35"/>
    <mergeCell ref="O35:R35"/>
    <mergeCell ref="S35:Y35"/>
    <mergeCell ref="Z35:AP35"/>
    <mergeCell ref="AQ35:BJ35"/>
    <mergeCell ref="C34:D34"/>
    <mergeCell ref="E34:K34"/>
    <mergeCell ref="L34:N34"/>
    <mergeCell ref="O34:R34"/>
    <mergeCell ref="S34:Y34"/>
    <mergeCell ref="AQ23:BJ25"/>
    <mergeCell ref="AQ26:BJ2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AG16:AP16"/>
    <mergeCell ref="E20:K20"/>
    <mergeCell ref="S20:Y20"/>
    <mergeCell ref="Z20:AP20"/>
    <mergeCell ref="O21:R21"/>
    <mergeCell ref="C23:D25"/>
    <mergeCell ref="E23:K25"/>
    <mergeCell ref="O23:R25"/>
    <mergeCell ref="L23:N25"/>
    <mergeCell ref="S23:Y25"/>
    <mergeCell ref="C21:D21"/>
    <mergeCell ref="O22:R22"/>
    <mergeCell ref="L21:N21"/>
    <mergeCell ref="L22:N22"/>
    <mergeCell ref="C22:D22"/>
    <mergeCell ref="C20:D20"/>
    <mergeCell ref="AQ20:BJ20"/>
    <mergeCell ref="O20:R20"/>
    <mergeCell ref="L20:N20"/>
    <mergeCell ref="S22:Y22"/>
    <mergeCell ref="S21:Y21"/>
    <mergeCell ref="E21:K21"/>
    <mergeCell ref="E22:K22"/>
    <mergeCell ref="AQ22:BJ22"/>
    <mergeCell ref="AQ21:BJ21"/>
    <mergeCell ref="Z21:AP21"/>
    <mergeCell ref="Z22:AP22"/>
    <mergeCell ref="AQ27:BJ27"/>
    <mergeCell ref="S26:Y26"/>
    <mergeCell ref="S27:Y27"/>
    <mergeCell ref="C27:D27"/>
    <mergeCell ref="L26:N26"/>
    <mergeCell ref="L27:N27"/>
    <mergeCell ref="C26:D26"/>
    <mergeCell ref="E26:K26"/>
    <mergeCell ref="E27:K27"/>
    <mergeCell ref="O26:R26"/>
    <mergeCell ref="O27:R27"/>
    <mergeCell ref="Z27:AP27"/>
    <mergeCell ref="Z26:AP26"/>
    <mergeCell ref="Z37:AP37"/>
    <mergeCell ref="AQ37:BJ37"/>
    <mergeCell ref="C38:D38"/>
    <mergeCell ref="E38:K38"/>
    <mergeCell ref="L38:N38"/>
    <mergeCell ref="O38:R38"/>
    <mergeCell ref="S38:Y38"/>
    <mergeCell ref="Z38:AP38"/>
    <mergeCell ref="AQ38:BJ38"/>
    <mergeCell ref="C37:D37"/>
    <mergeCell ref="E37:K37"/>
    <mergeCell ref="L37:N37"/>
    <mergeCell ref="O37:R37"/>
    <mergeCell ref="S37:Y37"/>
  </mergeCells>
  <pageMargins left="0.7" right="0.7" top="0.75" bottom="0.75" header="0.3" footer="0.3"/>
  <pageSetup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2" t="s">
        <v>71</v>
      </c>
      <c r="B1" s="193"/>
      <c r="C1" s="193"/>
      <c r="D1" s="193"/>
      <c r="E1" s="193"/>
      <c r="F1" s="193"/>
      <c r="G1" s="193"/>
      <c r="H1" s="193"/>
      <c r="I1" s="193"/>
      <c r="J1" s="194"/>
      <c r="K1" s="192" t="s">
        <v>72</v>
      </c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4"/>
      <c r="W1" s="195" t="str">
        <f>IF(表紙!W1="","",表紙!W1)</f>
        <v>詳細設計書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7"/>
      <c r="AP1" s="198" t="s">
        <v>73</v>
      </c>
      <c r="AQ1" s="199"/>
      <c r="AR1" s="199"/>
      <c r="AS1" s="200"/>
      <c r="AT1" s="198" t="s">
        <v>74</v>
      </c>
      <c r="AU1" s="199"/>
      <c r="AV1" s="199"/>
      <c r="AW1" s="199"/>
      <c r="AX1" s="200"/>
      <c r="AY1" s="198" t="s">
        <v>75</v>
      </c>
      <c r="AZ1" s="199"/>
      <c r="BA1" s="199"/>
      <c r="BB1" s="200"/>
      <c r="BC1" s="198" t="s">
        <v>76</v>
      </c>
      <c r="BD1" s="199"/>
      <c r="BE1" s="199"/>
      <c r="BF1" s="199"/>
      <c r="BG1" s="200"/>
      <c r="BH1" s="198" t="s">
        <v>77</v>
      </c>
      <c r="BI1" s="199"/>
      <c r="BJ1" s="199"/>
      <c r="BK1" s="200"/>
    </row>
    <row r="2" spans="1:63" ht="15" customHeight="1" x14ac:dyDescent="0.25">
      <c r="A2" s="124" t="str">
        <f>IF(表紙!A2="","",表紙!A2)</f>
        <v>POSサーバー</v>
      </c>
      <c r="B2" s="125"/>
      <c r="C2" s="125"/>
      <c r="D2" s="125"/>
      <c r="E2" s="125"/>
      <c r="F2" s="125"/>
      <c r="G2" s="125"/>
      <c r="H2" s="125"/>
      <c r="I2" s="125"/>
      <c r="J2" s="126"/>
      <c r="K2" s="124" t="str">
        <f>IF(表紙!K2="","",表紙!K2)</f>
        <v>POSサーバー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201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3"/>
      <c r="AP2" s="204" t="str">
        <f>IF(表紙!AP2="","",表紙!AP2)</f>
        <v>AnhDD</v>
      </c>
      <c r="AQ2" s="205"/>
      <c r="AR2" s="205"/>
      <c r="AS2" s="206"/>
      <c r="AT2" s="207">
        <f>IF(表紙!AT2="","",表紙!AT2)</f>
        <v>45517</v>
      </c>
      <c r="AU2" s="208"/>
      <c r="AV2" s="208"/>
      <c r="AW2" s="208"/>
      <c r="AX2" s="209"/>
      <c r="AY2" s="204" t="str">
        <f>IF(表紙!AY2="","",表紙!AY2)</f>
        <v>DuNT</v>
      </c>
      <c r="AZ2" s="205"/>
      <c r="BA2" s="205"/>
      <c r="BB2" s="206"/>
      <c r="BC2" s="207">
        <f>IF(表紙!BC2="","",表紙!BC2)</f>
        <v>45621</v>
      </c>
      <c r="BD2" s="208"/>
      <c r="BE2" s="208"/>
      <c r="BF2" s="208"/>
      <c r="BG2" s="209"/>
      <c r="BH2" s="204">
        <f>IF(表紙!BH2="","",表紙!BH2)</f>
        <v>0.51</v>
      </c>
      <c r="BI2" s="205"/>
      <c r="BJ2" s="205"/>
      <c r="BK2" s="206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210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2"/>
      <c r="AP3" s="213"/>
      <c r="AQ3" s="214"/>
      <c r="AR3" s="214"/>
      <c r="AS3" s="215"/>
      <c r="AT3" s="216"/>
      <c r="AU3" s="217"/>
      <c r="AV3" s="217"/>
      <c r="AW3" s="217"/>
      <c r="AX3" s="218"/>
      <c r="AY3" s="213"/>
      <c r="AZ3" s="214"/>
      <c r="BA3" s="214"/>
      <c r="BB3" s="215"/>
      <c r="BC3" s="216"/>
      <c r="BD3" s="217"/>
      <c r="BE3" s="217"/>
      <c r="BF3" s="217"/>
      <c r="BG3" s="218"/>
      <c r="BH3" s="213"/>
      <c r="BI3" s="214"/>
      <c r="BJ3" s="214"/>
      <c r="BK3" s="215"/>
    </row>
    <row r="4" spans="1:63" ht="24.95" customHeight="1" x14ac:dyDescent="0.25">
      <c r="A4" s="192" t="s">
        <v>78</v>
      </c>
      <c r="B4" s="193"/>
      <c r="C4" s="193"/>
      <c r="D4" s="193"/>
      <c r="E4" s="193"/>
      <c r="F4" s="193"/>
      <c r="G4" s="194"/>
      <c r="H4" s="142" t="str">
        <f>IF(表紙!H4="","",表紙!H4)</f>
        <v>AP2103_レシート一覧CSV出力</v>
      </c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4"/>
      <c r="U4" s="192" t="s">
        <v>79</v>
      </c>
      <c r="V4" s="193"/>
      <c r="W4" s="193"/>
      <c r="X4" s="193"/>
      <c r="Y4" s="194"/>
      <c r="Z4" s="142" t="str">
        <f>IF(表紙!Z4="","",表紙!Z4)</f>
        <v>API設計書</v>
      </c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4"/>
      <c r="AP4" s="145" t="str">
        <f ca="1">MID(CELL("filename",A1),FIND("]",CELL("filename",A1))+1,255)</f>
        <v>処理フロー</v>
      </c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89" customFormat="1" ht="15" customHeight="1" x14ac:dyDescent="0.25">
      <c r="B7" s="65"/>
      <c r="C7" s="52"/>
      <c r="D7" s="52"/>
      <c r="E7" s="52"/>
      <c r="F7" s="52"/>
      <c r="G7" s="52"/>
      <c r="AI7" s="290"/>
      <c r="BJ7" s="290"/>
      <c r="BK7" s="280"/>
    </row>
    <row r="8" spans="1:63" s="289" customFormat="1" ht="15" customHeight="1" x14ac:dyDescent="0.25">
      <c r="B8" s="65"/>
      <c r="C8" s="52"/>
      <c r="D8" s="52"/>
      <c r="E8" s="52"/>
      <c r="F8" s="52"/>
      <c r="G8" s="52"/>
      <c r="AI8" s="290"/>
      <c r="BJ8" s="290"/>
      <c r="BK8" s="280"/>
    </row>
    <row r="9" spans="1:63" s="289" customFormat="1" ht="15" customHeight="1" x14ac:dyDescent="0.25">
      <c r="B9" s="65"/>
      <c r="C9" s="52"/>
      <c r="D9" s="52"/>
      <c r="E9" s="52"/>
      <c r="F9" s="52"/>
      <c r="G9" s="52"/>
      <c r="AI9" s="290"/>
      <c r="BJ9" s="290"/>
      <c r="BK9" s="280"/>
    </row>
    <row r="10" spans="1:63" s="289" customFormat="1" ht="15" customHeight="1" x14ac:dyDescent="0.25">
      <c r="B10" s="65"/>
      <c r="C10" s="52"/>
      <c r="D10" s="52"/>
      <c r="E10" s="52"/>
      <c r="F10" s="52"/>
      <c r="G10" s="52"/>
      <c r="AI10" s="290"/>
      <c r="BJ10" s="290"/>
      <c r="BK10" s="280"/>
    </row>
    <row r="11" spans="1:63" s="289" customFormat="1" ht="15" customHeight="1" x14ac:dyDescent="0.25">
      <c r="B11" s="291"/>
      <c r="AI11" s="290"/>
      <c r="BJ11" s="290"/>
      <c r="BK11" s="280"/>
    </row>
    <row r="12" spans="1:63" s="289" customFormat="1" ht="15" customHeight="1" x14ac:dyDescent="0.25">
      <c r="B12" s="291"/>
      <c r="AI12" s="290"/>
      <c r="BJ12" s="290"/>
      <c r="BK12" s="280"/>
    </row>
    <row r="13" spans="1:63" s="289" customFormat="1" ht="15" customHeight="1" x14ac:dyDescent="0.25">
      <c r="B13" s="291"/>
      <c r="AI13" s="290"/>
      <c r="BJ13" s="290"/>
      <c r="BK13" s="280"/>
    </row>
    <row r="14" spans="1:63" s="289" customFormat="1" ht="15" customHeight="1" x14ac:dyDescent="0.25">
      <c r="B14" s="291"/>
      <c r="AI14" s="290"/>
      <c r="BJ14" s="290"/>
      <c r="BK14" s="280"/>
    </row>
    <row r="15" spans="1:63" s="289" customFormat="1" ht="15" customHeight="1" x14ac:dyDescent="0.25">
      <c r="B15" s="291"/>
      <c r="AI15" s="290"/>
      <c r="BJ15" s="290"/>
      <c r="BK15" s="280"/>
    </row>
    <row r="16" spans="1:63" s="289" customFormat="1" ht="15" customHeight="1" x14ac:dyDescent="0.25">
      <c r="B16" s="291"/>
      <c r="AI16" s="290"/>
      <c r="BJ16" s="290"/>
      <c r="BK16" s="280"/>
    </row>
    <row r="17" spans="2:63" s="289" customFormat="1" ht="15" customHeight="1" x14ac:dyDescent="0.25">
      <c r="B17" s="291"/>
      <c r="AI17" s="290"/>
      <c r="BJ17" s="290"/>
      <c r="BK17" s="280"/>
    </row>
    <row r="18" spans="2:63" s="289" customFormat="1" ht="15" customHeight="1" x14ac:dyDescent="0.25">
      <c r="B18" s="291"/>
      <c r="AI18" s="290"/>
      <c r="BJ18" s="290"/>
      <c r="BK18" s="280"/>
    </row>
    <row r="19" spans="2:63" s="289" customFormat="1" ht="15" customHeight="1" x14ac:dyDescent="0.25">
      <c r="B19" s="291"/>
      <c r="AI19" s="290"/>
      <c r="BJ19" s="290"/>
      <c r="BK19" s="280"/>
    </row>
    <row r="20" spans="2:63" s="289" customFormat="1" ht="15" customHeight="1" x14ac:dyDescent="0.25">
      <c r="B20" s="291"/>
      <c r="AI20" s="290"/>
      <c r="BJ20" s="290"/>
      <c r="BK20" s="280"/>
    </row>
    <row r="21" spans="2:63" s="289" customFormat="1" ht="15" customHeight="1" x14ac:dyDescent="0.25">
      <c r="B21" s="291"/>
      <c r="AI21" s="290"/>
      <c r="BJ21" s="290"/>
      <c r="BK21" s="280"/>
    </row>
    <row r="22" spans="2:63" s="289" customFormat="1" ht="15" customHeight="1" x14ac:dyDescent="0.25">
      <c r="B22" s="291"/>
      <c r="AI22" s="290"/>
      <c r="BJ22" s="290"/>
      <c r="BK22" s="280"/>
    </row>
    <row r="23" spans="2:63" s="289" customFormat="1" ht="15" customHeight="1" x14ac:dyDescent="0.25">
      <c r="B23" s="291"/>
      <c r="AI23" s="290"/>
      <c r="BJ23" s="290"/>
      <c r="BK23" s="280"/>
    </row>
    <row r="24" spans="2:63" s="289" customFormat="1" ht="15" customHeight="1" x14ac:dyDescent="0.25">
      <c r="B24" s="291"/>
      <c r="AI24" s="290"/>
      <c r="BJ24" s="290"/>
      <c r="BK24" s="280"/>
    </row>
    <row r="25" spans="2:63" s="289" customFormat="1" ht="15" customHeight="1" x14ac:dyDescent="0.25">
      <c r="B25" s="291"/>
      <c r="AI25" s="290"/>
      <c r="BJ25" s="290"/>
      <c r="BK25" s="280"/>
    </row>
    <row r="26" spans="2:63" s="289" customFormat="1" ht="15" customHeight="1" x14ac:dyDescent="0.25">
      <c r="B26" s="291"/>
      <c r="AI26" s="290"/>
      <c r="BJ26" s="290"/>
      <c r="BK26" s="280"/>
    </row>
    <row r="27" spans="2:63" s="289" customFormat="1" ht="15" customHeight="1" x14ac:dyDescent="0.25">
      <c r="B27" s="291"/>
      <c r="AI27" s="290"/>
      <c r="BJ27" s="290"/>
      <c r="BK27" s="280"/>
    </row>
    <row r="28" spans="2:63" s="289" customFormat="1" ht="15" customHeight="1" x14ac:dyDescent="0.25">
      <c r="B28" s="291"/>
      <c r="AI28" s="290"/>
      <c r="BJ28" s="290"/>
      <c r="BK28" s="280"/>
    </row>
    <row r="29" spans="2:63" s="289" customFormat="1" ht="15" customHeight="1" x14ac:dyDescent="0.25">
      <c r="B29" s="291"/>
      <c r="AI29" s="290"/>
      <c r="BJ29" s="290"/>
      <c r="BK29" s="280"/>
    </row>
    <row r="30" spans="2:63" s="289" customFormat="1" ht="15" customHeight="1" x14ac:dyDescent="0.25">
      <c r="B30" s="291"/>
      <c r="AI30" s="290"/>
      <c r="BJ30" s="290"/>
      <c r="BK30" s="280"/>
    </row>
    <row r="31" spans="2:63" s="289" customFormat="1" ht="15" customHeight="1" x14ac:dyDescent="0.25">
      <c r="B31" s="291"/>
      <c r="AI31" s="290"/>
      <c r="BJ31" s="290"/>
      <c r="BK31" s="280"/>
    </row>
    <row r="32" spans="2:63" s="289" customFormat="1" ht="15" customHeight="1" x14ac:dyDescent="0.25">
      <c r="B32" s="291"/>
      <c r="AI32" s="290"/>
      <c r="BJ32" s="290"/>
      <c r="BK32" s="280"/>
    </row>
    <row r="33" spans="2:63" s="289" customFormat="1" ht="15" customHeight="1" x14ac:dyDescent="0.25">
      <c r="B33" s="291"/>
      <c r="AI33" s="290"/>
      <c r="BJ33" s="290"/>
      <c r="BK33" s="280"/>
    </row>
    <row r="34" spans="2:63" s="289" customFormat="1" ht="15" customHeight="1" x14ac:dyDescent="0.25">
      <c r="B34" s="291"/>
      <c r="AI34" s="290"/>
      <c r="BJ34" s="290"/>
      <c r="BK34" s="280"/>
    </row>
    <row r="35" spans="2:63" s="289" customFormat="1" ht="15" customHeight="1" x14ac:dyDescent="0.25">
      <c r="B35" s="291"/>
      <c r="AI35" s="290"/>
      <c r="BJ35" s="290"/>
      <c r="BK35" s="280"/>
    </row>
    <row r="36" spans="2:63" s="289" customFormat="1" ht="15" customHeight="1" x14ac:dyDescent="0.25">
      <c r="B36" s="291"/>
      <c r="AI36" s="290"/>
      <c r="BJ36" s="290"/>
      <c r="BK36" s="280"/>
    </row>
    <row r="37" spans="2:63" s="289" customFormat="1" ht="15" customHeight="1" x14ac:dyDescent="0.25">
      <c r="B37" s="291"/>
      <c r="AI37" s="290"/>
      <c r="BJ37" s="290"/>
      <c r="BK37" s="280"/>
    </row>
    <row r="38" spans="2:63" s="289" customFormat="1" ht="15" customHeight="1" x14ac:dyDescent="0.25">
      <c r="B38" s="291"/>
      <c r="AI38" s="290"/>
      <c r="BJ38" s="290"/>
      <c r="BK38" s="280"/>
    </row>
    <row r="39" spans="2:63" s="289" customFormat="1" ht="15" customHeight="1" x14ac:dyDescent="0.25">
      <c r="B39" s="291"/>
      <c r="AI39" s="290"/>
      <c r="BJ39" s="290"/>
      <c r="BK39" s="280"/>
    </row>
    <row r="40" spans="2:63" s="289" customFormat="1" ht="15" customHeight="1" x14ac:dyDescent="0.25">
      <c r="B40" s="291"/>
      <c r="AI40" s="290"/>
      <c r="BJ40" s="290"/>
      <c r="BK40" s="280"/>
    </row>
    <row r="41" spans="2:63" s="289" customFormat="1" ht="15" customHeight="1" x14ac:dyDescent="0.25">
      <c r="B41" s="291"/>
      <c r="AI41" s="290"/>
      <c r="BJ41" s="290"/>
      <c r="BK41" s="280"/>
    </row>
    <row r="42" spans="2:63" s="289" customFormat="1" ht="15" customHeight="1" x14ac:dyDescent="0.25">
      <c r="B42" s="291"/>
      <c r="AI42" s="290"/>
      <c r="BJ42" s="290"/>
      <c r="BK42" s="280"/>
    </row>
    <row r="43" spans="2:63" s="289" customFormat="1" ht="15" customHeight="1" x14ac:dyDescent="0.25">
      <c r="B43" s="291"/>
      <c r="AI43" s="290"/>
      <c r="BJ43" s="290"/>
      <c r="BK43" s="280"/>
    </row>
    <row r="44" spans="2:63" s="289" customFormat="1" ht="15" customHeight="1" x14ac:dyDescent="0.25">
      <c r="B44" s="291"/>
      <c r="AI44" s="290"/>
      <c r="BJ44" s="290"/>
      <c r="BK44" s="280"/>
    </row>
    <row r="45" spans="2:63" s="289" customFormat="1" ht="15" customHeight="1" x14ac:dyDescent="0.25">
      <c r="B45" s="291"/>
      <c r="AI45" s="290"/>
      <c r="BJ45" s="290"/>
      <c r="BK45" s="280"/>
    </row>
    <row r="46" spans="2:63" s="289" customFormat="1" ht="15" customHeight="1" x14ac:dyDescent="0.25">
      <c r="B46" s="291"/>
      <c r="AI46" s="290"/>
      <c r="BJ46" s="290"/>
      <c r="BK46" s="280"/>
    </row>
    <row r="47" spans="2:63" s="289" customFormat="1" ht="15" customHeight="1" x14ac:dyDescent="0.25">
      <c r="B47" s="291"/>
      <c r="AI47" s="290"/>
      <c r="BJ47" s="290"/>
      <c r="BK47" s="280"/>
    </row>
    <row r="48" spans="2:63" s="289" customFormat="1" ht="15" customHeight="1" x14ac:dyDescent="0.25">
      <c r="B48" s="291"/>
      <c r="AI48" s="290"/>
      <c r="BJ48" s="290"/>
      <c r="BK48" s="280"/>
    </row>
    <row r="49" spans="1:63" s="289" customFormat="1" ht="15" customHeight="1" x14ac:dyDescent="0.25">
      <c r="B49" s="291"/>
      <c r="AI49" s="290"/>
      <c r="BJ49" s="290"/>
      <c r="BK49" s="280"/>
    </row>
    <row r="50" spans="1:63" s="289" customFormat="1" ht="15" customHeight="1" x14ac:dyDescent="0.25">
      <c r="B50" s="291"/>
      <c r="AI50" s="290"/>
      <c r="BJ50" s="290"/>
      <c r="BK50" s="280"/>
    </row>
    <row r="51" spans="1:63" s="289" customFormat="1" ht="15" customHeight="1" x14ac:dyDescent="0.25">
      <c r="B51" s="291"/>
      <c r="AI51" s="290"/>
      <c r="BJ51" s="290"/>
      <c r="BK51" s="280"/>
    </row>
    <row r="52" spans="1:63" s="289" customFormat="1" ht="15" customHeight="1" x14ac:dyDescent="0.25">
      <c r="B52" s="291"/>
      <c r="AI52" s="290"/>
      <c r="BJ52" s="290"/>
      <c r="BK52" s="280"/>
    </row>
    <row r="53" spans="1:63" s="289" customFormat="1" ht="15" customHeight="1" x14ac:dyDescent="0.25">
      <c r="B53" s="291"/>
      <c r="AI53" s="290"/>
      <c r="BJ53" s="290"/>
      <c r="BK53" s="280"/>
    </row>
    <row r="54" spans="1:63" s="289" customFormat="1" ht="15" customHeight="1" x14ac:dyDescent="0.25">
      <c r="B54" s="291"/>
      <c r="AI54" s="290"/>
      <c r="BJ54" s="290"/>
      <c r="BK54" s="280"/>
    </row>
    <row r="55" spans="1:63" s="289" customFormat="1" ht="15" customHeight="1" x14ac:dyDescent="0.25">
      <c r="B55" s="291"/>
      <c r="AI55" s="290"/>
      <c r="BJ55" s="290"/>
      <c r="BK55" s="280"/>
    </row>
    <row r="56" spans="1:63" s="289" customFormat="1" ht="15" customHeight="1" x14ac:dyDescent="0.25">
      <c r="B56" s="291"/>
      <c r="AI56" s="290"/>
      <c r="BJ56" s="290"/>
      <c r="BK56" s="280"/>
    </row>
    <row r="57" spans="1:63" s="289" customFormat="1" ht="15" customHeight="1" x14ac:dyDescent="0.25">
      <c r="B57" s="291"/>
      <c r="AI57" s="290"/>
      <c r="BJ57" s="290"/>
      <c r="BK57" s="280"/>
    </row>
    <row r="58" spans="1:63" s="289" customFormat="1" ht="15" customHeight="1" x14ac:dyDescent="0.25">
      <c r="B58" s="291"/>
      <c r="AI58" s="290"/>
      <c r="BJ58" s="290"/>
      <c r="BK58" s="280"/>
    </row>
    <row r="59" spans="1:63" s="289" customFormat="1" ht="15" customHeight="1" x14ac:dyDescent="0.25">
      <c r="B59" s="291"/>
      <c r="AI59" s="290"/>
      <c r="BJ59" s="290"/>
      <c r="BK59" s="280"/>
    </row>
    <row r="60" spans="1:63" s="289" customFormat="1" ht="15" customHeight="1" x14ac:dyDescent="0.25">
      <c r="B60" s="291"/>
      <c r="AI60" s="290"/>
      <c r="BJ60" s="290"/>
      <c r="BK60" s="280"/>
    </row>
    <row r="61" spans="1:63" s="289" customFormat="1" ht="15" customHeight="1" x14ac:dyDescent="0.25">
      <c r="B61" s="291"/>
      <c r="AI61" s="290"/>
      <c r="BJ61" s="290"/>
      <c r="BK61" s="280"/>
    </row>
    <row r="62" spans="1:63" ht="15" customHeight="1" x14ac:dyDescent="0.25">
      <c r="B62" s="40"/>
      <c r="AI62" s="42"/>
      <c r="BJ62" s="42"/>
      <c r="BK62" s="34"/>
    </row>
    <row r="63" spans="1:63" ht="15" customHeight="1" x14ac:dyDescent="0.25">
      <c r="A63" s="32"/>
      <c r="B63" s="4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43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43"/>
      <c r="BK63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2" t="s">
        <v>71</v>
      </c>
      <c r="B1" s="193"/>
      <c r="C1" s="193"/>
      <c r="D1" s="193"/>
      <c r="E1" s="193"/>
      <c r="F1" s="193"/>
      <c r="G1" s="193"/>
      <c r="H1" s="193"/>
      <c r="I1" s="193"/>
      <c r="J1" s="194"/>
      <c r="K1" s="192" t="s">
        <v>72</v>
      </c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4"/>
      <c r="W1" s="195" t="str">
        <f>IF(表紙!W1="","",表紙!W1)</f>
        <v>詳細設計書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7"/>
      <c r="AP1" s="198" t="s">
        <v>73</v>
      </c>
      <c r="AQ1" s="199"/>
      <c r="AR1" s="199"/>
      <c r="AS1" s="200"/>
      <c r="AT1" s="198" t="s">
        <v>74</v>
      </c>
      <c r="AU1" s="199"/>
      <c r="AV1" s="199"/>
      <c r="AW1" s="199"/>
      <c r="AX1" s="200"/>
      <c r="AY1" s="198" t="s">
        <v>75</v>
      </c>
      <c r="AZ1" s="199"/>
      <c r="BA1" s="199"/>
      <c r="BB1" s="200"/>
      <c r="BC1" s="198" t="s">
        <v>76</v>
      </c>
      <c r="BD1" s="199"/>
      <c r="BE1" s="199"/>
      <c r="BF1" s="199"/>
      <c r="BG1" s="200"/>
      <c r="BH1" s="198" t="s">
        <v>77</v>
      </c>
      <c r="BI1" s="199"/>
      <c r="BJ1" s="199"/>
      <c r="BK1" s="200"/>
    </row>
    <row r="2" spans="1:63" ht="15" customHeight="1" x14ac:dyDescent="0.25">
      <c r="A2" s="124" t="str">
        <f>IF(表紙!A2="","",表紙!A2)</f>
        <v>POSサーバー</v>
      </c>
      <c r="B2" s="125"/>
      <c r="C2" s="125"/>
      <c r="D2" s="125"/>
      <c r="E2" s="125"/>
      <c r="F2" s="125"/>
      <c r="G2" s="125"/>
      <c r="H2" s="125"/>
      <c r="I2" s="125"/>
      <c r="J2" s="126"/>
      <c r="K2" s="124" t="str">
        <f>IF(表紙!K2="","",表紙!K2)</f>
        <v>POSサーバー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201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3"/>
      <c r="AP2" s="204" t="str">
        <f>IF(表紙!AP2="","",表紙!AP2)</f>
        <v>AnhDD</v>
      </c>
      <c r="AQ2" s="205"/>
      <c r="AR2" s="205"/>
      <c r="AS2" s="206"/>
      <c r="AT2" s="207">
        <f>IF(表紙!AT2="","",表紙!AT2)</f>
        <v>45517</v>
      </c>
      <c r="AU2" s="208"/>
      <c r="AV2" s="208"/>
      <c r="AW2" s="208"/>
      <c r="AX2" s="209"/>
      <c r="AY2" s="204" t="str">
        <f>IF(表紙!AY2="","",表紙!AY2)</f>
        <v>DuNT</v>
      </c>
      <c r="AZ2" s="205"/>
      <c r="BA2" s="205"/>
      <c r="BB2" s="206"/>
      <c r="BC2" s="207">
        <f>IF(表紙!BC2="","",表紙!BC2)</f>
        <v>45621</v>
      </c>
      <c r="BD2" s="208"/>
      <c r="BE2" s="208"/>
      <c r="BF2" s="208"/>
      <c r="BG2" s="209"/>
      <c r="BH2" s="204">
        <f>IF(表紙!BH2="","",表紙!BH2)</f>
        <v>0.51</v>
      </c>
      <c r="BI2" s="205"/>
      <c r="BJ2" s="205"/>
      <c r="BK2" s="206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210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2"/>
      <c r="AP3" s="213"/>
      <c r="AQ3" s="214"/>
      <c r="AR3" s="214"/>
      <c r="AS3" s="215"/>
      <c r="AT3" s="216"/>
      <c r="AU3" s="217"/>
      <c r="AV3" s="217"/>
      <c r="AW3" s="217"/>
      <c r="AX3" s="218"/>
      <c r="AY3" s="213"/>
      <c r="AZ3" s="214"/>
      <c r="BA3" s="214"/>
      <c r="BB3" s="215"/>
      <c r="BC3" s="216"/>
      <c r="BD3" s="217"/>
      <c r="BE3" s="217"/>
      <c r="BF3" s="217"/>
      <c r="BG3" s="218"/>
      <c r="BH3" s="213"/>
      <c r="BI3" s="214"/>
      <c r="BJ3" s="214"/>
      <c r="BK3" s="215"/>
    </row>
    <row r="4" spans="1:63" ht="24.95" customHeight="1" x14ac:dyDescent="0.25">
      <c r="A4" s="192" t="s">
        <v>78</v>
      </c>
      <c r="B4" s="193"/>
      <c r="C4" s="193"/>
      <c r="D4" s="193"/>
      <c r="E4" s="193"/>
      <c r="F4" s="193"/>
      <c r="G4" s="194"/>
      <c r="H4" s="142" t="str">
        <f>IF(表紙!H4="","",表紙!H4)</f>
        <v>AP2103_レシート一覧CSV出力</v>
      </c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4"/>
      <c r="U4" s="192" t="s">
        <v>79</v>
      </c>
      <c r="V4" s="193"/>
      <c r="W4" s="193"/>
      <c r="X4" s="193"/>
      <c r="Y4" s="194"/>
      <c r="Z4" s="142" t="str">
        <f>IF(表紙!Z4="","",表紙!Z4)</f>
        <v>API設計書</v>
      </c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4"/>
      <c r="AP4" s="145" t="str">
        <f ca="1">MID(CELL("filename",A1),FIND("]",CELL("filename",A1))+1,255)</f>
        <v>テンプレート</v>
      </c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89" customFormat="1" ht="15" customHeight="1" x14ac:dyDescent="0.25">
      <c r="BK7" s="280"/>
    </row>
    <row r="8" spans="1:63" s="289" customFormat="1" ht="15" customHeight="1" x14ac:dyDescent="0.25">
      <c r="BK8" s="280"/>
    </row>
    <row r="9" spans="1:63" s="289" customFormat="1" ht="15" customHeight="1" x14ac:dyDescent="0.25">
      <c r="BK9" s="280"/>
    </row>
    <row r="10" spans="1:63" s="289" customFormat="1" ht="15" customHeight="1" x14ac:dyDescent="0.25">
      <c r="BK10" s="280"/>
    </row>
    <row r="11" spans="1:63" s="289" customFormat="1" ht="15" customHeight="1" x14ac:dyDescent="0.25">
      <c r="BK11" s="280"/>
    </row>
    <row r="12" spans="1:63" s="289" customFormat="1" ht="15" customHeight="1" x14ac:dyDescent="0.25">
      <c r="BK12" s="280"/>
    </row>
    <row r="13" spans="1:63" s="289" customFormat="1" ht="15" customHeight="1" x14ac:dyDescent="0.25">
      <c r="BK13" s="280"/>
    </row>
    <row r="14" spans="1:63" s="289" customFormat="1" ht="15" customHeight="1" x14ac:dyDescent="0.25">
      <c r="BK14" s="280"/>
    </row>
    <row r="15" spans="1:63" s="289" customFormat="1" ht="15" customHeight="1" x14ac:dyDescent="0.25">
      <c r="BK15" s="280"/>
    </row>
    <row r="16" spans="1:63" s="289" customFormat="1" ht="15" customHeight="1" x14ac:dyDescent="0.25">
      <c r="BK16" s="280"/>
    </row>
    <row r="17" spans="63:63" s="289" customFormat="1" ht="15" customHeight="1" x14ac:dyDescent="0.25">
      <c r="BK17" s="280"/>
    </row>
    <row r="18" spans="63:63" s="289" customFormat="1" ht="15" customHeight="1" x14ac:dyDescent="0.25">
      <c r="BK18" s="280"/>
    </row>
    <row r="19" spans="63:63" s="289" customFormat="1" ht="15" customHeight="1" x14ac:dyDescent="0.25">
      <c r="BK19" s="280"/>
    </row>
    <row r="20" spans="63:63" s="289" customFormat="1" ht="15" customHeight="1" x14ac:dyDescent="0.25">
      <c r="BK20" s="280"/>
    </row>
    <row r="21" spans="63:63" s="289" customFormat="1" ht="15" customHeight="1" x14ac:dyDescent="0.25">
      <c r="BK21" s="280"/>
    </row>
    <row r="22" spans="63:63" s="289" customFormat="1" ht="15" customHeight="1" x14ac:dyDescent="0.25">
      <c r="BK22" s="280"/>
    </row>
    <row r="23" spans="63:63" s="289" customFormat="1" ht="15" customHeight="1" x14ac:dyDescent="0.25">
      <c r="BK23" s="280"/>
    </row>
    <row r="24" spans="63:63" s="289" customFormat="1" ht="15" customHeight="1" x14ac:dyDescent="0.25">
      <c r="BK24" s="280"/>
    </row>
    <row r="25" spans="63:63" s="289" customFormat="1" ht="15" customHeight="1" x14ac:dyDescent="0.25">
      <c r="BK25" s="280"/>
    </row>
    <row r="26" spans="63:63" s="289" customFormat="1" ht="15" customHeight="1" x14ac:dyDescent="0.25">
      <c r="BK26" s="280"/>
    </row>
    <row r="27" spans="63:63" s="289" customFormat="1" ht="15" customHeight="1" x14ac:dyDescent="0.25">
      <c r="BK27" s="280"/>
    </row>
    <row r="28" spans="63:63" s="289" customFormat="1" ht="15" customHeight="1" x14ac:dyDescent="0.25">
      <c r="BK28" s="280"/>
    </row>
    <row r="29" spans="63:63" s="289" customFormat="1" ht="15" customHeight="1" x14ac:dyDescent="0.25">
      <c r="BK29" s="280"/>
    </row>
    <row r="30" spans="63:63" s="289" customFormat="1" ht="15" customHeight="1" x14ac:dyDescent="0.25">
      <c r="BK30" s="280"/>
    </row>
    <row r="31" spans="63:63" s="289" customFormat="1" ht="15" customHeight="1" x14ac:dyDescent="0.25">
      <c r="BK31" s="280"/>
    </row>
    <row r="32" spans="63:63" s="289" customFormat="1" ht="15" customHeight="1" x14ac:dyDescent="0.25">
      <c r="BK32" s="280"/>
    </row>
    <row r="33" spans="63:63" s="289" customFormat="1" ht="15" customHeight="1" x14ac:dyDescent="0.25">
      <c r="BK33" s="280"/>
    </row>
    <row r="34" spans="63:63" s="289" customFormat="1" ht="15" customHeight="1" x14ac:dyDescent="0.25">
      <c r="BK34" s="280"/>
    </row>
    <row r="35" spans="63:63" s="289" customFormat="1" ht="15" customHeight="1" x14ac:dyDescent="0.25">
      <c r="BK35" s="280"/>
    </row>
    <row r="36" spans="63:63" s="289" customFormat="1" ht="15" customHeight="1" x14ac:dyDescent="0.25">
      <c r="BK36" s="280"/>
    </row>
    <row r="37" spans="63:63" s="289" customFormat="1" ht="15" customHeight="1" x14ac:dyDescent="0.25">
      <c r="BK37" s="280"/>
    </row>
    <row r="38" spans="63:63" s="289" customFormat="1" ht="15" customHeight="1" x14ac:dyDescent="0.25">
      <c r="BK38" s="280"/>
    </row>
    <row r="39" spans="63:63" s="289" customFormat="1" ht="15" customHeight="1" x14ac:dyDescent="0.25">
      <c r="BK39" s="280"/>
    </row>
    <row r="40" spans="63:63" s="289" customFormat="1" ht="15" customHeight="1" x14ac:dyDescent="0.25">
      <c r="BK40" s="280"/>
    </row>
    <row r="41" spans="63:63" s="289" customFormat="1" ht="15" customHeight="1" x14ac:dyDescent="0.25">
      <c r="BK41" s="280"/>
    </row>
    <row r="42" spans="63:63" s="289" customFormat="1" ht="15" customHeight="1" x14ac:dyDescent="0.25">
      <c r="BK42" s="280"/>
    </row>
    <row r="43" spans="63:63" s="289" customFormat="1" ht="15" customHeight="1" x14ac:dyDescent="0.25">
      <c r="BK43" s="280"/>
    </row>
    <row r="44" spans="63:63" s="289" customFormat="1" ht="15" customHeight="1" x14ac:dyDescent="0.25">
      <c r="BK44" s="280"/>
    </row>
    <row r="45" spans="63:63" s="289" customFormat="1" ht="15" customHeight="1" x14ac:dyDescent="0.25">
      <c r="BK45" s="280"/>
    </row>
    <row r="46" spans="63:63" s="289" customFormat="1" ht="15" customHeight="1" x14ac:dyDescent="0.25">
      <c r="BK46" s="280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AP2103</vt:lpstr>
      <vt:lpstr>処理フロー</vt:lpstr>
      <vt:lpstr>テンプレート</vt:lpstr>
      <vt:lpstr>'AP2103'!Print_Area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2024-12-06T06:18:48Z</dcterms:modified>
  <cp:category/>
  <cp:contentStatus/>
</cp:coreProperties>
</file>