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2C8A162-2868-4D2D-A683-586D4F2E31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3302" sheetId="8" r:id="rId4"/>
    <sheet name="処理フロー" sheetId="9" r:id="rId5"/>
    <sheet name="テンプレート" sheetId="7" r:id="rId6"/>
  </sheets>
  <definedNames>
    <definedName name="_xlnm.Print_Area" localSheetId="3">'AP3302'!$A$1:$BK$58</definedName>
    <definedName name="_xlnm.Print_Area" localSheetId="5">テンプレート!$A$1:$BK$54</definedName>
    <definedName name="_xlnm.Print_Area" localSheetId="4">処理フロー!$A$1:$BK$63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AP2" i="9"/>
  <c r="BH2" i="9"/>
  <c r="AT2" i="7"/>
  <c r="BC2" i="3"/>
</calcChain>
</file>

<file path=xl/sharedStrings.xml><?xml version="1.0" encoding="utf-8"?>
<sst xmlns="http://schemas.openxmlformats.org/spreadsheetml/2006/main" count="171" uniqueCount="84">
  <si>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</si>
  <si>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</si>
  <si>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</si>
  <si>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</si>
  <si>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</si>
  <si>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</si>
  <si>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</si>
  <si>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</si>
  <si>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</si>
  <si>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</si>
  <si>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</si>
  <si>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</si>
  <si>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</si>
  <si>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</si>
  <si>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</si>
  <si>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</si>
  <si>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</si>
  <si>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</si>
  <si>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</si>
  <si>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</si>
  <si>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</si>
  <si>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</si>
  <si>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</si>
  <si>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</si>
  <si>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</si>
  <si>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</si>
  <si>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</si>
  <si>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</si>
  <si>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</si>
  <si>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</si>
  <si>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</si>
  <si>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</si>
  <si>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</si>
  <si>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</si>
  <si>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</si>
  <si>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</si>
  <si>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</si>
  <si>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</si>
  <si>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</si>
  <si>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</si>
  <si>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api/v1/cash-report/export</t>
    </r>
  </si>
  <si>
    <r>
      <rPr>
        <sz val="11"/>
        <color rgb="FF000000"/>
        <rFont val="Meiryo UI"/>
        <family val="2"/>
      </rPr>
      <t>AP3302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</si>
  <si>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</si>
  <si>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</si>
  <si>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データがnullまたはブランクの場合、日本語で出力する。</t>
    </r>
  </si>
  <si>
    <r>
      <rPr>
        <sz val="11"/>
        <color rgb="FF000000"/>
        <rFont val="Meiryo UI"/>
        <family val="2"/>
      </rPr>
      <t>釣銭機状況情報 (保留枚数)一覧帳票Pdfを出力する。</t>
    </r>
  </si>
  <si>
    <r>
      <rPr>
        <sz val="11"/>
        <color rgb="FF000000"/>
        <rFont val="Meiryo UI"/>
        <family val="2"/>
      </rPr>
      <t>HEADER HTTP: type PDF</t>
    </r>
  </si>
  <si>
    <r>
      <rPr>
        <sz val="11"/>
        <color rgb="FF000000"/>
        <rFont val="Meiryo UI"/>
        <family val="2"/>
      </rPr>
      <t>pdfファイルを返す。/60_帳票設計/33_釣銭機状況照会/PR3301_釣銭機状況.xlsxの形式をご参照ください。</t>
    </r>
  </si>
  <si>
    <r>
      <rPr>
        <sz val="11"/>
        <color rgb="FF000000"/>
        <rFont val="Meiryo UI"/>
        <family val="2"/>
      </rPr>
      <t>/60_帳票設計/33_釣銭機状況照会/PR3301_釣銭機状況.xlsxの形式をご参照ください。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</si>
  <si>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</si>
  <si>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</si>
  <si>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</si>
  <si>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</si>
  <si>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</si>
  <si>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</si>
  <si>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</si>
  <si>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</si>
  <si>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</si>
  <si>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</si>
  <si>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</si>
  <si>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</si>
  <si>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</si>
  <si>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</si>
  <si>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</si>
  <si>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AnhDD</t>
  </si>
  <si>
    <t>RemainingCash, CashThresholdではフィールド名をCodeからCashRegisterCodeに修正する。</t>
  </si>
  <si>
    <t>DuNT</t>
  </si>
  <si>
    <t>データがない場合はエラーメッセージを返し、空のCSVファイルを返さない。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</si>
  <si>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</si>
  <si>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</si>
  <si>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</si>
  <si>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</si>
  <si>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</si>
  <si>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</si>
  <si>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</si>
  <si>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</si>
  <si>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</si>
  <si>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</si>
  <si>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</si>
  <si>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0: 全てレジ
1: 補充発生レジのみ
値が上記の2つ値以外の場合、「MSG_VAL_019」メッセージを表示する。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</si>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</sst>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4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top" wrapText="1"/>
    </xf>
    <xf numFmtId="0" fontId="20" fillId="0" borderId="24" xfId="0" quotePrefix="1" applyFont="1" applyBorder="1" applyAlignment="1">
      <alignment horizontal="left" vertical="top" wrapText="1"/>
    </xf>
    <xf numFmtId="0" fontId="20" fillId="0" borderId="25" xfId="0" quotePrefix="1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center" vertical="center"/>
    </xf>
    <xf numFmtId="0" fontId="20" fillId="0" borderId="24" xfId="0" quotePrefix="1" applyFont="1" applyBorder="1" applyAlignment="1">
      <alignment horizontal="center" vertical="center"/>
    </xf>
    <xf numFmtId="0" fontId="20" fillId="0" borderId="25" xfId="0" quotePrefix="1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4381500"/>
        </a:xfrm>
        <a:prstGeom prst="borderCallout1">
          <a:avLst>
            <a:gd name="adj1" fmla="val 51887"/>
            <a:gd name="adj2" fmla="val 470"/>
            <a:gd name="adj3" fmla="val 22107"/>
            <a:gd name="adj4" fmla="val -958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RemainingCashテーブルとCashThresholdテーブルのレコード一覧を取得する。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RemainingCash rc inner join CashThreshold ct 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 rc.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= ct.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AND rc.storeCode = ct.storeCode AND rc.companyCode = ct.companyCode)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rc.storeCode = param{store_code}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rc.companyCode = ログインしているユーザーの会社コード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ct.type = 0 (補充種別)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・param{type}の値が「1」の場合、以下の条件を追加する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ct.FiveThousandCount &gt; rc.FiveThousandCount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ct.TwoThousandCount &gt; rc.TwoThousandCount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ct.OneThousandCount &gt; rc.OneThousandCount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ct.FiveHundredCount &gt; rc.FiveHundredCount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ct.OneHundredCount &gt; rc.OneHundredCount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ct.FiftyCount &gt; rc.FiftyCount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ct.TenCount &gt; rc.TenCount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ct.FiveCount &gt; rc.FiveCount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ct.OneCount &gt; rc.OneCount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rc.code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キャッシュレポートの一覧を取得する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</xdr:row>
      <xdr:rowOff>22412</xdr:rowOff>
    </xdr:from>
    <xdr:to>
      <xdr:col>8</xdr:col>
      <xdr:colOff>0</xdr:colOff>
      <xdr:row>46</xdr:row>
      <xdr:rowOff>0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8515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17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6" idx="0"/>
        </xdr:cNvCxnSpPr>
      </xdr:nvCxnSpPr>
      <xdr:spPr>
        <a:xfrm>
          <a:off x="1600200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</xdr:colOff>
      <xdr:row>44</xdr:row>
      <xdr:rowOff>22412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4" idx="2"/>
          <a:endCxn id="11" idx="0"/>
        </xdr:cNvCxnSpPr>
      </xdr:nvCxnSpPr>
      <xdr:spPr>
        <a:xfrm flipH="1">
          <a:off x="1600200" y="7162800"/>
          <a:ext cx="0" cy="1352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51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8686800"/>
          <a:ext cx="7200900" cy="1143000"/>
        </a:xfrm>
        <a:prstGeom prst="borderCallout1">
          <a:avLst>
            <a:gd name="adj1" fmla="val 51887"/>
            <a:gd name="adj2" fmla="val 470"/>
            <a:gd name="adj3" fmla="val -167564"/>
            <a:gd name="adj4" fmla="val -963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/60_帳票設計/33_釣銭機状況照会/PR3301_釣銭機状況.xlsxの形式でPDFファイルを作成する。param {lang}を使用して該当言語に従って帳票を作成する。ファイル名の形式： PR3301_{0}.pdf（{0}：選択された店舗コード）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データがない場合：空のレコードリストエリアを含むPDFファイルを返す。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640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PR3301を作成する</a:t>
          </a:r>
        </a:p>
        <a:p>
          <a:pPr>
            <a:defRPr 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補充リスト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0</xdr:colOff>
      <xdr:row>30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506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店舗名称を取得する。</a:t>
          </a:r>
        </a:p>
      </xdr:txBody>
    </xdr:sp>
    <xdr:clientData/>
  </xdr:twoCellAnchor>
  <xdr:twoCellAnchor>
    <xdr:from>
      <xdr:col>35</xdr:col>
      <xdr:colOff>0</xdr:colOff>
      <xdr:row>39</xdr:row>
      <xdr:rowOff>11206</xdr:rowOff>
    </xdr:from>
    <xdr:to>
      <xdr:col>62</xdr:col>
      <xdr:colOff>0</xdr:colOff>
      <xdr:row>43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7553325"/>
          <a:ext cx="7200900" cy="752475"/>
        </a:xfrm>
        <a:prstGeom prst="borderCallout1">
          <a:avLst>
            <a:gd name="adj1" fmla="val 51887"/>
            <a:gd name="adj2" fmla="val 470"/>
            <a:gd name="adj3" fmla="val -276899"/>
            <a:gd name="adj4" fmla="val -967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以下のSQL文を使用し、コードに従ってデータベースマスターの店舗マスターテーブルから店舗名称を取得する。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 StoreMaster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code = param{code}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30</xdr:row>
      <xdr:rowOff>0</xdr:rowOff>
    </xdr:from>
    <xdr:to>
      <xdr:col>6</xdr:col>
      <xdr:colOff>1</xdr:colOff>
      <xdr:row>33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6" idx="2"/>
          <a:endCxn id="4" idx="0"/>
        </xdr:cNvCxnSpPr>
      </xdr:nvCxnSpPr>
      <xdr:spPr>
        <a:xfrm>
          <a:off x="1600200" y="582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179294</xdr:rowOff>
    </xdr:to>
    <xdr:sp macro="" textlink="" fLocksText="0">
      <xdr:nvSpPr>
        <xdr:cNvPr id="5" name="Flowchart: Decisio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3352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21</xdr:row>
      <xdr:rowOff>179294</xdr:rowOff>
    </xdr:from>
    <xdr:to>
      <xdr:col>7</xdr:col>
      <xdr:colOff>0</xdr:colOff>
      <xdr:row>22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18</xdr:row>
      <xdr:rowOff>179294</xdr:rowOff>
    </xdr:from>
    <xdr:to>
      <xdr:col>11</xdr:col>
      <xdr:colOff>0</xdr:colOff>
      <xdr:row>19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372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22</xdr:row>
      <xdr:rowOff>179294</xdr:rowOff>
    </xdr:from>
    <xdr:to>
      <xdr:col>6</xdr:col>
      <xdr:colOff>1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8" idx="2"/>
          <a:endCxn id="6" idx="0"/>
        </xdr:cNvCxnSpPr>
      </xdr:nvCxnSpPr>
      <xdr:spPr>
        <a:xfrm>
          <a:off x="1600200" y="4486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37</xdr:row>
      <xdr:rowOff>179294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6208059"/>
          <a:ext cx="6353735" cy="1131794"/>
        </a:xfrm>
        <a:prstGeom prst="borderCallout1">
          <a:avLst>
            <a:gd name="adj1" fmla="val 51887"/>
            <a:gd name="adj2" fmla="val 470"/>
            <a:gd name="adj3" fmla="val -197869"/>
            <a:gd name="adj4" fmla="val -1025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ステップ1の結果を確認する。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データがない場合：以下のように返す。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データがある場合、ステップ3を実行する。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39</xdr:row>
      <xdr:rowOff>0</xdr:rowOff>
    </xdr:from>
    <xdr:to>
      <xdr:col>16</xdr:col>
      <xdr:colOff>0</xdr:colOff>
      <xdr:row>40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733800" y="75438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19</xdr:row>
      <xdr:rowOff>84044</xdr:rowOff>
    </xdr:from>
    <xdr:to>
      <xdr:col>15</xdr:col>
      <xdr:colOff>0</xdr:colOff>
      <xdr:row>39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12" idx="3"/>
          <a:endCxn id="22" idx="0"/>
        </xdr:cNvCxnSpPr>
      </xdr:nvCxnSpPr>
      <xdr:spPr>
        <a:xfrm>
          <a:off x="2933700" y="3819525"/>
          <a:ext cx="1066800" cy="3724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15</xdr:col>
      <xdr:colOff>0</xdr:colOff>
      <xdr:row>44</xdr:row>
      <xdr:rowOff>22412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2" idx="2"/>
          <a:endCxn id="11" idx="0"/>
        </xdr:cNvCxnSpPr>
      </xdr:nvCxnSpPr>
      <xdr:spPr>
        <a:xfrm rot="5400000">
          <a:off x="1600200" y="7734300"/>
          <a:ext cx="2400300" cy="7810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6" customWidth="1"/>
    <col min="61" max="16384" width="2.77734375" style="126"/>
  </cols>
  <sheetData>
    <row r="1" spans="1:63" ht="24.95" customHeight="1" x14ac:dyDescent="0.25">
      <c r="A1" s="120" t="s">
        <v>49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50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3" t="s">
        <v>51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62" t="s">
        <v>57</v>
      </c>
      <c r="B2" s="127"/>
      <c r="C2" s="127"/>
      <c r="D2" s="127"/>
      <c r="E2" s="127"/>
      <c r="F2" s="127"/>
      <c r="G2" s="127"/>
      <c r="H2" s="127"/>
      <c r="I2" s="127"/>
      <c r="J2" s="128"/>
      <c r="K2" s="129" t="s">
        <v>13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29" t="str">
        <f>改訂履歴!$H$11</f>
        <v>SonMNT</v>
      </c>
      <c r="AQ2" s="127"/>
      <c r="AR2" s="127"/>
      <c r="AS2" s="128"/>
      <c r="AT2" s="133">
        <f>改訂履歴!$B$11</f>
        <v>45511</v>
      </c>
      <c r="AU2" s="134"/>
      <c r="AV2" s="134"/>
      <c r="AW2" s="134"/>
      <c r="AX2" s="135"/>
      <c r="AY2" s="129" t="str">
        <f>LOOKUP(2,1/(改訂履歴!H11:H30000&lt;&gt;""),改訂履歴!H11:H30000)</f>
        <v>DuNT</v>
      </c>
      <c r="AZ2" s="127"/>
      <c r="BA2" s="127"/>
      <c r="BB2" s="128"/>
      <c r="BC2" s="133">
        <f>LOOKUP(2,1/(改訂履歴!B11:B30000&lt;&gt;""),改訂履歴!B11:B30000)</f>
        <v>45580</v>
      </c>
      <c r="BD2" s="134"/>
      <c r="BE2" s="134"/>
      <c r="BF2" s="134"/>
      <c r="BG2" s="135"/>
      <c r="BH2" s="136">
        <f>LOOKUP(2,1/(改訂履歴!O11:O30000&lt;&gt;""),改訂履歴!O11:O30000)</f>
        <v>0.21</v>
      </c>
      <c r="BI2" s="137"/>
      <c r="BJ2" s="137"/>
      <c r="BK2" s="138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48"/>
      <c r="BI3" s="149"/>
      <c r="BJ3" s="149"/>
      <c r="BK3" s="150"/>
    </row>
    <row r="4" spans="1:63" ht="24.95" customHeight="1" x14ac:dyDescent="0.25">
      <c r="A4" s="120" t="s">
        <v>58</v>
      </c>
      <c r="B4" s="121"/>
      <c r="C4" s="121"/>
      <c r="D4" s="121"/>
      <c r="E4" s="121"/>
      <c r="F4" s="121"/>
      <c r="G4" s="122"/>
      <c r="H4" s="151" t="s">
        <v>41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20" t="s">
        <v>59</v>
      </c>
      <c r="V4" s="121"/>
      <c r="W4" s="121"/>
      <c r="X4" s="121"/>
      <c r="Y4" s="122"/>
      <c r="Z4" s="55" t="s">
        <v>60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1" t="str">
        <f t="array" aca="1" ref="AP4" ca="1">RIGHT(CELL("filename",$A$1),LEN(CELL("filename",$A$1))-FIND("]",CELL("filename",$A$1)))</f>
        <v>表紙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6"/>
    </row>
    <row r="6" spans="1:63" ht="15" customHeight="1" x14ac:dyDescent="0.25">
      <c r="A6" s="157"/>
      <c r="BK6" s="158"/>
    </row>
    <row r="7" spans="1:63" ht="15" customHeight="1" x14ac:dyDescent="0.25">
      <c r="A7" s="157"/>
      <c r="BK7" s="158"/>
    </row>
    <row r="8" spans="1:63" ht="15" customHeight="1" x14ac:dyDescent="0.25">
      <c r="A8" s="157"/>
      <c r="BK8" s="158"/>
    </row>
    <row r="9" spans="1:63" ht="15" customHeight="1" x14ac:dyDescent="0.25">
      <c r="A9" s="157"/>
      <c r="BK9" s="158"/>
    </row>
    <row r="10" spans="1:63" ht="15" customHeight="1" x14ac:dyDescent="0.25">
      <c r="A10" s="157"/>
      <c r="BK10" s="158"/>
    </row>
    <row r="11" spans="1:63" ht="15" customHeight="1" x14ac:dyDescent="0.25">
      <c r="A11" s="157"/>
      <c r="BK11" s="158"/>
    </row>
    <row r="12" spans="1:63" ht="15" customHeight="1" x14ac:dyDescent="0.25">
      <c r="A12" s="157"/>
      <c r="BK12" s="158"/>
    </row>
    <row r="13" spans="1:63" ht="15" customHeight="1" x14ac:dyDescent="0.25">
      <c r="A13" s="157"/>
      <c r="BK13" s="158"/>
    </row>
    <row r="14" spans="1:63" ht="15" customHeight="1" thickBot="1" x14ac:dyDescent="0.3">
      <c r="A14" s="157"/>
      <c r="BK14" s="158"/>
    </row>
    <row r="15" spans="1:63" ht="15" customHeight="1" thickTop="1" x14ac:dyDescent="0.25">
      <c r="A15" s="157"/>
      <c r="K15" s="159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1"/>
      <c r="BK15" s="158"/>
    </row>
    <row r="16" spans="1:63" ht="15" customHeight="1" x14ac:dyDescent="0.25">
      <c r="A16" s="157"/>
      <c r="K16" s="162"/>
      <c r="L16" s="163" t="s">
        <v>61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5"/>
      <c r="BK16" s="158"/>
    </row>
    <row r="17" spans="1:63" ht="15" customHeight="1" x14ac:dyDescent="0.25">
      <c r="A17" s="157"/>
      <c r="K17" s="162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5"/>
      <c r="BK17" s="158"/>
    </row>
    <row r="18" spans="1:63" ht="15" customHeight="1" x14ac:dyDescent="0.25">
      <c r="A18" s="157"/>
      <c r="K18" s="162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5"/>
      <c r="BK18" s="158"/>
    </row>
    <row r="19" spans="1:63" ht="15" customHeight="1" x14ac:dyDescent="0.25">
      <c r="A19" s="157"/>
      <c r="K19" s="162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5"/>
      <c r="BK19" s="158"/>
    </row>
    <row r="20" spans="1:63" ht="15" customHeight="1" x14ac:dyDescent="0.25">
      <c r="A20" s="157"/>
      <c r="K20" s="162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5"/>
      <c r="BK20" s="158"/>
    </row>
    <row r="21" spans="1:63" ht="15" customHeight="1" x14ac:dyDescent="0.25">
      <c r="A21" s="157"/>
      <c r="K21" s="162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5"/>
      <c r="BK21" s="158"/>
    </row>
    <row r="22" spans="1:63" ht="15" customHeight="1" thickBot="1" x14ac:dyDescent="0.3">
      <c r="A22" s="157"/>
      <c r="K22" s="162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5"/>
      <c r="BK22" s="158"/>
    </row>
    <row r="23" spans="1:63" ht="15" customHeight="1" x14ac:dyDescent="0.25">
      <c r="A23" s="157"/>
      <c r="K23" s="162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5"/>
      <c r="BK23" s="158"/>
    </row>
    <row r="24" spans="1:63" ht="15" customHeight="1" x14ac:dyDescent="0.25">
      <c r="A24" s="157"/>
      <c r="K24" s="162"/>
      <c r="L24" s="164" t="str">
        <f>K2&amp;"/"&amp;H4&amp;"/"&amp;Z4</f>
        <v>POSサーバ/AP3302/API設計書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5"/>
      <c r="BK24" s="158"/>
    </row>
    <row r="25" spans="1:63" ht="15" customHeight="1" x14ac:dyDescent="0.25">
      <c r="A25" s="157"/>
      <c r="K25" s="162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5"/>
      <c r="BK25" s="158"/>
    </row>
    <row r="26" spans="1:63" ht="15" customHeight="1" x14ac:dyDescent="0.25">
      <c r="A26" s="157"/>
      <c r="K26" s="162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5"/>
      <c r="BK26" s="158"/>
    </row>
    <row r="27" spans="1:63" ht="15" customHeight="1" x14ac:dyDescent="0.25">
      <c r="A27" s="157"/>
      <c r="K27" s="162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5"/>
      <c r="BK27" s="158"/>
    </row>
    <row r="28" spans="1:63" ht="15" customHeight="1" x14ac:dyDescent="0.25">
      <c r="A28" s="157"/>
      <c r="K28" s="162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5"/>
      <c r="BK28" s="158"/>
    </row>
    <row r="29" spans="1:63" ht="15" customHeight="1" x14ac:dyDescent="0.25">
      <c r="A29" s="157"/>
      <c r="K29" s="162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5"/>
      <c r="BK29" s="158"/>
    </row>
    <row r="30" spans="1:63" ht="15" customHeight="1" x14ac:dyDescent="0.25">
      <c r="A30" s="157"/>
      <c r="K30" s="162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5"/>
      <c r="BK30" s="158"/>
    </row>
    <row r="31" spans="1:63" ht="15" customHeight="1" x14ac:dyDescent="0.25">
      <c r="A31" s="157"/>
      <c r="K31" s="162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5"/>
      <c r="BK31" s="158"/>
    </row>
    <row r="32" spans="1:63" ht="15" customHeight="1" x14ac:dyDescent="0.25">
      <c r="A32" s="157"/>
      <c r="K32" s="162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5"/>
      <c r="BK32" s="158"/>
    </row>
    <row r="33" spans="1:63" ht="15" customHeight="1" x14ac:dyDescent="0.25">
      <c r="A33" s="157"/>
      <c r="K33" s="162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5"/>
      <c r="BK33" s="158"/>
    </row>
    <row r="34" spans="1:63" ht="15" customHeight="1" x14ac:dyDescent="0.25">
      <c r="A34" s="157"/>
      <c r="K34" s="162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5"/>
      <c r="BK34" s="158"/>
    </row>
    <row r="35" spans="1:63" ht="15" customHeight="1" x14ac:dyDescent="0.25">
      <c r="A35" s="157"/>
      <c r="K35" s="162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5"/>
      <c r="BK35" s="158"/>
    </row>
    <row r="36" spans="1:63" ht="15" customHeight="1" x14ac:dyDescent="0.25">
      <c r="A36" s="157"/>
      <c r="K36" s="162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5"/>
      <c r="BK36" s="158"/>
    </row>
    <row r="37" spans="1:63" ht="15" customHeight="1" thickBot="1" x14ac:dyDescent="0.3">
      <c r="A37" s="157"/>
      <c r="K37" s="168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70"/>
      <c r="BK37" s="158"/>
    </row>
    <row r="38" spans="1:63" ht="15" customHeight="1" thickTop="1" x14ac:dyDescent="0.25">
      <c r="A38" s="157"/>
      <c r="BK38" s="158"/>
    </row>
    <row r="39" spans="1:63" ht="15" customHeight="1" x14ac:dyDescent="0.25">
      <c r="A39" s="157"/>
      <c r="BK39" s="158"/>
    </row>
    <row r="40" spans="1:63" ht="15" customHeight="1" x14ac:dyDescent="0.25">
      <c r="A40" s="157"/>
      <c r="BK40" s="158"/>
    </row>
    <row r="41" spans="1:63" ht="15" customHeight="1" x14ac:dyDescent="0.25">
      <c r="A41" s="157"/>
      <c r="BK41" s="158"/>
    </row>
    <row r="42" spans="1:63" ht="15" customHeight="1" x14ac:dyDescent="0.25">
      <c r="A42" s="157"/>
      <c r="BK42" s="158"/>
    </row>
    <row r="43" spans="1:63" ht="15" customHeight="1" x14ac:dyDescent="0.25">
      <c r="A43" s="157"/>
      <c r="BK43" s="158"/>
    </row>
    <row r="44" spans="1:63" ht="15" customHeight="1" x14ac:dyDescent="0.25">
      <c r="A44" s="157"/>
      <c r="Q44" s="171" t="s">
        <v>62</v>
      </c>
      <c r="R44" s="172"/>
      <c r="S44" s="172"/>
      <c r="T44" s="172"/>
      <c r="U44" s="172"/>
      <c r="V44" s="172"/>
      <c r="W44" s="172"/>
      <c r="X44" s="172"/>
      <c r="Y44" s="172"/>
      <c r="Z44" s="173"/>
      <c r="AA44" s="171" t="s">
        <v>63</v>
      </c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3"/>
      <c r="AQ44" s="171" t="s">
        <v>56</v>
      </c>
      <c r="AR44" s="172"/>
      <c r="AS44" s="172"/>
      <c r="AT44" s="172"/>
      <c r="AU44" s="173"/>
      <c r="BK44" s="158"/>
    </row>
    <row r="45" spans="1:63" ht="15" customHeight="1" x14ac:dyDescent="0.25">
      <c r="A45" s="157"/>
      <c r="Q45" s="174"/>
      <c r="R45" s="175"/>
      <c r="S45" s="175"/>
      <c r="T45" s="175"/>
      <c r="U45" s="175"/>
      <c r="V45" s="175"/>
      <c r="W45" s="175"/>
      <c r="X45" s="175"/>
      <c r="Y45" s="175"/>
      <c r="Z45" s="176"/>
      <c r="AA45" s="174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6"/>
      <c r="AQ45" s="174"/>
      <c r="AR45" s="175"/>
      <c r="AS45" s="175"/>
      <c r="AT45" s="175"/>
      <c r="AU45" s="176"/>
      <c r="BK45" s="158"/>
    </row>
    <row r="46" spans="1:63" ht="15" customHeight="1" x14ac:dyDescent="0.25">
      <c r="A46" s="157"/>
      <c r="Q46" s="129"/>
      <c r="R46" s="127"/>
      <c r="S46" s="127"/>
      <c r="T46" s="127"/>
      <c r="U46" s="127"/>
      <c r="V46" s="127"/>
      <c r="W46" s="127"/>
      <c r="X46" s="127"/>
      <c r="Y46" s="127"/>
      <c r="Z46" s="128"/>
      <c r="AA46" s="129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8"/>
      <c r="AQ46" s="129"/>
      <c r="AR46" s="127"/>
      <c r="AS46" s="127"/>
      <c r="AT46" s="127"/>
      <c r="AU46" s="128"/>
      <c r="BK46" s="158"/>
    </row>
    <row r="47" spans="1:63" ht="15" customHeight="1" x14ac:dyDescent="0.25">
      <c r="A47" s="157"/>
      <c r="Q47" s="177"/>
      <c r="R47" s="178"/>
      <c r="S47" s="178"/>
      <c r="T47" s="178"/>
      <c r="U47" s="178"/>
      <c r="V47" s="178"/>
      <c r="W47" s="178"/>
      <c r="X47" s="178"/>
      <c r="Y47" s="178"/>
      <c r="Z47" s="179"/>
      <c r="AA47" s="177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9"/>
      <c r="AQ47" s="177"/>
      <c r="AR47" s="178"/>
      <c r="AS47" s="178"/>
      <c r="AT47" s="178"/>
      <c r="AU47" s="179"/>
      <c r="BK47" s="158"/>
    </row>
    <row r="48" spans="1:63" ht="15" customHeight="1" x14ac:dyDescent="0.25">
      <c r="A48" s="157"/>
      <c r="Q48" s="177"/>
      <c r="R48" s="178"/>
      <c r="S48" s="178"/>
      <c r="T48" s="178"/>
      <c r="U48" s="178"/>
      <c r="V48" s="178"/>
      <c r="W48" s="178"/>
      <c r="X48" s="178"/>
      <c r="Y48" s="178"/>
      <c r="Z48" s="179"/>
      <c r="AA48" s="177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9"/>
      <c r="AQ48" s="177"/>
      <c r="AR48" s="178"/>
      <c r="AS48" s="178"/>
      <c r="AT48" s="178"/>
      <c r="AU48" s="179"/>
      <c r="BK48" s="158"/>
    </row>
    <row r="49" spans="1:63" ht="15" customHeight="1" x14ac:dyDescent="0.25">
      <c r="A49" s="157"/>
      <c r="Q49" s="139"/>
      <c r="R49" s="140"/>
      <c r="S49" s="140"/>
      <c r="T49" s="140"/>
      <c r="U49" s="140"/>
      <c r="V49" s="140"/>
      <c r="W49" s="140"/>
      <c r="X49" s="140"/>
      <c r="Y49" s="140"/>
      <c r="Z49" s="141"/>
      <c r="AA49" s="139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1"/>
      <c r="AQ49" s="139"/>
      <c r="AR49" s="140"/>
      <c r="AS49" s="140"/>
      <c r="AT49" s="140"/>
      <c r="AU49" s="141"/>
      <c r="BK49" s="158"/>
    </row>
    <row r="50" spans="1:63" ht="15" customHeight="1" x14ac:dyDescent="0.25">
      <c r="A50" s="157"/>
      <c r="BK50" s="158"/>
    </row>
    <row r="51" spans="1:63" ht="15" customHeight="1" x14ac:dyDescent="0.25">
      <c r="A51" s="157"/>
      <c r="BK51" s="158"/>
    </row>
    <row r="52" spans="1:63" ht="15" customHeight="1" x14ac:dyDescent="0.25">
      <c r="A52" s="157"/>
      <c r="BK52" s="158"/>
    </row>
    <row r="53" spans="1:63" ht="15" customHeight="1" x14ac:dyDescent="0.25">
      <c r="A53" s="157"/>
      <c r="BK53" s="158"/>
    </row>
    <row r="54" spans="1:63" ht="15" customHeight="1" x14ac:dyDescent="0.25">
      <c r="A54" s="157"/>
      <c r="BK54" s="158"/>
    </row>
    <row r="55" spans="1:63" ht="15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49" t="s">
        <v>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84" t="str">
        <f>IF(表紙!W1="","",表紙!W1)</f>
        <v>詳細設計書</v>
      </c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  <c r="AP1" s="49" t="s">
        <v>3</v>
      </c>
      <c r="AQ1" s="50"/>
      <c r="AR1" s="50"/>
      <c r="AS1" s="51"/>
      <c r="AT1" s="49" t="s">
        <v>4</v>
      </c>
      <c r="AU1" s="50"/>
      <c r="AV1" s="50"/>
      <c r="AW1" s="50"/>
      <c r="AX1" s="51"/>
      <c r="AY1" s="49" t="s">
        <v>5</v>
      </c>
      <c r="AZ1" s="50"/>
      <c r="BA1" s="50"/>
      <c r="BB1" s="51"/>
      <c r="BC1" s="49" t="s">
        <v>6</v>
      </c>
      <c r="BD1" s="50"/>
      <c r="BE1" s="50"/>
      <c r="BF1" s="50"/>
      <c r="BG1" s="51"/>
      <c r="BH1" s="49" t="s">
        <v>7</v>
      </c>
      <c r="BI1" s="50"/>
      <c r="BJ1" s="50"/>
      <c r="BK1" s="51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65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7"/>
      <c r="AP2" s="6" t="str">
        <f>IF(表紙!AP2="","",表紙!AP2)</f>
        <v>SonMNT</v>
      </c>
      <c r="AQ2" s="5"/>
      <c r="AR2" s="5"/>
      <c r="AS2" s="4"/>
      <c r="AT2" s="56">
        <f>IF(表紙!AT2="","",表紙!AT2)</f>
        <v>45511</v>
      </c>
      <c r="AU2" s="57"/>
      <c r="AV2" s="57"/>
      <c r="AW2" s="57"/>
      <c r="AX2" s="58"/>
      <c r="AY2" s="6" t="str">
        <f>IF(表紙!AY2="","",表紙!AY2)</f>
        <v>DuNT</v>
      </c>
      <c r="AZ2" s="5"/>
      <c r="BA2" s="5"/>
      <c r="BB2" s="4"/>
      <c r="BC2" s="56">
        <f>IF(表紙!BC2="","",表紙!BC2)</f>
        <v>45580</v>
      </c>
      <c r="BD2" s="57"/>
      <c r="BE2" s="57"/>
      <c r="BF2" s="57"/>
      <c r="BG2" s="58"/>
      <c r="BH2" s="6">
        <f>IF(表紙!BH2="","",表紙!BH2)</f>
        <v>0.21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68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70"/>
      <c r="AP3" s="3"/>
      <c r="AQ3" s="2"/>
      <c r="AR3" s="2"/>
      <c r="AS3" s="1"/>
      <c r="AT3" s="59"/>
      <c r="AU3" s="60"/>
      <c r="AV3" s="60"/>
      <c r="AW3" s="60"/>
      <c r="AX3" s="61"/>
      <c r="AY3" s="3"/>
      <c r="AZ3" s="2"/>
      <c r="BA3" s="2"/>
      <c r="BB3" s="1"/>
      <c r="BC3" s="59"/>
      <c r="BD3" s="60"/>
      <c r="BE3" s="60"/>
      <c r="BF3" s="60"/>
      <c r="BG3" s="61"/>
      <c r="BH3" s="3"/>
      <c r="BI3" s="2"/>
      <c r="BJ3" s="2"/>
      <c r="BK3" s="1"/>
    </row>
    <row r="4" spans="1:63" ht="24.95" customHeight="1" x14ac:dyDescent="0.25">
      <c r="A4" s="49" t="s">
        <v>1</v>
      </c>
      <c r="B4" s="50"/>
      <c r="C4" s="50"/>
      <c r="D4" s="50"/>
      <c r="E4" s="50"/>
      <c r="F4" s="50"/>
      <c r="G4" s="51"/>
      <c r="H4" s="52" t="str">
        <f>IF(表紙!H4="","",表紙!H4)</f>
        <v>AP3302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49" t="s">
        <v>8</v>
      </c>
      <c r="V4" s="50"/>
      <c r="W4" s="50"/>
      <c r="X4" s="50"/>
      <c r="Y4" s="51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2" t="str">
        <f t="array" aca="1" ref="AP4" ca="1">RIGHT(CELL("filename",$A$1),LEN(CELL("filename",$A$1))-FIND("]",CELL("filename",$A$1)))</f>
        <v>改訂履歴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83" t="s">
        <v>6</v>
      </c>
      <c r="C10" s="83"/>
      <c r="D10" s="83"/>
      <c r="E10" s="83"/>
      <c r="F10" s="83"/>
      <c r="G10" s="83"/>
      <c r="H10" s="83" t="s">
        <v>5</v>
      </c>
      <c r="I10" s="83"/>
      <c r="J10" s="83"/>
      <c r="K10" s="83"/>
      <c r="L10" s="83"/>
      <c r="M10" s="83"/>
      <c r="N10" s="83"/>
      <c r="O10" s="83" t="s">
        <v>7</v>
      </c>
      <c r="P10" s="83"/>
      <c r="Q10" s="83"/>
      <c r="R10" s="83"/>
      <c r="S10" s="83" t="s">
        <v>10</v>
      </c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 t="s">
        <v>11</v>
      </c>
      <c r="AY10" s="83"/>
      <c r="AZ10" s="83"/>
      <c r="BA10" s="83"/>
      <c r="BB10" s="83"/>
      <c r="BC10" s="83"/>
      <c r="BD10" s="83" t="s">
        <v>12</v>
      </c>
      <c r="BE10" s="83"/>
      <c r="BF10" s="83"/>
      <c r="BG10" s="83"/>
      <c r="BH10" s="83"/>
      <c r="BI10" s="83"/>
      <c r="BJ10" s="83"/>
      <c r="BK10" s="10"/>
    </row>
    <row r="11" spans="1:63" ht="15" customHeight="1" x14ac:dyDescent="0.25">
      <c r="A11" s="7"/>
      <c r="B11" s="56">
        <v>45511</v>
      </c>
      <c r="C11" s="5"/>
      <c r="D11" s="5"/>
      <c r="E11" s="5"/>
      <c r="F11" s="5"/>
      <c r="G11" s="4"/>
      <c r="H11" s="62" t="s">
        <v>38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71" t="s">
        <v>14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3"/>
      <c r="AX11" s="74"/>
      <c r="AY11" s="74"/>
      <c r="AZ11" s="74"/>
      <c r="BA11" s="74"/>
      <c r="BB11" s="74"/>
      <c r="BC11" s="75"/>
      <c r="BD11" s="78"/>
      <c r="BE11" s="74"/>
      <c r="BF11" s="74"/>
      <c r="BG11" s="74"/>
      <c r="BH11" s="74"/>
      <c r="BI11" s="74"/>
      <c r="BJ11" s="75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80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2"/>
      <c r="AX12" s="76"/>
      <c r="AY12" s="76"/>
      <c r="AZ12" s="76"/>
      <c r="BA12" s="76"/>
      <c r="BB12" s="76"/>
      <c r="BC12" s="77"/>
      <c r="BD12" s="79"/>
      <c r="BE12" s="76"/>
      <c r="BF12" s="76"/>
      <c r="BG12" s="76"/>
      <c r="BH12" s="76"/>
      <c r="BI12" s="76"/>
      <c r="BJ12" s="77"/>
      <c r="BK12" s="10"/>
    </row>
    <row r="13" spans="1:63" ht="15" customHeight="1" x14ac:dyDescent="0.25">
      <c r="A13" s="7"/>
      <c r="B13" s="180">
        <v>45555</v>
      </c>
      <c r="C13" s="181"/>
      <c r="D13" s="181"/>
      <c r="E13" s="181"/>
      <c r="F13" s="181"/>
      <c r="G13" s="182"/>
      <c r="H13" s="183" t="s">
        <v>64</v>
      </c>
      <c r="I13" s="181"/>
      <c r="J13" s="181"/>
      <c r="K13" s="181"/>
      <c r="L13" s="181"/>
      <c r="M13" s="181"/>
      <c r="N13" s="182"/>
      <c r="O13" s="183">
        <v>0.2</v>
      </c>
      <c r="P13" s="181"/>
      <c r="Q13" s="181"/>
      <c r="R13" s="181"/>
      <c r="S13" s="184" t="s">
        <v>65</v>
      </c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  <c r="AX13" s="74"/>
      <c r="AY13" s="74"/>
      <c r="AZ13" s="74"/>
      <c r="BA13" s="74"/>
      <c r="BB13" s="74"/>
      <c r="BC13" s="75"/>
      <c r="BD13" s="78"/>
      <c r="BE13" s="74"/>
      <c r="BF13" s="74"/>
      <c r="BG13" s="74"/>
      <c r="BH13" s="74"/>
      <c r="BI13" s="74"/>
      <c r="BJ13" s="75"/>
      <c r="BK13" s="10"/>
    </row>
    <row r="14" spans="1:63" ht="15" customHeight="1" x14ac:dyDescent="0.25">
      <c r="A14" s="7"/>
      <c r="B14" s="187"/>
      <c r="C14" s="188"/>
      <c r="D14" s="188"/>
      <c r="E14" s="188"/>
      <c r="F14" s="188"/>
      <c r="G14" s="189"/>
      <c r="H14" s="187"/>
      <c r="I14" s="188"/>
      <c r="J14" s="188"/>
      <c r="K14" s="188"/>
      <c r="L14" s="188"/>
      <c r="M14" s="188"/>
      <c r="N14" s="189"/>
      <c r="O14" s="187"/>
      <c r="P14" s="188"/>
      <c r="Q14" s="188"/>
      <c r="R14" s="188"/>
      <c r="S14" s="190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  <c r="AX14" s="76"/>
      <c r="AY14" s="76"/>
      <c r="AZ14" s="76"/>
      <c r="BA14" s="76"/>
      <c r="BB14" s="76"/>
      <c r="BC14" s="77"/>
      <c r="BD14" s="79"/>
      <c r="BE14" s="76"/>
      <c r="BF14" s="76"/>
      <c r="BG14" s="76"/>
      <c r="BH14" s="76"/>
      <c r="BI14" s="76"/>
      <c r="BJ14" s="77"/>
      <c r="BK14" s="10"/>
    </row>
    <row r="15" spans="1:63" ht="15" customHeight="1" x14ac:dyDescent="0.25">
      <c r="A15" s="7"/>
      <c r="B15" s="180">
        <v>45580</v>
      </c>
      <c r="C15" s="181"/>
      <c r="D15" s="181"/>
      <c r="E15" s="181"/>
      <c r="F15" s="181"/>
      <c r="G15" s="182"/>
      <c r="H15" s="183" t="s">
        <v>66</v>
      </c>
      <c r="I15" s="181"/>
      <c r="J15" s="181"/>
      <c r="K15" s="181"/>
      <c r="L15" s="181"/>
      <c r="M15" s="181"/>
      <c r="N15" s="182"/>
      <c r="O15" s="183">
        <v>0.21</v>
      </c>
      <c r="P15" s="181"/>
      <c r="Q15" s="181"/>
      <c r="R15" s="181"/>
      <c r="S15" s="184" t="s">
        <v>67</v>
      </c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6"/>
      <c r="AX15" s="74"/>
      <c r="AY15" s="74"/>
      <c r="AZ15" s="74"/>
      <c r="BA15" s="74"/>
      <c r="BB15" s="74"/>
      <c r="BC15" s="75"/>
      <c r="BD15" s="78"/>
      <c r="BE15" s="74"/>
      <c r="BF15" s="74"/>
      <c r="BG15" s="74"/>
      <c r="BH15" s="74"/>
      <c r="BI15" s="74"/>
      <c r="BJ15" s="75"/>
      <c r="BK15" s="10"/>
    </row>
    <row r="16" spans="1:63" ht="15" customHeight="1" x14ac:dyDescent="0.25">
      <c r="A16" s="7"/>
      <c r="B16" s="187"/>
      <c r="C16" s="188"/>
      <c r="D16" s="188"/>
      <c r="E16" s="188"/>
      <c r="F16" s="188"/>
      <c r="G16" s="189"/>
      <c r="H16" s="187"/>
      <c r="I16" s="188"/>
      <c r="J16" s="188"/>
      <c r="K16" s="188"/>
      <c r="L16" s="188"/>
      <c r="M16" s="188"/>
      <c r="N16" s="189"/>
      <c r="O16" s="187"/>
      <c r="P16" s="188"/>
      <c r="Q16" s="188"/>
      <c r="R16" s="188"/>
      <c r="S16" s="190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2"/>
      <c r="AX16" s="76"/>
      <c r="AY16" s="76"/>
      <c r="AZ16" s="76"/>
      <c r="BA16" s="76"/>
      <c r="BB16" s="76"/>
      <c r="BC16" s="77"/>
      <c r="BD16" s="79"/>
      <c r="BE16" s="76"/>
      <c r="BF16" s="76"/>
      <c r="BG16" s="76"/>
      <c r="BH16" s="76"/>
      <c r="BI16" s="76"/>
      <c r="BJ16" s="77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71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3"/>
      <c r="AX17" s="74"/>
      <c r="AY17" s="74"/>
      <c r="AZ17" s="74"/>
      <c r="BA17" s="74"/>
      <c r="BB17" s="74"/>
      <c r="BC17" s="75"/>
      <c r="BD17" s="78"/>
      <c r="BE17" s="74"/>
      <c r="BF17" s="74"/>
      <c r="BG17" s="74"/>
      <c r="BH17" s="74"/>
      <c r="BI17" s="74"/>
      <c r="BJ17" s="75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80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2"/>
      <c r="AX18" s="76"/>
      <c r="AY18" s="76"/>
      <c r="AZ18" s="76"/>
      <c r="BA18" s="76"/>
      <c r="BB18" s="76"/>
      <c r="BC18" s="77"/>
      <c r="BD18" s="79"/>
      <c r="BE18" s="76"/>
      <c r="BF18" s="76"/>
      <c r="BG18" s="76"/>
      <c r="BH18" s="76"/>
      <c r="BI18" s="76"/>
      <c r="BJ18" s="77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71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3"/>
      <c r="AX19" s="74"/>
      <c r="AY19" s="74"/>
      <c r="AZ19" s="74"/>
      <c r="BA19" s="74"/>
      <c r="BB19" s="74"/>
      <c r="BC19" s="75"/>
      <c r="BD19" s="78"/>
      <c r="BE19" s="74"/>
      <c r="BF19" s="74"/>
      <c r="BG19" s="74"/>
      <c r="BH19" s="74"/>
      <c r="BI19" s="74"/>
      <c r="BJ19" s="75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80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2"/>
      <c r="AX20" s="76"/>
      <c r="AY20" s="76"/>
      <c r="AZ20" s="76"/>
      <c r="BA20" s="76"/>
      <c r="BB20" s="76"/>
      <c r="BC20" s="77"/>
      <c r="BD20" s="79"/>
      <c r="BE20" s="76"/>
      <c r="BF20" s="76"/>
      <c r="BG20" s="76"/>
      <c r="BH20" s="76"/>
      <c r="BI20" s="76"/>
      <c r="BJ20" s="77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3"/>
      <c r="AX21" s="74"/>
      <c r="AY21" s="74"/>
      <c r="AZ21" s="74"/>
      <c r="BA21" s="74"/>
      <c r="BB21" s="74"/>
      <c r="BC21" s="75"/>
      <c r="BD21" s="78"/>
      <c r="BE21" s="74"/>
      <c r="BF21" s="74"/>
      <c r="BG21" s="74"/>
      <c r="BH21" s="74"/>
      <c r="BI21" s="74"/>
      <c r="BJ21" s="75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80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2"/>
      <c r="AX22" s="76"/>
      <c r="AY22" s="76"/>
      <c r="AZ22" s="76"/>
      <c r="BA22" s="76"/>
      <c r="BB22" s="76"/>
      <c r="BC22" s="77"/>
      <c r="BD22" s="79"/>
      <c r="BE22" s="76"/>
      <c r="BF22" s="76"/>
      <c r="BG22" s="76"/>
      <c r="BH22" s="76"/>
      <c r="BI22" s="76"/>
      <c r="BJ22" s="77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71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3"/>
      <c r="AX23" s="74"/>
      <c r="AY23" s="74"/>
      <c r="AZ23" s="74"/>
      <c r="BA23" s="74"/>
      <c r="BB23" s="74"/>
      <c r="BC23" s="75"/>
      <c r="BD23" s="78"/>
      <c r="BE23" s="74"/>
      <c r="BF23" s="74"/>
      <c r="BG23" s="74"/>
      <c r="BH23" s="74"/>
      <c r="BI23" s="74"/>
      <c r="BJ23" s="75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80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2"/>
      <c r="AX24" s="76"/>
      <c r="AY24" s="76"/>
      <c r="AZ24" s="76"/>
      <c r="BA24" s="76"/>
      <c r="BB24" s="76"/>
      <c r="BC24" s="77"/>
      <c r="BD24" s="79"/>
      <c r="BE24" s="76"/>
      <c r="BF24" s="76"/>
      <c r="BG24" s="76"/>
      <c r="BH24" s="76"/>
      <c r="BI24" s="76"/>
      <c r="BJ24" s="77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71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3"/>
      <c r="AX25" s="74"/>
      <c r="AY25" s="74"/>
      <c r="AZ25" s="74"/>
      <c r="BA25" s="74"/>
      <c r="BB25" s="74"/>
      <c r="BC25" s="75"/>
      <c r="BD25" s="78"/>
      <c r="BE25" s="74"/>
      <c r="BF25" s="74"/>
      <c r="BG25" s="74"/>
      <c r="BH25" s="74"/>
      <c r="BI25" s="74"/>
      <c r="BJ25" s="75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80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2"/>
      <c r="AX26" s="76"/>
      <c r="AY26" s="76"/>
      <c r="AZ26" s="76"/>
      <c r="BA26" s="76"/>
      <c r="BB26" s="76"/>
      <c r="BC26" s="77"/>
      <c r="BD26" s="79"/>
      <c r="BE26" s="76"/>
      <c r="BF26" s="76"/>
      <c r="BG26" s="76"/>
      <c r="BH26" s="76"/>
      <c r="BI26" s="76"/>
      <c r="BJ26" s="77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71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3"/>
      <c r="AX27" s="74"/>
      <c r="AY27" s="74"/>
      <c r="AZ27" s="74"/>
      <c r="BA27" s="74"/>
      <c r="BB27" s="74"/>
      <c r="BC27" s="75"/>
      <c r="BD27" s="78"/>
      <c r="BE27" s="74"/>
      <c r="BF27" s="74"/>
      <c r="BG27" s="74"/>
      <c r="BH27" s="74"/>
      <c r="BI27" s="74"/>
      <c r="BJ27" s="75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80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2"/>
      <c r="AX28" s="76"/>
      <c r="AY28" s="76"/>
      <c r="AZ28" s="76"/>
      <c r="BA28" s="76"/>
      <c r="BB28" s="76"/>
      <c r="BC28" s="77"/>
      <c r="BD28" s="79"/>
      <c r="BE28" s="76"/>
      <c r="BF28" s="76"/>
      <c r="BG28" s="76"/>
      <c r="BH28" s="76"/>
      <c r="BI28" s="76"/>
      <c r="BJ28" s="77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71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3"/>
      <c r="AX29" s="74"/>
      <c r="AY29" s="74"/>
      <c r="AZ29" s="74"/>
      <c r="BA29" s="74"/>
      <c r="BB29" s="74"/>
      <c r="BC29" s="75"/>
      <c r="BD29" s="78"/>
      <c r="BE29" s="74"/>
      <c r="BF29" s="74"/>
      <c r="BG29" s="74"/>
      <c r="BH29" s="74"/>
      <c r="BI29" s="74"/>
      <c r="BJ29" s="75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80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2"/>
      <c r="AX30" s="76"/>
      <c r="AY30" s="76"/>
      <c r="AZ30" s="76"/>
      <c r="BA30" s="76"/>
      <c r="BB30" s="76"/>
      <c r="BC30" s="77"/>
      <c r="BD30" s="79"/>
      <c r="BE30" s="76"/>
      <c r="BF30" s="76"/>
      <c r="BG30" s="76"/>
      <c r="BH30" s="76"/>
      <c r="BI30" s="76"/>
      <c r="BJ30" s="77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71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3"/>
      <c r="AX31" s="74"/>
      <c r="AY31" s="74"/>
      <c r="AZ31" s="74"/>
      <c r="BA31" s="74"/>
      <c r="BB31" s="74"/>
      <c r="BC31" s="75"/>
      <c r="BD31" s="78"/>
      <c r="BE31" s="74"/>
      <c r="BF31" s="74"/>
      <c r="BG31" s="74"/>
      <c r="BH31" s="74"/>
      <c r="BI31" s="74"/>
      <c r="BJ31" s="75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80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2"/>
      <c r="AX32" s="76"/>
      <c r="AY32" s="76"/>
      <c r="AZ32" s="76"/>
      <c r="BA32" s="76"/>
      <c r="BB32" s="76"/>
      <c r="BC32" s="77"/>
      <c r="BD32" s="79"/>
      <c r="BE32" s="76"/>
      <c r="BF32" s="76"/>
      <c r="BG32" s="76"/>
      <c r="BH32" s="76"/>
      <c r="BI32" s="76"/>
      <c r="BJ32" s="77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71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3"/>
      <c r="AX33" s="74"/>
      <c r="AY33" s="74"/>
      <c r="AZ33" s="74"/>
      <c r="BA33" s="74"/>
      <c r="BB33" s="74"/>
      <c r="BC33" s="75"/>
      <c r="BD33" s="78"/>
      <c r="BE33" s="74"/>
      <c r="BF33" s="74"/>
      <c r="BG33" s="74"/>
      <c r="BH33" s="74"/>
      <c r="BI33" s="74"/>
      <c r="BJ33" s="75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80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2"/>
      <c r="AX34" s="76"/>
      <c r="AY34" s="76"/>
      <c r="AZ34" s="76"/>
      <c r="BA34" s="76"/>
      <c r="BB34" s="76"/>
      <c r="BC34" s="77"/>
      <c r="BD34" s="79"/>
      <c r="BE34" s="76"/>
      <c r="BF34" s="76"/>
      <c r="BG34" s="76"/>
      <c r="BH34" s="76"/>
      <c r="BI34" s="76"/>
      <c r="BJ34" s="77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71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3"/>
      <c r="AX35" s="74"/>
      <c r="AY35" s="74"/>
      <c r="AZ35" s="74"/>
      <c r="BA35" s="74"/>
      <c r="BB35" s="74"/>
      <c r="BC35" s="75"/>
      <c r="BD35" s="78"/>
      <c r="BE35" s="74"/>
      <c r="BF35" s="74"/>
      <c r="BG35" s="74"/>
      <c r="BH35" s="74"/>
      <c r="BI35" s="74"/>
      <c r="BJ35" s="75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80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2"/>
      <c r="AX36" s="76"/>
      <c r="AY36" s="76"/>
      <c r="AZ36" s="76"/>
      <c r="BA36" s="76"/>
      <c r="BB36" s="76"/>
      <c r="BC36" s="77"/>
      <c r="BD36" s="79"/>
      <c r="BE36" s="76"/>
      <c r="BF36" s="76"/>
      <c r="BG36" s="76"/>
      <c r="BH36" s="76"/>
      <c r="BI36" s="76"/>
      <c r="BJ36" s="77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71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3"/>
      <c r="AX37" s="74"/>
      <c r="AY37" s="74"/>
      <c r="AZ37" s="74"/>
      <c r="BA37" s="74"/>
      <c r="BB37" s="74"/>
      <c r="BC37" s="75"/>
      <c r="BD37" s="78"/>
      <c r="BE37" s="74"/>
      <c r="BF37" s="74"/>
      <c r="BG37" s="74"/>
      <c r="BH37" s="74"/>
      <c r="BI37" s="74"/>
      <c r="BJ37" s="75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80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2"/>
      <c r="AX38" s="76"/>
      <c r="AY38" s="76"/>
      <c r="AZ38" s="76"/>
      <c r="BA38" s="76"/>
      <c r="BB38" s="76"/>
      <c r="BC38" s="77"/>
      <c r="BD38" s="79"/>
      <c r="BE38" s="76"/>
      <c r="BF38" s="76"/>
      <c r="BG38" s="76"/>
      <c r="BH38" s="76"/>
      <c r="BI38" s="76"/>
      <c r="BJ38" s="77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71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3"/>
      <c r="AX39" s="74"/>
      <c r="AY39" s="74"/>
      <c r="AZ39" s="74"/>
      <c r="BA39" s="74"/>
      <c r="BB39" s="74"/>
      <c r="BC39" s="75"/>
      <c r="BD39" s="78"/>
      <c r="BE39" s="74"/>
      <c r="BF39" s="74"/>
      <c r="BG39" s="74"/>
      <c r="BH39" s="74"/>
      <c r="BI39" s="74"/>
      <c r="BJ39" s="75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80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2"/>
      <c r="AX40" s="76"/>
      <c r="AY40" s="76"/>
      <c r="AZ40" s="76"/>
      <c r="BA40" s="76"/>
      <c r="BB40" s="76"/>
      <c r="BC40" s="77"/>
      <c r="BD40" s="79"/>
      <c r="BE40" s="76"/>
      <c r="BF40" s="76"/>
      <c r="BG40" s="76"/>
      <c r="BH40" s="76"/>
      <c r="BI40" s="76"/>
      <c r="BJ40" s="77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71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3"/>
      <c r="AX41" s="74"/>
      <c r="AY41" s="74"/>
      <c r="AZ41" s="74"/>
      <c r="BA41" s="74"/>
      <c r="BB41" s="74"/>
      <c r="BC41" s="75"/>
      <c r="BD41" s="78"/>
      <c r="BE41" s="74"/>
      <c r="BF41" s="74"/>
      <c r="BG41" s="74"/>
      <c r="BH41" s="74"/>
      <c r="BI41" s="74"/>
      <c r="BJ41" s="75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80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2"/>
      <c r="AX42" s="76"/>
      <c r="AY42" s="76"/>
      <c r="AZ42" s="76"/>
      <c r="BA42" s="76"/>
      <c r="BB42" s="76"/>
      <c r="BC42" s="77"/>
      <c r="BD42" s="79"/>
      <c r="BE42" s="76"/>
      <c r="BF42" s="76"/>
      <c r="BG42" s="76"/>
      <c r="BH42" s="76"/>
      <c r="BI42" s="76"/>
      <c r="BJ42" s="77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71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3"/>
      <c r="AX43" s="74"/>
      <c r="AY43" s="74"/>
      <c r="AZ43" s="74"/>
      <c r="BA43" s="74"/>
      <c r="BB43" s="74"/>
      <c r="BC43" s="75"/>
      <c r="BD43" s="78"/>
      <c r="BE43" s="74"/>
      <c r="BF43" s="74"/>
      <c r="BG43" s="74"/>
      <c r="BH43" s="74"/>
      <c r="BI43" s="74"/>
      <c r="BJ43" s="75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80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2"/>
      <c r="AX44" s="76"/>
      <c r="AY44" s="76"/>
      <c r="AZ44" s="76"/>
      <c r="BA44" s="76"/>
      <c r="BB44" s="76"/>
      <c r="BC44" s="77"/>
      <c r="BD44" s="79"/>
      <c r="BE44" s="76"/>
      <c r="BF44" s="76"/>
      <c r="BG44" s="76"/>
      <c r="BH44" s="76"/>
      <c r="BI44" s="76"/>
      <c r="BJ44" s="77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71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3"/>
      <c r="AX45" s="74"/>
      <c r="AY45" s="74"/>
      <c r="AZ45" s="74"/>
      <c r="BA45" s="74"/>
      <c r="BB45" s="74"/>
      <c r="BC45" s="75"/>
      <c r="BD45" s="78"/>
      <c r="BE45" s="74"/>
      <c r="BF45" s="74"/>
      <c r="BG45" s="74"/>
      <c r="BH45" s="74"/>
      <c r="BI45" s="74"/>
      <c r="BJ45" s="75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80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2"/>
      <c r="AX46" s="76"/>
      <c r="AY46" s="76"/>
      <c r="AZ46" s="76"/>
      <c r="BA46" s="76"/>
      <c r="BB46" s="76"/>
      <c r="BC46" s="77"/>
      <c r="BD46" s="79"/>
      <c r="BE46" s="76"/>
      <c r="BF46" s="76"/>
      <c r="BG46" s="76"/>
      <c r="BH46" s="76"/>
      <c r="BI46" s="76"/>
      <c r="BJ46" s="77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71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3"/>
      <c r="AX47" s="74"/>
      <c r="AY47" s="74"/>
      <c r="AZ47" s="74"/>
      <c r="BA47" s="74"/>
      <c r="BB47" s="74"/>
      <c r="BC47" s="75"/>
      <c r="BD47" s="78"/>
      <c r="BE47" s="74"/>
      <c r="BF47" s="74"/>
      <c r="BG47" s="74"/>
      <c r="BH47" s="74"/>
      <c r="BI47" s="74"/>
      <c r="BJ47" s="75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80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2"/>
      <c r="AX48" s="76"/>
      <c r="AY48" s="76"/>
      <c r="AZ48" s="76"/>
      <c r="BA48" s="76"/>
      <c r="BB48" s="76"/>
      <c r="BC48" s="77"/>
      <c r="BD48" s="79"/>
      <c r="BE48" s="76"/>
      <c r="BF48" s="76"/>
      <c r="BG48" s="76"/>
      <c r="BH48" s="76"/>
      <c r="BI48" s="76"/>
      <c r="BJ48" s="77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71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3"/>
      <c r="AX49" s="74"/>
      <c r="AY49" s="74"/>
      <c r="AZ49" s="74"/>
      <c r="BA49" s="74"/>
      <c r="BB49" s="74"/>
      <c r="BC49" s="75"/>
      <c r="BD49" s="78"/>
      <c r="BE49" s="74"/>
      <c r="BF49" s="74"/>
      <c r="BG49" s="74"/>
      <c r="BH49" s="74"/>
      <c r="BI49" s="74"/>
      <c r="BJ49" s="75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80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2"/>
      <c r="AX50" s="76"/>
      <c r="AY50" s="76"/>
      <c r="AZ50" s="76"/>
      <c r="BA50" s="76"/>
      <c r="BB50" s="76"/>
      <c r="BC50" s="77"/>
      <c r="BD50" s="79"/>
      <c r="BE50" s="76"/>
      <c r="BF50" s="76"/>
      <c r="BG50" s="76"/>
      <c r="BH50" s="76"/>
      <c r="BI50" s="76"/>
      <c r="BJ50" s="77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71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3"/>
      <c r="AX51" s="74"/>
      <c r="AY51" s="74"/>
      <c r="AZ51" s="74"/>
      <c r="BA51" s="74"/>
      <c r="BB51" s="74"/>
      <c r="BC51" s="75"/>
      <c r="BD51" s="78"/>
      <c r="BE51" s="74"/>
      <c r="BF51" s="74"/>
      <c r="BG51" s="74"/>
      <c r="BH51" s="74"/>
      <c r="BI51" s="74"/>
      <c r="BJ51" s="75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80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2"/>
      <c r="AX52" s="76"/>
      <c r="AY52" s="76"/>
      <c r="AZ52" s="76"/>
      <c r="BA52" s="76"/>
      <c r="BB52" s="76"/>
      <c r="BC52" s="77"/>
      <c r="BD52" s="79"/>
      <c r="BE52" s="76"/>
      <c r="BF52" s="76"/>
      <c r="BG52" s="76"/>
      <c r="BH52" s="76"/>
      <c r="BI52" s="76"/>
      <c r="BJ52" s="77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71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3"/>
      <c r="AX53" s="74"/>
      <c r="AY53" s="74"/>
      <c r="AZ53" s="74"/>
      <c r="BA53" s="74"/>
      <c r="BB53" s="74"/>
      <c r="BC53" s="75"/>
      <c r="BD53" s="78"/>
      <c r="BE53" s="74"/>
      <c r="BF53" s="74"/>
      <c r="BG53" s="74"/>
      <c r="BH53" s="74"/>
      <c r="BI53" s="74"/>
      <c r="BJ53" s="75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80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2"/>
      <c r="AX54" s="76"/>
      <c r="AY54" s="76"/>
      <c r="AZ54" s="76"/>
      <c r="BA54" s="76"/>
      <c r="BB54" s="76"/>
      <c r="BC54" s="77"/>
      <c r="BD54" s="79"/>
      <c r="BE54" s="76"/>
      <c r="BF54" s="76"/>
      <c r="BG54" s="76"/>
      <c r="BH54" s="76"/>
      <c r="BI54" s="76"/>
      <c r="BJ54" s="77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処理フロー凡例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26" customFormat="1" ht="15" customHeight="1" x14ac:dyDescent="0.25">
      <c r="A7" s="205"/>
      <c r="B7" s="206" t="s">
        <v>68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9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8"/>
      <c r="BJ7" s="207"/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AP3302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9" customFormat="1" ht="15" customHeight="1" x14ac:dyDescent="0.25">
      <c r="A7" s="24"/>
      <c r="B7" s="25" t="s">
        <v>69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12"/>
      <c r="AQ7" s="212"/>
      <c r="AR7" s="212"/>
      <c r="AS7" s="212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7"/>
      <c r="BI7" s="27"/>
      <c r="BJ7" s="27"/>
      <c r="BK7" s="28"/>
    </row>
    <row r="8" spans="1:63" s="29" customFormat="1" ht="15" customHeight="1" x14ac:dyDescent="0.25">
      <c r="A8" s="24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213"/>
      <c r="AQ8" s="213"/>
      <c r="AR8" s="213"/>
      <c r="AS8" s="213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2"/>
      <c r="BI8" s="32"/>
      <c r="BJ8" s="32"/>
      <c r="BK8" s="28"/>
    </row>
    <row r="9" spans="1:63" s="29" customFormat="1" ht="15" customHeight="1" x14ac:dyDescent="0.25">
      <c r="A9" s="24"/>
      <c r="B9" s="30"/>
      <c r="C9" s="31" t="s">
        <v>45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213"/>
      <c r="AQ9" s="213"/>
      <c r="AR9" s="213"/>
      <c r="AS9" s="213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2"/>
      <c r="BI9" s="32"/>
      <c r="BJ9" s="32"/>
      <c r="BK9" s="28"/>
    </row>
    <row r="10" spans="1:63" s="29" customFormat="1" ht="15" customHeight="1" x14ac:dyDescent="0.25">
      <c r="A10" s="24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213"/>
      <c r="AQ10" s="213"/>
      <c r="AR10" s="213"/>
      <c r="AS10" s="213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2"/>
      <c r="BI10" s="32"/>
      <c r="BJ10" s="32"/>
      <c r="BK10" s="28"/>
    </row>
    <row r="11" spans="1:63" s="29" customFormat="1" ht="15" customHeight="1" x14ac:dyDescent="0.25">
      <c r="A11" s="24"/>
      <c r="B11" s="33" t="s">
        <v>70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27"/>
      <c r="BJ11" s="27"/>
      <c r="BK11" s="28"/>
    </row>
    <row r="12" spans="1:63" s="29" customFormat="1" ht="15" customHeight="1" x14ac:dyDescent="0.25">
      <c r="A12" s="24"/>
      <c r="B12" s="31"/>
      <c r="C12" s="3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2"/>
      <c r="BI12" s="32"/>
      <c r="BJ12" s="32"/>
      <c r="BK12" s="28"/>
    </row>
    <row r="13" spans="1:63" s="29" customFormat="1" ht="15" customHeight="1" x14ac:dyDescent="0.25">
      <c r="A13" s="24"/>
      <c r="B13" s="31"/>
      <c r="C13" s="34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2"/>
      <c r="BI13" s="32"/>
      <c r="BJ13" s="32"/>
      <c r="BK13" s="28"/>
    </row>
    <row r="14" spans="1:63" s="29" customFormat="1" ht="15" customHeight="1" x14ac:dyDescent="0.25">
      <c r="A14" s="24"/>
      <c r="B14" s="31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2"/>
      <c r="BI14" s="32"/>
      <c r="BJ14" s="32"/>
      <c r="BK14" s="28"/>
    </row>
    <row r="15" spans="1:63" s="29" customFormat="1" ht="15" customHeight="1" x14ac:dyDescent="0.25">
      <c r="A15" s="24"/>
      <c r="B15" s="31"/>
      <c r="C15" s="105" t="s">
        <v>24</v>
      </c>
      <c r="D15" s="107"/>
      <c r="E15" s="105" t="s">
        <v>25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7"/>
      <c r="AG15" s="105" t="s">
        <v>26</v>
      </c>
      <c r="AH15" s="106"/>
      <c r="AI15" s="106"/>
      <c r="AJ15" s="106"/>
      <c r="AK15" s="106"/>
      <c r="AL15" s="106"/>
      <c r="AM15" s="106"/>
      <c r="AN15" s="106"/>
      <c r="AO15" s="106"/>
      <c r="AP15" s="107"/>
      <c r="AQ15" s="105" t="s">
        <v>27</v>
      </c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7"/>
      <c r="BK15" s="28"/>
    </row>
    <row r="16" spans="1:63" s="29" customFormat="1" ht="15" customHeight="1" x14ac:dyDescent="0.25">
      <c r="A16" s="24"/>
      <c r="B16" s="31"/>
      <c r="C16" s="95">
        <v>1</v>
      </c>
      <c r="D16" s="97"/>
      <c r="E16" s="111" t="s">
        <v>40</v>
      </c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3"/>
      <c r="AG16" s="95" t="s">
        <v>39</v>
      </c>
      <c r="AH16" s="96"/>
      <c r="AI16" s="96"/>
      <c r="AJ16" s="96"/>
      <c r="AK16" s="96"/>
      <c r="AL16" s="96"/>
      <c r="AM16" s="96"/>
      <c r="AN16" s="96"/>
      <c r="AO16" s="96"/>
      <c r="AP16" s="97"/>
      <c r="AQ16" s="214" t="s">
        <v>18</v>
      </c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6"/>
      <c r="BK16" s="28"/>
    </row>
    <row r="17" spans="1:63" s="29" customFormat="1" ht="15" customHeight="1" x14ac:dyDescent="0.25">
      <c r="A17" s="24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2"/>
      <c r="BI17" s="32"/>
      <c r="BJ17" s="32"/>
      <c r="BK17" s="28"/>
    </row>
    <row r="18" spans="1:63" s="29" customFormat="1" ht="15" customHeight="1" x14ac:dyDescent="0.25">
      <c r="A18" s="24"/>
      <c r="B18" s="31"/>
      <c r="C18" s="34" t="s">
        <v>72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2"/>
      <c r="BI18" s="32"/>
      <c r="BJ18" s="32"/>
      <c r="BK18" s="28"/>
    </row>
    <row r="19" spans="1:63" s="29" customFormat="1" ht="15" customHeight="1" x14ac:dyDescent="0.25">
      <c r="A19" s="24"/>
      <c r="B19" s="31"/>
      <c r="C19" s="3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2"/>
      <c r="BI19" s="32"/>
      <c r="BJ19" s="32"/>
      <c r="BK19" s="28"/>
    </row>
    <row r="20" spans="1:63" s="29" customFormat="1" ht="15" customHeight="1" x14ac:dyDescent="0.25">
      <c r="A20" s="24"/>
      <c r="B20" s="31"/>
      <c r="C20" s="108" t="s">
        <v>73</v>
      </c>
      <c r="D20" s="109"/>
      <c r="E20" s="108" t="s">
        <v>74</v>
      </c>
      <c r="F20" s="110"/>
      <c r="G20" s="110"/>
      <c r="H20" s="110"/>
      <c r="I20" s="110"/>
      <c r="J20" s="110"/>
      <c r="K20" s="109"/>
      <c r="L20" s="105" t="s">
        <v>28</v>
      </c>
      <c r="M20" s="106"/>
      <c r="N20" s="107"/>
      <c r="O20" s="105" t="s">
        <v>29</v>
      </c>
      <c r="P20" s="106"/>
      <c r="Q20" s="106"/>
      <c r="R20" s="107"/>
      <c r="S20" s="105" t="s">
        <v>30</v>
      </c>
      <c r="T20" s="106"/>
      <c r="U20" s="106"/>
      <c r="V20" s="106"/>
      <c r="W20" s="106"/>
      <c r="X20" s="106"/>
      <c r="Y20" s="107"/>
      <c r="Z20" s="108" t="s">
        <v>75</v>
      </c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09"/>
      <c r="AQ20" s="105" t="s">
        <v>27</v>
      </c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7"/>
      <c r="BK20" s="28"/>
    </row>
    <row r="21" spans="1:63" s="29" customFormat="1" ht="15" customHeight="1" x14ac:dyDescent="0.25">
      <c r="A21" s="24"/>
      <c r="B21" s="31"/>
      <c r="C21" s="95">
        <v>1</v>
      </c>
      <c r="D21" s="97"/>
      <c r="E21" s="217" t="s">
        <v>15</v>
      </c>
      <c r="F21" s="218"/>
      <c r="G21" s="218"/>
      <c r="H21" s="218"/>
      <c r="I21" s="218"/>
      <c r="J21" s="218"/>
      <c r="K21" s="219"/>
      <c r="L21" s="98" t="s">
        <v>16</v>
      </c>
      <c r="M21" s="99"/>
      <c r="N21" s="100"/>
      <c r="O21" s="95" t="s">
        <v>17</v>
      </c>
      <c r="P21" s="96"/>
      <c r="Q21" s="96"/>
      <c r="R21" s="97"/>
      <c r="S21" s="95" t="s">
        <v>18</v>
      </c>
      <c r="T21" s="96"/>
      <c r="U21" s="96"/>
      <c r="V21" s="96"/>
      <c r="W21" s="96"/>
      <c r="X21" s="96"/>
      <c r="Y21" s="97"/>
      <c r="Z21" s="217" t="s">
        <v>19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220" t="s">
        <v>76</v>
      </c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2"/>
      <c r="BK21" s="28"/>
    </row>
    <row r="22" spans="1:63" s="29" customFormat="1" ht="15" customHeight="1" x14ac:dyDescent="0.25">
      <c r="A22" s="24"/>
      <c r="B22" s="31"/>
      <c r="C22" s="95">
        <v>2</v>
      </c>
      <c r="D22" s="97"/>
      <c r="E22" s="217" t="s">
        <v>20</v>
      </c>
      <c r="F22" s="218"/>
      <c r="G22" s="218"/>
      <c r="H22" s="218"/>
      <c r="I22" s="218"/>
      <c r="J22" s="218"/>
      <c r="K22" s="219"/>
      <c r="L22" s="98" t="s">
        <v>18</v>
      </c>
      <c r="M22" s="99"/>
      <c r="N22" s="100"/>
      <c r="O22" s="95" t="s">
        <v>17</v>
      </c>
      <c r="P22" s="96"/>
      <c r="Q22" s="96"/>
      <c r="R22" s="97"/>
      <c r="S22" s="95" t="s">
        <v>18</v>
      </c>
      <c r="T22" s="96"/>
      <c r="U22" s="96"/>
      <c r="V22" s="96"/>
      <c r="W22" s="96"/>
      <c r="X22" s="96"/>
      <c r="Y22" s="97"/>
      <c r="Z22" s="217" t="s">
        <v>20</v>
      </c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9"/>
      <c r="AQ22" s="223" t="s">
        <v>18</v>
      </c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4"/>
      <c r="BK22" s="28"/>
    </row>
    <row r="23" spans="1:63" s="29" customFormat="1" ht="15" customHeight="1" x14ac:dyDescent="0.25">
      <c r="A23" s="24"/>
      <c r="B23" s="31"/>
      <c r="C23" s="101">
        <v>3</v>
      </c>
      <c r="D23" s="102"/>
      <c r="E23" s="225" t="s">
        <v>21</v>
      </c>
      <c r="F23" s="226"/>
      <c r="G23" s="226"/>
      <c r="H23" s="226"/>
      <c r="I23" s="226"/>
      <c r="J23" s="226"/>
      <c r="K23" s="227"/>
      <c r="L23" s="228" t="s">
        <v>16</v>
      </c>
      <c r="M23" s="229"/>
      <c r="N23" s="230"/>
      <c r="O23" s="231" t="s">
        <v>17</v>
      </c>
      <c r="P23" s="232"/>
      <c r="Q23" s="232"/>
      <c r="R23" s="233"/>
      <c r="S23" s="231" t="s">
        <v>32</v>
      </c>
      <c r="T23" s="232"/>
      <c r="U23" s="232"/>
      <c r="V23" s="232"/>
      <c r="W23" s="232"/>
      <c r="X23" s="232"/>
      <c r="Y23" s="233"/>
      <c r="Z23" s="234" t="s">
        <v>32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23" t="s">
        <v>18</v>
      </c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4"/>
      <c r="BK23" s="28"/>
    </row>
    <row r="24" spans="1:63" s="29" customFormat="1" ht="15" customHeight="1" x14ac:dyDescent="0.25">
      <c r="A24" s="24"/>
      <c r="B24" s="31"/>
      <c r="C24" s="95">
        <v>4</v>
      </c>
      <c r="D24" s="97"/>
      <c r="E24" s="217" t="s">
        <v>22</v>
      </c>
      <c r="F24" s="218"/>
      <c r="G24" s="218"/>
      <c r="H24" s="218"/>
      <c r="I24" s="218"/>
      <c r="J24" s="218"/>
      <c r="K24" s="219"/>
      <c r="L24" s="98" t="s">
        <v>18</v>
      </c>
      <c r="M24" s="99"/>
      <c r="N24" s="100"/>
      <c r="O24" s="95" t="s">
        <v>17</v>
      </c>
      <c r="P24" s="96"/>
      <c r="Q24" s="96"/>
      <c r="R24" s="97"/>
      <c r="S24" s="95" t="s">
        <v>18</v>
      </c>
      <c r="T24" s="96"/>
      <c r="U24" s="96"/>
      <c r="V24" s="96"/>
      <c r="W24" s="96"/>
      <c r="X24" s="96"/>
      <c r="Y24" s="97"/>
      <c r="Z24" s="217" t="s">
        <v>22</v>
      </c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9"/>
      <c r="AQ24" s="223" t="s">
        <v>18</v>
      </c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  <c r="BK24" s="28"/>
    </row>
    <row r="25" spans="1:63" s="29" customFormat="1" ht="15" customHeight="1" x14ac:dyDescent="0.25">
      <c r="A25" s="24"/>
      <c r="B25" s="31"/>
      <c r="C25" s="95">
        <v>5</v>
      </c>
      <c r="D25" s="97"/>
      <c r="E25" s="217" t="s">
        <v>23</v>
      </c>
      <c r="F25" s="218"/>
      <c r="G25" s="218"/>
      <c r="H25" s="218"/>
      <c r="I25" s="218"/>
      <c r="J25" s="218"/>
      <c r="K25" s="219"/>
      <c r="L25" s="98" t="s">
        <v>18</v>
      </c>
      <c r="M25" s="99"/>
      <c r="N25" s="100"/>
      <c r="O25" s="95" t="s">
        <v>17</v>
      </c>
      <c r="P25" s="96"/>
      <c r="Q25" s="96"/>
      <c r="R25" s="97"/>
      <c r="S25" s="95" t="s">
        <v>18</v>
      </c>
      <c r="T25" s="96"/>
      <c r="U25" s="96"/>
      <c r="V25" s="96"/>
      <c r="W25" s="96"/>
      <c r="X25" s="96"/>
      <c r="Y25" s="97"/>
      <c r="Z25" s="217" t="s">
        <v>23</v>
      </c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9"/>
      <c r="AQ25" s="214" t="s">
        <v>18</v>
      </c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6"/>
      <c r="BK25" s="28"/>
    </row>
    <row r="26" spans="1:63" s="29" customFormat="1" ht="15" customHeight="1" x14ac:dyDescent="0.25">
      <c r="A26" s="24"/>
      <c r="B26" s="31"/>
      <c r="C26" s="31"/>
      <c r="D26" s="31"/>
      <c r="E26" s="213"/>
      <c r="F26" s="213"/>
      <c r="G26" s="213"/>
      <c r="H26" s="213"/>
      <c r="I26" s="31"/>
      <c r="J26" s="31"/>
      <c r="K26" s="31"/>
      <c r="L26" s="237"/>
      <c r="M26" s="213"/>
      <c r="N26" s="213"/>
      <c r="O26" s="213"/>
      <c r="P26" s="213"/>
      <c r="Q26" s="31"/>
      <c r="R26" s="31"/>
      <c r="S26" s="31"/>
      <c r="T26" s="31"/>
      <c r="U26" s="31"/>
      <c r="V26" s="31"/>
      <c r="W26" s="31"/>
      <c r="X26" s="31"/>
      <c r="Y26" s="31"/>
      <c r="Z26" s="35"/>
      <c r="AA26" s="31"/>
      <c r="AB26" s="31"/>
      <c r="AC26" s="31"/>
      <c r="AD26" s="31"/>
      <c r="AE26" s="31"/>
      <c r="AF26" s="31"/>
      <c r="AG26" s="213"/>
      <c r="AH26" s="213"/>
      <c r="AI26" s="213"/>
      <c r="AJ26" s="213"/>
      <c r="AK26" s="213"/>
      <c r="AL26" s="213"/>
      <c r="AM26" s="213"/>
      <c r="AN26" s="213"/>
      <c r="AO26" s="213"/>
      <c r="AP26" s="31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2"/>
      <c r="BI26" s="32"/>
      <c r="BJ26" s="32"/>
      <c r="BK26" s="28"/>
    </row>
    <row r="27" spans="1:63" s="29" customFormat="1" ht="15" customHeight="1" x14ac:dyDescent="0.25">
      <c r="A27" s="24"/>
      <c r="B27" s="31"/>
      <c r="C27" s="31"/>
      <c r="D27" s="31"/>
      <c r="E27" s="213"/>
      <c r="F27" s="213"/>
      <c r="G27" s="213"/>
      <c r="H27" s="213"/>
      <c r="I27" s="31"/>
      <c r="J27" s="31"/>
      <c r="K27" s="31"/>
      <c r="L27" s="37"/>
      <c r="M27" s="213"/>
      <c r="N27" s="213"/>
      <c r="O27" s="213"/>
      <c r="P27" s="213"/>
      <c r="Q27" s="31"/>
      <c r="R27" s="31"/>
      <c r="S27" s="31"/>
      <c r="T27" s="31"/>
      <c r="U27" s="31"/>
      <c r="V27" s="31"/>
      <c r="W27" s="31"/>
      <c r="X27" s="31"/>
      <c r="Y27" s="31"/>
      <c r="Z27" s="35"/>
      <c r="AA27" s="31"/>
      <c r="AB27" s="31"/>
      <c r="AC27" s="31"/>
      <c r="AD27" s="31"/>
      <c r="AE27" s="31"/>
      <c r="AF27" s="31"/>
      <c r="AG27" s="213"/>
      <c r="AH27" s="213"/>
      <c r="AI27" s="213"/>
      <c r="AJ27" s="213"/>
      <c r="AK27" s="213"/>
      <c r="AL27" s="213"/>
      <c r="AM27" s="213"/>
      <c r="AN27" s="213"/>
      <c r="AO27" s="213"/>
      <c r="AP27" s="31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2"/>
      <c r="BI27" s="32"/>
      <c r="BJ27" s="32"/>
      <c r="BK27" s="28"/>
    </row>
    <row r="28" spans="1:63" s="29" customFormat="1" ht="15" customHeight="1" x14ac:dyDescent="0.25">
      <c r="A28" s="24"/>
      <c r="B28" s="31"/>
      <c r="C28" s="34" t="s">
        <v>77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2"/>
      <c r="BI28" s="32"/>
      <c r="BJ28" s="32"/>
      <c r="BK28" s="28"/>
    </row>
    <row r="29" spans="1:63" s="29" customFormat="1" ht="15" customHeight="1" x14ac:dyDescent="0.25">
      <c r="A29" s="24"/>
      <c r="B29" s="31"/>
      <c r="C29" s="103" t="s">
        <v>24</v>
      </c>
      <c r="D29" s="104"/>
      <c r="E29" s="238" t="s">
        <v>31</v>
      </c>
      <c r="F29" s="239"/>
      <c r="G29" s="239"/>
      <c r="H29" s="239"/>
      <c r="I29" s="239"/>
      <c r="J29" s="239"/>
      <c r="K29" s="240"/>
      <c r="L29" s="105" t="s">
        <v>28</v>
      </c>
      <c r="M29" s="106"/>
      <c r="N29" s="107"/>
      <c r="O29" s="105" t="s">
        <v>29</v>
      </c>
      <c r="P29" s="106"/>
      <c r="Q29" s="106"/>
      <c r="R29" s="107"/>
      <c r="S29" s="105" t="s">
        <v>30</v>
      </c>
      <c r="T29" s="106"/>
      <c r="U29" s="106"/>
      <c r="V29" s="106"/>
      <c r="W29" s="106"/>
      <c r="X29" s="106"/>
      <c r="Y29" s="107"/>
      <c r="Z29" s="108" t="s">
        <v>75</v>
      </c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09"/>
      <c r="AQ29" s="117" t="s">
        <v>27</v>
      </c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9"/>
      <c r="BK29" s="28"/>
    </row>
    <row r="30" spans="1:63" s="29" customFormat="1" ht="15" customHeight="1" x14ac:dyDescent="0.25">
      <c r="A30" s="24"/>
      <c r="B30" s="31"/>
      <c r="C30" s="98" t="s">
        <v>42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100"/>
      <c r="BK30" s="28"/>
    </row>
    <row r="31" spans="1:63" s="29" customFormat="1" ht="15" customHeight="1" x14ac:dyDescent="0.25">
      <c r="A31" s="24"/>
      <c r="B31" s="31"/>
      <c r="C31" s="31"/>
      <c r="D31" s="31"/>
      <c r="E31" s="213"/>
      <c r="F31" s="213"/>
      <c r="G31" s="213"/>
      <c r="H31" s="213"/>
      <c r="I31" s="213"/>
      <c r="J31" s="213"/>
      <c r="K31" s="213"/>
      <c r="L31" s="47"/>
      <c r="M31" s="48"/>
      <c r="N31" s="48"/>
      <c r="O31" s="31"/>
      <c r="P31" s="31"/>
      <c r="Q31" s="31"/>
      <c r="R31" s="31"/>
      <c r="S31" s="35"/>
      <c r="T31" s="31"/>
      <c r="U31" s="31"/>
      <c r="V31" s="31"/>
      <c r="W31" s="31"/>
      <c r="X31" s="31"/>
      <c r="Y31" s="31"/>
      <c r="Z31" s="237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28"/>
    </row>
    <row r="32" spans="1:63" s="29" customFormat="1" ht="15" customHeight="1" x14ac:dyDescent="0.25">
      <c r="A32" s="24"/>
      <c r="B32" s="31"/>
      <c r="C32" s="34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2"/>
      <c r="BI32" s="32"/>
      <c r="BJ32" s="32"/>
      <c r="BK32" s="28"/>
    </row>
    <row r="33" spans="1:63" s="29" customFormat="1" ht="15" customHeight="1" x14ac:dyDescent="0.25">
      <c r="A33" s="24"/>
      <c r="B33" s="31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2"/>
      <c r="BI33" s="32"/>
      <c r="BJ33" s="32"/>
      <c r="BK33" s="28"/>
    </row>
    <row r="34" spans="1:63" s="29" customFormat="1" ht="15" customHeight="1" x14ac:dyDescent="0.25">
      <c r="A34" s="24"/>
      <c r="B34" s="31"/>
      <c r="C34" s="103" t="s">
        <v>24</v>
      </c>
      <c r="D34" s="104"/>
      <c r="E34" s="238" t="s">
        <v>31</v>
      </c>
      <c r="F34" s="239"/>
      <c r="G34" s="239"/>
      <c r="H34" s="239"/>
      <c r="I34" s="239"/>
      <c r="J34" s="239"/>
      <c r="K34" s="240"/>
      <c r="L34" s="105" t="s">
        <v>28</v>
      </c>
      <c r="M34" s="106"/>
      <c r="N34" s="107"/>
      <c r="O34" s="105" t="s">
        <v>29</v>
      </c>
      <c r="P34" s="106"/>
      <c r="Q34" s="106"/>
      <c r="R34" s="107"/>
      <c r="S34" s="105" t="s">
        <v>30</v>
      </c>
      <c r="T34" s="106"/>
      <c r="U34" s="106"/>
      <c r="V34" s="106"/>
      <c r="W34" s="106"/>
      <c r="X34" s="106"/>
      <c r="Y34" s="107"/>
      <c r="Z34" s="108" t="s">
        <v>75</v>
      </c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09"/>
      <c r="AQ34" s="117" t="s">
        <v>27</v>
      </c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9"/>
      <c r="BK34" s="28"/>
    </row>
    <row r="35" spans="1:63" s="29" customFormat="1" ht="52.5" customHeight="1" x14ac:dyDescent="0.25">
      <c r="A35" s="24"/>
      <c r="B35" s="31"/>
      <c r="C35" s="95">
        <v>1</v>
      </c>
      <c r="D35" s="97"/>
      <c r="E35" s="217" t="s">
        <v>36</v>
      </c>
      <c r="F35" s="218"/>
      <c r="G35" s="218"/>
      <c r="H35" s="218"/>
      <c r="I35" s="218"/>
      <c r="J35" s="218"/>
      <c r="K35" s="219"/>
      <c r="L35" s="241" t="s">
        <v>16</v>
      </c>
      <c r="M35" s="242"/>
      <c r="N35" s="243"/>
      <c r="O35" s="95" t="s">
        <v>37</v>
      </c>
      <c r="P35" s="96"/>
      <c r="Q35" s="96"/>
      <c r="R35" s="97"/>
      <c r="S35" s="111" t="s">
        <v>18</v>
      </c>
      <c r="T35" s="96"/>
      <c r="U35" s="96"/>
      <c r="V35" s="96"/>
      <c r="W35" s="96"/>
      <c r="X35" s="96"/>
      <c r="Y35" s="97"/>
      <c r="Z35" s="244" t="s">
        <v>18</v>
      </c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9"/>
      <c r="AQ35" s="114" t="s">
        <v>79</v>
      </c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6"/>
      <c r="BK35" s="28"/>
    </row>
    <row r="36" spans="1:63" s="29" customFormat="1" ht="15" customHeight="1" x14ac:dyDescent="0.25">
      <c r="A36" s="24"/>
      <c r="B36" s="31"/>
      <c r="C36" s="95">
        <v>2</v>
      </c>
      <c r="D36" s="97"/>
      <c r="E36" s="217" t="s">
        <v>34</v>
      </c>
      <c r="F36" s="218"/>
      <c r="G36" s="218"/>
      <c r="H36" s="218"/>
      <c r="I36" s="218"/>
      <c r="J36" s="218"/>
      <c r="K36" s="219"/>
      <c r="L36" s="241" t="s">
        <v>16</v>
      </c>
      <c r="M36" s="242"/>
      <c r="N36" s="243"/>
      <c r="O36" s="95" t="s">
        <v>17</v>
      </c>
      <c r="P36" s="96"/>
      <c r="Q36" s="96"/>
      <c r="R36" s="97"/>
      <c r="S36" s="95" t="s">
        <v>18</v>
      </c>
      <c r="T36" s="96"/>
      <c r="U36" s="96"/>
      <c r="V36" s="96"/>
      <c r="W36" s="96"/>
      <c r="X36" s="96"/>
      <c r="Y36" s="97"/>
      <c r="Z36" s="244" t="s">
        <v>18</v>
      </c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9"/>
      <c r="AQ36" s="244" t="s">
        <v>18</v>
      </c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2"/>
      <c r="BK36" s="28"/>
    </row>
    <row r="37" spans="1:63" s="29" customFormat="1" ht="36" customHeight="1" x14ac:dyDescent="0.25">
      <c r="A37" s="24"/>
      <c r="B37" s="31"/>
      <c r="C37" s="95">
        <v>3</v>
      </c>
      <c r="D37" s="97"/>
      <c r="E37" s="217" t="s">
        <v>43</v>
      </c>
      <c r="F37" s="218"/>
      <c r="G37" s="218"/>
      <c r="H37" s="218"/>
      <c r="I37" s="218"/>
      <c r="J37" s="218"/>
      <c r="K37" s="219"/>
      <c r="L37" s="241" t="s">
        <v>18</v>
      </c>
      <c r="M37" s="242"/>
      <c r="N37" s="243"/>
      <c r="O37" s="95" t="s">
        <v>17</v>
      </c>
      <c r="P37" s="96"/>
      <c r="Q37" s="96"/>
      <c r="R37" s="97"/>
      <c r="S37" s="95" t="s">
        <v>18</v>
      </c>
      <c r="T37" s="96"/>
      <c r="U37" s="96"/>
      <c r="V37" s="96"/>
      <c r="W37" s="96"/>
      <c r="X37" s="96"/>
      <c r="Y37" s="97"/>
      <c r="Z37" s="244" t="s">
        <v>18</v>
      </c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9"/>
      <c r="AQ37" s="220" t="s">
        <v>44</v>
      </c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  <c r="BE37" s="245"/>
      <c r="BF37" s="245"/>
      <c r="BG37" s="245"/>
      <c r="BH37" s="245"/>
      <c r="BI37" s="245"/>
      <c r="BJ37" s="246"/>
      <c r="BK37" s="28"/>
    </row>
    <row r="38" spans="1:63" s="29" customFormat="1" ht="15" customHeight="1" x14ac:dyDescent="0.25">
      <c r="A38" s="24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2"/>
      <c r="BI38" s="32"/>
      <c r="BJ38" s="32"/>
      <c r="BK38" s="28"/>
    </row>
    <row r="39" spans="1:63" s="29" customFormat="1" ht="15" customHeight="1" x14ac:dyDescent="0.25">
      <c r="A39" s="24"/>
      <c r="B39" s="31"/>
      <c r="C39" s="34" t="s">
        <v>80</v>
      </c>
      <c r="D39" s="31"/>
      <c r="E39" s="213"/>
      <c r="F39" s="31"/>
      <c r="G39" s="213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28"/>
    </row>
    <row r="40" spans="1:63" s="29" customFormat="1" ht="15" customHeight="1" x14ac:dyDescent="0.25">
      <c r="A40" s="24"/>
      <c r="B40" s="31"/>
      <c r="C40" s="34"/>
      <c r="D40" s="31" t="s">
        <v>33</v>
      </c>
      <c r="E40" s="213"/>
      <c r="F40" s="31"/>
      <c r="G40" s="213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28"/>
    </row>
    <row r="41" spans="1:63" s="29" customFormat="1" ht="15" customHeight="1" x14ac:dyDescent="0.25">
      <c r="A41" s="24"/>
      <c r="B41" s="30"/>
      <c r="C41" s="34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2"/>
      <c r="BI41" s="32"/>
      <c r="BJ41" s="32"/>
      <c r="BK41" s="28"/>
    </row>
    <row r="42" spans="1:63" s="29" customFormat="1" ht="15" customHeight="1" x14ac:dyDescent="0.25">
      <c r="A42" s="24"/>
      <c r="B42" s="25" t="s">
        <v>81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7"/>
      <c r="BI42" s="27"/>
      <c r="BJ42" s="27"/>
      <c r="BK42" s="28"/>
    </row>
    <row r="43" spans="1:63" s="29" customFormat="1" ht="15" customHeight="1" x14ac:dyDescent="0.25">
      <c r="A43" s="24"/>
      <c r="B43" s="30"/>
      <c r="C43" s="34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2"/>
      <c r="BI43" s="32"/>
      <c r="BJ43" s="32"/>
      <c r="BK43" s="28"/>
    </row>
    <row r="44" spans="1:63" s="29" customFormat="1" ht="15" customHeight="1" x14ac:dyDescent="0.25">
      <c r="A44" s="24"/>
      <c r="B44" s="30"/>
      <c r="C44" s="34" t="s">
        <v>82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2"/>
      <c r="BI44" s="32"/>
      <c r="BJ44" s="32"/>
      <c r="BK44" s="28"/>
    </row>
    <row r="45" spans="1:63" s="29" customFormat="1" ht="15" customHeight="1" x14ac:dyDescent="0.25">
      <c r="A45" s="24"/>
      <c r="B45" s="30"/>
      <c r="C45" s="34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2"/>
      <c r="BI45" s="32"/>
      <c r="BJ45" s="32"/>
      <c r="BK45" s="28"/>
    </row>
    <row r="46" spans="1:63" s="29" customFormat="1" ht="15" customHeight="1" x14ac:dyDescent="0.25">
      <c r="A46" s="24"/>
      <c r="B46" s="30"/>
      <c r="C46" s="34"/>
      <c r="D46" s="31" t="s">
        <v>46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2"/>
      <c r="BI46" s="32"/>
      <c r="BJ46" s="32"/>
      <c r="BK46" s="28"/>
    </row>
    <row r="47" spans="1:63" s="29" customFormat="1" ht="15" customHeight="1" x14ac:dyDescent="0.25">
      <c r="A47" s="24"/>
      <c r="B47" s="30"/>
      <c r="C47" s="34"/>
      <c r="D47" s="31" t="s">
        <v>47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2"/>
      <c r="BI47" s="32"/>
      <c r="BJ47" s="32"/>
      <c r="BK47" s="28"/>
    </row>
    <row r="48" spans="1:63" s="29" customFormat="1" ht="15" customHeight="1" x14ac:dyDescent="0.25">
      <c r="A48" s="24"/>
      <c r="B48" s="30"/>
      <c r="C48" s="34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2"/>
      <c r="BI48" s="32"/>
      <c r="BJ48" s="32"/>
      <c r="BK48" s="28"/>
    </row>
    <row r="49" spans="1:63" s="29" customFormat="1" ht="15" customHeight="1" x14ac:dyDescent="0.25">
      <c r="A49" s="24"/>
      <c r="B49" s="31"/>
      <c r="C49" s="34" t="s">
        <v>80</v>
      </c>
      <c r="D49" s="31"/>
      <c r="E49" s="213"/>
      <c r="F49" s="31"/>
      <c r="G49" s="213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2"/>
      <c r="BI49" s="32"/>
      <c r="BJ49" s="32"/>
      <c r="BK49" s="28"/>
    </row>
    <row r="50" spans="1:63" s="29" customFormat="1" ht="15" customHeight="1" x14ac:dyDescent="0.25">
      <c r="A50" s="24"/>
      <c r="B50" s="31"/>
      <c r="C50" s="34"/>
      <c r="D50" s="213"/>
      <c r="E50" s="213"/>
      <c r="F50" s="31"/>
      <c r="G50" s="213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2"/>
      <c r="BI50" s="32"/>
      <c r="BJ50" s="32"/>
      <c r="BK50" s="28"/>
    </row>
    <row r="51" spans="1:63" s="29" customFormat="1" ht="15" customHeight="1" x14ac:dyDescent="0.25">
      <c r="A51" s="24"/>
      <c r="B51" s="31"/>
      <c r="C51" s="34"/>
      <c r="D51" s="31" t="s">
        <v>48</v>
      </c>
      <c r="E51" s="213"/>
      <c r="F51" s="31"/>
      <c r="G51" s="213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2"/>
      <c r="BI51" s="32"/>
      <c r="BJ51" s="32"/>
      <c r="BK51" s="28"/>
    </row>
    <row r="52" spans="1:63" s="29" customFormat="1" ht="15" customHeight="1" x14ac:dyDescent="0.25">
      <c r="A52" s="24"/>
      <c r="B52" s="31"/>
      <c r="C52" s="31"/>
      <c r="D52" s="213"/>
      <c r="E52" s="213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2"/>
      <c r="BI52" s="32"/>
      <c r="BJ52" s="32"/>
      <c r="BK52" s="28"/>
    </row>
    <row r="53" spans="1:63" s="29" customFormat="1" ht="15" customHeight="1" x14ac:dyDescent="0.25">
      <c r="A53" s="24"/>
      <c r="B53" s="31"/>
      <c r="C53" s="31"/>
      <c r="D53" s="213"/>
      <c r="E53" s="213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2"/>
      <c r="BI53" s="32"/>
      <c r="BJ53" s="32"/>
      <c r="BK53" s="28"/>
    </row>
    <row r="54" spans="1:63" s="29" customFormat="1" ht="15" customHeight="1" x14ac:dyDescent="0.25">
      <c r="A54" s="24"/>
      <c r="B54" s="31"/>
      <c r="C54" s="30" t="s">
        <v>83</v>
      </c>
      <c r="D54" s="31"/>
      <c r="E54" s="213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2"/>
      <c r="BI54" s="32"/>
      <c r="BJ54" s="32"/>
      <c r="BK54" s="28"/>
    </row>
    <row r="55" spans="1:63" s="29" customFormat="1" ht="15" customHeight="1" x14ac:dyDescent="0.25">
      <c r="A55" s="24"/>
      <c r="B55" s="31"/>
      <c r="C55" s="30"/>
      <c r="D55" s="31"/>
      <c r="E55" s="213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2"/>
      <c r="BI55" s="32"/>
      <c r="BJ55" s="32"/>
      <c r="BK55" s="28"/>
    </row>
    <row r="56" spans="1:63" s="29" customFormat="1" ht="15" customHeight="1" x14ac:dyDescent="0.25">
      <c r="A56" s="24"/>
      <c r="B56" s="31"/>
      <c r="C56" s="30" t="s">
        <v>35</v>
      </c>
      <c r="D56" s="31"/>
      <c r="E56" s="213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2"/>
      <c r="BI56" s="32"/>
      <c r="BJ56" s="32"/>
      <c r="BK56" s="28"/>
    </row>
    <row r="57" spans="1:63" s="29" customFormat="1" ht="15" customHeight="1" x14ac:dyDescent="0.25">
      <c r="A57" s="24"/>
      <c r="B57" s="31"/>
      <c r="C57" s="30"/>
      <c r="D57" s="31"/>
      <c r="E57" s="213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2"/>
      <c r="BI57" s="32"/>
      <c r="BJ57" s="32"/>
      <c r="BK57" s="28"/>
    </row>
    <row r="58" spans="1:63" s="44" customFormat="1" ht="15" customHeight="1" x14ac:dyDescent="0.25">
      <c r="A58" s="39"/>
      <c r="B58" s="40"/>
      <c r="C58" s="40"/>
      <c r="D58" s="40"/>
      <c r="E58" s="41"/>
      <c r="F58" s="41"/>
      <c r="G58" s="41"/>
      <c r="H58" s="41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2"/>
      <c r="BI58" s="42"/>
      <c r="BJ58" s="42"/>
      <c r="BK58" s="43"/>
    </row>
  </sheetData>
  <mergeCells count="106">
    <mergeCell ref="Z29:AP29"/>
    <mergeCell ref="Z35:AP35"/>
    <mergeCell ref="AQ35:BJ35"/>
    <mergeCell ref="L29:N29"/>
    <mergeCell ref="O29:R29"/>
    <mergeCell ref="L25:N25"/>
    <mergeCell ref="AQ29:BJ29"/>
    <mergeCell ref="Z36:AP36"/>
    <mergeCell ref="AQ36:BJ36"/>
    <mergeCell ref="C30:BJ30"/>
    <mergeCell ref="C36:D36"/>
    <mergeCell ref="E36:K36"/>
    <mergeCell ref="L36:N36"/>
    <mergeCell ref="O36:R36"/>
    <mergeCell ref="S36:Y36"/>
    <mergeCell ref="S34:Y34"/>
    <mergeCell ref="Z34:AP34"/>
    <mergeCell ref="AQ34:BJ34"/>
    <mergeCell ref="C35:D35"/>
    <mergeCell ref="E35:K35"/>
    <mergeCell ref="L35:N35"/>
    <mergeCell ref="O35:R35"/>
    <mergeCell ref="S35:Y35"/>
    <mergeCell ref="C29:D2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A4:G4"/>
    <mergeCell ref="H4:T4"/>
    <mergeCell ref="U4:Y4"/>
    <mergeCell ref="E29:K29"/>
    <mergeCell ref="S29:Y29"/>
    <mergeCell ref="E24:K24"/>
    <mergeCell ref="E25:K25"/>
    <mergeCell ref="O22:R22"/>
    <mergeCell ref="O24:R24"/>
    <mergeCell ref="O25:R25"/>
    <mergeCell ref="O23:R23"/>
    <mergeCell ref="L22:N22"/>
    <mergeCell ref="C20:D20"/>
    <mergeCell ref="O20:R20"/>
    <mergeCell ref="L20:N20"/>
    <mergeCell ref="E20:K20"/>
    <mergeCell ref="S20:Y20"/>
    <mergeCell ref="Z20:AP20"/>
    <mergeCell ref="Z25:AP25"/>
    <mergeCell ref="Z23:AP23"/>
    <mergeCell ref="AQ21:BJ21"/>
    <mergeCell ref="Z21:AP21"/>
    <mergeCell ref="AQ22:BJ22"/>
    <mergeCell ref="AQ23:BJ23"/>
    <mergeCell ref="Z22:AP22"/>
    <mergeCell ref="Z24:AP24"/>
    <mergeCell ref="AQ24:BJ24"/>
    <mergeCell ref="AQ25:BJ25"/>
    <mergeCell ref="AQ20:BJ20"/>
    <mergeCell ref="S24:Y24"/>
    <mergeCell ref="S25:Y25"/>
    <mergeCell ref="C25:D25"/>
    <mergeCell ref="C24:D24"/>
    <mergeCell ref="Z37:AP37"/>
    <mergeCell ref="AQ37:BJ37"/>
    <mergeCell ref="O21:R21"/>
    <mergeCell ref="S22:Y22"/>
    <mergeCell ref="S23:Y23"/>
    <mergeCell ref="S21:Y21"/>
    <mergeCell ref="C37:D37"/>
    <mergeCell ref="E37:K37"/>
    <mergeCell ref="L37:N37"/>
    <mergeCell ref="O37:R37"/>
    <mergeCell ref="S37:Y37"/>
    <mergeCell ref="L23:N23"/>
    <mergeCell ref="L24:N24"/>
    <mergeCell ref="E21:K21"/>
    <mergeCell ref="E22:K22"/>
    <mergeCell ref="C23:D23"/>
    <mergeCell ref="E23:K23"/>
    <mergeCell ref="C21:D21"/>
    <mergeCell ref="C22:D22"/>
    <mergeCell ref="L21:N21"/>
    <mergeCell ref="C34:D34"/>
    <mergeCell ref="E34:K34"/>
    <mergeCell ref="L34:N34"/>
    <mergeCell ref="O34:R3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1" customFormat="1" ht="15" customHeight="1" x14ac:dyDescent="0.25">
      <c r="B7" s="45"/>
      <c r="C7" s="32"/>
      <c r="D7" s="32"/>
      <c r="E7" s="32"/>
      <c r="F7" s="32"/>
      <c r="G7" s="32"/>
      <c r="AI7" s="247"/>
      <c r="BJ7" s="247"/>
      <c r="BK7" s="210"/>
    </row>
    <row r="8" spans="1:63" s="211" customFormat="1" ht="15" customHeight="1" x14ac:dyDescent="0.25">
      <c r="B8" s="45"/>
      <c r="C8" s="32"/>
      <c r="D8" s="32"/>
      <c r="E8" s="32"/>
      <c r="F8" s="32"/>
      <c r="G8" s="32"/>
      <c r="AI8" s="247"/>
      <c r="BJ8" s="247"/>
      <c r="BK8" s="210"/>
    </row>
    <row r="9" spans="1:63" s="211" customFormat="1" ht="15" customHeight="1" x14ac:dyDescent="0.25">
      <c r="B9" s="45"/>
      <c r="C9" s="32"/>
      <c r="D9" s="32"/>
      <c r="E9" s="32"/>
      <c r="F9" s="32"/>
      <c r="G9" s="32"/>
      <c r="AI9" s="247"/>
      <c r="BJ9" s="247"/>
      <c r="BK9" s="210"/>
    </row>
    <row r="10" spans="1:63" s="211" customFormat="1" ht="15" customHeight="1" x14ac:dyDescent="0.25">
      <c r="B10" s="45"/>
      <c r="C10" s="32"/>
      <c r="D10" s="32"/>
      <c r="E10" s="32"/>
      <c r="F10" s="32"/>
      <c r="G10" s="32"/>
      <c r="AI10" s="247"/>
      <c r="BJ10" s="247"/>
      <c r="BK10" s="210"/>
    </row>
    <row r="11" spans="1:63" s="211" customFormat="1" ht="15" customHeight="1" x14ac:dyDescent="0.25">
      <c r="B11" s="248"/>
      <c r="AI11" s="247"/>
      <c r="BJ11" s="247"/>
      <c r="BK11" s="210"/>
    </row>
    <row r="12" spans="1:63" s="211" customFormat="1" ht="15" customHeight="1" x14ac:dyDescent="0.25">
      <c r="B12" s="248"/>
      <c r="AI12" s="247"/>
      <c r="BJ12" s="247"/>
      <c r="BK12" s="210"/>
    </row>
    <row r="13" spans="1:63" s="211" customFormat="1" ht="15" customHeight="1" x14ac:dyDescent="0.25">
      <c r="B13" s="248"/>
      <c r="AI13" s="247"/>
      <c r="BJ13" s="247"/>
      <c r="BK13" s="210"/>
    </row>
    <row r="14" spans="1:63" s="211" customFormat="1" ht="15" customHeight="1" x14ac:dyDescent="0.25">
      <c r="B14" s="248"/>
      <c r="AI14" s="247"/>
      <c r="BJ14" s="247"/>
      <c r="BK14" s="210"/>
    </row>
    <row r="15" spans="1:63" s="211" customFormat="1" ht="15" customHeight="1" x14ac:dyDescent="0.25">
      <c r="B15" s="248"/>
      <c r="AI15" s="247"/>
      <c r="BJ15" s="247"/>
      <c r="BK15" s="210"/>
    </row>
    <row r="16" spans="1:63" s="211" customFormat="1" ht="15" customHeight="1" x14ac:dyDescent="0.25">
      <c r="B16" s="248"/>
      <c r="AI16" s="247"/>
      <c r="BJ16" s="247"/>
      <c r="BK16" s="210"/>
    </row>
    <row r="17" spans="2:63" s="211" customFormat="1" ht="15" customHeight="1" x14ac:dyDescent="0.25">
      <c r="B17" s="248"/>
      <c r="AI17" s="247"/>
      <c r="BJ17" s="247"/>
      <c r="BK17" s="210"/>
    </row>
    <row r="18" spans="2:63" s="211" customFormat="1" ht="15" customHeight="1" x14ac:dyDescent="0.25">
      <c r="B18" s="248"/>
      <c r="AI18" s="247"/>
      <c r="BJ18" s="247"/>
      <c r="BK18" s="210"/>
    </row>
    <row r="19" spans="2:63" s="211" customFormat="1" ht="15" customHeight="1" x14ac:dyDescent="0.25">
      <c r="B19" s="248"/>
      <c r="AI19" s="247"/>
      <c r="BJ19" s="247"/>
      <c r="BK19" s="210"/>
    </row>
    <row r="20" spans="2:63" s="211" customFormat="1" ht="15" customHeight="1" x14ac:dyDescent="0.25">
      <c r="B20" s="248"/>
      <c r="AI20" s="247"/>
      <c r="BJ20" s="247"/>
      <c r="BK20" s="210"/>
    </row>
    <row r="21" spans="2:63" s="211" customFormat="1" ht="15" customHeight="1" x14ac:dyDescent="0.25">
      <c r="B21" s="248"/>
      <c r="AI21" s="247"/>
      <c r="BJ21" s="247"/>
      <c r="BK21" s="210"/>
    </row>
    <row r="22" spans="2:63" s="211" customFormat="1" ht="15" customHeight="1" x14ac:dyDescent="0.25">
      <c r="B22" s="248"/>
      <c r="AI22" s="247"/>
      <c r="BJ22" s="247"/>
      <c r="BK22" s="210"/>
    </row>
    <row r="23" spans="2:63" s="211" customFormat="1" ht="15" customHeight="1" x14ac:dyDescent="0.25">
      <c r="B23" s="248"/>
      <c r="AI23" s="247"/>
      <c r="BJ23" s="247"/>
      <c r="BK23" s="210"/>
    </row>
    <row r="24" spans="2:63" s="211" customFormat="1" ht="15" customHeight="1" x14ac:dyDescent="0.25">
      <c r="B24" s="248"/>
      <c r="AI24" s="247"/>
      <c r="BJ24" s="247"/>
      <c r="BK24" s="210"/>
    </row>
    <row r="25" spans="2:63" s="211" customFormat="1" ht="15" customHeight="1" x14ac:dyDescent="0.25">
      <c r="B25" s="248"/>
      <c r="AI25" s="247"/>
      <c r="BJ25" s="247"/>
      <c r="BK25" s="210"/>
    </row>
    <row r="26" spans="2:63" s="211" customFormat="1" ht="15" customHeight="1" x14ac:dyDescent="0.25">
      <c r="B26" s="248"/>
      <c r="AI26" s="247"/>
      <c r="BJ26" s="247"/>
      <c r="BK26" s="210"/>
    </row>
    <row r="27" spans="2:63" s="211" customFormat="1" ht="15" customHeight="1" x14ac:dyDescent="0.25">
      <c r="B27" s="248"/>
      <c r="AI27" s="247"/>
      <c r="BJ27" s="247"/>
      <c r="BK27" s="210"/>
    </row>
    <row r="28" spans="2:63" s="211" customFormat="1" ht="15" customHeight="1" x14ac:dyDescent="0.25">
      <c r="B28" s="248"/>
      <c r="AI28" s="247"/>
      <c r="BJ28" s="247"/>
      <c r="BK28" s="210"/>
    </row>
    <row r="29" spans="2:63" s="211" customFormat="1" ht="15" customHeight="1" x14ac:dyDescent="0.25">
      <c r="B29" s="248"/>
      <c r="AI29" s="247"/>
      <c r="BJ29" s="247"/>
      <c r="BK29" s="210"/>
    </row>
    <row r="30" spans="2:63" s="211" customFormat="1" ht="15" customHeight="1" x14ac:dyDescent="0.25">
      <c r="B30" s="248"/>
      <c r="AI30" s="247"/>
      <c r="BJ30" s="247"/>
      <c r="BK30" s="210"/>
    </row>
    <row r="31" spans="2:63" s="211" customFormat="1" ht="15" customHeight="1" x14ac:dyDescent="0.25">
      <c r="B31" s="248"/>
      <c r="AI31" s="247"/>
      <c r="BJ31" s="247"/>
      <c r="BK31" s="210"/>
    </row>
    <row r="32" spans="2:63" s="211" customFormat="1" ht="15" customHeight="1" x14ac:dyDescent="0.25">
      <c r="B32" s="248"/>
      <c r="AI32" s="247"/>
      <c r="BJ32" s="247"/>
      <c r="BK32" s="210"/>
    </row>
    <row r="33" spans="2:63" s="211" customFormat="1" ht="15" customHeight="1" x14ac:dyDescent="0.25">
      <c r="B33" s="248"/>
      <c r="AI33" s="247"/>
      <c r="BJ33" s="247"/>
      <c r="BK33" s="210"/>
    </row>
    <row r="34" spans="2:63" s="211" customFormat="1" ht="15" customHeight="1" x14ac:dyDescent="0.25">
      <c r="B34" s="248"/>
      <c r="AI34" s="247"/>
      <c r="BJ34" s="247"/>
      <c r="BK34" s="210"/>
    </row>
    <row r="35" spans="2:63" s="211" customFormat="1" ht="15" customHeight="1" x14ac:dyDescent="0.25">
      <c r="B35" s="248"/>
      <c r="AI35" s="247"/>
      <c r="BJ35" s="247"/>
      <c r="BK35" s="210"/>
    </row>
    <row r="36" spans="2:63" s="211" customFormat="1" ht="15" customHeight="1" x14ac:dyDescent="0.25">
      <c r="B36" s="248"/>
      <c r="AI36" s="247"/>
      <c r="BJ36" s="247"/>
      <c r="BK36" s="210"/>
    </row>
    <row r="37" spans="2:63" s="211" customFormat="1" ht="15" customHeight="1" x14ac:dyDescent="0.25">
      <c r="B37" s="248"/>
      <c r="AI37" s="247"/>
      <c r="BJ37" s="247"/>
      <c r="BK37" s="210"/>
    </row>
    <row r="38" spans="2:63" s="211" customFormat="1" ht="15" customHeight="1" x14ac:dyDescent="0.25">
      <c r="B38" s="248"/>
      <c r="AI38" s="247"/>
      <c r="BJ38" s="247"/>
      <c r="BK38" s="210"/>
    </row>
    <row r="39" spans="2:63" s="211" customFormat="1" ht="15" customHeight="1" x14ac:dyDescent="0.25">
      <c r="B39" s="248"/>
      <c r="AI39" s="247"/>
      <c r="BJ39" s="247"/>
      <c r="BK39" s="210"/>
    </row>
    <row r="40" spans="2:63" s="211" customFormat="1" ht="15" customHeight="1" x14ac:dyDescent="0.25">
      <c r="B40" s="248"/>
      <c r="AI40" s="247"/>
      <c r="BJ40" s="247"/>
      <c r="BK40" s="210"/>
    </row>
    <row r="41" spans="2:63" s="211" customFormat="1" ht="15" customHeight="1" x14ac:dyDescent="0.25">
      <c r="B41" s="248"/>
      <c r="AI41" s="247"/>
      <c r="BJ41" s="247"/>
      <c r="BK41" s="210"/>
    </row>
    <row r="42" spans="2:63" s="211" customFormat="1" ht="15" customHeight="1" x14ac:dyDescent="0.25">
      <c r="B42" s="248"/>
      <c r="AI42" s="247"/>
      <c r="BJ42" s="247"/>
      <c r="BK42" s="210"/>
    </row>
    <row r="43" spans="2:63" s="211" customFormat="1" ht="15" customHeight="1" x14ac:dyDescent="0.25">
      <c r="B43" s="248"/>
      <c r="AI43" s="247"/>
      <c r="BJ43" s="247"/>
      <c r="BK43" s="210"/>
    </row>
    <row r="44" spans="2:63" s="211" customFormat="1" ht="15" customHeight="1" x14ac:dyDescent="0.25">
      <c r="B44" s="248"/>
      <c r="AI44" s="247"/>
      <c r="BJ44" s="247"/>
      <c r="BK44" s="210"/>
    </row>
    <row r="45" spans="2:63" s="211" customFormat="1" ht="15" customHeight="1" x14ac:dyDescent="0.25">
      <c r="B45" s="248"/>
      <c r="AI45" s="247"/>
      <c r="BJ45" s="247"/>
      <c r="BK45" s="210"/>
    </row>
    <row r="46" spans="2:63" s="211" customFormat="1" ht="15" customHeight="1" x14ac:dyDescent="0.25">
      <c r="B46" s="248"/>
      <c r="AI46" s="247"/>
      <c r="BJ46" s="247"/>
      <c r="BK46" s="210"/>
    </row>
    <row r="47" spans="2:63" s="211" customFormat="1" ht="15" customHeight="1" x14ac:dyDescent="0.25">
      <c r="B47" s="248"/>
      <c r="AI47" s="247"/>
      <c r="BJ47" s="247"/>
      <c r="BK47" s="210"/>
    </row>
    <row r="48" spans="2:63" s="211" customFormat="1" ht="15" customHeight="1" x14ac:dyDescent="0.25">
      <c r="B48" s="248"/>
      <c r="AI48" s="247"/>
      <c r="BJ48" s="247"/>
      <c r="BK48" s="210"/>
    </row>
    <row r="49" spans="1:63" s="211" customFormat="1" ht="15" customHeight="1" x14ac:dyDescent="0.25">
      <c r="B49" s="248"/>
      <c r="AI49" s="247"/>
      <c r="BJ49" s="247"/>
      <c r="BK49" s="210"/>
    </row>
    <row r="50" spans="1:63" s="211" customFormat="1" ht="15" customHeight="1" x14ac:dyDescent="0.25">
      <c r="B50" s="248"/>
      <c r="AI50" s="247"/>
      <c r="BJ50" s="247"/>
      <c r="BK50" s="210"/>
    </row>
    <row r="51" spans="1:63" s="211" customFormat="1" ht="15" customHeight="1" x14ac:dyDescent="0.25">
      <c r="B51" s="248"/>
      <c r="AI51" s="247"/>
      <c r="BJ51" s="247"/>
      <c r="BK51" s="210"/>
    </row>
    <row r="52" spans="1:63" s="211" customFormat="1" ht="15" customHeight="1" x14ac:dyDescent="0.25">
      <c r="B52" s="248"/>
      <c r="AI52" s="247"/>
      <c r="BJ52" s="247"/>
      <c r="BK52" s="210"/>
    </row>
    <row r="53" spans="1:63" s="211" customFormat="1" ht="15" customHeight="1" x14ac:dyDescent="0.25">
      <c r="B53" s="248"/>
      <c r="AI53" s="247"/>
      <c r="BJ53" s="247"/>
      <c r="BK53" s="210"/>
    </row>
    <row r="54" spans="1:63" s="211" customFormat="1" ht="15" customHeight="1" x14ac:dyDescent="0.25">
      <c r="B54" s="248"/>
      <c r="AI54" s="247"/>
      <c r="BJ54" s="247"/>
      <c r="BK54" s="210"/>
    </row>
    <row r="55" spans="1:63" s="211" customFormat="1" ht="15" customHeight="1" x14ac:dyDescent="0.25">
      <c r="B55" s="248"/>
      <c r="AI55" s="247"/>
      <c r="BJ55" s="247"/>
      <c r="BK55" s="210"/>
    </row>
    <row r="56" spans="1:63" ht="15" customHeight="1" x14ac:dyDescent="0.25">
      <c r="B56" s="20"/>
      <c r="AI56" s="22"/>
      <c r="BJ56" s="22"/>
      <c r="BK56" s="16"/>
    </row>
    <row r="57" spans="1:63" ht="15" customHeight="1" x14ac:dyDescent="0.25">
      <c r="B57" s="20"/>
      <c r="AI57" s="22"/>
      <c r="BJ57" s="22"/>
      <c r="BK57" s="16"/>
    </row>
    <row r="58" spans="1:63" ht="15" customHeight="1" x14ac:dyDescent="0.25">
      <c r="B58" s="20"/>
      <c r="AI58" s="22"/>
      <c r="BJ58" s="22"/>
      <c r="BK58" s="16"/>
    </row>
    <row r="59" spans="1:63" ht="15" customHeight="1" x14ac:dyDescent="0.25">
      <c r="B59" s="20"/>
      <c r="AI59" s="22"/>
      <c r="BJ59" s="22"/>
      <c r="BK59" s="16"/>
    </row>
    <row r="60" spans="1:63" ht="15" customHeight="1" x14ac:dyDescent="0.25">
      <c r="B60" s="20"/>
      <c r="AI60" s="22"/>
      <c r="BJ60" s="22"/>
      <c r="BK60" s="16"/>
    </row>
    <row r="61" spans="1:63" ht="15" customHeight="1" x14ac:dyDescent="0.25">
      <c r="B61" s="20"/>
      <c r="AI61" s="22"/>
      <c r="BJ61" s="22"/>
      <c r="BK61" s="16"/>
    </row>
    <row r="62" spans="1:63" ht="15" customHeight="1" x14ac:dyDescent="0.25">
      <c r="B62" s="20"/>
      <c r="AI62" s="22"/>
      <c r="BJ62" s="22"/>
      <c r="BK62" s="16"/>
    </row>
    <row r="63" spans="1:63" ht="15" customHeight="1" x14ac:dyDescent="0.25">
      <c r="A63" s="14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23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3"/>
      <c r="BK63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テンプレート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1" customFormat="1" ht="15" customHeight="1" x14ac:dyDescent="0.25"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AP3302</vt:lpstr>
      <vt:lpstr>処理フロー</vt:lpstr>
      <vt:lpstr>テンプレート</vt:lpstr>
      <vt:lpstr>'AP3302'!Print_Area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2024-12-11T02:30:09Z</dcterms:modified>
  <cp:category/>
  <cp:contentStatus/>
</cp:coreProperties>
</file>