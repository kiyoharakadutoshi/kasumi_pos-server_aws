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A4AC5359-21B3-495C-AE39-37121E571F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2" sheetId="8" r:id="rId4"/>
    <sheet name="処理フロー" sheetId="9" r:id="rId5"/>
    <sheet name="テンプレート" sheetId="7" r:id="rId6"/>
  </sheets>
  <definedNames>
    <definedName name="_xlnm.Print_Area" localSheetId="3">'AP4002'!$A$1:$BK$84</definedName>
    <definedName name="_xlnm.Print_Area" localSheetId="5">テンプレート!$A$1:$BK$54</definedName>
    <definedName name="_xlnm.Print_Area" localSheetId="4">処理フロー!$A$1:$BK$116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H2" i="3"/>
  <c r="AY2" i="3"/>
  <c r="AY2" i="10"/>
  <c r="BC2" i="8"/>
  <c r="AP2" i="9"/>
  <c r="BH2" i="9"/>
  <c r="AT2" i="7"/>
  <c r="BC2" i="3"/>
  <c r="BC2" i="10"/>
  <c r="BH2" i="8"/>
  <c r="AY2" i="7"/>
</calcChain>
</file>

<file path=xl/sharedStrings.xml><?xml version="1.0" encoding="utf-8"?>
<sst xmlns="http://schemas.openxmlformats.org/spreadsheetml/2006/main" count="213" uniqueCount="119">
  <si>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</si>
  <si>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</si>
  <si>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</si>
  <si>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</si>
  <si>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</si>
  <si>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</si>
  <si>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</si>
  <si>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</si>
  <si>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</si>
  <si>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</si>
  <si>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</si>
  <si>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</si>
  <si>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</si>
  <si>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</si>
  <si>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</si>
  <si>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</si>
  <si>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</si>
  <si>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</si>
  <si>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</si>
  <si>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</si>
  <si>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</si>
  <si>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</si>
  <si>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</si>
  <si>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</si>
  <si>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</si>
  <si>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</si>
  <si>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</si>
  <si>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</si>
  <si>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</si>
  <si>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</si>
  <si>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</si>
  <si>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</si>
  <si>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</si>
  <si>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</si>
  <si>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</si>
  <si>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</si>
  <si>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</si>
  <si>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</si>
  <si>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</si>
  <si>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</si>
  <si>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</si>
  <si>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</si>
  <si>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employee_master.store_code</t>
    </r>
  </si>
  <si>
    <r>
      <rPr>
        <sz val="11"/>
        <color rgb="FF000000"/>
        <rFont val="Meiryo UI"/>
        <family val="2"/>
      </rPr>
      <t>employee_master.code</t>
    </r>
  </si>
  <si>
    <r>
      <rPr>
        <sz val="11"/>
        <color rgb="FF000000"/>
        <rFont val="Meiryo UI"/>
        <family val="2"/>
      </rPr>
      <t>employee_master.name</t>
    </r>
  </si>
  <si>
    <r>
      <rPr>
        <sz val="11"/>
        <color rgb="FF000000"/>
        <rFont val="Meiryo UI"/>
        <family val="2"/>
      </rPr>
      <t>employee_master.description</t>
    </r>
  </si>
  <si>
    <r>
      <rPr>
        <sz val="11"/>
        <color rgb="FF000000"/>
        <rFont val="Meiryo UI"/>
        <family val="2"/>
      </rPr>
      <t>店舗で働く従業員情報を新規作成または編集する。</t>
    </r>
  </si>
  <si>
    <r>
      <rPr>
        <sz val="11"/>
        <color rgb="FF000000"/>
        <rFont val="Meiryo UI"/>
        <family val="2"/>
      </rPr>
      <t>employee_master.record_id</t>
    </r>
  </si>
  <si>
    <r>
      <rPr>
        <sz val="11"/>
        <color rgb="FF000000"/>
        <rFont val="Meiryo UI"/>
        <family val="2"/>
      </rPr>
      <t>AP4002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</si>
  <si>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</si>
  <si>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</si>
  <si>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employee_masters</t>
    </r>
  </si>
  <si>
    <t>]</t>
  </si>
  <si>
    <t xml:space="preserve">    {</t>
  </si>
  <si>
    <t xml:space="preserve">    }   </t>
  </si>
  <si>
    <r>
      <rPr>
        <sz val="11"/>
        <color rgb="FF000000"/>
        <rFont val="Meiryo UI"/>
        <family val="2"/>
      </rPr>
      <t>"employee_masters": [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</si>
  <si>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</si>
  <si>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</si>
  <si>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operation_typeのバリデーションチェックを追加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</si>
  <si>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</si>
  <si>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</si>
  <si>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</si>
  <si>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</si>
  <si>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</si>
  <si>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</si>
  <si>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</si>
  <si>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</si>
  <si>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</si>
  <si>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</si>
  <si>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</si>
  <si>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</si>
  <si>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</si>
  <si>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</si>
  <si>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</si>
  <si>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</si>
  <si>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AP4002</t>
  </si>
  <si>
    <t>URLを変更し、従業員コードを7桁にする。</t>
  </si>
  <si>
    <t>従業員名の新規作成・更新時に「,」のバリデーションチェックを削除する。</t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</si>
  <si>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</si>
  <si>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</si>
  <si>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</si>
  <si>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</si>
  <si>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</si>
  <si>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api/v1/employees/maintenance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</si>
  <si>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</si>
  <si>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</si>
  <si>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</si>
  <si>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</si>
  <si>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</si>
  <si>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</si>
  <si>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</si>
  <si>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</si>
  <si>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</si>
  <si>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</si>
  <si>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従業員データリスト</t>
  </si>
  <si>
    <r>
      <rPr>
        <sz val="11"/>
        <color rgb="FF000000"/>
        <rFont val="Meiryo UI"/>
        <family val="2"/>
      </rPr>
      <t xml:space="preserve">    record_id</t>
    </r>
  </si>
  <si>
    <r>
      <rPr>
        <sz val="11"/>
        <color rgb="FF000000"/>
        <rFont val="Meiryo UI"/>
        <family val="2"/>
      </rPr>
      <t>・従業員を新規作成する場合、record_idをnullとして渡す。
・従業員を編集する場合、該当するrecord_idを渡す。</t>
    </r>
  </si>
  <si>
    <r>
      <rPr>
        <sz val="11"/>
        <color rgb="FF000000"/>
        <rFont val="Meiryo UI"/>
        <family val="2"/>
      </rPr>
      <t xml:space="preserve">    selected_store</t>
    </r>
  </si>
  <si>
    <t>・メッセージ = MSG_VAL_001で入力必須のバリデーションチェック。その中 ：{0}が店舗である。</t>
  </si>
  <si>
    <r>
      <rPr>
        <sz val="11"/>
        <color rgb="FF000000"/>
        <rFont val="Meiryo UI"/>
        <family val="2"/>
      </rPr>
      <t xml:space="preserve">    employee_code</t>
    </r>
  </si>
  <si>
    <r>
      <rPr>
        <sz val="11"/>
        <color rgb="FF000000"/>
        <rFont val="Meiryo UI"/>
        <family val="2"/>
      </rPr>
      <t xml:space="preserve">    employee_name</t>
    </r>
  </si>
  <si>
    <r>
      <rPr>
        <sz val="11"/>
        <color rgb="FF000000"/>
        <rFont val="Meiryo UI"/>
        <family val="2"/>
      </rPr>
      <t xml:space="preserve">    description</t>
    </r>
  </si>
  <si>
    <r>
      <rPr>
        <sz val="11"/>
        <color rgb="FF000000"/>
        <rFont val="Meiryo UI"/>
        <family val="2"/>
      </rPr>
      <t xml:space="preserve">    operation_type</t>
    </r>
  </si>
  <si>
    <t>※サンプル</t>
  </si>
  <si>
    <r>
      <rPr>
        <sz val="11"/>
        <color rgb="FF000000"/>
        <rFont val="Meiryo UI"/>
        <family val="2"/>
      </rPr>
      <t xml:space="preserve">        "record_id": null,</t>
    </r>
  </si>
  <si>
    <r>
      <rPr>
        <sz val="11"/>
        <color rgb="FF000000"/>
        <rFont val="Meiryo UI"/>
        <family val="2"/>
      </rPr>
      <t xml:space="preserve">        "selected_store": "09176",</t>
    </r>
  </si>
  <si>
    <r>
      <rPr>
        <sz val="11"/>
        <color rgb="FF000000"/>
        <rFont val="Meiryo UI"/>
        <family val="2"/>
      </rPr>
      <t xml:space="preserve">        "employee_code": "002743",</t>
    </r>
  </si>
  <si>
    <r>
      <rPr>
        <sz val="11"/>
        <color rgb="FF000000"/>
        <rFont val="Meiryo UI"/>
        <family val="2"/>
      </rPr>
      <t xml:space="preserve">        "employee_name": "Luvina",</t>
    </r>
  </si>
  <si>
    <r>
      <rPr>
        <sz val="11"/>
        <color rgb="FF000000"/>
        <rFont val="Meiryo UI"/>
        <family val="2"/>
      </rPr>
      <t xml:space="preserve">        "description": "Test",</t>
    </r>
  </si>
  <si>
    <r>
      <rPr>
        <sz val="11"/>
        <color rgb="FF000000"/>
        <rFont val="Meiryo UI"/>
        <family val="2"/>
      </rPr>
      <t xml:space="preserve">        "operation_type": 1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</si>
  <si>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</si>
  <si>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</si>
  <si>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</si>
  <si>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</si>
  <si>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</si>
  <si>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 xml:space="preserve">・メッセージ = MSG_VAL_001で入力必須のバリデーションチェック。その中 ：{0}が「従業員コード」である。
・メッセージ = MSG_VAL_006でバリデーションチェック：数字。その中： {0} が「従業員コード」である。
</t>
    </r>
    <r>
      <rPr>
        <sz val="11"/>
        <color rgb="FF0000FF"/>
        <rFont val="Meiryo UI"/>
        <family val="2"/>
      </rPr>
      <t>・メッセージ=MSG_VAL_004でバリデーションチェック：最大7桁。その中：{0}が従業員コードであり、{1}が{7}である。</t>
    </r>
  </si>
  <si>
    <r>
      <rPr>
        <sz val="11"/>
        <color rgb="FF000000"/>
        <rFont val="Meiryo UI"/>
        <family val="2"/>
      </rPr>
      <t>・メッセージ = MSG_VAL_001で入力必須のバリデーションチェック。その中 ：{0}が「従業員名」である。
・メッセージ=MSG_VAL_004でバリデーションチェック：最大50桁。その中：{0}が従業員名であり、{1}が{50}である。</t>
    </r>
  </si>
  <si>
    <r>
      <rPr>
        <sz val="11"/>
        <color rgb="FF000000"/>
        <rFont val="Meiryo UI"/>
        <family val="2"/>
      </rPr>
      <t>・メッセージ=MSG_VAL_004でバリデーションチェック：最大50桁。その中：{0}が従業区分員説明であり、{1}が{50}である。</t>
    </r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</si>
  <si>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 値が上記の3つの値以外の場合、メッセージ= MSG_VAL_019を返す。
* 備考：
・レコードを新規作成する=&gt;作成されたレコードの削除：[employee_masters]従業員データリストからそのレコードを削除する。
レコードを更新する=&gt; 編集されたレコードを削除する。operation_type = 3で渡す。
・レコードを更新する =&gt; 編集されたレコードを削除する。 =&gt; レコードの削除をキャンセルする：operation_type = 2で渡し、編集内容を更新する。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</si>
</sst>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0" borderId="26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top" wrapText="1"/>
    </xf>
    <xf numFmtId="0" fontId="20" fillId="0" borderId="1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left" vertical="top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15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718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画面から渡された従業員情報データ配列の各レコードをループする。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6722</xdr:colOff>
      <xdr:row>6</xdr:row>
      <xdr:rowOff>0</xdr:rowOff>
    </xdr:from>
    <xdr:to>
      <xdr:col>13</xdr:col>
      <xdr:colOff>6722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4098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0</xdr:colOff>
      <xdr:row>107</xdr:row>
      <xdr:rowOff>22412</xdr:rowOff>
    </xdr:from>
    <xdr:to>
      <xdr:col>13</xdr:col>
      <xdr:colOff>0</xdr:colOff>
      <xdr:row>109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400300" y="20516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11</xdr:col>
      <xdr:colOff>6722</xdr:colOff>
      <xdr:row>7</xdr:row>
      <xdr:rowOff>179293</xdr:rowOff>
    </xdr:from>
    <xdr:to>
      <xdr:col>11</xdr:col>
      <xdr:colOff>6722</xdr:colOff>
      <xdr:row>10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2943225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0</xdr:rowOff>
    </xdr:from>
    <xdr:to>
      <xdr:col>13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11</xdr:col>
      <xdr:colOff>0</xdr:colOff>
      <xdr:row>99</xdr:row>
      <xdr:rowOff>168088</xdr:rowOff>
    </xdr:from>
    <xdr:to>
      <xdr:col>11</xdr:col>
      <xdr:colOff>0</xdr:colOff>
      <xdr:row>103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>
          <a:off x="2933700" y="19145250"/>
          <a:ext cx="0" cy="590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103</xdr:row>
      <xdr:rowOff>0</xdr:rowOff>
    </xdr:from>
    <xdr:to>
      <xdr:col>13</xdr:col>
      <xdr:colOff>0</xdr:colOff>
      <xdr:row>104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400300" y="19735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0</xdr:colOff>
      <xdr:row>107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2933700" y="19926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112059</xdr:colOff>
      <xdr:row>20</xdr:row>
      <xdr:rowOff>0</xdr:rowOff>
    </xdr:from>
    <xdr:to>
      <xdr:col>15</xdr:col>
      <xdr:colOff>112059</xdr:colOff>
      <xdr:row>27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714500" y="3924300"/>
          <a:ext cx="24003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2.operation_type=1</a:t>
          </a:r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13</xdr:col>
      <xdr:colOff>0</xdr:colOff>
      <xdr:row>28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400300" y="5257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10</xdr:row>
      <xdr:rowOff>179293</xdr:rowOff>
    </xdr:from>
    <xdr:to>
      <xdr:col>11</xdr:col>
      <xdr:colOff>1</xdr:colOff>
      <xdr:row>14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85" idx="0"/>
        </xdr:cNvCxnSpPr>
      </xdr:nvCxnSpPr>
      <xdr:spPr>
        <a:xfrm>
          <a:off x="2933700" y="2200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123264</xdr:colOff>
      <xdr:row>23</xdr:row>
      <xdr:rowOff>95250</xdr:rowOff>
    </xdr:from>
    <xdr:to>
      <xdr:col>21</xdr:col>
      <xdr:colOff>117663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96" idx="3"/>
          <a:endCxn id="97" idx="0"/>
        </xdr:cNvCxnSpPr>
      </xdr:nvCxnSpPr>
      <xdr:spPr>
        <a:xfrm>
          <a:off x="5191125" y="4591050"/>
          <a:ext cx="523875" cy="104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13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102</xdr:row>
      <xdr:rowOff>0</xdr:rowOff>
    </xdr:from>
    <xdr:to>
      <xdr:col>62</xdr:col>
      <xdr:colOff>0</xdr:colOff>
      <xdr:row>104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19545300"/>
          <a:ext cx="7200900" cy="381000"/>
        </a:xfrm>
        <a:prstGeom prst="borderCallout1">
          <a:avLst>
            <a:gd name="adj1" fmla="val 46004"/>
            <a:gd name="adj2" fmla="val 117"/>
            <a:gd name="adj3" fmla="val 71686"/>
            <a:gd name="adj4" fmla="val -818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1 (レコード新規作成)の場合：以下のステップを実行する。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[6.従業員情報重複確認]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operation_typeが「1」の場合: 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[3.対象レコードが編集又は削除されているかを確認する。]</a:t>
          </a:r>
        </a:p>
      </xdr:txBody>
    </xdr:sp>
    <xdr:clientData/>
  </xdr:twoCellAnchor>
  <xdr:twoCellAnchor>
    <xdr:from>
      <xdr:col>8</xdr:col>
      <xdr:colOff>0</xdr:colOff>
      <xdr:row>74</xdr:row>
      <xdr:rowOff>0</xdr:rowOff>
    </xdr:from>
    <xdr:to>
      <xdr:col>14</xdr:col>
      <xdr:colOff>0</xdr:colOff>
      <xdr:row>78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133600" y="1421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店舗従業員情報作成・編集・削除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123264</xdr:colOff>
      <xdr:row>40</xdr:row>
      <xdr:rowOff>0</xdr:rowOff>
    </xdr:from>
    <xdr:to>
      <xdr:col>24</xdr:col>
      <xdr:colOff>123264</xdr:colOff>
      <xdr:row>44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4924425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対象従業員レコード取得</a:t>
          </a:r>
        </a:p>
      </xdr:txBody>
    </xdr:sp>
    <xdr:clientData/>
  </xdr:twoCellAnchor>
  <xdr:twoCellAnchor>
    <xdr:from>
      <xdr:col>19</xdr:col>
      <xdr:colOff>134470</xdr:colOff>
      <xdr:row>52</xdr:row>
      <xdr:rowOff>0</xdr:rowOff>
    </xdr:from>
    <xdr:to>
      <xdr:col>23</xdr:col>
      <xdr:colOff>134469</xdr:colOff>
      <xdr:row>53</xdr:row>
      <xdr:rowOff>0</xdr:rowOff>
    </xdr:to>
    <xdr:sp macro="" textlink="" fLocksText="0">
      <xdr:nvSpPr>
        <xdr:cNvPr id="57" name="Flowchart: Process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200650" y="10020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26</xdr:col>
      <xdr:colOff>0</xdr:colOff>
      <xdr:row>49</xdr:row>
      <xdr:rowOff>0</xdr:rowOff>
    </xdr:from>
    <xdr:to>
      <xdr:col>30</xdr:col>
      <xdr:colOff>0</xdr:colOff>
      <xdr:row>50</xdr:row>
      <xdr:rowOff>0</xdr:rowOff>
    </xdr:to>
    <xdr:sp macro="" textlink="" fLocksText="0">
      <xdr:nvSpPr>
        <xdr:cNvPr id="58" name="Flowchart: Process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6934200" y="9448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6723</xdr:colOff>
      <xdr:row>28</xdr:row>
      <xdr:rowOff>0</xdr:rowOff>
    </xdr:from>
    <xdr:to>
      <xdr:col>11</xdr:col>
      <xdr:colOff>6723</xdr:colOff>
      <xdr:row>56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8" idx="2"/>
          <a:endCxn id="146" idx="0"/>
        </xdr:cNvCxnSpPr>
      </xdr:nvCxnSpPr>
      <xdr:spPr>
        <a:xfrm flipH="1">
          <a:off x="2943225" y="5448300"/>
          <a:ext cx="0" cy="533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123265</xdr:colOff>
      <xdr:row>37</xdr:row>
      <xdr:rowOff>0</xdr:rowOff>
    </xdr:from>
    <xdr:to>
      <xdr:col>21</xdr:col>
      <xdr:colOff>123266</xdr:colOff>
      <xdr:row>40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100" idx="2"/>
          <a:endCxn id="55" idx="0"/>
        </xdr:cNvCxnSpPr>
      </xdr:nvCxnSpPr>
      <xdr:spPr>
        <a:xfrm flipH="1">
          <a:off x="5724525" y="716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123265</xdr:colOff>
      <xdr:row>44</xdr:row>
      <xdr:rowOff>0</xdr:rowOff>
    </xdr:from>
    <xdr:to>
      <xdr:col>21</xdr:col>
      <xdr:colOff>123265</xdr:colOff>
      <xdr:row>47</xdr:row>
      <xdr:rowOff>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55" idx="2"/>
          <a:endCxn id="71" idx="0"/>
        </xdr:cNvCxnSpPr>
      </xdr:nvCxnSpPr>
      <xdr:spPr>
        <a:xfrm>
          <a:off x="5724525" y="8496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47</xdr:row>
      <xdr:rowOff>0</xdr:rowOff>
    </xdr:from>
    <xdr:to>
      <xdr:col>26</xdr:col>
      <xdr:colOff>11206</xdr:colOff>
      <xdr:row>52</xdr:row>
      <xdr:rowOff>0</xdr:rowOff>
    </xdr:to>
    <xdr:sp macro="" textlink="" fLocksText="0">
      <xdr:nvSpPr>
        <xdr:cNvPr id="71" name="Flowchart: Decision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4533900" y="9067800"/>
          <a:ext cx="24098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53</xdr:row>
      <xdr:rowOff>1</xdr:rowOff>
    </xdr:from>
    <xdr:to>
      <xdr:col>21</xdr:col>
      <xdr:colOff>134470</xdr:colOff>
      <xdr:row>76</xdr:row>
      <xdr:rowOff>1</xdr:rowOff>
    </xdr:to>
    <xdr:cxnSp macro="">
      <xdr:nvCxnSpPr>
        <xdr:cNvPr id="73" name="Connector: Elbow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57" idx="2"/>
          <a:endCxn id="43" idx="3"/>
        </xdr:cNvCxnSpPr>
      </xdr:nvCxnSpPr>
      <xdr:spPr>
        <a:xfrm rot="5400000">
          <a:off x="3733800" y="10210800"/>
          <a:ext cx="2000250" cy="4381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50</xdr:row>
      <xdr:rowOff>0</xdr:rowOff>
    </xdr:from>
    <xdr:to>
      <xdr:col>28</xdr:col>
      <xdr:colOff>0</xdr:colOff>
      <xdr:row>58</xdr:row>
      <xdr:rowOff>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58" idx="2"/>
          <a:endCxn id="146" idx="3"/>
        </xdr:cNvCxnSpPr>
      </xdr:nvCxnSpPr>
      <xdr:spPr>
        <a:xfrm rot="5400000">
          <a:off x="3733800" y="9639300"/>
          <a:ext cx="3733800" cy="1524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0</xdr:colOff>
      <xdr:row>74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132" idx="2"/>
          <a:endCxn id="43" idx="0"/>
        </xdr:cNvCxnSpPr>
      </xdr:nvCxnSpPr>
      <xdr:spPr>
        <a:xfrm>
          <a:off x="2933700" y="13639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32</xdr:row>
      <xdr:rowOff>95250</xdr:rowOff>
    </xdr:from>
    <xdr:to>
      <xdr:col>30</xdr:col>
      <xdr:colOff>0</xdr:colOff>
      <xdr:row>76</xdr:row>
      <xdr:rowOff>0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43" idx="3"/>
        </xdr:cNvCxnSpPr>
      </xdr:nvCxnSpPr>
      <xdr:spPr>
        <a:xfrm flipH="1">
          <a:off x="3733800" y="6305550"/>
          <a:ext cx="4267200" cy="8286750"/>
        </a:xfrm>
        <a:prstGeom prst="bentConnector3">
          <a:avLst>
            <a:gd name="adj1" fmla="val -60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18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1336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従業員データ配列ループ </a:t>
          </a:r>
        </a:p>
      </xdr:txBody>
    </xdr:sp>
    <xdr:clientData/>
  </xdr:twoCellAnchor>
  <xdr:twoCellAnchor>
    <xdr:from>
      <xdr:col>15</xdr:col>
      <xdr:colOff>123264</xdr:colOff>
      <xdr:row>23</xdr:row>
      <xdr:rowOff>0</xdr:rowOff>
    </xdr:from>
    <xdr:to>
      <xdr:col>19</xdr:col>
      <xdr:colOff>123264</xdr:colOff>
      <xdr:row>24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124325" y="4495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17</xdr:col>
      <xdr:colOff>1</xdr:colOff>
      <xdr:row>29</xdr:row>
      <xdr:rowOff>0</xdr:rowOff>
    </xdr:from>
    <xdr:to>
      <xdr:col>26</xdr:col>
      <xdr:colOff>0</xdr:colOff>
      <xdr:row>36</xdr:row>
      <xdr:rowOff>0</xdr:rowOff>
    </xdr:to>
    <xdr:sp macro="" textlink="" fLocksText="0">
      <xdr:nvSpPr>
        <xdr:cNvPr id="97" name="Flowchart: Decision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4533900" y="5638800"/>
          <a:ext cx="24003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operation_type=2</a:t>
          </a:r>
        </a:p>
      </xdr:txBody>
    </xdr:sp>
    <xdr:clientData/>
  </xdr:twoCellAnchor>
  <xdr:twoCellAnchor>
    <xdr:from>
      <xdr:col>19</xdr:col>
      <xdr:colOff>123266</xdr:colOff>
      <xdr:row>36</xdr:row>
      <xdr:rowOff>0</xdr:rowOff>
    </xdr:from>
    <xdr:to>
      <xdr:col>23</xdr:col>
      <xdr:colOff>123265</xdr:colOff>
      <xdr:row>37</xdr:row>
      <xdr:rowOff>0</xdr:rowOff>
    </xdr:to>
    <xdr:sp macro="" textlink="" fLocksText="0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5191125" y="6972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26</xdr:col>
      <xdr:colOff>0</xdr:colOff>
      <xdr:row>32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6934200" y="6210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1121</xdr:colOff>
      <xdr:row>18</xdr:row>
      <xdr:rowOff>0</xdr:rowOff>
    </xdr:from>
    <xdr:to>
      <xdr:col>11</xdr:col>
      <xdr:colOff>1121</xdr:colOff>
      <xdr:row>20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17" idx="0"/>
        </xdr:cNvCxnSpPr>
      </xdr:nvCxnSpPr>
      <xdr:spPr>
        <a:xfrm flipH="1">
          <a:off x="2933700" y="3543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113659</xdr:colOff>
      <xdr:row>92</xdr:row>
      <xdr:rowOff>0</xdr:rowOff>
    </xdr:from>
    <xdr:to>
      <xdr:col>14</xdr:col>
      <xdr:colOff>113659</xdr:colOff>
      <xdr:row>99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981200" y="17640300"/>
          <a:ext cx="18669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[配列の最後の要素であるかを確認する]</a:t>
          </a:r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13</xdr:col>
      <xdr:colOff>6802</xdr:colOff>
      <xdr:row>100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2400300" y="18973800"/>
          <a:ext cx="10763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108856</xdr:colOff>
      <xdr:row>95</xdr:row>
      <xdr:rowOff>0</xdr:rowOff>
    </xdr:from>
    <xdr:to>
      <xdr:col>7</xdr:col>
      <xdr:colOff>108856</xdr:colOff>
      <xdr:row>96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904875" y="18211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</xdr:col>
      <xdr:colOff>108856</xdr:colOff>
      <xdr:row>16</xdr:row>
      <xdr:rowOff>0</xdr:rowOff>
    </xdr:from>
    <xdr:to>
      <xdr:col>8</xdr:col>
      <xdr:colOff>0</xdr:colOff>
      <xdr:row>95</xdr:row>
      <xdr:rowOff>95250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11" idx="1"/>
          <a:endCxn id="85" idx="1"/>
        </xdr:cNvCxnSpPr>
      </xdr:nvCxnSpPr>
      <xdr:spPr>
        <a:xfrm rot="10800000" flipH="1">
          <a:off x="904875" y="3162300"/>
          <a:ext cx="1228725" cy="15144750"/>
        </a:xfrm>
        <a:prstGeom prst="bentConnector3">
          <a:avLst>
            <a:gd name="adj1" fmla="val -2048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5603</xdr:colOff>
      <xdr:row>81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2933700" y="14973300"/>
          <a:ext cx="952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112060</xdr:colOff>
      <xdr:row>63</xdr:row>
      <xdr:rowOff>0</xdr:rowOff>
    </xdr:from>
    <xdr:to>
      <xdr:col>14</xdr:col>
      <xdr:colOff>112060</xdr:colOff>
      <xdr:row>70</xdr:row>
      <xdr:rowOff>0</xdr:rowOff>
    </xdr:to>
    <xdr:sp macro="" textlink="" fLocksText="0">
      <xdr:nvSpPr>
        <xdr:cNvPr id="128" name="Flowchart: Decision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1981200" y="12115800"/>
          <a:ext cx="18669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レコードが存在していない。</a:t>
          </a:r>
        </a:p>
      </xdr:txBody>
    </xdr:sp>
    <xdr:clientData/>
  </xdr:twoCellAnchor>
  <xdr:twoCellAnchor>
    <xdr:from>
      <xdr:col>9</xdr:col>
      <xdr:colOff>0</xdr:colOff>
      <xdr:row>70</xdr:row>
      <xdr:rowOff>0</xdr:rowOff>
    </xdr:from>
    <xdr:to>
      <xdr:col>13</xdr:col>
      <xdr:colOff>6723</xdr:colOff>
      <xdr:row>71</xdr:row>
      <xdr:rowOff>0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2400300" y="13449300"/>
          <a:ext cx="10763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6722</xdr:colOff>
      <xdr:row>56</xdr:row>
      <xdr:rowOff>0</xdr:rowOff>
    </xdr:from>
    <xdr:to>
      <xdr:col>14</xdr:col>
      <xdr:colOff>0</xdr:colOff>
      <xdr:row>60</xdr:row>
      <xdr:rowOff>0</xdr:rowOff>
    </xdr:to>
    <xdr:sp macro="" textlink="" fLocksText="0">
      <xdr:nvSpPr>
        <xdr:cNvPr id="146" name="Rectangle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2143125" y="10782300"/>
          <a:ext cx="15906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従業員情報重複確認</a:t>
          </a: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0</xdr:colOff>
      <xdr:row>63</xdr:row>
      <xdr:rowOff>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/>
      </xdr:nvCxnSpPr>
      <xdr:spPr>
        <a:xfrm>
          <a:off x="2933700" y="11544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123265</xdr:colOff>
      <xdr:row>81</xdr:row>
      <xdr:rowOff>0</xdr:rowOff>
    </xdr:from>
    <xdr:to>
      <xdr:col>14</xdr:col>
      <xdr:colOff>123265</xdr:colOff>
      <xdr:row>88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1990725" y="15544800"/>
          <a:ext cx="18669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成功</a:t>
          </a: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13</xdr:col>
      <xdr:colOff>6723</xdr:colOff>
      <xdr:row>89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2400300" y="16878300"/>
          <a:ext cx="10763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134469</xdr:colOff>
      <xdr:row>84</xdr:row>
      <xdr:rowOff>0</xdr:rowOff>
    </xdr:from>
    <xdr:to>
      <xdr:col>18</xdr:col>
      <xdr:colOff>0</xdr:colOff>
      <xdr:row>85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3867150" y="16116300"/>
          <a:ext cx="93345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84</xdr:row>
      <xdr:rowOff>95250</xdr:rowOff>
    </xdr:from>
    <xdr:to>
      <xdr:col>18</xdr:col>
      <xdr:colOff>0</xdr:colOff>
      <xdr:row>103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5" idx="0"/>
        </xdr:cNvCxnSpPr>
      </xdr:nvCxnSpPr>
      <xdr:spPr>
        <a:xfrm flipH="1">
          <a:off x="2933700" y="16211550"/>
          <a:ext cx="1866900" cy="3524250"/>
        </a:xfrm>
        <a:prstGeom prst="bentConnector4">
          <a:avLst>
            <a:gd name="adj1" fmla="val -13878"/>
            <a:gd name="adj2" fmla="val 949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231321</xdr:colOff>
      <xdr:row>89</xdr:row>
      <xdr:rowOff>0</xdr:rowOff>
    </xdr:from>
    <xdr:to>
      <xdr:col>11</xdr:col>
      <xdr:colOff>3362</xdr:colOff>
      <xdr:row>92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 flipH="1">
          <a:off x="2895600" y="17068800"/>
          <a:ext cx="3810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184" name="吹き出し: 線 2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9334500" y="5257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4486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[4.対象従業員レコード取得]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3 (レコード削除)の場合: 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{8.店舗従業員情報削除]</a:t>
          </a:r>
        </a:p>
      </xdr:txBody>
    </xdr:sp>
    <xdr:clientData/>
  </xdr:twoCellAnchor>
  <xdr:twoCellAnchor>
    <xdr:from>
      <xdr:col>35</xdr:col>
      <xdr:colOff>0</xdr:colOff>
      <xdr:row>39</xdr:row>
      <xdr:rowOff>0</xdr:rowOff>
    </xdr:from>
    <xdr:to>
      <xdr:col>62</xdr:col>
      <xdr:colOff>0</xdr:colOff>
      <xdr:row>45</xdr:row>
      <xdr:rowOff>0</xdr:rowOff>
    </xdr:to>
    <xdr:sp macro="" textlink="" fLocksText="0">
      <xdr:nvSpPr>
        <xdr:cNvPr id="185" name="吹き出し: 線 2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9334500" y="7543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386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以下の条件を満たすemployee_master テーブルの編集対象従業員レコードを取得する。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company_code = users.company_code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record_id = param {record_id}</a:t>
          </a:r>
        </a:p>
      </xdr:txBody>
    </xdr:sp>
    <xdr:clientData/>
  </xdr:twoCellAnchor>
  <xdr:twoCellAnchor>
    <xdr:from>
      <xdr:col>35</xdr:col>
      <xdr:colOff>0</xdr:colOff>
      <xdr:row>47</xdr:row>
      <xdr:rowOff>0</xdr:rowOff>
    </xdr:from>
    <xdr:to>
      <xdr:col>62</xdr:col>
      <xdr:colOff>0</xdr:colOff>
      <xdr:row>53</xdr:row>
      <xdr:rowOff>0</xdr:rowOff>
    </xdr:to>
    <xdr:sp macro="" textlink="" fLocksText="0">
      <xdr:nvSpPr>
        <xdr:cNvPr id="186" name="吹き出し: 線 2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9334500" y="9067800"/>
          <a:ext cx="7200900" cy="1143000"/>
        </a:xfrm>
        <a:prstGeom prst="borderCallout1">
          <a:avLst>
            <a:gd name="adj1" fmla="val 16593"/>
            <a:gd name="adj2" fmla="val 294"/>
            <a:gd name="adj3" fmla="val 16948"/>
            <a:gd name="adj4" fmla="val -425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ステップ4から返された編集対象データを確認する。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更新対象レコードが存在している場合、以下のステップを実行する。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[8.店舗従業員情報編集]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更新対象レコードが存在していない場合、従業員新規作成を実行し、以下のステップを実行する。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[6.従業員情報重複確認]</a:t>
          </a:r>
        </a:p>
      </xdr:txBody>
    </xdr:sp>
    <xdr:clientData/>
  </xdr:twoCellAnchor>
  <xdr:twoCellAnchor>
    <xdr:from>
      <xdr:col>35</xdr:col>
      <xdr:colOff>0</xdr:colOff>
      <xdr:row>56</xdr:row>
      <xdr:rowOff>11206</xdr:rowOff>
    </xdr:from>
    <xdr:to>
      <xdr:col>62</xdr:col>
      <xdr:colOff>0</xdr:colOff>
      <xdr:row>62</xdr:row>
      <xdr:rowOff>0</xdr:rowOff>
    </xdr:to>
    <xdr:sp macro="" textlink="" fLocksText="0">
      <xdr:nvSpPr>
        <xdr:cNvPr id="187" name="吹き出し: 線 2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/>
      </xdr:nvSpPr>
      <xdr:spPr>
        <a:xfrm>
          <a:off x="9334500" y="10791825"/>
          <a:ext cx="7200900" cy="1133475"/>
        </a:xfrm>
        <a:prstGeom prst="borderCallout1">
          <a:avLst>
            <a:gd name="adj1" fmla="val 21857"/>
            <a:gd name="adj2" fmla="val 294"/>
            <a:gd name="adj3" fmla="val 21553"/>
            <a:gd name="adj4" fmla="val -780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以下の条件を満たすemployee_master テーブルの重複確認対象従業員レコードを取得する。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company_code = users.company_code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employee_code = param {employee_code}</a:t>
          </a:r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62</xdr:col>
      <xdr:colOff>0</xdr:colOff>
      <xdr:row>71</xdr:row>
      <xdr:rowOff>168088</xdr:rowOff>
    </xdr:to>
    <xdr:sp macro="" textlink="" fLocksText="0">
      <xdr:nvSpPr>
        <xdr:cNvPr id="188" name="吹き出し: 線 2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/>
      </xdr:nvSpPr>
      <xdr:spPr>
        <a:xfrm>
          <a:off x="8236324" y="12685059"/>
          <a:ext cx="6353735" cy="1120588"/>
        </a:xfrm>
        <a:prstGeom prst="borderCallout1">
          <a:avLst>
            <a:gd name="adj1" fmla="val 33260"/>
            <a:gd name="adj2" fmla="val 118"/>
            <a:gd name="adj3" fmla="val 33615"/>
            <a:gd name="adj4" fmla="val -815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ステップ6から返された重複確認対象データを確認する。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▪レコードが存在していない場合、以下のステップを実行する。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[8.店舗従業員情報新規作]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▪レコードが存在している場合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・status_code = 500、message = MSG_ERR_003のレスポンスを返し、プログラムを停止する。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74</xdr:row>
      <xdr:rowOff>0</xdr:rowOff>
    </xdr:from>
    <xdr:to>
      <xdr:col>62</xdr:col>
      <xdr:colOff>0</xdr:colOff>
      <xdr:row>79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14211300"/>
          <a:ext cx="7200900" cy="952500"/>
        </a:xfrm>
        <a:prstGeom prst="borderCallout1">
          <a:avLst>
            <a:gd name="adj1" fmla="val 20319"/>
            <a:gd name="adj2" fmla="val -58"/>
            <a:gd name="adj3" fmla="val 19497"/>
            <a:gd name="adj4" fmla="val -778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店舗従業員情報作成・編集・削除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ステップ7で重複を確認した後、レコードを新規作成する。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ステップ5で存在をチェックした後、レコードを更新する。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ステップ3のoperation_type = 3の対象レコードを削除する。</a:t>
          </a:r>
        </a:p>
      </xdr:txBody>
    </xdr: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86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34500" y="15544800"/>
          <a:ext cx="7200900" cy="952500"/>
        </a:xfrm>
        <a:prstGeom prst="borderCallout1">
          <a:avLst>
            <a:gd name="adj1" fmla="val 20319"/>
            <a:gd name="adj2" fmla="val -58"/>
            <a:gd name="adj3" fmla="val 20673"/>
            <a:gd name="adj4" fmla="val -854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9. 店舗従業員新規作成・編集・削除の状態確認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成功の場合、以下のステップを実行する。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[9.配列の最後の要素であるかを確認する]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97</xdr:row>
      <xdr:rowOff>0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78308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774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10. 画面から渡された従業員データ配列の最後の要素であるかを確認する。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14</xdr:col>
      <xdr:colOff>134469</xdr:colOff>
      <xdr:row>66</xdr:row>
      <xdr:rowOff>0</xdr:rowOff>
    </xdr:from>
    <xdr:to>
      <xdr:col>18</xdr:col>
      <xdr:colOff>0</xdr:colOff>
      <xdr:row>67</xdr:row>
      <xdr:rowOff>0</xdr:rowOff>
    </xdr:to>
    <xdr:sp macro="" textlink="" fLocksText="0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867150" y="12687300"/>
          <a:ext cx="93345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11</xdr:col>
      <xdr:colOff>0</xdr:colOff>
      <xdr:row>66</xdr:row>
      <xdr:rowOff>95250</xdr:rowOff>
    </xdr:from>
    <xdr:to>
      <xdr:col>18</xdr:col>
      <xdr:colOff>0</xdr:colOff>
      <xdr:row>103</xdr:row>
      <xdr:rowOff>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5" idx="3"/>
          <a:endCxn id="15" idx="0"/>
        </xdr:cNvCxnSpPr>
      </xdr:nvCxnSpPr>
      <xdr:spPr>
        <a:xfrm flipH="1">
          <a:off x="2933700" y="12782550"/>
          <a:ext cx="1866900" cy="6953250"/>
        </a:xfrm>
        <a:prstGeom prst="bentConnector4">
          <a:avLst>
            <a:gd name="adj1" fmla="val -13878"/>
            <a:gd name="adj2" fmla="val 9741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1" customWidth="1"/>
    <col min="61" max="16384" width="2.77734375" style="161"/>
  </cols>
  <sheetData>
    <row r="1" spans="1:63" ht="24.95" customHeight="1" x14ac:dyDescent="0.25">
      <c r="A1" s="155" t="s">
        <v>60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61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58" t="s">
        <v>62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155" t="s">
        <v>63</v>
      </c>
      <c r="AQ1" s="156"/>
      <c r="AR1" s="156"/>
      <c r="AS1" s="157"/>
      <c r="AT1" s="155" t="s">
        <v>64</v>
      </c>
      <c r="AU1" s="156"/>
      <c r="AV1" s="156"/>
      <c r="AW1" s="156"/>
      <c r="AX1" s="157"/>
      <c r="AY1" s="155" t="s">
        <v>65</v>
      </c>
      <c r="AZ1" s="156"/>
      <c r="BA1" s="156"/>
      <c r="BB1" s="157"/>
      <c r="BC1" s="155" t="s">
        <v>66</v>
      </c>
      <c r="BD1" s="156"/>
      <c r="BE1" s="156"/>
      <c r="BF1" s="156"/>
      <c r="BG1" s="157"/>
      <c r="BH1" s="155" t="s">
        <v>67</v>
      </c>
      <c r="BI1" s="156"/>
      <c r="BJ1" s="156"/>
      <c r="BK1" s="157"/>
    </row>
    <row r="2" spans="1:63" ht="15" customHeight="1" x14ac:dyDescent="0.25">
      <c r="A2" s="4" t="s">
        <v>68</v>
      </c>
      <c r="B2" s="162"/>
      <c r="C2" s="162"/>
      <c r="D2" s="162"/>
      <c r="E2" s="162"/>
      <c r="F2" s="162"/>
      <c r="G2" s="162"/>
      <c r="H2" s="162"/>
      <c r="I2" s="162"/>
      <c r="J2" s="163"/>
      <c r="K2" s="164" t="s">
        <v>13</v>
      </c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164" t="str">
        <f>改訂履歴!$H$11</f>
        <v>TuyenNH</v>
      </c>
      <c r="AQ2" s="162"/>
      <c r="AR2" s="162"/>
      <c r="AS2" s="163"/>
      <c r="AT2" s="168">
        <f>改訂履歴!$B$11</f>
        <v>45460</v>
      </c>
      <c r="AU2" s="169"/>
      <c r="AV2" s="169"/>
      <c r="AW2" s="169"/>
      <c r="AX2" s="170"/>
      <c r="AY2" s="164" t="str">
        <f>LOOKUP(2,1/(改訂履歴!H11:H30000&lt;&gt;""),改訂履歴!H11:H30000)</f>
        <v>DuNT</v>
      </c>
      <c r="AZ2" s="162"/>
      <c r="BA2" s="162"/>
      <c r="BB2" s="163"/>
      <c r="BC2" s="168">
        <f>LOOKUP(2,1/(改訂履歴!B11:B30000&lt;&gt;""),改訂履歴!B11:B30000)</f>
        <v>45545</v>
      </c>
      <c r="BD2" s="169"/>
      <c r="BE2" s="169"/>
      <c r="BF2" s="169"/>
      <c r="BG2" s="170"/>
      <c r="BH2" s="171">
        <f>LOOKUP(2,1/(改訂履歴!O11:O30000&lt;&gt;""),改訂履歴!O11:O30000)</f>
        <v>0.13</v>
      </c>
      <c r="BI2" s="172"/>
      <c r="BJ2" s="172"/>
      <c r="BK2" s="173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83"/>
      <c r="BI3" s="184"/>
      <c r="BJ3" s="184"/>
      <c r="BK3" s="185"/>
    </row>
    <row r="4" spans="1:63" ht="24.95" customHeight="1" x14ac:dyDescent="0.25">
      <c r="A4" s="155" t="s">
        <v>69</v>
      </c>
      <c r="B4" s="156"/>
      <c r="C4" s="156"/>
      <c r="D4" s="156"/>
      <c r="E4" s="156"/>
      <c r="F4" s="156"/>
      <c r="G4" s="157"/>
      <c r="H4" s="186" t="s">
        <v>48</v>
      </c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8"/>
      <c r="U4" s="155" t="s">
        <v>70</v>
      </c>
      <c r="V4" s="156"/>
      <c r="W4" s="156"/>
      <c r="X4" s="156"/>
      <c r="Y4" s="157"/>
      <c r="Z4" s="70" t="s">
        <v>71</v>
      </c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8"/>
      <c r="AP4" s="186" t="str">
        <f t="array" aca="1" ref="AP4" ca="1">RIGHT(CELL("filename",$A$1),LEN(CELL("filename",$A$1))-FIND("]",CELL("filename",$A$1)))</f>
        <v>表紙</v>
      </c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8"/>
    </row>
    <row r="5" spans="1:63" ht="5.0999999999999996" customHeight="1" x14ac:dyDescent="0.25">
      <c r="A5" s="189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1"/>
    </row>
    <row r="6" spans="1:63" ht="15" customHeight="1" x14ac:dyDescent="0.25">
      <c r="A6" s="192"/>
      <c r="BK6" s="193"/>
    </row>
    <row r="7" spans="1:63" ht="15" customHeight="1" x14ac:dyDescent="0.25">
      <c r="A7" s="192"/>
      <c r="BK7" s="193"/>
    </row>
    <row r="8" spans="1:63" ht="15" customHeight="1" x14ac:dyDescent="0.25">
      <c r="A8" s="192"/>
      <c r="BK8" s="193"/>
    </row>
    <row r="9" spans="1:63" ht="15" customHeight="1" x14ac:dyDescent="0.25">
      <c r="A9" s="192"/>
      <c r="BK9" s="193"/>
    </row>
    <row r="10" spans="1:63" ht="15" customHeight="1" x14ac:dyDescent="0.25">
      <c r="A10" s="192"/>
      <c r="BK10" s="193"/>
    </row>
    <row r="11" spans="1:63" ht="15" customHeight="1" x14ac:dyDescent="0.25">
      <c r="A11" s="192"/>
      <c r="BK11" s="193"/>
    </row>
    <row r="12" spans="1:63" ht="15" customHeight="1" x14ac:dyDescent="0.25">
      <c r="A12" s="192"/>
      <c r="BK12" s="193"/>
    </row>
    <row r="13" spans="1:63" ht="15" customHeight="1" x14ac:dyDescent="0.25">
      <c r="A13" s="192"/>
      <c r="BK13" s="193"/>
    </row>
    <row r="14" spans="1:63" ht="15" customHeight="1" thickBot="1" x14ac:dyDescent="0.3">
      <c r="A14" s="192"/>
      <c r="BK14" s="193"/>
    </row>
    <row r="15" spans="1:63" ht="15" customHeight="1" thickTop="1" x14ac:dyDescent="0.25">
      <c r="A15" s="192"/>
      <c r="K15" s="194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6"/>
      <c r="BK15" s="193"/>
    </row>
    <row r="16" spans="1:63" ht="15" customHeight="1" x14ac:dyDescent="0.25">
      <c r="A16" s="192"/>
      <c r="K16" s="197"/>
      <c r="L16" s="198" t="s">
        <v>72</v>
      </c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200"/>
      <c r="BK16" s="193"/>
    </row>
    <row r="17" spans="1:63" ht="15" customHeight="1" x14ac:dyDescent="0.25">
      <c r="A17" s="192"/>
      <c r="K17" s="197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200"/>
      <c r="BK17" s="193"/>
    </row>
    <row r="18" spans="1:63" ht="15" customHeight="1" x14ac:dyDescent="0.25">
      <c r="A18" s="192"/>
      <c r="K18" s="197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200"/>
      <c r="BK18" s="193"/>
    </row>
    <row r="19" spans="1:63" ht="15" customHeight="1" x14ac:dyDescent="0.25">
      <c r="A19" s="192"/>
      <c r="K19" s="197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200"/>
      <c r="BK19" s="193"/>
    </row>
    <row r="20" spans="1:63" ht="15" customHeight="1" x14ac:dyDescent="0.25">
      <c r="A20" s="192"/>
      <c r="K20" s="197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200"/>
      <c r="BK20" s="193"/>
    </row>
    <row r="21" spans="1:63" ht="15" customHeight="1" x14ac:dyDescent="0.25">
      <c r="A21" s="192"/>
      <c r="K21" s="197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200"/>
      <c r="BK21" s="193"/>
    </row>
    <row r="22" spans="1:63" ht="15" customHeight="1" thickBot="1" x14ac:dyDescent="0.3">
      <c r="A22" s="192"/>
      <c r="K22" s="197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  <c r="AV22" s="201"/>
      <c r="AW22" s="201"/>
      <c r="AX22" s="201"/>
      <c r="AY22" s="201"/>
      <c r="AZ22" s="201"/>
      <c r="BA22" s="200"/>
      <c r="BK22" s="193"/>
    </row>
    <row r="23" spans="1:63" ht="15" customHeight="1" x14ac:dyDescent="0.25">
      <c r="A23" s="192"/>
      <c r="K23" s="197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0"/>
      <c r="BK23" s="193"/>
    </row>
    <row r="24" spans="1:63" ht="15" customHeight="1" x14ac:dyDescent="0.25">
      <c r="A24" s="192"/>
      <c r="K24" s="197"/>
      <c r="L24" s="199" t="str">
        <f>K2&amp;"/"&amp;H4&amp;"/"&amp;Z4</f>
        <v>POSサーバ/AP4002/API設計書</v>
      </c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200"/>
      <c r="BK24" s="193"/>
    </row>
    <row r="25" spans="1:63" ht="15" customHeight="1" x14ac:dyDescent="0.25">
      <c r="A25" s="192"/>
      <c r="K25" s="197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200"/>
      <c r="BK25" s="193"/>
    </row>
    <row r="26" spans="1:63" ht="15" customHeight="1" x14ac:dyDescent="0.25">
      <c r="A26" s="192"/>
      <c r="K26" s="197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200"/>
      <c r="BK26" s="193"/>
    </row>
    <row r="27" spans="1:63" ht="15" customHeight="1" x14ac:dyDescent="0.25">
      <c r="A27" s="192"/>
      <c r="K27" s="197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200"/>
      <c r="BK27" s="193"/>
    </row>
    <row r="28" spans="1:63" ht="15" customHeight="1" x14ac:dyDescent="0.25">
      <c r="A28" s="192"/>
      <c r="K28" s="197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200"/>
      <c r="BK28" s="193"/>
    </row>
    <row r="29" spans="1:63" ht="15" customHeight="1" x14ac:dyDescent="0.25">
      <c r="A29" s="192"/>
      <c r="K29" s="197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200"/>
      <c r="BK29" s="193"/>
    </row>
    <row r="30" spans="1:63" ht="15" customHeight="1" x14ac:dyDescent="0.25">
      <c r="A30" s="192"/>
      <c r="K30" s="197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200"/>
      <c r="BK30" s="193"/>
    </row>
    <row r="31" spans="1:63" ht="15" customHeight="1" x14ac:dyDescent="0.25">
      <c r="A31" s="192"/>
      <c r="K31" s="197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200"/>
      <c r="BK31" s="193"/>
    </row>
    <row r="32" spans="1:63" ht="15" customHeight="1" x14ac:dyDescent="0.25">
      <c r="A32" s="192"/>
      <c r="K32" s="197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200"/>
      <c r="BK32" s="193"/>
    </row>
    <row r="33" spans="1:63" ht="15" customHeight="1" x14ac:dyDescent="0.25">
      <c r="A33" s="192"/>
      <c r="K33" s="197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200"/>
      <c r="BK33" s="193"/>
    </row>
    <row r="34" spans="1:63" ht="15" customHeight="1" x14ac:dyDescent="0.25">
      <c r="A34" s="192"/>
      <c r="K34" s="197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200"/>
      <c r="BK34" s="193"/>
    </row>
    <row r="35" spans="1:63" ht="15" customHeight="1" x14ac:dyDescent="0.25">
      <c r="A35" s="192"/>
      <c r="K35" s="197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200"/>
      <c r="BK35" s="193"/>
    </row>
    <row r="36" spans="1:63" ht="15" customHeight="1" x14ac:dyDescent="0.25">
      <c r="A36" s="192"/>
      <c r="K36" s="197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200"/>
      <c r="BK36" s="193"/>
    </row>
    <row r="37" spans="1:63" ht="15" customHeight="1" thickBot="1" x14ac:dyDescent="0.3">
      <c r="A37" s="192"/>
      <c r="K37" s="203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4"/>
      <c r="AX37" s="204"/>
      <c r="AY37" s="204"/>
      <c r="AZ37" s="204"/>
      <c r="BA37" s="205"/>
      <c r="BK37" s="193"/>
    </row>
    <row r="38" spans="1:63" ht="15" customHeight="1" thickTop="1" x14ac:dyDescent="0.25">
      <c r="A38" s="192"/>
      <c r="BK38" s="193"/>
    </row>
    <row r="39" spans="1:63" ht="15" customHeight="1" x14ac:dyDescent="0.25">
      <c r="A39" s="192"/>
      <c r="BK39" s="193"/>
    </row>
    <row r="40" spans="1:63" ht="15" customHeight="1" x14ac:dyDescent="0.25">
      <c r="A40" s="192"/>
      <c r="BK40" s="193"/>
    </row>
    <row r="41" spans="1:63" ht="15" customHeight="1" x14ac:dyDescent="0.25">
      <c r="A41" s="192"/>
      <c r="BK41" s="193"/>
    </row>
    <row r="42" spans="1:63" ht="15" customHeight="1" x14ac:dyDescent="0.25">
      <c r="A42" s="192"/>
      <c r="BK42" s="193"/>
    </row>
    <row r="43" spans="1:63" ht="15" customHeight="1" x14ac:dyDescent="0.25">
      <c r="A43" s="192"/>
      <c r="BK43" s="193"/>
    </row>
    <row r="44" spans="1:63" ht="15" customHeight="1" x14ac:dyDescent="0.25">
      <c r="A44" s="192"/>
      <c r="Q44" s="206" t="s">
        <v>73</v>
      </c>
      <c r="R44" s="207"/>
      <c r="S44" s="207"/>
      <c r="T44" s="207"/>
      <c r="U44" s="207"/>
      <c r="V44" s="207"/>
      <c r="W44" s="207"/>
      <c r="X44" s="207"/>
      <c r="Y44" s="207"/>
      <c r="Z44" s="208"/>
      <c r="AA44" s="206" t="s">
        <v>74</v>
      </c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8"/>
      <c r="AQ44" s="206" t="s">
        <v>67</v>
      </c>
      <c r="AR44" s="207"/>
      <c r="AS44" s="207"/>
      <c r="AT44" s="207"/>
      <c r="AU44" s="208"/>
      <c r="BK44" s="193"/>
    </row>
    <row r="45" spans="1:63" ht="15" customHeight="1" x14ac:dyDescent="0.25">
      <c r="A45" s="192"/>
      <c r="Q45" s="209"/>
      <c r="R45" s="210"/>
      <c r="S45" s="210"/>
      <c r="T45" s="210"/>
      <c r="U45" s="210"/>
      <c r="V45" s="210"/>
      <c r="W45" s="210"/>
      <c r="X45" s="210"/>
      <c r="Y45" s="210"/>
      <c r="Z45" s="211"/>
      <c r="AA45" s="209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1"/>
      <c r="AQ45" s="209"/>
      <c r="AR45" s="210"/>
      <c r="AS45" s="210"/>
      <c r="AT45" s="210"/>
      <c r="AU45" s="211"/>
      <c r="BK45" s="193"/>
    </row>
    <row r="46" spans="1:63" ht="15" customHeight="1" x14ac:dyDescent="0.25">
      <c r="A46" s="192"/>
      <c r="Q46" s="164"/>
      <c r="R46" s="162"/>
      <c r="S46" s="162"/>
      <c r="T46" s="162"/>
      <c r="U46" s="162"/>
      <c r="V46" s="162"/>
      <c r="W46" s="162"/>
      <c r="X46" s="162"/>
      <c r="Y46" s="162"/>
      <c r="Z46" s="163"/>
      <c r="AA46" s="164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3"/>
      <c r="AQ46" s="164"/>
      <c r="AR46" s="162"/>
      <c r="AS46" s="162"/>
      <c r="AT46" s="162"/>
      <c r="AU46" s="163"/>
      <c r="BK46" s="193"/>
    </row>
    <row r="47" spans="1:63" ht="15" customHeight="1" x14ac:dyDescent="0.25">
      <c r="A47" s="192"/>
      <c r="Q47" s="212"/>
      <c r="R47" s="213"/>
      <c r="S47" s="213"/>
      <c r="T47" s="213"/>
      <c r="U47" s="213"/>
      <c r="V47" s="213"/>
      <c r="W47" s="213"/>
      <c r="X47" s="213"/>
      <c r="Y47" s="213"/>
      <c r="Z47" s="214"/>
      <c r="AA47" s="212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14"/>
      <c r="AQ47" s="212"/>
      <c r="AR47" s="213"/>
      <c r="AS47" s="213"/>
      <c r="AT47" s="213"/>
      <c r="AU47" s="214"/>
      <c r="BK47" s="193"/>
    </row>
    <row r="48" spans="1:63" ht="15" customHeight="1" x14ac:dyDescent="0.25">
      <c r="A48" s="192"/>
      <c r="Q48" s="212"/>
      <c r="R48" s="213"/>
      <c r="S48" s="213"/>
      <c r="T48" s="213"/>
      <c r="U48" s="213"/>
      <c r="V48" s="213"/>
      <c r="W48" s="213"/>
      <c r="X48" s="213"/>
      <c r="Y48" s="213"/>
      <c r="Z48" s="214"/>
      <c r="AA48" s="212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14"/>
      <c r="AQ48" s="212"/>
      <c r="AR48" s="213"/>
      <c r="AS48" s="213"/>
      <c r="AT48" s="213"/>
      <c r="AU48" s="214"/>
      <c r="BK48" s="193"/>
    </row>
    <row r="49" spans="1:63" ht="15" customHeight="1" x14ac:dyDescent="0.25">
      <c r="A49" s="192"/>
      <c r="Q49" s="174"/>
      <c r="R49" s="175"/>
      <c r="S49" s="175"/>
      <c r="T49" s="175"/>
      <c r="U49" s="175"/>
      <c r="V49" s="175"/>
      <c r="W49" s="175"/>
      <c r="X49" s="175"/>
      <c r="Y49" s="175"/>
      <c r="Z49" s="176"/>
      <c r="AA49" s="174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6"/>
      <c r="AQ49" s="174"/>
      <c r="AR49" s="175"/>
      <c r="AS49" s="175"/>
      <c r="AT49" s="175"/>
      <c r="AU49" s="176"/>
      <c r="BK49" s="193"/>
    </row>
    <row r="50" spans="1:63" ht="15" customHeight="1" x14ac:dyDescent="0.25">
      <c r="A50" s="192"/>
      <c r="BK50" s="193"/>
    </row>
    <row r="51" spans="1:63" ht="15" customHeight="1" x14ac:dyDescent="0.25">
      <c r="A51" s="192"/>
      <c r="BK51" s="193"/>
    </row>
    <row r="52" spans="1:63" ht="15" customHeight="1" x14ac:dyDescent="0.25">
      <c r="A52" s="192"/>
      <c r="BK52" s="193"/>
    </row>
    <row r="53" spans="1:63" ht="15" customHeight="1" x14ac:dyDescent="0.25">
      <c r="A53" s="192"/>
      <c r="BK53" s="193"/>
    </row>
    <row r="54" spans="1:63" ht="15" customHeight="1" x14ac:dyDescent="0.25">
      <c r="A54" s="192"/>
      <c r="BK54" s="193"/>
    </row>
    <row r="55" spans="1:63" ht="15" customHeight="1" x14ac:dyDescent="0.25">
      <c r="A55" s="189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1"/>
      <c r="K1" s="13" t="s">
        <v>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1"/>
      <c r="W1" s="77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3" t="s">
        <v>3</v>
      </c>
      <c r="AQ1" s="12"/>
      <c r="AR1" s="12"/>
      <c r="AS1" s="11"/>
      <c r="AT1" s="13" t="s">
        <v>4</v>
      </c>
      <c r="AU1" s="12"/>
      <c r="AV1" s="12"/>
      <c r="AW1" s="12"/>
      <c r="AX1" s="11"/>
      <c r="AY1" s="13" t="s">
        <v>5</v>
      </c>
      <c r="AZ1" s="12"/>
      <c r="BA1" s="12"/>
      <c r="BB1" s="11"/>
      <c r="BC1" s="13" t="s">
        <v>6</v>
      </c>
      <c r="BD1" s="12"/>
      <c r="BE1" s="12"/>
      <c r="BF1" s="12"/>
      <c r="BG1" s="11"/>
      <c r="BH1" s="13" t="s">
        <v>7</v>
      </c>
      <c r="BI1" s="12"/>
      <c r="BJ1" s="12"/>
      <c r="BK1" s="11"/>
    </row>
    <row r="2" spans="1:63" ht="15" customHeight="1" x14ac:dyDescent="0.25">
      <c r="A2" s="10" t="str">
        <f>IF(表紙!A2="","",表紙!A2)</f>
        <v>POSサーバー</v>
      </c>
      <c r="B2" s="9"/>
      <c r="C2" s="9"/>
      <c r="D2" s="9"/>
      <c r="E2" s="9"/>
      <c r="F2" s="9"/>
      <c r="G2" s="9"/>
      <c r="H2" s="9"/>
      <c r="I2" s="9"/>
      <c r="J2" s="8"/>
      <c r="K2" s="10" t="str">
        <f>IF(表紙!K2="","",表紙!K2)</f>
        <v>POSサーバ</v>
      </c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0" t="str">
        <f>IF(表紙!AP2="","",表紙!AP2)</f>
        <v>TuyenNH</v>
      </c>
      <c r="AQ2" s="9"/>
      <c r="AR2" s="9"/>
      <c r="AS2" s="8"/>
      <c r="AT2" s="71">
        <f>IF(表紙!AT2="","",表紙!AT2)</f>
        <v>45460</v>
      </c>
      <c r="AU2" s="72"/>
      <c r="AV2" s="72"/>
      <c r="AW2" s="72"/>
      <c r="AX2" s="73"/>
      <c r="AY2" s="10" t="str">
        <f>IF(表紙!AY2="","",表紙!AY2)</f>
        <v>DuNT</v>
      </c>
      <c r="AZ2" s="9"/>
      <c r="BA2" s="9"/>
      <c r="BB2" s="8"/>
      <c r="BC2" s="71">
        <f>IF(表紙!BC2="","",表紙!BC2)</f>
        <v>45545</v>
      </c>
      <c r="BD2" s="72"/>
      <c r="BE2" s="72"/>
      <c r="BF2" s="72"/>
      <c r="BG2" s="73"/>
      <c r="BH2" s="10">
        <f>IF(表紙!BH2="","",表紙!BH2)</f>
        <v>0.13</v>
      </c>
      <c r="BI2" s="9"/>
      <c r="BJ2" s="9"/>
      <c r="BK2" s="8"/>
    </row>
    <row r="3" spans="1:63" ht="15" customHeight="1" x14ac:dyDescent="0.25">
      <c r="A3" s="7"/>
      <c r="B3" s="6"/>
      <c r="C3" s="6"/>
      <c r="D3" s="6"/>
      <c r="E3" s="6"/>
      <c r="F3" s="6"/>
      <c r="G3" s="6"/>
      <c r="H3" s="6"/>
      <c r="I3" s="6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5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7"/>
      <c r="AQ3" s="6"/>
      <c r="AR3" s="6"/>
      <c r="AS3" s="5"/>
      <c r="AT3" s="74"/>
      <c r="AU3" s="75"/>
      <c r="AV3" s="75"/>
      <c r="AW3" s="75"/>
      <c r="AX3" s="76"/>
      <c r="AY3" s="7"/>
      <c r="AZ3" s="6"/>
      <c r="BA3" s="6"/>
      <c r="BB3" s="5"/>
      <c r="BC3" s="74"/>
      <c r="BD3" s="75"/>
      <c r="BE3" s="75"/>
      <c r="BF3" s="75"/>
      <c r="BG3" s="76"/>
      <c r="BH3" s="7"/>
      <c r="BI3" s="6"/>
      <c r="BJ3" s="6"/>
      <c r="BK3" s="5"/>
    </row>
    <row r="4" spans="1:63" ht="24.95" customHeight="1" x14ac:dyDescent="0.25">
      <c r="A4" s="13" t="s">
        <v>1</v>
      </c>
      <c r="B4" s="12"/>
      <c r="C4" s="12"/>
      <c r="D4" s="12"/>
      <c r="E4" s="12"/>
      <c r="F4" s="12"/>
      <c r="G4" s="11"/>
      <c r="H4" s="67" t="str">
        <f>IF(表紙!H4="","",表紙!H4)</f>
        <v>AP4002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9"/>
      <c r="U4" s="13" t="s">
        <v>8</v>
      </c>
      <c r="V4" s="12"/>
      <c r="W4" s="12"/>
      <c r="X4" s="12"/>
      <c r="Y4" s="11"/>
      <c r="Z4" s="67" t="str">
        <f>IF(表紙!Z4="","",表紙!Z4)</f>
        <v>API設計書</v>
      </c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9"/>
      <c r="AP4" s="67" t="str">
        <f t="array" aca="1" ref="AP4" ca="1">RIGHT(CELL("filename",$A$1),LEN(CELL("filename",$A$1))-FIND("]",CELL("filename",$A$1)))</f>
        <v>改訂履歴</v>
      </c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9"/>
    </row>
    <row r="5" spans="1:63" ht="5.0999999999999996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8"/>
    </row>
    <row r="6" spans="1:63" ht="15" customHeight="1" x14ac:dyDescent="0.25">
      <c r="A6" s="14"/>
      <c r="BK6" s="17"/>
    </row>
    <row r="7" spans="1:63" ht="15" customHeight="1" x14ac:dyDescent="0.25">
      <c r="A7" s="14"/>
      <c r="BK7" s="17"/>
    </row>
    <row r="8" spans="1:63" ht="15" customHeight="1" x14ac:dyDescent="0.25">
      <c r="A8" s="14"/>
      <c r="B8" t="s">
        <v>9</v>
      </c>
      <c r="BK8" s="17"/>
    </row>
    <row r="9" spans="1:63" ht="15" customHeight="1" x14ac:dyDescent="0.25">
      <c r="A9" s="14"/>
      <c r="BK9" s="17"/>
    </row>
    <row r="10" spans="1:63" ht="15" customHeight="1" x14ac:dyDescent="0.25">
      <c r="A10" s="14"/>
      <c r="B10" s="90" t="s">
        <v>6</v>
      </c>
      <c r="C10" s="90"/>
      <c r="D10" s="90"/>
      <c r="E10" s="90"/>
      <c r="F10" s="90"/>
      <c r="G10" s="90"/>
      <c r="H10" s="90" t="s">
        <v>5</v>
      </c>
      <c r="I10" s="90"/>
      <c r="J10" s="90"/>
      <c r="K10" s="90"/>
      <c r="L10" s="90"/>
      <c r="M10" s="90"/>
      <c r="N10" s="90"/>
      <c r="O10" s="90" t="s">
        <v>7</v>
      </c>
      <c r="P10" s="90"/>
      <c r="Q10" s="90"/>
      <c r="R10" s="90"/>
      <c r="S10" s="90" t="s">
        <v>10</v>
      </c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 t="s">
        <v>11</v>
      </c>
      <c r="AY10" s="90"/>
      <c r="AZ10" s="90"/>
      <c r="BA10" s="90"/>
      <c r="BB10" s="90"/>
      <c r="BC10" s="90"/>
      <c r="BD10" s="90" t="s">
        <v>12</v>
      </c>
      <c r="BE10" s="90"/>
      <c r="BF10" s="90"/>
      <c r="BG10" s="90"/>
      <c r="BH10" s="90"/>
      <c r="BI10" s="90"/>
      <c r="BJ10" s="90"/>
      <c r="BK10" s="17"/>
    </row>
    <row r="11" spans="1:63" ht="15" customHeight="1" x14ac:dyDescent="0.25">
      <c r="A11" s="14"/>
      <c r="B11" s="71">
        <v>45460</v>
      </c>
      <c r="C11" s="9"/>
      <c r="D11" s="9"/>
      <c r="E11" s="9"/>
      <c r="F11" s="9"/>
      <c r="G11" s="8"/>
      <c r="H11" s="4" t="s">
        <v>59</v>
      </c>
      <c r="I11" s="9"/>
      <c r="J11" s="9"/>
      <c r="K11" s="9"/>
      <c r="L11" s="9"/>
      <c r="M11" s="9"/>
      <c r="N11" s="8"/>
      <c r="O11" s="10">
        <v>0.1</v>
      </c>
      <c r="P11" s="9"/>
      <c r="Q11" s="9"/>
      <c r="R11" s="9"/>
      <c r="S11" s="78" t="s">
        <v>14</v>
      </c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80"/>
      <c r="AX11" s="81"/>
      <c r="AY11" s="81"/>
      <c r="AZ11" s="81"/>
      <c r="BA11" s="81"/>
      <c r="BB11" s="81"/>
      <c r="BC11" s="82"/>
      <c r="BD11" s="85"/>
      <c r="BE11" s="81"/>
      <c r="BF11" s="81"/>
      <c r="BG11" s="81"/>
      <c r="BH11" s="81"/>
      <c r="BI11" s="81"/>
      <c r="BJ11" s="82"/>
      <c r="BK11" s="17"/>
    </row>
    <row r="12" spans="1:63" ht="15" customHeight="1" x14ac:dyDescent="0.25">
      <c r="A12" s="14"/>
      <c r="B12" s="7"/>
      <c r="C12" s="6"/>
      <c r="D12" s="6"/>
      <c r="E12" s="6"/>
      <c r="F12" s="6"/>
      <c r="G12" s="5"/>
      <c r="H12" s="7"/>
      <c r="I12" s="6"/>
      <c r="J12" s="6"/>
      <c r="K12" s="6"/>
      <c r="L12" s="6"/>
      <c r="M12" s="6"/>
      <c r="N12" s="5"/>
      <c r="O12" s="7"/>
      <c r="P12" s="6"/>
      <c r="Q12" s="6"/>
      <c r="R12" s="6"/>
      <c r="S12" s="87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9"/>
      <c r="AX12" s="83"/>
      <c r="AY12" s="83"/>
      <c r="AZ12" s="83"/>
      <c r="BA12" s="83"/>
      <c r="BB12" s="83"/>
      <c r="BC12" s="84"/>
      <c r="BD12" s="86"/>
      <c r="BE12" s="83"/>
      <c r="BF12" s="83"/>
      <c r="BG12" s="83"/>
      <c r="BH12" s="83"/>
      <c r="BI12" s="83"/>
      <c r="BJ12" s="84"/>
      <c r="BK12" s="17"/>
    </row>
    <row r="13" spans="1:63" ht="15" customHeight="1" x14ac:dyDescent="0.25">
      <c r="A13" s="14"/>
      <c r="B13" s="71">
        <v>45482</v>
      </c>
      <c r="C13" s="9"/>
      <c r="D13" s="9"/>
      <c r="E13" s="9"/>
      <c r="F13" s="9"/>
      <c r="G13" s="8"/>
      <c r="H13" s="10" t="s">
        <v>57</v>
      </c>
      <c r="I13" s="9"/>
      <c r="J13" s="9"/>
      <c r="K13" s="9"/>
      <c r="L13" s="9"/>
      <c r="M13" s="9"/>
      <c r="N13" s="8"/>
      <c r="O13" s="10">
        <v>0.11</v>
      </c>
      <c r="P13" s="9"/>
      <c r="Q13" s="9"/>
      <c r="R13" s="9"/>
      <c r="S13" s="78" t="s">
        <v>58</v>
      </c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80"/>
      <c r="AX13" s="81"/>
      <c r="AY13" s="81"/>
      <c r="AZ13" s="81"/>
      <c r="BA13" s="81"/>
      <c r="BB13" s="81"/>
      <c r="BC13" s="82"/>
      <c r="BD13" s="85"/>
      <c r="BE13" s="81"/>
      <c r="BF13" s="81"/>
      <c r="BG13" s="81"/>
      <c r="BH13" s="81"/>
      <c r="BI13" s="81"/>
      <c r="BJ13" s="82"/>
      <c r="BK13" s="17"/>
    </row>
    <row r="14" spans="1:63" ht="15" customHeight="1" x14ac:dyDescent="0.25">
      <c r="A14" s="14"/>
      <c r="B14" s="7"/>
      <c r="C14" s="6"/>
      <c r="D14" s="6"/>
      <c r="E14" s="6"/>
      <c r="F14" s="6"/>
      <c r="G14" s="5"/>
      <c r="H14" s="7"/>
      <c r="I14" s="6"/>
      <c r="J14" s="6"/>
      <c r="K14" s="6"/>
      <c r="L14" s="6"/>
      <c r="M14" s="6"/>
      <c r="N14" s="5"/>
      <c r="O14" s="7"/>
      <c r="P14" s="6"/>
      <c r="Q14" s="6"/>
      <c r="R14" s="6"/>
      <c r="S14" s="87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9"/>
      <c r="AX14" s="83"/>
      <c r="AY14" s="83"/>
      <c r="AZ14" s="83"/>
      <c r="BA14" s="83"/>
      <c r="BB14" s="83"/>
      <c r="BC14" s="84"/>
      <c r="BD14" s="86"/>
      <c r="BE14" s="83"/>
      <c r="BF14" s="83"/>
      <c r="BG14" s="83"/>
      <c r="BH14" s="83"/>
      <c r="BI14" s="83"/>
      <c r="BJ14" s="84"/>
      <c r="BK14" s="17"/>
    </row>
    <row r="15" spans="1:63" ht="15" customHeight="1" x14ac:dyDescent="0.25">
      <c r="A15" s="14"/>
      <c r="B15" s="71">
        <v>45520</v>
      </c>
      <c r="C15" s="9"/>
      <c r="D15" s="9"/>
      <c r="E15" s="9"/>
      <c r="F15" s="9"/>
      <c r="G15" s="8"/>
      <c r="H15" s="10" t="s">
        <v>34</v>
      </c>
      <c r="I15" s="9"/>
      <c r="J15" s="9"/>
      <c r="K15" s="9"/>
      <c r="L15" s="9"/>
      <c r="M15" s="9"/>
      <c r="N15" s="8"/>
      <c r="O15" s="10">
        <v>0.12</v>
      </c>
      <c r="P15" s="9"/>
      <c r="Q15" s="9"/>
      <c r="R15" s="9"/>
      <c r="S15" s="215" t="s">
        <v>75</v>
      </c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80"/>
      <c r="AX15" s="81"/>
      <c r="AY15" s="81"/>
      <c r="AZ15" s="81"/>
      <c r="BA15" s="81"/>
      <c r="BB15" s="81"/>
      <c r="BC15" s="82"/>
      <c r="BD15" s="85"/>
      <c r="BE15" s="81"/>
      <c r="BF15" s="81"/>
      <c r="BG15" s="81"/>
      <c r="BH15" s="81"/>
      <c r="BI15" s="81"/>
      <c r="BJ15" s="82"/>
      <c r="BK15" s="17"/>
    </row>
    <row r="16" spans="1:63" ht="15" customHeight="1" x14ac:dyDescent="0.25">
      <c r="A16" s="14"/>
      <c r="B16" s="7"/>
      <c r="C16" s="6"/>
      <c r="D16" s="6"/>
      <c r="E16" s="6"/>
      <c r="F16" s="6"/>
      <c r="G16" s="5"/>
      <c r="H16" s="7"/>
      <c r="I16" s="6"/>
      <c r="J16" s="6"/>
      <c r="K16" s="6"/>
      <c r="L16" s="6"/>
      <c r="M16" s="6"/>
      <c r="N16" s="5"/>
      <c r="O16" s="7"/>
      <c r="P16" s="6"/>
      <c r="Q16" s="6"/>
      <c r="R16" s="6"/>
      <c r="S16" s="87" t="s">
        <v>77</v>
      </c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9"/>
      <c r="AX16" s="83"/>
      <c r="AY16" s="83"/>
      <c r="AZ16" s="83"/>
      <c r="BA16" s="83"/>
      <c r="BB16" s="83"/>
      <c r="BC16" s="84"/>
      <c r="BD16" s="86"/>
      <c r="BE16" s="83"/>
      <c r="BF16" s="83"/>
      <c r="BG16" s="83"/>
      <c r="BH16" s="83"/>
      <c r="BI16" s="83"/>
      <c r="BJ16" s="84"/>
      <c r="BK16" s="17"/>
    </row>
    <row r="17" spans="1:63" ht="15" customHeight="1" x14ac:dyDescent="0.25">
      <c r="A17" s="14"/>
      <c r="B17" s="216">
        <v>45545</v>
      </c>
      <c r="C17" s="217"/>
      <c r="D17" s="217"/>
      <c r="E17" s="217"/>
      <c r="F17" s="217"/>
      <c r="G17" s="218"/>
      <c r="H17" s="219" t="s">
        <v>78</v>
      </c>
      <c r="I17" s="217"/>
      <c r="J17" s="217"/>
      <c r="K17" s="217"/>
      <c r="L17" s="217"/>
      <c r="M17" s="217"/>
      <c r="N17" s="218"/>
      <c r="O17" s="219">
        <v>0.13</v>
      </c>
      <c r="P17" s="217"/>
      <c r="Q17" s="217"/>
      <c r="R17" s="217"/>
      <c r="S17" s="220" t="s">
        <v>75</v>
      </c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2"/>
      <c r="AX17" s="81"/>
      <c r="AY17" s="81"/>
      <c r="AZ17" s="81"/>
      <c r="BA17" s="81"/>
      <c r="BB17" s="81"/>
      <c r="BC17" s="82"/>
      <c r="BD17" s="85"/>
      <c r="BE17" s="81"/>
      <c r="BF17" s="81"/>
      <c r="BG17" s="81"/>
      <c r="BH17" s="81"/>
      <c r="BI17" s="81"/>
      <c r="BJ17" s="82"/>
      <c r="BK17" s="17"/>
    </row>
    <row r="18" spans="1:63" ht="15" customHeight="1" x14ac:dyDescent="0.25">
      <c r="A18" s="14"/>
      <c r="B18" s="223"/>
      <c r="C18" s="224"/>
      <c r="D18" s="224"/>
      <c r="E18" s="224"/>
      <c r="F18" s="224"/>
      <c r="G18" s="225"/>
      <c r="H18" s="223"/>
      <c r="I18" s="224"/>
      <c r="J18" s="224"/>
      <c r="K18" s="224"/>
      <c r="L18" s="224"/>
      <c r="M18" s="224"/>
      <c r="N18" s="225"/>
      <c r="O18" s="223"/>
      <c r="P18" s="224"/>
      <c r="Q18" s="224"/>
      <c r="R18" s="224"/>
      <c r="S18" s="226" t="s">
        <v>76</v>
      </c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8"/>
      <c r="AX18" s="83"/>
      <c r="AY18" s="83"/>
      <c r="AZ18" s="83"/>
      <c r="BA18" s="83"/>
      <c r="BB18" s="83"/>
      <c r="BC18" s="84"/>
      <c r="BD18" s="86"/>
      <c r="BE18" s="83"/>
      <c r="BF18" s="83"/>
      <c r="BG18" s="83"/>
      <c r="BH18" s="83"/>
      <c r="BI18" s="83"/>
      <c r="BJ18" s="84"/>
      <c r="BK18" s="17"/>
    </row>
    <row r="19" spans="1:63" ht="15" customHeight="1" x14ac:dyDescent="0.25">
      <c r="A19" s="14"/>
      <c r="B19" s="10"/>
      <c r="C19" s="9"/>
      <c r="D19" s="9"/>
      <c r="E19" s="9"/>
      <c r="F19" s="9"/>
      <c r="G19" s="8"/>
      <c r="H19" s="10"/>
      <c r="I19" s="9"/>
      <c r="J19" s="9"/>
      <c r="K19" s="9"/>
      <c r="L19" s="9"/>
      <c r="M19" s="9"/>
      <c r="N19" s="8"/>
      <c r="O19" s="10"/>
      <c r="P19" s="9"/>
      <c r="Q19" s="9"/>
      <c r="R19" s="9"/>
      <c r="S19" s="78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80"/>
      <c r="AX19" s="81"/>
      <c r="AY19" s="81"/>
      <c r="AZ19" s="81"/>
      <c r="BA19" s="81"/>
      <c r="BB19" s="81"/>
      <c r="BC19" s="82"/>
      <c r="BD19" s="85"/>
      <c r="BE19" s="81"/>
      <c r="BF19" s="81"/>
      <c r="BG19" s="81"/>
      <c r="BH19" s="81"/>
      <c r="BI19" s="81"/>
      <c r="BJ19" s="82"/>
      <c r="BK19" s="17"/>
    </row>
    <row r="20" spans="1:63" ht="15" customHeight="1" x14ac:dyDescent="0.25">
      <c r="A20" s="14"/>
      <c r="B20" s="7"/>
      <c r="C20" s="6"/>
      <c r="D20" s="6"/>
      <c r="E20" s="6"/>
      <c r="F20" s="6"/>
      <c r="G20" s="5"/>
      <c r="H20" s="7"/>
      <c r="I20" s="6"/>
      <c r="J20" s="6"/>
      <c r="K20" s="6"/>
      <c r="L20" s="6"/>
      <c r="M20" s="6"/>
      <c r="N20" s="5"/>
      <c r="O20" s="7"/>
      <c r="P20" s="6"/>
      <c r="Q20" s="6"/>
      <c r="R20" s="6"/>
      <c r="S20" s="87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9"/>
      <c r="AX20" s="83"/>
      <c r="AY20" s="83"/>
      <c r="AZ20" s="83"/>
      <c r="BA20" s="83"/>
      <c r="BB20" s="83"/>
      <c r="BC20" s="84"/>
      <c r="BD20" s="86"/>
      <c r="BE20" s="83"/>
      <c r="BF20" s="83"/>
      <c r="BG20" s="83"/>
      <c r="BH20" s="83"/>
      <c r="BI20" s="83"/>
      <c r="BJ20" s="84"/>
      <c r="BK20" s="17"/>
    </row>
    <row r="21" spans="1:63" ht="15" customHeight="1" x14ac:dyDescent="0.25">
      <c r="A21" s="14"/>
      <c r="B21" s="10"/>
      <c r="C21" s="9"/>
      <c r="D21" s="9"/>
      <c r="E21" s="9"/>
      <c r="F21" s="9"/>
      <c r="G21" s="8"/>
      <c r="H21" s="10"/>
      <c r="I21" s="9"/>
      <c r="J21" s="9"/>
      <c r="K21" s="9"/>
      <c r="L21" s="9"/>
      <c r="M21" s="9"/>
      <c r="N21" s="8"/>
      <c r="O21" s="10"/>
      <c r="P21" s="9"/>
      <c r="Q21" s="9"/>
      <c r="R21" s="9"/>
      <c r="S21" s="78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80"/>
      <c r="AX21" s="81"/>
      <c r="AY21" s="81"/>
      <c r="AZ21" s="81"/>
      <c r="BA21" s="81"/>
      <c r="BB21" s="81"/>
      <c r="BC21" s="82"/>
      <c r="BD21" s="85"/>
      <c r="BE21" s="81"/>
      <c r="BF21" s="81"/>
      <c r="BG21" s="81"/>
      <c r="BH21" s="81"/>
      <c r="BI21" s="81"/>
      <c r="BJ21" s="82"/>
      <c r="BK21" s="17"/>
    </row>
    <row r="22" spans="1:63" ht="15" customHeight="1" x14ac:dyDescent="0.25">
      <c r="A22" s="14"/>
      <c r="B22" s="7"/>
      <c r="C22" s="6"/>
      <c r="D22" s="6"/>
      <c r="E22" s="6"/>
      <c r="F22" s="6"/>
      <c r="G22" s="5"/>
      <c r="H22" s="7"/>
      <c r="I22" s="6"/>
      <c r="J22" s="6"/>
      <c r="K22" s="6"/>
      <c r="L22" s="6"/>
      <c r="M22" s="6"/>
      <c r="N22" s="5"/>
      <c r="O22" s="7"/>
      <c r="P22" s="6"/>
      <c r="Q22" s="6"/>
      <c r="R22" s="6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9"/>
      <c r="AX22" s="83"/>
      <c r="AY22" s="83"/>
      <c r="AZ22" s="83"/>
      <c r="BA22" s="83"/>
      <c r="BB22" s="83"/>
      <c r="BC22" s="84"/>
      <c r="BD22" s="86"/>
      <c r="BE22" s="83"/>
      <c r="BF22" s="83"/>
      <c r="BG22" s="83"/>
      <c r="BH22" s="83"/>
      <c r="BI22" s="83"/>
      <c r="BJ22" s="84"/>
      <c r="BK22" s="17"/>
    </row>
    <row r="23" spans="1:63" ht="15" customHeight="1" x14ac:dyDescent="0.25">
      <c r="A23" s="14"/>
      <c r="B23" s="10"/>
      <c r="C23" s="9"/>
      <c r="D23" s="9"/>
      <c r="E23" s="9"/>
      <c r="F23" s="9"/>
      <c r="G23" s="8"/>
      <c r="H23" s="10"/>
      <c r="I23" s="9"/>
      <c r="J23" s="9"/>
      <c r="K23" s="9"/>
      <c r="L23" s="9"/>
      <c r="M23" s="9"/>
      <c r="N23" s="8"/>
      <c r="O23" s="10"/>
      <c r="P23" s="9"/>
      <c r="Q23" s="9"/>
      <c r="R23" s="9"/>
      <c r="S23" s="78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80"/>
      <c r="AX23" s="81"/>
      <c r="AY23" s="81"/>
      <c r="AZ23" s="81"/>
      <c r="BA23" s="81"/>
      <c r="BB23" s="81"/>
      <c r="BC23" s="82"/>
      <c r="BD23" s="85"/>
      <c r="BE23" s="81"/>
      <c r="BF23" s="81"/>
      <c r="BG23" s="81"/>
      <c r="BH23" s="81"/>
      <c r="BI23" s="81"/>
      <c r="BJ23" s="82"/>
      <c r="BK23" s="17"/>
    </row>
    <row r="24" spans="1:63" ht="15" customHeight="1" x14ac:dyDescent="0.25">
      <c r="A24" s="14"/>
      <c r="B24" s="7"/>
      <c r="C24" s="6"/>
      <c r="D24" s="6"/>
      <c r="E24" s="6"/>
      <c r="F24" s="6"/>
      <c r="G24" s="5"/>
      <c r="H24" s="7"/>
      <c r="I24" s="6"/>
      <c r="J24" s="6"/>
      <c r="K24" s="6"/>
      <c r="L24" s="6"/>
      <c r="M24" s="6"/>
      <c r="N24" s="5"/>
      <c r="O24" s="7"/>
      <c r="P24" s="6"/>
      <c r="Q24" s="6"/>
      <c r="R24" s="6"/>
      <c r="S24" s="87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9"/>
      <c r="AX24" s="83"/>
      <c r="AY24" s="83"/>
      <c r="AZ24" s="83"/>
      <c r="BA24" s="83"/>
      <c r="BB24" s="83"/>
      <c r="BC24" s="84"/>
      <c r="BD24" s="86"/>
      <c r="BE24" s="83"/>
      <c r="BF24" s="83"/>
      <c r="BG24" s="83"/>
      <c r="BH24" s="83"/>
      <c r="BI24" s="83"/>
      <c r="BJ24" s="84"/>
      <c r="BK24" s="17"/>
    </row>
    <row r="25" spans="1:63" ht="15" customHeight="1" x14ac:dyDescent="0.25">
      <c r="A25" s="14"/>
      <c r="B25" s="10"/>
      <c r="C25" s="9"/>
      <c r="D25" s="9"/>
      <c r="E25" s="9"/>
      <c r="F25" s="9"/>
      <c r="G25" s="8"/>
      <c r="H25" s="10"/>
      <c r="I25" s="9"/>
      <c r="J25" s="9"/>
      <c r="K25" s="9"/>
      <c r="L25" s="9"/>
      <c r="M25" s="9"/>
      <c r="N25" s="8"/>
      <c r="O25" s="10"/>
      <c r="P25" s="9"/>
      <c r="Q25" s="9"/>
      <c r="R25" s="9"/>
      <c r="S25" s="78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80"/>
      <c r="AX25" s="81"/>
      <c r="AY25" s="81"/>
      <c r="AZ25" s="81"/>
      <c r="BA25" s="81"/>
      <c r="BB25" s="81"/>
      <c r="BC25" s="82"/>
      <c r="BD25" s="85"/>
      <c r="BE25" s="81"/>
      <c r="BF25" s="81"/>
      <c r="BG25" s="81"/>
      <c r="BH25" s="81"/>
      <c r="BI25" s="81"/>
      <c r="BJ25" s="82"/>
      <c r="BK25" s="17"/>
    </row>
    <row r="26" spans="1:63" ht="15" customHeight="1" x14ac:dyDescent="0.25">
      <c r="A26" s="14"/>
      <c r="B26" s="7"/>
      <c r="C26" s="6"/>
      <c r="D26" s="6"/>
      <c r="E26" s="6"/>
      <c r="F26" s="6"/>
      <c r="G26" s="5"/>
      <c r="H26" s="7"/>
      <c r="I26" s="6"/>
      <c r="J26" s="6"/>
      <c r="K26" s="6"/>
      <c r="L26" s="6"/>
      <c r="M26" s="6"/>
      <c r="N26" s="5"/>
      <c r="O26" s="7"/>
      <c r="P26" s="6"/>
      <c r="Q26" s="6"/>
      <c r="R26" s="6"/>
      <c r="S26" s="87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9"/>
      <c r="AX26" s="83"/>
      <c r="AY26" s="83"/>
      <c r="AZ26" s="83"/>
      <c r="BA26" s="83"/>
      <c r="BB26" s="83"/>
      <c r="BC26" s="84"/>
      <c r="BD26" s="86"/>
      <c r="BE26" s="83"/>
      <c r="BF26" s="83"/>
      <c r="BG26" s="83"/>
      <c r="BH26" s="83"/>
      <c r="BI26" s="83"/>
      <c r="BJ26" s="84"/>
      <c r="BK26" s="17"/>
    </row>
    <row r="27" spans="1:63" ht="15" customHeight="1" x14ac:dyDescent="0.25">
      <c r="A27" s="14"/>
      <c r="B27" s="10"/>
      <c r="C27" s="9"/>
      <c r="D27" s="9"/>
      <c r="E27" s="9"/>
      <c r="F27" s="9"/>
      <c r="G27" s="8"/>
      <c r="H27" s="10"/>
      <c r="I27" s="9"/>
      <c r="J27" s="9"/>
      <c r="K27" s="9"/>
      <c r="L27" s="9"/>
      <c r="M27" s="9"/>
      <c r="N27" s="8"/>
      <c r="O27" s="10"/>
      <c r="P27" s="9"/>
      <c r="Q27" s="9"/>
      <c r="R27" s="9"/>
      <c r="S27" s="78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80"/>
      <c r="AX27" s="81"/>
      <c r="AY27" s="81"/>
      <c r="AZ27" s="81"/>
      <c r="BA27" s="81"/>
      <c r="BB27" s="81"/>
      <c r="BC27" s="82"/>
      <c r="BD27" s="85"/>
      <c r="BE27" s="81"/>
      <c r="BF27" s="81"/>
      <c r="BG27" s="81"/>
      <c r="BH27" s="81"/>
      <c r="BI27" s="81"/>
      <c r="BJ27" s="82"/>
      <c r="BK27" s="17"/>
    </row>
    <row r="28" spans="1:63" ht="15" customHeight="1" x14ac:dyDescent="0.25">
      <c r="A28" s="14"/>
      <c r="B28" s="7"/>
      <c r="C28" s="6"/>
      <c r="D28" s="6"/>
      <c r="E28" s="6"/>
      <c r="F28" s="6"/>
      <c r="G28" s="5"/>
      <c r="H28" s="7"/>
      <c r="I28" s="6"/>
      <c r="J28" s="6"/>
      <c r="K28" s="6"/>
      <c r="L28" s="6"/>
      <c r="M28" s="6"/>
      <c r="N28" s="5"/>
      <c r="O28" s="7"/>
      <c r="P28" s="6"/>
      <c r="Q28" s="6"/>
      <c r="R28" s="6"/>
      <c r="S28" s="87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9"/>
      <c r="AX28" s="83"/>
      <c r="AY28" s="83"/>
      <c r="AZ28" s="83"/>
      <c r="BA28" s="83"/>
      <c r="BB28" s="83"/>
      <c r="BC28" s="84"/>
      <c r="BD28" s="86"/>
      <c r="BE28" s="83"/>
      <c r="BF28" s="83"/>
      <c r="BG28" s="83"/>
      <c r="BH28" s="83"/>
      <c r="BI28" s="83"/>
      <c r="BJ28" s="84"/>
      <c r="BK28" s="17"/>
    </row>
    <row r="29" spans="1:63" ht="15" customHeight="1" x14ac:dyDescent="0.25">
      <c r="A29" s="14"/>
      <c r="B29" s="10"/>
      <c r="C29" s="9"/>
      <c r="D29" s="9"/>
      <c r="E29" s="9"/>
      <c r="F29" s="9"/>
      <c r="G29" s="8"/>
      <c r="H29" s="10"/>
      <c r="I29" s="9"/>
      <c r="J29" s="9"/>
      <c r="K29" s="9"/>
      <c r="L29" s="9"/>
      <c r="M29" s="9"/>
      <c r="N29" s="8"/>
      <c r="O29" s="10"/>
      <c r="P29" s="9"/>
      <c r="Q29" s="9"/>
      <c r="R29" s="9"/>
      <c r="S29" s="78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80"/>
      <c r="AX29" s="81"/>
      <c r="AY29" s="81"/>
      <c r="AZ29" s="81"/>
      <c r="BA29" s="81"/>
      <c r="BB29" s="81"/>
      <c r="BC29" s="82"/>
      <c r="BD29" s="85"/>
      <c r="BE29" s="81"/>
      <c r="BF29" s="81"/>
      <c r="BG29" s="81"/>
      <c r="BH29" s="81"/>
      <c r="BI29" s="81"/>
      <c r="BJ29" s="82"/>
      <c r="BK29" s="17"/>
    </row>
    <row r="30" spans="1:63" ht="15" customHeight="1" x14ac:dyDescent="0.25">
      <c r="A30" s="14"/>
      <c r="B30" s="7"/>
      <c r="C30" s="6"/>
      <c r="D30" s="6"/>
      <c r="E30" s="6"/>
      <c r="F30" s="6"/>
      <c r="G30" s="5"/>
      <c r="H30" s="7"/>
      <c r="I30" s="6"/>
      <c r="J30" s="6"/>
      <c r="K30" s="6"/>
      <c r="L30" s="6"/>
      <c r="M30" s="6"/>
      <c r="N30" s="5"/>
      <c r="O30" s="7"/>
      <c r="P30" s="6"/>
      <c r="Q30" s="6"/>
      <c r="R30" s="6"/>
      <c r="S30" s="87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9"/>
      <c r="AX30" s="83"/>
      <c r="AY30" s="83"/>
      <c r="AZ30" s="83"/>
      <c r="BA30" s="83"/>
      <c r="BB30" s="83"/>
      <c r="BC30" s="84"/>
      <c r="BD30" s="86"/>
      <c r="BE30" s="83"/>
      <c r="BF30" s="83"/>
      <c r="BG30" s="83"/>
      <c r="BH30" s="83"/>
      <c r="BI30" s="83"/>
      <c r="BJ30" s="84"/>
      <c r="BK30" s="17"/>
    </row>
    <row r="31" spans="1:63" ht="15" customHeight="1" x14ac:dyDescent="0.25">
      <c r="A31" s="14"/>
      <c r="B31" s="10"/>
      <c r="C31" s="9"/>
      <c r="D31" s="9"/>
      <c r="E31" s="9"/>
      <c r="F31" s="9"/>
      <c r="G31" s="8"/>
      <c r="H31" s="10"/>
      <c r="I31" s="9"/>
      <c r="J31" s="9"/>
      <c r="K31" s="9"/>
      <c r="L31" s="9"/>
      <c r="M31" s="9"/>
      <c r="N31" s="8"/>
      <c r="O31" s="10"/>
      <c r="P31" s="9"/>
      <c r="Q31" s="9"/>
      <c r="R31" s="9"/>
      <c r="S31" s="78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80"/>
      <c r="AX31" s="81"/>
      <c r="AY31" s="81"/>
      <c r="AZ31" s="81"/>
      <c r="BA31" s="81"/>
      <c r="BB31" s="81"/>
      <c r="BC31" s="82"/>
      <c r="BD31" s="85"/>
      <c r="BE31" s="81"/>
      <c r="BF31" s="81"/>
      <c r="BG31" s="81"/>
      <c r="BH31" s="81"/>
      <c r="BI31" s="81"/>
      <c r="BJ31" s="82"/>
      <c r="BK31" s="17"/>
    </row>
    <row r="32" spans="1:63" ht="15" customHeight="1" x14ac:dyDescent="0.25">
      <c r="A32" s="14"/>
      <c r="B32" s="7"/>
      <c r="C32" s="6"/>
      <c r="D32" s="6"/>
      <c r="E32" s="6"/>
      <c r="F32" s="6"/>
      <c r="G32" s="5"/>
      <c r="H32" s="7"/>
      <c r="I32" s="6"/>
      <c r="J32" s="6"/>
      <c r="K32" s="6"/>
      <c r="L32" s="6"/>
      <c r="M32" s="6"/>
      <c r="N32" s="5"/>
      <c r="O32" s="7"/>
      <c r="P32" s="6"/>
      <c r="Q32" s="6"/>
      <c r="R32" s="6"/>
      <c r="S32" s="87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9"/>
      <c r="AX32" s="83"/>
      <c r="AY32" s="83"/>
      <c r="AZ32" s="83"/>
      <c r="BA32" s="83"/>
      <c r="BB32" s="83"/>
      <c r="BC32" s="84"/>
      <c r="BD32" s="86"/>
      <c r="BE32" s="83"/>
      <c r="BF32" s="83"/>
      <c r="BG32" s="83"/>
      <c r="BH32" s="83"/>
      <c r="BI32" s="83"/>
      <c r="BJ32" s="84"/>
      <c r="BK32" s="17"/>
    </row>
    <row r="33" spans="1:63" ht="15" customHeight="1" x14ac:dyDescent="0.25">
      <c r="A33" s="14"/>
      <c r="B33" s="10"/>
      <c r="C33" s="9"/>
      <c r="D33" s="9"/>
      <c r="E33" s="9"/>
      <c r="F33" s="9"/>
      <c r="G33" s="8"/>
      <c r="H33" s="10"/>
      <c r="I33" s="9"/>
      <c r="J33" s="9"/>
      <c r="K33" s="9"/>
      <c r="L33" s="9"/>
      <c r="M33" s="9"/>
      <c r="N33" s="8"/>
      <c r="O33" s="10"/>
      <c r="P33" s="9"/>
      <c r="Q33" s="9"/>
      <c r="R33" s="9"/>
      <c r="S33" s="78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80"/>
      <c r="AX33" s="81"/>
      <c r="AY33" s="81"/>
      <c r="AZ33" s="81"/>
      <c r="BA33" s="81"/>
      <c r="BB33" s="81"/>
      <c r="BC33" s="82"/>
      <c r="BD33" s="85"/>
      <c r="BE33" s="81"/>
      <c r="BF33" s="81"/>
      <c r="BG33" s="81"/>
      <c r="BH33" s="81"/>
      <c r="BI33" s="81"/>
      <c r="BJ33" s="82"/>
      <c r="BK33" s="17"/>
    </row>
    <row r="34" spans="1:63" ht="15" customHeight="1" x14ac:dyDescent="0.25">
      <c r="A34" s="14"/>
      <c r="B34" s="7"/>
      <c r="C34" s="6"/>
      <c r="D34" s="6"/>
      <c r="E34" s="6"/>
      <c r="F34" s="6"/>
      <c r="G34" s="5"/>
      <c r="H34" s="7"/>
      <c r="I34" s="6"/>
      <c r="J34" s="6"/>
      <c r="K34" s="6"/>
      <c r="L34" s="6"/>
      <c r="M34" s="6"/>
      <c r="N34" s="5"/>
      <c r="O34" s="7"/>
      <c r="P34" s="6"/>
      <c r="Q34" s="6"/>
      <c r="R34" s="6"/>
      <c r="S34" s="87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9"/>
      <c r="AX34" s="83"/>
      <c r="AY34" s="83"/>
      <c r="AZ34" s="83"/>
      <c r="BA34" s="83"/>
      <c r="BB34" s="83"/>
      <c r="BC34" s="84"/>
      <c r="BD34" s="86"/>
      <c r="BE34" s="83"/>
      <c r="BF34" s="83"/>
      <c r="BG34" s="83"/>
      <c r="BH34" s="83"/>
      <c r="BI34" s="83"/>
      <c r="BJ34" s="84"/>
      <c r="BK34" s="17"/>
    </row>
    <row r="35" spans="1:63" ht="15" customHeight="1" x14ac:dyDescent="0.25">
      <c r="A35" s="14"/>
      <c r="B35" s="10"/>
      <c r="C35" s="9"/>
      <c r="D35" s="9"/>
      <c r="E35" s="9"/>
      <c r="F35" s="9"/>
      <c r="G35" s="8"/>
      <c r="H35" s="10"/>
      <c r="I35" s="9"/>
      <c r="J35" s="9"/>
      <c r="K35" s="9"/>
      <c r="L35" s="9"/>
      <c r="M35" s="9"/>
      <c r="N35" s="8"/>
      <c r="O35" s="10"/>
      <c r="P35" s="9"/>
      <c r="Q35" s="9"/>
      <c r="R35" s="9"/>
      <c r="S35" s="78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80"/>
      <c r="AX35" s="81"/>
      <c r="AY35" s="81"/>
      <c r="AZ35" s="81"/>
      <c r="BA35" s="81"/>
      <c r="BB35" s="81"/>
      <c r="BC35" s="82"/>
      <c r="BD35" s="85"/>
      <c r="BE35" s="81"/>
      <c r="BF35" s="81"/>
      <c r="BG35" s="81"/>
      <c r="BH35" s="81"/>
      <c r="BI35" s="81"/>
      <c r="BJ35" s="82"/>
      <c r="BK35" s="17"/>
    </row>
    <row r="36" spans="1:63" ht="15" customHeight="1" x14ac:dyDescent="0.25">
      <c r="A36" s="14"/>
      <c r="B36" s="7"/>
      <c r="C36" s="6"/>
      <c r="D36" s="6"/>
      <c r="E36" s="6"/>
      <c r="F36" s="6"/>
      <c r="G36" s="5"/>
      <c r="H36" s="7"/>
      <c r="I36" s="6"/>
      <c r="J36" s="6"/>
      <c r="K36" s="6"/>
      <c r="L36" s="6"/>
      <c r="M36" s="6"/>
      <c r="N36" s="5"/>
      <c r="O36" s="7"/>
      <c r="P36" s="6"/>
      <c r="Q36" s="6"/>
      <c r="R36" s="6"/>
      <c r="S36" s="87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9"/>
      <c r="AX36" s="83"/>
      <c r="AY36" s="83"/>
      <c r="AZ36" s="83"/>
      <c r="BA36" s="83"/>
      <c r="BB36" s="83"/>
      <c r="BC36" s="84"/>
      <c r="BD36" s="86"/>
      <c r="BE36" s="83"/>
      <c r="BF36" s="83"/>
      <c r="BG36" s="83"/>
      <c r="BH36" s="83"/>
      <c r="BI36" s="83"/>
      <c r="BJ36" s="84"/>
      <c r="BK36" s="17"/>
    </row>
    <row r="37" spans="1:63" ht="15" customHeight="1" x14ac:dyDescent="0.25">
      <c r="A37" s="14"/>
      <c r="B37" s="10"/>
      <c r="C37" s="9"/>
      <c r="D37" s="9"/>
      <c r="E37" s="9"/>
      <c r="F37" s="9"/>
      <c r="G37" s="8"/>
      <c r="H37" s="10"/>
      <c r="I37" s="9"/>
      <c r="J37" s="9"/>
      <c r="K37" s="9"/>
      <c r="L37" s="9"/>
      <c r="M37" s="9"/>
      <c r="N37" s="8"/>
      <c r="O37" s="10"/>
      <c r="P37" s="9"/>
      <c r="Q37" s="9"/>
      <c r="R37" s="9"/>
      <c r="S37" s="78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80"/>
      <c r="AX37" s="81"/>
      <c r="AY37" s="81"/>
      <c r="AZ37" s="81"/>
      <c r="BA37" s="81"/>
      <c r="BB37" s="81"/>
      <c r="BC37" s="82"/>
      <c r="BD37" s="85"/>
      <c r="BE37" s="81"/>
      <c r="BF37" s="81"/>
      <c r="BG37" s="81"/>
      <c r="BH37" s="81"/>
      <c r="BI37" s="81"/>
      <c r="BJ37" s="82"/>
      <c r="BK37" s="17"/>
    </row>
    <row r="38" spans="1:63" ht="15" customHeight="1" x14ac:dyDescent="0.25">
      <c r="A38" s="14"/>
      <c r="B38" s="7"/>
      <c r="C38" s="6"/>
      <c r="D38" s="6"/>
      <c r="E38" s="6"/>
      <c r="F38" s="6"/>
      <c r="G38" s="5"/>
      <c r="H38" s="7"/>
      <c r="I38" s="6"/>
      <c r="J38" s="6"/>
      <c r="K38" s="6"/>
      <c r="L38" s="6"/>
      <c r="M38" s="6"/>
      <c r="N38" s="5"/>
      <c r="O38" s="7"/>
      <c r="P38" s="6"/>
      <c r="Q38" s="6"/>
      <c r="R38" s="6"/>
      <c r="S38" s="87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9"/>
      <c r="AX38" s="83"/>
      <c r="AY38" s="83"/>
      <c r="AZ38" s="83"/>
      <c r="BA38" s="83"/>
      <c r="BB38" s="83"/>
      <c r="BC38" s="84"/>
      <c r="BD38" s="86"/>
      <c r="BE38" s="83"/>
      <c r="BF38" s="83"/>
      <c r="BG38" s="83"/>
      <c r="BH38" s="83"/>
      <c r="BI38" s="83"/>
      <c r="BJ38" s="84"/>
      <c r="BK38" s="17"/>
    </row>
    <row r="39" spans="1:63" ht="15" customHeight="1" x14ac:dyDescent="0.25">
      <c r="A39" s="14"/>
      <c r="B39" s="10"/>
      <c r="C39" s="9"/>
      <c r="D39" s="9"/>
      <c r="E39" s="9"/>
      <c r="F39" s="9"/>
      <c r="G39" s="8"/>
      <c r="H39" s="10"/>
      <c r="I39" s="9"/>
      <c r="J39" s="9"/>
      <c r="K39" s="9"/>
      <c r="L39" s="9"/>
      <c r="M39" s="9"/>
      <c r="N39" s="8"/>
      <c r="O39" s="10"/>
      <c r="P39" s="9"/>
      <c r="Q39" s="9"/>
      <c r="R39" s="9"/>
      <c r="S39" s="78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80"/>
      <c r="AX39" s="81"/>
      <c r="AY39" s="81"/>
      <c r="AZ39" s="81"/>
      <c r="BA39" s="81"/>
      <c r="BB39" s="81"/>
      <c r="BC39" s="82"/>
      <c r="BD39" s="85"/>
      <c r="BE39" s="81"/>
      <c r="BF39" s="81"/>
      <c r="BG39" s="81"/>
      <c r="BH39" s="81"/>
      <c r="BI39" s="81"/>
      <c r="BJ39" s="82"/>
      <c r="BK39" s="17"/>
    </row>
    <row r="40" spans="1:63" ht="15" customHeight="1" x14ac:dyDescent="0.25">
      <c r="A40" s="14"/>
      <c r="B40" s="7"/>
      <c r="C40" s="6"/>
      <c r="D40" s="6"/>
      <c r="E40" s="6"/>
      <c r="F40" s="6"/>
      <c r="G40" s="5"/>
      <c r="H40" s="7"/>
      <c r="I40" s="6"/>
      <c r="J40" s="6"/>
      <c r="K40" s="6"/>
      <c r="L40" s="6"/>
      <c r="M40" s="6"/>
      <c r="N40" s="5"/>
      <c r="O40" s="7"/>
      <c r="P40" s="6"/>
      <c r="Q40" s="6"/>
      <c r="R40" s="6"/>
      <c r="S40" s="87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9"/>
      <c r="AX40" s="83"/>
      <c r="AY40" s="83"/>
      <c r="AZ40" s="83"/>
      <c r="BA40" s="83"/>
      <c r="BB40" s="83"/>
      <c r="BC40" s="84"/>
      <c r="BD40" s="86"/>
      <c r="BE40" s="83"/>
      <c r="BF40" s="83"/>
      <c r="BG40" s="83"/>
      <c r="BH40" s="83"/>
      <c r="BI40" s="83"/>
      <c r="BJ40" s="84"/>
      <c r="BK40" s="17"/>
    </row>
    <row r="41" spans="1:63" ht="15" customHeight="1" x14ac:dyDescent="0.25">
      <c r="A41" s="14"/>
      <c r="B41" s="10"/>
      <c r="C41" s="9"/>
      <c r="D41" s="9"/>
      <c r="E41" s="9"/>
      <c r="F41" s="9"/>
      <c r="G41" s="8"/>
      <c r="H41" s="10"/>
      <c r="I41" s="9"/>
      <c r="J41" s="9"/>
      <c r="K41" s="9"/>
      <c r="L41" s="9"/>
      <c r="M41" s="9"/>
      <c r="N41" s="8"/>
      <c r="O41" s="10"/>
      <c r="P41" s="9"/>
      <c r="Q41" s="9"/>
      <c r="R41" s="9"/>
      <c r="S41" s="78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80"/>
      <c r="AX41" s="81"/>
      <c r="AY41" s="81"/>
      <c r="AZ41" s="81"/>
      <c r="BA41" s="81"/>
      <c r="BB41" s="81"/>
      <c r="BC41" s="82"/>
      <c r="BD41" s="85"/>
      <c r="BE41" s="81"/>
      <c r="BF41" s="81"/>
      <c r="BG41" s="81"/>
      <c r="BH41" s="81"/>
      <c r="BI41" s="81"/>
      <c r="BJ41" s="82"/>
      <c r="BK41" s="17"/>
    </row>
    <row r="42" spans="1:63" ht="15" customHeight="1" x14ac:dyDescent="0.25">
      <c r="A42" s="14"/>
      <c r="B42" s="7"/>
      <c r="C42" s="6"/>
      <c r="D42" s="6"/>
      <c r="E42" s="6"/>
      <c r="F42" s="6"/>
      <c r="G42" s="5"/>
      <c r="H42" s="7"/>
      <c r="I42" s="6"/>
      <c r="J42" s="6"/>
      <c r="K42" s="6"/>
      <c r="L42" s="6"/>
      <c r="M42" s="6"/>
      <c r="N42" s="5"/>
      <c r="O42" s="7"/>
      <c r="P42" s="6"/>
      <c r="Q42" s="6"/>
      <c r="R42" s="6"/>
      <c r="S42" s="87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9"/>
      <c r="AX42" s="83"/>
      <c r="AY42" s="83"/>
      <c r="AZ42" s="83"/>
      <c r="BA42" s="83"/>
      <c r="BB42" s="83"/>
      <c r="BC42" s="84"/>
      <c r="BD42" s="86"/>
      <c r="BE42" s="83"/>
      <c r="BF42" s="83"/>
      <c r="BG42" s="83"/>
      <c r="BH42" s="83"/>
      <c r="BI42" s="83"/>
      <c r="BJ42" s="84"/>
      <c r="BK42" s="17"/>
    </row>
    <row r="43" spans="1:63" ht="15" customHeight="1" x14ac:dyDescent="0.25">
      <c r="A43" s="14"/>
      <c r="B43" s="10"/>
      <c r="C43" s="9"/>
      <c r="D43" s="9"/>
      <c r="E43" s="9"/>
      <c r="F43" s="9"/>
      <c r="G43" s="8"/>
      <c r="H43" s="10"/>
      <c r="I43" s="9"/>
      <c r="J43" s="9"/>
      <c r="K43" s="9"/>
      <c r="L43" s="9"/>
      <c r="M43" s="9"/>
      <c r="N43" s="8"/>
      <c r="O43" s="10"/>
      <c r="P43" s="9"/>
      <c r="Q43" s="9"/>
      <c r="R43" s="9"/>
      <c r="S43" s="78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80"/>
      <c r="AX43" s="81"/>
      <c r="AY43" s="81"/>
      <c r="AZ43" s="81"/>
      <c r="BA43" s="81"/>
      <c r="BB43" s="81"/>
      <c r="BC43" s="82"/>
      <c r="BD43" s="85"/>
      <c r="BE43" s="81"/>
      <c r="BF43" s="81"/>
      <c r="BG43" s="81"/>
      <c r="BH43" s="81"/>
      <c r="BI43" s="81"/>
      <c r="BJ43" s="82"/>
      <c r="BK43" s="17"/>
    </row>
    <row r="44" spans="1:63" ht="15" customHeight="1" x14ac:dyDescent="0.25">
      <c r="A44" s="14"/>
      <c r="B44" s="7"/>
      <c r="C44" s="6"/>
      <c r="D44" s="6"/>
      <c r="E44" s="6"/>
      <c r="F44" s="6"/>
      <c r="G44" s="5"/>
      <c r="H44" s="7"/>
      <c r="I44" s="6"/>
      <c r="J44" s="6"/>
      <c r="K44" s="6"/>
      <c r="L44" s="6"/>
      <c r="M44" s="6"/>
      <c r="N44" s="5"/>
      <c r="O44" s="7"/>
      <c r="P44" s="6"/>
      <c r="Q44" s="6"/>
      <c r="R44" s="6"/>
      <c r="S44" s="87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9"/>
      <c r="AX44" s="83"/>
      <c r="AY44" s="83"/>
      <c r="AZ44" s="83"/>
      <c r="BA44" s="83"/>
      <c r="BB44" s="83"/>
      <c r="BC44" s="84"/>
      <c r="BD44" s="86"/>
      <c r="BE44" s="83"/>
      <c r="BF44" s="83"/>
      <c r="BG44" s="83"/>
      <c r="BH44" s="83"/>
      <c r="BI44" s="83"/>
      <c r="BJ44" s="84"/>
      <c r="BK44" s="17"/>
    </row>
    <row r="45" spans="1:63" ht="15" customHeight="1" x14ac:dyDescent="0.25">
      <c r="A45" s="14"/>
      <c r="B45" s="10"/>
      <c r="C45" s="9"/>
      <c r="D45" s="9"/>
      <c r="E45" s="9"/>
      <c r="F45" s="9"/>
      <c r="G45" s="8"/>
      <c r="H45" s="10"/>
      <c r="I45" s="9"/>
      <c r="J45" s="9"/>
      <c r="K45" s="9"/>
      <c r="L45" s="9"/>
      <c r="M45" s="9"/>
      <c r="N45" s="8"/>
      <c r="O45" s="10"/>
      <c r="P45" s="9"/>
      <c r="Q45" s="9"/>
      <c r="R45" s="9"/>
      <c r="S45" s="78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80"/>
      <c r="AX45" s="81"/>
      <c r="AY45" s="81"/>
      <c r="AZ45" s="81"/>
      <c r="BA45" s="81"/>
      <c r="BB45" s="81"/>
      <c r="BC45" s="82"/>
      <c r="BD45" s="85"/>
      <c r="BE45" s="81"/>
      <c r="BF45" s="81"/>
      <c r="BG45" s="81"/>
      <c r="BH45" s="81"/>
      <c r="BI45" s="81"/>
      <c r="BJ45" s="82"/>
      <c r="BK45" s="17"/>
    </row>
    <row r="46" spans="1:63" ht="15" customHeight="1" x14ac:dyDescent="0.25">
      <c r="A46" s="14"/>
      <c r="B46" s="7"/>
      <c r="C46" s="6"/>
      <c r="D46" s="6"/>
      <c r="E46" s="6"/>
      <c r="F46" s="6"/>
      <c r="G46" s="5"/>
      <c r="H46" s="7"/>
      <c r="I46" s="6"/>
      <c r="J46" s="6"/>
      <c r="K46" s="6"/>
      <c r="L46" s="6"/>
      <c r="M46" s="6"/>
      <c r="N46" s="5"/>
      <c r="O46" s="7"/>
      <c r="P46" s="6"/>
      <c r="Q46" s="6"/>
      <c r="R46" s="6"/>
      <c r="S46" s="87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9"/>
      <c r="AX46" s="83"/>
      <c r="AY46" s="83"/>
      <c r="AZ46" s="83"/>
      <c r="BA46" s="83"/>
      <c r="BB46" s="83"/>
      <c r="BC46" s="84"/>
      <c r="BD46" s="86"/>
      <c r="BE46" s="83"/>
      <c r="BF46" s="83"/>
      <c r="BG46" s="83"/>
      <c r="BH46" s="83"/>
      <c r="BI46" s="83"/>
      <c r="BJ46" s="84"/>
      <c r="BK46" s="17"/>
    </row>
    <row r="47" spans="1:63" ht="15" customHeight="1" x14ac:dyDescent="0.25">
      <c r="A47" s="14"/>
      <c r="B47" s="10"/>
      <c r="C47" s="9"/>
      <c r="D47" s="9"/>
      <c r="E47" s="9"/>
      <c r="F47" s="9"/>
      <c r="G47" s="8"/>
      <c r="H47" s="10"/>
      <c r="I47" s="9"/>
      <c r="J47" s="9"/>
      <c r="K47" s="9"/>
      <c r="L47" s="9"/>
      <c r="M47" s="9"/>
      <c r="N47" s="8"/>
      <c r="O47" s="10"/>
      <c r="P47" s="9"/>
      <c r="Q47" s="9"/>
      <c r="R47" s="9"/>
      <c r="S47" s="78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80"/>
      <c r="AX47" s="81"/>
      <c r="AY47" s="81"/>
      <c r="AZ47" s="81"/>
      <c r="BA47" s="81"/>
      <c r="BB47" s="81"/>
      <c r="BC47" s="82"/>
      <c r="BD47" s="85"/>
      <c r="BE47" s="81"/>
      <c r="BF47" s="81"/>
      <c r="BG47" s="81"/>
      <c r="BH47" s="81"/>
      <c r="BI47" s="81"/>
      <c r="BJ47" s="82"/>
      <c r="BK47" s="17"/>
    </row>
    <row r="48" spans="1:63" ht="15" customHeight="1" x14ac:dyDescent="0.25">
      <c r="A48" s="14"/>
      <c r="B48" s="7"/>
      <c r="C48" s="6"/>
      <c r="D48" s="6"/>
      <c r="E48" s="6"/>
      <c r="F48" s="6"/>
      <c r="G48" s="5"/>
      <c r="H48" s="7"/>
      <c r="I48" s="6"/>
      <c r="J48" s="6"/>
      <c r="K48" s="6"/>
      <c r="L48" s="6"/>
      <c r="M48" s="6"/>
      <c r="N48" s="5"/>
      <c r="O48" s="7"/>
      <c r="P48" s="6"/>
      <c r="Q48" s="6"/>
      <c r="R48" s="6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9"/>
      <c r="AX48" s="83"/>
      <c r="AY48" s="83"/>
      <c r="AZ48" s="83"/>
      <c r="BA48" s="83"/>
      <c r="BB48" s="83"/>
      <c r="BC48" s="84"/>
      <c r="BD48" s="86"/>
      <c r="BE48" s="83"/>
      <c r="BF48" s="83"/>
      <c r="BG48" s="83"/>
      <c r="BH48" s="83"/>
      <c r="BI48" s="83"/>
      <c r="BJ48" s="84"/>
      <c r="BK48" s="17"/>
    </row>
    <row r="49" spans="1:63" ht="15" customHeight="1" x14ac:dyDescent="0.25">
      <c r="A49" s="14"/>
      <c r="B49" s="10"/>
      <c r="C49" s="9"/>
      <c r="D49" s="9"/>
      <c r="E49" s="9"/>
      <c r="F49" s="9"/>
      <c r="G49" s="8"/>
      <c r="H49" s="10"/>
      <c r="I49" s="9"/>
      <c r="J49" s="9"/>
      <c r="K49" s="9"/>
      <c r="L49" s="9"/>
      <c r="M49" s="9"/>
      <c r="N49" s="8"/>
      <c r="O49" s="10"/>
      <c r="P49" s="9"/>
      <c r="Q49" s="9"/>
      <c r="R49" s="9"/>
      <c r="S49" s="78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80"/>
      <c r="AX49" s="81"/>
      <c r="AY49" s="81"/>
      <c r="AZ49" s="81"/>
      <c r="BA49" s="81"/>
      <c r="BB49" s="81"/>
      <c r="BC49" s="82"/>
      <c r="BD49" s="85"/>
      <c r="BE49" s="81"/>
      <c r="BF49" s="81"/>
      <c r="BG49" s="81"/>
      <c r="BH49" s="81"/>
      <c r="BI49" s="81"/>
      <c r="BJ49" s="82"/>
      <c r="BK49" s="17"/>
    </row>
    <row r="50" spans="1:63" ht="15" customHeight="1" x14ac:dyDescent="0.25">
      <c r="A50" s="14"/>
      <c r="B50" s="7"/>
      <c r="C50" s="6"/>
      <c r="D50" s="6"/>
      <c r="E50" s="6"/>
      <c r="F50" s="6"/>
      <c r="G50" s="5"/>
      <c r="H50" s="7"/>
      <c r="I50" s="6"/>
      <c r="J50" s="6"/>
      <c r="K50" s="6"/>
      <c r="L50" s="6"/>
      <c r="M50" s="6"/>
      <c r="N50" s="5"/>
      <c r="O50" s="7"/>
      <c r="P50" s="6"/>
      <c r="Q50" s="6"/>
      <c r="R50" s="6"/>
      <c r="S50" s="87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9"/>
      <c r="AX50" s="83"/>
      <c r="AY50" s="83"/>
      <c r="AZ50" s="83"/>
      <c r="BA50" s="83"/>
      <c r="BB50" s="83"/>
      <c r="BC50" s="84"/>
      <c r="BD50" s="86"/>
      <c r="BE50" s="83"/>
      <c r="BF50" s="83"/>
      <c r="BG50" s="83"/>
      <c r="BH50" s="83"/>
      <c r="BI50" s="83"/>
      <c r="BJ50" s="84"/>
      <c r="BK50" s="17"/>
    </row>
    <row r="51" spans="1:63" ht="15" customHeight="1" x14ac:dyDescent="0.25">
      <c r="A51" s="14"/>
      <c r="B51" s="10"/>
      <c r="C51" s="9"/>
      <c r="D51" s="9"/>
      <c r="E51" s="9"/>
      <c r="F51" s="9"/>
      <c r="G51" s="8"/>
      <c r="H51" s="10"/>
      <c r="I51" s="9"/>
      <c r="J51" s="9"/>
      <c r="K51" s="9"/>
      <c r="L51" s="9"/>
      <c r="M51" s="9"/>
      <c r="N51" s="8"/>
      <c r="O51" s="10"/>
      <c r="P51" s="9"/>
      <c r="Q51" s="9"/>
      <c r="R51" s="9"/>
      <c r="S51" s="78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80"/>
      <c r="AX51" s="81"/>
      <c r="AY51" s="81"/>
      <c r="AZ51" s="81"/>
      <c r="BA51" s="81"/>
      <c r="BB51" s="81"/>
      <c r="BC51" s="82"/>
      <c r="BD51" s="85"/>
      <c r="BE51" s="81"/>
      <c r="BF51" s="81"/>
      <c r="BG51" s="81"/>
      <c r="BH51" s="81"/>
      <c r="BI51" s="81"/>
      <c r="BJ51" s="82"/>
      <c r="BK51" s="17"/>
    </row>
    <row r="52" spans="1:63" ht="15" customHeight="1" x14ac:dyDescent="0.25">
      <c r="A52" s="14"/>
      <c r="B52" s="7"/>
      <c r="C52" s="6"/>
      <c r="D52" s="6"/>
      <c r="E52" s="6"/>
      <c r="F52" s="6"/>
      <c r="G52" s="5"/>
      <c r="H52" s="7"/>
      <c r="I52" s="6"/>
      <c r="J52" s="6"/>
      <c r="K52" s="6"/>
      <c r="L52" s="6"/>
      <c r="M52" s="6"/>
      <c r="N52" s="5"/>
      <c r="O52" s="7"/>
      <c r="P52" s="6"/>
      <c r="Q52" s="6"/>
      <c r="R52" s="6"/>
      <c r="S52" s="87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9"/>
      <c r="AX52" s="83"/>
      <c r="AY52" s="83"/>
      <c r="AZ52" s="83"/>
      <c r="BA52" s="83"/>
      <c r="BB52" s="83"/>
      <c r="BC52" s="84"/>
      <c r="BD52" s="86"/>
      <c r="BE52" s="83"/>
      <c r="BF52" s="83"/>
      <c r="BG52" s="83"/>
      <c r="BH52" s="83"/>
      <c r="BI52" s="83"/>
      <c r="BJ52" s="84"/>
      <c r="BK52" s="17"/>
    </row>
    <row r="53" spans="1:63" ht="15" customHeight="1" x14ac:dyDescent="0.25">
      <c r="A53" s="14"/>
      <c r="B53" s="10"/>
      <c r="C53" s="9"/>
      <c r="D53" s="9"/>
      <c r="E53" s="9"/>
      <c r="F53" s="9"/>
      <c r="G53" s="8"/>
      <c r="H53" s="10"/>
      <c r="I53" s="9"/>
      <c r="J53" s="9"/>
      <c r="K53" s="9"/>
      <c r="L53" s="9"/>
      <c r="M53" s="9"/>
      <c r="N53" s="8"/>
      <c r="O53" s="10"/>
      <c r="P53" s="9"/>
      <c r="Q53" s="9"/>
      <c r="R53" s="9"/>
      <c r="S53" s="78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80"/>
      <c r="AX53" s="81"/>
      <c r="AY53" s="81"/>
      <c r="AZ53" s="81"/>
      <c r="BA53" s="81"/>
      <c r="BB53" s="81"/>
      <c r="BC53" s="82"/>
      <c r="BD53" s="85"/>
      <c r="BE53" s="81"/>
      <c r="BF53" s="81"/>
      <c r="BG53" s="81"/>
      <c r="BH53" s="81"/>
      <c r="BI53" s="81"/>
      <c r="BJ53" s="82"/>
      <c r="BK53" s="17"/>
    </row>
    <row r="54" spans="1:63" ht="15" customHeight="1" x14ac:dyDescent="0.25">
      <c r="A54" s="14"/>
      <c r="B54" s="7"/>
      <c r="C54" s="6"/>
      <c r="D54" s="6"/>
      <c r="E54" s="6"/>
      <c r="F54" s="6"/>
      <c r="G54" s="5"/>
      <c r="H54" s="7"/>
      <c r="I54" s="6"/>
      <c r="J54" s="6"/>
      <c r="K54" s="6"/>
      <c r="L54" s="6"/>
      <c r="M54" s="6"/>
      <c r="N54" s="5"/>
      <c r="O54" s="7"/>
      <c r="P54" s="6"/>
      <c r="Q54" s="6"/>
      <c r="R54" s="6"/>
      <c r="S54" s="87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9"/>
      <c r="AX54" s="83"/>
      <c r="AY54" s="83"/>
      <c r="AZ54" s="83"/>
      <c r="BA54" s="83"/>
      <c r="BB54" s="83"/>
      <c r="BC54" s="84"/>
      <c r="BD54" s="86"/>
      <c r="BE54" s="83"/>
      <c r="BF54" s="83"/>
      <c r="BG54" s="83"/>
      <c r="BH54" s="83"/>
      <c r="BI54" s="83"/>
      <c r="BJ54" s="84"/>
      <c r="BK54" s="17"/>
    </row>
    <row r="55" spans="1:63" ht="15" customHeight="1" x14ac:dyDescent="0.2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29" t="s">
        <v>60</v>
      </c>
      <c r="B1" s="230"/>
      <c r="C1" s="230"/>
      <c r="D1" s="230"/>
      <c r="E1" s="230"/>
      <c r="F1" s="230"/>
      <c r="G1" s="230"/>
      <c r="H1" s="230"/>
      <c r="I1" s="230"/>
      <c r="J1" s="231"/>
      <c r="K1" s="229" t="s">
        <v>61</v>
      </c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1"/>
      <c r="W1" s="232" t="str">
        <f>IF(表紙!W1="","",表紙!W1)</f>
        <v>詳細設計書</v>
      </c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4"/>
      <c r="AP1" s="155" t="s">
        <v>63</v>
      </c>
      <c r="AQ1" s="156"/>
      <c r="AR1" s="156"/>
      <c r="AS1" s="157"/>
      <c r="AT1" s="155" t="s">
        <v>64</v>
      </c>
      <c r="AU1" s="156"/>
      <c r="AV1" s="156"/>
      <c r="AW1" s="156"/>
      <c r="AX1" s="157"/>
      <c r="AY1" s="155" t="s">
        <v>65</v>
      </c>
      <c r="AZ1" s="156"/>
      <c r="BA1" s="156"/>
      <c r="BB1" s="157"/>
      <c r="BC1" s="155" t="s">
        <v>66</v>
      </c>
      <c r="BD1" s="156"/>
      <c r="BE1" s="156"/>
      <c r="BF1" s="156"/>
      <c r="BG1" s="157"/>
      <c r="BH1" s="155" t="s">
        <v>67</v>
      </c>
      <c r="BI1" s="156"/>
      <c r="BJ1" s="156"/>
      <c r="BK1" s="157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35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7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45460</v>
      </c>
      <c r="AU2" s="169"/>
      <c r="AV2" s="169"/>
      <c r="AW2" s="169"/>
      <c r="AX2" s="170"/>
      <c r="AY2" s="164" t="str">
        <f>IF(表紙!AY2="","",表紙!AY2)</f>
        <v>DuNT</v>
      </c>
      <c r="AZ2" s="162"/>
      <c r="BA2" s="162"/>
      <c r="BB2" s="163"/>
      <c r="BC2" s="168">
        <f>IF(表紙!BC2="","",表紙!BC2)</f>
        <v>45545</v>
      </c>
      <c r="BD2" s="169"/>
      <c r="BE2" s="169"/>
      <c r="BF2" s="169"/>
      <c r="BG2" s="170"/>
      <c r="BH2" s="164">
        <f>IF(表紙!BH2="","",表紙!BH2)</f>
        <v>0.13</v>
      </c>
      <c r="BI2" s="162"/>
      <c r="BJ2" s="162"/>
      <c r="BK2" s="163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38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40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229" t="s">
        <v>69</v>
      </c>
      <c r="B4" s="230"/>
      <c r="C4" s="230"/>
      <c r="D4" s="230"/>
      <c r="E4" s="230"/>
      <c r="F4" s="230"/>
      <c r="G4" s="231"/>
      <c r="H4" s="91" t="str">
        <f>IF(表紙!H4="","",表紙!H4)</f>
        <v>AP4002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229" t="s">
        <v>70</v>
      </c>
      <c r="V4" s="230"/>
      <c r="W4" s="230"/>
      <c r="X4" s="230"/>
      <c r="Y4" s="231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処理フロー凡例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161" customFormat="1" ht="15" customHeight="1" x14ac:dyDescent="0.25">
      <c r="A7" s="241"/>
      <c r="B7" s="242" t="s">
        <v>79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4"/>
      <c r="AF7" s="245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3"/>
      <c r="AV7" s="243"/>
      <c r="AW7" s="243"/>
      <c r="AX7" s="243"/>
      <c r="AY7" s="243"/>
      <c r="AZ7" s="243"/>
      <c r="BA7" s="243"/>
      <c r="BB7" s="243"/>
      <c r="BC7" s="243"/>
      <c r="BD7" s="243"/>
      <c r="BE7" s="243"/>
      <c r="BF7" s="243"/>
      <c r="BG7" s="243"/>
      <c r="BH7" s="243"/>
      <c r="BI7" s="244"/>
      <c r="BJ7" s="243"/>
      <c r="BK7" s="246"/>
    </row>
    <row r="8" spans="1:63" s="247" customFormat="1" ht="15" customHeight="1" x14ac:dyDescent="0.25">
      <c r="BK8" s="246"/>
    </row>
    <row r="9" spans="1:63" s="247" customFormat="1" ht="15" customHeight="1" x14ac:dyDescent="0.25">
      <c r="BK9" s="246"/>
    </row>
    <row r="10" spans="1:63" s="247" customFormat="1" ht="15" customHeight="1" x14ac:dyDescent="0.25">
      <c r="BK10" s="246"/>
    </row>
    <row r="11" spans="1:63" s="247" customFormat="1" ht="15" customHeight="1" x14ac:dyDescent="0.25">
      <c r="BK11" s="246"/>
    </row>
    <row r="12" spans="1:63" s="247" customFormat="1" ht="15" customHeight="1" x14ac:dyDescent="0.25">
      <c r="BK12" s="246"/>
    </row>
    <row r="13" spans="1:63" s="247" customFormat="1" ht="15" customHeight="1" x14ac:dyDescent="0.25">
      <c r="BK13" s="246"/>
    </row>
    <row r="14" spans="1:63" s="247" customFormat="1" ht="15" customHeight="1" x14ac:dyDescent="0.25">
      <c r="BK14" s="246"/>
    </row>
    <row r="15" spans="1:63" s="247" customFormat="1" ht="15" customHeight="1" x14ac:dyDescent="0.25">
      <c r="BK15" s="246"/>
    </row>
    <row r="16" spans="1:63" s="247" customFormat="1" ht="15" customHeight="1" x14ac:dyDescent="0.25">
      <c r="BK16" s="246"/>
    </row>
    <row r="17" spans="63:63" s="247" customFormat="1" ht="15" customHeight="1" x14ac:dyDescent="0.25">
      <c r="BK17" s="246"/>
    </row>
    <row r="18" spans="63:63" s="247" customFormat="1" ht="15" customHeight="1" x14ac:dyDescent="0.25">
      <c r="BK18" s="246"/>
    </row>
    <row r="19" spans="63:63" s="247" customFormat="1" ht="15" customHeight="1" x14ac:dyDescent="0.25">
      <c r="BK19" s="246"/>
    </row>
    <row r="20" spans="63:63" s="247" customFormat="1" ht="15" customHeight="1" x14ac:dyDescent="0.25">
      <c r="BK20" s="246"/>
    </row>
    <row r="21" spans="63:63" s="247" customFormat="1" ht="15" customHeight="1" x14ac:dyDescent="0.25">
      <c r="BK21" s="246"/>
    </row>
    <row r="22" spans="63:63" s="247" customFormat="1" ht="15" customHeight="1" x14ac:dyDescent="0.25">
      <c r="BK22" s="246"/>
    </row>
    <row r="23" spans="63:63" s="247" customFormat="1" ht="15" customHeight="1" x14ac:dyDescent="0.25">
      <c r="BK23" s="246"/>
    </row>
    <row r="24" spans="63:63" s="247" customFormat="1" ht="15" customHeight="1" x14ac:dyDescent="0.25">
      <c r="BK24" s="246"/>
    </row>
    <row r="25" spans="63:63" s="247" customFormat="1" ht="15" customHeight="1" x14ac:dyDescent="0.25">
      <c r="BK25" s="246"/>
    </row>
    <row r="26" spans="63:63" s="247" customFormat="1" ht="15" customHeight="1" x14ac:dyDescent="0.25">
      <c r="BK26" s="246"/>
    </row>
    <row r="27" spans="63:63" s="247" customFormat="1" ht="15" customHeight="1" x14ac:dyDescent="0.25">
      <c r="BK27" s="246"/>
    </row>
    <row r="28" spans="63:63" s="247" customFormat="1" ht="15" customHeight="1" x14ac:dyDescent="0.25">
      <c r="BK28" s="246"/>
    </row>
    <row r="29" spans="63:63" s="247" customFormat="1" ht="15" customHeight="1" x14ac:dyDescent="0.25">
      <c r="BK29" s="246"/>
    </row>
    <row r="30" spans="63:63" s="247" customFormat="1" ht="15" customHeight="1" x14ac:dyDescent="0.25">
      <c r="BK30" s="246"/>
    </row>
    <row r="31" spans="63:63" s="247" customFormat="1" ht="15" customHeight="1" x14ac:dyDescent="0.25">
      <c r="BK31" s="246"/>
    </row>
    <row r="32" spans="63:63" s="247" customFormat="1" ht="15" customHeight="1" x14ac:dyDescent="0.25">
      <c r="BK32" s="246"/>
    </row>
    <row r="33" spans="63:63" s="247" customFormat="1" ht="15" customHeight="1" x14ac:dyDescent="0.25">
      <c r="BK33" s="246"/>
    </row>
    <row r="34" spans="63:63" s="247" customFormat="1" ht="15" customHeight="1" x14ac:dyDescent="0.25">
      <c r="BK34" s="246"/>
    </row>
    <row r="35" spans="63:63" s="247" customFormat="1" ht="15" customHeight="1" x14ac:dyDescent="0.25">
      <c r="BK35" s="246"/>
    </row>
    <row r="36" spans="63:63" s="247" customFormat="1" ht="15" customHeight="1" x14ac:dyDescent="0.25">
      <c r="BK36" s="246"/>
    </row>
    <row r="37" spans="63:63" s="247" customFormat="1" ht="15" customHeight="1" x14ac:dyDescent="0.25">
      <c r="BK37" s="246"/>
    </row>
    <row r="38" spans="63:63" s="247" customFormat="1" ht="15" customHeight="1" x14ac:dyDescent="0.25">
      <c r="BK38" s="246"/>
    </row>
    <row r="39" spans="63:63" s="247" customFormat="1" ht="15" customHeight="1" x14ac:dyDescent="0.25">
      <c r="BK39" s="246"/>
    </row>
    <row r="40" spans="63:63" s="247" customFormat="1" ht="15" customHeight="1" x14ac:dyDescent="0.25">
      <c r="BK40" s="246"/>
    </row>
    <row r="41" spans="63:63" s="247" customFormat="1" ht="15" customHeight="1" x14ac:dyDescent="0.25">
      <c r="BK41" s="246"/>
    </row>
    <row r="42" spans="63:63" s="247" customFormat="1" ht="15" customHeight="1" x14ac:dyDescent="0.25">
      <c r="BK42" s="246"/>
    </row>
    <row r="43" spans="63:63" s="247" customFormat="1" ht="15" customHeight="1" x14ac:dyDescent="0.25">
      <c r="BK43" s="246"/>
    </row>
    <row r="44" spans="63:63" s="247" customFormat="1" ht="15" customHeight="1" x14ac:dyDescent="0.25">
      <c r="BK44" s="246"/>
    </row>
    <row r="45" spans="63:63" s="247" customFormat="1" ht="15" customHeight="1" x14ac:dyDescent="0.25">
      <c r="BK45" s="246"/>
    </row>
    <row r="46" spans="63:63" s="247" customFormat="1" ht="15" customHeight="1" x14ac:dyDescent="0.25">
      <c r="BK46" s="246"/>
    </row>
    <row r="47" spans="63:63" ht="15" customHeight="1" x14ac:dyDescent="0.25">
      <c r="BK47" s="23"/>
    </row>
    <row r="48" spans="63:63" ht="15" customHeight="1" x14ac:dyDescent="0.25">
      <c r="BK48" s="23"/>
    </row>
    <row r="49" spans="1:63" ht="15" customHeight="1" x14ac:dyDescent="0.25">
      <c r="BK49" s="23"/>
    </row>
    <row r="50" spans="1:63" ht="15" customHeight="1" x14ac:dyDescent="0.25">
      <c r="BK50" s="23"/>
    </row>
    <row r="51" spans="1:63" ht="15" customHeight="1" x14ac:dyDescent="0.25">
      <c r="BK51" s="23"/>
    </row>
    <row r="52" spans="1:63" ht="15" customHeight="1" x14ac:dyDescent="0.25">
      <c r="BK52" s="23"/>
    </row>
    <row r="53" spans="1:63" ht="15" customHeight="1" x14ac:dyDescent="0.25">
      <c r="BK53" s="23"/>
    </row>
    <row r="54" spans="1:63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9" customWidth="1"/>
    <col min="43" max="62" width="3.5546875" style="19" customWidth="1"/>
    <col min="63" max="63" width="2.77734375" style="19" customWidth="1"/>
    <col min="64" max="16384" width="10.109375" style="19"/>
  </cols>
  <sheetData>
    <row r="1" spans="1:63" ht="24.95" customHeight="1" x14ac:dyDescent="0.25">
      <c r="A1" s="229" t="s">
        <v>60</v>
      </c>
      <c r="B1" s="230"/>
      <c r="C1" s="230"/>
      <c r="D1" s="230"/>
      <c r="E1" s="230"/>
      <c r="F1" s="230"/>
      <c r="G1" s="230"/>
      <c r="H1" s="230"/>
      <c r="I1" s="230"/>
      <c r="J1" s="231"/>
      <c r="K1" s="229" t="s">
        <v>61</v>
      </c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1"/>
      <c r="W1" s="232" t="str">
        <f>IF(表紙!W1="","",表紙!W1)</f>
        <v>詳細設計書</v>
      </c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4"/>
      <c r="AP1" s="155" t="s">
        <v>63</v>
      </c>
      <c r="AQ1" s="156"/>
      <c r="AR1" s="156"/>
      <c r="AS1" s="157"/>
      <c r="AT1" s="155" t="s">
        <v>64</v>
      </c>
      <c r="AU1" s="156"/>
      <c r="AV1" s="156"/>
      <c r="AW1" s="156"/>
      <c r="AX1" s="157"/>
      <c r="AY1" s="155" t="s">
        <v>65</v>
      </c>
      <c r="AZ1" s="156"/>
      <c r="BA1" s="156"/>
      <c r="BB1" s="157"/>
      <c r="BC1" s="155" t="s">
        <v>66</v>
      </c>
      <c r="BD1" s="156"/>
      <c r="BE1" s="156"/>
      <c r="BF1" s="156"/>
      <c r="BG1" s="157"/>
      <c r="BH1" s="155" t="s">
        <v>67</v>
      </c>
      <c r="BI1" s="156"/>
      <c r="BJ1" s="156"/>
      <c r="BK1" s="157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35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7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45460</v>
      </c>
      <c r="AU2" s="169"/>
      <c r="AV2" s="169"/>
      <c r="AW2" s="169"/>
      <c r="AX2" s="170"/>
      <c r="AY2" s="164" t="str">
        <f>IF(表紙!AY2="","",表紙!AY2)</f>
        <v>DuNT</v>
      </c>
      <c r="AZ2" s="162"/>
      <c r="BA2" s="162"/>
      <c r="BB2" s="163"/>
      <c r="BC2" s="168">
        <f>IF(表紙!BC2="","",表紙!BC2)</f>
        <v>45545</v>
      </c>
      <c r="BD2" s="169"/>
      <c r="BE2" s="169"/>
      <c r="BF2" s="169"/>
      <c r="BG2" s="170"/>
      <c r="BH2" s="164">
        <f>IF(表紙!BH2="","",表紙!BH2)</f>
        <v>0.13</v>
      </c>
      <c r="BI2" s="162"/>
      <c r="BJ2" s="162"/>
      <c r="BK2" s="163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38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40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229" t="s">
        <v>69</v>
      </c>
      <c r="B4" s="230"/>
      <c r="C4" s="230"/>
      <c r="D4" s="230"/>
      <c r="E4" s="230"/>
      <c r="F4" s="230"/>
      <c r="G4" s="231"/>
      <c r="H4" s="91" t="str">
        <f>IF(表紙!H4="","",表紙!H4)</f>
        <v>AP4002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229" t="s">
        <v>70</v>
      </c>
      <c r="V4" s="230"/>
      <c r="W4" s="230"/>
      <c r="X4" s="230"/>
      <c r="Y4" s="231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AP4002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36" customFormat="1" ht="15" customHeight="1" x14ac:dyDescent="0.25">
      <c r="A7" s="31"/>
      <c r="B7" s="32" t="s">
        <v>80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248"/>
      <c r="AQ7" s="248"/>
      <c r="AR7" s="248"/>
      <c r="AS7" s="248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4"/>
      <c r="BI7" s="34"/>
      <c r="BJ7" s="34"/>
      <c r="BK7" s="35"/>
    </row>
    <row r="8" spans="1:63" s="36" customFormat="1" ht="15" customHeight="1" x14ac:dyDescent="0.25">
      <c r="A8" s="31"/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249"/>
      <c r="AQ8" s="249"/>
      <c r="AR8" s="249"/>
      <c r="AS8" s="249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9"/>
      <c r="BI8" s="39"/>
      <c r="BJ8" s="39"/>
      <c r="BK8" s="35"/>
    </row>
    <row r="9" spans="1:63" s="36" customFormat="1" ht="15" customHeight="1" x14ac:dyDescent="0.25">
      <c r="A9" s="31"/>
      <c r="B9" s="37"/>
      <c r="C9" s="38" t="s">
        <v>46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249"/>
      <c r="AQ9" s="249"/>
      <c r="AR9" s="249"/>
      <c r="AS9" s="249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9"/>
      <c r="BI9" s="39"/>
      <c r="BJ9" s="39"/>
      <c r="BK9" s="35"/>
    </row>
    <row r="10" spans="1:63" s="36" customFormat="1" ht="15" customHeight="1" x14ac:dyDescent="0.25">
      <c r="A10" s="31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9"/>
      <c r="BI10" s="39"/>
      <c r="BJ10" s="39"/>
      <c r="BK10" s="35"/>
    </row>
    <row r="11" spans="1:63" s="36" customFormat="1" ht="15" customHeight="1" x14ac:dyDescent="0.25">
      <c r="A11" s="31"/>
      <c r="B11" s="40" t="s">
        <v>81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4"/>
      <c r="BI11" s="34"/>
      <c r="BJ11" s="34"/>
      <c r="BK11" s="35"/>
    </row>
    <row r="12" spans="1:63" s="36" customFormat="1" ht="15" customHeight="1" x14ac:dyDescent="0.25">
      <c r="A12" s="31"/>
      <c r="B12" s="38"/>
      <c r="C12" s="41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9"/>
      <c r="BI12" s="39"/>
      <c r="BJ12" s="39"/>
      <c r="BK12" s="35"/>
    </row>
    <row r="13" spans="1:63" s="36" customFormat="1" ht="15" customHeight="1" x14ac:dyDescent="0.25">
      <c r="A13" s="31"/>
      <c r="B13" s="38"/>
      <c r="C13" s="41" t="s">
        <v>82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9"/>
      <c r="BI13" s="39"/>
      <c r="BJ13" s="39"/>
      <c r="BK13" s="35"/>
    </row>
    <row r="14" spans="1:63" s="36" customFormat="1" ht="15" customHeight="1" x14ac:dyDescent="0.25">
      <c r="A14" s="31"/>
      <c r="B14" s="38"/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9"/>
      <c r="BI14" s="39"/>
      <c r="BJ14" s="39"/>
      <c r="BK14" s="35"/>
    </row>
    <row r="15" spans="1:63" s="36" customFormat="1" ht="15" customHeight="1" x14ac:dyDescent="0.25">
      <c r="A15" s="31"/>
      <c r="B15" s="38"/>
      <c r="C15" s="101" t="s">
        <v>26</v>
      </c>
      <c r="D15" s="102"/>
      <c r="E15" s="101" t="s">
        <v>27</v>
      </c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2"/>
      <c r="AG15" s="101" t="s">
        <v>28</v>
      </c>
      <c r="AH15" s="105"/>
      <c r="AI15" s="105"/>
      <c r="AJ15" s="105"/>
      <c r="AK15" s="105"/>
      <c r="AL15" s="105"/>
      <c r="AM15" s="105"/>
      <c r="AN15" s="105"/>
      <c r="AO15" s="105"/>
      <c r="AP15" s="102"/>
      <c r="AQ15" s="101" t="s">
        <v>29</v>
      </c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2"/>
      <c r="BK15" s="35"/>
    </row>
    <row r="16" spans="1:63" s="36" customFormat="1" ht="15" customHeight="1" x14ac:dyDescent="0.25">
      <c r="A16" s="31"/>
      <c r="B16" s="38"/>
      <c r="C16" s="103">
        <v>1</v>
      </c>
      <c r="D16" s="104"/>
      <c r="E16" s="310" t="s">
        <v>83</v>
      </c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2"/>
      <c r="AG16" s="103" t="s">
        <v>35</v>
      </c>
      <c r="AH16" s="132"/>
      <c r="AI16" s="132"/>
      <c r="AJ16" s="132"/>
      <c r="AK16" s="132"/>
      <c r="AL16" s="132"/>
      <c r="AM16" s="132"/>
      <c r="AN16" s="132"/>
      <c r="AO16" s="132"/>
      <c r="AP16" s="104"/>
      <c r="AQ16" s="145" t="s">
        <v>18</v>
      </c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8"/>
      <c r="BK16" s="35"/>
    </row>
    <row r="17" spans="1:63" s="36" customFormat="1" ht="15" customHeight="1" x14ac:dyDescent="0.25">
      <c r="A17" s="31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9"/>
      <c r="BI17" s="39"/>
      <c r="BJ17" s="39"/>
      <c r="BK17" s="35"/>
    </row>
    <row r="18" spans="1:63" s="36" customFormat="1" ht="15" customHeight="1" x14ac:dyDescent="0.25">
      <c r="A18" s="31"/>
      <c r="B18" s="38"/>
      <c r="C18" s="41" t="s">
        <v>84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9"/>
      <c r="BI18" s="39"/>
      <c r="BJ18" s="39"/>
      <c r="BK18" s="35"/>
    </row>
    <row r="19" spans="1:63" s="36" customFormat="1" ht="15" customHeight="1" x14ac:dyDescent="0.25">
      <c r="A19" s="31"/>
      <c r="B19" s="38"/>
      <c r="C19" s="41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9"/>
      <c r="BI19" s="39"/>
      <c r="BJ19" s="39"/>
      <c r="BK19" s="35"/>
    </row>
    <row r="20" spans="1:63" s="36" customFormat="1" ht="15" customHeight="1" x14ac:dyDescent="0.25">
      <c r="A20" s="31"/>
      <c r="B20" s="38"/>
      <c r="C20" s="124" t="s">
        <v>85</v>
      </c>
      <c r="D20" s="125"/>
      <c r="E20" s="124" t="s">
        <v>86</v>
      </c>
      <c r="F20" s="126"/>
      <c r="G20" s="126"/>
      <c r="H20" s="126"/>
      <c r="I20" s="126"/>
      <c r="J20" s="126"/>
      <c r="K20" s="125"/>
      <c r="L20" s="101" t="s">
        <v>30</v>
      </c>
      <c r="M20" s="105"/>
      <c r="N20" s="102"/>
      <c r="O20" s="101" t="s">
        <v>31</v>
      </c>
      <c r="P20" s="105"/>
      <c r="Q20" s="105"/>
      <c r="R20" s="102"/>
      <c r="S20" s="101" t="s">
        <v>32</v>
      </c>
      <c r="T20" s="105"/>
      <c r="U20" s="105"/>
      <c r="V20" s="105"/>
      <c r="W20" s="105"/>
      <c r="X20" s="105"/>
      <c r="Y20" s="102"/>
      <c r="Z20" s="124" t="s">
        <v>87</v>
      </c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5"/>
      <c r="AQ20" s="101" t="s">
        <v>29</v>
      </c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2"/>
      <c r="BK20" s="35"/>
    </row>
    <row r="21" spans="1:63" s="36" customFormat="1" ht="15" customHeight="1" x14ac:dyDescent="0.25">
      <c r="A21" s="31"/>
      <c r="B21" s="38"/>
      <c r="C21" s="106">
        <v>1</v>
      </c>
      <c r="D21" s="107"/>
      <c r="E21" s="250" t="s">
        <v>15</v>
      </c>
      <c r="F21" s="251"/>
      <c r="G21" s="251"/>
      <c r="H21" s="251"/>
      <c r="I21" s="251"/>
      <c r="J21" s="251"/>
      <c r="K21" s="252"/>
      <c r="L21" s="112" t="s">
        <v>16</v>
      </c>
      <c r="M21" s="113"/>
      <c r="N21" s="114"/>
      <c r="O21" s="106" t="s">
        <v>17</v>
      </c>
      <c r="P21" s="121"/>
      <c r="Q21" s="121"/>
      <c r="R21" s="107"/>
      <c r="S21" s="106" t="s">
        <v>18</v>
      </c>
      <c r="T21" s="121"/>
      <c r="U21" s="121"/>
      <c r="V21" s="121"/>
      <c r="W21" s="121"/>
      <c r="X21" s="121"/>
      <c r="Y21" s="107"/>
      <c r="Z21" s="250" t="s">
        <v>19</v>
      </c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2"/>
      <c r="AQ21" s="253" t="s">
        <v>88</v>
      </c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5"/>
      <c r="BK21" s="35"/>
    </row>
    <row r="22" spans="1:63" s="36" customFormat="1" ht="15" customHeight="1" x14ac:dyDescent="0.25">
      <c r="A22" s="31"/>
      <c r="B22" s="38"/>
      <c r="C22" s="110"/>
      <c r="D22" s="111"/>
      <c r="E22" s="256"/>
      <c r="F22" s="257"/>
      <c r="G22" s="257"/>
      <c r="H22" s="257"/>
      <c r="I22" s="257"/>
      <c r="J22" s="257"/>
      <c r="K22" s="258"/>
      <c r="L22" s="118"/>
      <c r="M22" s="119"/>
      <c r="N22" s="120"/>
      <c r="O22" s="110"/>
      <c r="P22" s="123"/>
      <c r="Q22" s="123"/>
      <c r="R22" s="111"/>
      <c r="S22" s="110"/>
      <c r="T22" s="123"/>
      <c r="U22" s="123"/>
      <c r="V22" s="123"/>
      <c r="W22" s="123"/>
      <c r="X22" s="123"/>
      <c r="Y22" s="111"/>
      <c r="Z22" s="256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8"/>
      <c r="AQ22" s="259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1"/>
      <c r="BK22" s="35"/>
    </row>
    <row r="23" spans="1:63" s="36" customFormat="1" ht="15" customHeight="1" x14ac:dyDescent="0.25">
      <c r="A23" s="31"/>
      <c r="B23" s="38"/>
      <c r="C23" s="103">
        <v>2</v>
      </c>
      <c r="D23" s="104"/>
      <c r="E23" s="262" t="s">
        <v>20</v>
      </c>
      <c r="F23" s="263"/>
      <c r="G23" s="263"/>
      <c r="H23" s="263"/>
      <c r="I23" s="263"/>
      <c r="J23" s="263"/>
      <c r="K23" s="264"/>
      <c r="L23" s="133" t="s">
        <v>18</v>
      </c>
      <c r="M23" s="134"/>
      <c r="N23" s="135"/>
      <c r="O23" s="103" t="s">
        <v>17</v>
      </c>
      <c r="P23" s="132"/>
      <c r="Q23" s="132"/>
      <c r="R23" s="104"/>
      <c r="S23" s="103" t="s">
        <v>18</v>
      </c>
      <c r="T23" s="132"/>
      <c r="U23" s="132"/>
      <c r="V23" s="132"/>
      <c r="W23" s="132"/>
      <c r="X23" s="132"/>
      <c r="Y23" s="104"/>
      <c r="Z23" s="262" t="s">
        <v>20</v>
      </c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4"/>
      <c r="AQ23" s="265" t="s">
        <v>21</v>
      </c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7"/>
      <c r="BK23" s="35"/>
    </row>
    <row r="24" spans="1:63" s="36" customFormat="1" ht="15" customHeight="1" x14ac:dyDescent="0.25">
      <c r="A24" s="31"/>
      <c r="B24" s="38"/>
      <c r="C24" s="106">
        <v>3</v>
      </c>
      <c r="D24" s="107"/>
      <c r="E24" s="250" t="s">
        <v>22</v>
      </c>
      <c r="F24" s="251"/>
      <c r="G24" s="251"/>
      <c r="H24" s="251"/>
      <c r="I24" s="251"/>
      <c r="J24" s="251"/>
      <c r="K24" s="252"/>
      <c r="L24" s="268" t="s">
        <v>16</v>
      </c>
      <c r="M24" s="269"/>
      <c r="N24" s="270"/>
      <c r="O24" s="271" t="s">
        <v>17</v>
      </c>
      <c r="P24" s="272"/>
      <c r="Q24" s="272"/>
      <c r="R24" s="273"/>
      <c r="S24" s="271" t="s">
        <v>18</v>
      </c>
      <c r="T24" s="272"/>
      <c r="U24" s="272"/>
      <c r="V24" s="272"/>
      <c r="W24" s="272"/>
      <c r="X24" s="272"/>
      <c r="Y24" s="273"/>
      <c r="Z24" s="274" t="s">
        <v>22</v>
      </c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6"/>
      <c r="AQ24" s="277" t="s">
        <v>89</v>
      </c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7"/>
      <c r="BJ24" s="278"/>
      <c r="BK24" s="35"/>
    </row>
    <row r="25" spans="1:63" s="36" customFormat="1" ht="15" customHeight="1" x14ac:dyDescent="0.25">
      <c r="A25" s="31"/>
      <c r="B25" s="38"/>
      <c r="C25" s="108"/>
      <c r="D25" s="109"/>
      <c r="E25" s="279"/>
      <c r="F25" s="280"/>
      <c r="G25" s="280"/>
      <c r="H25" s="280"/>
      <c r="I25" s="280"/>
      <c r="J25" s="280"/>
      <c r="K25" s="281"/>
      <c r="L25" s="282"/>
      <c r="M25" s="283"/>
      <c r="N25" s="284"/>
      <c r="O25" s="285"/>
      <c r="P25" s="286"/>
      <c r="Q25" s="286"/>
      <c r="R25" s="287"/>
      <c r="S25" s="285"/>
      <c r="T25" s="286"/>
      <c r="U25" s="286"/>
      <c r="V25" s="286"/>
      <c r="W25" s="286"/>
      <c r="X25" s="286"/>
      <c r="Y25" s="287"/>
      <c r="Z25" s="288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90"/>
      <c r="AQ25" s="291"/>
      <c r="AR25" s="291"/>
      <c r="AS25" s="291"/>
      <c r="AT25" s="291"/>
      <c r="AU25" s="291"/>
      <c r="AV25" s="291"/>
      <c r="AW25" s="291"/>
      <c r="AX25" s="291"/>
      <c r="AY25" s="291"/>
      <c r="AZ25" s="291"/>
      <c r="BA25" s="291"/>
      <c r="BB25" s="291"/>
      <c r="BC25" s="291"/>
      <c r="BD25" s="291"/>
      <c r="BE25" s="291"/>
      <c r="BF25" s="291"/>
      <c r="BG25" s="291"/>
      <c r="BH25" s="291"/>
      <c r="BI25" s="291"/>
      <c r="BJ25" s="292"/>
      <c r="BK25" s="35"/>
    </row>
    <row r="26" spans="1:63" s="36" customFormat="1" ht="15" customHeight="1" x14ac:dyDescent="0.25">
      <c r="A26" s="31"/>
      <c r="B26" s="38"/>
      <c r="C26" s="108"/>
      <c r="D26" s="109"/>
      <c r="E26" s="279"/>
      <c r="F26" s="280"/>
      <c r="G26" s="280"/>
      <c r="H26" s="280"/>
      <c r="I26" s="280"/>
      <c r="J26" s="280"/>
      <c r="K26" s="281"/>
      <c r="L26" s="282"/>
      <c r="M26" s="283"/>
      <c r="N26" s="284"/>
      <c r="O26" s="285"/>
      <c r="P26" s="286"/>
      <c r="Q26" s="286"/>
      <c r="R26" s="287"/>
      <c r="S26" s="285"/>
      <c r="T26" s="286"/>
      <c r="U26" s="286"/>
      <c r="V26" s="286"/>
      <c r="W26" s="286"/>
      <c r="X26" s="286"/>
      <c r="Y26" s="287"/>
      <c r="Z26" s="288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89"/>
      <c r="AN26" s="289"/>
      <c r="AO26" s="289"/>
      <c r="AP26" s="290"/>
      <c r="AQ26" s="291"/>
      <c r="AR26" s="291"/>
      <c r="AS26" s="291"/>
      <c r="AT26" s="291"/>
      <c r="AU26" s="291"/>
      <c r="AV26" s="291"/>
      <c r="AW26" s="291"/>
      <c r="AX26" s="291"/>
      <c r="AY26" s="291"/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2"/>
      <c r="BK26" s="35"/>
    </row>
    <row r="27" spans="1:63" s="36" customFormat="1" ht="4.5" customHeight="1" x14ac:dyDescent="0.25">
      <c r="A27" s="31"/>
      <c r="B27" s="38"/>
      <c r="C27" s="108"/>
      <c r="D27" s="109"/>
      <c r="E27" s="279"/>
      <c r="F27" s="280"/>
      <c r="G27" s="280"/>
      <c r="H27" s="280"/>
      <c r="I27" s="280"/>
      <c r="J27" s="280"/>
      <c r="K27" s="281"/>
      <c r="L27" s="282"/>
      <c r="M27" s="283"/>
      <c r="N27" s="284"/>
      <c r="O27" s="285"/>
      <c r="P27" s="286"/>
      <c r="Q27" s="286"/>
      <c r="R27" s="287"/>
      <c r="S27" s="285"/>
      <c r="T27" s="286"/>
      <c r="U27" s="286"/>
      <c r="V27" s="286"/>
      <c r="W27" s="286"/>
      <c r="X27" s="286"/>
      <c r="Y27" s="287"/>
      <c r="Z27" s="288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89"/>
      <c r="AM27" s="289"/>
      <c r="AN27" s="289"/>
      <c r="AO27" s="289"/>
      <c r="AP27" s="290"/>
      <c r="AQ27" s="291"/>
      <c r="AR27" s="291"/>
      <c r="AS27" s="291"/>
      <c r="AT27" s="291"/>
      <c r="AU27" s="291"/>
      <c r="AV27" s="291"/>
      <c r="AW27" s="291"/>
      <c r="AX27" s="291"/>
      <c r="AY27" s="291"/>
      <c r="AZ27" s="291"/>
      <c r="BA27" s="291"/>
      <c r="BB27" s="291"/>
      <c r="BC27" s="291"/>
      <c r="BD27" s="291"/>
      <c r="BE27" s="291"/>
      <c r="BF27" s="291"/>
      <c r="BG27" s="291"/>
      <c r="BH27" s="291"/>
      <c r="BI27" s="291"/>
      <c r="BJ27" s="292"/>
      <c r="BK27" s="35"/>
    </row>
    <row r="28" spans="1:63" s="36" customFormat="1" ht="4.5" customHeight="1" x14ac:dyDescent="0.25">
      <c r="A28" s="31"/>
      <c r="B28" s="38"/>
      <c r="C28" s="108"/>
      <c r="D28" s="109"/>
      <c r="E28" s="279"/>
      <c r="F28" s="280"/>
      <c r="G28" s="280"/>
      <c r="H28" s="280"/>
      <c r="I28" s="280"/>
      <c r="J28" s="280"/>
      <c r="K28" s="281"/>
      <c r="L28" s="282"/>
      <c r="M28" s="283"/>
      <c r="N28" s="284"/>
      <c r="O28" s="285"/>
      <c r="P28" s="286"/>
      <c r="Q28" s="286"/>
      <c r="R28" s="287"/>
      <c r="S28" s="285"/>
      <c r="T28" s="286"/>
      <c r="U28" s="286"/>
      <c r="V28" s="286"/>
      <c r="W28" s="286"/>
      <c r="X28" s="286"/>
      <c r="Y28" s="287"/>
      <c r="Z28" s="288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  <c r="AN28" s="289"/>
      <c r="AO28" s="289"/>
      <c r="AP28" s="290"/>
      <c r="AQ28" s="291"/>
      <c r="AR28" s="291"/>
      <c r="AS28" s="291"/>
      <c r="AT28" s="291"/>
      <c r="AU28" s="291"/>
      <c r="AV28" s="291"/>
      <c r="AW28" s="291"/>
      <c r="AX28" s="291"/>
      <c r="AY28" s="291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  <c r="BJ28" s="292"/>
      <c r="BK28" s="35"/>
    </row>
    <row r="29" spans="1:63" s="36" customFormat="1" ht="4.5" customHeight="1" x14ac:dyDescent="0.25">
      <c r="A29" s="31"/>
      <c r="B29" s="38"/>
      <c r="C29" s="108"/>
      <c r="D29" s="109"/>
      <c r="E29" s="279"/>
      <c r="F29" s="280"/>
      <c r="G29" s="280"/>
      <c r="H29" s="280"/>
      <c r="I29" s="280"/>
      <c r="J29" s="280"/>
      <c r="K29" s="281"/>
      <c r="L29" s="282"/>
      <c r="M29" s="283"/>
      <c r="N29" s="284"/>
      <c r="O29" s="285"/>
      <c r="P29" s="286"/>
      <c r="Q29" s="286"/>
      <c r="R29" s="287"/>
      <c r="S29" s="285"/>
      <c r="T29" s="286"/>
      <c r="U29" s="286"/>
      <c r="V29" s="286"/>
      <c r="W29" s="286"/>
      <c r="X29" s="286"/>
      <c r="Y29" s="287"/>
      <c r="Z29" s="288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90"/>
      <c r="AQ29" s="291"/>
      <c r="AR29" s="291"/>
      <c r="AS29" s="291"/>
      <c r="AT29" s="291"/>
      <c r="AU29" s="291"/>
      <c r="AV29" s="291"/>
      <c r="AW29" s="291"/>
      <c r="AX29" s="291"/>
      <c r="AY29" s="291"/>
      <c r="AZ29" s="291"/>
      <c r="BA29" s="291"/>
      <c r="BB29" s="291"/>
      <c r="BC29" s="291"/>
      <c r="BD29" s="291"/>
      <c r="BE29" s="291"/>
      <c r="BF29" s="291"/>
      <c r="BG29" s="291"/>
      <c r="BH29" s="291"/>
      <c r="BI29" s="291"/>
      <c r="BJ29" s="292"/>
      <c r="BK29" s="35"/>
    </row>
    <row r="30" spans="1:63" s="36" customFormat="1" ht="4.5" customHeight="1" x14ac:dyDescent="0.25">
      <c r="A30" s="31"/>
      <c r="B30" s="38"/>
      <c r="C30" s="110"/>
      <c r="D30" s="111"/>
      <c r="E30" s="256"/>
      <c r="F30" s="257"/>
      <c r="G30" s="257"/>
      <c r="H30" s="257"/>
      <c r="I30" s="257"/>
      <c r="J30" s="257"/>
      <c r="K30" s="258"/>
      <c r="L30" s="293"/>
      <c r="M30" s="294"/>
      <c r="N30" s="295"/>
      <c r="O30" s="296"/>
      <c r="P30" s="297"/>
      <c r="Q30" s="297"/>
      <c r="R30" s="298"/>
      <c r="S30" s="296"/>
      <c r="T30" s="297"/>
      <c r="U30" s="297"/>
      <c r="V30" s="297"/>
      <c r="W30" s="297"/>
      <c r="X30" s="297"/>
      <c r="Y30" s="298"/>
      <c r="Z30" s="299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1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3"/>
      <c r="BK30" s="35"/>
    </row>
    <row r="31" spans="1:63" s="36" customFormat="1" ht="15" customHeight="1" x14ac:dyDescent="0.25">
      <c r="A31" s="31"/>
      <c r="B31" s="38"/>
      <c r="C31" s="103">
        <v>4</v>
      </c>
      <c r="D31" s="104"/>
      <c r="E31" s="262" t="s">
        <v>23</v>
      </c>
      <c r="F31" s="263"/>
      <c r="G31" s="263"/>
      <c r="H31" s="263"/>
      <c r="I31" s="263"/>
      <c r="J31" s="263"/>
      <c r="K31" s="264"/>
      <c r="L31" s="133" t="s">
        <v>18</v>
      </c>
      <c r="M31" s="134"/>
      <c r="N31" s="135"/>
      <c r="O31" s="103" t="s">
        <v>17</v>
      </c>
      <c r="P31" s="132"/>
      <c r="Q31" s="132"/>
      <c r="R31" s="104"/>
      <c r="S31" s="103" t="s">
        <v>18</v>
      </c>
      <c r="T31" s="132"/>
      <c r="U31" s="132"/>
      <c r="V31" s="132"/>
      <c r="W31" s="132"/>
      <c r="X31" s="132"/>
      <c r="Y31" s="104"/>
      <c r="Z31" s="262" t="s">
        <v>23</v>
      </c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4"/>
      <c r="AQ31" s="265" t="s">
        <v>24</v>
      </c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6"/>
      <c r="BG31" s="266"/>
      <c r="BH31" s="266"/>
      <c r="BI31" s="266"/>
      <c r="BJ31" s="267"/>
      <c r="BK31" s="35"/>
    </row>
    <row r="32" spans="1:63" s="36" customFormat="1" ht="15" customHeight="1" x14ac:dyDescent="0.25">
      <c r="A32" s="31"/>
      <c r="B32" s="38"/>
      <c r="C32" s="103">
        <v>5</v>
      </c>
      <c r="D32" s="104"/>
      <c r="E32" s="262" t="s">
        <v>25</v>
      </c>
      <c r="F32" s="263"/>
      <c r="G32" s="263"/>
      <c r="H32" s="263"/>
      <c r="I32" s="263"/>
      <c r="J32" s="263"/>
      <c r="K32" s="264"/>
      <c r="L32" s="133" t="s">
        <v>18</v>
      </c>
      <c r="M32" s="134"/>
      <c r="N32" s="135"/>
      <c r="O32" s="103" t="s">
        <v>17</v>
      </c>
      <c r="P32" s="132"/>
      <c r="Q32" s="132"/>
      <c r="R32" s="104"/>
      <c r="S32" s="103" t="s">
        <v>18</v>
      </c>
      <c r="T32" s="132"/>
      <c r="U32" s="132"/>
      <c r="V32" s="132"/>
      <c r="W32" s="132"/>
      <c r="X32" s="132"/>
      <c r="Y32" s="104"/>
      <c r="Z32" s="262" t="s">
        <v>25</v>
      </c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4"/>
      <c r="AQ32" s="265" t="s">
        <v>90</v>
      </c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6"/>
      <c r="BG32" s="266"/>
      <c r="BH32" s="266"/>
      <c r="BI32" s="266"/>
      <c r="BJ32" s="267"/>
      <c r="BK32" s="35"/>
    </row>
    <row r="33" spans="1:63" s="36" customFormat="1" ht="15" customHeight="1" x14ac:dyDescent="0.25">
      <c r="A33" s="31"/>
      <c r="B33" s="38"/>
      <c r="C33" s="38"/>
      <c r="D33" s="38"/>
      <c r="E33" s="249"/>
      <c r="F33" s="249"/>
      <c r="G33" s="249"/>
      <c r="H33" s="249"/>
      <c r="I33" s="38"/>
      <c r="J33" s="38"/>
      <c r="K33" s="38"/>
      <c r="L33" s="47"/>
      <c r="M33" s="249"/>
      <c r="N33" s="249"/>
      <c r="O33" s="249"/>
      <c r="P33" s="249"/>
      <c r="Q33" s="38"/>
      <c r="R33" s="38"/>
      <c r="S33" s="38"/>
      <c r="T33" s="38"/>
      <c r="U33" s="38"/>
      <c r="V33" s="38"/>
      <c r="W33" s="38"/>
      <c r="X33" s="38"/>
      <c r="Y33" s="38"/>
      <c r="Z33" s="45"/>
      <c r="AA33" s="38"/>
      <c r="AB33" s="38"/>
      <c r="AC33" s="38"/>
      <c r="AD33" s="38"/>
      <c r="AE33" s="38"/>
      <c r="AF33" s="38"/>
      <c r="AG33" s="249"/>
      <c r="AH33" s="249"/>
      <c r="AI33" s="249"/>
      <c r="AJ33" s="249"/>
      <c r="AK33" s="249"/>
      <c r="AL33" s="249"/>
      <c r="AM33" s="249"/>
      <c r="AN33" s="249"/>
      <c r="AO33" s="249"/>
      <c r="AP33" s="38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39"/>
      <c r="BI33" s="39"/>
      <c r="BJ33" s="39"/>
      <c r="BK33" s="35"/>
    </row>
    <row r="34" spans="1:63" s="36" customFormat="1" ht="15" customHeight="1" x14ac:dyDescent="0.25">
      <c r="A34" s="31"/>
      <c r="B34" s="38"/>
      <c r="C34" s="41" t="s">
        <v>91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9"/>
      <c r="BI34" s="39"/>
      <c r="BJ34" s="39"/>
      <c r="BK34" s="35"/>
    </row>
    <row r="35" spans="1:63" s="36" customFormat="1" ht="15" customHeight="1" x14ac:dyDescent="0.25">
      <c r="A35" s="31"/>
      <c r="B35" s="38"/>
      <c r="C35" s="3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9"/>
      <c r="BI35" s="39"/>
      <c r="BJ35" s="39"/>
      <c r="BK35" s="35"/>
    </row>
    <row r="36" spans="1:63" s="36" customFormat="1" ht="15" customHeight="1" x14ac:dyDescent="0.25">
      <c r="A36" s="31"/>
      <c r="B36" s="38"/>
      <c r="C36" s="130" t="s">
        <v>26</v>
      </c>
      <c r="D36" s="131"/>
      <c r="E36" s="124" t="s">
        <v>92</v>
      </c>
      <c r="F36" s="304"/>
      <c r="G36" s="304"/>
      <c r="H36" s="304"/>
      <c r="I36" s="304"/>
      <c r="J36" s="304"/>
      <c r="K36" s="305"/>
      <c r="L36" s="101" t="s">
        <v>30</v>
      </c>
      <c r="M36" s="105"/>
      <c r="N36" s="102"/>
      <c r="O36" s="101" t="s">
        <v>31</v>
      </c>
      <c r="P36" s="105"/>
      <c r="Q36" s="105"/>
      <c r="R36" s="102"/>
      <c r="S36" s="101" t="s">
        <v>32</v>
      </c>
      <c r="T36" s="105"/>
      <c r="U36" s="105"/>
      <c r="V36" s="105"/>
      <c r="W36" s="105"/>
      <c r="X36" s="105"/>
      <c r="Y36" s="102"/>
      <c r="Z36" s="124" t="s">
        <v>87</v>
      </c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5"/>
      <c r="AQ36" s="127" t="s">
        <v>29</v>
      </c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9"/>
      <c r="BK36" s="35"/>
    </row>
    <row r="37" spans="1:63" s="36" customFormat="1" ht="15" customHeight="1" x14ac:dyDescent="0.25">
      <c r="A37" s="31"/>
      <c r="B37" s="38"/>
      <c r="C37" s="133" t="s">
        <v>36</v>
      </c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5"/>
      <c r="BK37" s="35"/>
    </row>
    <row r="38" spans="1:63" s="36" customFormat="1" ht="15" customHeight="1" x14ac:dyDescent="0.25">
      <c r="A38" s="3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9"/>
      <c r="BI38" s="39"/>
      <c r="BJ38" s="39"/>
      <c r="BK38" s="35"/>
    </row>
    <row r="39" spans="1:63" s="36" customFormat="1" ht="15" customHeight="1" x14ac:dyDescent="0.25">
      <c r="A39" s="31"/>
      <c r="B39" s="38"/>
      <c r="C39" s="41" t="s">
        <v>93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9"/>
      <c r="BI39" s="39"/>
      <c r="BJ39" s="39"/>
      <c r="BK39" s="35"/>
    </row>
    <row r="40" spans="1:63" s="36" customFormat="1" ht="15" customHeight="1" x14ac:dyDescent="0.25">
      <c r="A40" s="31"/>
      <c r="B40" s="38"/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9"/>
      <c r="BI40" s="39"/>
      <c r="BJ40" s="39"/>
      <c r="BK40" s="35"/>
    </row>
    <row r="41" spans="1:63" s="36" customFormat="1" ht="15" customHeight="1" x14ac:dyDescent="0.25">
      <c r="A41" s="31"/>
      <c r="B41" s="38"/>
      <c r="C41" s="130" t="s">
        <v>26</v>
      </c>
      <c r="D41" s="131"/>
      <c r="E41" s="306" t="s">
        <v>33</v>
      </c>
      <c r="F41" s="304"/>
      <c r="G41" s="304"/>
      <c r="H41" s="304"/>
      <c r="I41" s="304"/>
      <c r="J41" s="304"/>
      <c r="K41" s="305"/>
      <c r="L41" s="101" t="s">
        <v>30</v>
      </c>
      <c r="M41" s="105"/>
      <c r="N41" s="102"/>
      <c r="O41" s="101" t="s">
        <v>31</v>
      </c>
      <c r="P41" s="105"/>
      <c r="Q41" s="105"/>
      <c r="R41" s="102"/>
      <c r="S41" s="101" t="s">
        <v>32</v>
      </c>
      <c r="T41" s="105"/>
      <c r="U41" s="105"/>
      <c r="V41" s="105"/>
      <c r="W41" s="105"/>
      <c r="X41" s="105"/>
      <c r="Y41" s="102"/>
      <c r="Z41" s="124" t="s">
        <v>87</v>
      </c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5"/>
      <c r="AQ41" s="127" t="s">
        <v>29</v>
      </c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9"/>
      <c r="BK41" s="35"/>
    </row>
    <row r="42" spans="1:63" s="36" customFormat="1" ht="15" customHeight="1" x14ac:dyDescent="0.25">
      <c r="A42" s="31"/>
      <c r="B42" s="38"/>
      <c r="C42" s="103">
        <v>1</v>
      </c>
      <c r="D42" s="104"/>
      <c r="E42" s="262" t="s">
        <v>51</v>
      </c>
      <c r="F42" s="263"/>
      <c r="G42" s="263"/>
      <c r="H42" s="263"/>
      <c r="I42" s="263"/>
      <c r="J42" s="263"/>
      <c r="K42" s="264"/>
      <c r="L42" s="133"/>
      <c r="M42" s="134"/>
      <c r="N42" s="135"/>
      <c r="O42" s="103" t="s">
        <v>37</v>
      </c>
      <c r="P42" s="132"/>
      <c r="Q42" s="132"/>
      <c r="R42" s="104"/>
      <c r="S42" s="103" t="s">
        <v>18</v>
      </c>
      <c r="T42" s="132"/>
      <c r="U42" s="132"/>
      <c r="V42" s="132"/>
      <c r="W42" s="132"/>
      <c r="X42" s="132"/>
      <c r="Y42" s="104"/>
      <c r="Z42" s="262" t="s">
        <v>18</v>
      </c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4"/>
      <c r="AQ42" s="136" t="s">
        <v>94</v>
      </c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8"/>
      <c r="BK42" s="35"/>
    </row>
    <row r="43" spans="1:63" s="36" customFormat="1" ht="15" customHeight="1" x14ac:dyDescent="0.25">
      <c r="A43" s="31"/>
      <c r="B43" s="38"/>
      <c r="C43" s="106">
        <v>2</v>
      </c>
      <c r="D43" s="107"/>
      <c r="E43" s="250" t="s">
        <v>95</v>
      </c>
      <c r="F43" s="251"/>
      <c r="G43" s="251"/>
      <c r="H43" s="251"/>
      <c r="I43" s="251"/>
      <c r="J43" s="251"/>
      <c r="K43" s="252"/>
      <c r="L43" s="112"/>
      <c r="M43" s="113"/>
      <c r="N43" s="114"/>
      <c r="O43" s="106" t="s">
        <v>50</v>
      </c>
      <c r="P43" s="121"/>
      <c r="Q43" s="121"/>
      <c r="R43" s="107"/>
      <c r="S43" s="106" t="s">
        <v>18</v>
      </c>
      <c r="T43" s="121"/>
      <c r="U43" s="121"/>
      <c r="V43" s="121"/>
      <c r="W43" s="121"/>
      <c r="X43" s="121"/>
      <c r="Y43" s="107"/>
      <c r="Z43" s="250" t="s">
        <v>47</v>
      </c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51"/>
      <c r="AO43" s="251"/>
      <c r="AP43" s="252"/>
      <c r="AQ43" s="253" t="s">
        <v>96</v>
      </c>
      <c r="AR43" s="254"/>
      <c r="AS43" s="254"/>
      <c r="AT43" s="254"/>
      <c r="AU43" s="254"/>
      <c r="AV43" s="254"/>
      <c r="AW43" s="254"/>
      <c r="AX43" s="254"/>
      <c r="AY43" s="254"/>
      <c r="AZ43" s="254"/>
      <c r="BA43" s="254"/>
      <c r="BB43" s="254"/>
      <c r="BC43" s="254"/>
      <c r="BD43" s="254"/>
      <c r="BE43" s="254"/>
      <c r="BF43" s="254"/>
      <c r="BG43" s="254"/>
      <c r="BH43" s="254"/>
      <c r="BI43" s="254"/>
      <c r="BJ43" s="255"/>
      <c r="BK43" s="35"/>
    </row>
    <row r="44" spans="1:63" s="36" customFormat="1" ht="15" customHeight="1" x14ac:dyDescent="0.25">
      <c r="A44" s="31"/>
      <c r="B44" s="38"/>
      <c r="C44" s="110"/>
      <c r="D44" s="111"/>
      <c r="E44" s="256"/>
      <c r="F44" s="257"/>
      <c r="G44" s="257"/>
      <c r="H44" s="257"/>
      <c r="I44" s="257"/>
      <c r="J44" s="257"/>
      <c r="K44" s="258"/>
      <c r="L44" s="118"/>
      <c r="M44" s="119"/>
      <c r="N44" s="120"/>
      <c r="O44" s="110"/>
      <c r="P44" s="123"/>
      <c r="Q44" s="123"/>
      <c r="R44" s="111"/>
      <c r="S44" s="110"/>
      <c r="T44" s="123"/>
      <c r="U44" s="123"/>
      <c r="V44" s="123"/>
      <c r="W44" s="123"/>
      <c r="X44" s="123"/>
      <c r="Y44" s="111"/>
      <c r="Z44" s="256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8"/>
      <c r="AQ44" s="259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1"/>
      <c r="BK44" s="35"/>
    </row>
    <row r="45" spans="1:63" s="36" customFormat="1" ht="41.25" customHeight="1" x14ac:dyDescent="0.25">
      <c r="A45" s="31"/>
      <c r="B45" s="38"/>
      <c r="C45" s="103">
        <v>3</v>
      </c>
      <c r="D45" s="104"/>
      <c r="E45" s="262" t="s">
        <v>97</v>
      </c>
      <c r="F45" s="263"/>
      <c r="G45" s="263"/>
      <c r="H45" s="263"/>
      <c r="I45" s="263"/>
      <c r="J45" s="263"/>
      <c r="K45" s="264"/>
      <c r="L45" s="133" t="s">
        <v>16</v>
      </c>
      <c r="M45" s="134"/>
      <c r="N45" s="135"/>
      <c r="O45" s="103" t="s">
        <v>17</v>
      </c>
      <c r="P45" s="132"/>
      <c r="Q45" s="132"/>
      <c r="R45" s="104"/>
      <c r="S45" s="103" t="s">
        <v>18</v>
      </c>
      <c r="T45" s="132"/>
      <c r="U45" s="132"/>
      <c r="V45" s="132"/>
      <c r="W45" s="132"/>
      <c r="X45" s="132"/>
      <c r="Y45" s="104"/>
      <c r="Z45" s="262" t="s">
        <v>42</v>
      </c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4"/>
      <c r="AQ45" s="146" t="s">
        <v>98</v>
      </c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8"/>
      <c r="BK45" s="35"/>
    </row>
    <row r="46" spans="1:63" s="36" customFormat="1" ht="50.25" customHeight="1" x14ac:dyDescent="0.25">
      <c r="A46" s="31"/>
      <c r="B46" s="38"/>
      <c r="C46" s="106">
        <v>4</v>
      </c>
      <c r="D46" s="107"/>
      <c r="E46" s="250" t="s">
        <v>99</v>
      </c>
      <c r="F46" s="251"/>
      <c r="G46" s="251"/>
      <c r="H46" s="251"/>
      <c r="I46" s="251"/>
      <c r="J46" s="251"/>
      <c r="K46" s="252"/>
      <c r="L46" s="112" t="s">
        <v>16</v>
      </c>
      <c r="M46" s="113"/>
      <c r="N46" s="114"/>
      <c r="O46" s="106" t="s">
        <v>17</v>
      </c>
      <c r="P46" s="121"/>
      <c r="Q46" s="121"/>
      <c r="R46" s="107"/>
      <c r="S46" s="106" t="s">
        <v>18</v>
      </c>
      <c r="T46" s="121"/>
      <c r="U46" s="121"/>
      <c r="V46" s="121"/>
      <c r="W46" s="121"/>
      <c r="X46" s="121"/>
      <c r="Y46" s="107"/>
      <c r="Z46" s="250" t="s">
        <v>43</v>
      </c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2"/>
      <c r="AQ46" s="253" t="s">
        <v>115</v>
      </c>
      <c r="AR46" s="254"/>
      <c r="AS46" s="254"/>
      <c r="AT46" s="254"/>
      <c r="AU46" s="254"/>
      <c r="AV46" s="254"/>
      <c r="AW46" s="254"/>
      <c r="AX46" s="254"/>
      <c r="AY46" s="254"/>
      <c r="AZ46" s="254"/>
      <c r="BA46" s="254"/>
      <c r="BB46" s="254"/>
      <c r="BC46" s="254"/>
      <c r="BD46" s="254"/>
      <c r="BE46" s="254"/>
      <c r="BF46" s="254"/>
      <c r="BG46" s="254"/>
      <c r="BH46" s="254"/>
      <c r="BI46" s="254"/>
      <c r="BJ46" s="255"/>
      <c r="BK46" s="35"/>
    </row>
    <row r="47" spans="1:63" s="36" customFormat="1" ht="35.25" customHeight="1" x14ac:dyDescent="0.25">
      <c r="A47" s="31"/>
      <c r="B47" s="38"/>
      <c r="C47" s="110"/>
      <c r="D47" s="111"/>
      <c r="E47" s="256"/>
      <c r="F47" s="257"/>
      <c r="G47" s="257"/>
      <c r="H47" s="257"/>
      <c r="I47" s="257"/>
      <c r="J47" s="257"/>
      <c r="K47" s="258"/>
      <c r="L47" s="118"/>
      <c r="M47" s="119"/>
      <c r="N47" s="120"/>
      <c r="O47" s="110"/>
      <c r="P47" s="123"/>
      <c r="Q47" s="123"/>
      <c r="R47" s="111"/>
      <c r="S47" s="110"/>
      <c r="T47" s="123"/>
      <c r="U47" s="123"/>
      <c r="V47" s="123"/>
      <c r="W47" s="123"/>
      <c r="X47" s="123"/>
      <c r="Y47" s="111"/>
      <c r="Z47" s="256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8"/>
      <c r="AQ47" s="259"/>
      <c r="AR47" s="260"/>
      <c r="AS47" s="260"/>
      <c r="AT47" s="260"/>
      <c r="AU47" s="260"/>
      <c r="AV47" s="260"/>
      <c r="AW47" s="260"/>
      <c r="AX47" s="260"/>
      <c r="AY47" s="260"/>
      <c r="AZ47" s="260"/>
      <c r="BA47" s="260"/>
      <c r="BB47" s="260"/>
      <c r="BC47" s="260"/>
      <c r="BD47" s="260"/>
      <c r="BE47" s="260"/>
      <c r="BF47" s="260"/>
      <c r="BG47" s="260"/>
      <c r="BH47" s="260"/>
      <c r="BI47" s="260"/>
      <c r="BJ47" s="261"/>
      <c r="BK47" s="35"/>
    </row>
    <row r="48" spans="1:63" s="36" customFormat="1" ht="65.25" customHeight="1" x14ac:dyDescent="0.25">
      <c r="A48" s="31"/>
      <c r="B48" s="38"/>
      <c r="C48" s="106">
        <v>5</v>
      </c>
      <c r="D48" s="107"/>
      <c r="E48" s="250" t="s">
        <v>100</v>
      </c>
      <c r="F48" s="251"/>
      <c r="G48" s="251"/>
      <c r="H48" s="251"/>
      <c r="I48" s="251"/>
      <c r="J48" s="251"/>
      <c r="K48" s="252"/>
      <c r="L48" s="112" t="s">
        <v>16</v>
      </c>
      <c r="M48" s="113"/>
      <c r="N48" s="114"/>
      <c r="O48" s="106" t="s">
        <v>17</v>
      </c>
      <c r="P48" s="121"/>
      <c r="Q48" s="121"/>
      <c r="R48" s="107"/>
      <c r="S48" s="106" t="s">
        <v>18</v>
      </c>
      <c r="T48" s="121"/>
      <c r="U48" s="121"/>
      <c r="V48" s="121"/>
      <c r="W48" s="121"/>
      <c r="X48" s="121"/>
      <c r="Y48" s="107"/>
      <c r="Z48" s="250" t="s">
        <v>44</v>
      </c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2"/>
      <c r="AQ48" s="253" t="s">
        <v>116</v>
      </c>
      <c r="AR48" s="254"/>
      <c r="AS48" s="254"/>
      <c r="AT48" s="254"/>
      <c r="AU48" s="254"/>
      <c r="AV48" s="254"/>
      <c r="AW48" s="254"/>
      <c r="AX48" s="254"/>
      <c r="AY48" s="254"/>
      <c r="AZ48" s="254"/>
      <c r="BA48" s="254"/>
      <c r="BB48" s="254"/>
      <c r="BC48" s="254"/>
      <c r="BD48" s="254"/>
      <c r="BE48" s="254"/>
      <c r="BF48" s="254"/>
      <c r="BG48" s="254"/>
      <c r="BH48" s="254"/>
      <c r="BI48" s="254"/>
      <c r="BJ48" s="255"/>
      <c r="BK48" s="35"/>
    </row>
    <row r="49" spans="1:63" s="36" customFormat="1" ht="33.75" customHeight="1" x14ac:dyDescent="0.25">
      <c r="A49" s="31"/>
      <c r="B49" s="38"/>
      <c r="C49" s="103">
        <v>6</v>
      </c>
      <c r="D49" s="104"/>
      <c r="E49" s="262" t="s">
        <v>101</v>
      </c>
      <c r="F49" s="263"/>
      <c r="G49" s="263"/>
      <c r="H49" s="263"/>
      <c r="I49" s="263"/>
      <c r="J49" s="263"/>
      <c r="K49" s="264"/>
      <c r="L49" s="133"/>
      <c r="M49" s="134"/>
      <c r="N49" s="135"/>
      <c r="O49" s="103" t="s">
        <v>17</v>
      </c>
      <c r="P49" s="132"/>
      <c r="Q49" s="132"/>
      <c r="R49" s="104"/>
      <c r="S49" s="103" t="s">
        <v>18</v>
      </c>
      <c r="T49" s="132"/>
      <c r="U49" s="132"/>
      <c r="V49" s="132"/>
      <c r="W49" s="132"/>
      <c r="X49" s="132"/>
      <c r="Y49" s="104"/>
      <c r="Z49" s="262" t="s">
        <v>45</v>
      </c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  <c r="AM49" s="263"/>
      <c r="AN49" s="263"/>
      <c r="AO49" s="263"/>
      <c r="AP49" s="264"/>
      <c r="AQ49" s="253" t="s">
        <v>117</v>
      </c>
      <c r="AR49" s="254"/>
      <c r="AS49" s="254"/>
      <c r="AT49" s="254"/>
      <c r="AU49" s="254"/>
      <c r="AV49" s="254"/>
      <c r="AW49" s="254"/>
      <c r="AX49" s="254"/>
      <c r="AY49" s="254"/>
      <c r="AZ49" s="254"/>
      <c r="BA49" s="254"/>
      <c r="BB49" s="254"/>
      <c r="BC49" s="254"/>
      <c r="BD49" s="254"/>
      <c r="BE49" s="254"/>
      <c r="BF49" s="254"/>
      <c r="BG49" s="254"/>
      <c r="BH49" s="254"/>
      <c r="BI49" s="254"/>
      <c r="BJ49" s="255"/>
      <c r="BK49" s="35"/>
    </row>
    <row r="50" spans="1:63" s="36" customFormat="1" ht="50.25" customHeight="1" x14ac:dyDescent="0.25">
      <c r="A50" s="31"/>
      <c r="B50" s="38"/>
      <c r="C50" s="106">
        <v>7</v>
      </c>
      <c r="D50" s="107"/>
      <c r="E50" s="250" t="s">
        <v>102</v>
      </c>
      <c r="F50" s="251"/>
      <c r="G50" s="251"/>
      <c r="H50" s="251"/>
      <c r="I50" s="251"/>
      <c r="J50" s="251"/>
      <c r="K50" s="252"/>
      <c r="L50" s="112"/>
      <c r="M50" s="113"/>
      <c r="N50" s="114"/>
      <c r="O50" s="106" t="s">
        <v>49</v>
      </c>
      <c r="P50" s="121"/>
      <c r="Q50" s="121"/>
      <c r="R50" s="107"/>
      <c r="S50" s="106" t="s">
        <v>18</v>
      </c>
      <c r="T50" s="121"/>
      <c r="U50" s="121"/>
      <c r="V50" s="121"/>
      <c r="W50" s="121"/>
      <c r="X50" s="121"/>
      <c r="Y50" s="107"/>
      <c r="Z50" s="250" t="s">
        <v>18</v>
      </c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2"/>
      <c r="AQ50" s="313" t="s">
        <v>118</v>
      </c>
      <c r="AR50" s="277"/>
      <c r="AS50" s="277"/>
      <c r="AT50" s="277"/>
      <c r="AU50" s="277"/>
      <c r="AV50" s="277"/>
      <c r="AW50" s="277"/>
      <c r="AX50" s="277"/>
      <c r="AY50" s="277"/>
      <c r="AZ50" s="277"/>
      <c r="BA50" s="277"/>
      <c r="BB50" s="277"/>
      <c r="BC50" s="277"/>
      <c r="BD50" s="277"/>
      <c r="BE50" s="277"/>
      <c r="BF50" s="277"/>
      <c r="BG50" s="277"/>
      <c r="BH50" s="277"/>
      <c r="BI50" s="277"/>
      <c r="BJ50" s="278"/>
      <c r="BK50" s="35"/>
    </row>
    <row r="51" spans="1:63" s="36" customFormat="1" ht="50.25" customHeight="1" x14ac:dyDescent="0.25">
      <c r="A51" s="31"/>
      <c r="B51" s="38"/>
      <c r="C51" s="108"/>
      <c r="D51" s="109"/>
      <c r="E51" s="279"/>
      <c r="F51" s="280"/>
      <c r="G51" s="280"/>
      <c r="H51" s="280"/>
      <c r="I51" s="280"/>
      <c r="J51" s="280"/>
      <c r="K51" s="281"/>
      <c r="L51" s="115"/>
      <c r="M51" s="116"/>
      <c r="N51" s="117"/>
      <c r="O51" s="108"/>
      <c r="P51" s="122"/>
      <c r="Q51" s="122"/>
      <c r="R51" s="109"/>
      <c r="S51" s="108"/>
      <c r="T51" s="122"/>
      <c r="U51" s="122"/>
      <c r="V51" s="122"/>
      <c r="W51" s="122"/>
      <c r="X51" s="122"/>
      <c r="Y51" s="109"/>
      <c r="Z51" s="279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1"/>
      <c r="AQ51" s="314"/>
      <c r="AR51" s="291"/>
      <c r="AS51" s="291"/>
      <c r="AT51" s="291"/>
      <c r="AU51" s="291"/>
      <c r="AV51" s="291"/>
      <c r="AW51" s="291"/>
      <c r="AX51" s="291"/>
      <c r="AY51" s="291"/>
      <c r="AZ51" s="291"/>
      <c r="BA51" s="291"/>
      <c r="BB51" s="291"/>
      <c r="BC51" s="291"/>
      <c r="BD51" s="291"/>
      <c r="BE51" s="291"/>
      <c r="BF51" s="291"/>
      <c r="BG51" s="291"/>
      <c r="BH51" s="291"/>
      <c r="BI51" s="291"/>
      <c r="BJ51" s="292"/>
      <c r="BK51" s="35"/>
    </row>
    <row r="52" spans="1:63" s="36" customFormat="1" ht="50.25" customHeight="1" x14ac:dyDescent="0.25">
      <c r="A52" s="31"/>
      <c r="B52" s="38"/>
      <c r="C52" s="108"/>
      <c r="D52" s="109"/>
      <c r="E52" s="279"/>
      <c r="F52" s="280"/>
      <c r="G52" s="280"/>
      <c r="H52" s="280"/>
      <c r="I52" s="280"/>
      <c r="J52" s="280"/>
      <c r="K52" s="281"/>
      <c r="L52" s="115"/>
      <c r="M52" s="116"/>
      <c r="N52" s="117"/>
      <c r="O52" s="108"/>
      <c r="P52" s="122"/>
      <c r="Q52" s="122"/>
      <c r="R52" s="109"/>
      <c r="S52" s="108"/>
      <c r="T52" s="122"/>
      <c r="U52" s="122"/>
      <c r="V52" s="122"/>
      <c r="W52" s="122"/>
      <c r="X52" s="122"/>
      <c r="Y52" s="109"/>
      <c r="Z52" s="279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  <c r="AK52" s="280"/>
      <c r="AL52" s="280"/>
      <c r="AM52" s="280"/>
      <c r="AN52" s="280"/>
      <c r="AO52" s="280"/>
      <c r="AP52" s="281"/>
      <c r="AQ52" s="314"/>
      <c r="AR52" s="291"/>
      <c r="AS52" s="291"/>
      <c r="AT52" s="291"/>
      <c r="AU52" s="291"/>
      <c r="AV52" s="291"/>
      <c r="AW52" s="291"/>
      <c r="AX52" s="291"/>
      <c r="AY52" s="291"/>
      <c r="AZ52" s="291"/>
      <c r="BA52" s="291"/>
      <c r="BB52" s="291"/>
      <c r="BC52" s="291"/>
      <c r="BD52" s="291"/>
      <c r="BE52" s="291"/>
      <c r="BF52" s="291"/>
      <c r="BG52" s="291"/>
      <c r="BH52" s="291"/>
      <c r="BI52" s="291"/>
      <c r="BJ52" s="292"/>
      <c r="BK52" s="35"/>
    </row>
    <row r="53" spans="1:63" s="36" customFormat="1" ht="34.5" customHeight="1" x14ac:dyDescent="0.25">
      <c r="A53" s="31"/>
      <c r="B53" s="38"/>
      <c r="C53" s="110"/>
      <c r="D53" s="111"/>
      <c r="E53" s="256"/>
      <c r="F53" s="257"/>
      <c r="G53" s="257"/>
      <c r="H53" s="257"/>
      <c r="I53" s="257"/>
      <c r="J53" s="257"/>
      <c r="K53" s="258"/>
      <c r="L53" s="118"/>
      <c r="M53" s="119"/>
      <c r="N53" s="120"/>
      <c r="O53" s="110"/>
      <c r="P53" s="123"/>
      <c r="Q53" s="123"/>
      <c r="R53" s="111"/>
      <c r="S53" s="110"/>
      <c r="T53" s="123"/>
      <c r="U53" s="123"/>
      <c r="V53" s="123"/>
      <c r="W53" s="123"/>
      <c r="X53" s="123"/>
      <c r="Y53" s="111"/>
      <c r="Z53" s="256"/>
      <c r="AA53" s="257"/>
      <c r="AB53" s="257"/>
      <c r="AC53" s="257"/>
      <c r="AD53" s="257"/>
      <c r="AE53" s="257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8"/>
      <c r="AQ53" s="315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3"/>
      <c r="BK53" s="35"/>
    </row>
    <row r="54" spans="1:63" s="36" customFormat="1" ht="15" customHeight="1" x14ac:dyDescent="0.25">
      <c r="A54" s="31"/>
      <c r="B54" s="38"/>
      <c r="C54" s="38"/>
      <c r="D54" s="38"/>
      <c r="E54" s="249"/>
      <c r="F54" s="249"/>
      <c r="G54" s="249"/>
      <c r="H54" s="249"/>
      <c r="I54" s="249"/>
      <c r="J54" s="249"/>
      <c r="K54" s="249"/>
      <c r="L54" s="60"/>
      <c r="M54" s="60"/>
      <c r="N54" s="60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35"/>
    </row>
    <row r="55" spans="1:63" s="36" customFormat="1" ht="15" customHeight="1" x14ac:dyDescent="0.25">
      <c r="A55" s="31"/>
      <c r="B55" s="38"/>
      <c r="C55" s="41" t="s">
        <v>103</v>
      </c>
      <c r="D55" s="38"/>
      <c r="E55" s="249"/>
      <c r="F55" s="38"/>
      <c r="G55" s="24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35"/>
    </row>
    <row r="56" spans="1:63" s="36" customFormat="1" ht="15" customHeight="1" x14ac:dyDescent="0.25">
      <c r="A56" s="31"/>
      <c r="B56" s="38"/>
      <c r="C56" s="41"/>
      <c r="D56" s="249"/>
      <c r="E56" s="249"/>
      <c r="F56" s="38"/>
      <c r="G56" s="24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35"/>
    </row>
    <row r="57" spans="1:63" s="36" customFormat="1" ht="15" customHeight="1" x14ac:dyDescent="0.25">
      <c r="A57" s="31"/>
      <c r="B57" s="38"/>
      <c r="C57" s="307" t="s">
        <v>55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2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35"/>
    </row>
    <row r="58" spans="1:63" s="36" customFormat="1" ht="15" customHeight="1" x14ac:dyDescent="0.25">
      <c r="A58" s="31"/>
      <c r="B58" s="38"/>
      <c r="C58" s="308" t="s">
        <v>53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43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35"/>
    </row>
    <row r="59" spans="1:63" s="36" customFormat="1" ht="15" customHeight="1" x14ac:dyDescent="0.25">
      <c r="A59" s="31"/>
      <c r="B59" s="38"/>
      <c r="C59" s="308" t="s">
        <v>104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43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35"/>
    </row>
    <row r="60" spans="1:63" s="36" customFormat="1" ht="15" customHeight="1" x14ac:dyDescent="0.25">
      <c r="A60" s="31"/>
      <c r="B60" s="38"/>
      <c r="C60" s="308" t="s">
        <v>105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43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35"/>
    </row>
    <row r="61" spans="1:63" s="36" customFormat="1" ht="15" customHeight="1" x14ac:dyDescent="0.25">
      <c r="A61" s="31"/>
      <c r="B61" s="38"/>
      <c r="C61" s="308" t="s">
        <v>106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43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35"/>
    </row>
    <row r="62" spans="1:63" s="36" customFormat="1" ht="15" customHeight="1" x14ac:dyDescent="0.25">
      <c r="A62" s="31"/>
      <c r="B62" s="38"/>
      <c r="C62" s="308" t="s">
        <v>107</v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43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35"/>
    </row>
    <row r="63" spans="1:63" s="36" customFormat="1" ht="15" customHeight="1" x14ac:dyDescent="0.25">
      <c r="A63" s="31"/>
      <c r="B63" s="38"/>
      <c r="C63" s="308" t="s">
        <v>108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43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35"/>
    </row>
    <row r="64" spans="1:63" s="36" customFormat="1" ht="15" customHeight="1" x14ac:dyDescent="0.25">
      <c r="A64" s="31"/>
      <c r="B64" s="38"/>
      <c r="C64" s="308" t="s">
        <v>109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43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35"/>
    </row>
    <row r="65" spans="1:63" s="36" customFormat="1" ht="15" customHeight="1" x14ac:dyDescent="0.25">
      <c r="A65" s="31"/>
      <c r="B65" s="38"/>
      <c r="C65" s="308" t="s">
        <v>54</v>
      </c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43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35"/>
    </row>
    <row r="66" spans="1:63" s="36" customFormat="1" ht="15" customHeight="1" x14ac:dyDescent="0.25">
      <c r="A66" s="31"/>
      <c r="B66" s="38"/>
      <c r="C66" s="309" t="s">
        <v>52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44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35"/>
    </row>
    <row r="67" spans="1:63" s="36" customFormat="1" ht="15" customHeight="1" x14ac:dyDescent="0.25">
      <c r="A67" s="31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9"/>
      <c r="BI67" s="39"/>
      <c r="BJ67" s="39"/>
      <c r="BK67" s="35"/>
    </row>
    <row r="68" spans="1:63" s="36" customFormat="1" ht="15" customHeight="1" x14ac:dyDescent="0.25">
      <c r="A68" s="31"/>
      <c r="B68" s="40" t="s">
        <v>110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4"/>
      <c r="BI68" s="34"/>
      <c r="BJ68" s="34"/>
      <c r="BK68" s="35"/>
    </row>
    <row r="69" spans="1:63" s="36" customFormat="1" ht="15" customHeight="1" x14ac:dyDescent="0.25">
      <c r="A69" s="31"/>
      <c r="B69" s="37"/>
      <c r="C69" s="41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9"/>
      <c r="BI69" s="39"/>
      <c r="BJ69" s="39"/>
      <c r="BK69" s="35"/>
    </row>
    <row r="70" spans="1:63" s="36" customFormat="1" ht="15" customHeight="1" x14ac:dyDescent="0.25">
      <c r="A70" s="31"/>
      <c r="B70" s="37"/>
      <c r="C70" s="41" t="s">
        <v>111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9"/>
      <c r="BI70" s="39"/>
      <c r="BJ70" s="39"/>
      <c r="BK70" s="35"/>
    </row>
    <row r="71" spans="1:63" s="36" customFormat="1" ht="15" customHeight="1" x14ac:dyDescent="0.25">
      <c r="A71" s="31"/>
      <c r="B71" s="37"/>
      <c r="C71" s="41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9"/>
      <c r="BI71" s="39"/>
      <c r="BJ71" s="39"/>
      <c r="BK71" s="35"/>
    </row>
    <row r="72" spans="1:63" s="36" customFormat="1" ht="15" customHeight="1" x14ac:dyDescent="0.25">
      <c r="A72" s="31"/>
      <c r="B72" s="38"/>
      <c r="C72" s="101" t="s">
        <v>26</v>
      </c>
      <c r="D72" s="102"/>
      <c r="E72" s="152" t="s">
        <v>112</v>
      </c>
      <c r="F72" s="153"/>
      <c r="G72" s="153"/>
      <c r="H72" s="153"/>
      <c r="I72" s="153"/>
      <c r="J72" s="153"/>
      <c r="K72" s="153"/>
      <c r="L72" s="153"/>
      <c r="M72" s="153"/>
      <c r="N72" s="154"/>
      <c r="O72" s="149" t="s">
        <v>31</v>
      </c>
      <c r="P72" s="150"/>
      <c r="Q72" s="150"/>
      <c r="R72" s="151"/>
      <c r="S72" s="139" t="s">
        <v>87</v>
      </c>
      <c r="T72" s="140"/>
      <c r="U72" s="140"/>
      <c r="V72" s="140"/>
      <c r="W72" s="140"/>
      <c r="X72" s="140"/>
      <c r="Y72" s="140"/>
      <c r="Z72" s="140"/>
      <c r="AA72" s="140"/>
      <c r="AB72" s="141"/>
      <c r="AC72" s="101" t="s">
        <v>29</v>
      </c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2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9"/>
      <c r="BI72" s="39"/>
      <c r="BJ72" s="39"/>
      <c r="BK72" s="35"/>
    </row>
    <row r="73" spans="1:63" s="36" customFormat="1" ht="15" customHeight="1" x14ac:dyDescent="0.25">
      <c r="A73" s="31"/>
      <c r="B73" s="38"/>
      <c r="C73" s="103">
        <v>1</v>
      </c>
      <c r="D73" s="104"/>
      <c r="E73" s="103" t="s">
        <v>40</v>
      </c>
      <c r="F73" s="132"/>
      <c r="G73" s="132"/>
      <c r="H73" s="132"/>
      <c r="I73" s="132"/>
      <c r="J73" s="132"/>
      <c r="K73" s="132"/>
      <c r="L73" s="132"/>
      <c r="M73" s="132"/>
      <c r="N73" s="104"/>
      <c r="O73" s="103" t="s">
        <v>49</v>
      </c>
      <c r="P73" s="132"/>
      <c r="Q73" s="132"/>
      <c r="R73" s="104"/>
      <c r="S73" s="142" t="s">
        <v>18</v>
      </c>
      <c r="T73" s="143"/>
      <c r="U73" s="143"/>
      <c r="V73" s="143"/>
      <c r="W73" s="143"/>
      <c r="X73" s="143"/>
      <c r="Y73" s="143"/>
      <c r="Z73" s="143"/>
      <c r="AA73" s="143"/>
      <c r="AB73" s="144"/>
      <c r="AC73" s="103" t="s">
        <v>41</v>
      </c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04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9"/>
      <c r="BI73" s="39"/>
      <c r="BJ73" s="39"/>
      <c r="BK73" s="35"/>
    </row>
    <row r="74" spans="1:63" s="36" customFormat="1" ht="15" customHeight="1" x14ac:dyDescent="0.25">
      <c r="A74" s="31"/>
      <c r="B74" s="38"/>
      <c r="C74" s="38"/>
      <c r="D74" s="38"/>
      <c r="E74" s="249"/>
      <c r="F74" s="249"/>
      <c r="G74" s="249"/>
      <c r="H74" s="249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249"/>
      <c r="T74" s="249"/>
      <c r="U74" s="249"/>
      <c r="V74" s="249"/>
      <c r="W74" s="249"/>
      <c r="X74" s="249"/>
      <c r="Y74" s="249"/>
      <c r="Z74" s="249"/>
      <c r="AA74" s="249"/>
      <c r="AB74" s="38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9"/>
      <c r="BI74" s="39"/>
      <c r="BJ74" s="39"/>
      <c r="BK74" s="35"/>
    </row>
    <row r="75" spans="1:63" s="36" customFormat="1" ht="15" customHeight="1" x14ac:dyDescent="0.25">
      <c r="A75" s="31"/>
      <c r="B75" s="38"/>
      <c r="C75" s="41" t="s">
        <v>103</v>
      </c>
      <c r="D75" s="38"/>
      <c r="E75" s="249"/>
      <c r="F75" s="38"/>
      <c r="G75" s="24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9"/>
      <c r="BI75" s="39"/>
      <c r="BJ75" s="39"/>
      <c r="BK75" s="35"/>
    </row>
    <row r="76" spans="1:63" s="36" customFormat="1" ht="15" customHeight="1" x14ac:dyDescent="0.25">
      <c r="A76" s="31"/>
      <c r="B76" s="38"/>
      <c r="C76" s="41"/>
      <c r="D76" s="249"/>
      <c r="E76" s="249"/>
      <c r="F76" s="38"/>
      <c r="G76" s="24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9"/>
      <c r="BI76" s="39"/>
      <c r="BJ76" s="39"/>
      <c r="BK76" s="35"/>
    </row>
    <row r="77" spans="1:63" s="36" customFormat="1" ht="15" customHeight="1" x14ac:dyDescent="0.25">
      <c r="A77" s="31"/>
      <c r="B77" s="38"/>
      <c r="C77" s="307" t="s">
        <v>38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2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9"/>
      <c r="BI77" s="39"/>
      <c r="BJ77" s="39"/>
      <c r="BK77" s="35"/>
    </row>
    <row r="78" spans="1:63" s="36" customFormat="1" ht="15" customHeight="1" x14ac:dyDescent="0.25">
      <c r="A78" s="31"/>
      <c r="B78" s="38"/>
      <c r="C78" s="308" t="s">
        <v>113</v>
      </c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43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9"/>
      <c r="BI78" s="39"/>
      <c r="BJ78" s="39"/>
      <c r="BK78" s="35"/>
    </row>
    <row r="79" spans="1:63" s="36" customFormat="1" ht="15" customHeight="1" x14ac:dyDescent="0.25">
      <c r="A79" s="31"/>
      <c r="B79" s="38"/>
      <c r="C79" s="309" t="s">
        <v>39</v>
      </c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44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9"/>
      <c r="BI79" s="39"/>
      <c r="BJ79" s="39"/>
      <c r="BK79" s="35"/>
    </row>
    <row r="80" spans="1:63" s="36" customFormat="1" ht="15" customHeight="1" x14ac:dyDescent="0.25">
      <c r="A80" s="31"/>
      <c r="B80" s="38"/>
      <c r="C80" s="38"/>
      <c r="D80" s="249"/>
      <c r="E80" s="249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9"/>
      <c r="BI80" s="39"/>
      <c r="BJ80" s="39"/>
      <c r="BK80" s="35"/>
    </row>
    <row r="81" spans="1:63" s="36" customFormat="1" ht="15" customHeight="1" x14ac:dyDescent="0.25">
      <c r="A81" s="31"/>
      <c r="B81" s="38"/>
      <c r="C81" s="37" t="s">
        <v>114</v>
      </c>
      <c r="D81" s="38"/>
      <c r="E81" s="249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9"/>
      <c r="BI81" s="39"/>
      <c r="BJ81" s="39"/>
      <c r="BK81" s="35"/>
    </row>
    <row r="82" spans="1:63" s="36" customFormat="1" ht="15" customHeight="1" x14ac:dyDescent="0.25">
      <c r="A82" s="31"/>
      <c r="B82" s="38"/>
      <c r="C82" s="37"/>
      <c r="D82" s="38"/>
      <c r="E82" s="249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9"/>
      <c r="BI82" s="39"/>
      <c r="BJ82" s="39"/>
      <c r="BK82" s="35"/>
    </row>
    <row r="83" spans="1:63" s="36" customFormat="1" ht="15" customHeight="1" x14ac:dyDescent="0.25">
      <c r="A83" s="31"/>
      <c r="B83" s="38"/>
      <c r="C83" s="37"/>
      <c r="D83" s="38" t="s">
        <v>56</v>
      </c>
      <c r="E83" s="249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9"/>
      <c r="BI83" s="39"/>
      <c r="BJ83" s="39"/>
      <c r="BK83" s="35"/>
    </row>
    <row r="84" spans="1:63" s="58" customFormat="1" ht="15" customHeight="1" x14ac:dyDescent="0.25">
      <c r="A84" s="53"/>
      <c r="B84" s="54"/>
      <c r="C84" s="54"/>
      <c r="D84" s="54"/>
      <c r="E84" s="55"/>
      <c r="F84" s="55"/>
      <c r="G84" s="55"/>
      <c r="H84" s="55"/>
      <c r="I84" s="55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6"/>
      <c r="BI84" s="56"/>
      <c r="BJ84" s="56"/>
      <c r="BK84" s="57"/>
    </row>
  </sheetData>
  <mergeCells count="144">
    <mergeCell ref="O21:R22"/>
    <mergeCell ref="L21:N22"/>
    <mergeCell ref="E21:K22"/>
    <mergeCell ref="O72:R72"/>
    <mergeCell ref="O73:R73"/>
    <mergeCell ref="E72:N72"/>
    <mergeCell ref="E73:N73"/>
    <mergeCell ref="S36:Y36"/>
    <mergeCell ref="C37:BJ37"/>
    <mergeCell ref="E23:K23"/>
    <mergeCell ref="C21:D22"/>
    <mergeCell ref="L41:N41"/>
    <mergeCell ref="O41:R41"/>
    <mergeCell ref="Z41:AP41"/>
    <mergeCell ref="AC72:AU72"/>
    <mergeCell ref="AC73:AU73"/>
    <mergeCell ref="C32:D32"/>
    <mergeCell ref="E32:K32"/>
    <mergeCell ref="L32:N32"/>
    <mergeCell ref="L45:N45"/>
    <mergeCell ref="O45:R45"/>
    <mergeCell ref="Z45:AP45"/>
    <mergeCell ref="E45:K45"/>
    <mergeCell ref="S45:Y45"/>
    <mergeCell ref="Z32:AP32"/>
    <mergeCell ref="AQ32:BJ32"/>
    <mergeCell ref="O23:R23"/>
    <mergeCell ref="O31:R31"/>
    <mergeCell ref="O24:R30"/>
    <mergeCell ref="L23:N23"/>
    <mergeCell ref="L24:N30"/>
    <mergeCell ref="L31:N31"/>
    <mergeCell ref="E31:K31"/>
    <mergeCell ref="L49:N49"/>
    <mergeCell ref="O49:R49"/>
    <mergeCell ref="C73:D73"/>
    <mergeCell ref="S73:AB73"/>
    <mergeCell ref="AQ16:BJ16"/>
    <mergeCell ref="AQ23:BJ23"/>
    <mergeCell ref="AQ24:BJ30"/>
    <mergeCell ref="Z23:AP23"/>
    <mergeCell ref="E20:K20"/>
    <mergeCell ref="S46:Y47"/>
    <mergeCell ref="Z46:AP47"/>
    <mergeCell ref="AQ46:BJ47"/>
    <mergeCell ref="E43:K44"/>
    <mergeCell ref="L43:N44"/>
    <mergeCell ref="O43:R44"/>
    <mergeCell ref="S43:Y44"/>
    <mergeCell ref="Z43:AP44"/>
    <mergeCell ref="AQ43:BJ44"/>
    <mergeCell ref="E36:K36"/>
    <mergeCell ref="AQ45:BJ45"/>
    <mergeCell ref="E49:K49"/>
    <mergeCell ref="AQ21:BJ22"/>
    <mergeCell ref="Z21:AP22"/>
    <mergeCell ref="S21:Y22"/>
    <mergeCell ref="S49:Y49"/>
    <mergeCell ref="AQ49:BJ49"/>
    <mergeCell ref="E24:K30"/>
    <mergeCell ref="Z49:AP49"/>
    <mergeCell ref="AG15:AP15"/>
    <mergeCell ref="AQ15:BJ15"/>
    <mergeCell ref="E16:AF16"/>
    <mergeCell ref="C72:D72"/>
    <mergeCell ref="AG16:AP16"/>
    <mergeCell ref="O20:R20"/>
    <mergeCell ref="L20:N20"/>
    <mergeCell ref="S23:Y23"/>
    <mergeCell ref="S24:Y30"/>
    <mergeCell ref="Z24:AP30"/>
    <mergeCell ref="E42:K42"/>
    <mergeCell ref="L42:N42"/>
    <mergeCell ref="O42:R42"/>
    <mergeCell ref="S42:Y42"/>
    <mergeCell ref="Z42:AP42"/>
    <mergeCell ref="AQ42:BJ42"/>
    <mergeCell ref="C36:D36"/>
    <mergeCell ref="O32:R32"/>
    <mergeCell ref="S32:Y32"/>
    <mergeCell ref="S72:AB72"/>
    <mergeCell ref="C24:D30"/>
    <mergeCell ref="AQ41:BJ41"/>
    <mergeCell ref="C41:D41"/>
    <mergeCell ref="AQ31:BJ31"/>
    <mergeCell ref="AQ36:BJ36"/>
    <mergeCell ref="S31:Y31"/>
    <mergeCell ref="C31:D31"/>
    <mergeCell ref="Z31:AP31"/>
    <mergeCell ref="C48:D48"/>
    <mergeCell ref="E48:K48"/>
    <mergeCell ref="L48:N48"/>
    <mergeCell ref="O48:R48"/>
    <mergeCell ref="S48:Y48"/>
    <mergeCell ref="Z48:AP48"/>
    <mergeCell ref="AQ48:BJ48"/>
    <mergeCell ref="C46:D47"/>
    <mergeCell ref="E46:K47"/>
    <mergeCell ref="L46:N47"/>
    <mergeCell ref="O46:R47"/>
    <mergeCell ref="E41:K41"/>
    <mergeCell ref="L36:N36"/>
    <mergeCell ref="O36:R36"/>
    <mergeCell ref="Z36:AP36"/>
    <mergeCell ref="C42:D4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C50:D53"/>
    <mergeCell ref="E50:K53"/>
    <mergeCell ref="L50:N53"/>
    <mergeCell ref="O50:R53"/>
    <mergeCell ref="S50:Y53"/>
    <mergeCell ref="Z50:AP53"/>
    <mergeCell ref="AQ50:BJ53"/>
    <mergeCell ref="C20:D20"/>
    <mergeCell ref="S20:Y20"/>
    <mergeCell ref="Z20:AP20"/>
    <mergeCell ref="S41:Y41"/>
    <mergeCell ref="C45:D45"/>
    <mergeCell ref="C43:D44"/>
    <mergeCell ref="C23:D23"/>
    <mergeCell ref="C49:D49"/>
    <mergeCell ref="AQ20:BJ20"/>
  </mergeCells>
  <pageMargins left="0.7" right="0.7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1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29" t="s">
        <v>60</v>
      </c>
      <c r="B1" s="230"/>
      <c r="C1" s="230"/>
      <c r="D1" s="230"/>
      <c r="E1" s="230"/>
      <c r="F1" s="230"/>
      <c r="G1" s="230"/>
      <c r="H1" s="230"/>
      <c r="I1" s="230"/>
      <c r="J1" s="231"/>
      <c r="K1" s="229" t="s">
        <v>61</v>
      </c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1"/>
      <c r="W1" s="232" t="str">
        <f>IF(表紙!W1="","",表紙!W1)</f>
        <v>詳細設計書</v>
      </c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4"/>
      <c r="AP1" s="155" t="s">
        <v>63</v>
      </c>
      <c r="AQ1" s="156"/>
      <c r="AR1" s="156"/>
      <c r="AS1" s="157"/>
      <c r="AT1" s="155" t="s">
        <v>64</v>
      </c>
      <c r="AU1" s="156"/>
      <c r="AV1" s="156"/>
      <c r="AW1" s="156"/>
      <c r="AX1" s="157"/>
      <c r="AY1" s="155" t="s">
        <v>65</v>
      </c>
      <c r="AZ1" s="156"/>
      <c r="BA1" s="156"/>
      <c r="BB1" s="157"/>
      <c r="BC1" s="155" t="s">
        <v>66</v>
      </c>
      <c r="BD1" s="156"/>
      <c r="BE1" s="156"/>
      <c r="BF1" s="156"/>
      <c r="BG1" s="157"/>
      <c r="BH1" s="155" t="s">
        <v>67</v>
      </c>
      <c r="BI1" s="156"/>
      <c r="BJ1" s="156"/>
      <c r="BK1" s="157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35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7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45460</v>
      </c>
      <c r="AU2" s="169"/>
      <c r="AV2" s="169"/>
      <c r="AW2" s="169"/>
      <c r="AX2" s="170"/>
      <c r="AY2" s="164" t="str">
        <f>IF(表紙!AY2="","",表紙!AY2)</f>
        <v>DuNT</v>
      </c>
      <c r="AZ2" s="162"/>
      <c r="BA2" s="162"/>
      <c r="BB2" s="163"/>
      <c r="BC2" s="168">
        <f>IF(表紙!BC2="","",表紙!BC2)</f>
        <v>45545</v>
      </c>
      <c r="BD2" s="169"/>
      <c r="BE2" s="169"/>
      <c r="BF2" s="169"/>
      <c r="BG2" s="170"/>
      <c r="BH2" s="164">
        <f>IF(表紙!BH2="","",表紙!BH2)</f>
        <v>0.13</v>
      </c>
      <c r="BI2" s="162"/>
      <c r="BJ2" s="162"/>
      <c r="BK2" s="163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38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40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229" t="s">
        <v>69</v>
      </c>
      <c r="B4" s="230"/>
      <c r="C4" s="230"/>
      <c r="D4" s="230"/>
      <c r="E4" s="230"/>
      <c r="F4" s="230"/>
      <c r="G4" s="231"/>
      <c r="H4" s="91" t="str">
        <f>IF(表紙!H4="","",表紙!H4)</f>
        <v>AP4002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229" t="s">
        <v>70</v>
      </c>
      <c r="V4" s="230"/>
      <c r="W4" s="230"/>
      <c r="X4" s="230"/>
      <c r="Y4" s="231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処理フロー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247" customFormat="1" ht="15" customHeight="1" x14ac:dyDescent="0.25">
      <c r="B7" s="59"/>
      <c r="C7" s="39"/>
      <c r="D7" s="39"/>
      <c r="E7" s="39"/>
      <c r="F7" s="39"/>
      <c r="G7" s="39"/>
      <c r="AI7" s="316"/>
      <c r="BJ7" s="316"/>
      <c r="BK7" s="246"/>
    </row>
    <row r="8" spans="1:63" s="247" customFormat="1" ht="15" customHeight="1" x14ac:dyDescent="0.25">
      <c r="B8" s="59"/>
      <c r="C8" s="39"/>
      <c r="D8" s="39"/>
      <c r="E8" s="39"/>
      <c r="F8" s="39"/>
      <c r="G8" s="39"/>
      <c r="AI8" s="316"/>
      <c r="BJ8" s="316"/>
      <c r="BK8" s="246"/>
    </row>
    <row r="9" spans="1:63" s="247" customFormat="1" ht="15" customHeight="1" x14ac:dyDescent="0.25">
      <c r="B9" s="59"/>
      <c r="C9" s="39"/>
      <c r="D9" s="39"/>
      <c r="E9" s="39"/>
      <c r="F9" s="39"/>
      <c r="G9" s="39"/>
      <c r="AI9" s="316"/>
      <c r="BJ9" s="316"/>
      <c r="BK9" s="246"/>
    </row>
    <row r="10" spans="1:63" s="247" customFormat="1" ht="15" customHeight="1" x14ac:dyDescent="0.25">
      <c r="B10" s="59"/>
      <c r="C10" s="39"/>
      <c r="D10" s="39"/>
      <c r="E10" s="39"/>
      <c r="F10" s="39"/>
      <c r="G10" s="39"/>
      <c r="AI10" s="316"/>
      <c r="BJ10" s="316"/>
      <c r="BK10" s="246"/>
    </row>
    <row r="11" spans="1:63" s="247" customFormat="1" ht="15" customHeight="1" x14ac:dyDescent="0.25">
      <c r="B11" s="317"/>
      <c r="AI11" s="316"/>
      <c r="BJ11" s="316"/>
      <c r="BK11" s="246"/>
    </row>
    <row r="12" spans="1:63" s="247" customFormat="1" ht="15" customHeight="1" x14ac:dyDescent="0.25">
      <c r="B12" s="317"/>
      <c r="AI12" s="316"/>
      <c r="BJ12" s="316"/>
      <c r="BK12" s="246"/>
    </row>
    <row r="13" spans="1:63" s="247" customFormat="1" ht="15" customHeight="1" x14ac:dyDescent="0.25">
      <c r="B13" s="317"/>
      <c r="AI13" s="316"/>
      <c r="BJ13" s="316"/>
      <c r="BK13" s="246"/>
    </row>
    <row r="14" spans="1:63" s="247" customFormat="1" ht="15" customHeight="1" x14ac:dyDescent="0.25">
      <c r="B14" s="317"/>
      <c r="AI14" s="316"/>
      <c r="BJ14" s="316"/>
      <c r="BK14" s="246"/>
    </row>
    <row r="15" spans="1:63" s="247" customFormat="1" ht="15" customHeight="1" x14ac:dyDescent="0.25">
      <c r="B15" s="317"/>
      <c r="AI15" s="316"/>
      <c r="BJ15" s="316"/>
      <c r="BK15" s="246"/>
    </row>
    <row r="16" spans="1:63" s="247" customFormat="1" ht="15" customHeight="1" x14ac:dyDescent="0.25">
      <c r="B16" s="317"/>
      <c r="AI16" s="316"/>
      <c r="BJ16" s="316"/>
      <c r="BK16" s="246"/>
    </row>
    <row r="17" spans="2:63" s="247" customFormat="1" ht="15" customHeight="1" x14ac:dyDescent="0.25">
      <c r="B17" s="317"/>
      <c r="AI17" s="316"/>
      <c r="BJ17" s="316"/>
      <c r="BK17" s="246"/>
    </row>
    <row r="18" spans="2:63" s="247" customFormat="1" ht="15" customHeight="1" x14ac:dyDescent="0.25">
      <c r="B18" s="317"/>
      <c r="AI18" s="316"/>
      <c r="BJ18" s="316"/>
      <c r="BK18" s="246"/>
    </row>
    <row r="19" spans="2:63" s="247" customFormat="1" ht="15" customHeight="1" x14ac:dyDescent="0.25">
      <c r="B19" s="317"/>
      <c r="AI19" s="316"/>
      <c r="BJ19" s="316"/>
      <c r="BK19" s="246"/>
    </row>
    <row r="20" spans="2:63" s="247" customFormat="1" ht="15" customHeight="1" x14ac:dyDescent="0.25">
      <c r="B20" s="317"/>
      <c r="AI20" s="316"/>
      <c r="BJ20" s="316"/>
      <c r="BK20" s="246"/>
    </row>
    <row r="21" spans="2:63" s="247" customFormat="1" ht="15" customHeight="1" x14ac:dyDescent="0.25">
      <c r="B21" s="317"/>
      <c r="AI21" s="316"/>
      <c r="BJ21" s="316"/>
      <c r="BK21" s="246"/>
    </row>
    <row r="22" spans="2:63" s="247" customFormat="1" ht="15" customHeight="1" x14ac:dyDescent="0.25">
      <c r="B22" s="317"/>
      <c r="AI22" s="316"/>
      <c r="BJ22" s="316"/>
      <c r="BK22" s="246"/>
    </row>
    <row r="23" spans="2:63" s="247" customFormat="1" ht="15" customHeight="1" x14ac:dyDescent="0.25">
      <c r="B23" s="317"/>
      <c r="AI23" s="316"/>
      <c r="BJ23" s="316"/>
      <c r="BK23" s="246"/>
    </row>
    <row r="24" spans="2:63" s="247" customFormat="1" ht="15" customHeight="1" x14ac:dyDescent="0.25">
      <c r="B24" s="317"/>
      <c r="AI24" s="316"/>
      <c r="BJ24" s="316"/>
      <c r="BK24" s="246"/>
    </row>
    <row r="25" spans="2:63" s="247" customFormat="1" ht="15" customHeight="1" x14ac:dyDescent="0.25">
      <c r="B25" s="317"/>
      <c r="AI25" s="316"/>
      <c r="BJ25" s="316"/>
      <c r="BK25" s="246"/>
    </row>
    <row r="26" spans="2:63" s="247" customFormat="1" ht="15" customHeight="1" x14ac:dyDescent="0.25">
      <c r="B26" s="317"/>
      <c r="AI26" s="316"/>
      <c r="BJ26" s="316"/>
      <c r="BK26" s="246"/>
    </row>
    <row r="27" spans="2:63" s="247" customFormat="1" ht="15" customHeight="1" x14ac:dyDescent="0.25">
      <c r="B27" s="317"/>
      <c r="AI27" s="316"/>
      <c r="BJ27" s="316"/>
      <c r="BK27" s="246"/>
    </row>
    <row r="28" spans="2:63" s="247" customFormat="1" ht="15" customHeight="1" x14ac:dyDescent="0.25">
      <c r="B28" s="317"/>
      <c r="AI28" s="316"/>
      <c r="BJ28" s="316"/>
      <c r="BK28" s="246"/>
    </row>
    <row r="29" spans="2:63" s="247" customFormat="1" ht="15" customHeight="1" x14ac:dyDescent="0.25">
      <c r="B29" s="317"/>
      <c r="AI29" s="316"/>
      <c r="BJ29" s="316"/>
      <c r="BK29" s="246"/>
    </row>
    <row r="30" spans="2:63" s="247" customFormat="1" ht="15" customHeight="1" x14ac:dyDescent="0.25">
      <c r="B30" s="317"/>
      <c r="AI30" s="316"/>
      <c r="BJ30" s="316"/>
      <c r="BK30" s="246"/>
    </row>
    <row r="31" spans="2:63" s="247" customFormat="1" ht="15" customHeight="1" x14ac:dyDescent="0.25">
      <c r="B31" s="317"/>
      <c r="AI31" s="316"/>
      <c r="BJ31" s="316"/>
      <c r="BK31" s="246"/>
    </row>
    <row r="32" spans="2:63" s="247" customFormat="1" ht="15" customHeight="1" x14ac:dyDescent="0.25">
      <c r="B32" s="317"/>
      <c r="AI32" s="316"/>
      <c r="BJ32" s="316"/>
      <c r="BK32" s="246"/>
    </row>
    <row r="33" spans="2:63" s="247" customFormat="1" ht="15" customHeight="1" x14ac:dyDescent="0.25">
      <c r="B33" s="317"/>
      <c r="AI33" s="316"/>
      <c r="BJ33" s="316"/>
      <c r="BK33" s="246"/>
    </row>
    <row r="34" spans="2:63" s="247" customFormat="1" ht="15" customHeight="1" x14ac:dyDescent="0.25">
      <c r="B34" s="317"/>
      <c r="AI34" s="316"/>
      <c r="BJ34" s="316"/>
      <c r="BK34" s="246"/>
    </row>
    <row r="35" spans="2:63" s="247" customFormat="1" ht="15" customHeight="1" x14ac:dyDescent="0.25">
      <c r="B35" s="317"/>
      <c r="AI35" s="316"/>
      <c r="BJ35" s="316"/>
      <c r="BK35" s="246"/>
    </row>
    <row r="36" spans="2:63" s="247" customFormat="1" ht="15" customHeight="1" x14ac:dyDescent="0.25">
      <c r="B36" s="317"/>
      <c r="AI36" s="316"/>
      <c r="BJ36" s="316"/>
      <c r="BK36" s="246"/>
    </row>
    <row r="37" spans="2:63" s="247" customFormat="1" ht="15" customHeight="1" x14ac:dyDescent="0.25">
      <c r="B37" s="317"/>
      <c r="AI37" s="316"/>
      <c r="BJ37" s="316"/>
      <c r="BK37" s="246"/>
    </row>
    <row r="38" spans="2:63" s="247" customFormat="1" ht="15" customHeight="1" x14ac:dyDescent="0.25">
      <c r="B38" s="317"/>
      <c r="AI38" s="316"/>
      <c r="BJ38" s="316"/>
      <c r="BK38" s="246"/>
    </row>
    <row r="39" spans="2:63" s="247" customFormat="1" ht="15" customHeight="1" x14ac:dyDescent="0.25">
      <c r="B39" s="317"/>
      <c r="AI39" s="316"/>
      <c r="BJ39" s="316"/>
      <c r="BK39" s="246"/>
    </row>
    <row r="40" spans="2:63" s="247" customFormat="1" ht="15" customHeight="1" x14ac:dyDescent="0.25">
      <c r="B40" s="317"/>
      <c r="AI40" s="316"/>
      <c r="BJ40" s="316"/>
      <c r="BK40" s="246"/>
    </row>
    <row r="41" spans="2:63" s="247" customFormat="1" ht="15" customHeight="1" x14ac:dyDescent="0.25">
      <c r="B41" s="317"/>
      <c r="AI41" s="316"/>
      <c r="BJ41" s="316"/>
      <c r="BK41" s="246"/>
    </row>
    <row r="42" spans="2:63" s="247" customFormat="1" ht="15" customHeight="1" x14ac:dyDescent="0.25">
      <c r="B42" s="317"/>
      <c r="AI42" s="316"/>
      <c r="BJ42" s="316"/>
      <c r="BK42" s="246"/>
    </row>
    <row r="43" spans="2:63" s="247" customFormat="1" ht="15" customHeight="1" x14ac:dyDescent="0.25">
      <c r="B43" s="317"/>
      <c r="AI43" s="316"/>
      <c r="BJ43" s="316"/>
      <c r="BK43" s="246"/>
    </row>
    <row r="44" spans="2:63" s="247" customFormat="1" ht="15" customHeight="1" x14ac:dyDescent="0.25">
      <c r="B44" s="317"/>
      <c r="AI44" s="316"/>
      <c r="BJ44" s="316"/>
      <c r="BK44" s="246"/>
    </row>
    <row r="45" spans="2:63" s="247" customFormat="1" ht="15" customHeight="1" x14ac:dyDescent="0.25">
      <c r="B45" s="317"/>
      <c r="AI45" s="316"/>
      <c r="BJ45" s="316"/>
      <c r="BK45" s="246"/>
    </row>
    <row r="46" spans="2:63" s="247" customFormat="1" ht="15" customHeight="1" x14ac:dyDescent="0.25">
      <c r="B46" s="317"/>
      <c r="AI46" s="316"/>
      <c r="BJ46" s="316"/>
      <c r="BK46" s="246"/>
    </row>
    <row r="47" spans="2:63" s="247" customFormat="1" ht="15" customHeight="1" x14ac:dyDescent="0.25">
      <c r="B47" s="317"/>
      <c r="AI47" s="316"/>
      <c r="BJ47" s="316"/>
      <c r="BK47" s="246"/>
    </row>
    <row r="48" spans="2:63" s="247" customFormat="1" ht="15" customHeight="1" x14ac:dyDescent="0.25">
      <c r="B48" s="317"/>
      <c r="AI48" s="316"/>
      <c r="BJ48" s="316"/>
      <c r="BK48" s="246"/>
    </row>
    <row r="49" spans="2:63" s="247" customFormat="1" ht="15" customHeight="1" x14ac:dyDescent="0.25">
      <c r="B49" s="317"/>
      <c r="AI49" s="316"/>
      <c r="BJ49" s="316"/>
      <c r="BK49" s="246"/>
    </row>
    <row r="50" spans="2:63" s="247" customFormat="1" ht="15" customHeight="1" x14ac:dyDescent="0.25">
      <c r="B50" s="317"/>
      <c r="AI50" s="316"/>
      <c r="BJ50" s="316"/>
      <c r="BK50" s="246"/>
    </row>
    <row r="51" spans="2:63" s="247" customFormat="1" ht="15" customHeight="1" x14ac:dyDescent="0.25">
      <c r="B51" s="317"/>
      <c r="AI51" s="316"/>
      <c r="BJ51" s="316"/>
      <c r="BK51" s="246"/>
    </row>
    <row r="52" spans="2:63" s="247" customFormat="1" ht="15" customHeight="1" x14ac:dyDescent="0.25">
      <c r="B52" s="317"/>
      <c r="AI52" s="316"/>
      <c r="BJ52" s="316"/>
      <c r="BK52" s="246"/>
    </row>
    <row r="53" spans="2:63" s="247" customFormat="1" ht="15" customHeight="1" x14ac:dyDescent="0.25">
      <c r="B53" s="317"/>
      <c r="AI53" s="316"/>
      <c r="BJ53" s="316"/>
      <c r="BK53" s="246"/>
    </row>
    <row r="54" spans="2:63" s="247" customFormat="1" ht="15" customHeight="1" x14ac:dyDescent="0.25">
      <c r="B54" s="317"/>
      <c r="AI54" s="316"/>
      <c r="BJ54" s="316"/>
      <c r="BK54" s="246"/>
    </row>
    <row r="55" spans="2:63" s="247" customFormat="1" ht="15" customHeight="1" x14ac:dyDescent="0.25">
      <c r="B55" s="317"/>
      <c r="AI55" s="316"/>
      <c r="BJ55" s="316"/>
      <c r="BK55" s="246"/>
    </row>
    <row r="56" spans="2:63" s="247" customFormat="1" ht="15" customHeight="1" x14ac:dyDescent="0.25">
      <c r="B56" s="317"/>
      <c r="AI56" s="316"/>
      <c r="BJ56" s="316"/>
      <c r="BK56" s="246"/>
    </row>
    <row r="57" spans="2:63" s="247" customFormat="1" ht="15" customHeight="1" x14ac:dyDescent="0.25">
      <c r="B57" s="317"/>
      <c r="AI57" s="316"/>
      <c r="BJ57" s="316"/>
      <c r="BK57" s="246"/>
    </row>
    <row r="58" spans="2:63" s="247" customFormat="1" ht="15" customHeight="1" x14ac:dyDescent="0.25">
      <c r="B58" s="317"/>
      <c r="AI58" s="316"/>
      <c r="BJ58" s="316"/>
      <c r="BK58" s="246"/>
    </row>
    <row r="59" spans="2:63" s="247" customFormat="1" ht="15" customHeight="1" x14ac:dyDescent="0.25">
      <c r="B59" s="317"/>
      <c r="AI59" s="316"/>
      <c r="BJ59" s="316"/>
      <c r="BK59" s="246"/>
    </row>
    <row r="60" spans="2:63" s="247" customFormat="1" ht="15" customHeight="1" x14ac:dyDescent="0.25">
      <c r="B60" s="317"/>
      <c r="AI60" s="316"/>
      <c r="BJ60" s="316"/>
      <c r="BK60" s="246"/>
    </row>
    <row r="61" spans="2:63" s="247" customFormat="1" ht="15" customHeight="1" x14ac:dyDescent="0.25">
      <c r="B61" s="317"/>
      <c r="AI61" s="316"/>
      <c r="BJ61" s="316"/>
      <c r="BK61" s="246"/>
    </row>
    <row r="62" spans="2:63" s="247" customFormat="1" ht="15" customHeight="1" x14ac:dyDescent="0.25">
      <c r="B62" s="317"/>
      <c r="AI62" s="316"/>
      <c r="BJ62" s="316"/>
      <c r="BK62" s="246"/>
    </row>
    <row r="63" spans="2:63" ht="15" customHeight="1" x14ac:dyDescent="0.25">
      <c r="B63" s="27"/>
      <c r="AI63" s="29"/>
      <c r="BJ63" s="29"/>
      <c r="BK63" s="23"/>
    </row>
    <row r="64" spans="2:63" ht="15" customHeight="1" x14ac:dyDescent="0.25">
      <c r="B64" s="27"/>
      <c r="AI64" s="29"/>
      <c r="BJ64" s="29"/>
      <c r="BK64" s="23"/>
    </row>
    <row r="65" spans="2:63" ht="15" customHeight="1" x14ac:dyDescent="0.25">
      <c r="B65" s="27"/>
      <c r="AI65" s="29"/>
      <c r="BJ65" s="29"/>
      <c r="BK65" s="23"/>
    </row>
    <row r="66" spans="2:63" ht="15" customHeight="1" x14ac:dyDescent="0.25">
      <c r="B66" s="27"/>
      <c r="AI66" s="29"/>
      <c r="BJ66" s="29"/>
      <c r="BK66" s="23"/>
    </row>
    <row r="67" spans="2:63" ht="15" customHeight="1" x14ac:dyDescent="0.25">
      <c r="B67" s="27"/>
      <c r="AI67" s="29"/>
      <c r="BJ67" s="29"/>
      <c r="BK67" s="23"/>
    </row>
    <row r="68" spans="2:63" ht="15" customHeight="1" x14ac:dyDescent="0.25">
      <c r="B68" s="27"/>
      <c r="AI68" s="29"/>
      <c r="BJ68" s="29"/>
      <c r="BK68" s="23"/>
    </row>
    <row r="69" spans="2:63" ht="15" customHeight="1" x14ac:dyDescent="0.25">
      <c r="B69" s="27"/>
      <c r="AI69" s="29"/>
      <c r="BJ69" s="29"/>
      <c r="BK69" s="23"/>
    </row>
    <row r="70" spans="2:63" ht="15" customHeight="1" x14ac:dyDescent="0.25">
      <c r="B70" s="27"/>
      <c r="AI70" s="29"/>
      <c r="BJ70" s="29"/>
      <c r="BK70" s="23"/>
    </row>
    <row r="71" spans="2:63" ht="15" customHeight="1" x14ac:dyDescent="0.25">
      <c r="B71" s="27"/>
      <c r="AI71" s="29"/>
      <c r="BJ71" s="29"/>
      <c r="BK71" s="23"/>
    </row>
    <row r="72" spans="2:63" ht="15" customHeight="1" x14ac:dyDescent="0.25">
      <c r="B72" s="27"/>
      <c r="AI72" s="29"/>
      <c r="BJ72" s="29"/>
      <c r="BK72" s="23"/>
    </row>
    <row r="73" spans="2:63" ht="15" customHeight="1" x14ac:dyDescent="0.25">
      <c r="B73" s="27"/>
      <c r="AI73" s="29"/>
      <c r="BJ73" s="29"/>
      <c r="BK73" s="23"/>
    </row>
    <row r="74" spans="2:63" ht="15" customHeight="1" x14ac:dyDescent="0.25">
      <c r="B74" s="27"/>
      <c r="AI74" s="29"/>
      <c r="BJ74" s="29"/>
      <c r="BK74" s="23"/>
    </row>
    <row r="75" spans="2:63" ht="15" customHeight="1" x14ac:dyDescent="0.25">
      <c r="B75" s="27"/>
      <c r="AI75" s="29"/>
      <c r="BJ75" s="29"/>
      <c r="BK75" s="23"/>
    </row>
    <row r="76" spans="2:63" ht="15" customHeight="1" x14ac:dyDescent="0.25">
      <c r="B76" s="27"/>
      <c r="AI76" s="29"/>
      <c r="BJ76" s="29"/>
      <c r="BK76" s="23"/>
    </row>
    <row r="77" spans="2:63" ht="15" customHeight="1" x14ac:dyDescent="0.25">
      <c r="B77" s="27"/>
      <c r="AI77" s="29"/>
      <c r="BJ77" s="29"/>
      <c r="BK77" s="23"/>
    </row>
    <row r="78" spans="2:63" ht="15" customHeight="1" x14ac:dyDescent="0.25">
      <c r="B78" s="27"/>
      <c r="AI78" s="29"/>
      <c r="BJ78" s="29"/>
      <c r="BK78" s="23"/>
    </row>
    <row r="79" spans="2:63" ht="15" customHeight="1" x14ac:dyDescent="0.25">
      <c r="B79" s="27"/>
      <c r="AI79" s="29"/>
      <c r="BJ79" s="29"/>
      <c r="BK79" s="23"/>
    </row>
    <row r="80" spans="2:63" ht="15" customHeight="1" x14ac:dyDescent="0.25">
      <c r="B80" s="27"/>
      <c r="AI80" s="29"/>
      <c r="BJ80" s="29"/>
      <c r="BK80" s="23"/>
    </row>
    <row r="81" spans="2:63" ht="15" customHeight="1" x14ac:dyDescent="0.25">
      <c r="B81" s="27"/>
      <c r="AI81" s="29"/>
      <c r="BJ81" s="29"/>
      <c r="BK81" s="23"/>
    </row>
    <row r="82" spans="2:63" ht="15" customHeight="1" x14ac:dyDescent="0.25">
      <c r="B82" s="27"/>
      <c r="AI82" s="29"/>
      <c r="BJ82" s="29"/>
      <c r="BK82" s="23"/>
    </row>
    <row r="83" spans="2:63" ht="15" customHeight="1" x14ac:dyDescent="0.25">
      <c r="B83" s="27"/>
      <c r="AI83" s="29"/>
      <c r="BJ83" s="29"/>
      <c r="BK83" s="23"/>
    </row>
    <row r="84" spans="2:63" ht="15" customHeight="1" x14ac:dyDescent="0.25">
      <c r="B84" s="27"/>
      <c r="AI84" s="29"/>
      <c r="BJ84" s="29"/>
      <c r="BK84" s="23"/>
    </row>
    <row r="85" spans="2:63" ht="15" customHeight="1" x14ac:dyDescent="0.25">
      <c r="B85" s="27"/>
      <c r="AI85" s="29"/>
      <c r="BJ85" s="29"/>
      <c r="BK85" s="23"/>
    </row>
    <row r="86" spans="2:63" ht="15" customHeight="1" x14ac:dyDescent="0.25">
      <c r="B86" s="27"/>
      <c r="AI86" s="29"/>
      <c r="BJ86" s="29"/>
      <c r="BK86" s="23"/>
    </row>
    <row r="87" spans="2:63" ht="15" customHeight="1" x14ac:dyDescent="0.25">
      <c r="B87" s="27"/>
      <c r="AI87" s="29"/>
      <c r="BJ87" s="29"/>
      <c r="BK87" s="23"/>
    </row>
    <row r="88" spans="2:63" ht="15" customHeight="1" x14ac:dyDescent="0.25">
      <c r="B88" s="27"/>
      <c r="AI88" s="29"/>
      <c r="BJ88" s="29"/>
      <c r="BK88" s="23"/>
    </row>
    <row r="89" spans="2:63" ht="15" customHeight="1" x14ac:dyDescent="0.25">
      <c r="B89" s="27"/>
      <c r="AI89" s="29"/>
      <c r="BJ89" s="29"/>
      <c r="BK89" s="23"/>
    </row>
    <row r="90" spans="2:63" ht="15" customHeight="1" x14ac:dyDescent="0.25">
      <c r="B90" s="27"/>
      <c r="AI90" s="29"/>
      <c r="BJ90" s="29"/>
      <c r="BK90" s="23"/>
    </row>
    <row r="91" spans="2:63" ht="15" customHeight="1" x14ac:dyDescent="0.25">
      <c r="B91" s="27"/>
      <c r="AI91" s="29"/>
      <c r="BJ91" s="29"/>
      <c r="BK91" s="23"/>
    </row>
    <row r="92" spans="2:63" ht="15" customHeight="1" x14ac:dyDescent="0.25">
      <c r="B92" s="27"/>
      <c r="AI92" s="29"/>
      <c r="BJ92" s="29"/>
      <c r="BK92" s="23"/>
    </row>
    <row r="93" spans="2:63" ht="15" customHeight="1" x14ac:dyDescent="0.25">
      <c r="B93" s="27"/>
      <c r="AI93" s="29"/>
      <c r="BJ93" s="29"/>
      <c r="BK93" s="23"/>
    </row>
    <row r="94" spans="2:63" ht="15" customHeight="1" x14ac:dyDescent="0.25">
      <c r="B94" s="27"/>
      <c r="AI94" s="29"/>
      <c r="BJ94" s="29"/>
      <c r="BK94" s="23"/>
    </row>
    <row r="95" spans="2:63" ht="15" customHeight="1" x14ac:dyDescent="0.25">
      <c r="B95" s="27"/>
      <c r="AI95" s="29"/>
      <c r="BJ95" s="29"/>
      <c r="BK95" s="23"/>
    </row>
    <row r="96" spans="2:63" ht="15" customHeight="1" x14ac:dyDescent="0.25">
      <c r="B96" s="27"/>
      <c r="AI96" s="29"/>
      <c r="BJ96" s="29"/>
      <c r="BK96" s="23"/>
    </row>
    <row r="97" spans="2:63" ht="15" customHeight="1" x14ac:dyDescent="0.25">
      <c r="B97" s="27"/>
      <c r="AI97" s="29"/>
      <c r="BJ97" s="29"/>
      <c r="BK97" s="23"/>
    </row>
    <row r="98" spans="2:63" ht="15" customHeight="1" x14ac:dyDescent="0.25">
      <c r="B98" s="27"/>
      <c r="AI98" s="29"/>
      <c r="BJ98" s="29"/>
      <c r="BK98" s="23"/>
    </row>
    <row r="99" spans="2:63" ht="15" customHeight="1" x14ac:dyDescent="0.25">
      <c r="B99" s="27"/>
      <c r="AI99" s="29"/>
      <c r="BJ99" s="29"/>
      <c r="BK99" s="23"/>
    </row>
    <row r="100" spans="2:63" ht="15" customHeight="1" x14ac:dyDescent="0.25">
      <c r="B100" s="27"/>
      <c r="AI100" s="29"/>
      <c r="BJ100" s="29"/>
      <c r="BK100" s="23"/>
    </row>
    <row r="101" spans="2:63" ht="15" customHeight="1" x14ac:dyDescent="0.25">
      <c r="B101" s="27"/>
      <c r="AI101" s="29"/>
      <c r="BJ101" s="29"/>
      <c r="BK101" s="23"/>
    </row>
    <row r="102" spans="2:63" ht="15" customHeight="1" x14ac:dyDescent="0.25">
      <c r="B102" s="27"/>
      <c r="AI102" s="29"/>
      <c r="BJ102" s="29"/>
      <c r="BK102" s="23"/>
    </row>
    <row r="103" spans="2:63" ht="15" customHeight="1" x14ac:dyDescent="0.25">
      <c r="B103" s="27"/>
      <c r="AI103" s="29"/>
      <c r="BJ103" s="29"/>
      <c r="BK103" s="23"/>
    </row>
    <row r="104" spans="2:63" ht="15" customHeight="1" x14ac:dyDescent="0.25">
      <c r="B104" s="27"/>
      <c r="AI104" s="29"/>
      <c r="BJ104" s="29"/>
      <c r="BK104" s="23"/>
    </row>
    <row r="105" spans="2:63" ht="15" customHeight="1" x14ac:dyDescent="0.25">
      <c r="B105" s="27"/>
      <c r="AI105" s="29"/>
      <c r="BJ105" s="29"/>
      <c r="BK105" s="23"/>
    </row>
    <row r="106" spans="2:63" ht="15" customHeight="1" x14ac:dyDescent="0.25">
      <c r="B106" s="27"/>
      <c r="AI106" s="29"/>
      <c r="BJ106" s="29"/>
      <c r="BK106" s="23"/>
    </row>
    <row r="107" spans="2:63" ht="15" customHeight="1" x14ac:dyDescent="0.25">
      <c r="B107" s="27"/>
      <c r="AI107" s="29"/>
      <c r="BJ107" s="29"/>
      <c r="BK107" s="23"/>
    </row>
    <row r="108" spans="2:63" ht="15" customHeight="1" x14ac:dyDescent="0.25">
      <c r="B108" s="27"/>
      <c r="AI108" s="29"/>
      <c r="BJ108" s="29"/>
      <c r="BK108" s="23"/>
    </row>
    <row r="109" spans="2:63" ht="15" customHeight="1" x14ac:dyDescent="0.25">
      <c r="B109" s="27"/>
      <c r="AI109" s="29"/>
      <c r="BJ109" s="29"/>
      <c r="BK109" s="23"/>
    </row>
    <row r="110" spans="2:63" ht="15" customHeight="1" x14ac:dyDescent="0.25">
      <c r="B110" s="27"/>
      <c r="AI110" s="29"/>
      <c r="BJ110" s="29"/>
      <c r="BK110" s="23"/>
    </row>
    <row r="111" spans="2:63" ht="15" customHeight="1" x14ac:dyDescent="0.25">
      <c r="B111" s="27"/>
      <c r="AI111" s="29"/>
      <c r="BJ111" s="29"/>
      <c r="BK111" s="23"/>
    </row>
    <row r="112" spans="2:63" ht="15" customHeight="1" x14ac:dyDescent="0.25">
      <c r="B112" s="27"/>
      <c r="AI112" s="29"/>
      <c r="BJ112" s="29"/>
      <c r="BK112" s="23"/>
    </row>
    <row r="113" spans="1:63" ht="15" customHeight="1" x14ac:dyDescent="0.25">
      <c r="B113" s="27"/>
      <c r="AI113" s="29"/>
      <c r="BJ113" s="29"/>
      <c r="BK113" s="23"/>
    </row>
    <row r="114" spans="1:63" ht="15" customHeight="1" x14ac:dyDescent="0.25">
      <c r="B114" s="27"/>
      <c r="AI114" s="29"/>
      <c r="BJ114" s="29"/>
      <c r="BK114" s="23"/>
    </row>
    <row r="115" spans="1:63" ht="15" customHeight="1" x14ac:dyDescent="0.25">
      <c r="B115" s="27"/>
      <c r="AI115" s="29"/>
      <c r="BJ115" s="29"/>
      <c r="BK115" s="23"/>
    </row>
    <row r="116" spans="1:63" ht="15" customHeight="1" x14ac:dyDescent="0.25">
      <c r="A116" s="21"/>
      <c r="B116" s="28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30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30"/>
      <c r="BK116" s="22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229" t="s">
        <v>60</v>
      </c>
      <c r="B1" s="230"/>
      <c r="C1" s="230"/>
      <c r="D1" s="230"/>
      <c r="E1" s="230"/>
      <c r="F1" s="230"/>
      <c r="G1" s="230"/>
      <c r="H1" s="230"/>
      <c r="I1" s="230"/>
      <c r="J1" s="231"/>
      <c r="K1" s="229" t="s">
        <v>61</v>
      </c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1"/>
      <c r="W1" s="232" t="str">
        <f>IF(表紙!W1="","",表紙!W1)</f>
        <v>詳細設計書</v>
      </c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4"/>
      <c r="AP1" s="155" t="s">
        <v>63</v>
      </c>
      <c r="AQ1" s="156"/>
      <c r="AR1" s="156"/>
      <c r="AS1" s="157"/>
      <c r="AT1" s="155" t="s">
        <v>64</v>
      </c>
      <c r="AU1" s="156"/>
      <c r="AV1" s="156"/>
      <c r="AW1" s="156"/>
      <c r="AX1" s="157"/>
      <c r="AY1" s="155" t="s">
        <v>65</v>
      </c>
      <c r="AZ1" s="156"/>
      <c r="BA1" s="156"/>
      <c r="BB1" s="157"/>
      <c r="BC1" s="155" t="s">
        <v>66</v>
      </c>
      <c r="BD1" s="156"/>
      <c r="BE1" s="156"/>
      <c r="BF1" s="156"/>
      <c r="BG1" s="157"/>
      <c r="BH1" s="155" t="s">
        <v>67</v>
      </c>
      <c r="BI1" s="156"/>
      <c r="BJ1" s="156"/>
      <c r="BK1" s="157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35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7"/>
      <c r="AP2" s="164" t="str">
        <f>IF(表紙!AP2="","",表紙!AP2)</f>
        <v>TuyenNH</v>
      </c>
      <c r="AQ2" s="162"/>
      <c r="AR2" s="162"/>
      <c r="AS2" s="163"/>
      <c r="AT2" s="168">
        <f>IF(表紙!AT2="","",表紙!AT2)</f>
        <v>45460</v>
      </c>
      <c r="AU2" s="169"/>
      <c r="AV2" s="169"/>
      <c r="AW2" s="169"/>
      <c r="AX2" s="170"/>
      <c r="AY2" s="164" t="str">
        <f>IF(表紙!AY2="","",表紙!AY2)</f>
        <v>DuNT</v>
      </c>
      <c r="AZ2" s="162"/>
      <c r="BA2" s="162"/>
      <c r="BB2" s="163"/>
      <c r="BC2" s="168">
        <f>IF(表紙!BC2="","",表紙!BC2)</f>
        <v>45545</v>
      </c>
      <c r="BD2" s="169"/>
      <c r="BE2" s="169"/>
      <c r="BF2" s="169"/>
      <c r="BG2" s="170"/>
      <c r="BH2" s="164">
        <f>IF(表紙!BH2="","",表紙!BH2)</f>
        <v>0.13</v>
      </c>
      <c r="BI2" s="162"/>
      <c r="BJ2" s="162"/>
      <c r="BK2" s="163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38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40"/>
      <c r="AP3" s="174"/>
      <c r="AQ3" s="175"/>
      <c r="AR3" s="175"/>
      <c r="AS3" s="176"/>
      <c r="AT3" s="180"/>
      <c r="AU3" s="181"/>
      <c r="AV3" s="181"/>
      <c r="AW3" s="181"/>
      <c r="AX3" s="182"/>
      <c r="AY3" s="174"/>
      <c r="AZ3" s="175"/>
      <c r="BA3" s="175"/>
      <c r="BB3" s="176"/>
      <c r="BC3" s="180"/>
      <c r="BD3" s="181"/>
      <c r="BE3" s="181"/>
      <c r="BF3" s="181"/>
      <c r="BG3" s="182"/>
      <c r="BH3" s="174"/>
      <c r="BI3" s="175"/>
      <c r="BJ3" s="175"/>
      <c r="BK3" s="176"/>
    </row>
    <row r="4" spans="1:63" ht="24.95" customHeight="1" x14ac:dyDescent="0.25">
      <c r="A4" s="229" t="s">
        <v>69</v>
      </c>
      <c r="B4" s="230"/>
      <c r="C4" s="230"/>
      <c r="D4" s="230"/>
      <c r="E4" s="230"/>
      <c r="F4" s="230"/>
      <c r="G4" s="231"/>
      <c r="H4" s="91" t="str">
        <f>IF(表紙!H4="","",表紙!H4)</f>
        <v>AP4002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229" t="s">
        <v>70</v>
      </c>
      <c r="V4" s="230"/>
      <c r="W4" s="230"/>
      <c r="X4" s="230"/>
      <c r="Y4" s="231"/>
      <c r="Z4" s="91" t="str">
        <f>IF(表紙!Z4="","",表紙!Z4)</f>
        <v>API設計書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4" t="str">
        <f ca="1">MID(CELL("filename",A1),FIND("]",CELL("filename",A1))+1,255)</f>
        <v>テンプレート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</row>
    <row r="7" spans="1:63" s="247" customFormat="1" ht="15" customHeight="1" x14ac:dyDescent="0.25">
      <c r="BK7" s="246"/>
    </row>
    <row r="8" spans="1:63" s="247" customFormat="1" ht="15" customHeight="1" x14ac:dyDescent="0.25">
      <c r="BK8" s="246"/>
    </row>
    <row r="9" spans="1:63" s="247" customFormat="1" ht="15" customHeight="1" x14ac:dyDescent="0.25">
      <c r="BK9" s="246"/>
    </row>
    <row r="10" spans="1:63" s="247" customFormat="1" ht="15" customHeight="1" x14ac:dyDescent="0.25">
      <c r="BK10" s="246"/>
    </row>
    <row r="11" spans="1:63" s="247" customFormat="1" ht="15" customHeight="1" x14ac:dyDescent="0.25">
      <c r="BK11" s="246"/>
    </row>
    <row r="12" spans="1:63" s="247" customFormat="1" ht="15" customHeight="1" x14ac:dyDescent="0.25">
      <c r="BK12" s="246"/>
    </row>
    <row r="13" spans="1:63" s="247" customFormat="1" ht="15" customHeight="1" x14ac:dyDescent="0.25">
      <c r="BK13" s="246"/>
    </row>
    <row r="14" spans="1:63" s="247" customFormat="1" ht="15" customHeight="1" x14ac:dyDescent="0.25">
      <c r="BK14" s="246"/>
    </row>
    <row r="15" spans="1:63" s="247" customFormat="1" ht="15" customHeight="1" x14ac:dyDescent="0.25">
      <c r="BK15" s="246"/>
    </row>
    <row r="16" spans="1:63" s="247" customFormat="1" ht="15" customHeight="1" x14ac:dyDescent="0.25">
      <c r="BK16" s="246"/>
    </row>
    <row r="17" spans="63:63" s="247" customFormat="1" ht="15" customHeight="1" x14ac:dyDescent="0.25">
      <c r="BK17" s="246"/>
    </row>
    <row r="18" spans="63:63" s="247" customFormat="1" ht="15" customHeight="1" x14ac:dyDescent="0.25">
      <c r="BK18" s="246"/>
    </row>
    <row r="19" spans="63:63" s="247" customFormat="1" ht="15" customHeight="1" x14ac:dyDescent="0.25">
      <c r="BK19" s="246"/>
    </row>
    <row r="20" spans="63:63" s="247" customFormat="1" ht="15" customHeight="1" x14ac:dyDescent="0.25">
      <c r="BK20" s="246"/>
    </row>
    <row r="21" spans="63:63" s="247" customFormat="1" ht="15" customHeight="1" x14ac:dyDescent="0.25">
      <c r="BK21" s="246"/>
    </row>
    <row r="22" spans="63:63" s="247" customFormat="1" ht="15" customHeight="1" x14ac:dyDescent="0.25">
      <c r="BK22" s="246"/>
    </row>
    <row r="23" spans="63:63" s="247" customFormat="1" ht="15" customHeight="1" x14ac:dyDescent="0.25">
      <c r="BK23" s="246"/>
    </row>
    <row r="24" spans="63:63" s="247" customFormat="1" ht="15" customHeight="1" x14ac:dyDescent="0.25">
      <c r="BK24" s="246"/>
    </row>
    <row r="25" spans="63:63" s="247" customFormat="1" ht="15" customHeight="1" x14ac:dyDescent="0.25">
      <c r="BK25" s="246"/>
    </row>
    <row r="26" spans="63:63" s="247" customFormat="1" ht="15" customHeight="1" x14ac:dyDescent="0.25">
      <c r="BK26" s="246"/>
    </row>
    <row r="27" spans="63:63" s="247" customFormat="1" ht="15" customHeight="1" x14ac:dyDescent="0.25">
      <c r="BK27" s="246"/>
    </row>
    <row r="28" spans="63:63" s="247" customFormat="1" ht="15" customHeight="1" x14ac:dyDescent="0.25">
      <c r="BK28" s="246"/>
    </row>
    <row r="29" spans="63:63" s="247" customFormat="1" ht="15" customHeight="1" x14ac:dyDescent="0.25">
      <c r="BK29" s="246"/>
    </row>
    <row r="30" spans="63:63" s="247" customFormat="1" ht="15" customHeight="1" x14ac:dyDescent="0.25">
      <c r="BK30" s="246"/>
    </row>
    <row r="31" spans="63:63" s="247" customFormat="1" ht="15" customHeight="1" x14ac:dyDescent="0.25">
      <c r="BK31" s="246"/>
    </row>
    <row r="32" spans="63:63" s="247" customFormat="1" ht="15" customHeight="1" x14ac:dyDescent="0.25">
      <c r="BK32" s="246"/>
    </row>
    <row r="33" spans="63:63" s="247" customFormat="1" ht="15" customHeight="1" x14ac:dyDescent="0.25">
      <c r="BK33" s="246"/>
    </row>
    <row r="34" spans="63:63" s="247" customFormat="1" ht="15" customHeight="1" x14ac:dyDescent="0.25">
      <c r="BK34" s="246"/>
    </row>
    <row r="35" spans="63:63" s="247" customFormat="1" ht="15" customHeight="1" x14ac:dyDescent="0.25">
      <c r="BK35" s="246"/>
    </row>
    <row r="36" spans="63:63" s="247" customFormat="1" ht="15" customHeight="1" x14ac:dyDescent="0.25">
      <c r="BK36" s="246"/>
    </row>
    <row r="37" spans="63:63" s="247" customFormat="1" ht="15" customHeight="1" x14ac:dyDescent="0.25">
      <c r="BK37" s="246"/>
    </row>
    <row r="38" spans="63:63" s="247" customFormat="1" ht="15" customHeight="1" x14ac:dyDescent="0.25">
      <c r="BK38" s="246"/>
    </row>
    <row r="39" spans="63:63" s="247" customFormat="1" ht="15" customHeight="1" x14ac:dyDescent="0.25">
      <c r="BK39" s="246"/>
    </row>
    <row r="40" spans="63:63" s="247" customFormat="1" ht="15" customHeight="1" x14ac:dyDescent="0.25">
      <c r="BK40" s="246"/>
    </row>
    <row r="41" spans="63:63" s="247" customFormat="1" ht="15" customHeight="1" x14ac:dyDescent="0.25">
      <c r="BK41" s="246"/>
    </row>
    <row r="42" spans="63:63" s="247" customFormat="1" ht="15" customHeight="1" x14ac:dyDescent="0.25">
      <c r="BK42" s="246"/>
    </row>
    <row r="43" spans="63:63" s="247" customFormat="1" ht="15" customHeight="1" x14ac:dyDescent="0.25">
      <c r="BK43" s="246"/>
    </row>
    <row r="44" spans="63:63" s="247" customFormat="1" ht="15" customHeight="1" x14ac:dyDescent="0.25">
      <c r="BK44" s="246"/>
    </row>
    <row r="45" spans="63:63" s="247" customFormat="1" ht="15" customHeight="1" x14ac:dyDescent="0.25">
      <c r="BK45" s="246"/>
    </row>
    <row r="46" spans="63:63" s="247" customFormat="1" ht="15" customHeight="1" x14ac:dyDescent="0.25">
      <c r="BK46" s="246"/>
    </row>
    <row r="47" spans="63:63" ht="15" customHeight="1" x14ac:dyDescent="0.25">
      <c r="BK47" s="23"/>
    </row>
    <row r="48" spans="63:63" ht="15" customHeight="1" x14ac:dyDescent="0.25">
      <c r="BK48" s="23"/>
    </row>
    <row r="49" spans="1:63" ht="15" customHeight="1" x14ac:dyDescent="0.25">
      <c r="BK49" s="23"/>
    </row>
    <row r="50" spans="1:63" ht="15" customHeight="1" x14ac:dyDescent="0.25">
      <c r="BK50" s="23"/>
    </row>
    <row r="51" spans="1:63" ht="15" customHeight="1" x14ac:dyDescent="0.25">
      <c r="BK51" s="23"/>
    </row>
    <row r="52" spans="1:63" ht="15" customHeight="1" x14ac:dyDescent="0.25">
      <c r="BK52" s="23"/>
    </row>
    <row r="53" spans="1:63" ht="15" customHeight="1" x14ac:dyDescent="0.25">
      <c r="BK53" s="23"/>
    </row>
    <row r="54" spans="1:63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AP4002</vt:lpstr>
      <vt:lpstr>処理フロー</vt:lpstr>
      <vt:lpstr>テンプレート</vt:lpstr>
      <vt:lpstr>'AP4002'!Print_Area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2024-09-12T07:22:48Z</dcterms:modified>
  <cp:category/>
  <cp:contentStatus/>
</cp:coreProperties>
</file>