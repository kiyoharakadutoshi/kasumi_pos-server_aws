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D8A5A6C7-2B02-461D-8443-EBFB8E97D39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4502" sheetId="8" r:id="rId4"/>
    <sheet name="処理フロー" sheetId="9" r:id="rId5"/>
    <sheet name="テンプレート" sheetId="7" r:id="rId6"/>
  </sheets>
  <definedNames>
    <definedName name="_xlnm.Print_Area" localSheetId="3">'AP4502'!$A$1:$BK$124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<sst xmlns="http://schemas.openxmlformats.org/spreadsheetml/2006/main" count="317" uniqueCount="210">
  <si>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</si>
  <si>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</si>
  <si>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</si>
  <si>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</si>
  <si>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</si>
  <si>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</si>
  <si>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</si>
  <si>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</si>
  <si>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</si>
  <si>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</si>
  <si>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</si>
  <si>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</si>
  <si>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ED7D31"/>
        <rFont val="Meiryo UI"/>
        <family val="2"/>
      </rPr>
      <t>DuNT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</si>
  <si>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</si>
  <si>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</si>
  <si>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</si>
  <si>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</si>
  <si>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</si>
  <si>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</si>
  <si>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</si>
  <si>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</si>
  <si>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</si>
  <si>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</si>
  <si>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</si>
  <si>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</si>
  <si>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</si>
  <si>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</si>
  <si>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</si>
  <si>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</si>
  <si>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</si>
  <si>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</si>
  <si>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</si>
  <si>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</si>
  <si>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</si>
  <si>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</si>
  <si>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</si>
  <si>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AP4502</t>
    </r>
  </si>
  <si>
    <r>
      <rPr>
        <sz val="11"/>
        <color rgb="FF000000"/>
        <rFont val="Meiryo UI"/>
        <family val="2"/>
      </rPr>
      <t>api/v1/product/existed</t>
    </r>
  </si>
  <si>
    <r>
      <rPr>
        <strike/>
        <sz val="11"/>
        <color rgb="FFED7D31"/>
        <rFont val="Meiryo UI"/>
        <family val="2"/>
      </rPr>
      <t>Int</t>
    </r>
  </si>
  <si>
    <r>
      <rPr>
        <strike/>
        <sz val="11"/>
        <color rgb="FFED7D31"/>
        <rFont val="Meiryo UI"/>
        <family val="2"/>
      </rPr>
      <t>create_date</t>
    </r>
  </si>
  <si>
    <r>
      <rPr>
        <strike/>
        <sz val="11"/>
        <color rgb="FFED7D31"/>
        <rFont val="Meiryo UI"/>
        <family val="2"/>
      </rPr>
      <t>m_item.RECORD_CREATE_DATE</t>
    </r>
  </si>
  <si>
    <r>
      <rPr>
        <strike/>
        <sz val="11"/>
        <color rgb="FFED7D31"/>
        <rFont val="Meiryo UI"/>
        <family val="2"/>
      </rPr>
      <t>update_date</t>
    </r>
  </si>
  <si>
    <r>
      <rPr>
        <strike/>
        <sz val="11"/>
        <color rgb="FFED7D31"/>
        <rFont val="Meiryo UI"/>
        <family val="2"/>
      </rPr>
      <t>m_item.RECORD_UPDATE_DATE</t>
    </r>
  </si>
  <si>
    <r>
      <rPr>
        <strike/>
        <sz val="11"/>
        <color rgb="FFED7D31"/>
        <rFont val="Meiryo UI"/>
        <family val="2"/>
      </rPr>
      <t>employee_update</t>
    </r>
  </si>
  <si>
    <r>
      <rPr>
        <strike/>
        <sz val="11"/>
        <color rgb="FFED7D31"/>
        <rFont val="Meiryo UI"/>
        <family val="2"/>
      </rPr>
      <t>m_item.UserUpdate</t>
    </r>
  </si>
  <si>
    <r>
      <rPr>
        <strike/>
        <sz val="11"/>
        <color rgb="FFED7D31"/>
        <rFont val="Meiryo UI"/>
        <family val="2"/>
      </rPr>
      <t>最終更新者</t>
    </r>
  </si>
  <si>
    <t>{</t>
  </si>
  <si>
    <t>}</t>
  </si>
  <si>
    <r>
      <rPr>
        <sz val="11"/>
        <color rgb="FFED7D31"/>
        <rFont val="Meiryo UI"/>
        <family val="2"/>
      </rPr>
      <t>create_date、update_date項目を削除する。</t>
    </r>
  </si>
  <si>
    <r>
      <rPr>
        <strike/>
        <sz val="11"/>
        <color rgb="FFED7D31"/>
        <rFont val="Meiryo UI"/>
        <family val="2"/>
      </rPr>
      <t>String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</si>
  <si>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</si>
  <si>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</si>
  <si>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</si>
  <si>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</si>
  <si>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</si>
  <si>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</si>
  <si>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</si>
  <si>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</si>
  <si>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</si>
  <si>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</si>
  <si>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</si>
  <si>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</si>
  <si>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</si>
  <si>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</si>
  <si>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</si>
  <si>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</si>
  <si>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</si>
  <si>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ロジック更新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</si>
  <si>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</si>
  <si>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</si>
  <si>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PLUコードを基に商品が既に存在しているかを確認する。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</si>
  <si>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</si>
  <si>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</si>
  <si>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</si>
  <si>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</si>
  <si>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</si>
  <si>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</si>
  <si>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</si>
  <si>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</si>
  <si>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r>
      <rPr>
        <sz val="11"/>
        <color rgb="FF000000"/>
        <rFont val="Meiryo UI"/>
        <family val="2"/>
      </rPr>
      <t xml:space="preserve">PLUコード </t>
    </r>
  </si>
  <si>
    <r>
      <rPr>
        <sz val="11"/>
        <color rgb="FF000000"/>
        <rFont val="Meiryo UI"/>
        <family val="2"/>
      </rPr>
      <t>・13桁。13桁未満の場合、エラーメッセージ = MSG_VAL_002</t>
    </r>
  </si>
  <si>
    <t>2.4 Request Body</t>
  </si>
  <si>
    <t>JSON name</t>
  </si>
  <si>
    <t>record_id</t>
  </si>
  <si>
    <t>BigInt</t>
  </si>
  <si>
    <t>m_item.RECORD_ID</t>
  </si>
  <si>
    <t>my_company_code</t>
  </si>
  <si>
    <t>String</t>
  </si>
  <si>
    <t>m_item.MyCompanyCode</t>
  </si>
  <si>
    <t>item_code</t>
  </si>
  <si>
    <t>m_item.ItemCode</t>
  </si>
  <si>
    <t>tax_group_code</t>
  </si>
  <si>
    <t>m_item.TaxGroupCode</t>
  </si>
  <si>
    <t>商品の税種別コード</t>
  </si>
  <si>
    <t>tax_group_name</t>
  </si>
  <si>
    <t>TaxCodeMaster.Description</t>
  </si>
  <si>
    <t>税種別の名称</t>
  </si>
  <si>
    <t>tax_rate</t>
  </si>
  <si>
    <t>Int</t>
  </si>
  <si>
    <t>TaxCodeMaster.Rate</t>
  </si>
  <si>
    <t>税率</t>
  </si>
  <si>
    <t>code_level_one</t>
  </si>
  <si>
    <t>string</t>
  </si>
  <si>
    <t>m_item.MDHierarchyCode1</t>
  </si>
  <si>
    <t>部門コード</t>
  </si>
  <si>
    <t>level_one</t>
  </si>
  <si>
    <t>m_mdhierarchymaster.MDHierarchyLevel</t>
  </si>
  <si>
    <t>部門</t>
  </si>
  <si>
    <t>description_level_one</t>
  </si>
  <si>
    <t>m_mdhierarchymaster.Description</t>
  </si>
  <si>
    <t>部門名称</t>
  </si>
  <si>
    <t>code_level_two</t>
  </si>
  <si>
    <t>m_item.MDHierarchyCode2</t>
  </si>
  <si>
    <t>品群コード</t>
  </si>
  <si>
    <t>level_two</t>
  </si>
  <si>
    <t>品群</t>
  </si>
  <si>
    <t>description_level_two</t>
  </si>
  <si>
    <t>品群名称</t>
  </si>
  <si>
    <t>code_level_three</t>
  </si>
  <si>
    <t>m_item.MDHierarchyCode3</t>
  </si>
  <si>
    <t>品種コード</t>
  </si>
  <si>
    <t>level_three</t>
  </si>
  <si>
    <t>品種</t>
  </si>
  <si>
    <t>description_level_three</t>
  </si>
  <si>
    <t>品種名称</t>
  </si>
  <si>
    <t>code_level_four</t>
  </si>
  <si>
    <t>m_item.MDHierarchyCode4</t>
  </si>
  <si>
    <t>分類コード</t>
  </si>
  <si>
    <t>level_four</t>
  </si>
  <si>
    <t>分類</t>
  </si>
  <si>
    <t>description_level_four</t>
  </si>
  <si>
    <t>分類名称</t>
  </si>
  <si>
    <t>unit_price</t>
  </si>
  <si>
    <t>Decimal</t>
  </si>
  <si>
    <t>m_item.UnitPrice</t>
  </si>
  <si>
    <t>member_price</t>
  </si>
  <si>
    <t>m_item.MemberPrice</t>
  </si>
  <si>
    <t>product_name</t>
  </si>
  <si>
    <t>m_item.DescriptionLong</t>
  </si>
  <si>
    <t>商品名称</t>
  </si>
  <si>
    <t>receipt_name</t>
  </si>
  <si>
    <t>m_item.Description</t>
  </si>
  <si>
    <t>レシートで使用される商品名称</t>
  </si>
  <si>
    <t>is_item_manual_discount</t>
  </si>
  <si>
    <t>SmallInt</t>
  </si>
  <si>
    <t xml:space="preserve">m_item.IsItemManualDiscountProhibition
m_item.IsAutoDiscountProhibition
</t>
  </si>
  <si>
    <t>０：ﾏﾆｭｱﾙ値引除外しない＋自動値引除外しない 
m_item.IsItemManualDiscountProhibition = 0
m_item.IsAutoDiscountProhibition = 0
１：ﾏﾆｭｱﾙ値引除外（一般対象）＋自動値引除外しない  
m_item.IsItemManualDiscountProhibition = 3
m_item.IsAutoDiscountProhibition = 1
３：ﾏﾆｭｱﾙ値引除外（一般＆会員対象）＋自動値引除外しない 
m_item.IsItemManualDiscountProhibition = 1
m_item.IsAutoDiscountProhibition = 0
４：ﾏﾆｭｱﾙ値引除外しない＋自動値引除外 
m_item.IsItemManualDiscountProhibition = 0
m_item.IsAutoDiscountProhibition = 1
５：ﾏﾆｭｱﾙ値引（一般）＋自動値引除外 
m_item.IsItemManualDiscountProhibition = 2
m_item.IsAutoDiscountProhibition = 1
６：ﾏﾆｭｱﾙ値引除外（一般＆会員）＋自動値引除外 
m_item.IsItemManualDiscountProhibition = 1
m_item.IsAutoDiscountProhibition = 1</t>
  </si>
  <si>
    <t>is_subtotal_discount</t>
  </si>
  <si>
    <t>m_item.IsSubTotalDiscount</t>
  </si>
  <si>
    <t>０：対象外
１：一般対象
３：一般＆会員対象</t>
  </si>
  <si>
    <t>membership_price_type</t>
  </si>
  <si>
    <t>m_item.MembershipPriceType</t>
  </si>
  <si>
    <t>１：値引額
２：％値引
６：新売価</t>
  </si>
  <si>
    <r>
      <rPr>
        <strike/>
        <sz val="11"/>
        <color rgb="FFED7D31"/>
        <rFont val="Meiryo UI"/>
        <family val="2"/>
      </rPr>
      <t>レコード作成日 フォーマット：yy/MM/dd</t>
    </r>
  </si>
  <si>
    <r>
      <rPr>
        <strike/>
        <sz val="11"/>
        <color rgb="FFED7D31"/>
        <rFont val="Meiryo UI"/>
        <family val="2"/>
      </rPr>
      <t>レコード更新日 フォーマット：yy/MM/dd</t>
    </r>
  </si>
  <si>
    <t>number_of_order</t>
  </si>
  <si>
    <t>M_P001.NumberOfOrder</t>
  </si>
  <si>
    <t>order_unit</t>
  </si>
  <si>
    <t>M_P001.OrderUnit</t>
  </si>
  <si>
    <t>number_of_unit</t>
  </si>
  <si>
    <t>M_P001.NumberOfUnits</t>
  </si>
  <si>
    <t>unit</t>
  </si>
  <si>
    <t>M_P001.Unit</t>
  </si>
  <si>
    <t>standard_number</t>
  </si>
  <si>
    <t>M_P001.StandardNumber</t>
  </si>
  <si>
    <t>standard_unit</t>
  </si>
  <si>
    <t>M_P001.StandardUnit</t>
  </si>
  <si>
    <t>storage_time</t>
  </si>
  <si>
    <t>M_P001.StorageTime</t>
  </si>
  <si>
    <t>storage_unit</t>
  </si>
  <si>
    <t>M_P001.StorageUnit</t>
  </si>
  <si>
    <t>partner_code</t>
  </si>
  <si>
    <t>M_P001.VenderCode</t>
  </si>
  <si>
    <t>※サンプル</t>
  </si>
  <si>
    <t xml:space="preserve"> "record_id": 1,</t>
  </si>
  <si>
    <t xml:space="preserve">    "store_code": "800",</t>
  </si>
  <si>
    <t xml:space="preserve">    "my_company_code": "COMP001",</t>
  </si>
  <si>
    <t xml:space="preserve">    "item_code": "ITEM001",</t>
  </si>
  <si>
    <t xml:space="preserve">    "code_level_one": "CL1-001",</t>
  </si>
  <si>
    <t xml:space="preserve">    "level_one": 1,</t>
  </si>
  <si>
    <t xml:space="preserve">    "description_level_one": "First Level",</t>
  </si>
  <si>
    <t xml:space="preserve">    "code_level_two": "CL2-001",</t>
  </si>
  <si>
    <t xml:space="preserve">    "level_two": 2,</t>
  </si>
  <si>
    <t xml:space="preserve"> "description_level_two": "Second Level",</t>
  </si>
  <si>
    <t>"code_level_three": "CL3-001",</t>
  </si>
  <si>
    <t xml:space="preserve">    "level_three": 3,</t>
  </si>
  <si>
    <t xml:space="preserve">    "description_level_three": "Third Level",</t>
  </si>
  <si>
    <t xml:space="preserve">    "code_level_four": "CL4-001",</t>
  </si>
  <si>
    <t xml:space="preserve">    "level_four": 4,</t>
  </si>
  <si>
    <t xml:space="preserve">    "description_level_four": "Fourth Level",</t>
  </si>
  <si>
    <t xml:space="preserve">    "unit_price": 100.0,</t>
  </si>
  <si>
    <t xml:space="preserve">    "member_price": 90.0,</t>
  </si>
  <si>
    <t xml:space="preserve">    "product_name": "Product A",</t>
  </si>
  <si>
    <t xml:space="preserve">    "receipt_name": "Product A Receipt",</t>
  </si>
  <si>
    <t xml:space="preserve">    "is_item_manual_discount_prohibition": 0,</t>
  </si>
  <si>
    <t xml:space="preserve">    "is_subtotal_discount_prohibition": 1,</t>
  </si>
  <si>
    <r>
      <rPr>
        <strike/>
        <sz val="11"/>
        <color rgb="FFED7D31"/>
        <rFont val="Meiryo UI"/>
        <family val="2"/>
      </rPr>
      <t xml:space="preserve">    "create_date": "2024-09-01",</t>
    </r>
  </si>
  <si>
    <r>
      <rPr>
        <strike/>
        <sz val="11"/>
        <color rgb="FFED7D31"/>
        <rFont val="Meiryo UI"/>
        <family val="2"/>
      </rPr>
      <t xml:space="preserve">    "update_date": "2024-09-10",</t>
    </r>
  </si>
  <si>
    <r>
      <rPr>
        <strike/>
        <sz val="11"/>
        <color rgb="FFED7D31"/>
        <rFont val="Meiryo UI"/>
        <family val="2"/>
      </rPr>
      <t xml:space="preserve">    "employee_update": "John Doe",</t>
    </r>
  </si>
  <si>
    <t xml:space="preserve"> "number_of_order": 5,</t>
  </si>
  <si>
    <t xml:space="preserve">    "order_unit": "Piece",</t>
  </si>
  <si>
    <t xml:space="preserve">    "number_of_unit": 10,</t>
  </si>
  <si>
    <t xml:space="preserve">    "unit": 1,</t>
  </si>
  <si>
    <t xml:space="preserve">    "standard_unit": 1,</t>
  </si>
  <si>
    <t xml:space="preserve">    "storage_time": "00060",</t>
  </si>
  <si>
    <t xml:space="preserve">    "storage_unit": "D",</t>
  </si>
  <si>
    <t xml:space="preserve">    "patner_code": "PART001"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</si>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</sst>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3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00B0F0"/>
      <name val="Meiryo UI"/>
      <family val="2"/>
    </font>
    <font>
      <sz val="11"/>
      <color rgb="FF7030A0"/>
      <name val="Meiryo UI"/>
      <family val="2"/>
    </font>
    <font>
      <sz val="9"/>
      <color theme="1"/>
      <name val="Meiryo UI"/>
      <family val="2"/>
    </font>
    <font>
      <sz val="9"/>
      <color rgb="FF00B050"/>
      <name val="Meiryo UI"/>
      <family val="2"/>
    </font>
    <font>
      <b/>
      <sz val="11"/>
      <color rgb="FF00B050"/>
      <name val="Meiryo UI"/>
      <family val="2"/>
    </font>
    <font>
      <strike/>
      <sz val="11"/>
      <color theme="5"/>
      <name val="Meiryo UI"/>
      <family val="2"/>
    </font>
    <font>
      <sz val="11"/>
      <color theme="5"/>
      <name val="Meiryo UI"/>
      <family val="2"/>
    </font>
    <font>
      <strike/>
      <sz val="11"/>
      <color rgb="FFED7D31"/>
      <name val="Meiryo UI"/>
      <family val="2"/>
    </font>
    <font>
      <sz val="11"/>
      <color rgb="FFED7D3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24" fillId="0" borderId="0">
      <alignment vertical="center"/>
    </xf>
    <xf numFmtId="0" fontId="5" fillId="0" borderId="0">
      <alignment vertical="center"/>
    </xf>
  </cellStyleXfs>
  <cellXfs count="370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vertical="center" wrapText="1"/>
    </xf>
    <xf numFmtId="0" fontId="6" fillId="0" borderId="0" xfId="0" quotePrefix="1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10" fillId="3" borderId="21" xfId="0" quotePrefix="1" applyFont="1" applyFill="1" applyBorder="1" applyAlignment="1">
      <alignment vertical="center" wrapText="1"/>
    </xf>
    <xf numFmtId="0" fontId="10" fillId="3" borderId="22" xfId="0" quotePrefix="1" applyFont="1" applyFill="1" applyBorder="1" applyAlignment="1">
      <alignment vertical="center" wrapText="1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indent="1"/>
    </xf>
    <xf numFmtId="0" fontId="10" fillId="0" borderId="4" xfId="0" applyFont="1" applyBorder="1" applyAlignment="1">
      <alignment horizontal="left" vertical="center"/>
    </xf>
    <xf numFmtId="0" fontId="10" fillId="3" borderId="21" xfId="0" applyFont="1" applyFill="1" applyBorder="1" applyAlignment="1">
      <alignment vertical="center"/>
    </xf>
    <xf numFmtId="0" fontId="10" fillId="3" borderId="22" xfId="0" applyFont="1" applyFill="1" applyBorder="1" applyAlignment="1">
      <alignment vertical="center"/>
    </xf>
    <xf numFmtId="0" fontId="10" fillId="3" borderId="23" xfId="0" applyFont="1" applyFill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4" xfId="0" applyFont="1" applyBorder="1" applyAlignment="1">
      <alignment vertical="center"/>
    </xf>
    <xf numFmtId="0" fontId="20" fillId="3" borderId="0" xfId="0" applyFont="1" applyFill="1" applyAlignment="1">
      <alignment vertical="center"/>
    </xf>
    <xf numFmtId="0" fontId="20" fillId="0" borderId="4" xfId="0" applyFont="1" applyBorder="1" applyAlignment="1">
      <alignment horizontal="left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6" fillId="0" borderId="17" xfId="0" applyFont="1" applyBorder="1"/>
    <xf numFmtId="0" fontId="16" fillId="0" borderId="18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6" xfId="0" applyFont="1" applyBorder="1"/>
    <xf numFmtId="0" fontId="16" fillId="0" borderId="2" xfId="0" applyFont="1" applyBorder="1"/>
    <xf numFmtId="0" fontId="15" fillId="0" borderId="17" xfId="0" applyFont="1" applyBorder="1"/>
    <xf numFmtId="0" fontId="15" fillId="0" borderId="18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6" xfId="0" applyFont="1" applyBorder="1"/>
    <xf numFmtId="0" fontId="15" fillId="0" borderId="2" xfId="0" applyFont="1" applyBorder="1"/>
    <xf numFmtId="14" fontId="21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4" xfId="0" applyFont="1" applyBorder="1"/>
    <xf numFmtId="0" fontId="21" fillId="0" borderId="25" xfId="0" applyFont="1" applyBorder="1"/>
    <xf numFmtId="0" fontId="21" fillId="0" borderId="2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16" xfId="0" applyFont="1" applyBorder="1"/>
    <xf numFmtId="0" fontId="11" fillId="0" borderId="2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29" xfId="0" applyFont="1" applyBorder="1"/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1" xfId="6" applyFont="1" applyFill="1" applyBorder="1" applyAlignment="1">
      <alignment horizontal="center" vertical="center"/>
    </xf>
    <xf numFmtId="0" fontId="2" fillId="4" borderId="22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1" xfId="0" applyFont="1" applyFill="1" applyBorder="1" applyAlignment="1">
      <alignment horizontal="left" vertical="center"/>
    </xf>
    <xf numFmtId="0" fontId="9" fillId="5" borderId="22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2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3" xfId="0" applyFont="1" applyBorder="1" applyAlignment="1">
      <alignment vertical="center" wrapText="1"/>
    </xf>
    <xf numFmtId="0" fontId="10" fillId="0" borderId="21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9" fillId="5" borderId="23" xfId="0" applyFont="1" applyFill="1" applyBorder="1" applyAlignment="1">
      <alignment vertical="center"/>
    </xf>
    <xf numFmtId="0" fontId="8" fillId="5" borderId="21" xfId="0" applyFont="1" applyFill="1" applyBorder="1" applyAlignment="1">
      <alignment vertical="center"/>
    </xf>
    <xf numFmtId="0" fontId="8" fillId="5" borderId="22" xfId="0" applyFont="1" applyFill="1" applyBorder="1" applyAlignment="1">
      <alignment vertical="center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/>
    </xf>
    <xf numFmtId="0" fontId="10" fillId="0" borderId="23" xfId="0" quotePrefix="1" applyFont="1" applyBorder="1" applyAlignment="1">
      <alignment vertical="center" wrapText="1"/>
    </xf>
    <xf numFmtId="0" fontId="10" fillId="0" borderId="23" xfId="0" quotePrefix="1" applyFont="1" applyBorder="1" applyAlignment="1">
      <alignment horizontal="left" vertical="center" wrapText="1"/>
    </xf>
    <xf numFmtId="0" fontId="10" fillId="3" borderId="23" xfId="0" quotePrefix="1" applyFont="1" applyFill="1" applyBorder="1" applyAlignment="1">
      <alignment vertical="center" wrapText="1"/>
    </xf>
    <xf numFmtId="0" fontId="10" fillId="3" borderId="21" xfId="0" applyFont="1" applyFill="1" applyBorder="1" applyAlignment="1">
      <alignment vertical="center"/>
    </xf>
    <xf numFmtId="0" fontId="10" fillId="3" borderId="22" xfId="0" applyFont="1" applyFill="1" applyBorder="1" applyAlignment="1">
      <alignment vertical="center"/>
    </xf>
    <xf numFmtId="0" fontId="10" fillId="3" borderId="23" xfId="0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left" vertical="center"/>
    </xf>
    <xf numFmtId="0" fontId="10" fillId="3" borderId="22" xfId="0" applyFont="1" applyFill="1" applyBorder="1" applyAlignment="1">
      <alignment horizontal="left" vertical="center"/>
    </xf>
    <xf numFmtId="0" fontId="18" fillId="3" borderId="23" xfId="0" quotePrefix="1" applyFont="1" applyFill="1" applyBorder="1" applyAlignment="1">
      <alignment horizontal="left" vertical="center" wrapText="1"/>
    </xf>
    <xf numFmtId="0" fontId="18" fillId="3" borderId="21" xfId="0" applyFont="1" applyFill="1" applyBorder="1" applyAlignment="1">
      <alignment horizontal="left" vertical="center"/>
    </xf>
    <xf numFmtId="0" fontId="18" fillId="3" borderId="22" xfId="0" applyFont="1" applyFill="1" applyBorder="1" applyAlignment="1">
      <alignment horizontal="left" vertical="center"/>
    </xf>
    <xf numFmtId="0" fontId="10" fillId="3" borderId="23" xfId="0" quotePrefix="1" applyFont="1" applyFill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3" borderId="23" xfId="0" applyFont="1" applyFill="1" applyBorder="1" applyAlignment="1">
      <alignment vertical="center" wrapText="1"/>
    </xf>
    <xf numFmtId="0" fontId="10" fillId="0" borderId="21" xfId="0" quotePrefix="1" applyFont="1" applyBorder="1" applyAlignment="1">
      <alignment horizontal="left" vertical="center" wrapText="1"/>
    </xf>
    <xf numFmtId="0" fontId="10" fillId="0" borderId="2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3" borderId="23" xfId="0" applyFont="1" applyFill="1" applyBorder="1" applyAlignment="1">
      <alignment vertical="center" wrapText="1"/>
    </xf>
    <xf numFmtId="0" fontId="20" fillId="3" borderId="21" xfId="0" applyFont="1" applyFill="1" applyBorder="1" applyAlignment="1">
      <alignment vertical="center" wrapText="1"/>
    </xf>
    <xf numFmtId="0" fontId="20" fillId="3" borderId="22" xfId="0" applyFont="1" applyFill="1" applyBorder="1" applyAlignment="1">
      <alignment vertical="center" wrapText="1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1" xfId="0" quotePrefix="1" applyFont="1" applyBorder="1" applyAlignment="1">
      <alignment horizontal="left" vertical="center" wrapText="1"/>
    </xf>
    <xf numFmtId="0" fontId="20" fillId="0" borderId="2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vertical="center" wrapText="1"/>
    </xf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10" fillId="0" borderId="23" xfId="0" quotePrefix="1" applyFont="1" applyBorder="1" applyAlignment="1">
      <alignment horizontal="left" vertical="center"/>
    </xf>
    <xf numFmtId="0" fontId="25" fillId="4" borderId="23" xfId="0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9" fillId="0" borderId="0" xfId="0" applyFont="1"/>
    <xf numFmtId="0" fontId="29" fillId="0" borderId="17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9" fillId="0" borderId="16" xfId="0" applyNumberFormat="1" applyFont="1" applyBorder="1" applyAlignment="1">
      <alignment horizontal="center" vertical="center"/>
    </xf>
    <xf numFmtId="14" fontId="29" fillId="0" borderId="17" xfId="0" applyNumberFormat="1" applyFont="1" applyBorder="1" applyAlignment="1">
      <alignment horizontal="center" vertical="center"/>
    </xf>
    <xf numFmtId="14" fontId="29" fillId="0" borderId="18" xfId="0" applyNumberFormat="1" applyFont="1" applyBorder="1" applyAlignment="1">
      <alignment horizontal="center" vertical="center"/>
    </xf>
    <xf numFmtId="2" fontId="29" fillId="0" borderId="16" xfId="0" applyNumberFormat="1" applyFont="1" applyBorder="1" applyAlignment="1">
      <alignment horizontal="center" vertical="center"/>
    </xf>
    <xf numFmtId="2" fontId="29" fillId="0" borderId="17" xfId="0" applyNumberFormat="1" applyFont="1" applyBorder="1" applyAlignment="1">
      <alignment horizontal="center" vertical="center"/>
    </xf>
    <xf numFmtId="2" fontId="29" fillId="0" borderId="18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14" fontId="29" fillId="0" borderId="2" xfId="0" applyNumberFormat="1" applyFont="1" applyBorder="1" applyAlignment="1">
      <alignment horizontal="center" vertical="center"/>
    </xf>
    <xf numFmtId="14" fontId="29" fillId="0" borderId="3" xfId="0" applyNumberFormat="1" applyFont="1" applyBorder="1" applyAlignment="1">
      <alignment horizontal="center" vertical="center"/>
    </xf>
    <xf numFmtId="14" fontId="29" fillId="0" borderId="5" xfId="0" applyNumberFormat="1" applyFont="1" applyBorder="1" applyAlignment="1">
      <alignment horizontal="center" vertic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3" xfId="0" applyNumberFormat="1" applyFont="1" applyBorder="1" applyAlignment="1">
      <alignment horizontal="center" vertical="center"/>
    </xf>
    <xf numFmtId="2" fontId="29" fillId="0" borderId="5" xfId="0" applyNumberFormat="1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2" xfId="0" applyFont="1" applyBorder="1"/>
    <xf numFmtId="0" fontId="29" fillId="0" borderId="3" xfId="0" applyFont="1" applyBorder="1"/>
    <xf numFmtId="0" fontId="29" fillId="0" borderId="5" xfId="0" applyFont="1" applyBorder="1"/>
    <xf numFmtId="0" fontId="29" fillId="0" borderId="1" xfId="0" applyFont="1" applyBorder="1"/>
    <xf numFmtId="0" fontId="29" fillId="0" borderId="4" xfId="0" applyFont="1" applyBorder="1"/>
    <xf numFmtId="0" fontId="29" fillId="0" borderId="7" xfId="0" applyFont="1" applyBorder="1"/>
    <xf numFmtId="0" fontId="29" fillId="0" borderId="8" xfId="0" applyFont="1" applyBorder="1"/>
    <xf numFmtId="0" fontId="29" fillId="0" borderId="11" xfId="0" applyFont="1" applyBorder="1"/>
    <xf numFmtId="0" fontId="29" fillId="0" borderId="6" xfId="0" applyFont="1" applyBorder="1"/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0" borderId="12" xfId="0" applyFont="1" applyBorder="1"/>
    <xf numFmtId="0" fontId="29" fillId="0" borderId="14" xfId="0" applyFont="1" applyBorder="1"/>
    <xf numFmtId="0" fontId="29" fillId="0" borderId="15" xfId="0" applyFont="1" applyBorder="1"/>
    <xf numFmtId="0" fontId="29" fillId="0" borderId="9" xfId="0" applyFont="1" applyBorder="1"/>
    <xf numFmtId="0" fontId="29" fillId="0" borderId="10" xfId="0" applyFont="1" applyBorder="1"/>
    <xf numFmtId="0" fontId="29" fillId="0" borderId="13" xfId="0" applyFont="1" applyBorder="1"/>
    <xf numFmtId="0" fontId="25" fillId="4" borderId="16" xfId="0" applyFont="1" applyFill="1" applyBorder="1" applyAlignment="1">
      <alignment horizontal="center" vertical="center"/>
    </xf>
    <xf numFmtId="0" fontId="25" fillId="4" borderId="17" xfId="0" applyFont="1" applyFill="1" applyBorder="1" applyAlignment="1">
      <alignment horizontal="center" vertical="center"/>
    </xf>
    <xf numFmtId="0" fontId="25" fillId="4" borderId="18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5" fillId="4" borderId="0" xfId="0" applyFont="1" applyFill="1"/>
    <xf numFmtId="0" fontId="29" fillId="0" borderId="24" xfId="0" applyFont="1" applyBorder="1"/>
    <xf numFmtId="0" fontId="29" fillId="0" borderId="25" xfId="0" applyFont="1" applyBorder="1"/>
    <xf numFmtId="0" fontId="29" fillId="0" borderId="26" xfId="0" applyFont="1" applyBorder="1"/>
    <xf numFmtId="0" fontId="29" fillId="0" borderId="17" xfId="0" applyFont="1" applyBorder="1"/>
    <xf numFmtId="0" fontId="29" fillId="0" borderId="18" xfId="0" applyFont="1" applyBorder="1"/>
    <xf numFmtId="0" fontId="29" fillId="0" borderId="16" xfId="0" applyFont="1" applyBorder="1"/>
    <xf numFmtId="0" fontId="29" fillId="0" borderId="27" xfId="0" applyFont="1" applyBorder="1"/>
    <xf numFmtId="0" fontId="29" fillId="0" borderId="28" xfId="0" applyFont="1" applyBorder="1"/>
    <xf numFmtId="0" fontId="29" fillId="0" borderId="29" xfId="0" applyFont="1" applyBorder="1"/>
    <xf numFmtId="0" fontId="29" fillId="0" borderId="3" xfId="0" applyFont="1" applyBorder="1"/>
    <xf numFmtId="0" fontId="29" fillId="0" borderId="5" xfId="0" applyFont="1" applyBorder="1"/>
    <xf numFmtId="0" fontId="29" fillId="0" borderId="2" xfId="0" applyFont="1" applyBorder="1"/>
    <xf numFmtId="0" fontId="25" fillId="4" borderId="23" xfId="6" applyFont="1" applyFill="1" applyBorder="1" applyAlignment="1">
      <alignment horizontal="center" vertical="center"/>
    </xf>
    <xf numFmtId="0" fontId="25" fillId="4" borderId="21" xfId="6" applyFont="1" applyFill="1" applyBorder="1" applyAlignment="1">
      <alignment horizontal="center" vertical="center"/>
    </xf>
    <xf numFmtId="0" fontId="25" fillId="4" borderId="22" xfId="6" applyFont="1" applyFill="1" applyBorder="1" applyAlignment="1">
      <alignment horizontal="center" vertical="center"/>
    </xf>
    <xf numFmtId="0" fontId="28" fillId="0" borderId="16" xfId="6" applyFont="1" applyBorder="1" applyAlignment="1">
      <alignment horizontal="center" vertical="center"/>
    </xf>
    <xf numFmtId="0" fontId="28" fillId="0" borderId="17" xfId="6" applyFont="1" applyBorder="1" applyAlignment="1">
      <alignment horizontal="center" vertical="center"/>
    </xf>
    <xf numFmtId="0" fontId="28" fillId="0" borderId="18" xfId="6" applyFont="1" applyBorder="1" applyAlignment="1">
      <alignment horizontal="center" vertical="center"/>
    </xf>
    <xf numFmtId="0" fontId="28" fillId="0" borderId="1" xfId="6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28" fillId="0" borderId="4" xfId="6" applyFont="1" applyBorder="1" applyAlignment="1">
      <alignment horizontal="center" vertical="center"/>
    </xf>
    <xf numFmtId="0" fontId="28" fillId="0" borderId="2" xfId="6" applyFont="1" applyBorder="1" applyAlignment="1">
      <alignment horizontal="center" vertical="center"/>
    </xf>
    <xf numFmtId="0" fontId="28" fillId="0" borderId="3" xfId="6" applyFont="1" applyBorder="1" applyAlignment="1">
      <alignment horizontal="center" vertical="center"/>
    </xf>
    <xf numFmtId="0" fontId="28" fillId="0" borderId="5" xfId="6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6" fillId="4" borderId="19" xfId="0" applyFont="1" applyFill="1" applyBorder="1" applyAlignment="1">
      <alignment vertical="center"/>
    </xf>
    <xf numFmtId="0" fontId="25" fillId="4" borderId="0" xfId="0" applyFont="1" applyFill="1" applyAlignment="1">
      <alignment vertical="center"/>
    </xf>
    <xf numFmtId="0" fontId="25" fillId="4" borderId="20" xfId="0" applyFont="1" applyFill="1" applyBorder="1" applyAlignment="1">
      <alignment vertical="center"/>
    </xf>
    <xf numFmtId="0" fontId="25" fillId="4" borderId="19" xfId="0" applyFont="1" applyFill="1" applyBorder="1" applyAlignment="1">
      <alignment vertical="center"/>
    </xf>
    <xf numFmtId="0" fontId="29" fillId="0" borderId="4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9" fillId="2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23" xfId="0" quotePrefix="1" applyFont="1" applyBorder="1" applyAlignment="1">
      <alignment horizontal="left" vertical="center"/>
    </xf>
    <xf numFmtId="0" fontId="29" fillId="0" borderId="21" xfId="0" quotePrefix="1" applyFont="1" applyBorder="1" applyAlignment="1">
      <alignment horizontal="left" vertical="center"/>
    </xf>
    <xf numFmtId="0" fontId="29" fillId="0" borderId="22" xfId="0" quotePrefix="1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1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23" xfId="0" quotePrefix="1" applyFont="1" applyBorder="1" applyAlignment="1">
      <alignment horizontal="left" vertical="center" wrapText="1"/>
    </xf>
    <xf numFmtId="0" fontId="29" fillId="0" borderId="16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0" fontId="29" fillId="0" borderId="18" xfId="0" applyFont="1" applyBorder="1" applyAlignment="1">
      <alignment horizontal="left" vertical="center"/>
    </xf>
    <xf numFmtId="0" fontId="29" fillId="0" borderId="16" xfId="0" quotePrefix="1" applyFont="1" applyBorder="1" applyAlignment="1">
      <alignment horizontal="center" vertical="center"/>
    </xf>
    <xf numFmtId="0" fontId="29" fillId="0" borderId="17" xfId="0" quotePrefix="1" applyFont="1" applyBorder="1" applyAlignment="1">
      <alignment horizontal="center" vertical="center"/>
    </xf>
    <xf numFmtId="0" fontId="29" fillId="0" borderId="18" xfId="0" quotePrefix="1" applyFont="1" applyBorder="1" applyAlignment="1">
      <alignment horizontal="center" vertical="center"/>
    </xf>
    <xf numFmtId="0" fontId="29" fillId="0" borderId="16" xfId="0" quotePrefix="1" applyFont="1" applyBorder="1" applyAlignment="1">
      <alignment horizontal="left" vertical="center"/>
    </xf>
    <xf numFmtId="0" fontId="29" fillId="0" borderId="17" xfId="0" quotePrefix="1" applyFont="1" applyBorder="1" applyAlignment="1">
      <alignment horizontal="left" vertical="center"/>
    </xf>
    <xf numFmtId="0" fontId="29" fillId="0" borderId="18" xfId="0" quotePrefix="1" applyFont="1" applyBorder="1" applyAlignment="1">
      <alignment horizontal="left" vertical="center"/>
    </xf>
    <xf numFmtId="0" fontId="29" fillId="0" borderId="16" xfId="0" applyFont="1" applyBorder="1" applyAlignment="1">
      <alignment horizontal="left" vertical="top"/>
    </xf>
    <xf numFmtId="0" fontId="29" fillId="0" borderId="17" xfId="0" applyFont="1" applyBorder="1" applyAlignment="1">
      <alignment horizontal="left" vertical="top"/>
    </xf>
    <xf numFmtId="0" fontId="29" fillId="0" borderId="18" xfId="0" applyFont="1" applyBorder="1" applyAlignment="1">
      <alignment horizontal="left" vertical="top"/>
    </xf>
    <xf numFmtId="0" fontId="29" fillId="0" borderId="17" xfId="0" quotePrefix="1" applyFont="1" applyBorder="1" applyAlignment="1">
      <alignment horizontal="left" vertical="top" wrapText="1"/>
    </xf>
    <xf numFmtId="0" fontId="29" fillId="0" borderId="18" xfId="0" quotePrefix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0" xfId="0" quotePrefix="1" applyFont="1" applyAlignment="1">
      <alignment horizontal="center" vertical="center"/>
    </xf>
    <xf numFmtId="0" fontId="29" fillId="0" borderId="4" xfId="0" quotePrefix="1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left" vertical="center"/>
    </xf>
    <xf numFmtId="0" fontId="29" fillId="0" borderId="0" xfId="0" quotePrefix="1" applyFont="1" applyAlignment="1">
      <alignment horizontal="left" vertical="center"/>
    </xf>
    <xf numFmtId="0" fontId="29" fillId="0" borderId="4" xfId="0" quotePrefix="1" applyFont="1" applyBorder="1" applyAlignment="1">
      <alignment horizontal="left" vertical="center"/>
    </xf>
    <xf numFmtId="0" fontId="29" fillId="0" borderId="1" xfId="0" applyFont="1" applyBorder="1" applyAlignment="1">
      <alignment horizontal="left" vertical="top"/>
    </xf>
    <xf numFmtId="0" fontId="29" fillId="0" borderId="0" xfId="0" applyFont="1" applyAlignment="1">
      <alignment horizontal="left" vertical="top"/>
    </xf>
    <xf numFmtId="0" fontId="29" fillId="0" borderId="4" xfId="0" applyFont="1" applyBorder="1" applyAlignment="1">
      <alignment horizontal="left" vertical="top"/>
    </xf>
    <xf numFmtId="0" fontId="29" fillId="0" borderId="0" xfId="0" quotePrefix="1" applyFont="1" applyAlignment="1">
      <alignment horizontal="left" vertical="top" wrapText="1"/>
    </xf>
    <xf numFmtId="0" fontId="29" fillId="0" borderId="4" xfId="0" quotePrefix="1" applyFont="1" applyBorder="1" applyAlignment="1">
      <alignment horizontal="left" vertical="top" wrapText="1"/>
    </xf>
    <xf numFmtId="0" fontId="29" fillId="0" borderId="2" xfId="0" applyFont="1" applyBorder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29" fillId="0" borderId="2" xfId="0" quotePrefix="1" applyFont="1" applyBorder="1" applyAlignment="1">
      <alignment horizontal="center" vertical="center"/>
    </xf>
    <xf numFmtId="0" fontId="29" fillId="0" borderId="3" xfId="0" quotePrefix="1" applyFont="1" applyBorder="1" applyAlignment="1">
      <alignment horizontal="center" vertical="center"/>
    </xf>
    <xf numFmtId="0" fontId="29" fillId="0" borderId="5" xfId="0" quotePrefix="1" applyFont="1" applyBorder="1" applyAlignment="1">
      <alignment horizontal="center" vertical="center"/>
    </xf>
    <xf numFmtId="0" fontId="29" fillId="0" borderId="2" xfId="0" quotePrefix="1" applyFont="1" applyBorder="1" applyAlignment="1">
      <alignment horizontal="left" vertical="center"/>
    </xf>
    <xf numFmtId="0" fontId="29" fillId="0" borderId="3" xfId="0" quotePrefix="1" applyFont="1" applyBorder="1" applyAlignment="1">
      <alignment horizontal="left" vertical="center"/>
    </xf>
    <xf numFmtId="0" fontId="29" fillId="0" borderId="5" xfId="0" quotePrefix="1" applyFont="1" applyBorder="1" applyAlignment="1">
      <alignment horizontal="left" vertical="center"/>
    </xf>
    <xf numFmtId="0" fontId="29" fillId="0" borderId="2" xfId="0" applyFont="1" applyBorder="1" applyAlignment="1">
      <alignment horizontal="left" vertical="top"/>
    </xf>
    <xf numFmtId="0" fontId="29" fillId="0" borderId="3" xfId="0" applyFont="1" applyBorder="1" applyAlignment="1">
      <alignment horizontal="left" vertical="top"/>
    </xf>
    <xf numFmtId="0" fontId="29" fillId="0" borderId="5" xfId="0" applyFont="1" applyBorder="1" applyAlignment="1">
      <alignment horizontal="left" vertical="top"/>
    </xf>
    <xf numFmtId="0" fontId="29" fillId="0" borderId="3" xfId="0" quotePrefix="1" applyFont="1" applyBorder="1" applyAlignment="1">
      <alignment horizontal="left" vertical="top" wrapText="1"/>
    </xf>
    <xf numFmtId="0" fontId="29" fillId="0" borderId="5" xfId="0" quotePrefix="1" applyFont="1" applyBorder="1" applyAlignment="1">
      <alignment horizontal="left" vertical="top" wrapText="1"/>
    </xf>
    <xf numFmtId="0" fontId="29" fillId="0" borderId="0" xfId="0" quotePrefix="1" applyFont="1" applyAlignment="1">
      <alignment horizontal="left" vertical="center"/>
    </xf>
    <xf numFmtId="0" fontId="29" fillId="5" borderId="23" xfId="0" applyFont="1" applyFill="1" applyBorder="1" applyAlignment="1">
      <alignment horizontal="left" vertical="center"/>
    </xf>
    <xf numFmtId="0" fontId="29" fillId="5" borderId="21" xfId="0" applyFont="1" applyFill="1" applyBorder="1" applyAlignment="1">
      <alignment horizontal="left" vertical="center"/>
    </xf>
    <xf numFmtId="0" fontId="29" fillId="5" borderId="22" xfId="0" applyFont="1" applyFill="1" applyBorder="1" applyAlignment="1">
      <alignment horizontal="left" vertical="center"/>
    </xf>
    <xf numFmtId="0" fontId="29" fillId="0" borderId="0" xfId="0" quotePrefix="1" applyFont="1" applyAlignment="1">
      <alignment horizontal="left" vertical="center" wrapText="1"/>
    </xf>
    <xf numFmtId="0" fontId="29" fillId="0" borderId="20" xfId="0" applyFont="1" applyBorder="1" applyAlignment="1">
      <alignment vertical="center"/>
    </xf>
    <xf numFmtId="0" fontId="29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224118</xdr:colOff>
      <xdr:row>20</xdr:row>
      <xdr:rowOff>0</xdr:rowOff>
    </xdr:from>
    <xdr:to>
      <xdr:col>61</xdr:col>
      <xdr:colOff>224118</xdr:colOff>
      <xdr:row>26</xdr:row>
      <xdr:rowOff>11206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9296400" y="3924300"/>
          <a:ext cx="7200900" cy="1152525"/>
        </a:xfrm>
        <a:prstGeom prst="borderCallout1">
          <a:avLst>
            <a:gd name="adj1" fmla="val 48946"/>
            <a:gd name="adj2" fmla="val -59"/>
            <a:gd name="adj3" fmla="val 51098"/>
            <a:gd name="adj4" fmla="val -10376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・レコードが存在している場合、レスポンスコード = 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200、データ = AP4502シートの説明に従う商品情報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・レコードが存在していない場合、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レスポンスコード = 200、空データ</a:t>
          </a:r>
        </a:p>
      </xdr:txBody>
    </xdr:sp>
    <xdr:clientData/>
  </xdr:twoCellAnchor>
  <xdr:twoCellAnchor>
    <xdr:from>
      <xdr:col>35</xdr:col>
      <xdr:colOff>0</xdr:colOff>
      <xdr:row>9</xdr:row>
      <xdr:rowOff>179294</xdr:rowOff>
    </xdr:from>
    <xdr:to>
      <xdr:col>62</xdr:col>
      <xdr:colOff>0</xdr:colOff>
      <xdr:row>17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009775"/>
          <a:ext cx="7200900" cy="1343025"/>
        </a:xfrm>
        <a:prstGeom prst="borderCallout1">
          <a:avLst>
            <a:gd name="adj1" fmla="val 48808"/>
            <a:gd name="adj2" fmla="val -59"/>
            <a:gd name="adj3" fmla="val 50621"/>
            <a:gd name="adj4" fmla="val -9657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m_itemテーブルから、以下の条件を満たす最初のレコード（AP0115レスポンスに従う商品情報）を取得する。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▪ m_item.CompanyCode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▪ m_item.ItemCode = params{plu}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LIMIT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8</xdr:col>
      <xdr:colOff>0</xdr:colOff>
      <xdr:row>34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6210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21</xdr:row>
      <xdr:rowOff>11206</xdr:rowOff>
    </xdr:from>
    <xdr:to>
      <xdr:col>9</xdr:col>
      <xdr:colOff>0</xdr:colOff>
      <xdr:row>26</xdr:row>
      <xdr:rowOff>0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4124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26</xdr:row>
      <xdr:rowOff>0</xdr:rowOff>
    </xdr:from>
    <xdr:to>
      <xdr:col>7</xdr:col>
      <xdr:colOff>0</xdr:colOff>
      <xdr:row>27</xdr:row>
      <xdr:rowOff>0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5067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23</xdr:row>
      <xdr:rowOff>0</xdr:rowOff>
    </xdr:from>
    <xdr:to>
      <xdr:col>11</xdr:col>
      <xdr:colOff>0</xdr:colOff>
      <xdr:row>24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49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1. 商品情報取得</a:t>
          </a: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21</xdr:row>
      <xdr:rowOff>11206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4" idx="4"/>
          <a:endCxn id="35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</xdr:colOff>
      <xdr:row>32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9" idx="2"/>
          <a:endCxn id="5" idx="0"/>
        </xdr:cNvCxnSpPr>
      </xdr:nvCxnSpPr>
      <xdr:spPr>
        <a:xfrm flipH="1">
          <a:off x="1600200" y="5257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23</xdr:row>
      <xdr:rowOff>95250</xdr:rowOff>
    </xdr:from>
    <xdr:to>
      <xdr:col>11</xdr:col>
      <xdr:colOff>0</xdr:colOff>
      <xdr:row>32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0" idx="3"/>
          <a:endCxn id="5" idx="0"/>
        </xdr:cNvCxnSpPr>
      </xdr:nvCxnSpPr>
      <xdr:spPr>
        <a:xfrm flipH="1">
          <a:off x="1600200" y="4591050"/>
          <a:ext cx="1333500" cy="1619250"/>
        </a:xfrm>
        <a:prstGeom prst="bentConnector4">
          <a:avLst>
            <a:gd name="adj1" fmla="val -19429"/>
            <a:gd name="adj2" fmla="val 5294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25" customWidth="1"/>
    <col min="61" max="16384" width="2.77734375" style="225"/>
  </cols>
  <sheetData>
    <row r="1" spans="1:63" ht="24.95" customHeight="1" x14ac:dyDescent="0.25">
      <c r="A1" s="219" t="s">
        <v>50</v>
      </c>
      <c r="B1" s="220"/>
      <c r="C1" s="220"/>
      <c r="D1" s="220"/>
      <c r="E1" s="220"/>
      <c r="F1" s="220"/>
      <c r="G1" s="220"/>
      <c r="H1" s="220"/>
      <c r="I1" s="220"/>
      <c r="J1" s="221"/>
      <c r="K1" s="219" t="s">
        <v>51</v>
      </c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1"/>
      <c r="W1" s="222" t="s">
        <v>52</v>
      </c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4"/>
      <c r="AP1" s="219" t="s">
        <v>53</v>
      </c>
      <c r="AQ1" s="220"/>
      <c r="AR1" s="220"/>
      <c r="AS1" s="221"/>
      <c r="AT1" s="219" t="s">
        <v>54</v>
      </c>
      <c r="AU1" s="220"/>
      <c r="AV1" s="220"/>
      <c r="AW1" s="220"/>
      <c r="AX1" s="221"/>
      <c r="AY1" s="219" t="s">
        <v>55</v>
      </c>
      <c r="AZ1" s="220"/>
      <c r="BA1" s="220"/>
      <c r="BB1" s="221"/>
      <c r="BC1" s="219" t="s">
        <v>56</v>
      </c>
      <c r="BD1" s="220"/>
      <c r="BE1" s="220"/>
      <c r="BF1" s="220"/>
      <c r="BG1" s="221"/>
      <c r="BH1" s="219" t="s">
        <v>57</v>
      </c>
      <c r="BI1" s="220"/>
      <c r="BJ1" s="220"/>
      <c r="BK1" s="221"/>
    </row>
    <row r="2" spans="1:63" ht="15" customHeight="1" x14ac:dyDescent="0.25">
      <c r="A2" s="82" t="s">
        <v>58</v>
      </c>
      <c r="B2" s="226"/>
      <c r="C2" s="226"/>
      <c r="D2" s="226"/>
      <c r="E2" s="226"/>
      <c r="F2" s="226"/>
      <c r="G2" s="226"/>
      <c r="H2" s="226"/>
      <c r="I2" s="226"/>
      <c r="J2" s="227"/>
      <c r="K2" s="228" t="s">
        <v>10</v>
      </c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7"/>
      <c r="W2" s="229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1"/>
      <c r="AP2" s="228" t="str">
        <f>改訂履歴!$H$11</f>
        <v>DuNT</v>
      </c>
      <c r="AQ2" s="226"/>
      <c r="AR2" s="226"/>
      <c r="AS2" s="227"/>
      <c r="AT2" s="232">
        <f>改訂履歴!$B$11</f>
        <v>45665</v>
      </c>
      <c r="AU2" s="233"/>
      <c r="AV2" s="233"/>
      <c r="AW2" s="233"/>
      <c r="AX2" s="234"/>
      <c r="AY2" s="228" t="str">
        <f>LOOKUP(2,1/(改訂履歴!H11:H30000&lt;&gt;""),改訂履歴!H11:H30000)</f>
        <v>DuNT</v>
      </c>
      <c r="AZ2" s="226"/>
      <c r="BA2" s="226"/>
      <c r="BB2" s="227"/>
      <c r="BC2" s="232">
        <f>LOOKUP(2,1/(改訂履歴!B11:B30000&lt;&gt;""),改訂履歴!B11:B30000)</f>
        <v>45721</v>
      </c>
      <c r="BD2" s="233"/>
      <c r="BE2" s="233"/>
      <c r="BF2" s="233"/>
      <c r="BG2" s="234"/>
      <c r="BH2" s="235">
        <f>LOOKUP(2,1/(改訂履歴!O11:O30000&lt;&gt;""),改訂履歴!O11:O30000)</f>
        <v>0.12</v>
      </c>
      <c r="BI2" s="236"/>
      <c r="BJ2" s="236"/>
      <c r="BK2" s="237"/>
    </row>
    <row r="3" spans="1:63" ht="15" customHeight="1" x14ac:dyDescent="0.25">
      <c r="A3" s="238"/>
      <c r="B3" s="239"/>
      <c r="C3" s="239"/>
      <c r="D3" s="239"/>
      <c r="E3" s="239"/>
      <c r="F3" s="239"/>
      <c r="G3" s="239"/>
      <c r="H3" s="239"/>
      <c r="I3" s="239"/>
      <c r="J3" s="240"/>
      <c r="K3" s="238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40"/>
      <c r="W3" s="241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3"/>
      <c r="AP3" s="238"/>
      <c r="AQ3" s="239"/>
      <c r="AR3" s="239"/>
      <c r="AS3" s="240"/>
      <c r="AT3" s="244"/>
      <c r="AU3" s="245"/>
      <c r="AV3" s="245"/>
      <c r="AW3" s="245"/>
      <c r="AX3" s="246"/>
      <c r="AY3" s="238"/>
      <c r="AZ3" s="239"/>
      <c r="BA3" s="239"/>
      <c r="BB3" s="240"/>
      <c r="BC3" s="244"/>
      <c r="BD3" s="245"/>
      <c r="BE3" s="245"/>
      <c r="BF3" s="245"/>
      <c r="BG3" s="246"/>
      <c r="BH3" s="247"/>
      <c r="BI3" s="248"/>
      <c r="BJ3" s="248"/>
      <c r="BK3" s="249"/>
    </row>
    <row r="4" spans="1:63" ht="24.95" customHeight="1" x14ac:dyDescent="0.25">
      <c r="A4" s="219" t="s">
        <v>59</v>
      </c>
      <c r="B4" s="220"/>
      <c r="C4" s="220"/>
      <c r="D4" s="220"/>
      <c r="E4" s="220"/>
      <c r="F4" s="220"/>
      <c r="G4" s="221"/>
      <c r="H4" s="250" t="s">
        <v>36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2"/>
      <c r="U4" s="219" t="s">
        <v>60</v>
      </c>
      <c r="V4" s="220"/>
      <c r="W4" s="220"/>
      <c r="X4" s="220"/>
      <c r="Y4" s="221"/>
      <c r="Z4" s="75" t="s">
        <v>61</v>
      </c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2"/>
      <c r="AP4" s="250" t="str">
        <f t="array" aca="1" ref="AP4" ca="1">RIGHT(CELL("filename",$A$1),LEN(CELL("filename",$A$1))-FIND("]",CELL("filename",$A$1)))</f>
        <v>表紙</v>
      </c>
      <c r="AQ4" s="251"/>
      <c r="AR4" s="251"/>
      <c r="AS4" s="251"/>
      <c r="AT4" s="251"/>
      <c r="AU4" s="251"/>
      <c r="AV4" s="251"/>
      <c r="AW4" s="251"/>
      <c r="AX4" s="251"/>
      <c r="AY4" s="251"/>
      <c r="AZ4" s="251"/>
      <c r="BA4" s="251"/>
      <c r="BB4" s="251"/>
      <c r="BC4" s="251"/>
      <c r="BD4" s="251"/>
      <c r="BE4" s="251"/>
      <c r="BF4" s="251"/>
      <c r="BG4" s="251"/>
      <c r="BH4" s="251"/>
      <c r="BI4" s="251"/>
      <c r="BJ4" s="251"/>
      <c r="BK4" s="252"/>
    </row>
    <row r="5" spans="1:63" ht="5.0999999999999996" customHeight="1" x14ac:dyDescent="0.25">
      <c r="A5" s="253"/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  <c r="BA5" s="254"/>
      <c r="BB5" s="254"/>
      <c r="BC5" s="254"/>
      <c r="BD5" s="254"/>
      <c r="BE5" s="254"/>
      <c r="BF5" s="254"/>
      <c r="BG5" s="254"/>
      <c r="BH5" s="254"/>
      <c r="BI5" s="254"/>
      <c r="BJ5" s="254"/>
      <c r="BK5" s="255"/>
    </row>
    <row r="6" spans="1:63" ht="15" customHeight="1" x14ac:dyDescent="0.25">
      <c r="A6" s="256"/>
      <c r="BK6" s="257"/>
    </row>
    <row r="7" spans="1:63" ht="15" customHeight="1" x14ac:dyDescent="0.25">
      <c r="A7" s="256"/>
      <c r="BK7" s="257"/>
    </row>
    <row r="8" spans="1:63" ht="15" customHeight="1" x14ac:dyDescent="0.25">
      <c r="A8" s="256"/>
      <c r="BK8" s="257"/>
    </row>
    <row r="9" spans="1:63" ht="15" customHeight="1" x14ac:dyDescent="0.25">
      <c r="A9" s="256"/>
      <c r="BK9" s="257"/>
    </row>
    <row r="10" spans="1:63" ht="15" customHeight="1" x14ac:dyDescent="0.25">
      <c r="A10" s="256"/>
      <c r="BK10" s="257"/>
    </row>
    <row r="11" spans="1:63" ht="15" customHeight="1" x14ac:dyDescent="0.25">
      <c r="A11" s="256"/>
      <c r="BK11" s="257"/>
    </row>
    <row r="12" spans="1:63" ht="15" customHeight="1" x14ac:dyDescent="0.25">
      <c r="A12" s="256"/>
      <c r="BK12" s="257"/>
    </row>
    <row r="13" spans="1:63" ht="15" customHeight="1" x14ac:dyDescent="0.25">
      <c r="A13" s="256"/>
      <c r="BK13" s="257"/>
    </row>
    <row r="14" spans="1:63" ht="15" customHeight="1" thickBot="1" x14ac:dyDescent="0.3">
      <c r="A14" s="256"/>
      <c r="BK14" s="257"/>
    </row>
    <row r="15" spans="1:63" ht="15" customHeight="1" thickTop="1" x14ac:dyDescent="0.25">
      <c r="A15" s="256"/>
      <c r="K15" s="258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60"/>
      <c r="BK15" s="257"/>
    </row>
    <row r="16" spans="1:63" ht="15" customHeight="1" x14ac:dyDescent="0.25">
      <c r="A16" s="256"/>
      <c r="K16" s="261"/>
      <c r="L16" s="262" t="s">
        <v>62</v>
      </c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3"/>
      <c r="AO16" s="263"/>
      <c r="AP16" s="263"/>
      <c r="AQ16" s="263"/>
      <c r="AR16" s="263"/>
      <c r="AS16" s="263"/>
      <c r="AT16" s="263"/>
      <c r="AU16" s="263"/>
      <c r="AV16" s="263"/>
      <c r="AW16" s="263"/>
      <c r="AX16" s="263"/>
      <c r="AY16" s="263"/>
      <c r="AZ16" s="263"/>
      <c r="BA16" s="264"/>
      <c r="BK16" s="257"/>
    </row>
    <row r="17" spans="1:63" ht="15" customHeight="1" x14ac:dyDescent="0.25">
      <c r="A17" s="256"/>
      <c r="K17" s="261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3"/>
      <c r="AO17" s="263"/>
      <c r="AP17" s="263"/>
      <c r="AQ17" s="263"/>
      <c r="AR17" s="263"/>
      <c r="AS17" s="263"/>
      <c r="AT17" s="263"/>
      <c r="AU17" s="263"/>
      <c r="AV17" s="263"/>
      <c r="AW17" s="263"/>
      <c r="AX17" s="263"/>
      <c r="AY17" s="263"/>
      <c r="AZ17" s="263"/>
      <c r="BA17" s="264"/>
      <c r="BK17" s="257"/>
    </row>
    <row r="18" spans="1:63" ht="15" customHeight="1" x14ac:dyDescent="0.25">
      <c r="A18" s="256"/>
      <c r="K18" s="261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3"/>
      <c r="AO18" s="263"/>
      <c r="AP18" s="263"/>
      <c r="AQ18" s="263"/>
      <c r="AR18" s="263"/>
      <c r="AS18" s="263"/>
      <c r="AT18" s="263"/>
      <c r="AU18" s="263"/>
      <c r="AV18" s="263"/>
      <c r="AW18" s="263"/>
      <c r="AX18" s="263"/>
      <c r="AY18" s="263"/>
      <c r="AZ18" s="263"/>
      <c r="BA18" s="264"/>
      <c r="BK18" s="257"/>
    </row>
    <row r="19" spans="1:63" ht="15" customHeight="1" x14ac:dyDescent="0.25">
      <c r="A19" s="256"/>
      <c r="K19" s="261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3"/>
      <c r="AO19" s="263"/>
      <c r="AP19" s="263"/>
      <c r="AQ19" s="263"/>
      <c r="AR19" s="263"/>
      <c r="AS19" s="263"/>
      <c r="AT19" s="263"/>
      <c r="AU19" s="263"/>
      <c r="AV19" s="263"/>
      <c r="AW19" s="263"/>
      <c r="AX19" s="263"/>
      <c r="AY19" s="263"/>
      <c r="AZ19" s="263"/>
      <c r="BA19" s="264"/>
      <c r="BK19" s="257"/>
    </row>
    <row r="20" spans="1:63" ht="15" customHeight="1" x14ac:dyDescent="0.25">
      <c r="A20" s="256"/>
      <c r="K20" s="261"/>
      <c r="L20" s="263"/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263"/>
      <c r="AA20" s="263"/>
      <c r="AB20" s="263"/>
      <c r="AC20" s="263"/>
      <c r="AD20" s="263"/>
      <c r="AE20" s="263"/>
      <c r="AF20" s="263"/>
      <c r="AG20" s="263"/>
      <c r="AH20" s="263"/>
      <c r="AI20" s="263"/>
      <c r="AJ20" s="263"/>
      <c r="AK20" s="263"/>
      <c r="AL20" s="263"/>
      <c r="AM20" s="263"/>
      <c r="AN20" s="263"/>
      <c r="AO20" s="263"/>
      <c r="AP20" s="263"/>
      <c r="AQ20" s="263"/>
      <c r="AR20" s="263"/>
      <c r="AS20" s="263"/>
      <c r="AT20" s="263"/>
      <c r="AU20" s="263"/>
      <c r="AV20" s="263"/>
      <c r="AW20" s="263"/>
      <c r="AX20" s="263"/>
      <c r="AY20" s="263"/>
      <c r="AZ20" s="263"/>
      <c r="BA20" s="264"/>
      <c r="BK20" s="257"/>
    </row>
    <row r="21" spans="1:63" ht="15" customHeight="1" x14ac:dyDescent="0.25">
      <c r="A21" s="256"/>
      <c r="K21" s="261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X21" s="263"/>
      <c r="Y21" s="263"/>
      <c r="Z21" s="263"/>
      <c r="AA21" s="263"/>
      <c r="AB21" s="263"/>
      <c r="AC21" s="263"/>
      <c r="AD21" s="263"/>
      <c r="AE21" s="263"/>
      <c r="AF21" s="263"/>
      <c r="AG21" s="263"/>
      <c r="AH21" s="263"/>
      <c r="AI21" s="263"/>
      <c r="AJ21" s="263"/>
      <c r="AK21" s="263"/>
      <c r="AL21" s="263"/>
      <c r="AM21" s="263"/>
      <c r="AN21" s="263"/>
      <c r="AO21" s="263"/>
      <c r="AP21" s="263"/>
      <c r="AQ21" s="263"/>
      <c r="AR21" s="263"/>
      <c r="AS21" s="263"/>
      <c r="AT21" s="263"/>
      <c r="AU21" s="263"/>
      <c r="AV21" s="263"/>
      <c r="AW21" s="263"/>
      <c r="AX21" s="263"/>
      <c r="AY21" s="263"/>
      <c r="AZ21" s="263"/>
      <c r="BA21" s="264"/>
      <c r="BK21" s="257"/>
    </row>
    <row r="22" spans="1:63" ht="15" customHeight="1" thickBot="1" x14ac:dyDescent="0.3">
      <c r="A22" s="256"/>
      <c r="K22" s="261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  <c r="AG22" s="265"/>
      <c r="AH22" s="265"/>
      <c r="AI22" s="265"/>
      <c r="AJ22" s="265"/>
      <c r="AK22" s="265"/>
      <c r="AL22" s="265"/>
      <c r="AM22" s="265"/>
      <c r="AN22" s="265"/>
      <c r="AO22" s="265"/>
      <c r="AP22" s="265"/>
      <c r="AQ22" s="265"/>
      <c r="AR22" s="265"/>
      <c r="AS22" s="265"/>
      <c r="AT22" s="265"/>
      <c r="AU22" s="265"/>
      <c r="AV22" s="265"/>
      <c r="AW22" s="265"/>
      <c r="AX22" s="265"/>
      <c r="AY22" s="265"/>
      <c r="AZ22" s="265"/>
      <c r="BA22" s="264"/>
      <c r="BK22" s="257"/>
    </row>
    <row r="23" spans="1:63" ht="15" customHeight="1" x14ac:dyDescent="0.25">
      <c r="A23" s="256"/>
      <c r="K23" s="261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6"/>
      <c r="X23" s="266"/>
      <c r="Y23" s="266"/>
      <c r="Z23" s="266"/>
      <c r="AA23" s="266"/>
      <c r="AB23" s="266"/>
      <c r="AC23" s="266"/>
      <c r="AD23" s="266"/>
      <c r="AE23" s="266"/>
      <c r="AF23" s="266"/>
      <c r="AG23" s="266"/>
      <c r="AH23" s="266"/>
      <c r="AI23" s="266"/>
      <c r="AJ23" s="266"/>
      <c r="AK23" s="266"/>
      <c r="AL23" s="266"/>
      <c r="AM23" s="266"/>
      <c r="AN23" s="266"/>
      <c r="AO23" s="266"/>
      <c r="AP23" s="266"/>
      <c r="AQ23" s="266"/>
      <c r="AR23" s="266"/>
      <c r="AS23" s="266"/>
      <c r="AT23" s="266"/>
      <c r="AU23" s="266"/>
      <c r="AV23" s="266"/>
      <c r="AW23" s="266"/>
      <c r="AX23" s="266"/>
      <c r="AY23" s="266"/>
      <c r="AZ23" s="266"/>
      <c r="BA23" s="264"/>
      <c r="BK23" s="257"/>
    </row>
    <row r="24" spans="1:63" ht="15" customHeight="1" x14ac:dyDescent="0.25">
      <c r="A24" s="256"/>
      <c r="K24" s="261"/>
      <c r="L24" s="263" t="str">
        <f>K2&amp;"/"&amp;H4&amp;"/"&amp;Z4</f>
        <v>POSサーバー/AP4502/API設計書</v>
      </c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/>
      <c r="AH24" s="263"/>
      <c r="AI24" s="263"/>
      <c r="AJ24" s="263"/>
      <c r="AK24" s="263"/>
      <c r="AL24" s="263"/>
      <c r="AM24" s="263"/>
      <c r="AN24" s="263"/>
      <c r="AO24" s="263"/>
      <c r="AP24" s="263"/>
      <c r="AQ24" s="263"/>
      <c r="AR24" s="263"/>
      <c r="AS24" s="263"/>
      <c r="AT24" s="263"/>
      <c r="AU24" s="263"/>
      <c r="AV24" s="263"/>
      <c r="AW24" s="263"/>
      <c r="AX24" s="263"/>
      <c r="AY24" s="263"/>
      <c r="AZ24" s="263"/>
      <c r="BA24" s="264"/>
      <c r="BK24" s="257"/>
    </row>
    <row r="25" spans="1:63" ht="15" customHeight="1" x14ac:dyDescent="0.25">
      <c r="A25" s="256"/>
      <c r="K25" s="261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  <c r="Y25" s="263"/>
      <c r="Z25" s="263"/>
      <c r="AA25" s="263"/>
      <c r="AB25" s="263"/>
      <c r="AC25" s="263"/>
      <c r="AD25" s="263"/>
      <c r="AE25" s="263"/>
      <c r="AF25" s="263"/>
      <c r="AG25" s="263"/>
      <c r="AH25" s="263"/>
      <c r="AI25" s="263"/>
      <c r="AJ25" s="263"/>
      <c r="AK25" s="263"/>
      <c r="AL25" s="263"/>
      <c r="AM25" s="263"/>
      <c r="AN25" s="263"/>
      <c r="AO25" s="263"/>
      <c r="AP25" s="263"/>
      <c r="AQ25" s="263"/>
      <c r="AR25" s="263"/>
      <c r="AS25" s="263"/>
      <c r="AT25" s="263"/>
      <c r="AU25" s="263"/>
      <c r="AV25" s="263"/>
      <c r="AW25" s="263"/>
      <c r="AX25" s="263"/>
      <c r="AY25" s="263"/>
      <c r="AZ25" s="263"/>
      <c r="BA25" s="264"/>
      <c r="BK25" s="257"/>
    </row>
    <row r="26" spans="1:63" ht="15" customHeight="1" x14ac:dyDescent="0.25">
      <c r="A26" s="256"/>
      <c r="K26" s="261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263"/>
      <c r="AJ26" s="263"/>
      <c r="AK26" s="263"/>
      <c r="AL26" s="263"/>
      <c r="AM26" s="263"/>
      <c r="AN26" s="263"/>
      <c r="AO26" s="263"/>
      <c r="AP26" s="263"/>
      <c r="AQ26" s="263"/>
      <c r="AR26" s="263"/>
      <c r="AS26" s="263"/>
      <c r="AT26" s="263"/>
      <c r="AU26" s="263"/>
      <c r="AV26" s="263"/>
      <c r="AW26" s="263"/>
      <c r="AX26" s="263"/>
      <c r="AY26" s="263"/>
      <c r="AZ26" s="263"/>
      <c r="BA26" s="264"/>
      <c r="BK26" s="257"/>
    </row>
    <row r="27" spans="1:63" ht="15" customHeight="1" x14ac:dyDescent="0.25">
      <c r="A27" s="256"/>
      <c r="K27" s="261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63"/>
      <c r="AM27" s="263"/>
      <c r="AN27" s="263"/>
      <c r="AO27" s="263"/>
      <c r="AP27" s="263"/>
      <c r="AQ27" s="263"/>
      <c r="AR27" s="263"/>
      <c r="AS27" s="263"/>
      <c r="AT27" s="263"/>
      <c r="AU27" s="263"/>
      <c r="AV27" s="263"/>
      <c r="AW27" s="263"/>
      <c r="AX27" s="263"/>
      <c r="AY27" s="263"/>
      <c r="AZ27" s="263"/>
      <c r="BA27" s="264"/>
      <c r="BK27" s="257"/>
    </row>
    <row r="28" spans="1:63" ht="15" customHeight="1" x14ac:dyDescent="0.25">
      <c r="A28" s="256"/>
      <c r="K28" s="261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3"/>
      <c r="AJ28" s="263"/>
      <c r="AK28" s="263"/>
      <c r="AL28" s="263"/>
      <c r="AM28" s="263"/>
      <c r="AN28" s="263"/>
      <c r="AO28" s="263"/>
      <c r="AP28" s="263"/>
      <c r="AQ28" s="263"/>
      <c r="AR28" s="263"/>
      <c r="AS28" s="263"/>
      <c r="AT28" s="263"/>
      <c r="AU28" s="263"/>
      <c r="AV28" s="263"/>
      <c r="AW28" s="263"/>
      <c r="AX28" s="263"/>
      <c r="AY28" s="263"/>
      <c r="AZ28" s="263"/>
      <c r="BA28" s="264"/>
      <c r="BK28" s="257"/>
    </row>
    <row r="29" spans="1:63" ht="15" customHeight="1" x14ac:dyDescent="0.25">
      <c r="A29" s="256"/>
      <c r="K29" s="261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3"/>
      <c r="AG29" s="263"/>
      <c r="AH29" s="263"/>
      <c r="AI29" s="263"/>
      <c r="AJ29" s="263"/>
      <c r="AK29" s="263"/>
      <c r="AL29" s="263"/>
      <c r="AM29" s="263"/>
      <c r="AN29" s="263"/>
      <c r="AO29" s="263"/>
      <c r="AP29" s="263"/>
      <c r="AQ29" s="263"/>
      <c r="AR29" s="263"/>
      <c r="AS29" s="263"/>
      <c r="AT29" s="263"/>
      <c r="AU29" s="263"/>
      <c r="AV29" s="263"/>
      <c r="AW29" s="263"/>
      <c r="AX29" s="263"/>
      <c r="AY29" s="263"/>
      <c r="AZ29" s="263"/>
      <c r="BA29" s="264"/>
      <c r="BK29" s="257"/>
    </row>
    <row r="30" spans="1:63" ht="15" customHeight="1" x14ac:dyDescent="0.25">
      <c r="A30" s="256"/>
      <c r="K30" s="261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263"/>
      <c r="AJ30" s="263"/>
      <c r="AK30" s="263"/>
      <c r="AL30" s="263"/>
      <c r="AM30" s="263"/>
      <c r="AN30" s="263"/>
      <c r="AO30" s="263"/>
      <c r="AP30" s="263"/>
      <c r="AQ30" s="263"/>
      <c r="AR30" s="263"/>
      <c r="AS30" s="263"/>
      <c r="AT30" s="263"/>
      <c r="AU30" s="263"/>
      <c r="AV30" s="263"/>
      <c r="AW30" s="263"/>
      <c r="AX30" s="263"/>
      <c r="AY30" s="263"/>
      <c r="AZ30" s="263"/>
      <c r="BA30" s="264"/>
      <c r="BK30" s="257"/>
    </row>
    <row r="31" spans="1:63" ht="15" customHeight="1" x14ac:dyDescent="0.25">
      <c r="A31" s="256"/>
      <c r="K31" s="261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63"/>
      <c r="AU31" s="263"/>
      <c r="AV31" s="263"/>
      <c r="AW31" s="263"/>
      <c r="AX31" s="263"/>
      <c r="AY31" s="263"/>
      <c r="AZ31" s="263"/>
      <c r="BA31" s="264"/>
      <c r="BK31" s="257"/>
    </row>
    <row r="32" spans="1:63" ht="15" customHeight="1" x14ac:dyDescent="0.25">
      <c r="A32" s="256"/>
      <c r="K32" s="261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263"/>
      <c r="AJ32" s="263"/>
      <c r="AK32" s="263"/>
      <c r="AL32" s="263"/>
      <c r="AM32" s="263"/>
      <c r="AN32" s="263"/>
      <c r="AO32" s="263"/>
      <c r="AP32" s="263"/>
      <c r="AQ32" s="263"/>
      <c r="AR32" s="263"/>
      <c r="AS32" s="263"/>
      <c r="AT32" s="263"/>
      <c r="AU32" s="263"/>
      <c r="AV32" s="263"/>
      <c r="AW32" s="263"/>
      <c r="AX32" s="263"/>
      <c r="AY32" s="263"/>
      <c r="AZ32" s="263"/>
      <c r="BA32" s="264"/>
      <c r="BK32" s="257"/>
    </row>
    <row r="33" spans="1:63" ht="15" customHeight="1" x14ac:dyDescent="0.25">
      <c r="A33" s="256"/>
      <c r="K33" s="261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263"/>
      <c r="AD33" s="263"/>
      <c r="AE33" s="263"/>
      <c r="AF33" s="263"/>
      <c r="AG33" s="263"/>
      <c r="AH33" s="263"/>
      <c r="AI33" s="263"/>
      <c r="AJ33" s="263"/>
      <c r="AK33" s="263"/>
      <c r="AL33" s="263"/>
      <c r="AM33" s="263"/>
      <c r="AN33" s="263"/>
      <c r="AO33" s="263"/>
      <c r="AP33" s="263"/>
      <c r="AQ33" s="263"/>
      <c r="AR33" s="263"/>
      <c r="AS33" s="263"/>
      <c r="AT33" s="263"/>
      <c r="AU33" s="263"/>
      <c r="AV33" s="263"/>
      <c r="AW33" s="263"/>
      <c r="AX33" s="263"/>
      <c r="AY33" s="263"/>
      <c r="AZ33" s="263"/>
      <c r="BA33" s="264"/>
      <c r="BK33" s="257"/>
    </row>
    <row r="34" spans="1:63" ht="15" customHeight="1" x14ac:dyDescent="0.25">
      <c r="A34" s="256"/>
      <c r="K34" s="261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  <c r="AA34" s="263"/>
      <c r="AB34" s="263"/>
      <c r="AC34" s="263"/>
      <c r="AD34" s="263"/>
      <c r="AE34" s="263"/>
      <c r="AF34" s="263"/>
      <c r="AG34" s="263"/>
      <c r="AH34" s="263"/>
      <c r="AI34" s="263"/>
      <c r="AJ34" s="263"/>
      <c r="AK34" s="263"/>
      <c r="AL34" s="263"/>
      <c r="AM34" s="263"/>
      <c r="AN34" s="263"/>
      <c r="AO34" s="263"/>
      <c r="AP34" s="263"/>
      <c r="AQ34" s="263"/>
      <c r="AR34" s="263"/>
      <c r="AS34" s="263"/>
      <c r="AT34" s="263"/>
      <c r="AU34" s="263"/>
      <c r="AV34" s="263"/>
      <c r="AW34" s="263"/>
      <c r="AX34" s="263"/>
      <c r="AY34" s="263"/>
      <c r="AZ34" s="263"/>
      <c r="BA34" s="264"/>
      <c r="BK34" s="257"/>
    </row>
    <row r="35" spans="1:63" ht="15" customHeight="1" x14ac:dyDescent="0.25">
      <c r="A35" s="256"/>
      <c r="K35" s="261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63"/>
      <c r="AU35" s="263"/>
      <c r="AV35" s="263"/>
      <c r="AW35" s="263"/>
      <c r="AX35" s="263"/>
      <c r="AY35" s="263"/>
      <c r="AZ35" s="263"/>
      <c r="BA35" s="264"/>
      <c r="BK35" s="257"/>
    </row>
    <row r="36" spans="1:63" ht="15" customHeight="1" x14ac:dyDescent="0.25">
      <c r="A36" s="256"/>
      <c r="K36" s="261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  <c r="AA36" s="263"/>
      <c r="AB36" s="263"/>
      <c r="AC36" s="263"/>
      <c r="AD36" s="263"/>
      <c r="AE36" s="263"/>
      <c r="AF36" s="263"/>
      <c r="AG36" s="263"/>
      <c r="AH36" s="263"/>
      <c r="AI36" s="263"/>
      <c r="AJ36" s="263"/>
      <c r="AK36" s="263"/>
      <c r="AL36" s="263"/>
      <c r="AM36" s="263"/>
      <c r="AN36" s="263"/>
      <c r="AO36" s="263"/>
      <c r="AP36" s="263"/>
      <c r="AQ36" s="263"/>
      <c r="AR36" s="263"/>
      <c r="AS36" s="263"/>
      <c r="AT36" s="263"/>
      <c r="AU36" s="263"/>
      <c r="AV36" s="263"/>
      <c r="AW36" s="263"/>
      <c r="AX36" s="263"/>
      <c r="AY36" s="263"/>
      <c r="AZ36" s="263"/>
      <c r="BA36" s="264"/>
      <c r="BK36" s="257"/>
    </row>
    <row r="37" spans="1:63" ht="15" customHeight="1" thickBot="1" x14ac:dyDescent="0.3">
      <c r="A37" s="256"/>
      <c r="K37" s="267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  <c r="AE37" s="268"/>
      <c r="AF37" s="268"/>
      <c r="AG37" s="268"/>
      <c r="AH37" s="268"/>
      <c r="AI37" s="268"/>
      <c r="AJ37" s="268"/>
      <c r="AK37" s="268"/>
      <c r="AL37" s="268"/>
      <c r="AM37" s="268"/>
      <c r="AN37" s="268"/>
      <c r="AO37" s="268"/>
      <c r="AP37" s="268"/>
      <c r="AQ37" s="268"/>
      <c r="AR37" s="268"/>
      <c r="AS37" s="268"/>
      <c r="AT37" s="268"/>
      <c r="AU37" s="268"/>
      <c r="AV37" s="268"/>
      <c r="AW37" s="268"/>
      <c r="AX37" s="268"/>
      <c r="AY37" s="268"/>
      <c r="AZ37" s="268"/>
      <c r="BA37" s="269"/>
      <c r="BK37" s="257"/>
    </row>
    <row r="38" spans="1:63" ht="15" customHeight="1" thickTop="1" x14ac:dyDescent="0.25">
      <c r="A38" s="256"/>
      <c r="BK38" s="257"/>
    </row>
    <row r="39" spans="1:63" ht="15" customHeight="1" x14ac:dyDescent="0.25">
      <c r="A39" s="256"/>
      <c r="BK39" s="257"/>
    </row>
    <row r="40" spans="1:63" ht="15" customHeight="1" x14ac:dyDescent="0.25">
      <c r="A40" s="256"/>
      <c r="BK40" s="257"/>
    </row>
    <row r="41" spans="1:63" ht="15" customHeight="1" x14ac:dyDescent="0.25">
      <c r="A41" s="256"/>
      <c r="BK41" s="257"/>
    </row>
    <row r="42" spans="1:63" ht="15" customHeight="1" x14ac:dyDescent="0.25">
      <c r="A42" s="256"/>
      <c r="BK42" s="257"/>
    </row>
    <row r="43" spans="1:63" ht="15" customHeight="1" x14ac:dyDescent="0.25">
      <c r="A43" s="256"/>
      <c r="BK43" s="257"/>
    </row>
    <row r="44" spans="1:63" ht="15" customHeight="1" x14ac:dyDescent="0.25">
      <c r="A44" s="256"/>
      <c r="Q44" s="270" t="s">
        <v>63</v>
      </c>
      <c r="R44" s="271"/>
      <c r="S44" s="271"/>
      <c r="T44" s="271"/>
      <c r="U44" s="271"/>
      <c r="V44" s="271"/>
      <c r="W44" s="271"/>
      <c r="X44" s="271"/>
      <c r="Y44" s="271"/>
      <c r="Z44" s="272"/>
      <c r="AA44" s="270" t="s">
        <v>64</v>
      </c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/>
      <c r="AO44" s="271"/>
      <c r="AP44" s="272"/>
      <c r="AQ44" s="270" t="s">
        <v>57</v>
      </c>
      <c r="AR44" s="271"/>
      <c r="AS44" s="271"/>
      <c r="AT44" s="271"/>
      <c r="AU44" s="272"/>
      <c r="BK44" s="257"/>
    </row>
    <row r="45" spans="1:63" ht="15" customHeight="1" x14ac:dyDescent="0.25">
      <c r="A45" s="256"/>
      <c r="Q45" s="273"/>
      <c r="R45" s="274"/>
      <c r="S45" s="274"/>
      <c r="T45" s="274"/>
      <c r="U45" s="274"/>
      <c r="V45" s="274"/>
      <c r="W45" s="274"/>
      <c r="X45" s="274"/>
      <c r="Y45" s="274"/>
      <c r="Z45" s="275"/>
      <c r="AA45" s="273"/>
      <c r="AB45" s="274"/>
      <c r="AC45" s="274"/>
      <c r="AD45" s="274"/>
      <c r="AE45" s="274"/>
      <c r="AF45" s="274"/>
      <c r="AG45" s="274"/>
      <c r="AH45" s="274"/>
      <c r="AI45" s="274"/>
      <c r="AJ45" s="274"/>
      <c r="AK45" s="274"/>
      <c r="AL45" s="274"/>
      <c r="AM45" s="274"/>
      <c r="AN45" s="274"/>
      <c r="AO45" s="274"/>
      <c r="AP45" s="275"/>
      <c r="AQ45" s="273"/>
      <c r="AR45" s="274"/>
      <c r="AS45" s="274"/>
      <c r="AT45" s="274"/>
      <c r="AU45" s="275"/>
      <c r="BK45" s="257"/>
    </row>
    <row r="46" spans="1:63" ht="15" customHeight="1" x14ac:dyDescent="0.25">
      <c r="A46" s="256"/>
      <c r="Q46" s="228"/>
      <c r="R46" s="226"/>
      <c r="S46" s="226"/>
      <c r="T46" s="226"/>
      <c r="U46" s="226"/>
      <c r="V46" s="226"/>
      <c r="W46" s="226"/>
      <c r="X46" s="226"/>
      <c r="Y46" s="226"/>
      <c r="Z46" s="227"/>
      <c r="AA46" s="228"/>
      <c r="AB46" s="226"/>
      <c r="AC46" s="226"/>
      <c r="AD46" s="226"/>
      <c r="AE46" s="226"/>
      <c r="AF46" s="226"/>
      <c r="AG46" s="226"/>
      <c r="AH46" s="226"/>
      <c r="AI46" s="226"/>
      <c r="AJ46" s="226"/>
      <c r="AK46" s="226"/>
      <c r="AL46" s="226"/>
      <c r="AM46" s="226"/>
      <c r="AN46" s="226"/>
      <c r="AO46" s="226"/>
      <c r="AP46" s="227"/>
      <c r="AQ46" s="228"/>
      <c r="AR46" s="226"/>
      <c r="AS46" s="226"/>
      <c r="AT46" s="226"/>
      <c r="AU46" s="227"/>
      <c r="BK46" s="257"/>
    </row>
    <row r="47" spans="1:63" ht="15" customHeight="1" x14ac:dyDescent="0.25">
      <c r="A47" s="256"/>
      <c r="Q47" s="276"/>
      <c r="R47" s="277"/>
      <c r="S47" s="277"/>
      <c r="T47" s="277"/>
      <c r="U47" s="277"/>
      <c r="V47" s="277"/>
      <c r="W47" s="277"/>
      <c r="X47" s="277"/>
      <c r="Y47" s="277"/>
      <c r="Z47" s="278"/>
      <c r="AA47" s="276"/>
      <c r="AB47" s="277"/>
      <c r="AC47" s="277"/>
      <c r="AD47" s="277"/>
      <c r="AE47" s="277"/>
      <c r="AF47" s="277"/>
      <c r="AG47" s="277"/>
      <c r="AH47" s="277"/>
      <c r="AI47" s="277"/>
      <c r="AJ47" s="277"/>
      <c r="AK47" s="277"/>
      <c r="AL47" s="277"/>
      <c r="AM47" s="277"/>
      <c r="AN47" s="277"/>
      <c r="AO47" s="277"/>
      <c r="AP47" s="278"/>
      <c r="AQ47" s="276"/>
      <c r="AR47" s="277"/>
      <c r="AS47" s="277"/>
      <c r="AT47" s="277"/>
      <c r="AU47" s="278"/>
      <c r="BK47" s="257"/>
    </row>
    <row r="48" spans="1:63" ht="15" customHeight="1" x14ac:dyDescent="0.25">
      <c r="A48" s="256"/>
      <c r="Q48" s="276"/>
      <c r="R48" s="277"/>
      <c r="S48" s="277"/>
      <c r="T48" s="277"/>
      <c r="U48" s="277"/>
      <c r="V48" s="277"/>
      <c r="W48" s="277"/>
      <c r="X48" s="277"/>
      <c r="Y48" s="277"/>
      <c r="Z48" s="278"/>
      <c r="AA48" s="276"/>
      <c r="AB48" s="277"/>
      <c r="AC48" s="277"/>
      <c r="AD48" s="277"/>
      <c r="AE48" s="277"/>
      <c r="AF48" s="277"/>
      <c r="AG48" s="277"/>
      <c r="AH48" s="277"/>
      <c r="AI48" s="277"/>
      <c r="AJ48" s="277"/>
      <c r="AK48" s="277"/>
      <c r="AL48" s="277"/>
      <c r="AM48" s="277"/>
      <c r="AN48" s="277"/>
      <c r="AO48" s="277"/>
      <c r="AP48" s="278"/>
      <c r="AQ48" s="276"/>
      <c r="AR48" s="277"/>
      <c r="AS48" s="277"/>
      <c r="AT48" s="277"/>
      <c r="AU48" s="278"/>
      <c r="BK48" s="257"/>
    </row>
    <row r="49" spans="1:63" ht="15" customHeight="1" x14ac:dyDescent="0.25">
      <c r="A49" s="256"/>
      <c r="Q49" s="238"/>
      <c r="R49" s="239"/>
      <c r="S49" s="239"/>
      <c r="T49" s="239"/>
      <c r="U49" s="239"/>
      <c r="V49" s="239"/>
      <c r="W49" s="239"/>
      <c r="X49" s="239"/>
      <c r="Y49" s="239"/>
      <c r="Z49" s="240"/>
      <c r="AA49" s="238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/>
      <c r="AP49" s="240"/>
      <c r="AQ49" s="238"/>
      <c r="AR49" s="239"/>
      <c r="AS49" s="239"/>
      <c r="AT49" s="239"/>
      <c r="AU49" s="240"/>
      <c r="BK49" s="257"/>
    </row>
    <row r="50" spans="1:63" ht="15" customHeight="1" x14ac:dyDescent="0.25">
      <c r="A50" s="256"/>
      <c r="BK50" s="257"/>
    </row>
    <row r="51" spans="1:63" ht="15" customHeight="1" x14ac:dyDescent="0.25">
      <c r="A51" s="256"/>
      <c r="BK51" s="257"/>
    </row>
    <row r="52" spans="1:63" ht="15" customHeight="1" x14ac:dyDescent="0.25">
      <c r="A52" s="256"/>
      <c r="BK52" s="257"/>
    </row>
    <row r="53" spans="1:63" ht="15" customHeight="1" x14ac:dyDescent="0.25">
      <c r="A53" s="256"/>
      <c r="BK53" s="257"/>
    </row>
    <row r="54" spans="1:63" ht="15" customHeight="1" x14ac:dyDescent="0.25">
      <c r="A54" s="256"/>
      <c r="BK54" s="257"/>
    </row>
    <row r="55" spans="1:63" ht="15" customHeight="1" x14ac:dyDescent="0.25">
      <c r="A55" s="253"/>
      <c r="B55" s="254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  <c r="AD55" s="254"/>
      <c r="AE55" s="254"/>
      <c r="AF55" s="254"/>
      <c r="AG55" s="254"/>
      <c r="AH55" s="254"/>
      <c r="AI55" s="254"/>
      <c r="AJ55" s="254"/>
      <c r="AK55" s="254"/>
      <c r="AL55" s="254"/>
      <c r="AM55" s="254"/>
      <c r="AN55" s="254"/>
      <c r="AO55" s="254"/>
      <c r="AP55" s="254"/>
      <c r="AQ55" s="254"/>
      <c r="AR55" s="254"/>
      <c r="AS55" s="254"/>
      <c r="AT55" s="254"/>
      <c r="AU55" s="254"/>
      <c r="AV55" s="254"/>
      <c r="AW55" s="254"/>
      <c r="AX55" s="254"/>
      <c r="AY55" s="254"/>
      <c r="AZ55" s="254"/>
      <c r="BA55" s="254"/>
      <c r="BB55" s="254"/>
      <c r="BC55" s="254"/>
      <c r="BD55" s="254"/>
      <c r="BE55" s="254"/>
      <c r="BF55" s="254"/>
      <c r="BG55" s="254"/>
      <c r="BH55" s="254"/>
      <c r="BI55" s="254"/>
      <c r="BJ55" s="254"/>
      <c r="BK55" s="25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25" customWidth="1"/>
    <col min="61" max="16384" width="2.77734375" style="225"/>
  </cols>
  <sheetData>
    <row r="1" spans="1:63" ht="24.95" customHeight="1" x14ac:dyDescent="0.25">
      <c r="A1" s="219" t="s">
        <v>50</v>
      </c>
      <c r="B1" s="220"/>
      <c r="C1" s="220"/>
      <c r="D1" s="220"/>
      <c r="E1" s="220"/>
      <c r="F1" s="220"/>
      <c r="G1" s="220"/>
      <c r="H1" s="220"/>
      <c r="I1" s="220"/>
      <c r="J1" s="221"/>
      <c r="K1" s="219" t="s">
        <v>51</v>
      </c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1"/>
      <c r="W1" s="279" t="str">
        <f>IF(表紙!W1="","",表紙!W1)</f>
        <v>詳細設計書</v>
      </c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4"/>
      <c r="AP1" s="219" t="s">
        <v>53</v>
      </c>
      <c r="AQ1" s="220"/>
      <c r="AR1" s="220"/>
      <c r="AS1" s="221"/>
      <c r="AT1" s="219" t="s">
        <v>54</v>
      </c>
      <c r="AU1" s="220"/>
      <c r="AV1" s="220"/>
      <c r="AW1" s="220"/>
      <c r="AX1" s="221"/>
      <c r="AY1" s="219" t="s">
        <v>55</v>
      </c>
      <c r="AZ1" s="220"/>
      <c r="BA1" s="220"/>
      <c r="BB1" s="221"/>
      <c r="BC1" s="219" t="s">
        <v>56</v>
      </c>
      <c r="BD1" s="220"/>
      <c r="BE1" s="220"/>
      <c r="BF1" s="220"/>
      <c r="BG1" s="221"/>
      <c r="BH1" s="219" t="s">
        <v>57</v>
      </c>
      <c r="BI1" s="220"/>
      <c r="BJ1" s="220"/>
      <c r="BK1" s="221"/>
    </row>
    <row r="2" spans="1:63" ht="15" customHeight="1" x14ac:dyDescent="0.25">
      <c r="A2" s="228" t="str">
        <f>IF(表紙!A2="","",表紙!A2)</f>
        <v>POSサーバー</v>
      </c>
      <c r="B2" s="226"/>
      <c r="C2" s="226"/>
      <c r="D2" s="226"/>
      <c r="E2" s="226"/>
      <c r="F2" s="226"/>
      <c r="G2" s="226"/>
      <c r="H2" s="226"/>
      <c r="I2" s="226"/>
      <c r="J2" s="227"/>
      <c r="K2" s="228" t="str">
        <f>IF(表紙!K2="","",表紙!K2)</f>
        <v>POSサーバー</v>
      </c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7"/>
      <c r="W2" s="229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1"/>
      <c r="AP2" s="228" t="str">
        <f>IF(表紙!AP2="","",表紙!AP2)</f>
        <v>DuNT</v>
      </c>
      <c r="AQ2" s="226"/>
      <c r="AR2" s="226"/>
      <c r="AS2" s="227"/>
      <c r="AT2" s="232">
        <f>IF(表紙!AT2="","",表紙!AT2)</f>
        <v>45665</v>
      </c>
      <c r="AU2" s="233"/>
      <c r="AV2" s="233"/>
      <c r="AW2" s="233"/>
      <c r="AX2" s="234"/>
      <c r="AY2" s="228" t="str">
        <f>IF(表紙!AY2="","",表紙!AY2)</f>
        <v>DuNT</v>
      </c>
      <c r="AZ2" s="226"/>
      <c r="BA2" s="226"/>
      <c r="BB2" s="227"/>
      <c r="BC2" s="232">
        <f>IF(表紙!BC2="","",表紙!BC2)</f>
        <v>45721</v>
      </c>
      <c r="BD2" s="233"/>
      <c r="BE2" s="233"/>
      <c r="BF2" s="233"/>
      <c r="BG2" s="234"/>
      <c r="BH2" s="228">
        <f>IF(表紙!BH2="","",表紙!BH2)</f>
        <v>0.12</v>
      </c>
      <c r="BI2" s="226"/>
      <c r="BJ2" s="226"/>
      <c r="BK2" s="227"/>
    </row>
    <row r="3" spans="1:63" ht="15" customHeight="1" x14ac:dyDescent="0.25">
      <c r="A3" s="238"/>
      <c r="B3" s="239"/>
      <c r="C3" s="239"/>
      <c r="D3" s="239"/>
      <c r="E3" s="239"/>
      <c r="F3" s="239"/>
      <c r="G3" s="239"/>
      <c r="H3" s="239"/>
      <c r="I3" s="239"/>
      <c r="J3" s="240"/>
      <c r="K3" s="238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40"/>
      <c r="W3" s="241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3"/>
      <c r="AP3" s="238"/>
      <c r="AQ3" s="239"/>
      <c r="AR3" s="239"/>
      <c r="AS3" s="240"/>
      <c r="AT3" s="244"/>
      <c r="AU3" s="245"/>
      <c r="AV3" s="245"/>
      <c r="AW3" s="245"/>
      <c r="AX3" s="246"/>
      <c r="AY3" s="238"/>
      <c r="AZ3" s="239"/>
      <c r="BA3" s="239"/>
      <c r="BB3" s="240"/>
      <c r="BC3" s="244"/>
      <c r="BD3" s="245"/>
      <c r="BE3" s="245"/>
      <c r="BF3" s="245"/>
      <c r="BG3" s="246"/>
      <c r="BH3" s="238"/>
      <c r="BI3" s="239"/>
      <c r="BJ3" s="239"/>
      <c r="BK3" s="240"/>
    </row>
    <row r="4" spans="1:63" ht="24.95" customHeight="1" x14ac:dyDescent="0.25">
      <c r="A4" s="219" t="s">
        <v>59</v>
      </c>
      <c r="B4" s="220"/>
      <c r="C4" s="220"/>
      <c r="D4" s="220"/>
      <c r="E4" s="220"/>
      <c r="F4" s="220"/>
      <c r="G4" s="221"/>
      <c r="H4" s="250" t="str">
        <f>IF(表紙!H4="","",表紙!H4)</f>
        <v>AP4502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2"/>
      <c r="U4" s="219" t="s">
        <v>60</v>
      </c>
      <c r="V4" s="220"/>
      <c r="W4" s="220"/>
      <c r="X4" s="220"/>
      <c r="Y4" s="221"/>
      <c r="Z4" s="250" t="str">
        <f>IF(表紙!Z4="","",表紙!Z4)</f>
        <v>API設計書</v>
      </c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2"/>
      <c r="AP4" s="250" t="str">
        <f t="array" aca="1" ref="AP4" ca="1">RIGHT(CELL("filename",$A$1),LEN(CELL("filename",$A$1))-FIND("]",CELL("filename",$A$1)))</f>
        <v>改訂履歴</v>
      </c>
      <c r="AQ4" s="251"/>
      <c r="AR4" s="251"/>
      <c r="AS4" s="251"/>
      <c r="AT4" s="251"/>
      <c r="AU4" s="251"/>
      <c r="AV4" s="251"/>
      <c r="AW4" s="251"/>
      <c r="AX4" s="251"/>
      <c r="AY4" s="251"/>
      <c r="AZ4" s="251"/>
      <c r="BA4" s="251"/>
      <c r="BB4" s="251"/>
      <c r="BC4" s="251"/>
      <c r="BD4" s="251"/>
      <c r="BE4" s="251"/>
      <c r="BF4" s="251"/>
      <c r="BG4" s="251"/>
      <c r="BH4" s="251"/>
      <c r="BI4" s="251"/>
      <c r="BJ4" s="251"/>
      <c r="BK4" s="252"/>
    </row>
    <row r="5" spans="1:63" ht="5.0999999999999996" customHeight="1" x14ac:dyDescent="0.25">
      <c r="A5" s="253"/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  <c r="BA5" s="254"/>
      <c r="BB5" s="254"/>
      <c r="BC5" s="254"/>
      <c r="BD5" s="254"/>
      <c r="BE5" s="254"/>
      <c r="BF5" s="254"/>
      <c r="BG5" s="254"/>
      <c r="BH5" s="254"/>
      <c r="BI5" s="254"/>
      <c r="BJ5" s="254"/>
      <c r="BK5" s="255"/>
    </row>
    <row r="6" spans="1:63" ht="15" customHeight="1" x14ac:dyDescent="0.25">
      <c r="A6" s="256"/>
      <c r="BK6" s="257"/>
    </row>
    <row r="7" spans="1:63" ht="15" customHeight="1" x14ac:dyDescent="0.25">
      <c r="A7" s="256"/>
      <c r="BK7" s="257"/>
    </row>
    <row r="8" spans="1:63" ht="15" customHeight="1" x14ac:dyDescent="0.25">
      <c r="A8" s="256"/>
      <c r="B8" s="225" t="s">
        <v>9</v>
      </c>
      <c r="BK8" s="257"/>
    </row>
    <row r="9" spans="1:63" ht="15" customHeight="1" x14ac:dyDescent="0.25">
      <c r="A9" s="256"/>
      <c r="BK9" s="257"/>
    </row>
    <row r="10" spans="1:63" ht="15" customHeight="1" x14ac:dyDescent="0.25">
      <c r="A10" s="256"/>
      <c r="B10" s="280" t="s">
        <v>56</v>
      </c>
      <c r="C10" s="280"/>
      <c r="D10" s="280"/>
      <c r="E10" s="280"/>
      <c r="F10" s="280"/>
      <c r="G10" s="280"/>
      <c r="H10" s="280" t="s">
        <v>55</v>
      </c>
      <c r="I10" s="280"/>
      <c r="J10" s="280"/>
      <c r="K10" s="280"/>
      <c r="L10" s="280"/>
      <c r="M10" s="280"/>
      <c r="N10" s="280"/>
      <c r="O10" s="280" t="s">
        <v>57</v>
      </c>
      <c r="P10" s="280"/>
      <c r="Q10" s="280"/>
      <c r="R10" s="280"/>
      <c r="S10" s="280" t="s">
        <v>65</v>
      </c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 t="s">
        <v>63</v>
      </c>
      <c r="AY10" s="280"/>
      <c r="AZ10" s="280"/>
      <c r="BA10" s="280"/>
      <c r="BB10" s="280"/>
      <c r="BC10" s="280"/>
      <c r="BD10" s="280" t="s">
        <v>64</v>
      </c>
      <c r="BE10" s="280"/>
      <c r="BF10" s="280"/>
      <c r="BG10" s="280"/>
      <c r="BH10" s="280"/>
      <c r="BI10" s="280"/>
      <c r="BJ10" s="280"/>
      <c r="BK10" s="257"/>
    </row>
    <row r="11" spans="1:63" ht="15" customHeight="1" x14ac:dyDescent="0.25">
      <c r="A11" s="256"/>
      <c r="B11" s="232">
        <v>45665</v>
      </c>
      <c r="C11" s="226"/>
      <c r="D11" s="226"/>
      <c r="E11" s="226"/>
      <c r="F11" s="226"/>
      <c r="G11" s="227"/>
      <c r="H11" s="82" t="s">
        <v>66</v>
      </c>
      <c r="I11" s="226"/>
      <c r="J11" s="226"/>
      <c r="K11" s="226"/>
      <c r="L11" s="226"/>
      <c r="M11" s="226"/>
      <c r="N11" s="227"/>
      <c r="O11" s="228">
        <v>0.1</v>
      </c>
      <c r="P11" s="226"/>
      <c r="Q11" s="226"/>
      <c r="R11" s="226"/>
      <c r="S11" s="281" t="s">
        <v>11</v>
      </c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3"/>
      <c r="AX11" s="284"/>
      <c r="AY11" s="284"/>
      <c r="AZ11" s="284"/>
      <c r="BA11" s="284"/>
      <c r="BB11" s="284"/>
      <c r="BC11" s="285"/>
      <c r="BD11" s="286"/>
      <c r="BE11" s="284"/>
      <c r="BF11" s="284"/>
      <c r="BG11" s="284"/>
      <c r="BH11" s="284"/>
      <c r="BI11" s="284"/>
      <c r="BJ11" s="285"/>
      <c r="BK11" s="257"/>
    </row>
    <row r="12" spans="1:63" ht="15" customHeight="1" x14ac:dyDescent="0.25">
      <c r="A12" s="256"/>
      <c r="B12" s="238"/>
      <c r="C12" s="239"/>
      <c r="D12" s="239"/>
      <c r="E12" s="239"/>
      <c r="F12" s="239"/>
      <c r="G12" s="240"/>
      <c r="H12" s="238"/>
      <c r="I12" s="239"/>
      <c r="J12" s="239"/>
      <c r="K12" s="239"/>
      <c r="L12" s="239"/>
      <c r="M12" s="239"/>
      <c r="N12" s="240"/>
      <c r="O12" s="238"/>
      <c r="P12" s="239"/>
      <c r="Q12" s="239"/>
      <c r="R12" s="239"/>
      <c r="S12" s="287"/>
      <c r="T12" s="288"/>
      <c r="U12" s="288"/>
      <c r="V12" s="288"/>
      <c r="W12" s="288"/>
      <c r="X12" s="288"/>
      <c r="Y12" s="288"/>
      <c r="Z12" s="288"/>
      <c r="AA12" s="288"/>
      <c r="AB12" s="288"/>
      <c r="AC12" s="288"/>
      <c r="AD12" s="288"/>
      <c r="AE12" s="288"/>
      <c r="AF12" s="288"/>
      <c r="AG12" s="288"/>
      <c r="AH12" s="288"/>
      <c r="AI12" s="288"/>
      <c r="AJ12" s="288"/>
      <c r="AK12" s="288"/>
      <c r="AL12" s="288"/>
      <c r="AM12" s="288"/>
      <c r="AN12" s="288"/>
      <c r="AO12" s="288"/>
      <c r="AP12" s="288"/>
      <c r="AQ12" s="288"/>
      <c r="AR12" s="288"/>
      <c r="AS12" s="288"/>
      <c r="AT12" s="288"/>
      <c r="AU12" s="288"/>
      <c r="AV12" s="288"/>
      <c r="AW12" s="289"/>
      <c r="AX12" s="290"/>
      <c r="AY12" s="290"/>
      <c r="AZ12" s="290"/>
      <c r="BA12" s="290"/>
      <c r="BB12" s="290"/>
      <c r="BC12" s="291"/>
      <c r="BD12" s="292"/>
      <c r="BE12" s="290"/>
      <c r="BF12" s="290"/>
      <c r="BG12" s="290"/>
      <c r="BH12" s="290"/>
      <c r="BI12" s="290"/>
      <c r="BJ12" s="291"/>
      <c r="BK12" s="257"/>
    </row>
    <row r="13" spans="1:63" ht="15" customHeight="1" x14ac:dyDescent="0.25">
      <c r="A13" s="256"/>
      <c r="B13" s="83">
        <v>45720</v>
      </c>
      <c r="C13" s="84"/>
      <c r="D13" s="84"/>
      <c r="E13" s="84"/>
      <c r="F13" s="84"/>
      <c r="G13" s="85"/>
      <c r="H13" s="89" t="s">
        <v>66</v>
      </c>
      <c r="I13" s="84"/>
      <c r="J13" s="84"/>
      <c r="K13" s="84"/>
      <c r="L13" s="84"/>
      <c r="M13" s="84"/>
      <c r="N13" s="85"/>
      <c r="O13" s="89">
        <v>0.11</v>
      </c>
      <c r="P13" s="84"/>
      <c r="Q13" s="84"/>
      <c r="R13" s="84"/>
      <c r="S13" s="90" t="s">
        <v>67</v>
      </c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2"/>
      <c r="AX13" s="284"/>
      <c r="AY13" s="284"/>
      <c r="AZ13" s="284"/>
      <c r="BA13" s="284"/>
      <c r="BB13" s="284"/>
      <c r="BC13" s="285"/>
      <c r="BD13" s="286"/>
      <c r="BE13" s="284"/>
      <c r="BF13" s="284"/>
      <c r="BG13" s="284"/>
      <c r="BH13" s="284"/>
      <c r="BI13" s="284"/>
      <c r="BJ13" s="285"/>
      <c r="BK13" s="257"/>
    </row>
    <row r="14" spans="1:63" ht="15" customHeight="1" x14ac:dyDescent="0.25">
      <c r="A14" s="256"/>
      <c r="B14" s="86"/>
      <c r="C14" s="87"/>
      <c r="D14" s="87"/>
      <c r="E14" s="87"/>
      <c r="F14" s="87"/>
      <c r="G14" s="88"/>
      <c r="H14" s="86"/>
      <c r="I14" s="87"/>
      <c r="J14" s="87"/>
      <c r="K14" s="87"/>
      <c r="L14" s="87"/>
      <c r="M14" s="87"/>
      <c r="N14" s="88"/>
      <c r="O14" s="86"/>
      <c r="P14" s="87"/>
      <c r="Q14" s="87"/>
      <c r="R14" s="87"/>
      <c r="S14" s="93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5"/>
      <c r="AX14" s="290"/>
      <c r="AY14" s="290"/>
      <c r="AZ14" s="290"/>
      <c r="BA14" s="290"/>
      <c r="BB14" s="290"/>
      <c r="BC14" s="291"/>
      <c r="BD14" s="292"/>
      <c r="BE14" s="290"/>
      <c r="BF14" s="290"/>
      <c r="BG14" s="290"/>
      <c r="BH14" s="290"/>
      <c r="BI14" s="290"/>
      <c r="BJ14" s="291"/>
      <c r="BK14" s="257"/>
    </row>
    <row r="15" spans="1:63" ht="15" customHeight="1" x14ac:dyDescent="0.25">
      <c r="A15" s="256"/>
      <c r="B15" s="108">
        <v>45721</v>
      </c>
      <c r="C15" s="109"/>
      <c r="D15" s="109"/>
      <c r="E15" s="109"/>
      <c r="F15" s="109"/>
      <c r="G15" s="110"/>
      <c r="H15" s="114" t="s">
        <v>12</v>
      </c>
      <c r="I15" s="109"/>
      <c r="J15" s="109"/>
      <c r="K15" s="109"/>
      <c r="L15" s="109"/>
      <c r="M15" s="109"/>
      <c r="N15" s="110"/>
      <c r="O15" s="114">
        <v>0.12</v>
      </c>
      <c r="P15" s="109"/>
      <c r="Q15" s="109"/>
      <c r="R15" s="109"/>
      <c r="S15" s="115" t="s">
        <v>48</v>
      </c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7"/>
      <c r="AX15" s="118"/>
      <c r="AY15" s="118"/>
      <c r="AZ15" s="118"/>
      <c r="BA15" s="118"/>
      <c r="BB15" s="118"/>
      <c r="BC15" s="119"/>
      <c r="BD15" s="122"/>
      <c r="BE15" s="118"/>
      <c r="BF15" s="118"/>
      <c r="BG15" s="118"/>
      <c r="BH15" s="118"/>
      <c r="BI15" s="118"/>
      <c r="BJ15" s="119"/>
      <c r="BK15" s="257"/>
    </row>
    <row r="16" spans="1:63" ht="15" customHeight="1" x14ac:dyDescent="0.25">
      <c r="A16" s="256"/>
      <c r="B16" s="111"/>
      <c r="C16" s="112"/>
      <c r="D16" s="112"/>
      <c r="E16" s="112"/>
      <c r="F16" s="112"/>
      <c r="G16" s="113"/>
      <c r="H16" s="111"/>
      <c r="I16" s="112"/>
      <c r="J16" s="112"/>
      <c r="K16" s="112"/>
      <c r="L16" s="112"/>
      <c r="M16" s="112"/>
      <c r="N16" s="113"/>
      <c r="O16" s="111"/>
      <c r="P16" s="112"/>
      <c r="Q16" s="112"/>
      <c r="R16" s="112"/>
      <c r="S16" s="124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6"/>
      <c r="AX16" s="120"/>
      <c r="AY16" s="120"/>
      <c r="AZ16" s="120"/>
      <c r="BA16" s="120"/>
      <c r="BB16" s="120"/>
      <c r="BC16" s="121"/>
      <c r="BD16" s="123"/>
      <c r="BE16" s="120"/>
      <c r="BF16" s="120"/>
      <c r="BG16" s="120"/>
      <c r="BH16" s="120"/>
      <c r="BI16" s="120"/>
      <c r="BJ16" s="121"/>
      <c r="BK16" s="257"/>
    </row>
    <row r="17" spans="1:63" ht="15" customHeight="1" x14ac:dyDescent="0.25">
      <c r="A17" s="256"/>
      <c r="B17" s="232"/>
      <c r="C17" s="226"/>
      <c r="D17" s="226"/>
      <c r="E17" s="226"/>
      <c r="F17" s="226"/>
      <c r="G17" s="227"/>
      <c r="H17" s="228"/>
      <c r="I17" s="226"/>
      <c r="J17" s="226"/>
      <c r="K17" s="226"/>
      <c r="L17" s="226"/>
      <c r="M17" s="226"/>
      <c r="N17" s="227"/>
      <c r="O17" s="228"/>
      <c r="P17" s="226"/>
      <c r="Q17" s="226"/>
      <c r="R17" s="226"/>
      <c r="S17" s="281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3"/>
      <c r="AX17" s="284"/>
      <c r="AY17" s="284"/>
      <c r="AZ17" s="284"/>
      <c r="BA17" s="284"/>
      <c r="BB17" s="284"/>
      <c r="BC17" s="285"/>
      <c r="BD17" s="286"/>
      <c r="BE17" s="284"/>
      <c r="BF17" s="284"/>
      <c r="BG17" s="284"/>
      <c r="BH17" s="284"/>
      <c r="BI17" s="284"/>
      <c r="BJ17" s="285"/>
      <c r="BK17" s="257"/>
    </row>
    <row r="18" spans="1:63" ht="15" customHeight="1" x14ac:dyDescent="0.25">
      <c r="A18" s="256"/>
      <c r="B18" s="238"/>
      <c r="C18" s="239"/>
      <c r="D18" s="239"/>
      <c r="E18" s="239"/>
      <c r="F18" s="239"/>
      <c r="G18" s="240"/>
      <c r="H18" s="238"/>
      <c r="I18" s="239"/>
      <c r="J18" s="239"/>
      <c r="K18" s="239"/>
      <c r="L18" s="239"/>
      <c r="M18" s="239"/>
      <c r="N18" s="240"/>
      <c r="O18" s="238"/>
      <c r="P18" s="239"/>
      <c r="Q18" s="239"/>
      <c r="R18" s="239"/>
      <c r="S18" s="287"/>
      <c r="T18" s="288"/>
      <c r="U18" s="288"/>
      <c r="V18" s="288"/>
      <c r="W18" s="288"/>
      <c r="X18" s="288"/>
      <c r="Y18" s="288"/>
      <c r="Z18" s="288"/>
      <c r="AA18" s="288"/>
      <c r="AB18" s="288"/>
      <c r="AC18" s="288"/>
      <c r="AD18" s="288"/>
      <c r="AE18" s="288"/>
      <c r="AF18" s="288"/>
      <c r="AG18" s="288"/>
      <c r="AH18" s="288"/>
      <c r="AI18" s="288"/>
      <c r="AJ18" s="288"/>
      <c r="AK18" s="288"/>
      <c r="AL18" s="288"/>
      <c r="AM18" s="288"/>
      <c r="AN18" s="288"/>
      <c r="AO18" s="288"/>
      <c r="AP18" s="288"/>
      <c r="AQ18" s="288"/>
      <c r="AR18" s="288"/>
      <c r="AS18" s="288"/>
      <c r="AT18" s="288"/>
      <c r="AU18" s="288"/>
      <c r="AV18" s="288"/>
      <c r="AW18" s="289"/>
      <c r="AX18" s="290"/>
      <c r="AY18" s="290"/>
      <c r="AZ18" s="290"/>
      <c r="BA18" s="290"/>
      <c r="BB18" s="290"/>
      <c r="BC18" s="291"/>
      <c r="BD18" s="292"/>
      <c r="BE18" s="290"/>
      <c r="BF18" s="290"/>
      <c r="BG18" s="290"/>
      <c r="BH18" s="290"/>
      <c r="BI18" s="290"/>
      <c r="BJ18" s="291"/>
      <c r="BK18" s="257"/>
    </row>
    <row r="19" spans="1:63" ht="15" customHeight="1" x14ac:dyDescent="0.25">
      <c r="A19" s="256"/>
      <c r="B19" s="232"/>
      <c r="C19" s="226"/>
      <c r="D19" s="226"/>
      <c r="E19" s="226"/>
      <c r="F19" s="226"/>
      <c r="G19" s="227"/>
      <c r="H19" s="228"/>
      <c r="I19" s="226"/>
      <c r="J19" s="226"/>
      <c r="K19" s="226"/>
      <c r="L19" s="226"/>
      <c r="M19" s="226"/>
      <c r="N19" s="227"/>
      <c r="O19" s="228"/>
      <c r="P19" s="226"/>
      <c r="Q19" s="226"/>
      <c r="R19" s="226"/>
      <c r="S19" s="281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3"/>
      <c r="AX19" s="102"/>
      <c r="AY19" s="102"/>
      <c r="AZ19" s="102"/>
      <c r="BA19" s="102"/>
      <c r="BB19" s="102"/>
      <c r="BC19" s="103"/>
      <c r="BD19" s="106"/>
      <c r="BE19" s="102"/>
      <c r="BF19" s="102"/>
      <c r="BG19" s="102"/>
      <c r="BH19" s="102"/>
      <c r="BI19" s="102"/>
      <c r="BJ19" s="103"/>
      <c r="BK19" s="257"/>
    </row>
    <row r="20" spans="1:63" ht="15" customHeight="1" x14ac:dyDescent="0.25">
      <c r="A20" s="256"/>
      <c r="B20" s="238"/>
      <c r="C20" s="239"/>
      <c r="D20" s="239"/>
      <c r="E20" s="239"/>
      <c r="F20" s="239"/>
      <c r="G20" s="240"/>
      <c r="H20" s="238"/>
      <c r="I20" s="239"/>
      <c r="J20" s="239"/>
      <c r="K20" s="239"/>
      <c r="L20" s="239"/>
      <c r="M20" s="239"/>
      <c r="N20" s="240"/>
      <c r="O20" s="238"/>
      <c r="P20" s="239"/>
      <c r="Q20" s="239"/>
      <c r="R20" s="239"/>
      <c r="S20" s="287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  <c r="AD20" s="288"/>
      <c r="AE20" s="288"/>
      <c r="AF20" s="288"/>
      <c r="AG20" s="288"/>
      <c r="AH20" s="288"/>
      <c r="AI20" s="288"/>
      <c r="AJ20" s="288"/>
      <c r="AK20" s="288"/>
      <c r="AL20" s="288"/>
      <c r="AM20" s="288"/>
      <c r="AN20" s="288"/>
      <c r="AO20" s="288"/>
      <c r="AP20" s="288"/>
      <c r="AQ20" s="288"/>
      <c r="AR20" s="288"/>
      <c r="AS20" s="288"/>
      <c r="AT20" s="288"/>
      <c r="AU20" s="288"/>
      <c r="AV20" s="288"/>
      <c r="AW20" s="289"/>
      <c r="AX20" s="104"/>
      <c r="AY20" s="104"/>
      <c r="AZ20" s="104"/>
      <c r="BA20" s="104"/>
      <c r="BB20" s="104"/>
      <c r="BC20" s="105"/>
      <c r="BD20" s="107"/>
      <c r="BE20" s="104"/>
      <c r="BF20" s="104"/>
      <c r="BG20" s="104"/>
      <c r="BH20" s="104"/>
      <c r="BI20" s="104"/>
      <c r="BJ20" s="105"/>
      <c r="BK20" s="257"/>
    </row>
    <row r="21" spans="1:63" ht="15" customHeight="1" x14ac:dyDescent="0.25">
      <c r="A21" s="256"/>
      <c r="B21" s="232"/>
      <c r="C21" s="226"/>
      <c r="D21" s="226"/>
      <c r="E21" s="226"/>
      <c r="F21" s="226"/>
      <c r="G21" s="227"/>
      <c r="H21" s="228"/>
      <c r="I21" s="226"/>
      <c r="J21" s="226"/>
      <c r="K21" s="226"/>
      <c r="L21" s="226"/>
      <c r="M21" s="226"/>
      <c r="N21" s="227"/>
      <c r="O21" s="228"/>
      <c r="P21" s="226"/>
      <c r="Q21" s="226"/>
      <c r="R21" s="226"/>
      <c r="S21" s="281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3"/>
      <c r="AX21" s="96"/>
      <c r="AY21" s="96"/>
      <c r="AZ21" s="96"/>
      <c r="BA21" s="96"/>
      <c r="BB21" s="96"/>
      <c r="BC21" s="97"/>
      <c r="BD21" s="100"/>
      <c r="BE21" s="96"/>
      <c r="BF21" s="96"/>
      <c r="BG21" s="96"/>
      <c r="BH21" s="96"/>
      <c r="BI21" s="96"/>
      <c r="BJ21" s="97"/>
      <c r="BK21" s="257"/>
    </row>
    <row r="22" spans="1:63" ht="15" customHeight="1" x14ac:dyDescent="0.25">
      <c r="A22" s="256"/>
      <c r="B22" s="238"/>
      <c r="C22" s="239"/>
      <c r="D22" s="239"/>
      <c r="E22" s="239"/>
      <c r="F22" s="239"/>
      <c r="G22" s="240"/>
      <c r="H22" s="238"/>
      <c r="I22" s="239"/>
      <c r="J22" s="239"/>
      <c r="K22" s="239"/>
      <c r="L22" s="239"/>
      <c r="M22" s="239"/>
      <c r="N22" s="240"/>
      <c r="O22" s="238"/>
      <c r="P22" s="239"/>
      <c r="Q22" s="239"/>
      <c r="R22" s="239"/>
      <c r="S22" s="287"/>
      <c r="T22" s="288"/>
      <c r="U22" s="288"/>
      <c r="V22" s="288"/>
      <c r="W22" s="288"/>
      <c r="X22" s="288"/>
      <c r="Y22" s="288"/>
      <c r="Z22" s="288"/>
      <c r="AA22" s="288"/>
      <c r="AB22" s="288"/>
      <c r="AC22" s="288"/>
      <c r="AD22" s="288"/>
      <c r="AE22" s="288"/>
      <c r="AF22" s="288"/>
      <c r="AG22" s="288"/>
      <c r="AH22" s="288"/>
      <c r="AI22" s="288"/>
      <c r="AJ22" s="288"/>
      <c r="AK22" s="288"/>
      <c r="AL22" s="288"/>
      <c r="AM22" s="288"/>
      <c r="AN22" s="288"/>
      <c r="AO22" s="288"/>
      <c r="AP22" s="288"/>
      <c r="AQ22" s="288"/>
      <c r="AR22" s="288"/>
      <c r="AS22" s="288"/>
      <c r="AT22" s="288"/>
      <c r="AU22" s="288"/>
      <c r="AV22" s="288"/>
      <c r="AW22" s="289"/>
      <c r="AX22" s="98"/>
      <c r="AY22" s="98"/>
      <c r="AZ22" s="98"/>
      <c r="BA22" s="98"/>
      <c r="BB22" s="98"/>
      <c r="BC22" s="99"/>
      <c r="BD22" s="101"/>
      <c r="BE22" s="98"/>
      <c r="BF22" s="98"/>
      <c r="BG22" s="98"/>
      <c r="BH22" s="98"/>
      <c r="BI22" s="98"/>
      <c r="BJ22" s="99"/>
      <c r="BK22" s="257"/>
    </row>
    <row r="23" spans="1:63" ht="15" customHeight="1" x14ac:dyDescent="0.25">
      <c r="A23" s="256"/>
      <c r="B23" s="232"/>
      <c r="C23" s="226"/>
      <c r="D23" s="226"/>
      <c r="E23" s="226"/>
      <c r="F23" s="226"/>
      <c r="G23" s="227"/>
      <c r="H23" s="228"/>
      <c r="I23" s="226"/>
      <c r="J23" s="226"/>
      <c r="K23" s="226"/>
      <c r="L23" s="226"/>
      <c r="M23" s="226"/>
      <c r="N23" s="227"/>
      <c r="O23" s="228"/>
      <c r="P23" s="226"/>
      <c r="Q23" s="226"/>
      <c r="R23" s="226"/>
      <c r="S23" s="281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3"/>
      <c r="AX23" s="284"/>
      <c r="AY23" s="284"/>
      <c r="AZ23" s="284"/>
      <c r="BA23" s="284"/>
      <c r="BB23" s="284"/>
      <c r="BC23" s="285"/>
      <c r="BD23" s="286"/>
      <c r="BE23" s="284"/>
      <c r="BF23" s="284"/>
      <c r="BG23" s="284"/>
      <c r="BH23" s="284"/>
      <c r="BI23" s="284"/>
      <c r="BJ23" s="285"/>
      <c r="BK23" s="257"/>
    </row>
    <row r="24" spans="1:63" ht="15" customHeight="1" x14ac:dyDescent="0.25">
      <c r="A24" s="256"/>
      <c r="B24" s="238"/>
      <c r="C24" s="239"/>
      <c r="D24" s="239"/>
      <c r="E24" s="239"/>
      <c r="F24" s="239"/>
      <c r="G24" s="240"/>
      <c r="H24" s="238"/>
      <c r="I24" s="239"/>
      <c r="J24" s="239"/>
      <c r="K24" s="239"/>
      <c r="L24" s="239"/>
      <c r="M24" s="239"/>
      <c r="N24" s="240"/>
      <c r="O24" s="238"/>
      <c r="P24" s="239"/>
      <c r="Q24" s="239"/>
      <c r="R24" s="239"/>
      <c r="S24" s="287"/>
      <c r="T24" s="288"/>
      <c r="U24" s="288"/>
      <c r="V24" s="288"/>
      <c r="W24" s="288"/>
      <c r="X24" s="288"/>
      <c r="Y24" s="288"/>
      <c r="Z24" s="288"/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288"/>
      <c r="AN24" s="288"/>
      <c r="AO24" s="288"/>
      <c r="AP24" s="288"/>
      <c r="AQ24" s="288"/>
      <c r="AR24" s="288"/>
      <c r="AS24" s="288"/>
      <c r="AT24" s="288"/>
      <c r="AU24" s="288"/>
      <c r="AV24" s="288"/>
      <c r="AW24" s="289"/>
      <c r="AX24" s="290"/>
      <c r="AY24" s="290"/>
      <c r="AZ24" s="290"/>
      <c r="BA24" s="290"/>
      <c r="BB24" s="290"/>
      <c r="BC24" s="291"/>
      <c r="BD24" s="292"/>
      <c r="BE24" s="290"/>
      <c r="BF24" s="290"/>
      <c r="BG24" s="290"/>
      <c r="BH24" s="290"/>
      <c r="BI24" s="290"/>
      <c r="BJ24" s="291"/>
      <c r="BK24" s="257"/>
    </row>
    <row r="25" spans="1:63" ht="15" customHeight="1" x14ac:dyDescent="0.25">
      <c r="A25" s="256"/>
      <c r="B25" s="83"/>
      <c r="C25" s="84"/>
      <c r="D25" s="84"/>
      <c r="E25" s="84"/>
      <c r="F25" s="84"/>
      <c r="G25" s="85"/>
      <c r="H25" s="89"/>
      <c r="I25" s="84"/>
      <c r="J25" s="84"/>
      <c r="K25" s="84"/>
      <c r="L25" s="84"/>
      <c r="M25" s="84"/>
      <c r="N25" s="85"/>
      <c r="O25" s="89"/>
      <c r="P25" s="84"/>
      <c r="Q25" s="84"/>
      <c r="R25" s="84"/>
      <c r="S25" s="90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2"/>
      <c r="AX25" s="284"/>
      <c r="AY25" s="284"/>
      <c r="AZ25" s="284"/>
      <c r="BA25" s="284"/>
      <c r="BB25" s="284"/>
      <c r="BC25" s="285"/>
      <c r="BD25" s="286"/>
      <c r="BE25" s="284"/>
      <c r="BF25" s="284"/>
      <c r="BG25" s="284"/>
      <c r="BH25" s="284"/>
      <c r="BI25" s="284"/>
      <c r="BJ25" s="285"/>
      <c r="BK25" s="257"/>
    </row>
    <row r="26" spans="1:63" ht="15" customHeight="1" x14ac:dyDescent="0.25">
      <c r="A26" s="256"/>
      <c r="B26" s="86"/>
      <c r="C26" s="87"/>
      <c r="D26" s="87"/>
      <c r="E26" s="87"/>
      <c r="F26" s="87"/>
      <c r="G26" s="88"/>
      <c r="H26" s="86"/>
      <c r="I26" s="87"/>
      <c r="J26" s="87"/>
      <c r="K26" s="87"/>
      <c r="L26" s="87"/>
      <c r="M26" s="87"/>
      <c r="N26" s="88"/>
      <c r="O26" s="86"/>
      <c r="P26" s="87"/>
      <c r="Q26" s="87"/>
      <c r="R26" s="87"/>
      <c r="S26" s="93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5"/>
      <c r="AX26" s="290"/>
      <c r="AY26" s="290"/>
      <c r="AZ26" s="290"/>
      <c r="BA26" s="290"/>
      <c r="BB26" s="290"/>
      <c r="BC26" s="291"/>
      <c r="BD26" s="292"/>
      <c r="BE26" s="290"/>
      <c r="BF26" s="290"/>
      <c r="BG26" s="290"/>
      <c r="BH26" s="290"/>
      <c r="BI26" s="290"/>
      <c r="BJ26" s="291"/>
      <c r="BK26" s="257"/>
    </row>
    <row r="27" spans="1:63" ht="15" customHeight="1" x14ac:dyDescent="0.25">
      <c r="A27" s="256"/>
      <c r="B27" s="228"/>
      <c r="C27" s="226"/>
      <c r="D27" s="226"/>
      <c r="E27" s="226"/>
      <c r="F27" s="226"/>
      <c r="G27" s="227"/>
      <c r="H27" s="228"/>
      <c r="I27" s="226"/>
      <c r="J27" s="226"/>
      <c r="K27" s="226"/>
      <c r="L27" s="226"/>
      <c r="M27" s="226"/>
      <c r="N27" s="227"/>
      <c r="O27" s="228"/>
      <c r="P27" s="226"/>
      <c r="Q27" s="226"/>
      <c r="R27" s="226"/>
      <c r="S27" s="281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3"/>
      <c r="AX27" s="284"/>
      <c r="AY27" s="284"/>
      <c r="AZ27" s="284"/>
      <c r="BA27" s="284"/>
      <c r="BB27" s="284"/>
      <c r="BC27" s="285"/>
      <c r="BD27" s="286"/>
      <c r="BE27" s="284"/>
      <c r="BF27" s="284"/>
      <c r="BG27" s="284"/>
      <c r="BH27" s="284"/>
      <c r="BI27" s="284"/>
      <c r="BJ27" s="285"/>
      <c r="BK27" s="257"/>
    </row>
    <row r="28" spans="1:63" ht="15" customHeight="1" x14ac:dyDescent="0.25">
      <c r="A28" s="256"/>
      <c r="B28" s="238"/>
      <c r="C28" s="239"/>
      <c r="D28" s="239"/>
      <c r="E28" s="239"/>
      <c r="F28" s="239"/>
      <c r="G28" s="240"/>
      <c r="H28" s="238"/>
      <c r="I28" s="239"/>
      <c r="J28" s="239"/>
      <c r="K28" s="239"/>
      <c r="L28" s="239"/>
      <c r="M28" s="239"/>
      <c r="N28" s="240"/>
      <c r="O28" s="238"/>
      <c r="P28" s="239"/>
      <c r="Q28" s="239"/>
      <c r="R28" s="239"/>
      <c r="S28" s="287"/>
      <c r="T28" s="288"/>
      <c r="U28" s="288"/>
      <c r="V28" s="288"/>
      <c r="W28" s="288"/>
      <c r="X28" s="288"/>
      <c r="Y28" s="288"/>
      <c r="Z28" s="288"/>
      <c r="AA28" s="288"/>
      <c r="AB28" s="288"/>
      <c r="AC28" s="288"/>
      <c r="AD28" s="288"/>
      <c r="AE28" s="288"/>
      <c r="AF28" s="288"/>
      <c r="AG28" s="288"/>
      <c r="AH28" s="288"/>
      <c r="AI28" s="288"/>
      <c r="AJ28" s="288"/>
      <c r="AK28" s="288"/>
      <c r="AL28" s="288"/>
      <c r="AM28" s="288"/>
      <c r="AN28" s="288"/>
      <c r="AO28" s="288"/>
      <c r="AP28" s="288"/>
      <c r="AQ28" s="288"/>
      <c r="AR28" s="288"/>
      <c r="AS28" s="288"/>
      <c r="AT28" s="288"/>
      <c r="AU28" s="288"/>
      <c r="AV28" s="288"/>
      <c r="AW28" s="289"/>
      <c r="AX28" s="290"/>
      <c r="AY28" s="290"/>
      <c r="AZ28" s="290"/>
      <c r="BA28" s="290"/>
      <c r="BB28" s="290"/>
      <c r="BC28" s="291"/>
      <c r="BD28" s="292"/>
      <c r="BE28" s="290"/>
      <c r="BF28" s="290"/>
      <c r="BG28" s="290"/>
      <c r="BH28" s="290"/>
      <c r="BI28" s="290"/>
      <c r="BJ28" s="291"/>
      <c r="BK28" s="257"/>
    </row>
    <row r="29" spans="1:63" ht="15" customHeight="1" x14ac:dyDescent="0.25">
      <c r="A29" s="256"/>
      <c r="B29" s="228"/>
      <c r="C29" s="226"/>
      <c r="D29" s="226"/>
      <c r="E29" s="226"/>
      <c r="F29" s="226"/>
      <c r="G29" s="227"/>
      <c r="H29" s="228"/>
      <c r="I29" s="226"/>
      <c r="J29" s="226"/>
      <c r="K29" s="226"/>
      <c r="L29" s="226"/>
      <c r="M29" s="226"/>
      <c r="N29" s="227"/>
      <c r="O29" s="228"/>
      <c r="P29" s="226"/>
      <c r="Q29" s="226"/>
      <c r="R29" s="226"/>
      <c r="S29" s="281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3"/>
      <c r="AX29" s="284"/>
      <c r="AY29" s="284"/>
      <c r="AZ29" s="284"/>
      <c r="BA29" s="284"/>
      <c r="BB29" s="284"/>
      <c r="BC29" s="285"/>
      <c r="BD29" s="286"/>
      <c r="BE29" s="284"/>
      <c r="BF29" s="284"/>
      <c r="BG29" s="284"/>
      <c r="BH29" s="284"/>
      <c r="BI29" s="284"/>
      <c r="BJ29" s="285"/>
      <c r="BK29" s="257"/>
    </row>
    <row r="30" spans="1:63" ht="15" customHeight="1" x14ac:dyDescent="0.25">
      <c r="A30" s="256"/>
      <c r="B30" s="238"/>
      <c r="C30" s="239"/>
      <c r="D30" s="239"/>
      <c r="E30" s="239"/>
      <c r="F30" s="239"/>
      <c r="G30" s="240"/>
      <c r="H30" s="238"/>
      <c r="I30" s="239"/>
      <c r="J30" s="239"/>
      <c r="K30" s="239"/>
      <c r="L30" s="239"/>
      <c r="M30" s="239"/>
      <c r="N30" s="240"/>
      <c r="O30" s="238"/>
      <c r="P30" s="239"/>
      <c r="Q30" s="239"/>
      <c r="R30" s="239"/>
      <c r="S30" s="287"/>
      <c r="T30" s="288"/>
      <c r="U30" s="288"/>
      <c r="V30" s="288"/>
      <c r="W30" s="288"/>
      <c r="X30" s="288"/>
      <c r="Y30" s="288"/>
      <c r="Z30" s="288"/>
      <c r="AA30" s="288"/>
      <c r="AB30" s="288"/>
      <c r="AC30" s="288"/>
      <c r="AD30" s="288"/>
      <c r="AE30" s="288"/>
      <c r="AF30" s="288"/>
      <c r="AG30" s="288"/>
      <c r="AH30" s="288"/>
      <c r="AI30" s="288"/>
      <c r="AJ30" s="288"/>
      <c r="AK30" s="288"/>
      <c r="AL30" s="288"/>
      <c r="AM30" s="288"/>
      <c r="AN30" s="288"/>
      <c r="AO30" s="288"/>
      <c r="AP30" s="288"/>
      <c r="AQ30" s="288"/>
      <c r="AR30" s="288"/>
      <c r="AS30" s="288"/>
      <c r="AT30" s="288"/>
      <c r="AU30" s="288"/>
      <c r="AV30" s="288"/>
      <c r="AW30" s="289"/>
      <c r="AX30" s="290"/>
      <c r="AY30" s="290"/>
      <c r="AZ30" s="290"/>
      <c r="BA30" s="290"/>
      <c r="BB30" s="290"/>
      <c r="BC30" s="291"/>
      <c r="BD30" s="292"/>
      <c r="BE30" s="290"/>
      <c r="BF30" s="290"/>
      <c r="BG30" s="290"/>
      <c r="BH30" s="290"/>
      <c r="BI30" s="290"/>
      <c r="BJ30" s="291"/>
      <c r="BK30" s="257"/>
    </row>
    <row r="31" spans="1:63" ht="15" customHeight="1" x14ac:dyDescent="0.25">
      <c r="A31" s="256"/>
      <c r="B31" s="228"/>
      <c r="C31" s="226"/>
      <c r="D31" s="226"/>
      <c r="E31" s="226"/>
      <c r="F31" s="226"/>
      <c r="G31" s="227"/>
      <c r="H31" s="228"/>
      <c r="I31" s="226"/>
      <c r="J31" s="226"/>
      <c r="K31" s="226"/>
      <c r="L31" s="226"/>
      <c r="M31" s="226"/>
      <c r="N31" s="227"/>
      <c r="O31" s="228"/>
      <c r="P31" s="226"/>
      <c r="Q31" s="226"/>
      <c r="R31" s="226"/>
      <c r="S31" s="281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3"/>
      <c r="AX31" s="284"/>
      <c r="AY31" s="284"/>
      <c r="AZ31" s="284"/>
      <c r="BA31" s="284"/>
      <c r="BB31" s="284"/>
      <c r="BC31" s="285"/>
      <c r="BD31" s="286"/>
      <c r="BE31" s="284"/>
      <c r="BF31" s="284"/>
      <c r="BG31" s="284"/>
      <c r="BH31" s="284"/>
      <c r="BI31" s="284"/>
      <c r="BJ31" s="285"/>
      <c r="BK31" s="257"/>
    </row>
    <row r="32" spans="1:63" ht="15" customHeight="1" x14ac:dyDescent="0.25">
      <c r="A32" s="256"/>
      <c r="B32" s="238"/>
      <c r="C32" s="239"/>
      <c r="D32" s="239"/>
      <c r="E32" s="239"/>
      <c r="F32" s="239"/>
      <c r="G32" s="240"/>
      <c r="H32" s="238"/>
      <c r="I32" s="239"/>
      <c r="J32" s="239"/>
      <c r="K32" s="239"/>
      <c r="L32" s="239"/>
      <c r="M32" s="239"/>
      <c r="N32" s="240"/>
      <c r="O32" s="238"/>
      <c r="P32" s="239"/>
      <c r="Q32" s="239"/>
      <c r="R32" s="239"/>
      <c r="S32" s="287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/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  <c r="AR32" s="288"/>
      <c r="AS32" s="288"/>
      <c r="AT32" s="288"/>
      <c r="AU32" s="288"/>
      <c r="AV32" s="288"/>
      <c r="AW32" s="289"/>
      <c r="AX32" s="290"/>
      <c r="AY32" s="290"/>
      <c r="AZ32" s="290"/>
      <c r="BA32" s="290"/>
      <c r="BB32" s="290"/>
      <c r="BC32" s="291"/>
      <c r="BD32" s="292"/>
      <c r="BE32" s="290"/>
      <c r="BF32" s="290"/>
      <c r="BG32" s="290"/>
      <c r="BH32" s="290"/>
      <c r="BI32" s="290"/>
      <c r="BJ32" s="291"/>
      <c r="BK32" s="257"/>
    </row>
    <row r="33" spans="1:63" ht="15" customHeight="1" x14ac:dyDescent="0.25">
      <c r="A33" s="256"/>
      <c r="B33" s="228"/>
      <c r="C33" s="226"/>
      <c r="D33" s="226"/>
      <c r="E33" s="226"/>
      <c r="F33" s="226"/>
      <c r="G33" s="227"/>
      <c r="H33" s="228"/>
      <c r="I33" s="226"/>
      <c r="J33" s="226"/>
      <c r="K33" s="226"/>
      <c r="L33" s="226"/>
      <c r="M33" s="226"/>
      <c r="N33" s="227"/>
      <c r="O33" s="228"/>
      <c r="P33" s="226"/>
      <c r="Q33" s="226"/>
      <c r="R33" s="226"/>
      <c r="S33" s="281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3"/>
      <c r="AX33" s="284"/>
      <c r="AY33" s="284"/>
      <c r="AZ33" s="284"/>
      <c r="BA33" s="284"/>
      <c r="BB33" s="284"/>
      <c r="BC33" s="285"/>
      <c r="BD33" s="286"/>
      <c r="BE33" s="284"/>
      <c r="BF33" s="284"/>
      <c r="BG33" s="284"/>
      <c r="BH33" s="284"/>
      <c r="BI33" s="284"/>
      <c r="BJ33" s="285"/>
      <c r="BK33" s="257"/>
    </row>
    <row r="34" spans="1:63" ht="15" customHeight="1" x14ac:dyDescent="0.25">
      <c r="A34" s="256"/>
      <c r="B34" s="238"/>
      <c r="C34" s="239"/>
      <c r="D34" s="239"/>
      <c r="E34" s="239"/>
      <c r="F34" s="239"/>
      <c r="G34" s="240"/>
      <c r="H34" s="238"/>
      <c r="I34" s="239"/>
      <c r="J34" s="239"/>
      <c r="K34" s="239"/>
      <c r="L34" s="239"/>
      <c r="M34" s="239"/>
      <c r="N34" s="240"/>
      <c r="O34" s="238"/>
      <c r="P34" s="239"/>
      <c r="Q34" s="239"/>
      <c r="R34" s="239"/>
      <c r="S34" s="287"/>
      <c r="T34" s="288"/>
      <c r="U34" s="288"/>
      <c r="V34" s="288"/>
      <c r="W34" s="288"/>
      <c r="X34" s="288"/>
      <c r="Y34" s="288"/>
      <c r="Z34" s="288"/>
      <c r="AA34" s="288"/>
      <c r="AB34" s="288"/>
      <c r="AC34" s="288"/>
      <c r="AD34" s="288"/>
      <c r="AE34" s="288"/>
      <c r="AF34" s="288"/>
      <c r="AG34" s="288"/>
      <c r="AH34" s="288"/>
      <c r="AI34" s="288"/>
      <c r="AJ34" s="288"/>
      <c r="AK34" s="288"/>
      <c r="AL34" s="288"/>
      <c r="AM34" s="288"/>
      <c r="AN34" s="288"/>
      <c r="AO34" s="288"/>
      <c r="AP34" s="288"/>
      <c r="AQ34" s="288"/>
      <c r="AR34" s="288"/>
      <c r="AS34" s="288"/>
      <c r="AT34" s="288"/>
      <c r="AU34" s="288"/>
      <c r="AV34" s="288"/>
      <c r="AW34" s="289"/>
      <c r="AX34" s="290"/>
      <c r="AY34" s="290"/>
      <c r="AZ34" s="290"/>
      <c r="BA34" s="290"/>
      <c r="BB34" s="290"/>
      <c r="BC34" s="291"/>
      <c r="BD34" s="292"/>
      <c r="BE34" s="290"/>
      <c r="BF34" s="290"/>
      <c r="BG34" s="290"/>
      <c r="BH34" s="290"/>
      <c r="BI34" s="290"/>
      <c r="BJ34" s="291"/>
      <c r="BK34" s="257"/>
    </row>
    <row r="35" spans="1:63" ht="15" customHeight="1" x14ac:dyDescent="0.25">
      <c r="A35" s="256"/>
      <c r="B35" s="228"/>
      <c r="C35" s="226"/>
      <c r="D35" s="226"/>
      <c r="E35" s="226"/>
      <c r="F35" s="226"/>
      <c r="G35" s="227"/>
      <c r="H35" s="228"/>
      <c r="I35" s="226"/>
      <c r="J35" s="226"/>
      <c r="K35" s="226"/>
      <c r="L35" s="226"/>
      <c r="M35" s="226"/>
      <c r="N35" s="227"/>
      <c r="O35" s="228"/>
      <c r="P35" s="226"/>
      <c r="Q35" s="226"/>
      <c r="R35" s="226"/>
      <c r="S35" s="281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3"/>
      <c r="AX35" s="284"/>
      <c r="AY35" s="284"/>
      <c r="AZ35" s="284"/>
      <c r="BA35" s="284"/>
      <c r="BB35" s="284"/>
      <c r="BC35" s="285"/>
      <c r="BD35" s="286"/>
      <c r="BE35" s="284"/>
      <c r="BF35" s="284"/>
      <c r="BG35" s="284"/>
      <c r="BH35" s="284"/>
      <c r="BI35" s="284"/>
      <c r="BJ35" s="285"/>
      <c r="BK35" s="257"/>
    </row>
    <row r="36" spans="1:63" ht="15" customHeight="1" x14ac:dyDescent="0.25">
      <c r="A36" s="256"/>
      <c r="B36" s="238"/>
      <c r="C36" s="239"/>
      <c r="D36" s="239"/>
      <c r="E36" s="239"/>
      <c r="F36" s="239"/>
      <c r="G36" s="240"/>
      <c r="H36" s="238"/>
      <c r="I36" s="239"/>
      <c r="J36" s="239"/>
      <c r="K36" s="239"/>
      <c r="L36" s="239"/>
      <c r="M36" s="239"/>
      <c r="N36" s="240"/>
      <c r="O36" s="238"/>
      <c r="P36" s="239"/>
      <c r="Q36" s="239"/>
      <c r="R36" s="239"/>
      <c r="S36" s="287"/>
      <c r="T36" s="288"/>
      <c r="U36" s="288"/>
      <c r="V36" s="288"/>
      <c r="W36" s="288"/>
      <c r="X36" s="288"/>
      <c r="Y36" s="288"/>
      <c r="Z36" s="288"/>
      <c r="AA36" s="288"/>
      <c r="AB36" s="288"/>
      <c r="AC36" s="288"/>
      <c r="AD36" s="288"/>
      <c r="AE36" s="288"/>
      <c r="AF36" s="288"/>
      <c r="AG36" s="288"/>
      <c r="AH36" s="288"/>
      <c r="AI36" s="288"/>
      <c r="AJ36" s="288"/>
      <c r="AK36" s="288"/>
      <c r="AL36" s="288"/>
      <c r="AM36" s="288"/>
      <c r="AN36" s="288"/>
      <c r="AO36" s="288"/>
      <c r="AP36" s="288"/>
      <c r="AQ36" s="288"/>
      <c r="AR36" s="288"/>
      <c r="AS36" s="288"/>
      <c r="AT36" s="288"/>
      <c r="AU36" s="288"/>
      <c r="AV36" s="288"/>
      <c r="AW36" s="289"/>
      <c r="AX36" s="290"/>
      <c r="AY36" s="290"/>
      <c r="AZ36" s="290"/>
      <c r="BA36" s="290"/>
      <c r="BB36" s="290"/>
      <c r="BC36" s="291"/>
      <c r="BD36" s="292"/>
      <c r="BE36" s="290"/>
      <c r="BF36" s="290"/>
      <c r="BG36" s="290"/>
      <c r="BH36" s="290"/>
      <c r="BI36" s="290"/>
      <c r="BJ36" s="291"/>
      <c r="BK36" s="257"/>
    </row>
    <row r="37" spans="1:63" ht="15" customHeight="1" x14ac:dyDescent="0.25">
      <c r="A37" s="256"/>
      <c r="B37" s="228"/>
      <c r="C37" s="226"/>
      <c r="D37" s="226"/>
      <c r="E37" s="226"/>
      <c r="F37" s="226"/>
      <c r="G37" s="227"/>
      <c r="H37" s="228"/>
      <c r="I37" s="226"/>
      <c r="J37" s="226"/>
      <c r="K37" s="226"/>
      <c r="L37" s="226"/>
      <c r="M37" s="226"/>
      <c r="N37" s="227"/>
      <c r="O37" s="228"/>
      <c r="P37" s="226"/>
      <c r="Q37" s="226"/>
      <c r="R37" s="226"/>
      <c r="S37" s="281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3"/>
      <c r="AX37" s="284"/>
      <c r="AY37" s="284"/>
      <c r="AZ37" s="284"/>
      <c r="BA37" s="284"/>
      <c r="BB37" s="284"/>
      <c r="BC37" s="285"/>
      <c r="BD37" s="286"/>
      <c r="BE37" s="284"/>
      <c r="BF37" s="284"/>
      <c r="BG37" s="284"/>
      <c r="BH37" s="284"/>
      <c r="BI37" s="284"/>
      <c r="BJ37" s="285"/>
      <c r="BK37" s="257"/>
    </row>
    <row r="38" spans="1:63" ht="15" customHeight="1" x14ac:dyDescent="0.25">
      <c r="A38" s="256"/>
      <c r="B38" s="238"/>
      <c r="C38" s="239"/>
      <c r="D38" s="239"/>
      <c r="E38" s="239"/>
      <c r="F38" s="239"/>
      <c r="G38" s="240"/>
      <c r="H38" s="238"/>
      <c r="I38" s="239"/>
      <c r="J38" s="239"/>
      <c r="K38" s="239"/>
      <c r="L38" s="239"/>
      <c r="M38" s="239"/>
      <c r="N38" s="240"/>
      <c r="O38" s="238"/>
      <c r="P38" s="239"/>
      <c r="Q38" s="239"/>
      <c r="R38" s="239"/>
      <c r="S38" s="287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8"/>
      <c r="AP38" s="288"/>
      <c r="AQ38" s="288"/>
      <c r="AR38" s="288"/>
      <c r="AS38" s="288"/>
      <c r="AT38" s="288"/>
      <c r="AU38" s="288"/>
      <c r="AV38" s="288"/>
      <c r="AW38" s="289"/>
      <c r="AX38" s="290"/>
      <c r="AY38" s="290"/>
      <c r="AZ38" s="290"/>
      <c r="BA38" s="290"/>
      <c r="BB38" s="290"/>
      <c r="BC38" s="291"/>
      <c r="BD38" s="292"/>
      <c r="BE38" s="290"/>
      <c r="BF38" s="290"/>
      <c r="BG38" s="290"/>
      <c r="BH38" s="290"/>
      <c r="BI38" s="290"/>
      <c r="BJ38" s="291"/>
      <c r="BK38" s="257"/>
    </row>
    <row r="39" spans="1:63" ht="15" customHeight="1" x14ac:dyDescent="0.25">
      <c r="A39" s="256"/>
      <c r="B39" s="228"/>
      <c r="C39" s="226"/>
      <c r="D39" s="226"/>
      <c r="E39" s="226"/>
      <c r="F39" s="226"/>
      <c r="G39" s="227"/>
      <c r="H39" s="228"/>
      <c r="I39" s="226"/>
      <c r="J39" s="226"/>
      <c r="K39" s="226"/>
      <c r="L39" s="226"/>
      <c r="M39" s="226"/>
      <c r="N39" s="227"/>
      <c r="O39" s="228"/>
      <c r="P39" s="226"/>
      <c r="Q39" s="226"/>
      <c r="R39" s="226"/>
      <c r="S39" s="281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3"/>
      <c r="AX39" s="284"/>
      <c r="AY39" s="284"/>
      <c r="AZ39" s="284"/>
      <c r="BA39" s="284"/>
      <c r="BB39" s="284"/>
      <c r="BC39" s="285"/>
      <c r="BD39" s="286"/>
      <c r="BE39" s="284"/>
      <c r="BF39" s="284"/>
      <c r="BG39" s="284"/>
      <c r="BH39" s="284"/>
      <c r="BI39" s="284"/>
      <c r="BJ39" s="285"/>
      <c r="BK39" s="257"/>
    </row>
    <row r="40" spans="1:63" ht="15" customHeight="1" x14ac:dyDescent="0.25">
      <c r="A40" s="256"/>
      <c r="B40" s="238"/>
      <c r="C40" s="239"/>
      <c r="D40" s="239"/>
      <c r="E40" s="239"/>
      <c r="F40" s="239"/>
      <c r="G40" s="240"/>
      <c r="H40" s="238"/>
      <c r="I40" s="239"/>
      <c r="J40" s="239"/>
      <c r="K40" s="239"/>
      <c r="L40" s="239"/>
      <c r="M40" s="239"/>
      <c r="N40" s="240"/>
      <c r="O40" s="238"/>
      <c r="P40" s="239"/>
      <c r="Q40" s="239"/>
      <c r="R40" s="239"/>
      <c r="S40" s="287"/>
      <c r="T40" s="288"/>
      <c r="U40" s="288"/>
      <c r="V40" s="288"/>
      <c r="W40" s="288"/>
      <c r="X40" s="288"/>
      <c r="Y40" s="288"/>
      <c r="Z40" s="288"/>
      <c r="AA40" s="288"/>
      <c r="AB40" s="288"/>
      <c r="AC40" s="288"/>
      <c r="AD40" s="288"/>
      <c r="AE40" s="288"/>
      <c r="AF40" s="288"/>
      <c r="AG40" s="288"/>
      <c r="AH40" s="288"/>
      <c r="AI40" s="288"/>
      <c r="AJ40" s="288"/>
      <c r="AK40" s="288"/>
      <c r="AL40" s="288"/>
      <c r="AM40" s="288"/>
      <c r="AN40" s="288"/>
      <c r="AO40" s="288"/>
      <c r="AP40" s="288"/>
      <c r="AQ40" s="288"/>
      <c r="AR40" s="288"/>
      <c r="AS40" s="288"/>
      <c r="AT40" s="288"/>
      <c r="AU40" s="288"/>
      <c r="AV40" s="288"/>
      <c r="AW40" s="289"/>
      <c r="AX40" s="290"/>
      <c r="AY40" s="290"/>
      <c r="AZ40" s="290"/>
      <c r="BA40" s="290"/>
      <c r="BB40" s="290"/>
      <c r="BC40" s="291"/>
      <c r="BD40" s="292"/>
      <c r="BE40" s="290"/>
      <c r="BF40" s="290"/>
      <c r="BG40" s="290"/>
      <c r="BH40" s="290"/>
      <c r="BI40" s="290"/>
      <c r="BJ40" s="291"/>
      <c r="BK40" s="257"/>
    </row>
    <row r="41" spans="1:63" ht="15" customHeight="1" x14ac:dyDescent="0.25">
      <c r="A41" s="256"/>
      <c r="B41" s="228"/>
      <c r="C41" s="226"/>
      <c r="D41" s="226"/>
      <c r="E41" s="226"/>
      <c r="F41" s="226"/>
      <c r="G41" s="227"/>
      <c r="H41" s="228"/>
      <c r="I41" s="226"/>
      <c r="J41" s="226"/>
      <c r="K41" s="226"/>
      <c r="L41" s="226"/>
      <c r="M41" s="226"/>
      <c r="N41" s="227"/>
      <c r="O41" s="228"/>
      <c r="P41" s="226"/>
      <c r="Q41" s="226"/>
      <c r="R41" s="226"/>
      <c r="S41" s="281"/>
      <c r="T41" s="28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3"/>
      <c r="AX41" s="284"/>
      <c r="AY41" s="284"/>
      <c r="AZ41" s="284"/>
      <c r="BA41" s="284"/>
      <c r="BB41" s="284"/>
      <c r="BC41" s="285"/>
      <c r="BD41" s="286"/>
      <c r="BE41" s="284"/>
      <c r="BF41" s="284"/>
      <c r="BG41" s="284"/>
      <c r="BH41" s="284"/>
      <c r="BI41" s="284"/>
      <c r="BJ41" s="285"/>
      <c r="BK41" s="257"/>
    </row>
    <row r="42" spans="1:63" ht="15" customHeight="1" x14ac:dyDescent="0.25">
      <c r="A42" s="256"/>
      <c r="B42" s="238"/>
      <c r="C42" s="239"/>
      <c r="D42" s="239"/>
      <c r="E42" s="239"/>
      <c r="F42" s="239"/>
      <c r="G42" s="240"/>
      <c r="H42" s="238"/>
      <c r="I42" s="239"/>
      <c r="J42" s="239"/>
      <c r="K42" s="239"/>
      <c r="L42" s="239"/>
      <c r="M42" s="239"/>
      <c r="N42" s="240"/>
      <c r="O42" s="238"/>
      <c r="P42" s="239"/>
      <c r="Q42" s="239"/>
      <c r="R42" s="239"/>
      <c r="S42" s="287"/>
      <c r="T42" s="288"/>
      <c r="U42" s="288"/>
      <c r="V42" s="288"/>
      <c r="W42" s="288"/>
      <c r="X42" s="288"/>
      <c r="Y42" s="288"/>
      <c r="Z42" s="288"/>
      <c r="AA42" s="288"/>
      <c r="AB42" s="288"/>
      <c r="AC42" s="288"/>
      <c r="AD42" s="288"/>
      <c r="AE42" s="288"/>
      <c r="AF42" s="288"/>
      <c r="AG42" s="288"/>
      <c r="AH42" s="288"/>
      <c r="AI42" s="288"/>
      <c r="AJ42" s="288"/>
      <c r="AK42" s="288"/>
      <c r="AL42" s="288"/>
      <c r="AM42" s="288"/>
      <c r="AN42" s="288"/>
      <c r="AO42" s="288"/>
      <c r="AP42" s="288"/>
      <c r="AQ42" s="288"/>
      <c r="AR42" s="288"/>
      <c r="AS42" s="288"/>
      <c r="AT42" s="288"/>
      <c r="AU42" s="288"/>
      <c r="AV42" s="288"/>
      <c r="AW42" s="289"/>
      <c r="AX42" s="290"/>
      <c r="AY42" s="290"/>
      <c r="AZ42" s="290"/>
      <c r="BA42" s="290"/>
      <c r="BB42" s="290"/>
      <c r="BC42" s="291"/>
      <c r="BD42" s="292"/>
      <c r="BE42" s="290"/>
      <c r="BF42" s="290"/>
      <c r="BG42" s="290"/>
      <c r="BH42" s="290"/>
      <c r="BI42" s="290"/>
      <c r="BJ42" s="291"/>
      <c r="BK42" s="257"/>
    </row>
    <row r="43" spans="1:63" ht="15" customHeight="1" x14ac:dyDescent="0.25">
      <c r="A43" s="256"/>
      <c r="B43" s="228"/>
      <c r="C43" s="226"/>
      <c r="D43" s="226"/>
      <c r="E43" s="226"/>
      <c r="F43" s="226"/>
      <c r="G43" s="227"/>
      <c r="H43" s="228"/>
      <c r="I43" s="226"/>
      <c r="J43" s="226"/>
      <c r="K43" s="226"/>
      <c r="L43" s="226"/>
      <c r="M43" s="226"/>
      <c r="N43" s="227"/>
      <c r="O43" s="228"/>
      <c r="P43" s="226"/>
      <c r="Q43" s="226"/>
      <c r="R43" s="226"/>
      <c r="S43" s="281"/>
      <c r="T43" s="28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3"/>
      <c r="AX43" s="284"/>
      <c r="AY43" s="284"/>
      <c r="AZ43" s="284"/>
      <c r="BA43" s="284"/>
      <c r="BB43" s="284"/>
      <c r="BC43" s="285"/>
      <c r="BD43" s="286"/>
      <c r="BE43" s="284"/>
      <c r="BF43" s="284"/>
      <c r="BG43" s="284"/>
      <c r="BH43" s="284"/>
      <c r="BI43" s="284"/>
      <c r="BJ43" s="285"/>
      <c r="BK43" s="257"/>
    </row>
    <row r="44" spans="1:63" ht="15" customHeight="1" x14ac:dyDescent="0.25">
      <c r="A44" s="256"/>
      <c r="B44" s="238"/>
      <c r="C44" s="239"/>
      <c r="D44" s="239"/>
      <c r="E44" s="239"/>
      <c r="F44" s="239"/>
      <c r="G44" s="240"/>
      <c r="H44" s="238"/>
      <c r="I44" s="239"/>
      <c r="J44" s="239"/>
      <c r="K44" s="239"/>
      <c r="L44" s="239"/>
      <c r="M44" s="239"/>
      <c r="N44" s="240"/>
      <c r="O44" s="238"/>
      <c r="P44" s="239"/>
      <c r="Q44" s="239"/>
      <c r="R44" s="239"/>
      <c r="S44" s="287"/>
      <c r="T44" s="288"/>
      <c r="U44" s="288"/>
      <c r="V44" s="288"/>
      <c r="W44" s="288"/>
      <c r="X44" s="288"/>
      <c r="Y44" s="288"/>
      <c r="Z44" s="288"/>
      <c r="AA44" s="288"/>
      <c r="AB44" s="288"/>
      <c r="AC44" s="288"/>
      <c r="AD44" s="288"/>
      <c r="AE44" s="288"/>
      <c r="AF44" s="288"/>
      <c r="AG44" s="288"/>
      <c r="AH44" s="288"/>
      <c r="AI44" s="288"/>
      <c r="AJ44" s="288"/>
      <c r="AK44" s="288"/>
      <c r="AL44" s="288"/>
      <c r="AM44" s="288"/>
      <c r="AN44" s="288"/>
      <c r="AO44" s="288"/>
      <c r="AP44" s="288"/>
      <c r="AQ44" s="288"/>
      <c r="AR44" s="288"/>
      <c r="AS44" s="288"/>
      <c r="AT44" s="288"/>
      <c r="AU44" s="288"/>
      <c r="AV44" s="288"/>
      <c r="AW44" s="289"/>
      <c r="AX44" s="290"/>
      <c r="AY44" s="290"/>
      <c r="AZ44" s="290"/>
      <c r="BA44" s="290"/>
      <c r="BB44" s="290"/>
      <c r="BC44" s="291"/>
      <c r="BD44" s="292"/>
      <c r="BE44" s="290"/>
      <c r="BF44" s="290"/>
      <c r="BG44" s="290"/>
      <c r="BH44" s="290"/>
      <c r="BI44" s="290"/>
      <c r="BJ44" s="291"/>
      <c r="BK44" s="257"/>
    </row>
    <row r="45" spans="1:63" ht="15" customHeight="1" x14ac:dyDescent="0.25">
      <c r="A45" s="256"/>
      <c r="B45" s="228"/>
      <c r="C45" s="226"/>
      <c r="D45" s="226"/>
      <c r="E45" s="226"/>
      <c r="F45" s="226"/>
      <c r="G45" s="227"/>
      <c r="H45" s="228"/>
      <c r="I45" s="226"/>
      <c r="J45" s="226"/>
      <c r="K45" s="226"/>
      <c r="L45" s="226"/>
      <c r="M45" s="226"/>
      <c r="N45" s="227"/>
      <c r="O45" s="228"/>
      <c r="P45" s="226"/>
      <c r="Q45" s="226"/>
      <c r="R45" s="226"/>
      <c r="S45" s="281"/>
      <c r="T45" s="28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  <c r="AK45" s="282"/>
      <c r="AL45" s="282"/>
      <c r="AM45" s="282"/>
      <c r="AN45" s="282"/>
      <c r="AO45" s="282"/>
      <c r="AP45" s="282"/>
      <c r="AQ45" s="282"/>
      <c r="AR45" s="282"/>
      <c r="AS45" s="282"/>
      <c r="AT45" s="282"/>
      <c r="AU45" s="282"/>
      <c r="AV45" s="282"/>
      <c r="AW45" s="283"/>
      <c r="AX45" s="284"/>
      <c r="AY45" s="284"/>
      <c r="AZ45" s="284"/>
      <c r="BA45" s="284"/>
      <c r="BB45" s="284"/>
      <c r="BC45" s="285"/>
      <c r="BD45" s="286"/>
      <c r="BE45" s="284"/>
      <c r="BF45" s="284"/>
      <c r="BG45" s="284"/>
      <c r="BH45" s="284"/>
      <c r="BI45" s="284"/>
      <c r="BJ45" s="285"/>
      <c r="BK45" s="257"/>
    </row>
    <row r="46" spans="1:63" ht="15" customHeight="1" x14ac:dyDescent="0.25">
      <c r="A46" s="256"/>
      <c r="B46" s="238"/>
      <c r="C46" s="239"/>
      <c r="D46" s="239"/>
      <c r="E46" s="239"/>
      <c r="F46" s="239"/>
      <c r="G46" s="240"/>
      <c r="H46" s="238"/>
      <c r="I46" s="239"/>
      <c r="J46" s="239"/>
      <c r="K46" s="239"/>
      <c r="L46" s="239"/>
      <c r="M46" s="239"/>
      <c r="N46" s="240"/>
      <c r="O46" s="238"/>
      <c r="P46" s="239"/>
      <c r="Q46" s="239"/>
      <c r="R46" s="239"/>
      <c r="S46" s="287"/>
      <c r="T46" s="288"/>
      <c r="U46" s="288"/>
      <c r="V46" s="288"/>
      <c r="W46" s="288"/>
      <c r="X46" s="288"/>
      <c r="Y46" s="288"/>
      <c r="Z46" s="288"/>
      <c r="AA46" s="288"/>
      <c r="AB46" s="288"/>
      <c r="AC46" s="288"/>
      <c r="AD46" s="288"/>
      <c r="AE46" s="288"/>
      <c r="AF46" s="288"/>
      <c r="AG46" s="288"/>
      <c r="AH46" s="288"/>
      <c r="AI46" s="288"/>
      <c r="AJ46" s="288"/>
      <c r="AK46" s="288"/>
      <c r="AL46" s="288"/>
      <c r="AM46" s="288"/>
      <c r="AN46" s="288"/>
      <c r="AO46" s="288"/>
      <c r="AP46" s="288"/>
      <c r="AQ46" s="288"/>
      <c r="AR46" s="288"/>
      <c r="AS46" s="288"/>
      <c r="AT46" s="288"/>
      <c r="AU46" s="288"/>
      <c r="AV46" s="288"/>
      <c r="AW46" s="289"/>
      <c r="AX46" s="290"/>
      <c r="AY46" s="290"/>
      <c r="AZ46" s="290"/>
      <c r="BA46" s="290"/>
      <c r="BB46" s="290"/>
      <c r="BC46" s="291"/>
      <c r="BD46" s="292"/>
      <c r="BE46" s="290"/>
      <c r="BF46" s="290"/>
      <c r="BG46" s="290"/>
      <c r="BH46" s="290"/>
      <c r="BI46" s="290"/>
      <c r="BJ46" s="291"/>
      <c r="BK46" s="257"/>
    </row>
    <row r="47" spans="1:63" ht="15" customHeight="1" x14ac:dyDescent="0.25">
      <c r="A47" s="256"/>
      <c r="B47" s="228"/>
      <c r="C47" s="226"/>
      <c r="D47" s="226"/>
      <c r="E47" s="226"/>
      <c r="F47" s="226"/>
      <c r="G47" s="227"/>
      <c r="H47" s="228"/>
      <c r="I47" s="226"/>
      <c r="J47" s="226"/>
      <c r="K47" s="226"/>
      <c r="L47" s="226"/>
      <c r="M47" s="226"/>
      <c r="N47" s="227"/>
      <c r="O47" s="228"/>
      <c r="P47" s="226"/>
      <c r="Q47" s="226"/>
      <c r="R47" s="226"/>
      <c r="S47" s="281"/>
      <c r="T47" s="28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  <c r="AI47" s="282"/>
      <c r="AJ47" s="282"/>
      <c r="AK47" s="282"/>
      <c r="AL47" s="282"/>
      <c r="AM47" s="282"/>
      <c r="AN47" s="282"/>
      <c r="AO47" s="282"/>
      <c r="AP47" s="282"/>
      <c r="AQ47" s="282"/>
      <c r="AR47" s="282"/>
      <c r="AS47" s="282"/>
      <c r="AT47" s="282"/>
      <c r="AU47" s="282"/>
      <c r="AV47" s="282"/>
      <c r="AW47" s="283"/>
      <c r="AX47" s="284"/>
      <c r="AY47" s="284"/>
      <c r="AZ47" s="284"/>
      <c r="BA47" s="284"/>
      <c r="BB47" s="284"/>
      <c r="BC47" s="285"/>
      <c r="BD47" s="286"/>
      <c r="BE47" s="284"/>
      <c r="BF47" s="284"/>
      <c r="BG47" s="284"/>
      <c r="BH47" s="284"/>
      <c r="BI47" s="284"/>
      <c r="BJ47" s="285"/>
      <c r="BK47" s="257"/>
    </row>
    <row r="48" spans="1:63" ht="15" customHeight="1" x14ac:dyDescent="0.25">
      <c r="A48" s="256"/>
      <c r="B48" s="238"/>
      <c r="C48" s="239"/>
      <c r="D48" s="239"/>
      <c r="E48" s="239"/>
      <c r="F48" s="239"/>
      <c r="G48" s="240"/>
      <c r="H48" s="238"/>
      <c r="I48" s="239"/>
      <c r="J48" s="239"/>
      <c r="K48" s="239"/>
      <c r="L48" s="239"/>
      <c r="M48" s="239"/>
      <c r="N48" s="240"/>
      <c r="O48" s="238"/>
      <c r="P48" s="239"/>
      <c r="Q48" s="239"/>
      <c r="R48" s="239"/>
      <c r="S48" s="287"/>
      <c r="T48" s="288"/>
      <c r="U48" s="288"/>
      <c r="V48" s="288"/>
      <c r="W48" s="288"/>
      <c r="X48" s="288"/>
      <c r="Y48" s="288"/>
      <c r="Z48" s="288"/>
      <c r="AA48" s="288"/>
      <c r="AB48" s="288"/>
      <c r="AC48" s="288"/>
      <c r="AD48" s="288"/>
      <c r="AE48" s="288"/>
      <c r="AF48" s="288"/>
      <c r="AG48" s="288"/>
      <c r="AH48" s="288"/>
      <c r="AI48" s="288"/>
      <c r="AJ48" s="288"/>
      <c r="AK48" s="288"/>
      <c r="AL48" s="288"/>
      <c r="AM48" s="288"/>
      <c r="AN48" s="288"/>
      <c r="AO48" s="288"/>
      <c r="AP48" s="288"/>
      <c r="AQ48" s="288"/>
      <c r="AR48" s="288"/>
      <c r="AS48" s="288"/>
      <c r="AT48" s="288"/>
      <c r="AU48" s="288"/>
      <c r="AV48" s="288"/>
      <c r="AW48" s="289"/>
      <c r="AX48" s="290"/>
      <c r="AY48" s="290"/>
      <c r="AZ48" s="290"/>
      <c r="BA48" s="290"/>
      <c r="BB48" s="290"/>
      <c r="BC48" s="291"/>
      <c r="BD48" s="292"/>
      <c r="BE48" s="290"/>
      <c r="BF48" s="290"/>
      <c r="BG48" s="290"/>
      <c r="BH48" s="290"/>
      <c r="BI48" s="290"/>
      <c r="BJ48" s="291"/>
      <c r="BK48" s="257"/>
    </row>
    <row r="49" spans="1:63" ht="15" customHeight="1" x14ac:dyDescent="0.25">
      <c r="A49" s="256"/>
      <c r="B49" s="228"/>
      <c r="C49" s="226"/>
      <c r="D49" s="226"/>
      <c r="E49" s="226"/>
      <c r="F49" s="226"/>
      <c r="G49" s="227"/>
      <c r="H49" s="228"/>
      <c r="I49" s="226"/>
      <c r="J49" s="226"/>
      <c r="K49" s="226"/>
      <c r="L49" s="226"/>
      <c r="M49" s="226"/>
      <c r="N49" s="227"/>
      <c r="O49" s="228"/>
      <c r="P49" s="226"/>
      <c r="Q49" s="226"/>
      <c r="R49" s="226"/>
      <c r="S49" s="281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  <c r="AI49" s="282"/>
      <c r="AJ49" s="282"/>
      <c r="AK49" s="282"/>
      <c r="AL49" s="282"/>
      <c r="AM49" s="282"/>
      <c r="AN49" s="282"/>
      <c r="AO49" s="282"/>
      <c r="AP49" s="282"/>
      <c r="AQ49" s="282"/>
      <c r="AR49" s="282"/>
      <c r="AS49" s="282"/>
      <c r="AT49" s="282"/>
      <c r="AU49" s="282"/>
      <c r="AV49" s="282"/>
      <c r="AW49" s="283"/>
      <c r="AX49" s="284"/>
      <c r="AY49" s="284"/>
      <c r="AZ49" s="284"/>
      <c r="BA49" s="284"/>
      <c r="BB49" s="284"/>
      <c r="BC49" s="285"/>
      <c r="BD49" s="286"/>
      <c r="BE49" s="284"/>
      <c r="BF49" s="284"/>
      <c r="BG49" s="284"/>
      <c r="BH49" s="284"/>
      <c r="BI49" s="284"/>
      <c r="BJ49" s="285"/>
      <c r="BK49" s="257"/>
    </row>
    <row r="50" spans="1:63" ht="15" customHeight="1" x14ac:dyDescent="0.25">
      <c r="A50" s="256"/>
      <c r="B50" s="238"/>
      <c r="C50" s="239"/>
      <c r="D50" s="239"/>
      <c r="E50" s="239"/>
      <c r="F50" s="239"/>
      <c r="G50" s="240"/>
      <c r="H50" s="238"/>
      <c r="I50" s="239"/>
      <c r="J50" s="239"/>
      <c r="K50" s="239"/>
      <c r="L50" s="239"/>
      <c r="M50" s="239"/>
      <c r="N50" s="240"/>
      <c r="O50" s="238"/>
      <c r="P50" s="239"/>
      <c r="Q50" s="239"/>
      <c r="R50" s="239"/>
      <c r="S50" s="287"/>
      <c r="T50" s="288"/>
      <c r="U50" s="288"/>
      <c r="V50" s="288"/>
      <c r="W50" s="288"/>
      <c r="X50" s="288"/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8"/>
      <c r="AP50" s="288"/>
      <c r="AQ50" s="288"/>
      <c r="AR50" s="288"/>
      <c r="AS50" s="288"/>
      <c r="AT50" s="288"/>
      <c r="AU50" s="288"/>
      <c r="AV50" s="288"/>
      <c r="AW50" s="289"/>
      <c r="AX50" s="290"/>
      <c r="AY50" s="290"/>
      <c r="AZ50" s="290"/>
      <c r="BA50" s="290"/>
      <c r="BB50" s="290"/>
      <c r="BC50" s="291"/>
      <c r="BD50" s="292"/>
      <c r="BE50" s="290"/>
      <c r="BF50" s="290"/>
      <c r="BG50" s="290"/>
      <c r="BH50" s="290"/>
      <c r="BI50" s="290"/>
      <c r="BJ50" s="291"/>
      <c r="BK50" s="257"/>
    </row>
    <row r="51" spans="1:63" ht="15" customHeight="1" x14ac:dyDescent="0.25">
      <c r="A51" s="256"/>
      <c r="B51" s="228"/>
      <c r="C51" s="226"/>
      <c r="D51" s="226"/>
      <c r="E51" s="226"/>
      <c r="F51" s="226"/>
      <c r="G51" s="227"/>
      <c r="H51" s="228"/>
      <c r="I51" s="226"/>
      <c r="J51" s="226"/>
      <c r="K51" s="226"/>
      <c r="L51" s="226"/>
      <c r="M51" s="226"/>
      <c r="N51" s="227"/>
      <c r="O51" s="228"/>
      <c r="P51" s="226"/>
      <c r="Q51" s="226"/>
      <c r="R51" s="226"/>
      <c r="S51" s="281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  <c r="AI51" s="282"/>
      <c r="AJ51" s="282"/>
      <c r="AK51" s="282"/>
      <c r="AL51" s="282"/>
      <c r="AM51" s="282"/>
      <c r="AN51" s="282"/>
      <c r="AO51" s="282"/>
      <c r="AP51" s="282"/>
      <c r="AQ51" s="282"/>
      <c r="AR51" s="282"/>
      <c r="AS51" s="282"/>
      <c r="AT51" s="282"/>
      <c r="AU51" s="282"/>
      <c r="AV51" s="282"/>
      <c r="AW51" s="283"/>
      <c r="AX51" s="284"/>
      <c r="AY51" s="284"/>
      <c r="AZ51" s="284"/>
      <c r="BA51" s="284"/>
      <c r="BB51" s="284"/>
      <c r="BC51" s="285"/>
      <c r="BD51" s="286"/>
      <c r="BE51" s="284"/>
      <c r="BF51" s="284"/>
      <c r="BG51" s="284"/>
      <c r="BH51" s="284"/>
      <c r="BI51" s="284"/>
      <c r="BJ51" s="285"/>
      <c r="BK51" s="257"/>
    </row>
    <row r="52" spans="1:63" ht="15" customHeight="1" x14ac:dyDescent="0.25">
      <c r="A52" s="256"/>
      <c r="B52" s="238"/>
      <c r="C52" s="239"/>
      <c r="D52" s="239"/>
      <c r="E52" s="239"/>
      <c r="F52" s="239"/>
      <c r="G52" s="240"/>
      <c r="H52" s="238"/>
      <c r="I52" s="239"/>
      <c r="J52" s="239"/>
      <c r="K52" s="239"/>
      <c r="L52" s="239"/>
      <c r="M52" s="239"/>
      <c r="N52" s="240"/>
      <c r="O52" s="238"/>
      <c r="P52" s="239"/>
      <c r="Q52" s="239"/>
      <c r="R52" s="239"/>
      <c r="S52" s="287"/>
      <c r="T52" s="288"/>
      <c r="U52" s="288"/>
      <c r="V52" s="288"/>
      <c r="W52" s="288"/>
      <c r="X52" s="288"/>
      <c r="Y52" s="288"/>
      <c r="Z52" s="288"/>
      <c r="AA52" s="288"/>
      <c r="AB52" s="288"/>
      <c r="AC52" s="288"/>
      <c r="AD52" s="288"/>
      <c r="AE52" s="288"/>
      <c r="AF52" s="288"/>
      <c r="AG52" s="288"/>
      <c r="AH52" s="288"/>
      <c r="AI52" s="288"/>
      <c r="AJ52" s="288"/>
      <c r="AK52" s="288"/>
      <c r="AL52" s="288"/>
      <c r="AM52" s="288"/>
      <c r="AN52" s="288"/>
      <c r="AO52" s="288"/>
      <c r="AP52" s="288"/>
      <c r="AQ52" s="288"/>
      <c r="AR52" s="288"/>
      <c r="AS52" s="288"/>
      <c r="AT52" s="288"/>
      <c r="AU52" s="288"/>
      <c r="AV52" s="288"/>
      <c r="AW52" s="289"/>
      <c r="AX52" s="290"/>
      <c r="AY52" s="290"/>
      <c r="AZ52" s="290"/>
      <c r="BA52" s="290"/>
      <c r="BB52" s="290"/>
      <c r="BC52" s="291"/>
      <c r="BD52" s="292"/>
      <c r="BE52" s="290"/>
      <c r="BF52" s="290"/>
      <c r="BG52" s="290"/>
      <c r="BH52" s="290"/>
      <c r="BI52" s="290"/>
      <c r="BJ52" s="291"/>
      <c r="BK52" s="257"/>
    </row>
    <row r="53" spans="1:63" ht="15" customHeight="1" x14ac:dyDescent="0.25">
      <c r="A53" s="256"/>
      <c r="B53" s="228"/>
      <c r="C53" s="226"/>
      <c r="D53" s="226"/>
      <c r="E53" s="226"/>
      <c r="F53" s="226"/>
      <c r="G53" s="227"/>
      <c r="H53" s="228"/>
      <c r="I53" s="226"/>
      <c r="J53" s="226"/>
      <c r="K53" s="226"/>
      <c r="L53" s="226"/>
      <c r="M53" s="226"/>
      <c r="N53" s="227"/>
      <c r="O53" s="228"/>
      <c r="P53" s="226"/>
      <c r="Q53" s="226"/>
      <c r="R53" s="226"/>
      <c r="S53" s="281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  <c r="AK53" s="282"/>
      <c r="AL53" s="282"/>
      <c r="AM53" s="282"/>
      <c r="AN53" s="282"/>
      <c r="AO53" s="282"/>
      <c r="AP53" s="282"/>
      <c r="AQ53" s="282"/>
      <c r="AR53" s="282"/>
      <c r="AS53" s="282"/>
      <c r="AT53" s="282"/>
      <c r="AU53" s="282"/>
      <c r="AV53" s="282"/>
      <c r="AW53" s="283"/>
      <c r="AX53" s="284"/>
      <c r="AY53" s="284"/>
      <c r="AZ53" s="284"/>
      <c r="BA53" s="284"/>
      <c r="BB53" s="284"/>
      <c r="BC53" s="285"/>
      <c r="BD53" s="286"/>
      <c r="BE53" s="284"/>
      <c r="BF53" s="284"/>
      <c r="BG53" s="284"/>
      <c r="BH53" s="284"/>
      <c r="BI53" s="284"/>
      <c r="BJ53" s="285"/>
      <c r="BK53" s="257"/>
    </row>
    <row r="54" spans="1:63" ht="15" customHeight="1" x14ac:dyDescent="0.25">
      <c r="A54" s="256"/>
      <c r="B54" s="238"/>
      <c r="C54" s="239"/>
      <c r="D54" s="239"/>
      <c r="E54" s="239"/>
      <c r="F54" s="239"/>
      <c r="G54" s="240"/>
      <c r="H54" s="238"/>
      <c r="I54" s="239"/>
      <c r="J54" s="239"/>
      <c r="K54" s="239"/>
      <c r="L54" s="239"/>
      <c r="M54" s="239"/>
      <c r="N54" s="240"/>
      <c r="O54" s="238"/>
      <c r="P54" s="239"/>
      <c r="Q54" s="239"/>
      <c r="R54" s="239"/>
      <c r="S54" s="287"/>
      <c r="T54" s="288"/>
      <c r="U54" s="288"/>
      <c r="V54" s="288"/>
      <c r="W54" s="288"/>
      <c r="X54" s="288"/>
      <c r="Y54" s="288"/>
      <c r="Z54" s="288"/>
      <c r="AA54" s="288"/>
      <c r="AB54" s="288"/>
      <c r="AC54" s="288"/>
      <c r="AD54" s="288"/>
      <c r="AE54" s="288"/>
      <c r="AF54" s="288"/>
      <c r="AG54" s="288"/>
      <c r="AH54" s="288"/>
      <c r="AI54" s="288"/>
      <c r="AJ54" s="288"/>
      <c r="AK54" s="288"/>
      <c r="AL54" s="288"/>
      <c r="AM54" s="288"/>
      <c r="AN54" s="288"/>
      <c r="AO54" s="288"/>
      <c r="AP54" s="288"/>
      <c r="AQ54" s="288"/>
      <c r="AR54" s="288"/>
      <c r="AS54" s="288"/>
      <c r="AT54" s="288"/>
      <c r="AU54" s="288"/>
      <c r="AV54" s="288"/>
      <c r="AW54" s="289"/>
      <c r="AX54" s="290"/>
      <c r="AY54" s="290"/>
      <c r="AZ54" s="290"/>
      <c r="BA54" s="290"/>
      <c r="BB54" s="290"/>
      <c r="BC54" s="291"/>
      <c r="BD54" s="292"/>
      <c r="BE54" s="290"/>
      <c r="BF54" s="290"/>
      <c r="BG54" s="290"/>
      <c r="BH54" s="290"/>
      <c r="BI54" s="290"/>
      <c r="BJ54" s="291"/>
      <c r="BK54" s="257"/>
    </row>
    <row r="55" spans="1:63" ht="15" customHeight="1" x14ac:dyDescent="0.25">
      <c r="A55" s="253"/>
      <c r="B55" s="254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  <c r="AD55" s="254"/>
      <c r="AE55" s="254"/>
      <c r="AF55" s="254"/>
      <c r="AG55" s="254"/>
      <c r="AH55" s="254"/>
      <c r="AI55" s="254"/>
      <c r="AJ55" s="254"/>
      <c r="AK55" s="254"/>
      <c r="AL55" s="254"/>
      <c r="AM55" s="254"/>
      <c r="AN55" s="254"/>
      <c r="AO55" s="254"/>
      <c r="AP55" s="254"/>
      <c r="AQ55" s="254"/>
      <c r="AR55" s="254"/>
      <c r="AS55" s="254"/>
      <c r="AT55" s="254"/>
      <c r="AU55" s="254"/>
      <c r="AV55" s="254"/>
      <c r="AW55" s="254"/>
      <c r="AX55" s="254"/>
      <c r="AY55" s="254"/>
      <c r="AZ55" s="254"/>
      <c r="BA55" s="254"/>
      <c r="BB55" s="254"/>
      <c r="BC55" s="254"/>
      <c r="BD55" s="254"/>
      <c r="BE55" s="254"/>
      <c r="BF55" s="254"/>
      <c r="BG55" s="254"/>
      <c r="BH55" s="254"/>
      <c r="BI55" s="254"/>
      <c r="BJ55" s="254"/>
      <c r="BK55" s="25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93" t="s">
        <v>50</v>
      </c>
      <c r="B1" s="294"/>
      <c r="C1" s="294"/>
      <c r="D1" s="294"/>
      <c r="E1" s="294"/>
      <c r="F1" s="294"/>
      <c r="G1" s="294"/>
      <c r="H1" s="294"/>
      <c r="I1" s="294"/>
      <c r="J1" s="295"/>
      <c r="K1" s="293" t="s">
        <v>51</v>
      </c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5"/>
      <c r="W1" s="296" t="str">
        <f>IF(表紙!W1="","",表紙!W1)</f>
        <v>詳細設計書</v>
      </c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  <c r="AM1" s="297"/>
      <c r="AN1" s="297"/>
      <c r="AO1" s="298"/>
      <c r="AP1" s="219" t="s">
        <v>53</v>
      </c>
      <c r="AQ1" s="220"/>
      <c r="AR1" s="220"/>
      <c r="AS1" s="221"/>
      <c r="AT1" s="219" t="s">
        <v>54</v>
      </c>
      <c r="AU1" s="220"/>
      <c r="AV1" s="220"/>
      <c r="AW1" s="220"/>
      <c r="AX1" s="221"/>
      <c r="AY1" s="219" t="s">
        <v>55</v>
      </c>
      <c r="AZ1" s="220"/>
      <c r="BA1" s="220"/>
      <c r="BB1" s="221"/>
      <c r="BC1" s="219" t="s">
        <v>56</v>
      </c>
      <c r="BD1" s="220"/>
      <c r="BE1" s="220"/>
      <c r="BF1" s="220"/>
      <c r="BG1" s="221"/>
      <c r="BH1" s="219" t="s">
        <v>57</v>
      </c>
      <c r="BI1" s="220"/>
      <c r="BJ1" s="220"/>
      <c r="BK1" s="221"/>
    </row>
    <row r="2" spans="1:63" ht="15" customHeight="1" x14ac:dyDescent="0.25">
      <c r="A2" s="127" t="str">
        <f>IF(表紙!A2="","",表紙!A2)</f>
        <v>POSサーバー</v>
      </c>
      <c r="B2" s="128"/>
      <c r="C2" s="128"/>
      <c r="D2" s="128"/>
      <c r="E2" s="128"/>
      <c r="F2" s="128"/>
      <c r="G2" s="128"/>
      <c r="H2" s="128"/>
      <c r="I2" s="128"/>
      <c r="J2" s="129"/>
      <c r="K2" s="127" t="str">
        <f>IF(表紙!K2="","",表紙!K2)</f>
        <v>POSサーバー</v>
      </c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9"/>
      <c r="W2" s="299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1"/>
      <c r="AP2" s="228" t="str">
        <f>IF(表紙!AP2="","",表紙!AP2)</f>
        <v>DuNT</v>
      </c>
      <c r="AQ2" s="226"/>
      <c r="AR2" s="226"/>
      <c r="AS2" s="227"/>
      <c r="AT2" s="232">
        <f>IF(表紙!AT2="","",表紙!AT2)</f>
        <v>45665</v>
      </c>
      <c r="AU2" s="233"/>
      <c r="AV2" s="233"/>
      <c r="AW2" s="233"/>
      <c r="AX2" s="234"/>
      <c r="AY2" s="228" t="str">
        <f>IF(表紙!AY2="","",表紙!AY2)</f>
        <v>DuNT</v>
      </c>
      <c r="AZ2" s="226"/>
      <c r="BA2" s="226"/>
      <c r="BB2" s="227"/>
      <c r="BC2" s="232">
        <f>IF(表紙!BC2="","",表紙!BC2)</f>
        <v>45721</v>
      </c>
      <c r="BD2" s="233"/>
      <c r="BE2" s="233"/>
      <c r="BF2" s="233"/>
      <c r="BG2" s="234"/>
      <c r="BH2" s="228">
        <f>IF(表紙!BH2="","",表紙!BH2)</f>
        <v>0.12</v>
      </c>
      <c r="BI2" s="226"/>
      <c r="BJ2" s="226"/>
      <c r="BK2" s="227"/>
    </row>
    <row r="3" spans="1:63" ht="15" customHeight="1" x14ac:dyDescent="0.25">
      <c r="A3" s="130"/>
      <c r="B3" s="131"/>
      <c r="C3" s="131"/>
      <c r="D3" s="131"/>
      <c r="E3" s="131"/>
      <c r="F3" s="131"/>
      <c r="G3" s="131"/>
      <c r="H3" s="131"/>
      <c r="I3" s="131"/>
      <c r="J3" s="132"/>
      <c r="K3" s="130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2"/>
      <c r="W3" s="302"/>
      <c r="X3" s="303"/>
      <c r="Y3" s="303"/>
      <c r="Z3" s="303"/>
      <c r="AA3" s="303"/>
      <c r="AB3" s="303"/>
      <c r="AC3" s="303"/>
      <c r="AD3" s="303"/>
      <c r="AE3" s="303"/>
      <c r="AF3" s="303"/>
      <c r="AG3" s="303"/>
      <c r="AH3" s="303"/>
      <c r="AI3" s="303"/>
      <c r="AJ3" s="303"/>
      <c r="AK3" s="303"/>
      <c r="AL3" s="303"/>
      <c r="AM3" s="303"/>
      <c r="AN3" s="303"/>
      <c r="AO3" s="304"/>
      <c r="AP3" s="238"/>
      <c r="AQ3" s="239"/>
      <c r="AR3" s="239"/>
      <c r="AS3" s="240"/>
      <c r="AT3" s="244"/>
      <c r="AU3" s="245"/>
      <c r="AV3" s="245"/>
      <c r="AW3" s="245"/>
      <c r="AX3" s="246"/>
      <c r="AY3" s="238"/>
      <c r="AZ3" s="239"/>
      <c r="BA3" s="239"/>
      <c r="BB3" s="240"/>
      <c r="BC3" s="244"/>
      <c r="BD3" s="245"/>
      <c r="BE3" s="245"/>
      <c r="BF3" s="245"/>
      <c r="BG3" s="246"/>
      <c r="BH3" s="238"/>
      <c r="BI3" s="239"/>
      <c r="BJ3" s="239"/>
      <c r="BK3" s="240"/>
    </row>
    <row r="4" spans="1:63" ht="24.95" customHeight="1" x14ac:dyDescent="0.25">
      <c r="A4" s="293" t="s">
        <v>59</v>
      </c>
      <c r="B4" s="294"/>
      <c r="C4" s="294"/>
      <c r="D4" s="294"/>
      <c r="E4" s="294"/>
      <c r="F4" s="294"/>
      <c r="G4" s="295"/>
      <c r="H4" s="145" t="str">
        <f>IF(表紙!H4="","",表紙!H4)</f>
        <v>AP4502</v>
      </c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  <c r="U4" s="293" t="s">
        <v>60</v>
      </c>
      <c r="V4" s="294"/>
      <c r="W4" s="294"/>
      <c r="X4" s="294"/>
      <c r="Y4" s="295"/>
      <c r="Z4" s="145" t="str">
        <f>IF(表紙!Z4="","",表紙!Z4)</f>
        <v>API設計書</v>
      </c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7"/>
      <c r="AP4" s="148" t="str">
        <f ca="1">MID(CELL("filename",A1),FIND("]",CELL("filename",A1))+1,255)</f>
        <v>処理フロー凡例</v>
      </c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25" customFormat="1" ht="15" customHeight="1" x14ac:dyDescent="0.25">
      <c r="A7" s="305"/>
      <c r="B7" s="306" t="s">
        <v>68</v>
      </c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308"/>
      <c r="AF7" s="309"/>
      <c r="AG7" s="307"/>
      <c r="AH7" s="307"/>
      <c r="AI7" s="307"/>
      <c r="AJ7" s="307"/>
      <c r="AK7" s="307"/>
      <c r="AL7" s="307"/>
      <c r="AM7" s="307"/>
      <c r="AN7" s="307"/>
      <c r="AO7" s="307"/>
      <c r="AP7" s="307"/>
      <c r="AQ7" s="307"/>
      <c r="AR7" s="307"/>
      <c r="AS7" s="307"/>
      <c r="AT7" s="307"/>
      <c r="AU7" s="307"/>
      <c r="AV7" s="307"/>
      <c r="AW7" s="307"/>
      <c r="AX7" s="307"/>
      <c r="AY7" s="307"/>
      <c r="AZ7" s="307"/>
      <c r="BA7" s="307"/>
      <c r="BB7" s="307"/>
      <c r="BC7" s="307"/>
      <c r="BD7" s="307"/>
      <c r="BE7" s="307"/>
      <c r="BF7" s="307"/>
      <c r="BG7" s="307"/>
      <c r="BH7" s="307"/>
      <c r="BI7" s="308"/>
      <c r="BJ7" s="307"/>
      <c r="BK7" s="310"/>
    </row>
    <row r="8" spans="1:63" s="311" customFormat="1" ht="15" customHeight="1" x14ac:dyDescent="0.25">
      <c r="BK8" s="310"/>
    </row>
    <row r="9" spans="1:63" s="311" customFormat="1" ht="15" customHeight="1" x14ac:dyDescent="0.25">
      <c r="BK9" s="310"/>
    </row>
    <row r="10" spans="1:63" s="311" customFormat="1" ht="15" customHeight="1" x14ac:dyDescent="0.25">
      <c r="BK10" s="310"/>
    </row>
    <row r="11" spans="1:63" s="311" customFormat="1" ht="15" customHeight="1" x14ac:dyDescent="0.25">
      <c r="BK11" s="310"/>
    </row>
    <row r="12" spans="1:63" s="311" customFormat="1" ht="15" customHeight="1" x14ac:dyDescent="0.25">
      <c r="BK12" s="310"/>
    </row>
    <row r="13" spans="1:63" s="311" customFormat="1" ht="15" customHeight="1" x14ac:dyDescent="0.25">
      <c r="BK13" s="310"/>
    </row>
    <row r="14" spans="1:63" s="311" customFormat="1" ht="15" customHeight="1" x14ac:dyDescent="0.25">
      <c r="BK14" s="310"/>
    </row>
    <row r="15" spans="1:63" s="311" customFormat="1" ht="15" customHeight="1" x14ac:dyDescent="0.25">
      <c r="BK15" s="310"/>
    </row>
    <row r="16" spans="1:63" s="311" customFormat="1" ht="15" customHeight="1" x14ac:dyDescent="0.25">
      <c r="BK16" s="310"/>
    </row>
    <row r="17" spans="63:63" s="311" customFormat="1" ht="15" customHeight="1" x14ac:dyDescent="0.25">
      <c r="BK17" s="310"/>
    </row>
    <row r="18" spans="63:63" s="311" customFormat="1" ht="15" customHeight="1" x14ac:dyDescent="0.25">
      <c r="BK18" s="310"/>
    </row>
    <row r="19" spans="63:63" s="311" customFormat="1" ht="15" customHeight="1" x14ac:dyDescent="0.25">
      <c r="BK19" s="310"/>
    </row>
    <row r="20" spans="63:63" s="311" customFormat="1" ht="15" customHeight="1" x14ac:dyDescent="0.25">
      <c r="BK20" s="310"/>
    </row>
    <row r="21" spans="63:63" s="311" customFormat="1" ht="15" customHeight="1" x14ac:dyDescent="0.25">
      <c r="BK21" s="310"/>
    </row>
    <row r="22" spans="63:63" s="311" customFormat="1" ht="15" customHeight="1" x14ac:dyDescent="0.25">
      <c r="BK22" s="310"/>
    </row>
    <row r="23" spans="63:63" s="311" customFormat="1" ht="15" customHeight="1" x14ac:dyDescent="0.25">
      <c r="BK23" s="310"/>
    </row>
    <row r="24" spans="63:63" s="311" customFormat="1" ht="15" customHeight="1" x14ac:dyDescent="0.25">
      <c r="BK24" s="310"/>
    </row>
    <row r="25" spans="63:63" s="311" customFormat="1" ht="15" customHeight="1" x14ac:dyDescent="0.25">
      <c r="BK25" s="310"/>
    </row>
    <row r="26" spans="63:63" s="311" customFormat="1" ht="15" customHeight="1" x14ac:dyDescent="0.25">
      <c r="BK26" s="310"/>
    </row>
    <row r="27" spans="63:63" s="311" customFormat="1" ht="15" customHeight="1" x14ac:dyDescent="0.25">
      <c r="BK27" s="310"/>
    </row>
    <row r="28" spans="63:63" s="311" customFormat="1" ht="15" customHeight="1" x14ac:dyDescent="0.25">
      <c r="BK28" s="310"/>
    </row>
    <row r="29" spans="63:63" s="311" customFormat="1" ht="15" customHeight="1" x14ac:dyDescent="0.25">
      <c r="BK29" s="310"/>
    </row>
    <row r="30" spans="63:63" s="311" customFormat="1" ht="15" customHeight="1" x14ac:dyDescent="0.25">
      <c r="BK30" s="310"/>
    </row>
    <row r="31" spans="63:63" s="311" customFormat="1" ht="15" customHeight="1" x14ac:dyDescent="0.25">
      <c r="BK31" s="310"/>
    </row>
    <row r="32" spans="63:63" s="311" customFormat="1" ht="15" customHeight="1" x14ac:dyDescent="0.25">
      <c r="BK32" s="310"/>
    </row>
    <row r="33" spans="63:63" s="311" customFormat="1" ht="15" customHeight="1" x14ac:dyDescent="0.25">
      <c r="BK33" s="310"/>
    </row>
    <row r="34" spans="63:63" s="311" customFormat="1" ht="15" customHeight="1" x14ac:dyDescent="0.25">
      <c r="BK34" s="310"/>
    </row>
    <row r="35" spans="63:63" s="311" customFormat="1" ht="15" customHeight="1" x14ac:dyDescent="0.25">
      <c r="BK35" s="310"/>
    </row>
    <row r="36" spans="63:63" s="311" customFormat="1" ht="15" customHeight="1" x14ac:dyDescent="0.25">
      <c r="BK36" s="310"/>
    </row>
    <row r="37" spans="63:63" s="311" customFormat="1" ht="15" customHeight="1" x14ac:dyDescent="0.25">
      <c r="BK37" s="310"/>
    </row>
    <row r="38" spans="63:63" s="311" customFormat="1" ht="15" customHeight="1" x14ac:dyDescent="0.25">
      <c r="BK38" s="310"/>
    </row>
    <row r="39" spans="63:63" s="311" customFormat="1" ht="15" customHeight="1" x14ac:dyDescent="0.25">
      <c r="BK39" s="310"/>
    </row>
    <row r="40" spans="63:63" s="311" customFormat="1" ht="15" customHeight="1" x14ac:dyDescent="0.25">
      <c r="BK40" s="310"/>
    </row>
    <row r="41" spans="63:63" s="311" customFormat="1" ht="15" customHeight="1" x14ac:dyDescent="0.25">
      <c r="BK41" s="310"/>
    </row>
    <row r="42" spans="63:63" s="311" customFormat="1" ht="15" customHeight="1" x14ac:dyDescent="0.25">
      <c r="BK42" s="310"/>
    </row>
    <row r="43" spans="63:63" s="311" customFormat="1" ht="15" customHeight="1" x14ac:dyDescent="0.25">
      <c r="BK43" s="310"/>
    </row>
    <row r="44" spans="63:63" s="311" customFormat="1" ht="15" customHeight="1" x14ac:dyDescent="0.25">
      <c r="BK44" s="310"/>
    </row>
    <row r="45" spans="63:63" s="311" customFormat="1" ht="15" customHeight="1" x14ac:dyDescent="0.25">
      <c r="BK45" s="310"/>
    </row>
    <row r="46" spans="63:63" s="311" customFormat="1" ht="15" customHeight="1" x14ac:dyDescent="0.25">
      <c r="BK46" s="310"/>
    </row>
    <row r="47" spans="63:63" x14ac:dyDescent="0.25">
      <c r="BK47" s="11"/>
    </row>
    <row r="48" spans="63:63" x14ac:dyDescent="0.25">
      <c r="BK48" s="11"/>
    </row>
    <row r="49" spans="1:63" x14ac:dyDescent="0.25">
      <c r="BK49" s="11"/>
    </row>
    <row r="50" spans="1:63" x14ac:dyDescent="0.25">
      <c r="BK50" s="11"/>
    </row>
    <row r="51" spans="1:63" x14ac:dyDescent="0.25">
      <c r="BK51" s="11"/>
    </row>
    <row r="52" spans="1:63" x14ac:dyDescent="0.25">
      <c r="BK52" s="11"/>
    </row>
    <row r="53" spans="1:63" x14ac:dyDescent="0.25">
      <c r="BK53" s="11"/>
    </row>
    <row r="54" spans="1:63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B050"/>
    <pageSetUpPr fitToPage="1"/>
  </sheetPr>
  <dimension ref="A1:BK12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93" t="s">
        <v>50</v>
      </c>
      <c r="B1" s="294"/>
      <c r="C1" s="294"/>
      <c r="D1" s="294"/>
      <c r="E1" s="294"/>
      <c r="F1" s="294"/>
      <c r="G1" s="294"/>
      <c r="H1" s="294"/>
      <c r="I1" s="294"/>
      <c r="J1" s="295"/>
      <c r="K1" s="293" t="s">
        <v>51</v>
      </c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5"/>
      <c r="W1" s="296" t="str">
        <f>IF(表紙!W1="","",表紙!W1)</f>
        <v>詳細設計書</v>
      </c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  <c r="AM1" s="297"/>
      <c r="AN1" s="297"/>
      <c r="AO1" s="298"/>
      <c r="AP1" s="219" t="s">
        <v>53</v>
      </c>
      <c r="AQ1" s="220"/>
      <c r="AR1" s="220"/>
      <c r="AS1" s="221"/>
      <c r="AT1" s="219" t="s">
        <v>54</v>
      </c>
      <c r="AU1" s="220"/>
      <c r="AV1" s="220"/>
      <c r="AW1" s="220"/>
      <c r="AX1" s="221"/>
      <c r="AY1" s="219" t="s">
        <v>55</v>
      </c>
      <c r="AZ1" s="220"/>
      <c r="BA1" s="220"/>
      <c r="BB1" s="221"/>
      <c r="BC1" s="219" t="s">
        <v>56</v>
      </c>
      <c r="BD1" s="220"/>
      <c r="BE1" s="220"/>
      <c r="BF1" s="220"/>
      <c r="BG1" s="221"/>
      <c r="BH1" s="219" t="s">
        <v>57</v>
      </c>
      <c r="BI1" s="220"/>
      <c r="BJ1" s="220"/>
      <c r="BK1" s="221"/>
    </row>
    <row r="2" spans="1:63" ht="15" customHeight="1" x14ac:dyDescent="0.25">
      <c r="A2" s="127" t="str">
        <f>IF(表紙!A2="","",表紙!A2)</f>
        <v>POSサーバー</v>
      </c>
      <c r="B2" s="128"/>
      <c r="C2" s="128"/>
      <c r="D2" s="128"/>
      <c r="E2" s="128"/>
      <c r="F2" s="128"/>
      <c r="G2" s="128"/>
      <c r="H2" s="128"/>
      <c r="I2" s="128"/>
      <c r="J2" s="129"/>
      <c r="K2" s="127" t="str">
        <f>IF(表紙!K2="","",表紙!K2)</f>
        <v>POSサーバー</v>
      </c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9"/>
      <c r="W2" s="299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1"/>
      <c r="AP2" s="228" t="str">
        <f>IF(表紙!AP2="","",表紙!AP2)</f>
        <v>DuNT</v>
      </c>
      <c r="AQ2" s="226"/>
      <c r="AR2" s="226"/>
      <c r="AS2" s="227"/>
      <c r="AT2" s="232">
        <f>IF(表紙!AT2="","",表紙!AT2)</f>
        <v>45665</v>
      </c>
      <c r="AU2" s="233"/>
      <c r="AV2" s="233"/>
      <c r="AW2" s="233"/>
      <c r="AX2" s="234"/>
      <c r="AY2" s="228" t="str">
        <f>IF(表紙!AY2="","",表紙!AY2)</f>
        <v>DuNT</v>
      </c>
      <c r="AZ2" s="226"/>
      <c r="BA2" s="226"/>
      <c r="BB2" s="227"/>
      <c r="BC2" s="232">
        <f>IF(表紙!BC2="","",表紙!BC2)</f>
        <v>45721</v>
      </c>
      <c r="BD2" s="233"/>
      <c r="BE2" s="233"/>
      <c r="BF2" s="233"/>
      <c r="BG2" s="234"/>
      <c r="BH2" s="228">
        <f>IF(表紙!BH2="","",表紙!BH2)</f>
        <v>0.12</v>
      </c>
      <c r="BI2" s="226"/>
      <c r="BJ2" s="226"/>
      <c r="BK2" s="227"/>
    </row>
    <row r="3" spans="1:63" ht="15" customHeight="1" x14ac:dyDescent="0.25">
      <c r="A3" s="130"/>
      <c r="B3" s="131"/>
      <c r="C3" s="131"/>
      <c r="D3" s="131"/>
      <c r="E3" s="131"/>
      <c r="F3" s="131"/>
      <c r="G3" s="131"/>
      <c r="H3" s="131"/>
      <c r="I3" s="131"/>
      <c r="J3" s="132"/>
      <c r="K3" s="130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2"/>
      <c r="W3" s="302"/>
      <c r="X3" s="303"/>
      <c r="Y3" s="303"/>
      <c r="Z3" s="303"/>
      <c r="AA3" s="303"/>
      <c r="AB3" s="303"/>
      <c r="AC3" s="303"/>
      <c r="AD3" s="303"/>
      <c r="AE3" s="303"/>
      <c r="AF3" s="303"/>
      <c r="AG3" s="303"/>
      <c r="AH3" s="303"/>
      <c r="AI3" s="303"/>
      <c r="AJ3" s="303"/>
      <c r="AK3" s="303"/>
      <c r="AL3" s="303"/>
      <c r="AM3" s="303"/>
      <c r="AN3" s="303"/>
      <c r="AO3" s="304"/>
      <c r="AP3" s="238"/>
      <c r="AQ3" s="239"/>
      <c r="AR3" s="239"/>
      <c r="AS3" s="240"/>
      <c r="AT3" s="244"/>
      <c r="AU3" s="245"/>
      <c r="AV3" s="245"/>
      <c r="AW3" s="245"/>
      <c r="AX3" s="246"/>
      <c r="AY3" s="238"/>
      <c r="AZ3" s="239"/>
      <c r="BA3" s="239"/>
      <c r="BB3" s="240"/>
      <c r="BC3" s="244"/>
      <c r="BD3" s="245"/>
      <c r="BE3" s="245"/>
      <c r="BF3" s="245"/>
      <c r="BG3" s="246"/>
      <c r="BH3" s="238"/>
      <c r="BI3" s="239"/>
      <c r="BJ3" s="239"/>
      <c r="BK3" s="240"/>
    </row>
    <row r="4" spans="1:63" ht="24.95" customHeight="1" x14ac:dyDescent="0.25">
      <c r="A4" s="293" t="s">
        <v>59</v>
      </c>
      <c r="B4" s="294"/>
      <c r="C4" s="294"/>
      <c r="D4" s="294"/>
      <c r="E4" s="294"/>
      <c r="F4" s="294"/>
      <c r="G4" s="295"/>
      <c r="H4" s="145" t="str">
        <f>IF(表紙!H4="","",表紙!H4)</f>
        <v>AP4502</v>
      </c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  <c r="U4" s="293" t="s">
        <v>60</v>
      </c>
      <c r="V4" s="294"/>
      <c r="W4" s="294"/>
      <c r="X4" s="294"/>
      <c r="Y4" s="295"/>
      <c r="Z4" s="145" t="str">
        <f>IF(表紙!Z4="","",表紙!Z4)</f>
        <v>API設計書</v>
      </c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7"/>
      <c r="AP4" s="148" t="str">
        <f ca="1">MID(CELL("filename",A1),FIND("]",CELL("filename",A1))+1,255)</f>
        <v>AP4502</v>
      </c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4" customFormat="1" ht="15" customHeight="1" x14ac:dyDescent="0.25">
      <c r="A7" s="19"/>
      <c r="B7" s="20" t="s">
        <v>69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312"/>
      <c r="AQ7" s="312"/>
      <c r="AR7" s="312"/>
      <c r="AS7" s="312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2"/>
      <c r="BI7" s="22"/>
      <c r="BJ7" s="22"/>
      <c r="BK7" s="23"/>
    </row>
    <row r="8" spans="1:63" s="24" customFormat="1" ht="15" customHeight="1" x14ac:dyDescent="0.25">
      <c r="A8" s="19"/>
      <c r="B8" s="25"/>
      <c r="C8" s="25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313"/>
      <c r="AQ8" s="313"/>
      <c r="AR8" s="313"/>
      <c r="AS8" s="313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17"/>
      <c r="BI8" s="17"/>
      <c r="BJ8" s="17"/>
      <c r="BK8" s="23"/>
    </row>
    <row r="9" spans="1:63" s="24" customFormat="1" ht="15" customHeight="1" x14ac:dyDescent="0.25">
      <c r="A9" s="19"/>
      <c r="B9" s="25"/>
      <c r="C9" s="26" t="s">
        <v>70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313"/>
      <c r="AQ9" s="313"/>
      <c r="AR9" s="313"/>
      <c r="AS9" s="313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17"/>
      <c r="BI9" s="17"/>
      <c r="BJ9" s="17"/>
      <c r="BK9" s="23"/>
    </row>
    <row r="10" spans="1:63" s="24" customFormat="1" ht="15" customHeight="1" x14ac:dyDescent="0.25">
      <c r="A10" s="19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313"/>
      <c r="AQ10" s="313"/>
      <c r="AR10" s="313"/>
      <c r="AS10" s="313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17"/>
      <c r="BI10" s="17"/>
      <c r="BJ10" s="17"/>
      <c r="BK10" s="23"/>
    </row>
    <row r="11" spans="1:63" s="24" customFormat="1" ht="15" customHeight="1" x14ac:dyDescent="0.25">
      <c r="A11" s="19"/>
      <c r="B11" s="28" t="s">
        <v>71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2"/>
      <c r="BI11" s="22"/>
      <c r="BJ11" s="22"/>
      <c r="BK11" s="23"/>
    </row>
    <row r="12" spans="1:63" s="24" customFormat="1" ht="15" customHeight="1" x14ac:dyDescent="0.25">
      <c r="A12" s="19"/>
      <c r="B12" s="27"/>
      <c r="C12" s="29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17"/>
      <c r="BI12" s="17"/>
      <c r="BJ12" s="17"/>
      <c r="BK12" s="23"/>
    </row>
    <row r="13" spans="1:63" s="24" customFormat="1" ht="15" customHeight="1" x14ac:dyDescent="0.25">
      <c r="A13" s="19"/>
      <c r="B13" s="27"/>
      <c r="C13" s="29" t="s">
        <v>72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17"/>
      <c r="BI13" s="17"/>
      <c r="BJ13" s="17"/>
      <c r="BK13" s="23"/>
    </row>
    <row r="14" spans="1:63" s="24" customFormat="1" ht="15" customHeight="1" x14ac:dyDescent="0.25">
      <c r="A14" s="19"/>
      <c r="B14" s="27"/>
      <c r="C14" s="25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17"/>
      <c r="BI14" s="17"/>
      <c r="BJ14" s="17"/>
      <c r="BK14" s="23"/>
    </row>
    <row r="15" spans="1:63" s="24" customFormat="1" ht="15" customHeight="1" x14ac:dyDescent="0.25">
      <c r="A15" s="19"/>
      <c r="B15" s="27"/>
      <c r="C15" s="164" t="s">
        <v>22</v>
      </c>
      <c r="D15" s="166"/>
      <c r="E15" s="164" t="s">
        <v>27</v>
      </c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6"/>
      <c r="AG15" s="164" t="s">
        <v>28</v>
      </c>
      <c r="AH15" s="165"/>
      <c r="AI15" s="165"/>
      <c r="AJ15" s="165"/>
      <c r="AK15" s="165"/>
      <c r="AL15" s="165"/>
      <c r="AM15" s="165"/>
      <c r="AN15" s="165"/>
      <c r="AO15" s="165"/>
      <c r="AP15" s="166"/>
      <c r="AQ15" s="164" t="s">
        <v>29</v>
      </c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6"/>
      <c r="BK15" s="23"/>
    </row>
    <row r="16" spans="1:63" s="24" customFormat="1" ht="15" customHeight="1" x14ac:dyDescent="0.25">
      <c r="A16" s="19"/>
      <c r="B16" s="27"/>
      <c r="C16" s="158">
        <v>1</v>
      </c>
      <c r="D16" s="160"/>
      <c r="E16" s="314" t="s">
        <v>37</v>
      </c>
      <c r="F16" s="315"/>
      <c r="G16" s="315"/>
      <c r="H16" s="315"/>
      <c r="I16" s="315"/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  <c r="AA16" s="315"/>
      <c r="AB16" s="315"/>
      <c r="AC16" s="315"/>
      <c r="AD16" s="315"/>
      <c r="AE16" s="315"/>
      <c r="AF16" s="316"/>
      <c r="AG16" s="158" t="s">
        <v>23</v>
      </c>
      <c r="AH16" s="159"/>
      <c r="AI16" s="159"/>
      <c r="AJ16" s="159"/>
      <c r="AK16" s="159"/>
      <c r="AL16" s="159"/>
      <c r="AM16" s="159"/>
      <c r="AN16" s="159"/>
      <c r="AO16" s="159"/>
      <c r="AP16" s="160"/>
      <c r="AQ16" s="168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70"/>
      <c r="BK16" s="23"/>
    </row>
    <row r="17" spans="1:63" s="24" customFormat="1" ht="15" customHeight="1" x14ac:dyDescent="0.25">
      <c r="A17" s="1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17"/>
      <c r="BI17" s="17"/>
      <c r="BJ17" s="17"/>
      <c r="BK17" s="23"/>
    </row>
    <row r="18" spans="1:63" s="24" customFormat="1" ht="15" customHeight="1" x14ac:dyDescent="0.25">
      <c r="A18" s="19"/>
      <c r="B18" s="27"/>
      <c r="C18" s="29" t="s">
        <v>73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17"/>
      <c r="BI18" s="17"/>
      <c r="BJ18" s="17"/>
      <c r="BK18" s="23"/>
    </row>
    <row r="19" spans="1:63" s="24" customFormat="1" ht="15" customHeight="1" x14ac:dyDescent="0.25">
      <c r="A19" s="19"/>
      <c r="B19" s="27"/>
      <c r="C19" s="29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17"/>
      <c r="BI19" s="17"/>
      <c r="BJ19" s="17"/>
      <c r="BK19" s="23"/>
    </row>
    <row r="20" spans="1:63" s="24" customFormat="1" ht="15" customHeight="1" x14ac:dyDescent="0.25">
      <c r="A20" s="19"/>
      <c r="B20" s="27"/>
      <c r="C20" s="149" t="s">
        <v>74</v>
      </c>
      <c r="D20" s="151"/>
      <c r="E20" s="149" t="s">
        <v>75</v>
      </c>
      <c r="F20" s="150"/>
      <c r="G20" s="150"/>
      <c r="H20" s="150"/>
      <c r="I20" s="150"/>
      <c r="J20" s="150"/>
      <c r="K20" s="151"/>
      <c r="L20" s="164" t="s">
        <v>30</v>
      </c>
      <c r="M20" s="165"/>
      <c r="N20" s="166"/>
      <c r="O20" s="164" t="s">
        <v>31</v>
      </c>
      <c r="P20" s="165"/>
      <c r="Q20" s="165"/>
      <c r="R20" s="166"/>
      <c r="S20" s="164" t="s">
        <v>32</v>
      </c>
      <c r="T20" s="165"/>
      <c r="U20" s="165"/>
      <c r="V20" s="165"/>
      <c r="W20" s="165"/>
      <c r="X20" s="165"/>
      <c r="Y20" s="166"/>
      <c r="Z20" s="149" t="s">
        <v>76</v>
      </c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1"/>
      <c r="AQ20" s="164" t="s">
        <v>29</v>
      </c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6"/>
      <c r="BK20" s="23"/>
    </row>
    <row r="21" spans="1:63" s="24" customFormat="1" ht="15" customHeight="1" x14ac:dyDescent="0.25">
      <c r="A21" s="19"/>
      <c r="B21" s="27"/>
      <c r="C21" s="158">
        <v>1</v>
      </c>
      <c r="D21" s="160"/>
      <c r="E21" s="317" t="s">
        <v>13</v>
      </c>
      <c r="F21" s="318"/>
      <c r="G21" s="318"/>
      <c r="H21" s="318"/>
      <c r="I21" s="318"/>
      <c r="J21" s="318"/>
      <c r="K21" s="319"/>
      <c r="L21" s="161" t="s">
        <v>14</v>
      </c>
      <c r="M21" s="162"/>
      <c r="N21" s="163"/>
      <c r="O21" s="158" t="s">
        <v>15</v>
      </c>
      <c r="P21" s="159"/>
      <c r="Q21" s="159"/>
      <c r="R21" s="160"/>
      <c r="S21" s="158" t="s">
        <v>16</v>
      </c>
      <c r="T21" s="159"/>
      <c r="U21" s="159"/>
      <c r="V21" s="159"/>
      <c r="W21" s="159"/>
      <c r="X21" s="159"/>
      <c r="Y21" s="160"/>
      <c r="Z21" s="317" t="s">
        <v>17</v>
      </c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  <c r="AN21" s="318"/>
      <c r="AO21" s="318"/>
      <c r="AP21" s="319"/>
      <c r="AQ21" s="320" t="s">
        <v>77</v>
      </c>
      <c r="AR21" s="315"/>
      <c r="AS21" s="315"/>
      <c r="AT21" s="315"/>
      <c r="AU21" s="315"/>
      <c r="AV21" s="315"/>
      <c r="AW21" s="315"/>
      <c r="AX21" s="315"/>
      <c r="AY21" s="315"/>
      <c r="AZ21" s="315"/>
      <c r="BA21" s="315"/>
      <c r="BB21" s="315"/>
      <c r="BC21" s="315"/>
      <c r="BD21" s="315"/>
      <c r="BE21" s="315"/>
      <c r="BF21" s="315"/>
      <c r="BG21" s="315"/>
      <c r="BH21" s="315"/>
      <c r="BI21" s="315"/>
      <c r="BJ21" s="316"/>
      <c r="BK21" s="23"/>
    </row>
    <row r="22" spans="1:63" s="24" customFormat="1" ht="15" customHeight="1" x14ac:dyDescent="0.25">
      <c r="A22" s="19"/>
      <c r="B22" s="27"/>
      <c r="C22" s="158">
        <v>2</v>
      </c>
      <c r="D22" s="160"/>
      <c r="E22" s="317" t="s">
        <v>18</v>
      </c>
      <c r="F22" s="318"/>
      <c r="G22" s="318"/>
      <c r="H22" s="318"/>
      <c r="I22" s="318"/>
      <c r="J22" s="318"/>
      <c r="K22" s="319"/>
      <c r="L22" s="161" t="s">
        <v>16</v>
      </c>
      <c r="M22" s="162"/>
      <c r="N22" s="163"/>
      <c r="O22" s="158" t="s">
        <v>15</v>
      </c>
      <c r="P22" s="159"/>
      <c r="Q22" s="159"/>
      <c r="R22" s="160"/>
      <c r="S22" s="158" t="s">
        <v>16</v>
      </c>
      <c r="T22" s="159"/>
      <c r="U22" s="159"/>
      <c r="V22" s="159"/>
      <c r="W22" s="159"/>
      <c r="X22" s="159"/>
      <c r="Y22" s="160"/>
      <c r="Z22" s="317" t="s">
        <v>18</v>
      </c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  <c r="AN22" s="318"/>
      <c r="AO22" s="318"/>
      <c r="AP22" s="319"/>
      <c r="AQ22" s="314"/>
      <c r="AR22" s="315"/>
      <c r="AS22" s="315"/>
      <c r="AT22" s="315"/>
      <c r="AU22" s="315"/>
      <c r="AV22" s="315"/>
      <c r="AW22" s="315"/>
      <c r="AX22" s="315"/>
      <c r="AY22" s="315"/>
      <c r="AZ22" s="315"/>
      <c r="BA22" s="315"/>
      <c r="BB22" s="315"/>
      <c r="BC22" s="315"/>
      <c r="BD22" s="315"/>
      <c r="BE22" s="315"/>
      <c r="BF22" s="315"/>
      <c r="BG22" s="315"/>
      <c r="BH22" s="315"/>
      <c r="BI22" s="315"/>
      <c r="BJ22" s="316"/>
      <c r="BK22" s="23"/>
    </row>
    <row r="23" spans="1:63" s="24" customFormat="1" ht="15" customHeight="1" x14ac:dyDescent="0.25">
      <c r="A23" s="19"/>
      <c r="B23" s="27"/>
      <c r="C23" s="152">
        <v>3</v>
      </c>
      <c r="D23" s="153"/>
      <c r="E23" s="321" t="s">
        <v>19</v>
      </c>
      <c r="F23" s="322"/>
      <c r="G23" s="322"/>
      <c r="H23" s="322"/>
      <c r="I23" s="322"/>
      <c r="J23" s="322"/>
      <c r="K23" s="323"/>
      <c r="L23" s="324" t="s">
        <v>14</v>
      </c>
      <c r="M23" s="325"/>
      <c r="N23" s="326"/>
      <c r="O23" s="327" t="s">
        <v>15</v>
      </c>
      <c r="P23" s="328"/>
      <c r="Q23" s="328"/>
      <c r="R23" s="329"/>
      <c r="S23" s="327" t="s">
        <v>24</v>
      </c>
      <c r="T23" s="328"/>
      <c r="U23" s="328"/>
      <c r="V23" s="328"/>
      <c r="W23" s="328"/>
      <c r="X23" s="328"/>
      <c r="Y23" s="329"/>
      <c r="Z23" s="330" t="s">
        <v>19</v>
      </c>
      <c r="AA23" s="331"/>
      <c r="AB23" s="331"/>
      <c r="AC23" s="331"/>
      <c r="AD23" s="331"/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2"/>
      <c r="AQ23" s="333"/>
      <c r="AR23" s="333"/>
      <c r="AS23" s="333"/>
      <c r="AT23" s="333"/>
      <c r="AU23" s="333"/>
      <c r="AV23" s="333"/>
      <c r="AW23" s="333"/>
      <c r="AX23" s="333"/>
      <c r="AY23" s="333"/>
      <c r="AZ23" s="333"/>
      <c r="BA23" s="333"/>
      <c r="BB23" s="333"/>
      <c r="BC23" s="333"/>
      <c r="BD23" s="333"/>
      <c r="BE23" s="333"/>
      <c r="BF23" s="333"/>
      <c r="BG23" s="333"/>
      <c r="BH23" s="333"/>
      <c r="BI23" s="333"/>
      <c r="BJ23" s="334"/>
      <c r="BK23" s="23"/>
    </row>
    <row r="24" spans="1:63" s="24" customFormat="1" ht="15" customHeight="1" x14ac:dyDescent="0.25">
      <c r="A24" s="19"/>
      <c r="B24" s="27"/>
      <c r="C24" s="154"/>
      <c r="D24" s="155"/>
      <c r="E24" s="335"/>
      <c r="F24" s="336"/>
      <c r="G24" s="336"/>
      <c r="H24" s="336"/>
      <c r="I24" s="336"/>
      <c r="J24" s="336"/>
      <c r="K24" s="337"/>
      <c r="L24" s="338"/>
      <c r="M24" s="339"/>
      <c r="N24" s="340"/>
      <c r="O24" s="341"/>
      <c r="P24" s="342"/>
      <c r="Q24" s="342"/>
      <c r="R24" s="343"/>
      <c r="S24" s="341"/>
      <c r="T24" s="342"/>
      <c r="U24" s="342"/>
      <c r="V24" s="342"/>
      <c r="W24" s="342"/>
      <c r="X24" s="342"/>
      <c r="Y24" s="343"/>
      <c r="Z24" s="344"/>
      <c r="AA24" s="345"/>
      <c r="AB24" s="345"/>
      <c r="AC24" s="345"/>
      <c r="AD24" s="345"/>
      <c r="AE24" s="345"/>
      <c r="AF24" s="345"/>
      <c r="AG24" s="345"/>
      <c r="AH24" s="345"/>
      <c r="AI24" s="345"/>
      <c r="AJ24" s="345"/>
      <c r="AK24" s="345"/>
      <c r="AL24" s="345"/>
      <c r="AM24" s="345"/>
      <c r="AN24" s="345"/>
      <c r="AO24" s="345"/>
      <c r="AP24" s="346"/>
      <c r="AQ24" s="347"/>
      <c r="AR24" s="347"/>
      <c r="AS24" s="347"/>
      <c r="AT24" s="347"/>
      <c r="AU24" s="347"/>
      <c r="AV24" s="347"/>
      <c r="AW24" s="347"/>
      <c r="AX24" s="347"/>
      <c r="AY24" s="347"/>
      <c r="AZ24" s="347"/>
      <c r="BA24" s="347"/>
      <c r="BB24" s="347"/>
      <c r="BC24" s="347"/>
      <c r="BD24" s="347"/>
      <c r="BE24" s="347"/>
      <c r="BF24" s="347"/>
      <c r="BG24" s="347"/>
      <c r="BH24" s="347"/>
      <c r="BI24" s="347"/>
      <c r="BJ24" s="348"/>
      <c r="BK24" s="23"/>
    </row>
    <row r="25" spans="1:63" s="24" customFormat="1" ht="15" customHeight="1" x14ac:dyDescent="0.25">
      <c r="A25" s="19"/>
      <c r="B25" s="27"/>
      <c r="C25" s="156"/>
      <c r="D25" s="157"/>
      <c r="E25" s="349"/>
      <c r="F25" s="350"/>
      <c r="G25" s="350"/>
      <c r="H25" s="350"/>
      <c r="I25" s="350"/>
      <c r="J25" s="350"/>
      <c r="K25" s="351"/>
      <c r="L25" s="352"/>
      <c r="M25" s="353"/>
      <c r="N25" s="354"/>
      <c r="O25" s="355"/>
      <c r="P25" s="356"/>
      <c r="Q25" s="356"/>
      <c r="R25" s="357"/>
      <c r="S25" s="355"/>
      <c r="T25" s="356"/>
      <c r="U25" s="356"/>
      <c r="V25" s="356"/>
      <c r="W25" s="356"/>
      <c r="X25" s="356"/>
      <c r="Y25" s="357"/>
      <c r="Z25" s="358"/>
      <c r="AA25" s="359"/>
      <c r="AB25" s="359"/>
      <c r="AC25" s="359"/>
      <c r="AD25" s="359"/>
      <c r="AE25" s="359"/>
      <c r="AF25" s="359"/>
      <c r="AG25" s="359"/>
      <c r="AH25" s="359"/>
      <c r="AI25" s="359"/>
      <c r="AJ25" s="359"/>
      <c r="AK25" s="359"/>
      <c r="AL25" s="359"/>
      <c r="AM25" s="359"/>
      <c r="AN25" s="359"/>
      <c r="AO25" s="359"/>
      <c r="AP25" s="360"/>
      <c r="AQ25" s="361"/>
      <c r="AR25" s="361"/>
      <c r="AS25" s="361"/>
      <c r="AT25" s="361"/>
      <c r="AU25" s="361"/>
      <c r="AV25" s="361"/>
      <c r="AW25" s="361"/>
      <c r="AX25" s="361"/>
      <c r="AY25" s="361"/>
      <c r="AZ25" s="361"/>
      <c r="BA25" s="361"/>
      <c r="BB25" s="361"/>
      <c r="BC25" s="361"/>
      <c r="BD25" s="361"/>
      <c r="BE25" s="361"/>
      <c r="BF25" s="361"/>
      <c r="BG25" s="361"/>
      <c r="BH25" s="361"/>
      <c r="BI25" s="361"/>
      <c r="BJ25" s="362"/>
      <c r="BK25" s="23"/>
    </row>
    <row r="26" spans="1:63" s="24" customFormat="1" ht="15" customHeight="1" x14ac:dyDescent="0.25">
      <c r="A26" s="19"/>
      <c r="B26" s="27"/>
      <c r="C26" s="158">
        <v>4</v>
      </c>
      <c r="D26" s="160"/>
      <c r="E26" s="317" t="s">
        <v>20</v>
      </c>
      <c r="F26" s="318"/>
      <c r="G26" s="318"/>
      <c r="H26" s="318"/>
      <c r="I26" s="318"/>
      <c r="J26" s="318"/>
      <c r="K26" s="319"/>
      <c r="L26" s="161" t="s">
        <v>16</v>
      </c>
      <c r="M26" s="162"/>
      <c r="N26" s="163"/>
      <c r="O26" s="158" t="s">
        <v>15</v>
      </c>
      <c r="P26" s="159"/>
      <c r="Q26" s="159"/>
      <c r="R26" s="160"/>
      <c r="S26" s="158" t="s">
        <v>16</v>
      </c>
      <c r="T26" s="159"/>
      <c r="U26" s="159"/>
      <c r="V26" s="159"/>
      <c r="W26" s="159"/>
      <c r="X26" s="159"/>
      <c r="Y26" s="160"/>
      <c r="Z26" s="317" t="s">
        <v>20</v>
      </c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  <c r="AN26" s="318"/>
      <c r="AO26" s="318"/>
      <c r="AP26" s="319"/>
      <c r="AQ26" s="314"/>
      <c r="AR26" s="315"/>
      <c r="AS26" s="315"/>
      <c r="AT26" s="315"/>
      <c r="AU26" s="315"/>
      <c r="AV26" s="315"/>
      <c r="AW26" s="315"/>
      <c r="AX26" s="315"/>
      <c r="AY26" s="315"/>
      <c r="AZ26" s="315"/>
      <c r="BA26" s="315"/>
      <c r="BB26" s="315"/>
      <c r="BC26" s="315"/>
      <c r="BD26" s="315"/>
      <c r="BE26" s="315"/>
      <c r="BF26" s="315"/>
      <c r="BG26" s="315"/>
      <c r="BH26" s="315"/>
      <c r="BI26" s="315"/>
      <c r="BJ26" s="316"/>
      <c r="BK26" s="23"/>
    </row>
    <row r="27" spans="1:63" s="24" customFormat="1" ht="15" customHeight="1" x14ac:dyDescent="0.25">
      <c r="A27" s="19"/>
      <c r="B27" s="27"/>
      <c r="C27" s="158">
        <v>5</v>
      </c>
      <c r="D27" s="160"/>
      <c r="E27" s="317" t="s">
        <v>21</v>
      </c>
      <c r="F27" s="318"/>
      <c r="G27" s="318"/>
      <c r="H27" s="318"/>
      <c r="I27" s="318"/>
      <c r="J27" s="318"/>
      <c r="K27" s="319"/>
      <c r="L27" s="161" t="s">
        <v>16</v>
      </c>
      <c r="M27" s="162"/>
      <c r="N27" s="163"/>
      <c r="O27" s="158" t="s">
        <v>15</v>
      </c>
      <c r="P27" s="159"/>
      <c r="Q27" s="159"/>
      <c r="R27" s="160"/>
      <c r="S27" s="158" t="s">
        <v>16</v>
      </c>
      <c r="T27" s="159"/>
      <c r="U27" s="159"/>
      <c r="V27" s="159"/>
      <c r="W27" s="159"/>
      <c r="X27" s="159"/>
      <c r="Y27" s="160"/>
      <c r="Z27" s="317" t="s">
        <v>21</v>
      </c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  <c r="AN27" s="318"/>
      <c r="AO27" s="318"/>
      <c r="AP27" s="319"/>
      <c r="AQ27" s="314"/>
      <c r="AR27" s="315"/>
      <c r="AS27" s="315"/>
      <c r="AT27" s="315"/>
      <c r="AU27" s="315"/>
      <c r="AV27" s="315"/>
      <c r="AW27" s="315"/>
      <c r="AX27" s="315"/>
      <c r="AY27" s="315"/>
      <c r="AZ27" s="315"/>
      <c r="BA27" s="315"/>
      <c r="BB27" s="315"/>
      <c r="BC27" s="315"/>
      <c r="BD27" s="315"/>
      <c r="BE27" s="315"/>
      <c r="BF27" s="315"/>
      <c r="BG27" s="315"/>
      <c r="BH27" s="315"/>
      <c r="BI27" s="315"/>
      <c r="BJ27" s="316"/>
      <c r="BK27" s="23"/>
    </row>
    <row r="28" spans="1:63" s="24" customFormat="1" ht="15" customHeight="1" x14ac:dyDescent="0.25">
      <c r="A28" s="19"/>
      <c r="B28" s="27"/>
      <c r="C28" s="27"/>
      <c r="D28" s="27"/>
      <c r="E28" s="313"/>
      <c r="F28" s="313"/>
      <c r="G28" s="313"/>
      <c r="H28" s="313"/>
      <c r="I28" s="27"/>
      <c r="J28" s="27"/>
      <c r="K28" s="27"/>
      <c r="L28" s="363"/>
      <c r="M28" s="313"/>
      <c r="N28" s="313"/>
      <c r="O28" s="313"/>
      <c r="P28" s="313"/>
      <c r="Q28" s="27"/>
      <c r="R28" s="27"/>
      <c r="S28" s="27"/>
      <c r="T28" s="27"/>
      <c r="U28" s="27"/>
      <c r="V28" s="27"/>
      <c r="W28" s="27"/>
      <c r="X28" s="27"/>
      <c r="Y28" s="27"/>
      <c r="Z28" s="30"/>
      <c r="AA28" s="27"/>
      <c r="AB28" s="27"/>
      <c r="AC28" s="27"/>
      <c r="AD28" s="27"/>
      <c r="AE28" s="27"/>
      <c r="AF28" s="27"/>
      <c r="AG28" s="313"/>
      <c r="AH28" s="313"/>
      <c r="AI28" s="313"/>
      <c r="AJ28" s="313"/>
      <c r="AK28" s="313"/>
      <c r="AL28" s="313"/>
      <c r="AM28" s="313"/>
      <c r="AN28" s="313"/>
      <c r="AO28" s="313"/>
      <c r="AP28" s="27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17"/>
      <c r="BI28" s="17"/>
      <c r="BJ28" s="17"/>
      <c r="BK28" s="23"/>
    </row>
    <row r="29" spans="1:63" s="24" customFormat="1" ht="15" customHeight="1" x14ac:dyDescent="0.25">
      <c r="A29" s="19"/>
      <c r="B29" s="27"/>
      <c r="C29" s="27"/>
      <c r="D29" s="27"/>
      <c r="E29" s="313"/>
      <c r="F29" s="313"/>
      <c r="G29" s="313"/>
      <c r="H29" s="313"/>
      <c r="I29" s="27"/>
      <c r="J29" s="27"/>
      <c r="K29" s="27"/>
      <c r="L29" s="32"/>
      <c r="M29" s="313"/>
      <c r="N29" s="313"/>
      <c r="O29" s="313"/>
      <c r="P29" s="313"/>
      <c r="Q29" s="27"/>
      <c r="R29" s="27"/>
      <c r="S29" s="27"/>
      <c r="T29" s="27"/>
      <c r="U29" s="27"/>
      <c r="V29" s="27"/>
      <c r="W29" s="27"/>
      <c r="X29" s="27"/>
      <c r="Y29" s="27"/>
      <c r="Z29" s="30"/>
      <c r="AA29" s="27"/>
      <c r="AB29" s="27"/>
      <c r="AC29" s="27"/>
      <c r="AD29" s="27"/>
      <c r="AE29" s="27"/>
      <c r="AF29" s="27"/>
      <c r="AG29" s="313"/>
      <c r="AH29" s="313"/>
      <c r="AI29" s="313"/>
      <c r="AJ29" s="313"/>
      <c r="AK29" s="313"/>
      <c r="AL29" s="313"/>
      <c r="AM29" s="313"/>
      <c r="AN29" s="313"/>
      <c r="AO29" s="313"/>
      <c r="AP29" s="27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17"/>
      <c r="BI29" s="17"/>
      <c r="BJ29" s="17"/>
      <c r="BK29" s="23"/>
    </row>
    <row r="30" spans="1:63" s="24" customFormat="1" ht="15" customHeight="1" x14ac:dyDescent="0.25">
      <c r="A30" s="19"/>
      <c r="B30" s="27"/>
      <c r="C30" s="29" t="s">
        <v>78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17"/>
      <c r="BI30" s="17"/>
      <c r="BJ30" s="17"/>
      <c r="BK30" s="23"/>
    </row>
    <row r="31" spans="1:63" s="24" customFormat="1" ht="15" customHeight="1" x14ac:dyDescent="0.25">
      <c r="A31" s="19"/>
      <c r="B31" s="27"/>
      <c r="C31" s="25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17"/>
      <c r="BI31" s="17"/>
      <c r="BJ31" s="17"/>
      <c r="BK31" s="23"/>
    </row>
    <row r="32" spans="1:63" s="24" customFormat="1" ht="15" customHeight="1" x14ac:dyDescent="0.25">
      <c r="A32" s="19"/>
      <c r="B32" s="27"/>
      <c r="C32" s="174" t="s">
        <v>22</v>
      </c>
      <c r="D32" s="175"/>
      <c r="E32" s="364" t="s">
        <v>33</v>
      </c>
      <c r="F32" s="365"/>
      <c r="G32" s="365"/>
      <c r="H32" s="365"/>
      <c r="I32" s="365"/>
      <c r="J32" s="365"/>
      <c r="K32" s="366"/>
      <c r="L32" s="164" t="s">
        <v>30</v>
      </c>
      <c r="M32" s="165"/>
      <c r="N32" s="166"/>
      <c r="O32" s="164" t="s">
        <v>31</v>
      </c>
      <c r="P32" s="165"/>
      <c r="Q32" s="165"/>
      <c r="R32" s="166"/>
      <c r="S32" s="164" t="s">
        <v>32</v>
      </c>
      <c r="T32" s="165"/>
      <c r="U32" s="165"/>
      <c r="V32" s="165"/>
      <c r="W32" s="165"/>
      <c r="X32" s="165"/>
      <c r="Y32" s="166"/>
      <c r="Z32" s="149" t="s">
        <v>76</v>
      </c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1"/>
      <c r="AQ32" s="171" t="s">
        <v>29</v>
      </c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3"/>
      <c r="BK32" s="23"/>
    </row>
    <row r="33" spans="1:63" s="24" customFormat="1" ht="35.25" customHeight="1" x14ac:dyDescent="0.25">
      <c r="A33" s="19"/>
      <c r="B33" s="27"/>
      <c r="C33" s="158">
        <v>1</v>
      </c>
      <c r="D33" s="160"/>
      <c r="E33" s="317" t="s">
        <v>35</v>
      </c>
      <c r="F33" s="318"/>
      <c r="G33" s="318"/>
      <c r="H33" s="318"/>
      <c r="I33" s="318"/>
      <c r="J33" s="318"/>
      <c r="K33" s="319"/>
      <c r="L33" s="167" t="s">
        <v>16</v>
      </c>
      <c r="M33" s="162"/>
      <c r="N33" s="163"/>
      <c r="O33" s="317" t="s">
        <v>26</v>
      </c>
      <c r="P33" s="318"/>
      <c r="Q33" s="318"/>
      <c r="R33" s="319"/>
      <c r="S33" s="317" t="s">
        <v>16</v>
      </c>
      <c r="T33" s="318"/>
      <c r="U33" s="318"/>
      <c r="V33" s="318"/>
      <c r="W33" s="318"/>
      <c r="X33" s="318"/>
      <c r="Y33" s="319"/>
      <c r="Z33" s="317" t="s">
        <v>79</v>
      </c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  <c r="AM33" s="318"/>
      <c r="AN33" s="318"/>
      <c r="AO33" s="318"/>
      <c r="AP33" s="319"/>
      <c r="AQ33" s="320" t="s">
        <v>80</v>
      </c>
      <c r="AR33" s="318"/>
      <c r="AS33" s="318"/>
      <c r="AT33" s="318"/>
      <c r="AU33" s="318"/>
      <c r="AV33" s="318"/>
      <c r="AW33" s="318"/>
      <c r="AX33" s="318"/>
      <c r="AY33" s="318"/>
      <c r="AZ33" s="318"/>
      <c r="BA33" s="318"/>
      <c r="BB33" s="318"/>
      <c r="BC33" s="318"/>
      <c r="BD33" s="318"/>
      <c r="BE33" s="318"/>
      <c r="BF33" s="318"/>
      <c r="BG33" s="318"/>
      <c r="BH33" s="318"/>
      <c r="BI33" s="318"/>
      <c r="BJ33" s="319"/>
      <c r="BK33" s="23"/>
    </row>
    <row r="34" spans="1:63" s="24" customFormat="1" x14ac:dyDescent="0.25">
      <c r="A34" s="19"/>
      <c r="B34" s="27"/>
      <c r="C34" s="313"/>
      <c r="D34" s="313"/>
      <c r="E34" s="313"/>
      <c r="F34" s="313"/>
      <c r="G34" s="313"/>
      <c r="H34" s="313"/>
      <c r="I34" s="313"/>
      <c r="J34" s="313"/>
      <c r="K34" s="313"/>
      <c r="L34" s="40"/>
      <c r="M34" s="41"/>
      <c r="N34" s="41"/>
      <c r="O34" s="313"/>
      <c r="P34" s="313"/>
      <c r="Q34" s="313"/>
      <c r="R34" s="313"/>
      <c r="S34" s="313"/>
      <c r="T34" s="313"/>
      <c r="U34" s="313"/>
      <c r="V34" s="313"/>
      <c r="W34" s="313"/>
      <c r="X34" s="313"/>
      <c r="Y34" s="313"/>
      <c r="Z34" s="313"/>
      <c r="AA34" s="313"/>
      <c r="AB34" s="313"/>
      <c r="AC34" s="313"/>
      <c r="AD34" s="313"/>
      <c r="AE34" s="313"/>
      <c r="AF34" s="313"/>
      <c r="AG34" s="313"/>
      <c r="AH34" s="313"/>
      <c r="AI34" s="313"/>
      <c r="AJ34" s="313"/>
      <c r="AK34" s="313"/>
      <c r="AL34" s="313"/>
      <c r="AM34" s="313"/>
      <c r="AN34" s="313"/>
      <c r="AO34" s="313"/>
      <c r="AP34" s="313"/>
      <c r="AQ34" s="367"/>
      <c r="AR34" s="313"/>
      <c r="AS34" s="313"/>
      <c r="AT34" s="313"/>
      <c r="AU34" s="313"/>
      <c r="AV34" s="313"/>
      <c r="AW34" s="313"/>
      <c r="AX34" s="313"/>
      <c r="AY34" s="313"/>
      <c r="AZ34" s="313"/>
      <c r="BA34" s="313"/>
      <c r="BB34" s="313"/>
      <c r="BC34" s="313"/>
      <c r="BD34" s="313"/>
      <c r="BE34" s="313"/>
      <c r="BF34" s="313"/>
      <c r="BG34" s="313"/>
      <c r="BH34" s="313"/>
      <c r="BI34" s="313"/>
      <c r="BJ34" s="313"/>
      <c r="BK34" s="23"/>
    </row>
    <row r="35" spans="1:63" s="24" customFormat="1" ht="15" customHeight="1" x14ac:dyDescent="0.25">
      <c r="A35" s="19"/>
      <c r="B35" s="27"/>
      <c r="C35" s="29" t="s">
        <v>81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17"/>
      <c r="BI35" s="17"/>
      <c r="BJ35" s="17"/>
      <c r="BK35" s="23"/>
    </row>
    <row r="36" spans="1:63" s="24" customFormat="1" ht="15" customHeight="1" x14ac:dyDescent="0.25">
      <c r="A36" s="19"/>
      <c r="B36" s="27"/>
      <c r="C36" s="25"/>
      <c r="D36" s="27" t="s">
        <v>25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17"/>
      <c r="BI36" s="17"/>
      <c r="BJ36" s="17"/>
      <c r="BK36" s="23"/>
    </row>
    <row r="37" spans="1:63" s="24" customFormat="1" ht="15" customHeight="1" x14ac:dyDescent="0.25">
      <c r="A37" s="19"/>
      <c r="B37" s="27"/>
      <c r="C37" s="164" t="s">
        <v>22</v>
      </c>
      <c r="D37" s="166"/>
      <c r="E37" s="149" t="s">
        <v>82</v>
      </c>
      <c r="F37" s="165"/>
      <c r="G37" s="165"/>
      <c r="H37" s="165"/>
      <c r="I37" s="165"/>
      <c r="J37" s="165"/>
      <c r="K37" s="166"/>
      <c r="L37" s="164" t="s">
        <v>31</v>
      </c>
      <c r="M37" s="165"/>
      <c r="N37" s="165"/>
      <c r="O37" s="165"/>
      <c r="P37" s="165"/>
      <c r="Q37" s="165"/>
      <c r="R37" s="166"/>
      <c r="S37" s="182" t="s">
        <v>76</v>
      </c>
      <c r="T37" s="183"/>
      <c r="U37" s="183"/>
      <c r="V37" s="183"/>
      <c r="W37" s="183"/>
      <c r="X37" s="183"/>
      <c r="Y37" s="183"/>
      <c r="Z37" s="183"/>
      <c r="AA37" s="183"/>
      <c r="AB37" s="184"/>
      <c r="AC37" s="164" t="s">
        <v>29</v>
      </c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6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17"/>
      <c r="BI37" s="17"/>
      <c r="BJ37" s="17"/>
      <c r="BK37" s="23"/>
    </row>
    <row r="38" spans="1:63" s="51" customFormat="1" x14ac:dyDescent="0.25">
      <c r="A38" s="47"/>
      <c r="B38" s="48"/>
      <c r="C38" s="176">
        <v>1</v>
      </c>
      <c r="D38" s="177"/>
      <c r="E38" s="176" t="s">
        <v>83</v>
      </c>
      <c r="F38" s="178"/>
      <c r="G38" s="178"/>
      <c r="H38" s="178"/>
      <c r="I38" s="178"/>
      <c r="J38" s="178"/>
      <c r="K38" s="177"/>
      <c r="L38" s="176" t="s">
        <v>84</v>
      </c>
      <c r="M38" s="178"/>
      <c r="N38" s="178"/>
      <c r="O38" s="178"/>
      <c r="P38" s="178"/>
      <c r="Q38" s="178"/>
      <c r="R38" s="177"/>
      <c r="S38" s="179" t="s">
        <v>85</v>
      </c>
      <c r="T38" s="180"/>
      <c r="U38" s="180"/>
      <c r="V38" s="180"/>
      <c r="W38" s="180"/>
      <c r="X38" s="180"/>
      <c r="Y38" s="180"/>
      <c r="Z38" s="180"/>
      <c r="AA38" s="180"/>
      <c r="AB38" s="181"/>
      <c r="AC38" s="176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7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9"/>
      <c r="BI38" s="49"/>
      <c r="BJ38" s="49"/>
      <c r="BK38" s="50"/>
    </row>
    <row r="39" spans="1:63" s="51" customFormat="1" x14ac:dyDescent="0.25">
      <c r="A39" s="47"/>
      <c r="B39" s="48"/>
      <c r="C39" s="176">
        <v>3</v>
      </c>
      <c r="D39" s="177"/>
      <c r="E39" s="176" t="s">
        <v>86</v>
      </c>
      <c r="F39" s="178"/>
      <c r="G39" s="178"/>
      <c r="H39" s="178"/>
      <c r="I39" s="178"/>
      <c r="J39" s="178"/>
      <c r="K39" s="177"/>
      <c r="L39" s="176" t="s">
        <v>87</v>
      </c>
      <c r="M39" s="178"/>
      <c r="N39" s="178"/>
      <c r="O39" s="178"/>
      <c r="P39" s="178"/>
      <c r="Q39" s="178"/>
      <c r="R39" s="177"/>
      <c r="S39" s="179" t="s">
        <v>88</v>
      </c>
      <c r="T39" s="180"/>
      <c r="U39" s="180"/>
      <c r="V39" s="180"/>
      <c r="W39" s="180"/>
      <c r="X39" s="180"/>
      <c r="Y39" s="180"/>
      <c r="Z39" s="180"/>
      <c r="AA39" s="180"/>
      <c r="AB39" s="181"/>
      <c r="AC39" s="187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7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9"/>
      <c r="BI39" s="49"/>
      <c r="BJ39" s="49"/>
      <c r="BK39" s="50"/>
    </row>
    <row r="40" spans="1:63" s="51" customFormat="1" x14ac:dyDescent="0.25">
      <c r="A40" s="47"/>
      <c r="B40" s="48"/>
      <c r="C40" s="176">
        <v>4</v>
      </c>
      <c r="D40" s="177"/>
      <c r="E40" s="176" t="s">
        <v>89</v>
      </c>
      <c r="F40" s="178"/>
      <c r="G40" s="178"/>
      <c r="H40" s="178"/>
      <c r="I40" s="178"/>
      <c r="J40" s="178"/>
      <c r="K40" s="177"/>
      <c r="L40" s="176" t="s">
        <v>87</v>
      </c>
      <c r="M40" s="178"/>
      <c r="N40" s="178"/>
      <c r="O40" s="178"/>
      <c r="P40" s="178"/>
      <c r="Q40" s="178"/>
      <c r="R40" s="177"/>
      <c r="S40" s="179" t="s">
        <v>90</v>
      </c>
      <c r="T40" s="180"/>
      <c r="U40" s="180"/>
      <c r="V40" s="180"/>
      <c r="W40" s="180"/>
      <c r="X40" s="180"/>
      <c r="Y40" s="180"/>
      <c r="Z40" s="180"/>
      <c r="AA40" s="180"/>
      <c r="AB40" s="181"/>
      <c r="AC40" s="187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7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9"/>
      <c r="BI40" s="49"/>
      <c r="BJ40" s="49"/>
      <c r="BK40" s="50"/>
    </row>
    <row r="41" spans="1:63" s="51" customFormat="1" x14ac:dyDescent="0.25">
      <c r="A41" s="47"/>
      <c r="B41" s="48"/>
      <c r="C41" s="176">
        <v>5</v>
      </c>
      <c r="D41" s="177"/>
      <c r="E41" s="176" t="s">
        <v>91</v>
      </c>
      <c r="F41" s="178"/>
      <c r="G41" s="178"/>
      <c r="H41" s="178"/>
      <c r="I41" s="178"/>
      <c r="J41" s="178"/>
      <c r="K41" s="177"/>
      <c r="L41" s="176" t="s">
        <v>87</v>
      </c>
      <c r="M41" s="178"/>
      <c r="N41" s="178"/>
      <c r="O41" s="178"/>
      <c r="P41" s="178"/>
      <c r="Q41" s="178"/>
      <c r="R41" s="177"/>
      <c r="S41" s="179" t="s">
        <v>92</v>
      </c>
      <c r="T41" s="180"/>
      <c r="U41" s="180"/>
      <c r="V41" s="180"/>
      <c r="W41" s="180"/>
      <c r="X41" s="180"/>
      <c r="Y41" s="180"/>
      <c r="Z41" s="180"/>
      <c r="AA41" s="180"/>
      <c r="AB41" s="181"/>
      <c r="AC41" s="187" t="s">
        <v>93</v>
      </c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7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9"/>
      <c r="BI41" s="49"/>
      <c r="BJ41" s="49"/>
      <c r="BK41" s="50"/>
    </row>
    <row r="42" spans="1:63" s="51" customFormat="1" x14ac:dyDescent="0.25">
      <c r="A42" s="47"/>
      <c r="B42" s="48"/>
      <c r="C42" s="176">
        <v>6</v>
      </c>
      <c r="D42" s="177"/>
      <c r="E42" s="176" t="s">
        <v>94</v>
      </c>
      <c r="F42" s="178"/>
      <c r="G42" s="178"/>
      <c r="H42" s="178"/>
      <c r="I42" s="178"/>
      <c r="J42" s="178"/>
      <c r="K42" s="177"/>
      <c r="L42" s="176" t="s">
        <v>87</v>
      </c>
      <c r="M42" s="178"/>
      <c r="N42" s="178"/>
      <c r="O42" s="178"/>
      <c r="P42" s="178"/>
      <c r="Q42" s="178"/>
      <c r="R42" s="177"/>
      <c r="S42" s="179" t="s">
        <v>95</v>
      </c>
      <c r="T42" s="185"/>
      <c r="U42" s="185"/>
      <c r="V42" s="185"/>
      <c r="W42" s="185"/>
      <c r="X42" s="185"/>
      <c r="Y42" s="185"/>
      <c r="Z42" s="185"/>
      <c r="AA42" s="185"/>
      <c r="AB42" s="186"/>
      <c r="AC42" s="176" t="s">
        <v>96</v>
      </c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7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9"/>
      <c r="BI42" s="49"/>
      <c r="BJ42" s="49"/>
      <c r="BK42" s="50"/>
    </row>
    <row r="43" spans="1:63" s="51" customFormat="1" x14ac:dyDescent="0.25">
      <c r="A43" s="47"/>
      <c r="B43" s="48"/>
      <c r="C43" s="176">
        <v>7</v>
      </c>
      <c r="D43" s="177"/>
      <c r="E43" s="176" t="s">
        <v>97</v>
      </c>
      <c r="F43" s="178"/>
      <c r="G43" s="178"/>
      <c r="H43" s="178"/>
      <c r="I43" s="178"/>
      <c r="J43" s="178"/>
      <c r="K43" s="177"/>
      <c r="L43" s="176" t="s">
        <v>98</v>
      </c>
      <c r="M43" s="178"/>
      <c r="N43" s="178"/>
      <c r="O43" s="178"/>
      <c r="P43" s="178"/>
      <c r="Q43" s="178"/>
      <c r="R43" s="177"/>
      <c r="S43" s="179" t="s">
        <v>99</v>
      </c>
      <c r="T43" s="180"/>
      <c r="U43" s="180"/>
      <c r="V43" s="180"/>
      <c r="W43" s="180"/>
      <c r="X43" s="180"/>
      <c r="Y43" s="180"/>
      <c r="Z43" s="180"/>
      <c r="AA43" s="180"/>
      <c r="AB43" s="181"/>
      <c r="AC43" s="176" t="s">
        <v>100</v>
      </c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7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9"/>
      <c r="BI43" s="49"/>
      <c r="BJ43" s="49"/>
      <c r="BK43" s="50"/>
    </row>
    <row r="44" spans="1:63" s="51" customFormat="1" ht="15" customHeight="1" x14ac:dyDescent="0.25">
      <c r="A44" s="47"/>
      <c r="B44" s="48"/>
      <c r="C44" s="176">
        <v>8</v>
      </c>
      <c r="D44" s="177"/>
      <c r="E44" s="176" t="s">
        <v>101</v>
      </c>
      <c r="F44" s="178"/>
      <c r="G44" s="178"/>
      <c r="H44" s="178"/>
      <c r="I44" s="178"/>
      <c r="J44" s="178"/>
      <c r="K44" s="177"/>
      <c r="L44" s="176" t="s">
        <v>102</v>
      </c>
      <c r="M44" s="178"/>
      <c r="N44" s="178"/>
      <c r="O44" s="178"/>
      <c r="P44" s="178"/>
      <c r="Q44" s="178"/>
      <c r="R44" s="177"/>
      <c r="S44" s="188" t="s">
        <v>103</v>
      </c>
      <c r="T44" s="180"/>
      <c r="U44" s="180"/>
      <c r="V44" s="180"/>
      <c r="W44" s="180"/>
      <c r="X44" s="180"/>
      <c r="Y44" s="180"/>
      <c r="Z44" s="180"/>
      <c r="AA44" s="180"/>
      <c r="AB44" s="181"/>
      <c r="AC44" s="176" t="s">
        <v>104</v>
      </c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7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9"/>
      <c r="BI44" s="49"/>
      <c r="BJ44" s="49"/>
      <c r="BK44" s="50"/>
    </row>
    <row r="45" spans="1:63" s="51" customFormat="1" ht="15" customHeight="1" x14ac:dyDescent="0.25">
      <c r="A45" s="47"/>
      <c r="B45" s="48"/>
      <c r="C45" s="176">
        <v>9</v>
      </c>
      <c r="D45" s="177"/>
      <c r="E45" s="176" t="s">
        <v>105</v>
      </c>
      <c r="F45" s="178"/>
      <c r="G45" s="178"/>
      <c r="H45" s="178"/>
      <c r="I45" s="178"/>
      <c r="J45" s="178"/>
      <c r="K45" s="177"/>
      <c r="L45" s="176" t="s">
        <v>98</v>
      </c>
      <c r="M45" s="178"/>
      <c r="N45" s="178"/>
      <c r="O45" s="178"/>
      <c r="P45" s="178"/>
      <c r="Q45" s="178"/>
      <c r="R45" s="177"/>
      <c r="S45" s="188" t="s">
        <v>106</v>
      </c>
      <c r="T45" s="180"/>
      <c r="U45" s="180"/>
      <c r="V45" s="180"/>
      <c r="W45" s="180"/>
      <c r="X45" s="180"/>
      <c r="Y45" s="180"/>
      <c r="Z45" s="180"/>
      <c r="AA45" s="180"/>
      <c r="AB45" s="181"/>
      <c r="AC45" s="176" t="s">
        <v>107</v>
      </c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7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9"/>
      <c r="BI45" s="49"/>
      <c r="BJ45" s="49"/>
      <c r="BK45" s="50"/>
    </row>
    <row r="46" spans="1:63" s="51" customFormat="1" ht="15" customHeight="1" x14ac:dyDescent="0.25">
      <c r="A46" s="47"/>
      <c r="B46" s="48"/>
      <c r="C46" s="176">
        <v>10</v>
      </c>
      <c r="D46" s="177"/>
      <c r="E46" s="176" t="s">
        <v>108</v>
      </c>
      <c r="F46" s="178"/>
      <c r="G46" s="178"/>
      <c r="H46" s="178"/>
      <c r="I46" s="178"/>
      <c r="J46" s="178"/>
      <c r="K46" s="177"/>
      <c r="L46" s="176" t="s">
        <v>102</v>
      </c>
      <c r="M46" s="178"/>
      <c r="N46" s="178"/>
      <c r="O46" s="178"/>
      <c r="P46" s="178"/>
      <c r="Q46" s="178"/>
      <c r="R46" s="177"/>
      <c r="S46" s="188" t="s">
        <v>109</v>
      </c>
      <c r="T46" s="180"/>
      <c r="U46" s="180"/>
      <c r="V46" s="180"/>
      <c r="W46" s="180"/>
      <c r="X46" s="180"/>
      <c r="Y46" s="180"/>
      <c r="Z46" s="180"/>
      <c r="AA46" s="180"/>
      <c r="AB46" s="181"/>
      <c r="AC46" s="176" t="s">
        <v>110</v>
      </c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7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9"/>
      <c r="BI46" s="49"/>
      <c r="BJ46" s="49"/>
      <c r="BK46" s="50"/>
    </row>
    <row r="47" spans="1:63" s="51" customFormat="1" ht="15" customHeight="1" x14ac:dyDescent="0.25">
      <c r="A47" s="47"/>
      <c r="B47" s="48"/>
      <c r="C47" s="176">
        <v>11</v>
      </c>
      <c r="D47" s="177"/>
      <c r="E47" s="176" t="s">
        <v>111</v>
      </c>
      <c r="F47" s="178"/>
      <c r="G47" s="178"/>
      <c r="H47" s="178"/>
      <c r="I47" s="178"/>
      <c r="J47" s="178"/>
      <c r="K47" s="177"/>
      <c r="L47" s="176" t="s">
        <v>102</v>
      </c>
      <c r="M47" s="178"/>
      <c r="N47" s="178"/>
      <c r="O47" s="178"/>
      <c r="P47" s="178"/>
      <c r="Q47" s="178"/>
      <c r="R47" s="177"/>
      <c r="S47" s="188" t="s">
        <v>112</v>
      </c>
      <c r="T47" s="180"/>
      <c r="U47" s="180"/>
      <c r="V47" s="180"/>
      <c r="W47" s="180"/>
      <c r="X47" s="180"/>
      <c r="Y47" s="180"/>
      <c r="Z47" s="180"/>
      <c r="AA47" s="180"/>
      <c r="AB47" s="181"/>
      <c r="AC47" s="176" t="s">
        <v>113</v>
      </c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7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9"/>
      <c r="BI47" s="49"/>
      <c r="BJ47" s="49"/>
      <c r="BK47" s="50"/>
    </row>
    <row r="48" spans="1:63" s="51" customFormat="1" ht="15" customHeight="1" x14ac:dyDescent="0.25">
      <c r="A48" s="47"/>
      <c r="B48" s="48"/>
      <c r="C48" s="176">
        <v>12</v>
      </c>
      <c r="D48" s="177"/>
      <c r="E48" s="176" t="s">
        <v>114</v>
      </c>
      <c r="F48" s="178"/>
      <c r="G48" s="178"/>
      <c r="H48" s="178"/>
      <c r="I48" s="178"/>
      <c r="J48" s="178"/>
      <c r="K48" s="177"/>
      <c r="L48" s="176" t="s">
        <v>98</v>
      </c>
      <c r="M48" s="178"/>
      <c r="N48" s="178"/>
      <c r="O48" s="178"/>
      <c r="P48" s="178"/>
      <c r="Q48" s="178"/>
      <c r="R48" s="177"/>
      <c r="S48" s="188" t="s">
        <v>106</v>
      </c>
      <c r="T48" s="180"/>
      <c r="U48" s="180"/>
      <c r="V48" s="180"/>
      <c r="W48" s="180"/>
      <c r="X48" s="180"/>
      <c r="Y48" s="180"/>
      <c r="Z48" s="180"/>
      <c r="AA48" s="180"/>
      <c r="AB48" s="181"/>
      <c r="AC48" s="176" t="s">
        <v>115</v>
      </c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7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9"/>
      <c r="BI48" s="49"/>
      <c r="BJ48" s="49"/>
      <c r="BK48" s="50"/>
    </row>
    <row r="49" spans="1:63" s="51" customFormat="1" ht="15" customHeight="1" x14ac:dyDescent="0.25">
      <c r="A49" s="47"/>
      <c r="B49" s="48"/>
      <c r="C49" s="176">
        <v>13</v>
      </c>
      <c r="D49" s="177"/>
      <c r="E49" s="176" t="s">
        <v>116</v>
      </c>
      <c r="F49" s="178"/>
      <c r="G49" s="178"/>
      <c r="H49" s="178"/>
      <c r="I49" s="178"/>
      <c r="J49" s="178"/>
      <c r="K49" s="177"/>
      <c r="L49" s="176" t="s">
        <v>102</v>
      </c>
      <c r="M49" s="178"/>
      <c r="N49" s="178"/>
      <c r="O49" s="178"/>
      <c r="P49" s="178"/>
      <c r="Q49" s="178"/>
      <c r="R49" s="177"/>
      <c r="S49" s="188" t="s">
        <v>109</v>
      </c>
      <c r="T49" s="180"/>
      <c r="U49" s="180"/>
      <c r="V49" s="180"/>
      <c r="W49" s="180"/>
      <c r="X49" s="180"/>
      <c r="Y49" s="180"/>
      <c r="Z49" s="180"/>
      <c r="AA49" s="180"/>
      <c r="AB49" s="181"/>
      <c r="AC49" s="176" t="s">
        <v>117</v>
      </c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7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9"/>
      <c r="BI49" s="49"/>
      <c r="BJ49" s="49"/>
      <c r="BK49" s="50"/>
    </row>
    <row r="50" spans="1:63" s="51" customFormat="1" ht="15" customHeight="1" x14ac:dyDescent="0.25">
      <c r="A50" s="47"/>
      <c r="B50" s="48"/>
      <c r="C50" s="176">
        <v>14</v>
      </c>
      <c r="D50" s="177"/>
      <c r="E50" s="176" t="s">
        <v>118</v>
      </c>
      <c r="F50" s="178"/>
      <c r="G50" s="178"/>
      <c r="H50" s="178"/>
      <c r="I50" s="178"/>
      <c r="J50" s="178"/>
      <c r="K50" s="177"/>
      <c r="L50" s="176" t="s">
        <v>102</v>
      </c>
      <c r="M50" s="178"/>
      <c r="N50" s="178"/>
      <c r="O50" s="178"/>
      <c r="P50" s="178"/>
      <c r="Q50" s="178"/>
      <c r="R50" s="177"/>
      <c r="S50" s="188" t="s">
        <v>119</v>
      </c>
      <c r="T50" s="180"/>
      <c r="U50" s="180"/>
      <c r="V50" s="180"/>
      <c r="W50" s="180"/>
      <c r="X50" s="180"/>
      <c r="Y50" s="180"/>
      <c r="Z50" s="180"/>
      <c r="AA50" s="180"/>
      <c r="AB50" s="181"/>
      <c r="AC50" s="176" t="s">
        <v>120</v>
      </c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7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9"/>
      <c r="BI50" s="49"/>
      <c r="BJ50" s="49"/>
      <c r="BK50" s="50"/>
    </row>
    <row r="51" spans="1:63" s="51" customFormat="1" x14ac:dyDescent="0.25">
      <c r="A51" s="47"/>
      <c r="B51" s="48"/>
      <c r="C51" s="176">
        <v>15</v>
      </c>
      <c r="D51" s="177"/>
      <c r="E51" s="176" t="s">
        <v>121</v>
      </c>
      <c r="F51" s="178"/>
      <c r="G51" s="178"/>
      <c r="H51" s="178"/>
      <c r="I51" s="178"/>
      <c r="J51" s="178"/>
      <c r="K51" s="177"/>
      <c r="L51" s="176" t="s">
        <v>98</v>
      </c>
      <c r="M51" s="178"/>
      <c r="N51" s="178"/>
      <c r="O51" s="178"/>
      <c r="P51" s="178"/>
      <c r="Q51" s="178"/>
      <c r="R51" s="177"/>
      <c r="S51" s="188" t="s">
        <v>106</v>
      </c>
      <c r="T51" s="180"/>
      <c r="U51" s="180"/>
      <c r="V51" s="180"/>
      <c r="W51" s="180"/>
      <c r="X51" s="180"/>
      <c r="Y51" s="180"/>
      <c r="Z51" s="180"/>
      <c r="AA51" s="180"/>
      <c r="AB51" s="181"/>
      <c r="AC51" s="176" t="s">
        <v>122</v>
      </c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7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9"/>
      <c r="BI51" s="49"/>
      <c r="BJ51" s="49"/>
      <c r="BK51" s="50"/>
    </row>
    <row r="52" spans="1:63" s="51" customFormat="1" ht="15" customHeight="1" x14ac:dyDescent="0.25">
      <c r="A52" s="47"/>
      <c r="B52" s="48"/>
      <c r="C52" s="176">
        <v>16</v>
      </c>
      <c r="D52" s="177"/>
      <c r="E52" s="176" t="s">
        <v>123</v>
      </c>
      <c r="F52" s="178"/>
      <c r="G52" s="178"/>
      <c r="H52" s="178"/>
      <c r="I52" s="178"/>
      <c r="J52" s="178"/>
      <c r="K52" s="177"/>
      <c r="L52" s="176" t="s">
        <v>102</v>
      </c>
      <c r="M52" s="178"/>
      <c r="N52" s="178"/>
      <c r="O52" s="178"/>
      <c r="P52" s="178"/>
      <c r="Q52" s="178"/>
      <c r="R52" s="177"/>
      <c r="S52" s="188" t="s">
        <v>109</v>
      </c>
      <c r="T52" s="180"/>
      <c r="U52" s="180"/>
      <c r="V52" s="180"/>
      <c r="W52" s="180"/>
      <c r="X52" s="180"/>
      <c r="Y52" s="180"/>
      <c r="Z52" s="180"/>
      <c r="AA52" s="180"/>
      <c r="AB52" s="181"/>
      <c r="AC52" s="176" t="s">
        <v>124</v>
      </c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7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9"/>
      <c r="BI52" s="49"/>
      <c r="BJ52" s="49"/>
      <c r="BK52" s="50"/>
    </row>
    <row r="53" spans="1:63" s="51" customFormat="1" ht="15" customHeight="1" x14ac:dyDescent="0.25">
      <c r="A53" s="47"/>
      <c r="B53" s="48"/>
      <c r="C53" s="176">
        <v>17</v>
      </c>
      <c r="D53" s="177"/>
      <c r="E53" s="176" t="s">
        <v>125</v>
      </c>
      <c r="F53" s="178"/>
      <c r="G53" s="178"/>
      <c r="H53" s="178"/>
      <c r="I53" s="178"/>
      <c r="J53" s="178"/>
      <c r="K53" s="177"/>
      <c r="L53" s="176" t="s">
        <v>102</v>
      </c>
      <c r="M53" s="178"/>
      <c r="N53" s="178"/>
      <c r="O53" s="178"/>
      <c r="P53" s="178"/>
      <c r="Q53" s="178"/>
      <c r="R53" s="177"/>
      <c r="S53" s="188" t="s">
        <v>126</v>
      </c>
      <c r="T53" s="180"/>
      <c r="U53" s="180"/>
      <c r="V53" s="180"/>
      <c r="W53" s="180"/>
      <c r="X53" s="180"/>
      <c r="Y53" s="180"/>
      <c r="Z53" s="180"/>
      <c r="AA53" s="180"/>
      <c r="AB53" s="181"/>
      <c r="AC53" s="176" t="s">
        <v>127</v>
      </c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7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9"/>
      <c r="BI53" s="49"/>
      <c r="BJ53" s="49"/>
      <c r="BK53" s="50"/>
    </row>
    <row r="54" spans="1:63" s="51" customFormat="1" ht="15" customHeight="1" x14ac:dyDescent="0.25">
      <c r="A54" s="47"/>
      <c r="B54" s="48"/>
      <c r="C54" s="176">
        <v>18</v>
      </c>
      <c r="D54" s="177"/>
      <c r="E54" s="176" t="s">
        <v>128</v>
      </c>
      <c r="F54" s="178"/>
      <c r="G54" s="178"/>
      <c r="H54" s="178"/>
      <c r="I54" s="178"/>
      <c r="J54" s="178"/>
      <c r="K54" s="177"/>
      <c r="L54" s="176" t="s">
        <v>98</v>
      </c>
      <c r="M54" s="178"/>
      <c r="N54" s="178"/>
      <c r="O54" s="178"/>
      <c r="P54" s="178"/>
      <c r="Q54" s="178"/>
      <c r="R54" s="177"/>
      <c r="S54" s="188" t="s">
        <v>106</v>
      </c>
      <c r="T54" s="180"/>
      <c r="U54" s="180"/>
      <c r="V54" s="180"/>
      <c r="W54" s="180"/>
      <c r="X54" s="180"/>
      <c r="Y54" s="180"/>
      <c r="Z54" s="180"/>
      <c r="AA54" s="180"/>
      <c r="AB54" s="181"/>
      <c r="AC54" s="176" t="s">
        <v>129</v>
      </c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7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9"/>
      <c r="BI54" s="49"/>
      <c r="BJ54" s="49"/>
      <c r="BK54" s="50"/>
    </row>
    <row r="55" spans="1:63" s="51" customFormat="1" ht="15" customHeight="1" x14ac:dyDescent="0.25">
      <c r="A55" s="47"/>
      <c r="B55" s="48"/>
      <c r="C55" s="176">
        <v>19</v>
      </c>
      <c r="D55" s="177"/>
      <c r="E55" s="176" t="s">
        <v>130</v>
      </c>
      <c r="F55" s="178"/>
      <c r="G55" s="178"/>
      <c r="H55" s="178"/>
      <c r="I55" s="178"/>
      <c r="J55" s="178"/>
      <c r="K55" s="177"/>
      <c r="L55" s="176" t="s">
        <v>102</v>
      </c>
      <c r="M55" s="178"/>
      <c r="N55" s="178"/>
      <c r="O55" s="178"/>
      <c r="P55" s="178"/>
      <c r="Q55" s="178"/>
      <c r="R55" s="177"/>
      <c r="S55" s="188" t="s">
        <v>109</v>
      </c>
      <c r="T55" s="180"/>
      <c r="U55" s="180"/>
      <c r="V55" s="180"/>
      <c r="W55" s="180"/>
      <c r="X55" s="180"/>
      <c r="Y55" s="180"/>
      <c r="Z55" s="180"/>
      <c r="AA55" s="180"/>
      <c r="AB55" s="181"/>
      <c r="AC55" s="176" t="s">
        <v>131</v>
      </c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7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9"/>
      <c r="BI55" s="49"/>
      <c r="BJ55" s="49"/>
      <c r="BK55" s="50"/>
    </row>
    <row r="56" spans="1:63" s="51" customFormat="1" x14ac:dyDescent="0.25">
      <c r="A56" s="47"/>
      <c r="B56" s="48"/>
      <c r="C56" s="176">
        <v>20</v>
      </c>
      <c r="D56" s="177"/>
      <c r="E56" s="176" t="s">
        <v>132</v>
      </c>
      <c r="F56" s="178"/>
      <c r="G56" s="178"/>
      <c r="H56" s="178"/>
      <c r="I56" s="178"/>
      <c r="J56" s="178"/>
      <c r="K56" s="177"/>
      <c r="L56" s="176" t="s">
        <v>133</v>
      </c>
      <c r="M56" s="178"/>
      <c r="N56" s="178"/>
      <c r="O56" s="178"/>
      <c r="P56" s="178"/>
      <c r="Q56" s="178"/>
      <c r="R56" s="177"/>
      <c r="S56" s="189" t="s">
        <v>134</v>
      </c>
      <c r="T56" s="180"/>
      <c r="U56" s="180"/>
      <c r="V56" s="180"/>
      <c r="W56" s="180"/>
      <c r="X56" s="180"/>
      <c r="Y56" s="180"/>
      <c r="Z56" s="180"/>
      <c r="AA56" s="180"/>
      <c r="AB56" s="181"/>
      <c r="AC56" s="190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  <c r="AR56" s="178"/>
      <c r="AS56" s="178"/>
      <c r="AT56" s="178"/>
      <c r="AU56" s="177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9"/>
      <c r="BI56" s="49"/>
      <c r="BJ56" s="49"/>
      <c r="BK56" s="50"/>
    </row>
    <row r="57" spans="1:63" s="51" customFormat="1" x14ac:dyDescent="0.25">
      <c r="A57" s="47"/>
      <c r="B57" s="48"/>
      <c r="C57" s="176">
        <v>21</v>
      </c>
      <c r="D57" s="177"/>
      <c r="E57" s="194" t="s">
        <v>135</v>
      </c>
      <c r="F57" s="195"/>
      <c r="G57" s="195"/>
      <c r="H57" s="195"/>
      <c r="I57" s="195"/>
      <c r="J57" s="195"/>
      <c r="K57" s="196"/>
      <c r="L57" s="194" t="s">
        <v>133</v>
      </c>
      <c r="M57" s="195"/>
      <c r="N57" s="195"/>
      <c r="O57" s="195"/>
      <c r="P57" s="195"/>
      <c r="Q57" s="195"/>
      <c r="R57" s="196"/>
      <c r="S57" s="197" t="s">
        <v>136</v>
      </c>
      <c r="T57" s="198"/>
      <c r="U57" s="198"/>
      <c r="V57" s="198"/>
      <c r="W57" s="198"/>
      <c r="X57" s="198"/>
      <c r="Y57" s="198"/>
      <c r="Z57" s="198"/>
      <c r="AA57" s="198"/>
      <c r="AB57" s="199"/>
      <c r="AC57" s="200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6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9"/>
      <c r="BI57" s="49"/>
      <c r="BJ57" s="49"/>
      <c r="BK57" s="50"/>
    </row>
    <row r="58" spans="1:63" s="51" customFormat="1" x14ac:dyDescent="0.25">
      <c r="A58" s="47"/>
      <c r="B58" s="48"/>
      <c r="C58" s="176">
        <v>23</v>
      </c>
      <c r="D58" s="177"/>
      <c r="E58" s="176" t="s">
        <v>137</v>
      </c>
      <c r="F58" s="178"/>
      <c r="G58" s="178"/>
      <c r="H58" s="178"/>
      <c r="I58" s="178"/>
      <c r="J58" s="178"/>
      <c r="K58" s="177"/>
      <c r="L58" s="176" t="s">
        <v>87</v>
      </c>
      <c r="M58" s="178"/>
      <c r="N58" s="178"/>
      <c r="O58" s="178"/>
      <c r="P58" s="178"/>
      <c r="Q58" s="178"/>
      <c r="R58" s="177"/>
      <c r="S58" s="191" t="s">
        <v>138</v>
      </c>
      <c r="T58" s="192"/>
      <c r="U58" s="192"/>
      <c r="V58" s="192"/>
      <c r="W58" s="192"/>
      <c r="X58" s="192"/>
      <c r="Y58" s="192"/>
      <c r="Z58" s="192"/>
      <c r="AA58" s="192"/>
      <c r="AB58" s="193"/>
      <c r="AC58" s="190" t="s">
        <v>139</v>
      </c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7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9"/>
      <c r="BI58" s="49"/>
      <c r="BJ58" s="49"/>
      <c r="BK58" s="50"/>
    </row>
    <row r="59" spans="1:63" s="51" customFormat="1" x14ac:dyDescent="0.25">
      <c r="A59" s="47"/>
      <c r="B59" s="48"/>
      <c r="C59" s="176">
        <v>24</v>
      </c>
      <c r="D59" s="177"/>
      <c r="E59" s="176" t="s">
        <v>140</v>
      </c>
      <c r="F59" s="178"/>
      <c r="G59" s="178"/>
      <c r="H59" s="178"/>
      <c r="I59" s="178"/>
      <c r="J59" s="178"/>
      <c r="K59" s="177"/>
      <c r="L59" s="176" t="s">
        <v>87</v>
      </c>
      <c r="M59" s="178"/>
      <c r="N59" s="178"/>
      <c r="O59" s="178"/>
      <c r="P59" s="178"/>
      <c r="Q59" s="178"/>
      <c r="R59" s="177"/>
      <c r="S59" s="203" t="s">
        <v>141</v>
      </c>
      <c r="T59" s="192"/>
      <c r="U59" s="192"/>
      <c r="V59" s="192"/>
      <c r="W59" s="192"/>
      <c r="X59" s="192"/>
      <c r="Y59" s="192"/>
      <c r="Z59" s="192"/>
      <c r="AA59" s="192"/>
      <c r="AB59" s="193"/>
      <c r="AC59" s="190" t="s">
        <v>142</v>
      </c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7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9"/>
      <c r="BI59" s="49"/>
      <c r="BJ59" s="49"/>
      <c r="BK59" s="50"/>
    </row>
    <row r="60" spans="1:63" s="51" customFormat="1" ht="309.75" customHeight="1" x14ac:dyDescent="0.25">
      <c r="A60" s="47"/>
      <c r="B60" s="48"/>
      <c r="C60" s="176">
        <v>26</v>
      </c>
      <c r="D60" s="177"/>
      <c r="E60" s="187" t="s">
        <v>143</v>
      </c>
      <c r="F60" s="201"/>
      <c r="G60" s="201"/>
      <c r="H60" s="201"/>
      <c r="I60" s="201"/>
      <c r="J60" s="201"/>
      <c r="K60" s="202"/>
      <c r="L60" s="176" t="s">
        <v>144</v>
      </c>
      <c r="M60" s="178"/>
      <c r="N60" s="178"/>
      <c r="O60" s="178"/>
      <c r="P60" s="178"/>
      <c r="Q60" s="178"/>
      <c r="R60" s="177"/>
      <c r="S60" s="179" t="s">
        <v>145</v>
      </c>
      <c r="T60" s="180"/>
      <c r="U60" s="180"/>
      <c r="V60" s="180"/>
      <c r="W60" s="180"/>
      <c r="X60" s="180"/>
      <c r="Y60" s="180"/>
      <c r="Z60" s="180"/>
      <c r="AA60" s="180"/>
      <c r="AB60" s="181"/>
      <c r="AC60" s="190" t="s">
        <v>146</v>
      </c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7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9"/>
      <c r="BI60" s="49"/>
      <c r="BJ60" s="49"/>
      <c r="BK60" s="50"/>
    </row>
    <row r="61" spans="1:63" s="51" customFormat="1" ht="50.25" customHeight="1" x14ac:dyDescent="0.25">
      <c r="A61" s="47"/>
      <c r="B61" s="48"/>
      <c r="C61" s="176">
        <v>27</v>
      </c>
      <c r="D61" s="177"/>
      <c r="E61" s="176" t="s">
        <v>147</v>
      </c>
      <c r="F61" s="178"/>
      <c r="G61" s="178"/>
      <c r="H61" s="178"/>
      <c r="I61" s="178"/>
      <c r="J61" s="178"/>
      <c r="K61" s="177"/>
      <c r="L61" s="176" t="s">
        <v>144</v>
      </c>
      <c r="M61" s="178"/>
      <c r="N61" s="178"/>
      <c r="O61" s="178"/>
      <c r="P61" s="178"/>
      <c r="Q61" s="178"/>
      <c r="R61" s="177"/>
      <c r="S61" s="179" t="s">
        <v>148</v>
      </c>
      <c r="T61" s="180"/>
      <c r="U61" s="180"/>
      <c r="V61" s="180"/>
      <c r="W61" s="180"/>
      <c r="X61" s="180"/>
      <c r="Y61" s="180"/>
      <c r="Z61" s="180"/>
      <c r="AA61" s="180"/>
      <c r="AB61" s="181"/>
      <c r="AC61" s="190" t="s">
        <v>149</v>
      </c>
      <c r="AD61" s="178"/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  <c r="AR61" s="178"/>
      <c r="AS61" s="178"/>
      <c r="AT61" s="178"/>
      <c r="AU61" s="177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9"/>
      <c r="BI61" s="49"/>
      <c r="BJ61" s="49"/>
      <c r="BK61" s="50"/>
    </row>
    <row r="62" spans="1:63" s="51" customFormat="1" ht="55.5" customHeight="1" x14ac:dyDescent="0.25">
      <c r="A62" s="47"/>
      <c r="B62" s="48"/>
      <c r="C62" s="176">
        <v>28</v>
      </c>
      <c r="D62" s="177"/>
      <c r="E62" s="176" t="s">
        <v>150</v>
      </c>
      <c r="F62" s="178"/>
      <c r="G62" s="178"/>
      <c r="H62" s="178"/>
      <c r="I62" s="178"/>
      <c r="J62" s="178"/>
      <c r="K62" s="177"/>
      <c r="L62" s="176" t="s">
        <v>144</v>
      </c>
      <c r="M62" s="178"/>
      <c r="N62" s="178"/>
      <c r="O62" s="178"/>
      <c r="P62" s="178"/>
      <c r="Q62" s="178"/>
      <c r="R62" s="177"/>
      <c r="S62" s="179" t="s">
        <v>151</v>
      </c>
      <c r="T62" s="180"/>
      <c r="U62" s="180"/>
      <c r="V62" s="180"/>
      <c r="W62" s="180"/>
      <c r="X62" s="180"/>
      <c r="Y62" s="180"/>
      <c r="Z62" s="180"/>
      <c r="AA62" s="180"/>
      <c r="AB62" s="181"/>
      <c r="AC62" s="190" t="s">
        <v>152</v>
      </c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4"/>
      <c r="AO62" s="204"/>
      <c r="AP62" s="204"/>
      <c r="AQ62" s="204"/>
      <c r="AR62" s="204"/>
      <c r="AS62" s="204"/>
      <c r="AT62" s="204"/>
      <c r="AU62" s="205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9"/>
      <c r="BI62" s="49"/>
      <c r="BJ62" s="49"/>
      <c r="BK62" s="50"/>
    </row>
    <row r="63" spans="1:63" s="70" customFormat="1" x14ac:dyDescent="0.25">
      <c r="A63" s="66"/>
      <c r="B63" s="67"/>
      <c r="C63" s="206">
        <v>29</v>
      </c>
      <c r="D63" s="207"/>
      <c r="E63" s="206" t="s">
        <v>39</v>
      </c>
      <c r="F63" s="208"/>
      <c r="G63" s="208"/>
      <c r="H63" s="208"/>
      <c r="I63" s="208"/>
      <c r="J63" s="208"/>
      <c r="K63" s="207"/>
      <c r="L63" s="206" t="s">
        <v>49</v>
      </c>
      <c r="M63" s="208"/>
      <c r="N63" s="208"/>
      <c r="O63" s="208"/>
      <c r="P63" s="208"/>
      <c r="Q63" s="208"/>
      <c r="R63" s="207"/>
      <c r="S63" s="209" t="s">
        <v>40</v>
      </c>
      <c r="T63" s="210"/>
      <c r="U63" s="210"/>
      <c r="V63" s="210"/>
      <c r="W63" s="210"/>
      <c r="X63" s="210"/>
      <c r="Y63" s="210"/>
      <c r="Z63" s="210"/>
      <c r="AA63" s="210"/>
      <c r="AB63" s="211"/>
      <c r="AC63" s="212" t="s">
        <v>153</v>
      </c>
      <c r="AD63" s="213"/>
      <c r="AE63" s="213"/>
      <c r="AF63" s="213"/>
      <c r="AG63" s="213"/>
      <c r="AH63" s="213"/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4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8"/>
      <c r="BI63" s="68"/>
      <c r="BJ63" s="68"/>
      <c r="BK63" s="69"/>
    </row>
    <row r="64" spans="1:63" s="70" customFormat="1" x14ac:dyDescent="0.25">
      <c r="A64" s="66"/>
      <c r="B64" s="67"/>
      <c r="C64" s="206">
        <v>30</v>
      </c>
      <c r="D64" s="207"/>
      <c r="E64" s="206" t="s">
        <v>41</v>
      </c>
      <c r="F64" s="208"/>
      <c r="G64" s="208"/>
      <c r="H64" s="208"/>
      <c r="I64" s="208"/>
      <c r="J64" s="208"/>
      <c r="K64" s="207"/>
      <c r="L64" s="206" t="s">
        <v>49</v>
      </c>
      <c r="M64" s="208"/>
      <c r="N64" s="208"/>
      <c r="O64" s="208"/>
      <c r="P64" s="208"/>
      <c r="Q64" s="208"/>
      <c r="R64" s="207"/>
      <c r="S64" s="209" t="s">
        <v>42</v>
      </c>
      <c r="T64" s="210"/>
      <c r="U64" s="210"/>
      <c r="V64" s="210"/>
      <c r="W64" s="210"/>
      <c r="X64" s="210"/>
      <c r="Y64" s="210"/>
      <c r="Z64" s="210"/>
      <c r="AA64" s="210"/>
      <c r="AB64" s="211"/>
      <c r="AC64" s="212" t="s">
        <v>154</v>
      </c>
      <c r="AD64" s="213"/>
      <c r="AE64" s="213"/>
      <c r="AF64" s="213"/>
      <c r="AG64" s="213"/>
      <c r="AH64" s="213"/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4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8"/>
      <c r="BI64" s="68"/>
      <c r="BJ64" s="68"/>
      <c r="BK64" s="69"/>
    </row>
    <row r="65" spans="1:63" s="70" customFormat="1" x14ac:dyDescent="0.25">
      <c r="A65" s="66"/>
      <c r="B65" s="67"/>
      <c r="C65" s="206">
        <v>31</v>
      </c>
      <c r="D65" s="207"/>
      <c r="E65" s="206" t="s">
        <v>43</v>
      </c>
      <c r="F65" s="208"/>
      <c r="G65" s="208"/>
      <c r="H65" s="208"/>
      <c r="I65" s="208"/>
      <c r="J65" s="208"/>
      <c r="K65" s="207"/>
      <c r="L65" s="206" t="s">
        <v>38</v>
      </c>
      <c r="M65" s="208"/>
      <c r="N65" s="208"/>
      <c r="O65" s="208"/>
      <c r="P65" s="208"/>
      <c r="Q65" s="208"/>
      <c r="R65" s="207"/>
      <c r="S65" s="215" t="s">
        <v>44</v>
      </c>
      <c r="T65" s="216"/>
      <c r="U65" s="216"/>
      <c r="V65" s="216"/>
      <c r="W65" s="216"/>
      <c r="X65" s="216"/>
      <c r="Y65" s="216"/>
      <c r="Z65" s="216"/>
      <c r="AA65" s="216"/>
      <c r="AB65" s="217"/>
      <c r="AC65" s="212" t="s">
        <v>45</v>
      </c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  <c r="AS65" s="208"/>
      <c r="AT65" s="208"/>
      <c r="AU65" s="20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8"/>
      <c r="BI65" s="68"/>
      <c r="BJ65" s="68"/>
      <c r="BK65" s="69"/>
    </row>
    <row r="66" spans="1:63" s="49" customFormat="1" ht="15.75" customHeight="1" x14ac:dyDescent="0.25">
      <c r="A66" s="47"/>
      <c r="B66" s="48"/>
      <c r="C66" s="176">
        <v>32</v>
      </c>
      <c r="D66" s="177"/>
      <c r="E66" s="176" t="s">
        <v>155</v>
      </c>
      <c r="F66" s="178"/>
      <c r="G66" s="178"/>
      <c r="H66" s="178"/>
      <c r="I66" s="178"/>
      <c r="J66" s="178"/>
      <c r="K66" s="177"/>
      <c r="L66" s="176" t="s">
        <v>102</v>
      </c>
      <c r="M66" s="178"/>
      <c r="N66" s="178"/>
      <c r="O66" s="178"/>
      <c r="P66" s="178"/>
      <c r="Q66" s="178"/>
      <c r="R66" s="177"/>
      <c r="S66" s="179" t="s">
        <v>156</v>
      </c>
      <c r="T66" s="180"/>
      <c r="U66" s="180"/>
      <c r="V66" s="180"/>
      <c r="W66" s="180"/>
      <c r="X66" s="180"/>
      <c r="Y66" s="180"/>
      <c r="Z66" s="180"/>
      <c r="AA66" s="180"/>
      <c r="AB66" s="181"/>
      <c r="AC66" s="190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  <c r="AR66" s="178"/>
      <c r="AS66" s="178"/>
      <c r="AT66" s="178"/>
      <c r="AU66" s="177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K66" s="50"/>
    </row>
    <row r="67" spans="1:63" s="51" customFormat="1" ht="15.75" customHeight="1" x14ac:dyDescent="0.25">
      <c r="A67" s="47"/>
      <c r="B67" s="48"/>
      <c r="C67" s="176">
        <v>33</v>
      </c>
      <c r="D67" s="177"/>
      <c r="E67" s="176" t="s">
        <v>157</v>
      </c>
      <c r="F67" s="178"/>
      <c r="G67" s="178"/>
      <c r="H67" s="178"/>
      <c r="I67" s="178"/>
      <c r="J67" s="178"/>
      <c r="K67" s="177"/>
      <c r="L67" s="176" t="s">
        <v>102</v>
      </c>
      <c r="M67" s="178"/>
      <c r="N67" s="178"/>
      <c r="O67" s="178"/>
      <c r="P67" s="178"/>
      <c r="Q67" s="178"/>
      <c r="R67" s="177"/>
      <c r="S67" s="179" t="s">
        <v>158</v>
      </c>
      <c r="T67" s="180"/>
      <c r="U67" s="180"/>
      <c r="V67" s="180"/>
      <c r="W67" s="180"/>
      <c r="X67" s="180"/>
      <c r="Y67" s="180"/>
      <c r="Z67" s="180"/>
      <c r="AA67" s="180"/>
      <c r="AB67" s="181"/>
      <c r="AC67" s="190"/>
      <c r="AD67" s="178"/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  <c r="AP67" s="178"/>
      <c r="AQ67" s="178"/>
      <c r="AR67" s="178"/>
      <c r="AS67" s="178"/>
      <c r="AT67" s="178"/>
      <c r="AU67" s="177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9"/>
      <c r="BI67" s="49"/>
      <c r="BJ67" s="49"/>
      <c r="BK67" s="50"/>
    </row>
    <row r="68" spans="1:63" s="51" customFormat="1" ht="15.75" customHeight="1" x14ac:dyDescent="0.25">
      <c r="A68" s="47"/>
      <c r="B68" s="48"/>
      <c r="C68" s="176">
        <v>34</v>
      </c>
      <c r="D68" s="177"/>
      <c r="E68" s="176" t="s">
        <v>159</v>
      </c>
      <c r="F68" s="178"/>
      <c r="G68" s="178"/>
      <c r="H68" s="178"/>
      <c r="I68" s="178"/>
      <c r="J68" s="178"/>
      <c r="K68" s="177"/>
      <c r="L68" s="176" t="s">
        <v>133</v>
      </c>
      <c r="M68" s="178"/>
      <c r="N68" s="178"/>
      <c r="O68" s="178"/>
      <c r="P68" s="178"/>
      <c r="Q68" s="178"/>
      <c r="R68" s="177"/>
      <c r="S68" s="179" t="s">
        <v>160</v>
      </c>
      <c r="T68" s="180"/>
      <c r="U68" s="180"/>
      <c r="V68" s="180"/>
      <c r="W68" s="180"/>
      <c r="X68" s="180"/>
      <c r="Y68" s="180"/>
      <c r="Z68" s="180"/>
      <c r="AA68" s="180"/>
      <c r="AB68" s="181"/>
      <c r="AC68" s="190"/>
      <c r="AD68" s="178"/>
      <c r="AE68" s="178"/>
      <c r="AF68" s="178"/>
      <c r="AG68" s="178"/>
      <c r="AH68" s="178"/>
      <c r="AI68" s="178"/>
      <c r="AJ68" s="178"/>
      <c r="AK68" s="178"/>
      <c r="AL68" s="178"/>
      <c r="AM68" s="178"/>
      <c r="AN68" s="178"/>
      <c r="AO68" s="178"/>
      <c r="AP68" s="178"/>
      <c r="AQ68" s="178"/>
      <c r="AR68" s="178"/>
      <c r="AS68" s="178"/>
      <c r="AT68" s="178"/>
      <c r="AU68" s="177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9"/>
      <c r="BI68" s="49"/>
      <c r="BJ68" s="49"/>
      <c r="BK68" s="50"/>
    </row>
    <row r="69" spans="1:63" s="51" customFormat="1" ht="15.75" customHeight="1" x14ac:dyDescent="0.25">
      <c r="A69" s="47"/>
      <c r="B69" s="48"/>
      <c r="C69" s="176">
        <v>35</v>
      </c>
      <c r="D69" s="177"/>
      <c r="E69" s="176" t="s">
        <v>161</v>
      </c>
      <c r="F69" s="178"/>
      <c r="G69" s="178"/>
      <c r="H69" s="178"/>
      <c r="I69" s="178"/>
      <c r="J69" s="178"/>
      <c r="K69" s="177"/>
      <c r="L69" s="176" t="s">
        <v>87</v>
      </c>
      <c r="M69" s="178"/>
      <c r="N69" s="178"/>
      <c r="O69" s="178"/>
      <c r="P69" s="178"/>
      <c r="Q69" s="178"/>
      <c r="R69" s="177"/>
      <c r="S69" s="179" t="s">
        <v>162</v>
      </c>
      <c r="T69" s="180"/>
      <c r="U69" s="180"/>
      <c r="V69" s="180"/>
      <c r="W69" s="180"/>
      <c r="X69" s="180"/>
      <c r="Y69" s="180"/>
      <c r="Z69" s="180"/>
      <c r="AA69" s="180"/>
      <c r="AB69" s="181"/>
      <c r="AC69" s="190"/>
      <c r="AD69" s="178"/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7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9"/>
      <c r="BI69" s="49"/>
      <c r="BJ69" s="49"/>
      <c r="BK69" s="50"/>
    </row>
    <row r="70" spans="1:63" s="51" customFormat="1" ht="15.75" customHeight="1" x14ac:dyDescent="0.25">
      <c r="A70" s="47"/>
      <c r="B70" s="48"/>
      <c r="C70" s="176">
        <v>36</v>
      </c>
      <c r="D70" s="177"/>
      <c r="E70" s="176" t="s">
        <v>163</v>
      </c>
      <c r="F70" s="178"/>
      <c r="G70" s="178"/>
      <c r="H70" s="178"/>
      <c r="I70" s="178"/>
      <c r="J70" s="178"/>
      <c r="K70" s="177"/>
      <c r="L70" s="176" t="s">
        <v>133</v>
      </c>
      <c r="M70" s="178"/>
      <c r="N70" s="178"/>
      <c r="O70" s="178"/>
      <c r="P70" s="178"/>
      <c r="Q70" s="178"/>
      <c r="R70" s="177"/>
      <c r="S70" s="179" t="s">
        <v>164</v>
      </c>
      <c r="T70" s="180"/>
      <c r="U70" s="180"/>
      <c r="V70" s="180"/>
      <c r="W70" s="180"/>
      <c r="X70" s="180"/>
      <c r="Y70" s="180"/>
      <c r="Z70" s="180"/>
      <c r="AA70" s="180"/>
      <c r="AB70" s="181"/>
      <c r="AC70" s="190"/>
      <c r="AD70" s="178"/>
      <c r="AE70" s="178"/>
      <c r="AF70" s="178"/>
      <c r="AG70" s="178"/>
      <c r="AH70" s="178"/>
      <c r="AI70" s="178"/>
      <c r="AJ70" s="178"/>
      <c r="AK70" s="178"/>
      <c r="AL70" s="178"/>
      <c r="AM70" s="178"/>
      <c r="AN70" s="178"/>
      <c r="AO70" s="178"/>
      <c r="AP70" s="178"/>
      <c r="AQ70" s="178"/>
      <c r="AR70" s="178"/>
      <c r="AS70" s="178"/>
      <c r="AT70" s="178"/>
      <c r="AU70" s="177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9"/>
      <c r="BI70" s="49"/>
      <c r="BJ70" s="49"/>
      <c r="BK70" s="50"/>
    </row>
    <row r="71" spans="1:63" s="51" customFormat="1" ht="15.75" customHeight="1" x14ac:dyDescent="0.25">
      <c r="A71" s="47"/>
      <c r="B71" s="48"/>
      <c r="C71" s="176">
        <v>37</v>
      </c>
      <c r="D71" s="177"/>
      <c r="E71" s="176" t="s">
        <v>165</v>
      </c>
      <c r="F71" s="178"/>
      <c r="G71" s="178"/>
      <c r="H71" s="178"/>
      <c r="I71" s="178"/>
      <c r="J71" s="178"/>
      <c r="K71" s="177"/>
      <c r="L71" s="176" t="s">
        <v>87</v>
      </c>
      <c r="M71" s="178"/>
      <c r="N71" s="178"/>
      <c r="O71" s="178"/>
      <c r="P71" s="178"/>
      <c r="Q71" s="178"/>
      <c r="R71" s="177"/>
      <c r="S71" s="49" t="s">
        <v>166</v>
      </c>
      <c r="T71" s="52"/>
      <c r="U71" s="52"/>
      <c r="V71" s="52"/>
      <c r="W71" s="52"/>
      <c r="X71" s="52"/>
      <c r="Y71" s="52"/>
      <c r="Z71" s="52"/>
      <c r="AA71" s="52"/>
      <c r="AB71" s="53"/>
      <c r="AC71" s="190"/>
      <c r="AD71" s="178"/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78"/>
      <c r="AS71" s="178"/>
      <c r="AT71" s="178"/>
      <c r="AU71" s="177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9"/>
      <c r="BI71" s="49"/>
      <c r="BJ71" s="49"/>
      <c r="BK71" s="50"/>
    </row>
    <row r="72" spans="1:63" s="51" customFormat="1" ht="15.75" customHeight="1" x14ac:dyDescent="0.25">
      <c r="A72" s="47"/>
      <c r="B72" s="48"/>
      <c r="C72" s="176">
        <v>38</v>
      </c>
      <c r="D72" s="177"/>
      <c r="E72" s="218" t="s">
        <v>167</v>
      </c>
      <c r="F72" s="178"/>
      <c r="G72" s="178"/>
      <c r="H72" s="178"/>
      <c r="I72" s="178"/>
      <c r="J72" s="178"/>
      <c r="K72" s="177"/>
      <c r="L72" s="65" t="s">
        <v>87</v>
      </c>
      <c r="M72" s="63"/>
      <c r="N72" s="63"/>
      <c r="O72" s="63"/>
      <c r="P72" s="63"/>
      <c r="Q72" s="63"/>
      <c r="R72" s="64"/>
      <c r="S72" s="49" t="s">
        <v>168</v>
      </c>
      <c r="T72" s="52"/>
      <c r="U72" s="52"/>
      <c r="V72" s="52"/>
      <c r="W72" s="52"/>
      <c r="X72" s="52"/>
      <c r="Y72" s="52"/>
      <c r="Z72" s="52"/>
      <c r="AA72" s="52"/>
      <c r="AB72" s="53"/>
      <c r="AC72" s="190"/>
      <c r="AD72" s="178"/>
      <c r="AE72" s="178"/>
      <c r="AF72" s="178"/>
      <c r="AG72" s="178"/>
      <c r="AH72" s="178"/>
      <c r="AI72" s="178"/>
      <c r="AJ72" s="178"/>
      <c r="AK72" s="178"/>
      <c r="AL72" s="178"/>
      <c r="AM72" s="178"/>
      <c r="AN72" s="178"/>
      <c r="AO72" s="178"/>
      <c r="AP72" s="178"/>
      <c r="AQ72" s="178"/>
      <c r="AR72" s="178"/>
      <c r="AS72" s="178"/>
      <c r="AT72" s="178"/>
      <c r="AU72" s="177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9"/>
      <c r="BI72" s="49"/>
      <c r="BJ72" s="49"/>
      <c r="BK72" s="50"/>
    </row>
    <row r="73" spans="1:63" s="51" customFormat="1" ht="15.75" customHeight="1" x14ac:dyDescent="0.25">
      <c r="A73" s="47"/>
      <c r="B73" s="48"/>
      <c r="C73" s="176">
        <v>39</v>
      </c>
      <c r="D73" s="177"/>
      <c r="E73" s="218" t="s">
        <v>169</v>
      </c>
      <c r="F73" s="178"/>
      <c r="G73" s="178"/>
      <c r="H73" s="178"/>
      <c r="I73" s="178"/>
      <c r="J73" s="178"/>
      <c r="K73" s="177"/>
      <c r="L73" s="65" t="s">
        <v>87</v>
      </c>
      <c r="M73" s="63"/>
      <c r="N73" s="63"/>
      <c r="O73" s="63"/>
      <c r="P73" s="63"/>
      <c r="Q73" s="63"/>
      <c r="R73" s="64"/>
      <c r="S73" s="49" t="s">
        <v>170</v>
      </c>
      <c r="T73" s="52"/>
      <c r="U73" s="52"/>
      <c r="V73" s="52"/>
      <c r="W73" s="52"/>
      <c r="X73" s="52"/>
      <c r="Y73" s="52"/>
      <c r="Z73" s="52"/>
      <c r="AA73" s="52"/>
      <c r="AB73" s="53"/>
      <c r="AC73" s="190"/>
      <c r="AD73" s="178"/>
      <c r="AE73" s="178"/>
      <c r="AF73" s="178"/>
      <c r="AG73" s="178"/>
      <c r="AH73" s="178"/>
      <c r="AI73" s="178"/>
      <c r="AJ73" s="178"/>
      <c r="AK73" s="178"/>
      <c r="AL73" s="178"/>
      <c r="AM73" s="178"/>
      <c r="AN73" s="178"/>
      <c r="AO73" s="178"/>
      <c r="AP73" s="178"/>
      <c r="AQ73" s="178"/>
      <c r="AR73" s="178"/>
      <c r="AS73" s="178"/>
      <c r="AT73" s="178"/>
      <c r="AU73" s="177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9"/>
      <c r="BI73" s="49"/>
      <c r="BJ73" s="49"/>
      <c r="BK73" s="50"/>
    </row>
    <row r="74" spans="1:63" s="51" customFormat="1" x14ac:dyDescent="0.25">
      <c r="A74" s="47"/>
      <c r="B74" s="48"/>
      <c r="C74" s="176">
        <v>40</v>
      </c>
      <c r="D74" s="177"/>
      <c r="E74" s="176" t="s">
        <v>171</v>
      </c>
      <c r="F74" s="178"/>
      <c r="G74" s="178"/>
      <c r="H74" s="178"/>
      <c r="I74" s="178"/>
      <c r="J74" s="178"/>
      <c r="K74" s="177"/>
      <c r="L74" s="194" t="s">
        <v>87</v>
      </c>
      <c r="M74" s="195"/>
      <c r="N74" s="195"/>
      <c r="O74" s="195"/>
      <c r="P74" s="195"/>
      <c r="Q74" s="195"/>
      <c r="R74" s="196"/>
      <c r="S74" s="203" t="s">
        <v>172</v>
      </c>
      <c r="T74" s="192"/>
      <c r="U74" s="192"/>
      <c r="V74" s="192"/>
      <c r="W74" s="192"/>
      <c r="X74" s="192"/>
      <c r="Y74" s="192"/>
      <c r="Z74" s="192"/>
      <c r="AA74" s="192"/>
      <c r="AB74" s="193"/>
      <c r="AC74" s="190"/>
      <c r="AD74" s="178"/>
      <c r="AE74" s="178"/>
      <c r="AF74" s="178"/>
      <c r="AG74" s="178"/>
      <c r="AH74" s="178"/>
      <c r="AI74" s="178"/>
      <c r="AJ74" s="178"/>
      <c r="AK74" s="178"/>
      <c r="AL74" s="178"/>
      <c r="AM74" s="178"/>
      <c r="AN74" s="178"/>
      <c r="AO74" s="178"/>
      <c r="AP74" s="178"/>
      <c r="AQ74" s="178"/>
      <c r="AR74" s="178"/>
      <c r="AS74" s="178"/>
      <c r="AT74" s="178"/>
      <c r="AU74" s="177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9"/>
      <c r="BI74" s="49"/>
      <c r="BJ74" s="49"/>
      <c r="BK74" s="50"/>
    </row>
    <row r="75" spans="1:63" s="24" customFormat="1" x14ac:dyDescent="0.25">
      <c r="A75" s="19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42"/>
      <c r="M75" s="42"/>
      <c r="N75" s="42"/>
      <c r="O75" s="42"/>
      <c r="P75" s="42"/>
      <c r="Q75" s="42"/>
      <c r="R75" s="42"/>
      <c r="S75" s="43"/>
      <c r="T75" s="17"/>
      <c r="U75" s="17"/>
      <c r="V75" s="17"/>
      <c r="W75" s="17"/>
      <c r="X75" s="17"/>
      <c r="Y75" s="17"/>
      <c r="Z75" s="17"/>
      <c r="AA75" s="17"/>
      <c r="AB75" s="17"/>
      <c r="AC75" s="44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17"/>
      <c r="BI75" s="17"/>
      <c r="BJ75" s="17"/>
      <c r="BK75" s="23"/>
    </row>
    <row r="76" spans="1:63" s="24" customFormat="1" x14ac:dyDescent="0.25">
      <c r="A76" s="19"/>
      <c r="B76" s="27"/>
      <c r="C76" s="27"/>
      <c r="D76" s="27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3"/>
      <c r="T76" s="17"/>
      <c r="U76" s="17"/>
      <c r="V76" s="17"/>
      <c r="W76" s="17"/>
      <c r="X76" s="17"/>
      <c r="Y76" s="17"/>
      <c r="Z76" s="17"/>
      <c r="AA76" s="17"/>
      <c r="AB76" s="17"/>
      <c r="AC76" s="44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17"/>
      <c r="BI76" s="17"/>
      <c r="BJ76" s="17"/>
      <c r="BK76" s="23"/>
    </row>
    <row r="77" spans="1:63" s="24" customFormat="1" x14ac:dyDescent="0.25">
      <c r="A77" s="19"/>
      <c r="B77" s="27"/>
      <c r="C77" s="27"/>
      <c r="D77" s="27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5"/>
      <c r="T77" s="46"/>
      <c r="U77" s="46"/>
      <c r="V77" s="46"/>
      <c r="W77" s="46"/>
      <c r="X77" s="46"/>
      <c r="Y77" s="46"/>
      <c r="Z77" s="46"/>
      <c r="AA77" s="46"/>
      <c r="AB77" s="46"/>
      <c r="AC77" s="44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17"/>
      <c r="BI77" s="17"/>
      <c r="BJ77" s="17"/>
      <c r="BK77" s="23"/>
    </row>
    <row r="78" spans="1:63" s="51" customFormat="1" ht="15" customHeight="1" x14ac:dyDescent="0.25">
      <c r="A78" s="47"/>
      <c r="B78" s="48"/>
      <c r="C78" s="57" t="s">
        <v>173</v>
      </c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9"/>
      <c r="BI78" s="49"/>
      <c r="BJ78" s="49"/>
      <c r="BK78" s="50"/>
    </row>
    <row r="79" spans="1:63" s="51" customFormat="1" ht="15" customHeight="1" x14ac:dyDescent="0.25">
      <c r="A79" s="47"/>
      <c r="B79" s="48"/>
      <c r="C79" s="57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9"/>
      <c r="BI79" s="49"/>
      <c r="BJ79" s="49"/>
      <c r="BK79" s="50"/>
    </row>
    <row r="80" spans="1:63" s="51" customFormat="1" ht="15" customHeight="1" x14ac:dyDescent="0.25">
      <c r="A80" s="47"/>
      <c r="B80" s="48"/>
      <c r="C80" s="58" t="s">
        <v>46</v>
      </c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60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9"/>
      <c r="BI80" s="49"/>
      <c r="BJ80" s="49"/>
      <c r="BK80" s="50"/>
    </row>
    <row r="81" spans="1:63" s="51" customFormat="1" ht="15" customHeight="1" x14ac:dyDescent="0.25">
      <c r="A81" s="47"/>
      <c r="B81" s="48"/>
      <c r="C81" s="61" t="s">
        <v>174</v>
      </c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62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9"/>
      <c r="BI81" s="49"/>
      <c r="BJ81" s="49"/>
      <c r="BK81" s="50"/>
    </row>
    <row r="82" spans="1:63" s="51" customFormat="1" ht="15" customHeight="1" x14ac:dyDescent="0.25">
      <c r="A82" s="47"/>
      <c r="B82" s="48"/>
      <c r="C82" s="47" t="s">
        <v>175</v>
      </c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62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9"/>
      <c r="BI82" s="49"/>
      <c r="BJ82" s="49"/>
      <c r="BK82" s="50"/>
    </row>
    <row r="83" spans="1:63" s="51" customFormat="1" ht="15" customHeight="1" x14ac:dyDescent="0.25">
      <c r="A83" s="47"/>
      <c r="B83" s="48"/>
      <c r="C83" s="47" t="s">
        <v>176</v>
      </c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62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9"/>
      <c r="BI83" s="49"/>
      <c r="BJ83" s="49"/>
      <c r="BK83" s="50"/>
    </row>
    <row r="84" spans="1:63" s="51" customFormat="1" ht="15" customHeight="1" x14ac:dyDescent="0.25">
      <c r="A84" s="47"/>
      <c r="B84" s="48"/>
      <c r="C84" s="47" t="s">
        <v>177</v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62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9"/>
      <c r="BI84" s="49"/>
      <c r="BJ84" s="49"/>
      <c r="BK84" s="50"/>
    </row>
    <row r="85" spans="1:63" s="51" customFormat="1" ht="15" customHeight="1" x14ac:dyDescent="0.25">
      <c r="A85" s="47"/>
      <c r="B85" s="48"/>
      <c r="C85" s="47" t="s">
        <v>178</v>
      </c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62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9"/>
      <c r="BI85" s="49"/>
      <c r="BJ85" s="49"/>
      <c r="BK85" s="50"/>
    </row>
    <row r="86" spans="1:63" s="51" customFormat="1" ht="15" customHeight="1" x14ac:dyDescent="0.25">
      <c r="A86" s="47"/>
      <c r="B86" s="48"/>
      <c r="C86" s="47" t="s">
        <v>179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62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9"/>
      <c r="BI86" s="49"/>
      <c r="BJ86" s="49"/>
      <c r="BK86" s="50"/>
    </row>
    <row r="87" spans="1:63" s="51" customFormat="1" ht="15" customHeight="1" x14ac:dyDescent="0.25">
      <c r="A87" s="47"/>
      <c r="B87" s="48"/>
      <c r="C87" s="47" t="s">
        <v>180</v>
      </c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62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9"/>
      <c r="BI87" s="49"/>
      <c r="BJ87" s="49"/>
      <c r="BK87" s="50"/>
    </row>
    <row r="88" spans="1:63" s="51" customFormat="1" ht="15" customHeight="1" x14ac:dyDescent="0.25">
      <c r="A88" s="47"/>
      <c r="B88" s="48"/>
      <c r="C88" s="47" t="s">
        <v>181</v>
      </c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62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9"/>
      <c r="BI88" s="49"/>
      <c r="BJ88" s="49"/>
      <c r="BK88" s="50"/>
    </row>
    <row r="89" spans="1:63" s="51" customFormat="1" ht="15" customHeight="1" x14ac:dyDescent="0.25">
      <c r="A89" s="47"/>
      <c r="B89" s="48"/>
      <c r="C89" s="47" t="s">
        <v>182</v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62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9"/>
      <c r="BI89" s="49"/>
      <c r="BJ89" s="49"/>
      <c r="BK89" s="50"/>
    </row>
    <row r="90" spans="1:63" s="51" customFormat="1" ht="15" customHeight="1" x14ac:dyDescent="0.25">
      <c r="A90" s="47"/>
      <c r="B90" s="48"/>
      <c r="C90" s="61" t="s">
        <v>183</v>
      </c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62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9"/>
      <c r="BI90" s="49"/>
      <c r="BJ90" s="49"/>
      <c r="BK90" s="50"/>
    </row>
    <row r="91" spans="1:63" s="51" customFormat="1" ht="15" customHeight="1" x14ac:dyDescent="0.25">
      <c r="A91" s="47"/>
      <c r="B91" s="48"/>
      <c r="C91" s="61" t="s">
        <v>184</v>
      </c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62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9"/>
      <c r="BI91" s="49"/>
      <c r="BJ91" s="49"/>
      <c r="BK91" s="50"/>
    </row>
    <row r="92" spans="1:63" s="51" customFormat="1" ht="15" customHeight="1" x14ac:dyDescent="0.25">
      <c r="A92" s="47"/>
      <c r="B92" s="48"/>
      <c r="C92" s="47" t="s">
        <v>185</v>
      </c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62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9"/>
      <c r="BI92" s="49"/>
      <c r="BJ92" s="49"/>
      <c r="BK92" s="50"/>
    </row>
    <row r="93" spans="1:63" s="51" customFormat="1" ht="15" customHeight="1" x14ac:dyDescent="0.25">
      <c r="A93" s="47"/>
      <c r="B93" s="48"/>
      <c r="C93" s="47" t="s">
        <v>186</v>
      </c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62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9"/>
      <c r="BI93" s="49"/>
      <c r="BJ93" s="49"/>
      <c r="BK93" s="50"/>
    </row>
    <row r="94" spans="1:63" s="51" customFormat="1" ht="15" customHeight="1" x14ac:dyDescent="0.25">
      <c r="A94" s="47"/>
      <c r="B94" s="48"/>
      <c r="C94" s="47" t="s">
        <v>187</v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62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9"/>
      <c r="BI94" s="49"/>
      <c r="BJ94" s="49"/>
      <c r="BK94" s="50"/>
    </row>
    <row r="95" spans="1:63" s="51" customFormat="1" ht="15" customHeight="1" x14ac:dyDescent="0.25">
      <c r="A95" s="47"/>
      <c r="B95" s="48"/>
      <c r="C95" s="47" t="s">
        <v>188</v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62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9"/>
      <c r="BI95" s="49"/>
      <c r="BJ95" s="49"/>
      <c r="BK95" s="50"/>
    </row>
    <row r="96" spans="1:63" s="51" customFormat="1" ht="15" customHeight="1" x14ac:dyDescent="0.25">
      <c r="A96" s="47"/>
      <c r="B96" s="48"/>
      <c r="C96" s="47" t="s">
        <v>189</v>
      </c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62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9"/>
      <c r="BI96" s="49"/>
      <c r="BJ96" s="49"/>
      <c r="BK96" s="50"/>
    </row>
    <row r="97" spans="1:63" s="51" customFormat="1" ht="15" customHeight="1" x14ac:dyDescent="0.25">
      <c r="A97" s="47"/>
      <c r="B97" s="48"/>
      <c r="C97" s="47" t="s">
        <v>190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62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9"/>
      <c r="BI97" s="49"/>
      <c r="BJ97" s="49"/>
      <c r="BK97" s="50"/>
    </row>
    <row r="98" spans="1:63" s="51" customFormat="1" ht="15" customHeight="1" x14ac:dyDescent="0.25">
      <c r="A98" s="47"/>
      <c r="B98" s="48"/>
      <c r="C98" s="47" t="s">
        <v>191</v>
      </c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62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9"/>
      <c r="BI98" s="49"/>
      <c r="BJ98" s="49"/>
      <c r="BK98" s="50"/>
    </row>
    <row r="99" spans="1:63" s="51" customFormat="1" ht="15" customHeight="1" x14ac:dyDescent="0.25">
      <c r="A99" s="47"/>
      <c r="B99" s="48"/>
      <c r="C99" s="47" t="s">
        <v>192</v>
      </c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62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9"/>
      <c r="BI99" s="49"/>
      <c r="BJ99" s="49"/>
      <c r="BK99" s="50"/>
    </row>
    <row r="100" spans="1:63" s="51" customFormat="1" ht="15" customHeight="1" x14ac:dyDescent="0.25">
      <c r="A100" s="47"/>
      <c r="B100" s="48"/>
      <c r="C100" s="47" t="s">
        <v>193</v>
      </c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62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9"/>
      <c r="BI100" s="49"/>
      <c r="BJ100" s="49"/>
      <c r="BK100" s="50"/>
    </row>
    <row r="101" spans="1:63" s="51" customFormat="1" ht="15" customHeight="1" x14ac:dyDescent="0.25">
      <c r="A101" s="47"/>
      <c r="B101" s="48"/>
      <c r="C101" s="47" t="s">
        <v>194</v>
      </c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62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9"/>
      <c r="BI101" s="49"/>
      <c r="BJ101" s="49"/>
      <c r="BK101" s="50"/>
    </row>
    <row r="102" spans="1:63" s="51" customFormat="1" ht="15" customHeight="1" x14ac:dyDescent="0.25">
      <c r="A102" s="47"/>
      <c r="B102" s="48"/>
      <c r="C102" s="47" t="s">
        <v>195</v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62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9"/>
      <c r="BI102" s="49"/>
      <c r="BJ102" s="49"/>
      <c r="BK102" s="50"/>
    </row>
    <row r="103" spans="1:63" s="70" customFormat="1" ht="15" customHeight="1" x14ac:dyDescent="0.25">
      <c r="A103" s="66"/>
      <c r="B103" s="67"/>
      <c r="C103" s="66" t="s">
        <v>196</v>
      </c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71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8"/>
      <c r="BI103" s="68"/>
      <c r="BJ103" s="68"/>
      <c r="BK103" s="69"/>
    </row>
    <row r="104" spans="1:63" s="70" customFormat="1" ht="15" customHeight="1" x14ac:dyDescent="0.25">
      <c r="A104" s="66"/>
      <c r="B104" s="67"/>
      <c r="C104" s="66" t="s">
        <v>197</v>
      </c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71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8"/>
      <c r="BI104" s="68"/>
      <c r="BJ104" s="68"/>
      <c r="BK104" s="69"/>
    </row>
    <row r="105" spans="1:63" s="70" customFormat="1" ht="15" customHeight="1" x14ac:dyDescent="0.25">
      <c r="A105" s="66"/>
      <c r="B105" s="67"/>
      <c r="C105" s="66" t="s">
        <v>198</v>
      </c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71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8"/>
      <c r="BI105" s="68"/>
      <c r="BJ105" s="68"/>
      <c r="BK105" s="69"/>
    </row>
    <row r="106" spans="1:63" s="51" customFormat="1" ht="15" customHeight="1" x14ac:dyDescent="0.25">
      <c r="A106" s="47"/>
      <c r="B106" s="48"/>
      <c r="C106" s="61" t="s">
        <v>199</v>
      </c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62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9"/>
      <c r="BI106" s="49"/>
      <c r="BJ106" s="49"/>
      <c r="BK106" s="50"/>
    </row>
    <row r="107" spans="1:63" s="51" customFormat="1" ht="15" customHeight="1" x14ac:dyDescent="0.25">
      <c r="A107" s="47"/>
      <c r="B107" s="48"/>
      <c r="C107" s="47" t="s">
        <v>200</v>
      </c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62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9"/>
      <c r="BI107" s="49"/>
      <c r="BJ107" s="49"/>
      <c r="BK107" s="50"/>
    </row>
    <row r="108" spans="1:63" s="51" customFormat="1" ht="15" customHeight="1" x14ac:dyDescent="0.25">
      <c r="A108" s="47"/>
      <c r="B108" s="48"/>
      <c r="C108" s="47" t="s">
        <v>201</v>
      </c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62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9"/>
      <c r="BI108" s="49"/>
      <c r="BJ108" s="49"/>
      <c r="BK108" s="50"/>
    </row>
    <row r="109" spans="1:63" s="51" customFormat="1" ht="15" customHeight="1" x14ac:dyDescent="0.25">
      <c r="A109" s="47"/>
      <c r="B109" s="48"/>
      <c r="C109" s="47" t="s">
        <v>202</v>
      </c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62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9"/>
      <c r="BI109" s="49"/>
      <c r="BJ109" s="49"/>
      <c r="BK109" s="50"/>
    </row>
    <row r="110" spans="1:63" s="51" customFormat="1" ht="15" customHeight="1" x14ac:dyDescent="0.25">
      <c r="A110" s="47"/>
      <c r="B110" s="48"/>
      <c r="C110" s="47" t="s">
        <v>203</v>
      </c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62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9"/>
      <c r="BI110" s="49"/>
      <c r="BJ110" s="49"/>
      <c r="BK110" s="50"/>
    </row>
    <row r="111" spans="1:63" s="51" customFormat="1" ht="15" customHeight="1" x14ac:dyDescent="0.25">
      <c r="A111" s="47"/>
      <c r="B111" s="48"/>
      <c r="C111" s="47" t="s">
        <v>204</v>
      </c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62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9"/>
      <c r="BI111" s="49"/>
      <c r="BJ111" s="49"/>
      <c r="BK111" s="50"/>
    </row>
    <row r="112" spans="1:63" s="51" customFormat="1" ht="15" customHeight="1" x14ac:dyDescent="0.25">
      <c r="A112" s="47"/>
      <c r="B112" s="48"/>
      <c r="C112" s="47" t="s">
        <v>205</v>
      </c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62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9"/>
      <c r="BI112" s="49"/>
      <c r="BJ112" s="49"/>
      <c r="BK112" s="50"/>
    </row>
    <row r="113" spans="1:63" s="51" customFormat="1" ht="15" customHeight="1" x14ac:dyDescent="0.25">
      <c r="A113" s="47"/>
      <c r="B113" s="48"/>
      <c r="C113" s="47" t="s">
        <v>206</v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62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9"/>
      <c r="BI113" s="49"/>
      <c r="BJ113" s="49"/>
      <c r="BK113" s="50"/>
    </row>
    <row r="114" spans="1:63" s="51" customFormat="1" ht="15" customHeight="1" x14ac:dyDescent="0.25">
      <c r="A114" s="47"/>
      <c r="B114" s="48"/>
      <c r="C114" s="54" t="s">
        <v>47</v>
      </c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6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9"/>
      <c r="BI114" s="49"/>
      <c r="BJ114" s="49"/>
      <c r="BK114" s="50"/>
    </row>
    <row r="115" spans="1:63" s="24" customFormat="1" ht="15" customHeight="1" x14ac:dyDescent="0.25">
      <c r="A115" s="19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17"/>
      <c r="BI115" s="17"/>
      <c r="BJ115" s="17"/>
      <c r="BK115" s="23"/>
    </row>
    <row r="116" spans="1:63" s="24" customFormat="1" ht="15" customHeight="1" x14ac:dyDescent="0.25">
      <c r="A116" s="19"/>
      <c r="B116" s="20" t="s">
        <v>207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2"/>
      <c r="BI116" s="22"/>
      <c r="BJ116" s="22"/>
      <c r="BK116" s="23"/>
    </row>
    <row r="117" spans="1:63" s="24" customFormat="1" ht="15" customHeight="1" x14ac:dyDescent="0.25">
      <c r="A117" s="19"/>
      <c r="B117" s="25"/>
      <c r="C117" s="29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17"/>
      <c r="BI117" s="17"/>
      <c r="BJ117" s="17"/>
      <c r="BK117" s="23"/>
    </row>
    <row r="118" spans="1:63" s="24" customFormat="1" ht="15" customHeight="1" x14ac:dyDescent="0.25">
      <c r="A118" s="19"/>
      <c r="B118" s="25"/>
      <c r="C118" s="29" t="s">
        <v>208</v>
      </c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17"/>
      <c r="BI118" s="17"/>
      <c r="BJ118" s="17"/>
      <c r="BK118" s="23"/>
    </row>
    <row r="119" spans="1:63" s="24" customFormat="1" ht="15" customHeight="1" x14ac:dyDescent="0.25">
      <c r="A119" s="19"/>
      <c r="B119" s="25"/>
      <c r="C119" s="25" t="s">
        <v>34</v>
      </c>
      <c r="D119" s="25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17"/>
      <c r="BI119" s="17"/>
      <c r="BJ119" s="17"/>
      <c r="BK119" s="23"/>
    </row>
    <row r="120" spans="1:63" s="24" customFormat="1" ht="15" customHeight="1" x14ac:dyDescent="0.25">
      <c r="A120" s="19"/>
      <c r="B120" s="27"/>
      <c r="C120" s="27"/>
      <c r="D120" s="313"/>
      <c r="E120" s="31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17"/>
      <c r="BI120" s="17"/>
      <c r="BJ120" s="17"/>
      <c r="BK120" s="23"/>
    </row>
    <row r="121" spans="1:63" s="24" customFormat="1" ht="15" customHeight="1" x14ac:dyDescent="0.25">
      <c r="A121" s="19"/>
      <c r="B121" s="27"/>
      <c r="C121" s="25" t="s">
        <v>209</v>
      </c>
      <c r="D121" s="27"/>
      <c r="E121" s="31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17"/>
      <c r="BI121" s="17"/>
      <c r="BJ121" s="17"/>
      <c r="BK121" s="23"/>
    </row>
    <row r="122" spans="1:63" s="24" customFormat="1" ht="15" customHeight="1" x14ac:dyDescent="0.25">
      <c r="A122" s="19"/>
      <c r="B122" s="27"/>
      <c r="C122" s="25"/>
      <c r="D122" s="27"/>
      <c r="E122" s="31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17"/>
      <c r="BI122" s="17"/>
      <c r="BJ122" s="17"/>
      <c r="BK122" s="23"/>
    </row>
    <row r="123" spans="1:63" s="24" customFormat="1" ht="15" customHeight="1" x14ac:dyDescent="0.25">
      <c r="A123" s="19"/>
      <c r="B123" s="27"/>
      <c r="C123" s="25" t="s">
        <v>34</v>
      </c>
      <c r="D123" s="27"/>
      <c r="E123" s="31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17"/>
      <c r="BI123" s="17"/>
      <c r="BJ123" s="17"/>
      <c r="BK123" s="23"/>
    </row>
    <row r="124" spans="1:63" s="39" customFormat="1" ht="15" customHeight="1" x14ac:dyDescent="0.25">
      <c r="A124" s="34"/>
      <c r="B124" s="35"/>
      <c r="C124" s="35"/>
      <c r="D124" s="35"/>
      <c r="E124" s="36"/>
      <c r="F124" s="36"/>
      <c r="G124" s="36"/>
      <c r="H124" s="36"/>
      <c r="I124" s="36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7"/>
      <c r="BI124" s="37"/>
      <c r="BJ124" s="37"/>
      <c r="BK124" s="38"/>
    </row>
  </sheetData>
  <mergeCells count="269">
    <mergeCell ref="C73:D73"/>
    <mergeCell ref="E73:K73"/>
    <mergeCell ref="AC73:AU73"/>
    <mergeCell ref="C74:D74"/>
    <mergeCell ref="E74:K74"/>
    <mergeCell ref="L74:R74"/>
    <mergeCell ref="S74:AB74"/>
    <mergeCell ref="AC74:AU74"/>
    <mergeCell ref="C71:D71"/>
    <mergeCell ref="E71:K71"/>
    <mergeCell ref="L71:R71"/>
    <mergeCell ref="AC71:AU71"/>
    <mergeCell ref="C72:D72"/>
    <mergeCell ref="E72:K72"/>
    <mergeCell ref="AC72:AU72"/>
    <mergeCell ref="C70:D70"/>
    <mergeCell ref="E70:K70"/>
    <mergeCell ref="L70:R70"/>
    <mergeCell ref="S70:AB70"/>
    <mergeCell ref="AC70:AU70"/>
    <mergeCell ref="C69:D69"/>
    <mergeCell ref="E69:K69"/>
    <mergeCell ref="L69:R69"/>
    <mergeCell ref="S69:AB69"/>
    <mergeCell ref="AC69:AU69"/>
    <mergeCell ref="C68:D68"/>
    <mergeCell ref="E68:K68"/>
    <mergeCell ref="L68:R68"/>
    <mergeCell ref="S68:AB68"/>
    <mergeCell ref="AC68:AU68"/>
    <mergeCell ref="C67:D67"/>
    <mergeCell ref="E67:K67"/>
    <mergeCell ref="L67:R67"/>
    <mergeCell ref="S67:AB67"/>
    <mergeCell ref="AC67:AU67"/>
    <mergeCell ref="C66:D66"/>
    <mergeCell ref="E66:K66"/>
    <mergeCell ref="L66:R66"/>
    <mergeCell ref="S66:AB66"/>
    <mergeCell ref="AC66:AU66"/>
    <mergeCell ref="C65:D65"/>
    <mergeCell ref="E65:K65"/>
    <mergeCell ref="L65:R65"/>
    <mergeCell ref="S65:AB65"/>
    <mergeCell ref="AC65:AU65"/>
    <mergeCell ref="C64:D64"/>
    <mergeCell ref="E64:K64"/>
    <mergeCell ref="L64:R64"/>
    <mergeCell ref="S64:AB64"/>
    <mergeCell ref="AC64:AU64"/>
    <mergeCell ref="C63:D63"/>
    <mergeCell ref="E63:K63"/>
    <mergeCell ref="L63:R63"/>
    <mergeCell ref="S63:AB63"/>
    <mergeCell ref="AC63:AU63"/>
    <mergeCell ref="C62:D62"/>
    <mergeCell ref="E62:K62"/>
    <mergeCell ref="L62:R62"/>
    <mergeCell ref="S62:AB62"/>
    <mergeCell ref="AC62:AU62"/>
    <mergeCell ref="C61:D61"/>
    <mergeCell ref="E61:K61"/>
    <mergeCell ref="L61:R61"/>
    <mergeCell ref="S61:AB61"/>
    <mergeCell ref="AC61:AU61"/>
    <mergeCell ref="C60:D60"/>
    <mergeCell ref="E60:K60"/>
    <mergeCell ref="L60:R60"/>
    <mergeCell ref="S60:AB60"/>
    <mergeCell ref="AC60:AU60"/>
    <mergeCell ref="C59:D59"/>
    <mergeCell ref="E59:K59"/>
    <mergeCell ref="L59:R59"/>
    <mergeCell ref="S59:AB59"/>
    <mergeCell ref="AC59:AU59"/>
    <mergeCell ref="C58:D58"/>
    <mergeCell ref="E58:K58"/>
    <mergeCell ref="L58:R58"/>
    <mergeCell ref="S58:AB58"/>
    <mergeCell ref="AC58:AU58"/>
    <mergeCell ref="C57:D57"/>
    <mergeCell ref="E57:K57"/>
    <mergeCell ref="L57:R57"/>
    <mergeCell ref="S57:AB57"/>
    <mergeCell ref="AC57:AU57"/>
    <mergeCell ref="C56:D56"/>
    <mergeCell ref="E56:K56"/>
    <mergeCell ref="L56:R56"/>
    <mergeCell ref="S56:AB56"/>
    <mergeCell ref="AC56:AU56"/>
    <mergeCell ref="C55:D55"/>
    <mergeCell ref="E55:K55"/>
    <mergeCell ref="L55:R55"/>
    <mergeCell ref="S55:AB55"/>
    <mergeCell ref="AC55:AU55"/>
    <mergeCell ref="C54:D54"/>
    <mergeCell ref="E54:K54"/>
    <mergeCell ref="L54:R54"/>
    <mergeCell ref="S54:AB54"/>
    <mergeCell ref="AC54:AU54"/>
    <mergeCell ref="C53:D53"/>
    <mergeCell ref="E53:K53"/>
    <mergeCell ref="L53:R53"/>
    <mergeCell ref="S53:AB53"/>
    <mergeCell ref="AC53:AU53"/>
    <mergeCell ref="C52:D52"/>
    <mergeCell ref="E52:K52"/>
    <mergeCell ref="L52:R52"/>
    <mergeCell ref="S52:AB52"/>
    <mergeCell ref="AC52:AU52"/>
    <mergeCell ref="C51:D51"/>
    <mergeCell ref="E51:K51"/>
    <mergeCell ref="L51:R51"/>
    <mergeCell ref="S51:AB51"/>
    <mergeCell ref="AC51:AU51"/>
    <mergeCell ref="C50:D50"/>
    <mergeCell ref="E50:K50"/>
    <mergeCell ref="L50:R50"/>
    <mergeCell ref="S50:AB50"/>
    <mergeCell ref="AC50:AU50"/>
    <mergeCell ref="C49:D49"/>
    <mergeCell ref="E49:K49"/>
    <mergeCell ref="L49:R49"/>
    <mergeCell ref="S49:AB49"/>
    <mergeCell ref="AC49:AU49"/>
    <mergeCell ref="C48:D48"/>
    <mergeCell ref="E48:K48"/>
    <mergeCell ref="L48:R48"/>
    <mergeCell ref="S48:AB48"/>
    <mergeCell ref="AC48:AU48"/>
    <mergeCell ref="C47:D47"/>
    <mergeCell ref="E47:K47"/>
    <mergeCell ref="L47:R47"/>
    <mergeCell ref="S47:AB47"/>
    <mergeCell ref="AC47:AU47"/>
    <mergeCell ref="C46:D46"/>
    <mergeCell ref="E46:K46"/>
    <mergeCell ref="L46:R46"/>
    <mergeCell ref="S46:AB46"/>
    <mergeCell ref="AC46:AU46"/>
    <mergeCell ref="C45:D45"/>
    <mergeCell ref="E45:K45"/>
    <mergeCell ref="L45:R45"/>
    <mergeCell ref="S45:AB45"/>
    <mergeCell ref="AC45:AU45"/>
    <mergeCell ref="C44:D44"/>
    <mergeCell ref="E44:K44"/>
    <mergeCell ref="L44:R44"/>
    <mergeCell ref="S44:AB44"/>
    <mergeCell ref="AC44:AU44"/>
    <mergeCell ref="C43:D43"/>
    <mergeCell ref="E43:K43"/>
    <mergeCell ref="L43:R43"/>
    <mergeCell ref="S43:AB43"/>
    <mergeCell ref="AC43:AU43"/>
    <mergeCell ref="C42:D42"/>
    <mergeCell ref="E42:K42"/>
    <mergeCell ref="L42:R42"/>
    <mergeCell ref="S42:AB42"/>
    <mergeCell ref="AC42:AU42"/>
    <mergeCell ref="C39:D39"/>
    <mergeCell ref="E39:K39"/>
    <mergeCell ref="L39:R39"/>
    <mergeCell ref="S39:AB39"/>
    <mergeCell ref="AC39:AU39"/>
    <mergeCell ref="C41:D41"/>
    <mergeCell ref="E41:K41"/>
    <mergeCell ref="L41:R41"/>
    <mergeCell ref="S41:AB41"/>
    <mergeCell ref="AC41:AU41"/>
    <mergeCell ref="C40:D40"/>
    <mergeCell ref="E40:K40"/>
    <mergeCell ref="L40:R40"/>
    <mergeCell ref="S40:AB40"/>
    <mergeCell ref="AC40:AU40"/>
    <mergeCell ref="C38:D38"/>
    <mergeCell ref="E38:K38"/>
    <mergeCell ref="L38:R38"/>
    <mergeCell ref="S38:AB38"/>
    <mergeCell ref="AC38:AU38"/>
    <mergeCell ref="C37:D37"/>
    <mergeCell ref="E37:K37"/>
    <mergeCell ref="L37:R37"/>
    <mergeCell ref="S37:AB37"/>
    <mergeCell ref="AC37:AU37"/>
    <mergeCell ref="AQ32:BJ32"/>
    <mergeCell ref="O27:R27"/>
    <mergeCell ref="C32:D32"/>
    <mergeCell ref="E32:K32"/>
    <mergeCell ref="L32:N32"/>
    <mergeCell ref="O32:R32"/>
    <mergeCell ref="AQ23:BJ25"/>
    <mergeCell ref="S22:Y22"/>
    <mergeCell ref="C26:D26"/>
    <mergeCell ref="E26:K26"/>
    <mergeCell ref="C22:D22"/>
    <mergeCell ref="E23:K25"/>
    <mergeCell ref="AQ22:BJ22"/>
    <mergeCell ref="C27:D27"/>
    <mergeCell ref="Z26:AP26"/>
    <mergeCell ref="E27:K27"/>
    <mergeCell ref="L27:N27"/>
    <mergeCell ref="S27:Y27"/>
    <mergeCell ref="Z27:AP27"/>
    <mergeCell ref="E21:K21"/>
    <mergeCell ref="BH2:BK3"/>
    <mergeCell ref="AP4:BK4"/>
    <mergeCell ref="W1:AO3"/>
    <mergeCell ref="E16:AF16"/>
    <mergeCell ref="A4:G4"/>
    <mergeCell ref="H4:T4"/>
    <mergeCell ref="U4:Y4"/>
    <mergeCell ref="Z4:AO4"/>
    <mergeCell ref="BC2:BG3"/>
    <mergeCell ref="BH1:BK1"/>
    <mergeCell ref="AP1:AS1"/>
    <mergeCell ref="A1:J1"/>
    <mergeCell ref="BC1:BG1"/>
    <mergeCell ref="AT1:AX1"/>
    <mergeCell ref="AY1:BB1"/>
    <mergeCell ref="K1:V1"/>
    <mergeCell ref="C33:D33"/>
    <mergeCell ref="AQ33:BJ33"/>
    <mergeCell ref="Z33:AP33"/>
    <mergeCell ref="L33:N33"/>
    <mergeCell ref="E33:K33"/>
    <mergeCell ref="O33:R33"/>
    <mergeCell ref="AT2:AX3"/>
    <mergeCell ref="AY2:BB3"/>
    <mergeCell ref="S20:Y20"/>
    <mergeCell ref="Z20:AP20"/>
    <mergeCell ref="AP2:AS3"/>
    <mergeCell ref="AG15:AP15"/>
    <mergeCell ref="AQ15:BJ15"/>
    <mergeCell ref="AG16:AP16"/>
    <mergeCell ref="S33:Y33"/>
    <mergeCell ref="S32:Y32"/>
    <mergeCell ref="Z32:AP32"/>
    <mergeCell ref="AQ26:BJ26"/>
    <mergeCell ref="S23:Y25"/>
    <mergeCell ref="S21:Y21"/>
    <mergeCell ref="L22:N22"/>
    <mergeCell ref="L23:N25"/>
    <mergeCell ref="S26:Y26"/>
    <mergeCell ref="E22:K22"/>
    <mergeCell ref="AQ27:BJ27"/>
    <mergeCell ref="Z23:AP25"/>
    <mergeCell ref="Z22:AP22"/>
    <mergeCell ref="A2:J3"/>
    <mergeCell ref="K2:V3"/>
    <mergeCell ref="E20:K20"/>
    <mergeCell ref="C20:D20"/>
    <mergeCell ref="C23:D25"/>
    <mergeCell ref="O22:R22"/>
    <mergeCell ref="O26:R26"/>
    <mergeCell ref="O23:R25"/>
    <mergeCell ref="L21:N21"/>
    <mergeCell ref="L26:N26"/>
    <mergeCell ref="AQ21:BJ21"/>
    <mergeCell ref="AQ20:BJ20"/>
    <mergeCell ref="C21:D21"/>
    <mergeCell ref="O20:R20"/>
    <mergeCell ref="L20:N20"/>
    <mergeCell ref="Z21:AP21"/>
    <mergeCell ref="O21:R21"/>
    <mergeCell ref="C15:D15"/>
    <mergeCell ref="C16:D16"/>
    <mergeCell ref="E15:AF15"/>
    <mergeCell ref="AQ16:BJ16"/>
  </mergeCells>
  <pageMargins left="0.7" right="0.7" top="0.75" bottom="0.75" header="0.3" footer="0.3"/>
  <pageSetup scale="3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93" t="s">
        <v>50</v>
      </c>
      <c r="B1" s="294"/>
      <c r="C1" s="294"/>
      <c r="D1" s="294"/>
      <c r="E1" s="294"/>
      <c r="F1" s="294"/>
      <c r="G1" s="294"/>
      <c r="H1" s="294"/>
      <c r="I1" s="294"/>
      <c r="J1" s="295"/>
      <c r="K1" s="293" t="s">
        <v>51</v>
      </c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5"/>
      <c r="W1" s="296" t="str">
        <f>IF(表紙!W1="","",表紙!W1)</f>
        <v>詳細設計書</v>
      </c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  <c r="AM1" s="297"/>
      <c r="AN1" s="297"/>
      <c r="AO1" s="298"/>
      <c r="AP1" s="219" t="s">
        <v>53</v>
      </c>
      <c r="AQ1" s="220"/>
      <c r="AR1" s="220"/>
      <c r="AS1" s="221"/>
      <c r="AT1" s="219" t="s">
        <v>54</v>
      </c>
      <c r="AU1" s="220"/>
      <c r="AV1" s="220"/>
      <c r="AW1" s="220"/>
      <c r="AX1" s="221"/>
      <c r="AY1" s="219" t="s">
        <v>55</v>
      </c>
      <c r="AZ1" s="220"/>
      <c r="BA1" s="220"/>
      <c r="BB1" s="221"/>
      <c r="BC1" s="219" t="s">
        <v>56</v>
      </c>
      <c r="BD1" s="220"/>
      <c r="BE1" s="220"/>
      <c r="BF1" s="220"/>
      <c r="BG1" s="221"/>
      <c r="BH1" s="219" t="s">
        <v>57</v>
      </c>
      <c r="BI1" s="220"/>
      <c r="BJ1" s="220"/>
      <c r="BK1" s="221"/>
    </row>
    <row r="2" spans="1:63" ht="15" customHeight="1" x14ac:dyDescent="0.25">
      <c r="A2" s="127" t="str">
        <f>IF(表紙!A2="","",表紙!A2)</f>
        <v>POSサーバー</v>
      </c>
      <c r="B2" s="128"/>
      <c r="C2" s="128"/>
      <c r="D2" s="128"/>
      <c r="E2" s="128"/>
      <c r="F2" s="128"/>
      <c r="G2" s="128"/>
      <c r="H2" s="128"/>
      <c r="I2" s="128"/>
      <c r="J2" s="129"/>
      <c r="K2" s="127" t="str">
        <f>IF(表紙!K2="","",表紙!K2)</f>
        <v>POSサーバー</v>
      </c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9"/>
      <c r="W2" s="299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1"/>
      <c r="AP2" s="228" t="str">
        <f>IF(表紙!AP2="","",表紙!AP2)</f>
        <v>DuNT</v>
      </c>
      <c r="AQ2" s="226"/>
      <c r="AR2" s="226"/>
      <c r="AS2" s="227"/>
      <c r="AT2" s="232">
        <f>IF(表紙!AT2="","",表紙!AT2)</f>
        <v>45665</v>
      </c>
      <c r="AU2" s="233"/>
      <c r="AV2" s="233"/>
      <c r="AW2" s="233"/>
      <c r="AX2" s="234"/>
      <c r="AY2" s="228" t="str">
        <f>IF(表紙!AY2="","",表紙!AY2)</f>
        <v>DuNT</v>
      </c>
      <c r="AZ2" s="226"/>
      <c r="BA2" s="226"/>
      <c r="BB2" s="227"/>
      <c r="BC2" s="232">
        <f>IF(表紙!BC2="","",表紙!BC2)</f>
        <v>45721</v>
      </c>
      <c r="BD2" s="233"/>
      <c r="BE2" s="233"/>
      <c r="BF2" s="233"/>
      <c r="BG2" s="234"/>
      <c r="BH2" s="228">
        <f>IF(表紙!BH2="","",表紙!BH2)</f>
        <v>0.12</v>
      </c>
      <c r="BI2" s="226"/>
      <c r="BJ2" s="226"/>
      <c r="BK2" s="227"/>
    </row>
    <row r="3" spans="1:63" ht="15" customHeight="1" x14ac:dyDescent="0.25">
      <c r="A3" s="130"/>
      <c r="B3" s="131"/>
      <c r="C3" s="131"/>
      <c r="D3" s="131"/>
      <c r="E3" s="131"/>
      <c r="F3" s="131"/>
      <c r="G3" s="131"/>
      <c r="H3" s="131"/>
      <c r="I3" s="131"/>
      <c r="J3" s="132"/>
      <c r="K3" s="130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2"/>
      <c r="W3" s="302"/>
      <c r="X3" s="303"/>
      <c r="Y3" s="303"/>
      <c r="Z3" s="303"/>
      <c r="AA3" s="303"/>
      <c r="AB3" s="303"/>
      <c r="AC3" s="303"/>
      <c r="AD3" s="303"/>
      <c r="AE3" s="303"/>
      <c r="AF3" s="303"/>
      <c r="AG3" s="303"/>
      <c r="AH3" s="303"/>
      <c r="AI3" s="303"/>
      <c r="AJ3" s="303"/>
      <c r="AK3" s="303"/>
      <c r="AL3" s="303"/>
      <c r="AM3" s="303"/>
      <c r="AN3" s="303"/>
      <c r="AO3" s="304"/>
      <c r="AP3" s="238"/>
      <c r="AQ3" s="239"/>
      <c r="AR3" s="239"/>
      <c r="AS3" s="240"/>
      <c r="AT3" s="244"/>
      <c r="AU3" s="245"/>
      <c r="AV3" s="245"/>
      <c r="AW3" s="245"/>
      <c r="AX3" s="246"/>
      <c r="AY3" s="238"/>
      <c r="AZ3" s="239"/>
      <c r="BA3" s="239"/>
      <c r="BB3" s="240"/>
      <c r="BC3" s="244"/>
      <c r="BD3" s="245"/>
      <c r="BE3" s="245"/>
      <c r="BF3" s="245"/>
      <c r="BG3" s="246"/>
      <c r="BH3" s="238"/>
      <c r="BI3" s="239"/>
      <c r="BJ3" s="239"/>
      <c r="BK3" s="240"/>
    </row>
    <row r="4" spans="1:63" ht="24.95" customHeight="1" x14ac:dyDescent="0.25">
      <c r="A4" s="293" t="s">
        <v>59</v>
      </c>
      <c r="B4" s="294"/>
      <c r="C4" s="294"/>
      <c r="D4" s="294"/>
      <c r="E4" s="294"/>
      <c r="F4" s="294"/>
      <c r="G4" s="295"/>
      <c r="H4" s="145" t="str">
        <f>IF(表紙!H4="","",表紙!H4)</f>
        <v>AP4502</v>
      </c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  <c r="U4" s="293" t="s">
        <v>60</v>
      </c>
      <c r="V4" s="294"/>
      <c r="W4" s="294"/>
      <c r="X4" s="294"/>
      <c r="Y4" s="295"/>
      <c r="Z4" s="145" t="str">
        <f>IF(表紙!Z4="","",表紙!Z4)</f>
        <v>API設計書</v>
      </c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7"/>
      <c r="AP4" s="148" t="str">
        <f ca="1">MID(CELL("filename",A1),FIND("]",CELL("filename",A1))+1,255)</f>
        <v>処理フロー</v>
      </c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311" customFormat="1" ht="15" customHeight="1" x14ac:dyDescent="0.25">
      <c r="B7" s="18"/>
      <c r="C7" s="17"/>
      <c r="D7" s="17"/>
      <c r="E7" s="17"/>
      <c r="F7" s="17"/>
      <c r="G7" s="17"/>
      <c r="AI7" s="368"/>
      <c r="BJ7" s="368"/>
      <c r="BK7" s="310"/>
    </row>
    <row r="8" spans="1:63" s="311" customFormat="1" ht="15" customHeight="1" x14ac:dyDescent="0.25">
      <c r="B8" s="18"/>
      <c r="C8" s="17"/>
      <c r="D8" s="17"/>
      <c r="E8" s="17"/>
      <c r="F8" s="17"/>
      <c r="G8" s="17"/>
      <c r="AI8" s="368"/>
      <c r="BJ8" s="368"/>
      <c r="BK8" s="310"/>
    </row>
    <row r="9" spans="1:63" s="311" customFormat="1" ht="15" customHeight="1" x14ac:dyDescent="0.25">
      <c r="B9" s="18"/>
      <c r="C9" s="17"/>
      <c r="D9" s="17"/>
      <c r="E9" s="17"/>
      <c r="F9" s="17"/>
      <c r="G9" s="17"/>
      <c r="AI9" s="368"/>
      <c r="BJ9" s="368"/>
      <c r="BK9" s="310"/>
    </row>
    <row r="10" spans="1:63" s="311" customFormat="1" ht="15" customHeight="1" x14ac:dyDescent="0.25">
      <c r="B10" s="18"/>
      <c r="C10" s="17"/>
      <c r="D10" s="17"/>
      <c r="E10" s="17"/>
      <c r="F10" s="17"/>
      <c r="G10" s="17"/>
      <c r="AI10" s="368"/>
      <c r="BJ10" s="368"/>
      <c r="BK10" s="310"/>
    </row>
    <row r="11" spans="1:63" s="311" customFormat="1" ht="15" customHeight="1" x14ac:dyDescent="0.25">
      <c r="B11" s="18"/>
      <c r="C11" s="17"/>
      <c r="D11" s="17"/>
      <c r="E11" s="17"/>
      <c r="F11" s="17"/>
      <c r="G11" s="17"/>
      <c r="AI11" s="368"/>
      <c r="BJ11" s="368"/>
      <c r="BK11" s="310"/>
    </row>
    <row r="12" spans="1:63" s="311" customFormat="1" ht="15" customHeight="1" x14ac:dyDescent="0.25">
      <c r="B12" s="18"/>
      <c r="C12" s="17"/>
      <c r="D12" s="17"/>
      <c r="E12" s="17"/>
      <c r="F12" s="17"/>
      <c r="G12" s="17"/>
      <c r="AI12" s="368"/>
      <c r="BJ12" s="368"/>
      <c r="BK12" s="310"/>
    </row>
    <row r="13" spans="1:63" s="311" customFormat="1" ht="15" customHeight="1" x14ac:dyDescent="0.25">
      <c r="B13" s="18"/>
      <c r="C13" s="17"/>
      <c r="D13" s="17"/>
      <c r="E13" s="17"/>
      <c r="F13" s="17"/>
      <c r="G13" s="17"/>
      <c r="AI13" s="368"/>
      <c r="BJ13" s="368"/>
      <c r="BK13" s="310"/>
    </row>
    <row r="14" spans="1:63" s="311" customFormat="1" ht="15" customHeight="1" x14ac:dyDescent="0.25">
      <c r="B14" s="369"/>
      <c r="AI14" s="368"/>
      <c r="BJ14" s="368"/>
      <c r="BK14" s="310"/>
    </row>
    <row r="15" spans="1:63" s="311" customFormat="1" ht="15" customHeight="1" x14ac:dyDescent="0.25">
      <c r="B15" s="369"/>
      <c r="AI15" s="368"/>
      <c r="BJ15" s="368"/>
      <c r="BK15" s="310"/>
    </row>
    <row r="16" spans="1:63" s="311" customFormat="1" ht="15" customHeight="1" x14ac:dyDescent="0.25">
      <c r="B16" s="369"/>
      <c r="AI16" s="368"/>
      <c r="BJ16" s="368"/>
      <c r="BK16" s="310"/>
    </row>
    <row r="17" spans="2:63" s="311" customFormat="1" ht="15" customHeight="1" x14ac:dyDescent="0.25">
      <c r="B17" s="369"/>
      <c r="AI17" s="368"/>
      <c r="BJ17" s="368"/>
      <c r="BK17" s="310"/>
    </row>
    <row r="18" spans="2:63" s="311" customFormat="1" ht="15" customHeight="1" x14ac:dyDescent="0.25">
      <c r="B18" s="369"/>
      <c r="AI18" s="368"/>
      <c r="BJ18" s="368"/>
      <c r="BK18" s="310"/>
    </row>
    <row r="19" spans="2:63" s="311" customFormat="1" ht="15" customHeight="1" x14ac:dyDescent="0.25">
      <c r="B19" s="369"/>
      <c r="AI19" s="368"/>
      <c r="BJ19" s="368"/>
      <c r="BK19" s="310"/>
    </row>
    <row r="20" spans="2:63" s="311" customFormat="1" ht="15" customHeight="1" x14ac:dyDescent="0.25">
      <c r="B20" s="369"/>
      <c r="AI20" s="368"/>
      <c r="BJ20" s="368"/>
      <c r="BK20" s="310"/>
    </row>
    <row r="21" spans="2:63" s="311" customFormat="1" ht="15" customHeight="1" x14ac:dyDescent="0.25">
      <c r="B21" s="369"/>
      <c r="AI21" s="368"/>
      <c r="BJ21" s="368"/>
      <c r="BK21" s="310"/>
    </row>
    <row r="22" spans="2:63" s="311" customFormat="1" ht="15" customHeight="1" x14ac:dyDescent="0.25">
      <c r="B22" s="369"/>
      <c r="AI22" s="368"/>
      <c r="BJ22" s="368"/>
      <c r="BK22" s="310"/>
    </row>
    <row r="23" spans="2:63" s="311" customFormat="1" ht="15" customHeight="1" x14ac:dyDescent="0.25">
      <c r="B23" s="369"/>
      <c r="AI23" s="368"/>
      <c r="BJ23" s="368"/>
      <c r="BK23" s="310"/>
    </row>
    <row r="24" spans="2:63" s="311" customFormat="1" ht="15" customHeight="1" x14ac:dyDescent="0.25">
      <c r="B24" s="369"/>
      <c r="AI24" s="368"/>
      <c r="BJ24" s="368"/>
      <c r="BK24" s="310"/>
    </row>
    <row r="25" spans="2:63" s="311" customFormat="1" ht="15" customHeight="1" x14ac:dyDescent="0.25">
      <c r="B25" s="369"/>
      <c r="AI25" s="368"/>
      <c r="BJ25" s="368"/>
      <c r="BK25" s="310"/>
    </row>
    <row r="26" spans="2:63" s="311" customFormat="1" ht="15" customHeight="1" x14ac:dyDescent="0.25">
      <c r="B26" s="369"/>
      <c r="AI26" s="368"/>
      <c r="BJ26" s="368"/>
      <c r="BK26" s="310"/>
    </row>
    <row r="27" spans="2:63" s="311" customFormat="1" ht="15" customHeight="1" x14ac:dyDescent="0.25">
      <c r="B27" s="369"/>
      <c r="AI27" s="368"/>
      <c r="BJ27" s="368"/>
      <c r="BK27" s="310"/>
    </row>
    <row r="28" spans="2:63" s="311" customFormat="1" ht="15" customHeight="1" x14ac:dyDescent="0.25">
      <c r="B28" s="369"/>
      <c r="AI28" s="368"/>
      <c r="BJ28" s="368"/>
      <c r="BK28" s="310"/>
    </row>
    <row r="29" spans="2:63" s="311" customFormat="1" ht="15" customHeight="1" x14ac:dyDescent="0.25">
      <c r="B29" s="369"/>
      <c r="AI29" s="368"/>
      <c r="BJ29" s="368"/>
      <c r="BK29" s="310"/>
    </row>
    <row r="30" spans="2:63" s="311" customFormat="1" ht="15" customHeight="1" x14ac:dyDescent="0.25">
      <c r="B30" s="369"/>
      <c r="AI30" s="368"/>
      <c r="BJ30" s="368"/>
      <c r="BK30" s="310"/>
    </row>
    <row r="31" spans="2:63" s="311" customFormat="1" ht="15" customHeight="1" x14ac:dyDescent="0.25">
      <c r="B31" s="369"/>
      <c r="AI31" s="368"/>
      <c r="BJ31" s="368"/>
      <c r="BK31" s="310"/>
    </row>
    <row r="32" spans="2:63" s="311" customFormat="1" ht="15" customHeight="1" x14ac:dyDescent="0.25">
      <c r="B32" s="369"/>
      <c r="AI32" s="368"/>
      <c r="BJ32" s="368"/>
      <c r="BK32" s="310"/>
    </row>
    <row r="33" spans="2:63" s="311" customFormat="1" ht="15" customHeight="1" x14ac:dyDescent="0.25">
      <c r="B33" s="369"/>
      <c r="AI33" s="368"/>
      <c r="BJ33" s="368"/>
      <c r="BK33" s="310"/>
    </row>
    <row r="34" spans="2:63" s="311" customFormat="1" ht="15" customHeight="1" x14ac:dyDescent="0.25">
      <c r="B34" s="369"/>
      <c r="AI34" s="368"/>
      <c r="BJ34" s="368"/>
      <c r="BK34" s="310"/>
    </row>
    <row r="35" spans="2:63" s="311" customFormat="1" ht="15" customHeight="1" x14ac:dyDescent="0.25">
      <c r="B35" s="369"/>
      <c r="AI35" s="368"/>
      <c r="BJ35" s="368"/>
      <c r="BK35" s="310"/>
    </row>
    <row r="36" spans="2:63" s="311" customFormat="1" ht="15" customHeight="1" x14ac:dyDescent="0.25">
      <c r="B36" s="369"/>
      <c r="AI36" s="368"/>
      <c r="BJ36" s="368"/>
      <c r="BK36" s="310"/>
    </row>
    <row r="37" spans="2:63" s="311" customFormat="1" ht="15" customHeight="1" x14ac:dyDescent="0.25">
      <c r="B37" s="369"/>
      <c r="AI37" s="368"/>
      <c r="BJ37" s="368"/>
      <c r="BK37" s="310"/>
    </row>
    <row r="38" spans="2:63" s="311" customFormat="1" ht="15" customHeight="1" x14ac:dyDescent="0.25">
      <c r="B38" s="369"/>
      <c r="AI38" s="368"/>
      <c r="BJ38" s="368"/>
      <c r="BK38" s="310"/>
    </row>
    <row r="39" spans="2:63" s="311" customFormat="1" ht="15" customHeight="1" x14ac:dyDescent="0.25">
      <c r="B39" s="369"/>
      <c r="AI39" s="368"/>
      <c r="BJ39" s="368"/>
      <c r="BK39" s="310"/>
    </row>
    <row r="40" spans="2:63" s="311" customFormat="1" ht="15" customHeight="1" x14ac:dyDescent="0.25">
      <c r="B40" s="369"/>
      <c r="AI40" s="368"/>
      <c r="BJ40" s="368"/>
      <c r="BK40" s="310"/>
    </row>
    <row r="41" spans="2:63" s="311" customFormat="1" ht="15" customHeight="1" x14ac:dyDescent="0.25">
      <c r="B41" s="369"/>
      <c r="AI41" s="368"/>
      <c r="BJ41" s="368"/>
      <c r="BK41" s="310"/>
    </row>
    <row r="42" spans="2:63" s="311" customFormat="1" ht="15" customHeight="1" x14ac:dyDescent="0.25">
      <c r="B42" s="369"/>
      <c r="AI42" s="368"/>
      <c r="BJ42" s="368"/>
      <c r="BK42" s="310"/>
    </row>
    <row r="43" spans="2:63" s="311" customFormat="1" ht="15" customHeight="1" x14ac:dyDescent="0.25">
      <c r="B43" s="369"/>
      <c r="AI43" s="368"/>
      <c r="BJ43" s="368"/>
      <c r="BK43" s="310"/>
    </row>
    <row r="44" spans="2:63" s="311" customFormat="1" ht="15" customHeight="1" x14ac:dyDescent="0.25">
      <c r="B44" s="369"/>
      <c r="AI44" s="368"/>
      <c r="BJ44" s="368"/>
      <c r="BK44" s="310"/>
    </row>
    <row r="45" spans="2:63" s="311" customFormat="1" ht="15" customHeight="1" x14ac:dyDescent="0.25">
      <c r="B45" s="369"/>
      <c r="AI45" s="368"/>
      <c r="BJ45" s="368"/>
      <c r="BK45" s="310"/>
    </row>
    <row r="46" spans="2:63" s="311" customFormat="1" ht="15" customHeight="1" x14ac:dyDescent="0.25">
      <c r="B46" s="369"/>
      <c r="AI46" s="368"/>
      <c r="BJ46" s="368"/>
      <c r="BK46" s="310"/>
    </row>
    <row r="47" spans="2:63" s="311" customFormat="1" ht="15" customHeight="1" x14ac:dyDescent="0.25">
      <c r="B47" s="369"/>
      <c r="AI47" s="368"/>
      <c r="BJ47" s="368"/>
      <c r="BK47" s="310"/>
    </row>
    <row r="48" spans="2:63" s="311" customFormat="1" ht="15" customHeight="1" x14ac:dyDescent="0.25">
      <c r="B48" s="369"/>
      <c r="AI48" s="368"/>
      <c r="BJ48" s="368"/>
      <c r="BK48" s="310"/>
    </row>
    <row r="49" spans="2:63" s="311" customFormat="1" ht="15" customHeight="1" x14ac:dyDescent="0.25">
      <c r="B49" s="369"/>
      <c r="AI49" s="368"/>
      <c r="BJ49" s="368"/>
      <c r="BK49" s="310"/>
    </row>
    <row r="50" spans="2:63" s="311" customFormat="1" ht="15" customHeight="1" x14ac:dyDescent="0.25">
      <c r="B50" s="369"/>
      <c r="AI50" s="368"/>
      <c r="BJ50" s="368"/>
      <c r="BK50" s="310"/>
    </row>
    <row r="51" spans="2:63" s="311" customFormat="1" ht="15" customHeight="1" x14ac:dyDescent="0.25">
      <c r="B51" s="369"/>
      <c r="AI51" s="368"/>
      <c r="BJ51" s="368"/>
      <c r="BK51" s="310"/>
    </row>
    <row r="52" spans="2:63" s="311" customFormat="1" ht="15" customHeight="1" x14ac:dyDescent="0.25">
      <c r="B52" s="369"/>
      <c r="AI52" s="368"/>
      <c r="BJ52" s="368"/>
      <c r="BK52" s="310"/>
    </row>
    <row r="53" spans="2:63" s="311" customFormat="1" ht="15" customHeight="1" x14ac:dyDescent="0.25">
      <c r="B53" s="369"/>
      <c r="AI53" s="368"/>
      <c r="BJ53" s="368"/>
      <c r="BK53" s="310"/>
    </row>
    <row r="54" spans="2:63" s="311" customFormat="1" ht="15" customHeight="1" x14ac:dyDescent="0.25">
      <c r="B54" s="369"/>
      <c r="AI54" s="368"/>
      <c r="BJ54" s="368"/>
      <c r="BK54" s="31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135"/>
      <c r="K1" s="133" t="s">
        <v>2</v>
      </c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5"/>
      <c r="W1" s="136" t="str">
        <f>IF(表紙!W1="","",表紙!W1)</f>
        <v>詳細設計書</v>
      </c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8"/>
      <c r="AP1" s="72" t="s">
        <v>3</v>
      </c>
      <c r="AQ1" s="73"/>
      <c r="AR1" s="73"/>
      <c r="AS1" s="74"/>
      <c r="AT1" s="72" t="s">
        <v>4</v>
      </c>
      <c r="AU1" s="73"/>
      <c r="AV1" s="73"/>
      <c r="AW1" s="73"/>
      <c r="AX1" s="74"/>
      <c r="AY1" s="72" t="s">
        <v>5</v>
      </c>
      <c r="AZ1" s="73"/>
      <c r="BA1" s="73"/>
      <c r="BB1" s="74"/>
      <c r="BC1" s="72" t="s">
        <v>6</v>
      </c>
      <c r="BD1" s="73"/>
      <c r="BE1" s="73"/>
      <c r="BF1" s="73"/>
      <c r="BG1" s="74"/>
      <c r="BH1" s="72" t="s">
        <v>7</v>
      </c>
      <c r="BI1" s="73"/>
      <c r="BJ1" s="73"/>
      <c r="BK1" s="74"/>
    </row>
    <row r="2" spans="1:63" ht="15" customHeight="1" x14ac:dyDescent="0.25">
      <c r="A2" s="127" t="str">
        <f>IF(表紙!A2="","",表紙!A2)</f>
        <v>POSサーバー</v>
      </c>
      <c r="B2" s="128"/>
      <c r="C2" s="128"/>
      <c r="D2" s="128"/>
      <c r="E2" s="128"/>
      <c r="F2" s="128"/>
      <c r="G2" s="128"/>
      <c r="H2" s="128"/>
      <c r="I2" s="128"/>
      <c r="J2" s="129"/>
      <c r="K2" s="127" t="str">
        <f>IF(表紙!K2="","",表紙!K2)</f>
        <v>POSサーバー</v>
      </c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9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6" t="str">
        <f>IF(表紙!AP2="","",表紙!AP2)</f>
        <v>DuNT</v>
      </c>
      <c r="AQ2" s="5"/>
      <c r="AR2" s="5"/>
      <c r="AS2" s="4"/>
      <c r="AT2" s="76">
        <f>IF(表紙!AT2="","",表紙!AT2)</f>
        <v>45665</v>
      </c>
      <c r="AU2" s="77"/>
      <c r="AV2" s="77"/>
      <c r="AW2" s="77"/>
      <c r="AX2" s="78"/>
      <c r="AY2" s="6" t="str">
        <f>IF(表紙!AY2="","",表紙!AY2)</f>
        <v>DuNT</v>
      </c>
      <c r="AZ2" s="5"/>
      <c r="BA2" s="5"/>
      <c r="BB2" s="4"/>
      <c r="BC2" s="76">
        <f>IF(表紙!BC2="","",表紙!BC2)</f>
        <v>45721</v>
      </c>
      <c r="BD2" s="77"/>
      <c r="BE2" s="77"/>
      <c r="BF2" s="77"/>
      <c r="BG2" s="78"/>
      <c r="BH2" s="6">
        <f>IF(表紙!BH2="","",表紙!BH2)</f>
        <v>0.12</v>
      </c>
      <c r="BI2" s="5"/>
      <c r="BJ2" s="5"/>
      <c r="BK2" s="4"/>
    </row>
    <row r="3" spans="1:63" ht="15" customHeight="1" x14ac:dyDescent="0.25">
      <c r="A3" s="130"/>
      <c r="B3" s="131"/>
      <c r="C3" s="131"/>
      <c r="D3" s="131"/>
      <c r="E3" s="131"/>
      <c r="F3" s="131"/>
      <c r="G3" s="131"/>
      <c r="H3" s="131"/>
      <c r="I3" s="131"/>
      <c r="J3" s="132"/>
      <c r="K3" s="130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2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3"/>
      <c r="AQ3" s="2"/>
      <c r="AR3" s="2"/>
      <c r="AS3" s="1"/>
      <c r="AT3" s="79"/>
      <c r="AU3" s="80"/>
      <c r="AV3" s="80"/>
      <c r="AW3" s="80"/>
      <c r="AX3" s="81"/>
      <c r="AY3" s="3"/>
      <c r="AZ3" s="2"/>
      <c r="BA3" s="2"/>
      <c r="BB3" s="1"/>
      <c r="BC3" s="79"/>
      <c r="BD3" s="80"/>
      <c r="BE3" s="80"/>
      <c r="BF3" s="80"/>
      <c r="BG3" s="81"/>
      <c r="BH3" s="3"/>
      <c r="BI3" s="2"/>
      <c r="BJ3" s="2"/>
      <c r="BK3" s="1"/>
    </row>
    <row r="4" spans="1:63" ht="24.95" customHeight="1" x14ac:dyDescent="0.25">
      <c r="A4" s="133" t="s">
        <v>1</v>
      </c>
      <c r="B4" s="134"/>
      <c r="C4" s="134"/>
      <c r="D4" s="134"/>
      <c r="E4" s="134"/>
      <c r="F4" s="134"/>
      <c r="G4" s="135"/>
      <c r="H4" s="145" t="str">
        <f>IF(表紙!H4="","",表紙!H4)</f>
        <v>AP4502</v>
      </c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  <c r="U4" s="133" t="s">
        <v>8</v>
      </c>
      <c r="V4" s="134"/>
      <c r="W4" s="134"/>
      <c r="X4" s="134"/>
      <c r="Y4" s="135"/>
      <c r="Z4" s="145" t="str">
        <f>IF(表紙!Z4="","",表紙!Z4)</f>
        <v>API設計書</v>
      </c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7"/>
      <c r="AP4" s="148" t="str">
        <f ca="1">MID(CELL("filename",A1),FIND("]",CELL("filename",A1))+1,255)</f>
        <v>テンプレート</v>
      </c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2" customFormat="1" ht="15" customHeight="1" x14ac:dyDescent="0.25">
      <c r="BK7" s="16"/>
    </row>
    <row r="8" spans="1:63" s="12" customFormat="1" ht="15" customHeight="1" x14ac:dyDescent="0.25">
      <c r="BK8" s="16"/>
    </row>
    <row r="9" spans="1:63" s="12" customFormat="1" ht="15" customHeight="1" x14ac:dyDescent="0.25">
      <c r="BK9" s="16"/>
    </row>
    <row r="10" spans="1:63" s="12" customFormat="1" ht="15" customHeight="1" x14ac:dyDescent="0.25">
      <c r="BK10" s="16"/>
    </row>
    <row r="11" spans="1:63" s="12" customFormat="1" ht="15" customHeight="1" x14ac:dyDescent="0.25">
      <c r="BK11" s="16"/>
    </row>
    <row r="12" spans="1:63" s="12" customFormat="1" ht="15" customHeight="1" x14ac:dyDescent="0.25">
      <c r="BK12" s="16"/>
    </row>
    <row r="13" spans="1:63" s="12" customFormat="1" ht="15" customHeight="1" x14ac:dyDescent="0.25">
      <c r="BK13" s="16"/>
    </row>
    <row r="14" spans="1:63" s="12" customFormat="1" ht="15" customHeight="1" x14ac:dyDescent="0.25">
      <c r="BK14" s="16"/>
    </row>
    <row r="15" spans="1:63" s="12" customFormat="1" ht="15" customHeight="1" x14ac:dyDescent="0.25">
      <c r="BK15" s="16"/>
    </row>
    <row r="16" spans="1:63" s="12" customFormat="1" ht="15" customHeight="1" x14ac:dyDescent="0.25">
      <c r="BK16" s="16"/>
    </row>
    <row r="17" spans="63:63" s="12" customFormat="1" ht="15" customHeight="1" x14ac:dyDescent="0.25">
      <c r="BK17" s="16"/>
    </row>
    <row r="18" spans="63:63" s="12" customFormat="1" ht="15" customHeight="1" x14ac:dyDescent="0.25">
      <c r="BK18" s="16"/>
    </row>
    <row r="19" spans="63:63" s="12" customFormat="1" ht="15" customHeight="1" x14ac:dyDescent="0.25">
      <c r="BK19" s="16"/>
    </row>
    <row r="20" spans="63:63" s="12" customFormat="1" ht="15" customHeight="1" x14ac:dyDescent="0.25">
      <c r="BK20" s="16"/>
    </row>
    <row r="21" spans="63:63" s="12" customFormat="1" ht="15" customHeight="1" x14ac:dyDescent="0.25">
      <c r="BK21" s="16"/>
    </row>
    <row r="22" spans="63:63" s="12" customFormat="1" ht="15" customHeight="1" x14ac:dyDescent="0.25">
      <c r="BK22" s="16"/>
    </row>
    <row r="23" spans="63:63" s="12" customFormat="1" ht="15" customHeight="1" x14ac:dyDescent="0.25">
      <c r="BK23" s="16"/>
    </row>
    <row r="24" spans="63:63" s="12" customFormat="1" ht="15" customHeight="1" x14ac:dyDescent="0.25">
      <c r="BK24" s="16"/>
    </row>
    <row r="25" spans="63:63" s="12" customFormat="1" ht="15" customHeight="1" x14ac:dyDescent="0.25">
      <c r="BK25" s="16"/>
    </row>
    <row r="26" spans="63:63" s="12" customFormat="1" ht="15" customHeight="1" x14ac:dyDescent="0.25">
      <c r="BK26" s="16"/>
    </row>
    <row r="27" spans="63:63" s="12" customFormat="1" ht="15" customHeight="1" x14ac:dyDescent="0.25">
      <c r="BK27" s="16"/>
    </row>
    <row r="28" spans="63:63" s="12" customFormat="1" ht="15" customHeight="1" x14ac:dyDescent="0.25">
      <c r="BK28" s="16"/>
    </row>
    <row r="29" spans="63:63" s="12" customFormat="1" ht="15" customHeight="1" x14ac:dyDescent="0.25">
      <c r="BK29" s="16"/>
    </row>
    <row r="30" spans="63:63" s="12" customFormat="1" ht="15" customHeight="1" x14ac:dyDescent="0.25">
      <c r="BK30" s="16"/>
    </row>
    <row r="31" spans="63:63" s="12" customFormat="1" ht="15" customHeight="1" x14ac:dyDescent="0.25">
      <c r="BK31" s="16"/>
    </row>
    <row r="32" spans="63:63" s="12" customFormat="1" ht="15" customHeight="1" x14ac:dyDescent="0.25">
      <c r="BK32" s="16"/>
    </row>
    <row r="33" spans="63:63" s="12" customFormat="1" ht="15" customHeight="1" x14ac:dyDescent="0.25">
      <c r="BK33" s="16"/>
    </row>
    <row r="34" spans="63:63" s="12" customFormat="1" ht="15" customHeight="1" x14ac:dyDescent="0.25">
      <c r="BK34" s="16"/>
    </row>
    <row r="35" spans="63:63" s="12" customFormat="1" ht="15" customHeight="1" x14ac:dyDescent="0.25">
      <c r="BK35" s="16"/>
    </row>
    <row r="36" spans="63:63" s="12" customFormat="1" ht="15" customHeight="1" x14ac:dyDescent="0.25">
      <c r="BK36" s="16"/>
    </row>
    <row r="37" spans="63:63" s="12" customFormat="1" ht="15" customHeight="1" x14ac:dyDescent="0.25">
      <c r="BK37" s="16"/>
    </row>
    <row r="38" spans="63:63" s="12" customFormat="1" ht="15" customHeight="1" x14ac:dyDescent="0.25">
      <c r="BK38" s="16"/>
    </row>
    <row r="39" spans="63:63" s="12" customFormat="1" ht="15" customHeight="1" x14ac:dyDescent="0.25">
      <c r="BK39" s="16"/>
    </row>
    <row r="40" spans="63:63" s="12" customFormat="1" ht="15" customHeight="1" x14ac:dyDescent="0.25">
      <c r="BK40" s="16"/>
    </row>
    <row r="41" spans="63:63" s="12" customFormat="1" ht="15" customHeight="1" x14ac:dyDescent="0.25">
      <c r="BK41" s="16"/>
    </row>
    <row r="42" spans="63:63" s="12" customFormat="1" ht="15" customHeight="1" x14ac:dyDescent="0.25">
      <c r="BK42" s="16"/>
    </row>
    <row r="43" spans="63:63" s="12" customFormat="1" ht="15" customHeight="1" x14ac:dyDescent="0.25">
      <c r="BK43" s="16"/>
    </row>
    <row r="44" spans="63:63" s="12" customFormat="1" ht="15" customHeight="1" x14ac:dyDescent="0.25">
      <c r="BK44" s="16"/>
    </row>
    <row r="45" spans="63:63" s="12" customFormat="1" ht="15" customHeight="1" x14ac:dyDescent="0.25">
      <c r="BK45" s="16"/>
    </row>
    <row r="46" spans="63:63" s="12" customFormat="1" ht="15" customHeight="1" x14ac:dyDescent="0.25">
      <c r="BK46" s="16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AP4502</vt:lpstr>
      <vt:lpstr>処理フロー</vt:lpstr>
      <vt:lpstr>テンプレート</vt:lpstr>
      <vt:lpstr>'AP4502'!Print_Area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2025-03-10T08:29:49Z</dcterms:modified>
  <cp:category/>
  <cp:contentStatus/>
</cp:coreProperties>
</file>