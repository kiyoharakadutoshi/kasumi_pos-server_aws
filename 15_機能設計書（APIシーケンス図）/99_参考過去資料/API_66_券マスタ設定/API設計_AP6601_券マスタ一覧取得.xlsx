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66_券マスタ設定\"/>
    </mc:Choice>
  </mc:AlternateContent>
  <xr:revisionPtr revIDLastSave="0" documentId="13_ncr:1_{91A6628B-9E47-4CB6-94D1-341DF026F7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601" sheetId="8" r:id="rId4"/>
    <sheet name="処理フロー" sheetId="9" r:id="rId5"/>
    <sheet name="テンプレート" sheetId="7" r:id="rId6"/>
  </sheets>
  <definedNames>
    <definedName name="_xlnm.Print_Area" localSheetId="3">'AP6601'!$A$1:$BK$138</definedName>
    <definedName name="_xlnm.Print_Area" localSheetId="5">テンプレート!$A$1:$BK$54</definedName>
    <definedName name="_xlnm.Print_Area" localSheetId="4">処理フロー!$A$1:$BK$61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61" i="8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58" i="8"/>
  <c r="C56" i="8"/>
  <c r="C54" i="8"/>
  <c r="C52" i="8"/>
  <c r="C38" i="8"/>
  <c r="C36" i="8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C93" i="8" l="1"/>
  <c r="C95" i="8" s="1"/>
  <c r="C97" i="8" s="1"/>
  <c r="C99" i="8" s="1"/>
  <c r="C101" i="8" s="1"/>
  <c r="C92" i="8"/>
  <c r="C94" i="8" s="1"/>
  <c r="C96" i="8" s="1"/>
  <c r="C98" i="8" s="1"/>
  <c r="C100" i="8" s="1"/>
  <c r="BH2" i="10"/>
  <c r="BC2" i="9"/>
  <c r="AP2" i="7"/>
  <c r="BH2" i="7"/>
  <c r="AT2" i="3"/>
  <c r="AT2" i="10"/>
  <c r="AY2" i="8"/>
  <c r="AP2" i="9"/>
  <c r="BH2" i="9"/>
  <c r="AT2" i="7"/>
  <c r="BH2" i="3"/>
  <c r="AY2" i="3"/>
  <c r="AY2" i="10"/>
  <c r="BC2" i="8"/>
  <c r="AY2" i="7"/>
  <c r="BC2" i="3"/>
  <c r="BC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>サービス 【APIに関連するサービス名を入力】</t>
        </r>
      </text>
    </comment>
    <comment ref="C9" authorId="0" shapeId="0" xr:uid="{00000000-0006-0000-0300-000002000000}">
      <text>
        <r>
          <rPr>
            <b/>
            <sz val="9"/>
            <color rgb="FF000000"/>
            <rFont val="MS P ゴシック"/>
            <family val="2"/>
          </rPr>
          <t>【重要な技術または業務的に関するメモがある場合は、ここに書く】</t>
        </r>
      </text>
    </comment>
    <comment ref="C104" authorId="0" shapeId="0" xr:uid="{00000000-0006-0000-0300-000003000000}">
      <text>
        <r>
          <rPr>
            <b/>
            <sz val="9"/>
            <color rgb="FF000000"/>
            <rFont val="MS P ゴシック"/>
            <family val="2"/>
          </rPr>
          <t>【ここにサンプルデータを書き込む。このデータは、APIが返す実際のデータである。 XML/JSON文字列を実際のように記載する】</t>
        </r>
      </text>
    </comment>
  </commentList>
</comments>
</file>

<file path=xl/sharedStrings.xml><?xml version="1.0" encoding="utf-8"?>
<sst xmlns="http://schemas.openxmlformats.org/spreadsheetml/2006/main" count="450" uniqueCount="220">
  <si>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</si>
  <si>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</si>
  <si>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</si>
  <si>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</si>
  <si>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</si>
  <si>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</si>
  <si>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</si>
  <si>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</si>
  <si>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</si>
  <si>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</si>
  <si>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</si>
  <si>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</si>
  <si>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</si>
  <si>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</si>
  <si>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</si>
  <si>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</si>
  <si>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</si>
  <si>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</si>
  <si>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</si>
  <si>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</si>
  <si>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</si>
  <si>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</si>
  <si>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処理フロー</t>
    </r>
  </si>
  <si>
    <r>
      <rPr>
        <sz val="11"/>
        <color rgb="FF000000"/>
        <rFont val="Meiryo UI"/>
        <family val="2"/>
      </rPr>
      <t>AP6601</t>
    </r>
  </si>
  <si>
    <r>
      <rPr>
        <b/>
        <sz val="11"/>
        <color rgb="FF000000"/>
        <rFont val="Meiryo UI"/>
        <family val="2"/>
      </rPr>
      <t>注意：</t>
    </r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</si>
  <si>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keyword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</si>
  <si>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</si>
  <si>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search_type</t>
    </r>
  </si>
  <si>
    <r>
      <rPr>
        <sz val="11"/>
        <color rgb="FF000000"/>
        <rFont val="Meiryo UI"/>
        <family val="2"/>
      </rPr>
      <t>支払券名称の検索タイプ</t>
    </r>
  </si>
  <si>
    <r>
      <rPr>
        <sz val="11"/>
        <color rgb="FF000000"/>
        <rFont val="Meiryo UI"/>
        <family val="2"/>
      </rPr>
      <t>支払券名称で検索に使用される値</t>
    </r>
  </si>
  <si>
    <r>
      <rPr>
        <sz val="11"/>
        <color rgb="FF000000"/>
        <rFont val="Meiryo UI"/>
        <family val="2"/>
      </rPr>
      <t>page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</si>
  <si>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</si>
  <si>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</si>
  <si>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1ページの件数の制限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</si>
  <si>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</si>
  <si>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</si>
  <si>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</si>
  <si>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</si>
  <si>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slected_stores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</si>
  <si>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</si>
  <si>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</si>
  <si>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</si>
  <si>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total_count</t>
    </r>
  </si>
  <si>
    <t xml:space="preserve">- </t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</si>
  <si>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</si>
  <si>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payment_tickets</t>
    </r>
  </si>
  <si>
    <r>
      <rPr>
        <sz val="11"/>
        <color rgb="FF000000"/>
        <rFont val="Meiryo UI"/>
        <family val="2"/>
      </rPr>
      <t>支払券一覧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</si>
  <si>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</si>
  <si>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</si>
  <si>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</si>
  <si>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種類：支払券、値引券</t>
    </r>
  </si>
  <si>
    <r>
      <rPr>
        <sz val="11"/>
        <color rgb="FF000000"/>
        <rFont val="Meiryo UI"/>
        <family val="2"/>
      </rPr>
      <t>api/v1/ticket/list_ticket</t>
    </r>
  </si>
  <si>
    <r>
      <rPr>
        <sz val="11"/>
        <color rgb="FF000000"/>
        <rFont val="Meiryo UI"/>
        <family val="2"/>
      </rPr>
      <t>検索対象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</si>
  <si>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</si>
  <si>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</si>
  <si>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</si>
  <si>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TicketMaster.RECORD_ID</t>
    </r>
  </si>
  <si>
    <r>
      <rPr>
        <sz val="11"/>
        <color rgb="FF000000"/>
        <rFont val="Meiryo UI"/>
        <family val="2"/>
      </rPr>
      <t>TicketMaster.CompanyCode</t>
    </r>
  </si>
  <si>
    <r>
      <rPr>
        <sz val="11"/>
        <color rgb="FF000000"/>
        <rFont val="Meiryo UI"/>
        <family val="2"/>
      </rPr>
      <t>TicketMaster.StoreCode</t>
    </r>
  </si>
  <si>
    <r>
      <rPr>
        <sz val="11"/>
        <color rgb="FF000000"/>
        <rFont val="Meiryo UI"/>
        <family val="2"/>
      </rPr>
      <t>TicketMaster.Code</t>
    </r>
  </si>
  <si>
    <r>
      <rPr>
        <sz val="11"/>
        <color rgb="FF000000"/>
        <rFont val="Meiryo UI"/>
        <family val="2"/>
      </rPr>
      <t>券コード</t>
    </r>
  </si>
  <si>
    <r>
      <rPr>
        <sz val="11"/>
        <color rgb="FF000000"/>
        <rFont val="Meiryo UI"/>
        <family val="2"/>
      </rPr>
      <t>券名称</t>
    </r>
  </si>
  <si>
    <r>
      <rPr>
        <sz val="11"/>
        <color rgb="FF000000"/>
        <rFont val="Meiryo UI"/>
        <family val="2"/>
      </rPr>
      <t>discount_type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</si>
  <si>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</si>
  <si>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TicketMaster.DiscountType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</si>
  <si>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</si>
  <si>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TicketMaster.Amount</t>
    </r>
  </si>
  <si>
    <r>
      <rPr>
        <sz val="11"/>
        <color rgb="FF000000"/>
        <rFont val="Meiryo UI"/>
        <family val="2"/>
      </rPr>
      <t>値引金額・率</t>
    </r>
  </si>
  <si>
    <r>
      <rPr>
        <sz val="11"/>
        <color rgb="FF000000"/>
        <rFont val="Meiryo UI"/>
        <family val="2"/>
      </rPr>
      <t>TicketMaster.Category</t>
    </r>
  </si>
  <si>
    <r>
      <rPr>
        <sz val="11"/>
        <color rgb="FF000000"/>
        <rFont val="Meiryo UI"/>
        <family val="2"/>
      </rPr>
      <t>category</t>
    </r>
  </si>
  <si>
    <r>
      <rPr>
        <sz val="11"/>
        <color rgb="FF000000"/>
        <rFont val="Meiryo UI"/>
        <family val="2"/>
      </rPr>
      <t>集計グループコード</t>
    </r>
  </si>
  <si>
    <r>
      <rPr>
        <sz val="11"/>
        <color rgb="FF000000"/>
        <rFont val="Meiryo UI"/>
        <family val="2"/>
      </rPr>
      <t>CanReturn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</si>
  <si>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</si>
  <si>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CanExchange</t>
    </r>
  </si>
  <si>
    <r>
      <rPr>
        <sz val="11"/>
        <color rgb="FF000000"/>
        <rFont val="Meiryo UI"/>
        <family val="2"/>
      </rPr>
      <t>CanChange</t>
    </r>
  </si>
  <si>
    <r>
      <rPr>
        <sz val="11"/>
        <color rgb="FF000000"/>
        <rFont val="Meiryo UI"/>
        <family val="2"/>
      </rPr>
      <t>CanJustFix</t>
    </r>
  </si>
  <si>
    <r>
      <rPr>
        <sz val="11"/>
        <color rgb="FF000000"/>
        <rFont val="Meiryo UI"/>
        <family val="2"/>
      </rPr>
      <t>IsDrawer</t>
    </r>
  </si>
  <si>
    <r>
      <rPr>
        <sz val="11"/>
        <color rgb="FF000000"/>
        <rFont val="Meiryo UI"/>
        <family val="2"/>
      </rPr>
      <t>CanCancel</t>
    </r>
  </si>
  <si>
    <r>
      <rPr>
        <sz val="11"/>
        <color rgb="FF000000"/>
        <rFont val="Meiryo UI"/>
        <family val="2"/>
      </rPr>
      <t>CanVoid</t>
    </r>
  </si>
  <si>
    <r>
      <rPr>
        <sz val="11"/>
        <color rgb="FF000000"/>
        <rFont val="Meiryo UI"/>
        <family val="2"/>
      </rPr>
      <t>CanOverDeposit</t>
    </r>
  </si>
  <si>
    <r>
      <rPr>
        <sz val="11"/>
        <color rgb="FF000000"/>
        <rFont val="Meiryo UI"/>
        <family val="2"/>
      </rPr>
      <t>CanChangeCout</t>
    </r>
  </si>
  <si>
    <r>
      <rPr>
        <sz val="11"/>
        <color rgb="FF000000"/>
        <rFont val="Meiryo UI"/>
        <family val="2"/>
      </rPr>
      <t>IsPointProhibition</t>
    </r>
  </si>
  <si>
    <r>
      <rPr>
        <sz val="11"/>
        <color rgb="FF000000"/>
        <rFont val="Meiryo UI"/>
        <family val="2"/>
      </rPr>
      <t>coupons</t>
    </r>
  </si>
  <si>
    <r>
      <rPr>
        <sz val="11"/>
        <color rgb="FF000000"/>
        <rFont val="Meiryo UI"/>
        <family val="2"/>
      </rPr>
      <t>TicketMaster.Name</t>
    </r>
  </si>
  <si>
    <r>
      <rPr>
        <sz val="11"/>
        <color rgb="FF000000"/>
        <rFont val="Meiryo UI"/>
        <family val="2"/>
      </rPr>
      <t>DateTime</t>
    </r>
  </si>
  <si>
    <t>{</t>
  </si>
  <si>
    <t>}</t>
  </si>
  <si>
    <r>
      <rPr>
        <sz val="11"/>
        <color rgb="FF000000"/>
        <rFont val="Meiryo UI"/>
        <family val="2"/>
      </rPr>
      <t>"coupons" [</t>
    </r>
  </si>
  <si>
    <t>]</t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</si>
  <si>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</si>
  <si>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StoreMaster.Name</t>
    </r>
  </si>
  <si>
    <r>
      <rPr>
        <sz val="11"/>
        <color rgb="FF000000"/>
        <rFont val="Meiryo UI"/>
        <family val="2"/>
      </rPr>
      <t>店舗名称</t>
    </r>
  </si>
  <si>
    <r>
      <rPr>
        <sz val="11"/>
        <color rgb="FF000000"/>
        <rFont val="Meiryo UI"/>
        <family val="2"/>
      </rPr>
      <t>"store_name": "検証店",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</si>
  <si>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</si>
  <si>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date_categorize_type_code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</si>
  <si>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</si>
  <si>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is_monday</t>
    </r>
  </si>
  <si>
    <r>
      <rPr>
        <sz val="11"/>
        <color rgb="FF000000"/>
        <rFont val="Meiryo UI"/>
        <family val="2"/>
      </rPr>
      <t>is_tuesday</t>
    </r>
  </si>
  <si>
    <r>
      <rPr>
        <sz val="11"/>
        <color rgb="FF000000"/>
        <rFont val="Meiryo UI"/>
        <family val="2"/>
      </rPr>
      <t>is_wednesday</t>
    </r>
  </si>
  <si>
    <r>
      <rPr>
        <sz val="11"/>
        <color rgb="FF000000"/>
        <rFont val="Meiryo UI"/>
        <family val="2"/>
      </rPr>
      <t>is_thursday</t>
    </r>
  </si>
  <si>
    <r>
      <rPr>
        <sz val="11"/>
        <color rgb="FF000000"/>
        <rFont val="Meiryo UI"/>
        <family val="2"/>
      </rPr>
      <t>is_friday</t>
    </r>
  </si>
  <si>
    <r>
      <rPr>
        <sz val="11"/>
        <color rgb="FF000000"/>
        <rFont val="Meiryo UI"/>
        <family val="2"/>
      </rPr>
      <t>is_Saturday</t>
    </r>
  </si>
  <si>
    <r>
      <rPr>
        <sz val="11"/>
        <color rgb="FF000000"/>
        <rFont val="Meiryo UI"/>
        <family val="2"/>
      </rPr>
      <t>is_Sunday</t>
    </r>
  </si>
  <si>
    <r>
      <rPr>
        <sz val="11"/>
        <color rgb="FF000000"/>
        <rFont val="Meiryo UI"/>
        <family val="2"/>
      </rPr>
      <t>TicketMaster.ExtraInfo.Coupon.DateCategorizeTypeCode</t>
    </r>
  </si>
  <si>
    <r>
      <rPr>
        <sz val="11"/>
        <color rgb="FF000000"/>
        <rFont val="Meiryo UI"/>
        <family val="2"/>
      </rPr>
      <t>TicketMaster.ExtraInfo.Coupon.EndDateTime</t>
    </r>
  </si>
  <si>
    <r>
      <rPr>
        <sz val="11"/>
        <color rgb="FF000000"/>
        <rFont val="Meiryo UI"/>
        <family val="2"/>
      </rPr>
      <t>TicketMaster.ExtraInfo.Coupon.IsMonday</t>
    </r>
  </si>
  <si>
    <r>
      <rPr>
        <sz val="11"/>
        <color rgb="FF000000"/>
        <rFont val="Meiryo UI"/>
        <family val="2"/>
      </rPr>
      <t>TicketMaster.ExtraInfo.Coupon.IsTuesday</t>
    </r>
  </si>
  <si>
    <r>
      <rPr>
        <sz val="11"/>
        <color rgb="FF000000"/>
        <rFont val="Meiryo UI"/>
        <family val="2"/>
      </rPr>
      <t>TicketMaster.ExtraInfo.Coupon.Wednesday</t>
    </r>
  </si>
  <si>
    <r>
      <rPr>
        <sz val="11"/>
        <color rgb="FF000000"/>
        <rFont val="Meiryo UI"/>
        <family val="2"/>
      </rPr>
      <t>TicketMaster.ExtraInfo.Coupon.Thursday</t>
    </r>
  </si>
  <si>
    <r>
      <rPr>
        <sz val="11"/>
        <color rgb="FF000000"/>
        <rFont val="Meiryo UI"/>
        <family val="2"/>
      </rPr>
      <t>TicketMaster.ExtraInfo.Coupon.Friday</t>
    </r>
  </si>
  <si>
    <r>
      <rPr>
        <sz val="11"/>
        <color rgb="FF000000"/>
        <rFont val="Meiryo UI"/>
        <family val="2"/>
      </rPr>
      <t>TicketMaster.ExtraInfo.Coupon.Saturday</t>
    </r>
  </si>
  <si>
    <r>
      <rPr>
        <sz val="11"/>
        <color rgb="FF000000"/>
        <rFont val="Meiryo UI"/>
        <family val="2"/>
      </rPr>
      <t>TicketMaster.ExtraInfo.Coupon.Sunday</t>
    </r>
  </si>
  <si>
    <r>
      <rPr>
        <sz val="11"/>
        <color rgb="FF000000"/>
        <rFont val="Meiryo UI"/>
        <family val="2"/>
      </rPr>
      <t>TicketMaster.ExtraInfo.PaymentTicket.CanReturn</t>
    </r>
  </si>
  <si>
    <r>
      <rPr>
        <sz val="11"/>
        <color rgb="FF000000"/>
        <rFont val="Meiryo UI"/>
        <family val="2"/>
      </rPr>
      <t>TicketMaster.ExtraInfo.PaymentTicket.CanExchange</t>
    </r>
  </si>
  <si>
    <r>
      <rPr>
        <sz val="11"/>
        <color rgb="FF000000"/>
        <rFont val="Meiryo UI"/>
        <family val="2"/>
      </rPr>
      <t>TicketMaster.ExtraInfo.PaymentTicket.CanChange</t>
    </r>
  </si>
  <si>
    <r>
      <rPr>
        <sz val="11"/>
        <color rgb="FF000000"/>
        <rFont val="Meiryo UI"/>
        <family val="2"/>
      </rPr>
      <t>TicketMaster.ExtraInfo.PaymentTicket.CanJustFix</t>
    </r>
  </si>
  <si>
    <r>
      <rPr>
        <sz val="11"/>
        <color rgb="FF000000"/>
        <rFont val="Meiryo UI"/>
        <family val="2"/>
      </rPr>
      <t>TicketMaster.ExtraInfo.PaymentTicket.IsDrawer</t>
    </r>
  </si>
  <si>
    <r>
      <rPr>
        <sz val="11"/>
        <color rgb="FF000000"/>
        <rFont val="Meiryo UI"/>
        <family val="2"/>
      </rPr>
      <t>TicketMaster.ExtraInfo.PaymentTicket.CanCancel</t>
    </r>
  </si>
  <si>
    <r>
      <rPr>
        <sz val="11"/>
        <color rgb="FF000000"/>
        <rFont val="Meiryo UI"/>
        <family val="2"/>
      </rPr>
      <t>TicketMaster.ExtraInfo.PaymentTicket.CanVoid</t>
    </r>
  </si>
  <si>
    <r>
      <rPr>
        <sz val="11"/>
        <color rgb="FF000000"/>
        <rFont val="Meiryo UI"/>
        <family val="2"/>
      </rPr>
      <t>TicketMaster.ExtraInfo.PaymentTicket.CanOverDeposit</t>
    </r>
  </si>
  <si>
    <r>
      <rPr>
        <sz val="11"/>
        <color rgb="FF000000"/>
        <rFont val="Meiryo UI"/>
        <family val="2"/>
      </rPr>
      <t>TicketMaster.ExtraInfo.PaymentTicket.CanChangeCout</t>
    </r>
  </si>
  <si>
    <r>
      <rPr>
        <sz val="11"/>
        <color rgb="FF000000"/>
        <rFont val="Meiryo UI"/>
        <family val="2"/>
      </rPr>
      <t>TicketMaster.ExtraInfo.PaymentTicket.IsPointProhibition</t>
    </r>
  </si>
  <si>
    <r>
      <rPr>
        <sz val="11"/>
        <color rgb="FF000000"/>
        <rFont val="Meiryo UI"/>
        <family val="2"/>
      </rPr>
      <t>"is_sunday": false</t>
    </r>
  </si>
  <si>
    <r>
      <rPr>
        <sz val="11"/>
        <color rgb="FF000000"/>
        <rFont val="Meiryo UI"/>
        <family val="2"/>
      </rPr>
      <t>"payment_tickets" [</t>
    </r>
  </si>
  <si>
    <r>
      <rPr>
        <sz val="11"/>
        <color rgb="FF000000"/>
        <rFont val="Meiryo UI"/>
        <family val="2"/>
      </rPr>
      <t>"can_exchange": true,</t>
    </r>
  </si>
  <si>
    <r>
      <rPr>
        <sz val="11"/>
        <color rgb="FF000000"/>
        <rFont val="Meiryo UI"/>
        <family val="2"/>
      </rPr>
      <t>"can_return": true,</t>
    </r>
  </si>
  <si>
    <r>
      <rPr>
        <sz val="11"/>
        <color rgb="FF000000"/>
        <rFont val="Meiryo UI"/>
        <family val="2"/>
      </rPr>
      <t>"is_monday": false,</t>
    </r>
  </si>
  <si>
    <r>
      <rPr>
        <sz val="11"/>
        <color rgb="FF000000"/>
        <rFont val="Meiryo UI"/>
        <family val="2"/>
      </rPr>
      <t>"is_tuesday": false,</t>
    </r>
  </si>
  <si>
    <r>
      <rPr>
        <sz val="11"/>
        <color rgb="FF000000"/>
        <rFont val="Meiryo UI"/>
        <family val="2"/>
      </rPr>
      <t>"is_wednesday": false,</t>
    </r>
  </si>
  <si>
    <r>
      <rPr>
        <sz val="11"/>
        <color rgb="FF000000"/>
        <rFont val="Meiryo UI"/>
        <family val="2"/>
      </rPr>
      <t>"is_thursday": false,</t>
    </r>
  </si>
  <si>
    <r>
      <rPr>
        <sz val="11"/>
        <color rgb="FF000000"/>
        <rFont val="Meiryo UI"/>
        <family val="2"/>
      </rPr>
      <t>"is_friday": false,</t>
    </r>
  </si>
  <si>
    <r>
      <rPr>
        <sz val="11"/>
        <color rgb="FF000000"/>
        <rFont val="Meiryo UI"/>
        <family val="2"/>
      </rPr>
      <t>"is_saturday": false,</t>
    </r>
  </si>
  <si>
    <r>
      <rPr>
        <sz val="11"/>
        <color rgb="FF000000"/>
        <rFont val="Meiryo UI"/>
        <family val="2"/>
      </rPr>
      <t>"can_change": true,</t>
    </r>
  </si>
  <si>
    <r>
      <rPr>
        <sz val="11"/>
        <color rgb="FF000000"/>
        <rFont val="Meiryo UI"/>
        <family val="2"/>
      </rPr>
      <t>"can_just_fix": true,</t>
    </r>
  </si>
  <si>
    <r>
      <rPr>
        <sz val="11"/>
        <color rgb="FF000000"/>
        <rFont val="Meiryo UI"/>
        <family val="2"/>
      </rPr>
      <t>"is_drawer": true,</t>
    </r>
  </si>
  <si>
    <r>
      <rPr>
        <sz val="11"/>
        <color rgb="FF000000"/>
        <rFont val="Meiryo UI"/>
        <family val="2"/>
      </rPr>
      <t>"can_cancel": false,</t>
    </r>
  </si>
  <si>
    <r>
      <rPr>
        <sz val="11"/>
        <color rgb="FF000000"/>
        <rFont val="Meiryo UI"/>
        <family val="2"/>
      </rPr>
      <t>"can_void": true,</t>
    </r>
  </si>
  <si>
    <r>
      <rPr>
        <sz val="11"/>
        <color rgb="FF000000"/>
        <rFont val="Meiryo UI"/>
        <family val="2"/>
      </rPr>
      <t>"can_over_deposit: true,</t>
    </r>
  </si>
  <si>
    <r>
      <rPr>
        <sz val="11"/>
        <color rgb="FF000000"/>
        <rFont val="Meiryo UI"/>
        <family val="2"/>
      </rPr>
      <t>"can_change_cout: true,</t>
    </r>
  </si>
  <si>
    <r>
      <rPr>
        <sz val="11"/>
        <color rgb="FF000000"/>
        <rFont val="Meiryo UI"/>
        <family val="2"/>
      </rPr>
      <t>"is_point_prohibition: true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</si>
  <si>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</si>
  <si>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tickets</t>
    </r>
  </si>
  <si>
    <r>
      <rPr>
        <sz val="11"/>
        <color rgb="FF000000"/>
        <rFont val="Meiryo UI"/>
        <family val="2"/>
      </rPr>
      <t>Array&lt;Object&gt;</t>
    </r>
  </si>
  <si>
    <r>
      <rPr>
        <sz val="11"/>
        <color rgb="FF000000"/>
        <rFont val="Meiryo UI"/>
        <family val="2"/>
      </rPr>
      <t>券の場合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</si>
  <si>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</si>
  <si>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</si>
  <si>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</si>
  <si>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</si>
  <si>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</si>
  <si>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</si>
  <si>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</si>
  <si>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</si>
  <si>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</si>
  <si>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</si>
  <si>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</si>
  <si>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</si>
  <si>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</si>
  <si>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</si>
  <si>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</si>
  <si>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</si>
  <si>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</si>
  <si>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AnhDD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</si>
  <si>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</si>
  <si>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</si>
  <si>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APIが券一覧を取得する。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</si>
  <si>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</si>
  <si>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</si>
  <si>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</si>
  <si>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</si>
  <si>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</si>
  <si>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</si>
  <si>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</si>
  <si>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</si>
  <si>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</si>
  <si>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</si>
  <si>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・値：
+ 1: を含む
+ 2: から始まる
+ 3: で終わる
キーワード値がある場合、search_type が渡されないと、デフォルトは 「1」である。</t>
  </si>
  <si>
    <t>値：
+ 0: 券
+ 1: 支払券
+ 2: 値引券</t>
  </si>
  <si>
    <t>2.4 Request Body</t>
  </si>
  <si>
    <t>1つ又は複数の店舗がある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</si>
  <si>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</si>
  <si>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</si>
  <si>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</si>
  <si>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</si>
  <si>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割引タイプ:
1: 割引
2: 値引</t>
    </r>
  </si>
  <si>
    <r>
      <rPr>
        <sz val="11"/>
        <color rgb="FF000000"/>
        <rFont val="Meiryo UI"/>
        <family val="2"/>
      </rPr>
      <t>値引金額・率・タイプ:
1: 割引
2: 値引</t>
    </r>
  </si>
  <si>
    <r>
      <rPr>
        <sz val="11"/>
        <color rgb="FF000000"/>
        <rFont val="Meiryo UI"/>
        <family val="2"/>
      </rPr>
      <t>True: 返品使用許可
False: 返品使用不許可</t>
    </r>
  </si>
  <si>
    <r>
      <rPr>
        <sz val="11"/>
        <color rgb="FF000000"/>
        <rFont val="Meiryo UI"/>
        <family val="2"/>
      </rPr>
      <t xml:space="preserve">True: 一部返品交換許可 
False: 一部返品交換不許可 </t>
    </r>
  </si>
  <si>
    <r>
      <rPr>
        <sz val="11"/>
        <color rgb="FF000000"/>
        <rFont val="Meiryo UI"/>
        <family val="2"/>
      </rPr>
      <t>True:  釣り許可
False:  釣り不許可</t>
    </r>
  </si>
  <si>
    <r>
      <rPr>
        <sz val="11"/>
        <color rgb="FF000000"/>
        <rFont val="Meiryo UI"/>
        <family val="2"/>
      </rPr>
      <t>True:  丁度預かり許可
False: 丁度預かり不許可</t>
    </r>
  </si>
  <si>
    <r>
      <rPr>
        <sz val="11"/>
        <color rgb="FF000000"/>
        <rFont val="Meiryo UI"/>
        <family val="2"/>
      </rPr>
      <t>True: ドロア開閉制御許可
False: ドロア開閉制御不許可</t>
    </r>
  </si>
  <si>
    <r>
      <rPr>
        <sz val="11"/>
        <color rgb="FF000000"/>
        <rFont val="Meiryo UI"/>
        <family val="2"/>
      </rPr>
      <t>True: 支払明細クリア許可
False: 支払明細クリア不許可</t>
    </r>
  </si>
  <si>
    <r>
      <rPr>
        <sz val="11"/>
        <color rgb="FF000000"/>
        <rFont val="Meiryo UI"/>
        <family val="2"/>
      </rPr>
      <t>True:  レジマイナス許可
False: レジマイナス不許可</t>
    </r>
  </si>
  <si>
    <r>
      <rPr>
        <sz val="11"/>
        <color rgb="FF000000"/>
        <rFont val="Meiryo UI"/>
        <family val="2"/>
      </rPr>
      <t>True:預かりオーバー許可
False: 預かりオーバー不許可</t>
    </r>
  </si>
  <si>
    <r>
      <rPr>
        <sz val="11"/>
        <color rgb="FF000000"/>
        <rFont val="Meiryo UI"/>
        <family val="2"/>
      </rPr>
      <t>True: 枚数変更許可
False: 枚数変更不許可</t>
    </r>
  </si>
  <si>
    <r>
      <rPr>
        <sz val="11"/>
        <color rgb="FF000000"/>
        <rFont val="Meiryo UI"/>
        <family val="2"/>
      </rPr>
      <t>True:  ポイント除外許可
False: ポイント除外不許可</t>
    </r>
  </si>
  <si>
    <r>
      <rPr>
        <sz val="11"/>
        <color rgb="FF000000"/>
        <rFont val="Meiryo UI"/>
        <family val="2"/>
      </rPr>
      <t xml:space="preserve">TicketMaster.ExtraInfo.Coupon.StartDateTine </t>
    </r>
  </si>
  <si>
    <r>
      <rPr>
        <sz val="11"/>
        <color rgb="FF000000"/>
        <rFont val="Meiryo UI"/>
        <family val="2"/>
      </rPr>
      <t>適用区分（開始期間）
形式：yyyy/MM/dd HH:mm</t>
    </r>
  </si>
  <si>
    <r>
      <rPr>
        <sz val="11"/>
        <color rgb="FF000000"/>
        <rFont val="Meiryo UI"/>
        <family val="2"/>
      </rPr>
      <t>適用区分（終了期間）
形式：yyyy/MM/dd HH:mm</t>
    </r>
  </si>
  <si>
    <t>※サンプル</t>
  </si>
  <si>
    <t>値引券の場合</t>
  </si>
  <si>
    <t>支払券の場合</t>
  </si>
  <si>
    <r>
      <rPr>
        <sz val="11"/>
        <color rgb="FF000000"/>
        <rFont val="Meiryo UI"/>
        <family val="2"/>
      </rPr>
      <t>"status_code": 200,</t>
    </r>
  </si>
  <si>
    <r>
      <rPr>
        <sz val="11"/>
        <color rgb="FF000000"/>
        <rFont val="Meiryo UI"/>
        <family val="2"/>
      </rPr>
      <t>"total_count": 1,</t>
    </r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</si>
  <si>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</si>
  <si>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"company_code": 800,</t>
    </r>
  </si>
  <si>
    <r>
      <rPr>
        <sz val="11"/>
        <color rgb="FF000000"/>
        <rFont val="Meiryo UI"/>
        <family val="2"/>
      </rPr>
      <t>"store_code": 00002,</t>
    </r>
  </si>
  <si>
    <r>
      <rPr>
        <sz val="11"/>
        <color rgb="FF000000"/>
        <rFont val="Meiryo UI"/>
        <family val="2"/>
      </rPr>
      <t>"code": "0000000214445",</t>
    </r>
  </si>
  <si>
    <r>
      <rPr>
        <sz val="11"/>
        <color rgb="FF000000"/>
        <rFont val="Meiryo UI"/>
        <family val="2"/>
      </rPr>
      <t>"name": "Coupon Name",</t>
    </r>
  </si>
  <si>
    <r>
      <rPr>
        <sz val="11"/>
        <color rgb="FF000000"/>
        <rFont val="Meiryo UI"/>
        <family val="2"/>
      </rPr>
      <t>"name": "Payment Ticket Name",</t>
    </r>
  </si>
  <si>
    <r>
      <rPr>
        <sz val="11"/>
        <color rgb="FF000000"/>
        <rFont val="Meiryo UI"/>
        <family val="2"/>
      </rPr>
      <t>"name": "Ticket Name",</t>
    </r>
  </si>
  <si>
    <r>
      <rPr>
        <sz val="11"/>
        <color rgb="FF000000"/>
        <rFont val="Meiryo UI"/>
        <family val="2"/>
      </rPr>
      <t>"discount_type": "1",</t>
    </r>
  </si>
  <si>
    <r>
      <rPr>
        <sz val="11"/>
        <color rgb="FF000000"/>
        <rFont val="Meiryo UI"/>
        <family val="2"/>
      </rPr>
      <t>"discount_type": 2,</t>
    </r>
  </si>
  <si>
    <r>
      <rPr>
        <sz val="11"/>
        <color rgb="FF000000"/>
        <rFont val="Meiryo UI"/>
        <family val="2"/>
      </rPr>
      <t>"amount": "10",</t>
    </r>
  </si>
  <si>
    <r>
      <rPr>
        <sz val="11"/>
        <color rgb="FF000000"/>
        <rFont val="Meiryo UI"/>
        <family val="2"/>
      </rPr>
      <t>"category": "6"</t>
    </r>
  </si>
  <si>
    <r>
      <rPr>
        <sz val="11"/>
        <color rgb="FF000000"/>
        <rFont val="Meiryo UI"/>
        <family val="2"/>
      </rPr>
      <t>"category": "6",</t>
    </r>
  </si>
  <si>
    <r>
      <rPr>
        <sz val="11"/>
        <color rgb="FF000000"/>
        <rFont val="Meiryo UI"/>
        <family val="2"/>
      </rPr>
      <t>"date_categorize_type_code":  1,</t>
    </r>
  </si>
  <si>
    <r>
      <rPr>
        <sz val="11"/>
        <color rgb="FF000000"/>
        <rFont val="Meiryo UI"/>
        <family val="2"/>
      </rPr>
      <t>"start_date_time": "2024/06/27 12:00"</t>
    </r>
  </si>
  <si>
    <r>
      <rPr>
        <sz val="11"/>
        <color rgb="FF000000"/>
        <rFont val="Meiryo UI"/>
        <family val="2"/>
      </rPr>
      <t>"start_date_time": "2024/06/30 12:00",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</si>
  <si>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</si>
  <si>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値：
1: 毎日
2: 曜日指定
フィールドIsMonday～IsSundayはオプション2が選択されている場合にのみ有効になる。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</si>
</sst>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0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6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3"/>
    </xf>
    <xf numFmtId="0" fontId="13" fillId="0" borderId="0" xfId="0" applyFont="1"/>
    <xf numFmtId="0" fontId="13" fillId="0" borderId="0" xfId="0" quotePrefix="1" applyFont="1" applyAlignment="1">
      <alignment horizontal="left" vertical="center" indent="3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5" fillId="4" borderId="0" xfId="0" applyFont="1" applyFill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 indent="1"/>
    </xf>
    <xf numFmtId="0" fontId="3" fillId="0" borderId="24" xfId="0" applyFont="1" applyBorder="1" applyAlignment="1">
      <alignment horizontal="left" vertical="center" wrapText="1" indent="1"/>
    </xf>
    <xf numFmtId="0" fontId="3" fillId="0" borderId="25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16" xfId="0" quotePrefix="1" applyFont="1" applyBorder="1" applyAlignment="1">
      <alignment horizontal="left" vertical="top" wrapText="1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left" vertical="top" wrapText="1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7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3" fillId="0" borderId="23" xfId="0" quotePrefix="1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47</xdr:row>
      <xdr:rowOff>0</xdr:rowOff>
    </xdr:from>
    <xdr:to>
      <xdr:col>62</xdr:col>
      <xdr:colOff>0</xdr:colOff>
      <xdr:row>52</xdr:row>
      <xdr:rowOff>0</xdr:rowOff>
    </xdr:to>
    <xdr:sp macro="" textlink="" fLocksText="0">
      <xdr:nvSpPr>
        <xdr:cNvPr id="61" name="吹き出し: 線 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334500" y="9067800"/>
          <a:ext cx="7200900" cy="952500"/>
        </a:xfrm>
        <a:prstGeom prst="borderCallout1">
          <a:avLst>
            <a:gd name="adj1" fmla="val 51887"/>
            <a:gd name="adj2" fmla="val 470"/>
            <a:gd name="adj3" fmla="val 13353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 4 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レコードが存在している場合、response 200を返す。データは「AP6601」シートの3.1.正常の場合のレスポンスフォーマット（支払券、値引券がない）をご参照ください。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▪レコードが存在していない場合は、response 200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data {}を返す。</a:t>
          </a:r>
        </a:p>
      </xdr:txBody>
    </xdr: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37</xdr:row>
      <xdr:rowOff>0</xdr:rowOff>
    </xdr:to>
    <xdr:sp macro="" textlink="" fLocksText="0">
      <xdr:nvSpPr>
        <xdr:cNvPr id="59" name="吹き出し: 線 2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9334500" y="6210300"/>
          <a:ext cx="7200900" cy="952500"/>
        </a:xfrm>
        <a:prstGeom prst="borderCallout1">
          <a:avLst>
            <a:gd name="adj1" fmla="val 51887"/>
            <a:gd name="adj2" fmla="val 470"/>
            <a:gd name="adj3" fmla="val 35412"/>
            <a:gd name="adj4" fmla="val -968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request.type = 0のチェックを行う。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▪「0」である場合、4. 使用済みの券削除のステップを実行する。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▪「0」以外の場合、response 200を返す。データはAP6601シートの「3.1. 正常の場合のレスポンスフォーマット」をご参照ください。</a:t>
          </a:r>
        </a:p>
      </xdr:txBody>
    </xdr:sp>
    <xdr:clientData/>
  </xdr:twoCellAnchor>
  <xdr:twoCellAnchor>
    <xdr:from>
      <xdr:col>34</xdr:col>
      <xdr:colOff>224118</xdr:colOff>
      <xdr:row>25</xdr:row>
      <xdr:rowOff>0</xdr:rowOff>
    </xdr:from>
    <xdr:to>
      <xdr:col>61</xdr:col>
      <xdr:colOff>224118</xdr:colOff>
      <xdr:row>29</xdr:row>
      <xdr:rowOff>0</xdr:rowOff>
    </xdr:to>
    <xdr:sp macro="" textlink="" fLocksText="0">
      <xdr:nvSpPr>
        <xdr:cNvPr id="39" name="吹き出し: 線 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296400" y="4876800"/>
          <a:ext cx="7200900" cy="762000"/>
        </a:xfrm>
        <a:prstGeom prst="borderCallout1">
          <a:avLst>
            <a:gd name="adj1" fmla="val 51887"/>
            <a:gd name="adj2" fmla="val 470"/>
            <a:gd name="adj3" fmla="val 13353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▪レコードが存在している場合、ステップ3（request.type = 0のチェック）を実行する。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レコードが存在していない場合は、response 200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data {}を返す。</a:t>
          </a: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781300"/>
          <a:ext cx="7200900" cy="1714500"/>
        </a:xfrm>
        <a:prstGeom prst="borderCallout1">
          <a:avLst>
            <a:gd name="adj1" fmla="val 51887"/>
            <a:gd name="adj2" fmla="val 470"/>
            <a:gd name="adj3" fmla="val 53307"/>
            <a:gd name="adj4" fmla="val -926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以下の条件を満たすTicketMasterテーブルの券一覧を取得する。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・TicketMaster.CompanyCode = current_user.CompanyCode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・TicketMaster.Type = request.type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+request.search_type = 0の場合：TicketMasterNameにrequest.keywordが含まれている。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 request.search_type = 1の場合: TicketMasterNameはrequest.keywordから始まる。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+request.search_type = 2の場合：TicketMasterNameはrequest.keywordで終わる。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・request.selected_storesにTicketMaster.StoreCodeが含まれている。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8</xdr:row>
      <xdr:rowOff>179294</xdr:rowOff>
    </xdr:from>
    <xdr:to>
      <xdr:col>9</xdr:col>
      <xdr:colOff>0</xdr:colOff>
      <xdr:row>10</xdr:row>
      <xdr:rowOff>168088</xdr:rowOff>
    </xdr:to>
    <xdr:sp macro="" textlink="" fLocksText="0">
      <xdr:nvSpPr>
        <xdr:cNvPr id="16" name="Oval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181927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9</xdr:col>
      <xdr:colOff>0</xdr:colOff>
      <xdr:row>59</xdr:row>
      <xdr:rowOff>168088</xdr:rowOff>
    </xdr:to>
    <xdr:sp macro="" textlink="" fLocksText="0">
      <xdr:nvSpPr>
        <xdr:cNvPr id="17" name="Oval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333500" y="11163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7</xdr:col>
      <xdr:colOff>0</xdr:colOff>
      <xdr:row>10</xdr:row>
      <xdr:rowOff>168088</xdr:rowOff>
    </xdr:from>
    <xdr:to>
      <xdr:col>7</xdr:col>
      <xdr:colOff>1</xdr:colOff>
      <xdr:row>12</xdr:row>
      <xdr:rowOff>179294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4"/>
          <a:endCxn id="19" idx="0"/>
        </xdr:cNvCxnSpPr>
      </xdr:nvCxnSpPr>
      <xdr:spPr>
        <a:xfrm>
          <a:off x="1866900" y="219075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12</xdr:row>
      <xdr:rowOff>179294</xdr:rowOff>
    </xdr:from>
    <xdr:to>
      <xdr:col>9</xdr:col>
      <xdr:colOff>1</xdr:colOff>
      <xdr:row>13</xdr:row>
      <xdr:rowOff>168088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333500" y="258127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7</xdr:col>
      <xdr:colOff>0</xdr:colOff>
      <xdr:row>50</xdr:row>
      <xdr:rowOff>179294</xdr:rowOff>
    </xdr:from>
    <xdr:to>
      <xdr:col>7</xdr:col>
      <xdr:colOff>0</xdr:colOff>
      <xdr:row>55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44" idx="2"/>
          <a:endCxn id="21" idx="0"/>
        </xdr:cNvCxnSpPr>
      </xdr:nvCxnSpPr>
      <xdr:spPr>
        <a:xfrm>
          <a:off x="1866900" y="9820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55</xdr:row>
      <xdr:rowOff>0</xdr:rowOff>
    </xdr:from>
    <xdr:to>
      <xdr:col>9</xdr:col>
      <xdr:colOff>0</xdr:colOff>
      <xdr:row>56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333500" y="10591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0</xdr:colOff>
      <xdr:row>58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21" idx="2"/>
          <a:endCxn id="17" idx="0"/>
        </xdr:cNvCxnSpPr>
      </xdr:nvCxnSpPr>
      <xdr:spPr>
        <a:xfrm>
          <a:off x="1866900" y="1078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0</xdr:rowOff>
    </xdr:from>
    <xdr:to>
      <xdr:col>8</xdr:col>
      <xdr:colOff>0</xdr:colOff>
      <xdr:row>29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600200" y="544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11206</xdr:colOff>
      <xdr:row>25</xdr:row>
      <xdr:rowOff>0</xdr:rowOff>
    </xdr:from>
    <xdr:to>
      <xdr:col>12</xdr:col>
      <xdr:colOff>11206</xdr:colOff>
      <xdr:row>26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676525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13</xdr:row>
      <xdr:rowOff>168088</xdr:rowOff>
    </xdr:from>
    <xdr:to>
      <xdr:col>7</xdr:col>
      <xdr:colOff>1</xdr:colOff>
      <xdr:row>23</xdr:row>
      <xdr:rowOff>11206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19" idx="2"/>
          <a:endCxn id="29" idx="0"/>
        </xdr:cNvCxnSpPr>
      </xdr:nvCxnSpPr>
      <xdr:spPr>
        <a:xfrm flipH="1">
          <a:off x="1866900" y="2762250"/>
          <a:ext cx="0" cy="17430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16</xdr:row>
      <xdr:rowOff>179294</xdr:rowOff>
    </xdr:from>
    <xdr:to>
      <xdr:col>10</xdr:col>
      <xdr:colOff>1</xdr:colOff>
      <xdr:row>20</xdr:row>
      <xdr:rowOff>179294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066800" y="3343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対象券一覧取得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13</xdr:row>
      <xdr:rowOff>168088</xdr:rowOff>
    </xdr:from>
    <xdr:to>
      <xdr:col>7</xdr:col>
      <xdr:colOff>1</xdr:colOff>
      <xdr:row>16</xdr:row>
      <xdr:rowOff>179294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9" idx="2"/>
          <a:endCxn id="26" idx="0"/>
        </xdr:cNvCxnSpPr>
      </xdr:nvCxnSpPr>
      <xdr:spPr>
        <a:xfrm>
          <a:off x="1866900" y="276225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95250</xdr:rowOff>
    </xdr:from>
    <xdr:to>
      <xdr:col>12</xdr:col>
      <xdr:colOff>11206</xdr:colOff>
      <xdr:row>55</xdr:row>
      <xdr:rowOff>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4" idx="3"/>
          <a:endCxn id="21" idx="0"/>
        </xdr:cNvCxnSpPr>
      </xdr:nvCxnSpPr>
      <xdr:spPr>
        <a:xfrm flipH="1">
          <a:off x="1866900" y="4972050"/>
          <a:ext cx="1343025" cy="5619750"/>
        </a:xfrm>
        <a:prstGeom prst="bentConnector4">
          <a:avLst>
            <a:gd name="adj1" fmla="val -39056"/>
            <a:gd name="adj2" fmla="val 9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11206</xdr:rowOff>
    </xdr:from>
    <xdr:to>
      <xdr:col>10</xdr:col>
      <xdr:colOff>0</xdr:colOff>
      <xdr:row>28</xdr:row>
      <xdr:rowOff>0</xdr:rowOff>
    </xdr:to>
    <xdr:sp macro="" textlink="" fLocksText="0">
      <xdr:nvSpPr>
        <xdr:cNvPr id="29" name="Flowchart: Decisio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66800" y="4505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39</xdr:row>
      <xdr:rowOff>0</xdr:rowOff>
    </xdr:from>
    <xdr:to>
      <xdr:col>10</xdr:col>
      <xdr:colOff>2</xdr:colOff>
      <xdr:row>43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066800" y="754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使用済みの券削除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11</xdr:col>
      <xdr:colOff>0</xdr:colOff>
      <xdr:row>36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6019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3.request.</a:t>
          </a:r>
        </a:p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type = 0</a:t>
          </a:r>
        </a:p>
      </xdr:txBody>
    </xdr:sp>
    <xdr:clientData/>
  </xdr:twoCellAnchor>
  <xdr:twoCellAnchor>
    <xdr:from>
      <xdr:col>6</xdr:col>
      <xdr:colOff>1</xdr:colOff>
      <xdr:row>36</xdr:row>
      <xdr:rowOff>0</xdr:rowOff>
    </xdr:from>
    <xdr:to>
      <xdr:col>8</xdr:col>
      <xdr:colOff>1</xdr:colOff>
      <xdr:row>37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600200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13</xdr:col>
      <xdr:colOff>0</xdr:colOff>
      <xdr:row>34</xdr:row>
      <xdr:rowOff>0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9337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33</xdr:row>
      <xdr:rowOff>95250</xdr:rowOff>
    </xdr:from>
    <xdr:to>
      <xdr:col>13</xdr:col>
      <xdr:colOff>0</xdr:colOff>
      <xdr:row>55</xdr:row>
      <xdr:rowOff>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3" idx="3"/>
          <a:endCxn id="21" idx="0"/>
        </xdr:cNvCxnSpPr>
      </xdr:nvCxnSpPr>
      <xdr:spPr>
        <a:xfrm flipH="1">
          <a:off x="1866900" y="6496050"/>
          <a:ext cx="1600200" cy="4095750"/>
        </a:xfrm>
        <a:prstGeom prst="bentConnector4">
          <a:avLst>
            <a:gd name="adj1" fmla="val -16190"/>
            <a:gd name="adj2" fmla="val 9028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0</xdr:colOff>
      <xdr:row>31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23" idx="2"/>
          <a:endCxn id="11" idx="0"/>
        </xdr:cNvCxnSpPr>
      </xdr:nvCxnSpPr>
      <xdr:spPr>
        <a:xfrm>
          <a:off x="1866900" y="5638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49</xdr:row>
      <xdr:rowOff>179294</xdr:rowOff>
    </xdr:from>
    <xdr:to>
      <xdr:col>8</xdr:col>
      <xdr:colOff>0</xdr:colOff>
      <xdr:row>50</xdr:row>
      <xdr:rowOff>179294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600200" y="9629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11206</xdr:colOff>
      <xdr:row>46</xdr:row>
      <xdr:rowOff>179294</xdr:rowOff>
    </xdr:from>
    <xdr:to>
      <xdr:col>12</xdr:col>
      <xdr:colOff>11206</xdr:colOff>
      <xdr:row>47</xdr:row>
      <xdr:rowOff>179294</xdr:rowOff>
    </xdr:to>
    <xdr:sp macro="" textlink="" fLocksText="0">
      <xdr:nvSpPr>
        <xdr:cNvPr id="45" name="Flowchart: Process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2676525" y="905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45</xdr:row>
      <xdr:rowOff>0</xdr:rowOff>
    </xdr:from>
    <xdr:to>
      <xdr:col>10</xdr:col>
      <xdr:colOff>0</xdr:colOff>
      <xdr:row>49</xdr:row>
      <xdr:rowOff>179294</xdr:rowOff>
    </xdr:to>
    <xdr:sp macro="" textlink="" fLocksText="0">
      <xdr:nvSpPr>
        <xdr:cNvPr id="46" name="Flowchart: Decision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066800" y="8686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37</xdr:row>
      <xdr:rowOff>0</xdr:rowOff>
    </xdr:from>
    <xdr:to>
      <xdr:col>7</xdr:col>
      <xdr:colOff>1</xdr:colOff>
      <xdr:row>39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12" idx="2"/>
          <a:endCxn id="10" idx="0"/>
        </xdr:cNvCxnSpPr>
      </xdr:nvCxnSpPr>
      <xdr:spPr>
        <a:xfrm>
          <a:off x="1866900" y="716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</xdr:colOff>
      <xdr:row>45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0" idx="2"/>
          <a:endCxn id="46" idx="0"/>
        </xdr:cNvCxnSpPr>
      </xdr:nvCxnSpPr>
      <xdr:spPr>
        <a:xfrm flipH="1">
          <a:off x="1866900" y="8305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</xdr:row>
      <xdr:rowOff>84044</xdr:rowOff>
    </xdr:from>
    <xdr:to>
      <xdr:col>12</xdr:col>
      <xdr:colOff>11206</xdr:colOff>
      <xdr:row>55</xdr:row>
      <xdr:rowOff>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45" idx="3"/>
          <a:endCxn id="21" idx="0"/>
        </xdr:cNvCxnSpPr>
      </xdr:nvCxnSpPr>
      <xdr:spPr>
        <a:xfrm flipH="1">
          <a:off x="1866900" y="9153525"/>
          <a:ext cx="1343025" cy="1438275"/>
        </a:xfrm>
        <a:prstGeom prst="bentConnector4">
          <a:avLst>
            <a:gd name="adj1" fmla="val -38113"/>
            <a:gd name="adj2" fmla="val 7198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7543800"/>
          <a:ext cx="7200900" cy="952500"/>
        </a:xfrm>
        <a:prstGeom prst="borderCallout1">
          <a:avLst>
            <a:gd name="adj1" fmla="val 51887"/>
            <a:gd name="adj2" fmla="val 470"/>
            <a:gd name="adj3" fmla="val 29778"/>
            <a:gd name="adj4" fmla="val -926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以下の条件に従って、TicketMatserテーブルに存在しているステップ2のレコードを削除する。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・TicketMaster.CompanyCode = current_user.CompanyCode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・TicketMaster.Type &gt; 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・TicketMaster.Code = record.code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9" customWidth="1"/>
    <col min="61" max="16384" width="2.77734375" style="49"/>
  </cols>
  <sheetData>
    <row r="1" spans="1:63" ht="24.95" customHeight="1">
      <c r="A1" s="81" t="s">
        <v>144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145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">
        <v>146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90" t="s">
        <v>152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改訂履歴!$H$11</f>
        <v>AnhDD</v>
      </c>
      <c r="AQ2" s="85"/>
      <c r="AR2" s="85"/>
      <c r="AS2" s="86"/>
      <c r="AT2" s="112">
        <f>改訂履歴!$B$11</f>
        <v>45467</v>
      </c>
      <c r="AU2" s="113"/>
      <c r="AV2" s="113"/>
      <c r="AW2" s="113"/>
      <c r="AX2" s="114"/>
      <c r="AY2" s="84" t="str">
        <f>LOOKUP(2,1/(改訂履歴!H11:H30000&lt;&gt;""),改訂履歴!H11:H30000)</f>
        <v>AnhDD</v>
      </c>
      <c r="AZ2" s="85"/>
      <c r="BA2" s="85"/>
      <c r="BB2" s="86"/>
      <c r="BC2" s="112">
        <f>LOOKUP(2,1/(改訂履歴!B11:B30000&lt;&gt;""),改訂履歴!B11:B30000)</f>
        <v>45467</v>
      </c>
      <c r="BD2" s="113"/>
      <c r="BE2" s="113"/>
      <c r="BF2" s="113"/>
      <c r="BG2" s="114"/>
      <c r="BH2" s="106">
        <f>LOOKUP(2,1/(改訂履歴!O11:O30000&lt;&gt;""),改訂履歴!O11:O30000)</f>
        <v>0.1</v>
      </c>
      <c r="BI2" s="107"/>
      <c r="BJ2" s="107"/>
      <c r="BK2" s="108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109"/>
      <c r="BI3" s="110"/>
      <c r="BJ3" s="110"/>
      <c r="BK3" s="111"/>
    </row>
    <row r="4" spans="1:63" ht="24.95" customHeight="1">
      <c r="A4" s="81" t="s">
        <v>153</v>
      </c>
      <c r="B4" s="82"/>
      <c r="C4" s="82"/>
      <c r="D4" s="82"/>
      <c r="E4" s="82"/>
      <c r="F4" s="82"/>
      <c r="G4" s="83"/>
      <c r="H4" s="102" t="s">
        <v>23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154</v>
      </c>
      <c r="V4" s="82"/>
      <c r="W4" s="82"/>
      <c r="X4" s="82"/>
      <c r="Y4" s="83"/>
      <c r="Z4" s="105" t="s">
        <v>155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表紙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2"/>
    </row>
    <row r="6" spans="1:63" ht="15" customHeight="1">
      <c r="A6" s="53"/>
      <c r="BK6" s="54"/>
    </row>
    <row r="7" spans="1:63" ht="15" customHeight="1">
      <c r="A7" s="53"/>
      <c r="BK7" s="54"/>
    </row>
    <row r="8" spans="1:63" ht="15" customHeight="1">
      <c r="A8" s="53"/>
      <c r="BK8" s="54"/>
    </row>
    <row r="9" spans="1:63" ht="15" customHeight="1">
      <c r="A9" s="53"/>
      <c r="BK9" s="54"/>
    </row>
    <row r="10" spans="1:63" ht="15" customHeight="1">
      <c r="A10" s="53"/>
      <c r="BK10" s="54"/>
    </row>
    <row r="11" spans="1:63" ht="15" customHeight="1">
      <c r="A11" s="53"/>
      <c r="BK11" s="54"/>
    </row>
    <row r="12" spans="1:63" ht="15" customHeight="1">
      <c r="A12" s="53"/>
      <c r="BK12" s="54"/>
    </row>
    <row r="13" spans="1:63" ht="15" customHeight="1">
      <c r="A13" s="53"/>
      <c r="BK13" s="54"/>
    </row>
    <row r="14" spans="1:63" ht="15" customHeight="1" thickBot="1">
      <c r="A14" s="53"/>
      <c r="BK14" s="54"/>
    </row>
    <row r="15" spans="1:63" ht="15" customHeight="1" thickTop="1">
      <c r="A15" s="53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7"/>
      <c r="BK15" s="54"/>
    </row>
    <row r="16" spans="1:63" ht="15" customHeight="1">
      <c r="A16" s="53"/>
      <c r="K16" s="58"/>
      <c r="L16" s="100" t="s">
        <v>156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59"/>
      <c r="BK16" s="54"/>
    </row>
    <row r="17" spans="1:63" ht="15" customHeight="1">
      <c r="A17" s="53"/>
      <c r="K17" s="58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59"/>
      <c r="BK17" s="54"/>
    </row>
    <row r="18" spans="1:63" ht="15" customHeight="1">
      <c r="A18" s="53"/>
      <c r="K18" s="58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59"/>
      <c r="BK18" s="54"/>
    </row>
    <row r="19" spans="1:63" ht="15" customHeight="1">
      <c r="A19" s="53"/>
      <c r="K19" s="58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59"/>
      <c r="BK19" s="54"/>
    </row>
    <row r="20" spans="1:63" ht="15" customHeight="1">
      <c r="A20" s="53"/>
      <c r="K20" s="58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59"/>
      <c r="BK20" s="54"/>
    </row>
    <row r="21" spans="1:63" ht="15" customHeight="1">
      <c r="A21" s="53"/>
      <c r="K21" s="58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59"/>
      <c r="BK21" s="54"/>
    </row>
    <row r="22" spans="1:63" ht="15" customHeight="1" thickBot="1">
      <c r="A22" s="53"/>
      <c r="K22" s="58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59"/>
      <c r="BK22" s="54"/>
    </row>
    <row r="23" spans="1:63" ht="15" customHeight="1">
      <c r="A23" s="53"/>
      <c r="K23" s="58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59"/>
      <c r="BK23" s="54"/>
    </row>
    <row r="24" spans="1:63" ht="15" customHeight="1">
      <c r="A24" s="53"/>
      <c r="K24" s="58"/>
      <c r="L24" s="101" t="str">
        <f>K2&amp;"/"&amp;H4&amp;"/"&amp;Z4</f>
        <v>POSサーバー/AP6601/API設計書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59"/>
      <c r="BK24" s="54"/>
    </row>
    <row r="25" spans="1:63" ht="15" customHeight="1">
      <c r="A25" s="53"/>
      <c r="K25" s="58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59"/>
      <c r="BK25" s="54"/>
    </row>
    <row r="26" spans="1:63" ht="15" customHeight="1">
      <c r="A26" s="53"/>
      <c r="K26" s="58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59"/>
      <c r="BK26" s="54"/>
    </row>
    <row r="27" spans="1:63" ht="15" customHeight="1">
      <c r="A27" s="53"/>
      <c r="K27" s="58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59"/>
      <c r="BK27" s="54"/>
    </row>
    <row r="28" spans="1:63" ht="15" customHeight="1">
      <c r="A28" s="53"/>
      <c r="K28" s="58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59"/>
      <c r="BK28" s="54"/>
    </row>
    <row r="29" spans="1:63" ht="15" customHeight="1">
      <c r="A29" s="53"/>
      <c r="K29" s="58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59"/>
      <c r="BK29" s="54"/>
    </row>
    <row r="30" spans="1:63" ht="15" customHeight="1">
      <c r="A30" s="53"/>
      <c r="K30" s="58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59"/>
      <c r="BK30" s="54"/>
    </row>
    <row r="31" spans="1:63" ht="15" customHeight="1">
      <c r="A31" s="53"/>
      <c r="K31" s="58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59"/>
      <c r="BK31" s="54"/>
    </row>
    <row r="32" spans="1:63" ht="15" customHeight="1">
      <c r="A32" s="53"/>
      <c r="K32" s="58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59"/>
      <c r="BK32" s="54"/>
    </row>
    <row r="33" spans="1:63" ht="15" customHeight="1">
      <c r="A33" s="53"/>
      <c r="K33" s="58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59"/>
      <c r="BK33" s="54"/>
    </row>
    <row r="34" spans="1:63" ht="15" customHeight="1">
      <c r="A34" s="53"/>
      <c r="K34" s="58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59"/>
      <c r="BK34" s="54"/>
    </row>
    <row r="35" spans="1:63" ht="15" customHeight="1">
      <c r="A35" s="53"/>
      <c r="K35" s="58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59"/>
      <c r="BK35" s="54"/>
    </row>
    <row r="36" spans="1:63" ht="15" customHeight="1">
      <c r="A36" s="53"/>
      <c r="K36" s="58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59"/>
      <c r="BK36" s="54"/>
    </row>
    <row r="37" spans="1:63" ht="15" customHeight="1" thickBot="1">
      <c r="A37" s="53"/>
      <c r="K37" s="62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4"/>
      <c r="BK37" s="54"/>
    </row>
    <row r="38" spans="1:63" ht="15" customHeight="1" thickTop="1">
      <c r="A38" s="53"/>
      <c r="BK38" s="54"/>
    </row>
    <row r="39" spans="1:63" ht="15" customHeight="1">
      <c r="A39" s="53"/>
      <c r="BK39" s="54"/>
    </row>
    <row r="40" spans="1:63" ht="15" customHeight="1">
      <c r="A40" s="53"/>
      <c r="BK40" s="54"/>
    </row>
    <row r="41" spans="1:63" ht="15" customHeight="1">
      <c r="A41" s="53"/>
      <c r="BK41" s="54"/>
    </row>
    <row r="42" spans="1:63" ht="15" customHeight="1">
      <c r="A42" s="53"/>
      <c r="BK42" s="54"/>
    </row>
    <row r="43" spans="1:63" ht="15" customHeight="1">
      <c r="A43" s="53"/>
      <c r="BK43" s="54"/>
    </row>
    <row r="44" spans="1:63" ht="15" customHeight="1">
      <c r="A44" s="53"/>
      <c r="Q44" s="121" t="s">
        <v>157</v>
      </c>
      <c r="R44" s="122"/>
      <c r="S44" s="122"/>
      <c r="T44" s="122"/>
      <c r="U44" s="122"/>
      <c r="V44" s="122"/>
      <c r="W44" s="122"/>
      <c r="X44" s="122"/>
      <c r="Y44" s="122"/>
      <c r="Z44" s="123"/>
      <c r="AA44" s="121" t="s">
        <v>158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3"/>
      <c r="AQ44" s="121" t="s">
        <v>151</v>
      </c>
      <c r="AR44" s="122"/>
      <c r="AS44" s="122"/>
      <c r="AT44" s="122"/>
      <c r="AU44" s="123"/>
      <c r="BK44" s="54"/>
    </row>
    <row r="45" spans="1:63" ht="15" customHeight="1">
      <c r="A45" s="53"/>
      <c r="Q45" s="124"/>
      <c r="R45" s="125"/>
      <c r="S45" s="125"/>
      <c r="T45" s="125"/>
      <c r="U45" s="125"/>
      <c r="V45" s="125"/>
      <c r="W45" s="125"/>
      <c r="X45" s="125"/>
      <c r="Y45" s="125"/>
      <c r="Z45" s="126"/>
      <c r="AA45" s="124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6"/>
      <c r="AQ45" s="124"/>
      <c r="AR45" s="125"/>
      <c r="AS45" s="125"/>
      <c r="AT45" s="125"/>
      <c r="AU45" s="126"/>
      <c r="BK45" s="54"/>
    </row>
    <row r="46" spans="1:63" ht="15" customHeight="1">
      <c r="A46" s="53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54"/>
    </row>
    <row r="47" spans="1:63" ht="15" customHeight="1">
      <c r="A47" s="53"/>
      <c r="Q47" s="118"/>
      <c r="R47" s="119"/>
      <c r="S47" s="119"/>
      <c r="T47" s="119"/>
      <c r="U47" s="119"/>
      <c r="V47" s="119"/>
      <c r="W47" s="119"/>
      <c r="X47" s="119"/>
      <c r="Y47" s="119"/>
      <c r="Z47" s="120"/>
      <c r="AA47" s="118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20"/>
      <c r="AQ47" s="118"/>
      <c r="AR47" s="119"/>
      <c r="AS47" s="119"/>
      <c r="AT47" s="119"/>
      <c r="AU47" s="120"/>
      <c r="BK47" s="54"/>
    </row>
    <row r="48" spans="1:63" ht="15" customHeight="1">
      <c r="A48" s="53"/>
      <c r="Q48" s="118"/>
      <c r="R48" s="119"/>
      <c r="S48" s="119"/>
      <c r="T48" s="119"/>
      <c r="U48" s="119"/>
      <c r="V48" s="119"/>
      <c r="W48" s="119"/>
      <c r="X48" s="119"/>
      <c r="Y48" s="119"/>
      <c r="Z48" s="120"/>
      <c r="AA48" s="118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20"/>
      <c r="AQ48" s="118"/>
      <c r="AR48" s="119"/>
      <c r="AS48" s="119"/>
      <c r="AT48" s="119"/>
      <c r="AU48" s="120"/>
      <c r="BK48" s="54"/>
    </row>
    <row r="49" spans="1:63" ht="15" customHeight="1">
      <c r="A49" s="53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54"/>
    </row>
    <row r="50" spans="1:63" ht="15" customHeight="1">
      <c r="A50" s="53"/>
      <c r="BK50" s="54"/>
    </row>
    <row r="51" spans="1:63" ht="15" customHeight="1">
      <c r="A51" s="53"/>
      <c r="BK51" s="54"/>
    </row>
    <row r="52" spans="1:63" ht="15" customHeight="1">
      <c r="A52" s="53"/>
      <c r="BK52" s="54"/>
    </row>
    <row r="53" spans="1:63" ht="15" customHeight="1">
      <c r="A53" s="53"/>
      <c r="BK53" s="54"/>
    </row>
    <row r="54" spans="1:63" ht="15" customHeight="1">
      <c r="A54" s="53"/>
      <c r="BK54" s="54"/>
    </row>
    <row r="55" spans="1:63" ht="15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49" customWidth="1"/>
    <col min="61" max="16384" width="2.77734375" style="49"/>
  </cols>
  <sheetData>
    <row r="1" spans="1:63" ht="24.95" customHeight="1">
      <c r="A1" s="81" t="s">
        <v>144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145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27" t="str">
        <f>IF(表紙!W1="","",表紙!W1)</f>
        <v>詳細設計書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AnhDD</v>
      </c>
      <c r="AQ2" s="85"/>
      <c r="AR2" s="85"/>
      <c r="AS2" s="86"/>
      <c r="AT2" s="112">
        <f>IF(表紙!AT2="","",表紙!AT2)</f>
        <v>45467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45467</v>
      </c>
      <c r="BD2" s="113"/>
      <c r="BE2" s="113"/>
      <c r="BF2" s="113"/>
      <c r="BG2" s="114"/>
      <c r="BH2" s="84">
        <f>IF(表紙!BH2="","",表紙!BH2)</f>
        <v>0.1</v>
      </c>
      <c r="BI2" s="85"/>
      <c r="BJ2" s="85"/>
      <c r="BK2" s="86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>
      <c r="A4" s="81" t="s">
        <v>159</v>
      </c>
      <c r="B4" s="82"/>
      <c r="C4" s="82"/>
      <c r="D4" s="82"/>
      <c r="E4" s="82"/>
      <c r="F4" s="82"/>
      <c r="G4" s="83"/>
      <c r="H4" s="102" t="str">
        <f>IF(表紙!H4="","",表紙!H4)</f>
        <v>AP6601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154</v>
      </c>
      <c r="V4" s="82"/>
      <c r="W4" s="82"/>
      <c r="X4" s="82"/>
      <c r="Y4" s="83"/>
      <c r="Z4" s="102" t="str">
        <f>IF(表紙!Z4="","",表紙!Z4)</f>
        <v>API設計書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改訂履歴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2"/>
    </row>
    <row r="6" spans="1:63" ht="15" customHeight="1">
      <c r="A6" s="53"/>
      <c r="BK6" s="54"/>
    </row>
    <row r="7" spans="1:63" ht="15" customHeight="1">
      <c r="A7" s="53"/>
      <c r="BK7" s="54"/>
    </row>
    <row r="8" spans="1:63" ht="15" customHeight="1">
      <c r="A8" s="53"/>
      <c r="B8" s="49" t="s">
        <v>0</v>
      </c>
      <c r="BK8" s="54"/>
    </row>
    <row r="9" spans="1:63" ht="15" customHeight="1">
      <c r="A9" s="53"/>
      <c r="BK9" s="54"/>
    </row>
    <row r="10" spans="1:63" ht="15" customHeight="1">
      <c r="A10" s="53"/>
      <c r="B10" s="140" t="s">
        <v>150</v>
      </c>
      <c r="C10" s="140"/>
      <c r="D10" s="140"/>
      <c r="E10" s="140"/>
      <c r="F10" s="140"/>
      <c r="G10" s="140"/>
      <c r="H10" s="140" t="s">
        <v>149</v>
      </c>
      <c r="I10" s="140"/>
      <c r="J10" s="140"/>
      <c r="K10" s="140"/>
      <c r="L10" s="140"/>
      <c r="M10" s="140"/>
      <c r="N10" s="140"/>
      <c r="O10" s="140" t="s">
        <v>151</v>
      </c>
      <c r="P10" s="140"/>
      <c r="Q10" s="140"/>
      <c r="R10" s="140"/>
      <c r="S10" s="140" t="s">
        <v>160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 t="s">
        <v>157</v>
      </c>
      <c r="AY10" s="140"/>
      <c r="AZ10" s="140"/>
      <c r="BA10" s="140"/>
      <c r="BB10" s="140"/>
      <c r="BC10" s="140"/>
      <c r="BD10" s="140" t="s">
        <v>158</v>
      </c>
      <c r="BE10" s="140"/>
      <c r="BF10" s="140"/>
      <c r="BG10" s="140"/>
      <c r="BH10" s="140"/>
      <c r="BI10" s="140"/>
      <c r="BJ10" s="140"/>
      <c r="BK10" s="54"/>
    </row>
    <row r="11" spans="1:63" ht="15" customHeight="1">
      <c r="A11" s="53"/>
      <c r="B11" s="112">
        <v>45467</v>
      </c>
      <c r="C11" s="85"/>
      <c r="D11" s="85"/>
      <c r="E11" s="85"/>
      <c r="F11" s="85"/>
      <c r="G11" s="86"/>
      <c r="H11" s="90" t="s">
        <v>161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28" t="s">
        <v>2</v>
      </c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30"/>
      <c r="AX11" s="131"/>
      <c r="AY11" s="131"/>
      <c r="AZ11" s="131"/>
      <c r="BA11" s="131"/>
      <c r="BB11" s="131"/>
      <c r="BC11" s="132"/>
      <c r="BD11" s="135"/>
      <c r="BE11" s="131"/>
      <c r="BF11" s="131"/>
      <c r="BG11" s="131"/>
      <c r="BH11" s="131"/>
      <c r="BI11" s="131"/>
      <c r="BJ11" s="132"/>
      <c r="BK11" s="54"/>
    </row>
    <row r="12" spans="1:63" ht="15" customHeight="1">
      <c r="A12" s="53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7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9"/>
      <c r="AX12" s="133"/>
      <c r="AY12" s="133"/>
      <c r="AZ12" s="133"/>
      <c r="BA12" s="133"/>
      <c r="BB12" s="133"/>
      <c r="BC12" s="134"/>
      <c r="BD12" s="136"/>
      <c r="BE12" s="133"/>
      <c r="BF12" s="133"/>
      <c r="BG12" s="133"/>
      <c r="BH12" s="133"/>
      <c r="BI12" s="133"/>
      <c r="BJ12" s="134"/>
      <c r="BK12" s="54"/>
    </row>
    <row r="13" spans="1:63" ht="15" customHeight="1">
      <c r="A13" s="53"/>
      <c r="B13" s="112"/>
      <c r="C13" s="85"/>
      <c r="D13" s="85"/>
      <c r="E13" s="85"/>
      <c r="F13" s="85"/>
      <c r="G13" s="86"/>
      <c r="H13" s="84"/>
      <c r="I13" s="85"/>
      <c r="J13" s="85"/>
      <c r="K13" s="85"/>
      <c r="L13" s="85"/>
      <c r="M13" s="85"/>
      <c r="N13" s="86"/>
      <c r="O13" s="84"/>
      <c r="P13" s="85"/>
      <c r="Q13" s="85"/>
      <c r="R13" s="85"/>
      <c r="S13" s="128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30"/>
      <c r="AX13" s="131"/>
      <c r="AY13" s="131"/>
      <c r="AZ13" s="131"/>
      <c r="BA13" s="131"/>
      <c r="BB13" s="131"/>
      <c r="BC13" s="132"/>
      <c r="BD13" s="135"/>
      <c r="BE13" s="131"/>
      <c r="BF13" s="131"/>
      <c r="BG13" s="131"/>
      <c r="BH13" s="131"/>
      <c r="BI13" s="131"/>
      <c r="BJ13" s="132"/>
      <c r="BK13" s="54"/>
    </row>
    <row r="14" spans="1:63" ht="15" customHeight="1">
      <c r="A14" s="53"/>
      <c r="B14" s="87"/>
      <c r="C14" s="88"/>
      <c r="D14" s="88"/>
      <c r="E14" s="88"/>
      <c r="F14" s="88"/>
      <c r="G14" s="89"/>
      <c r="H14" s="87"/>
      <c r="I14" s="88"/>
      <c r="J14" s="88"/>
      <c r="K14" s="88"/>
      <c r="L14" s="88"/>
      <c r="M14" s="88"/>
      <c r="N14" s="89"/>
      <c r="O14" s="87"/>
      <c r="P14" s="88"/>
      <c r="Q14" s="88"/>
      <c r="R14" s="88"/>
      <c r="S14" s="137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9"/>
      <c r="AX14" s="133"/>
      <c r="AY14" s="133"/>
      <c r="AZ14" s="133"/>
      <c r="BA14" s="133"/>
      <c r="BB14" s="133"/>
      <c r="BC14" s="134"/>
      <c r="BD14" s="136"/>
      <c r="BE14" s="133"/>
      <c r="BF14" s="133"/>
      <c r="BG14" s="133"/>
      <c r="BH14" s="133"/>
      <c r="BI14" s="133"/>
      <c r="BJ14" s="134"/>
      <c r="BK14" s="54"/>
    </row>
    <row r="15" spans="1:63" ht="15" customHeight="1">
      <c r="A15" s="53"/>
      <c r="B15" s="84"/>
      <c r="C15" s="85"/>
      <c r="D15" s="85"/>
      <c r="E15" s="85"/>
      <c r="F15" s="85"/>
      <c r="G15" s="86"/>
      <c r="H15" s="84"/>
      <c r="I15" s="85"/>
      <c r="J15" s="85"/>
      <c r="K15" s="85"/>
      <c r="L15" s="85"/>
      <c r="M15" s="85"/>
      <c r="N15" s="86"/>
      <c r="O15" s="84"/>
      <c r="P15" s="85"/>
      <c r="Q15" s="85"/>
      <c r="R15" s="85"/>
      <c r="S15" s="128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30"/>
      <c r="AX15" s="131"/>
      <c r="AY15" s="131"/>
      <c r="AZ15" s="131"/>
      <c r="BA15" s="131"/>
      <c r="BB15" s="131"/>
      <c r="BC15" s="132"/>
      <c r="BD15" s="135"/>
      <c r="BE15" s="131"/>
      <c r="BF15" s="131"/>
      <c r="BG15" s="131"/>
      <c r="BH15" s="131"/>
      <c r="BI15" s="131"/>
      <c r="BJ15" s="132"/>
      <c r="BK15" s="54"/>
    </row>
    <row r="16" spans="1:63" ht="15" customHeight="1">
      <c r="A16" s="53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33"/>
      <c r="AY16" s="133"/>
      <c r="AZ16" s="133"/>
      <c r="BA16" s="133"/>
      <c r="BB16" s="133"/>
      <c r="BC16" s="134"/>
      <c r="BD16" s="136"/>
      <c r="BE16" s="133"/>
      <c r="BF16" s="133"/>
      <c r="BG16" s="133"/>
      <c r="BH16" s="133"/>
      <c r="BI16" s="133"/>
      <c r="BJ16" s="134"/>
      <c r="BK16" s="54"/>
    </row>
    <row r="17" spans="1:63" ht="15" customHeight="1">
      <c r="A17" s="53"/>
      <c r="B17" s="84"/>
      <c r="C17" s="85"/>
      <c r="D17" s="85"/>
      <c r="E17" s="85"/>
      <c r="F17" s="85"/>
      <c r="G17" s="86"/>
      <c r="H17" s="84"/>
      <c r="I17" s="85"/>
      <c r="J17" s="85"/>
      <c r="K17" s="85"/>
      <c r="L17" s="85"/>
      <c r="M17" s="85"/>
      <c r="N17" s="86"/>
      <c r="O17" s="84"/>
      <c r="P17" s="85"/>
      <c r="Q17" s="85"/>
      <c r="R17" s="85"/>
      <c r="S17" s="128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30"/>
      <c r="AX17" s="131"/>
      <c r="AY17" s="131"/>
      <c r="AZ17" s="131"/>
      <c r="BA17" s="131"/>
      <c r="BB17" s="131"/>
      <c r="BC17" s="132"/>
      <c r="BD17" s="135"/>
      <c r="BE17" s="131"/>
      <c r="BF17" s="131"/>
      <c r="BG17" s="131"/>
      <c r="BH17" s="131"/>
      <c r="BI17" s="131"/>
      <c r="BJ17" s="132"/>
      <c r="BK17" s="54"/>
    </row>
    <row r="18" spans="1:63" ht="15" customHeight="1">
      <c r="A18" s="53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7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9"/>
      <c r="AX18" s="133"/>
      <c r="AY18" s="133"/>
      <c r="AZ18" s="133"/>
      <c r="BA18" s="133"/>
      <c r="BB18" s="133"/>
      <c r="BC18" s="134"/>
      <c r="BD18" s="136"/>
      <c r="BE18" s="133"/>
      <c r="BF18" s="133"/>
      <c r="BG18" s="133"/>
      <c r="BH18" s="133"/>
      <c r="BI18" s="133"/>
      <c r="BJ18" s="134"/>
      <c r="BK18" s="54"/>
    </row>
    <row r="19" spans="1:63" ht="15" customHeight="1">
      <c r="A19" s="53"/>
      <c r="B19" s="84"/>
      <c r="C19" s="85"/>
      <c r="D19" s="85"/>
      <c r="E19" s="85"/>
      <c r="F19" s="85"/>
      <c r="G19" s="86"/>
      <c r="H19" s="84"/>
      <c r="I19" s="85"/>
      <c r="J19" s="85"/>
      <c r="K19" s="85"/>
      <c r="L19" s="85"/>
      <c r="M19" s="85"/>
      <c r="N19" s="86"/>
      <c r="O19" s="84"/>
      <c r="P19" s="85"/>
      <c r="Q19" s="85"/>
      <c r="R19" s="85"/>
      <c r="S19" s="128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30"/>
      <c r="AX19" s="131"/>
      <c r="AY19" s="131"/>
      <c r="AZ19" s="131"/>
      <c r="BA19" s="131"/>
      <c r="BB19" s="131"/>
      <c r="BC19" s="132"/>
      <c r="BD19" s="135"/>
      <c r="BE19" s="131"/>
      <c r="BF19" s="131"/>
      <c r="BG19" s="131"/>
      <c r="BH19" s="131"/>
      <c r="BI19" s="131"/>
      <c r="BJ19" s="132"/>
      <c r="BK19" s="54"/>
    </row>
    <row r="20" spans="1:63" ht="15" customHeight="1">
      <c r="A20" s="53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7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9"/>
      <c r="AX20" s="133"/>
      <c r="AY20" s="133"/>
      <c r="AZ20" s="133"/>
      <c r="BA20" s="133"/>
      <c r="BB20" s="133"/>
      <c r="BC20" s="134"/>
      <c r="BD20" s="136"/>
      <c r="BE20" s="133"/>
      <c r="BF20" s="133"/>
      <c r="BG20" s="133"/>
      <c r="BH20" s="133"/>
      <c r="BI20" s="133"/>
      <c r="BJ20" s="134"/>
      <c r="BK20" s="54"/>
    </row>
    <row r="21" spans="1:63" ht="15" customHeight="1">
      <c r="A21" s="53"/>
      <c r="B21" s="84"/>
      <c r="C21" s="85"/>
      <c r="D21" s="85"/>
      <c r="E21" s="85"/>
      <c r="F21" s="85"/>
      <c r="G21" s="86"/>
      <c r="H21" s="84"/>
      <c r="I21" s="85"/>
      <c r="J21" s="85"/>
      <c r="K21" s="85"/>
      <c r="L21" s="85"/>
      <c r="M21" s="85"/>
      <c r="N21" s="86"/>
      <c r="O21" s="84"/>
      <c r="P21" s="85"/>
      <c r="Q21" s="85"/>
      <c r="R21" s="85"/>
      <c r="S21" s="128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30"/>
      <c r="AX21" s="131"/>
      <c r="AY21" s="131"/>
      <c r="AZ21" s="131"/>
      <c r="BA21" s="131"/>
      <c r="BB21" s="131"/>
      <c r="BC21" s="132"/>
      <c r="BD21" s="135"/>
      <c r="BE21" s="131"/>
      <c r="BF21" s="131"/>
      <c r="BG21" s="131"/>
      <c r="BH21" s="131"/>
      <c r="BI21" s="131"/>
      <c r="BJ21" s="132"/>
      <c r="BK21" s="54"/>
    </row>
    <row r="22" spans="1:63" ht="15" customHeight="1">
      <c r="A22" s="53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9"/>
      <c r="AX22" s="133"/>
      <c r="AY22" s="133"/>
      <c r="AZ22" s="133"/>
      <c r="BA22" s="133"/>
      <c r="BB22" s="133"/>
      <c r="BC22" s="134"/>
      <c r="BD22" s="136"/>
      <c r="BE22" s="133"/>
      <c r="BF22" s="133"/>
      <c r="BG22" s="133"/>
      <c r="BH22" s="133"/>
      <c r="BI22" s="133"/>
      <c r="BJ22" s="134"/>
      <c r="BK22" s="54"/>
    </row>
    <row r="23" spans="1:63" ht="15" customHeight="1">
      <c r="A23" s="53"/>
      <c r="B23" s="84"/>
      <c r="C23" s="85"/>
      <c r="D23" s="85"/>
      <c r="E23" s="85"/>
      <c r="F23" s="85"/>
      <c r="G23" s="86"/>
      <c r="H23" s="84"/>
      <c r="I23" s="85"/>
      <c r="J23" s="85"/>
      <c r="K23" s="85"/>
      <c r="L23" s="85"/>
      <c r="M23" s="85"/>
      <c r="N23" s="86"/>
      <c r="O23" s="84"/>
      <c r="P23" s="85"/>
      <c r="Q23" s="85"/>
      <c r="R23" s="85"/>
      <c r="S23" s="128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31"/>
      <c r="AY23" s="131"/>
      <c r="AZ23" s="131"/>
      <c r="BA23" s="131"/>
      <c r="BB23" s="131"/>
      <c r="BC23" s="132"/>
      <c r="BD23" s="135"/>
      <c r="BE23" s="131"/>
      <c r="BF23" s="131"/>
      <c r="BG23" s="131"/>
      <c r="BH23" s="131"/>
      <c r="BI23" s="131"/>
      <c r="BJ23" s="132"/>
      <c r="BK23" s="54"/>
    </row>
    <row r="24" spans="1:63" ht="15" customHeight="1">
      <c r="A24" s="53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9"/>
      <c r="AX24" s="133"/>
      <c r="AY24" s="133"/>
      <c r="AZ24" s="133"/>
      <c r="BA24" s="133"/>
      <c r="BB24" s="133"/>
      <c r="BC24" s="134"/>
      <c r="BD24" s="136"/>
      <c r="BE24" s="133"/>
      <c r="BF24" s="133"/>
      <c r="BG24" s="133"/>
      <c r="BH24" s="133"/>
      <c r="BI24" s="133"/>
      <c r="BJ24" s="134"/>
      <c r="BK24" s="54"/>
    </row>
    <row r="25" spans="1:63" ht="15" customHeight="1">
      <c r="A25" s="53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28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30"/>
      <c r="AX25" s="131"/>
      <c r="AY25" s="131"/>
      <c r="AZ25" s="131"/>
      <c r="BA25" s="131"/>
      <c r="BB25" s="131"/>
      <c r="BC25" s="132"/>
      <c r="BD25" s="135"/>
      <c r="BE25" s="131"/>
      <c r="BF25" s="131"/>
      <c r="BG25" s="131"/>
      <c r="BH25" s="131"/>
      <c r="BI25" s="131"/>
      <c r="BJ25" s="132"/>
      <c r="BK25" s="54"/>
    </row>
    <row r="26" spans="1:63" ht="15" customHeight="1">
      <c r="A26" s="53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7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9"/>
      <c r="AX26" s="133"/>
      <c r="AY26" s="133"/>
      <c r="AZ26" s="133"/>
      <c r="BA26" s="133"/>
      <c r="BB26" s="133"/>
      <c r="BC26" s="134"/>
      <c r="BD26" s="136"/>
      <c r="BE26" s="133"/>
      <c r="BF26" s="133"/>
      <c r="BG26" s="133"/>
      <c r="BH26" s="133"/>
      <c r="BI26" s="133"/>
      <c r="BJ26" s="134"/>
      <c r="BK26" s="54"/>
    </row>
    <row r="27" spans="1:63" ht="15" customHeight="1">
      <c r="A27" s="53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28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30"/>
      <c r="AX27" s="131"/>
      <c r="AY27" s="131"/>
      <c r="AZ27" s="131"/>
      <c r="BA27" s="131"/>
      <c r="BB27" s="131"/>
      <c r="BC27" s="132"/>
      <c r="BD27" s="135"/>
      <c r="BE27" s="131"/>
      <c r="BF27" s="131"/>
      <c r="BG27" s="131"/>
      <c r="BH27" s="131"/>
      <c r="BI27" s="131"/>
      <c r="BJ27" s="132"/>
      <c r="BK27" s="54"/>
    </row>
    <row r="28" spans="1:63" ht="15" customHeight="1">
      <c r="A28" s="53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7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9"/>
      <c r="AX28" s="133"/>
      <c r="AY28" s="133"/>
      <c r="AZ28" s="133"/>
      <c r="BA28" s="133"/>
      <c r="BB28" s="133"/>
      <c r="BC28" s="134"/>
      <c r="BD28" s="136"/>
      <c r="BE28" s="133"/>
      <c r="BF28" s="133"/>
      <c r="BG28" s="133"/>
      <c r="BH28" s="133"/>
      <c r="BI28" s="133"/>
      <c r="BJ28" s="134"/>
      <c r="BK28" s="54"/>
    </row>
    <row r="29" spans="1:63" ht="15" customHeight="1">
      <c r="A29" s="53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28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30"/>
      <c r="AX29" s="131"/>
      <c r="AY29" s="131"/>
      <c r="AZ29" s="131"/>
      <c r="BA29" s="131"/>
      <c r="BB29" s="131"/>
      <c r="BC29" s="132"/>
      <c r="BD29" s="135"/>
      <c r="BE29" s="131"/>
      <c r="BF29" s="131"/>
      <c r="BG29" s="131"/>
      <c r="BH29" s="131"/>
      <c r="BI29" s="131"/>
      <c r="BJ29" s="132"/>
      <c r="BK29" s="54"/>
    </row>
    <row r="30" spans="1:63" ht="15" customHeight="1">
      <c r="A30" s="53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7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9"/>
      <c r="AX30" s="133"/>
      <c r="AY30" s="133"/>
      <c r="AZ30" s="133"/>
      <c r="BA30" s="133"/>
      <c r="BB30" s="133"/>
      <c r="BC30" s="134"/>
      <c r="BD30" s="136"/>
      <c r="BE30" s="133"/>
      <c r="BF30" s="133"/>
      <c r="BG30" s="133"/>
      <c r="BH30" s="133"/>
      <c r="BI30" s="133"/>
      <c r="BJ30" s="134"/>
      <c r="BK30" s="54"/>
    </row>
    <row r="31" spans="1:63" ht="15" customHeight="1">
      <c r="A31" s="53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28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30"/>
      <c r="AX31" s="131"/>
      <c r="AY31" s="131"/>
      <c r="AZ31" s="131"/>
      <c r="BA31" s="131"/>
      <c r="BB31" s="131"/>
      <c r="BC31" s="132"/>
      <c r="BD31" s="135"/>
      <c r="BE31" s="131"/>
      <c r="BF31" s="131"/>
      <c r="BG31" s="131"/>
      <c r="BH31" s="131"/>
      <c r="BI31" s="131"/>
      <c r="BJ31" s="132"/>
      <c r="BK31" s="54"/>
    </row>
    <row r="32" spans="1:63" ht="15" customHeight="1">
      <c r="A32" s="53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7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9"/>
      <c r="AX32" s="133"/>
      <c r="AY32" s="133"/>
      <c r="AZ32" s="133"/>
      <c r="BA32" s="133"/>
      <c r="BB32" s="133"/>
      <c r="BC32" s="134"/>
      <c r="BD32" s="136"/>
      <c r="BE32" s="133"/>
      <c r="BF32" s="133"/>
      <c r="BG32" s="133"/>
      <c r="BH32" s="133"/>
      <c r="BI32" s="133"/>
      <c r="BJ32" s="134"/>
      <c r="BK32" s="54"/>
    </row>
    <row r="33" spans="1:63" ht="15" customHeight="1">
      <c r="A33" s="53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28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30"/>
      <c r="AX33" s="131"/>
      <c r="AY33" s="131"/>
      <c r="AZ33" s="131"/>
      <c r="BA33" s="131"/>
      <c r="BB33" s="131"/>
      <c r="BC33" s="132"/>
      <c r="BD33" s="135"/>
      <c r="BE33" s="131"/>
      <c r="BF33" s="131"/>
      <c r="BG33" s="131"/>
      <c r="BH33" s="131"/>
      <c r="BI33" s="131"/>
      <c r="BJ33" s="132"/>
      <c r="BK33" s="54"/>
    </row>
    <row r="34" spans="1:63" ht="15" customHeight="1">
      <c r="A34" s="53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7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9"/>
      <c r="AX34" s="133"/>
      <c r="AY34" s="133"/>
      <c r="AZ34" s="133"/>
      <c r="BA34" s="133"/>
      <c r="BB34" s="133"/>
      <c r="BC34" s="134"/>
      <c r="BD34" s="136"/>
      <c r="BE34" s="133"/>
      <c r="BF34" s="133"/>
      <c r="BG34" s="133"/>
      <c r="BH34" s="133"/>
      <c r="BI34" s="133"/>
      <c r="BJ34" s="134"/>
      <c r="BK34" s="54"/>
    </row>
    <row r="35" spans="1:63" ht="15" customHeight="1">
      <c r="A35" s="53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28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30"/>
      <c r="AX35" s="131"/>
      <c r="AY35" s="131"/>
      <c r="AZ35" s="131"/>
      <c r="BA35" s="131"/>
      <c r="BB35" s="131"/>
      <c r="BC35" s="132"/>
      <c r="BD35" s="135"/>
      <c r="BE35" s="131"/>
      <c r="BF35" s="131"/>
      <c r="BG35" s="131"/>
      <c r="BH35" s="131"/>
      <c r="BI35" s="131"/>
      <c r="BJ35" s="132"/>
      <c r="BK35" s="54"/>
    </row>
    <row r="36" spans="1:63" ht="15" customHeight="1">
      <c r="A36" s="53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7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9"/>
      <c r="AX36" s="133"/>
      <c r="AY36" s="133"/>
      <c r="AZ36" s="133"/>
      <c r="BA36" s="133"/>
      <c r="BB36" s="133"/>
      <c r="BC36" s="134"/>
      <c r="BD36" s="136"/>
      <c r="BE36" s="133"/>
      <c r="BF36" s="133"/>
      <c r="BG36" s="133"/>
      <c r="BH36" s="133"/>
      <c r="BI36" s="133"/>
      <c r="BJ36" s="134"/>
      <c r="BK36" s="54"/>
    </row>
    <row r="37" spans="1:63" ht="15" customHeight="1">
      <c r="A37" s="53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28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30"/>
      <c r="AX37" s="131"/>
      <c r="AY37" s="131"/>
      <c r="AZ37" s="131"/>
      <c r="BA37" s="131"/>
      <c r="BB37" s="131"/>
      <c r="BC37" s="132"/>
      <c r="BD37" s="135"/>
      <c r="BE37" s="131"/>
      <c r="BF37" s="131"/>
      <c r="BG37" s="131"/>
      <c r="BH37" s="131"/>
      <c r="BI37" s="131"/>
      <c r="BJ37" s="132"/>
      <c r="BK37" s="54"/>
    </row>
    <row r="38" spans="1:63" ht="15" customHeight="1">
      <c r="A38" s="53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7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9"/>
      <c r="AX38" s="133"/>
      <c r="AY38" s="133"/>
      <c r="AZ38" s="133"/>
      <c r="BA38" s="133"/>
      <c r="BB38" s="133"/>
      <c r="BC38" s="134"/>
      <c r="BD38" s="136"/>
      <c r="BE38" s="133"/>
      <c r="BF38" s="133"/>
      <c r="BG38" s="133"/>
      <c r="BH38" s="133"/>
      <c r="BI38" s="133"/>
      <c r="BJ38" s="134"/>
      <c r="BK38" s="54"/>
    </row>
    <row r="39" spans="1:63" ht="15" customHeight="1">
      <c r="A39" s="53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28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30"/>
      <c r="AX39" s="131"/>
      <c r="AY39" s="131"/>
      <c r="AZ39" s="131"/>
      <c r="BA39" s="131"/>
      <c r="BB39" s="131"/>
      <c r="BC39" s="132"/>
      <c r="BD39" s="135"/>
      <c r="BE39" s="131"/>
      <c r="BF39" s="131"/>
      <c r="BG39" s="131"/>
      <c r="BH39" s="131"/>
      <c r="BI39" s="131"/>
      <c r="BJ39" s="132"/>
      <c r="BK39" s="54"/>
    </row>
    <row r="40" spans="1:63" ht="15" customHeight="1">
      <c r="A40" s="53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7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9"/>
      <c r="AX40" s="133"/>
      <c r="AY40" s="133"/>
      <c r="AZ40" s="133"/>
      <c r="BA40" s="133"/>
      <c r="BB40" s="133"/>
      <c r="BC40" s="134"/>
      <c r="BD40" s="136"/>
      <c r="BE40" s="133"/>
      <c r="BF40" s="133"/>
      <c r="BG40" s="133"/>
      <c r="BH40" s="133"/>
      <c r="BI40" s="133"/>
      <c r="BJ40" s="134"/>
      <c r="BK40" s="54"/>
    </row>
    <row r="41" spans="1:63" ht="15" customHeight="1">
      <c r="A41" s="53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28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30"/>
      <c r="AX41" s="131"/>
      <c r="AY41" s="131"/>
      <c r="AZ41" s="131"/>
      <c r="BA41" s="131"/>
      <c r="BB41" s="131"/>
      <c r="BC41" s="132"/>
      <c r="BD41" s="135"/>
      <c r="BE41" s="131"/>
      <c r="BF41" s="131"/>
      <c r="BG41" s="131"/>
      <c r="BH41" s="131"/>
      <c r="BI41" s="131"/>
      <c r="BJ41" s="132"/>
      <c r="BK41" s="54"/>
    </row>
    <row r="42" spans="1:63" ht="15" customHeight="1">
      <c r="A42" s="53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7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9"/>
      <c r="AX42" s="133"/>
      <c r="AY42" s="133"/>
      <c r="AZ42" s="133"/>
      <c r="BA42" s="133"/>
      <c r="BB42" s="133"/>
      <c r="BC42" s="134"/>
      <c r="BD42" s="136"/>
      <c r="BE42" s="133"/>
      <c r="BF42" s="133"/>
      <c r="BG42" s="133"/>
      <c r="BH42" s="133"/>
      <c r="BI42" s="133"/>
      <c r="BJ42" s="134"/>
      <c r="BK42" s="54"/>
    </row>
    <row r="43" spans="1:63" ht="15" customHeight="1">
      <c r="A43" s="53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28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30"/>
      <c r="AX43" s="131"/>
      <c r="AY43" s="131"/>
      <c r="AZ43" s="131"/>
      <c r="BA43" s="131"/>
      <c r="BB43" s="131"/>
      <c r="BC43" s="132"/>
      <c r="BD43" s="135"/>
      <c r="BE43" s="131"/>
      <c r="BF43" s="131"/>
      <c r="BG43" s="131"/>
      <c r="BH43" s="131"/>
      <c r="BI43" s="131"/>
      <c r="BJ43" s="132"/>
      <c r="BK43" s="54"/>
    </row>
    <row r="44" spans="1:63" ht="15" customHeight="1">
      <c r="A44" s="53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7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9"/>
      <c r="AX44" s="133"/>
      <c r="AY44" s="133"/>
      <c r="AZ44" s="133"/>
      <c r="BA44" s="133"/>
      <c r="BB44" s="133"/>
      <c r="BC44" s="134"/>
      <c r="BD44" s="136"/>
      <c r="BE44" s="133"/>
      <c r="BF44" s="133"/>
      <c r="BG44" s="133"/>
      <c r="BH44" s="133"/>
      <c r="BI44" s="133"/>
      <c r="BJ44" s="134"/>
      <c r="BK44" s="54"/>
    </row>
    <row r="45" spans="1:63" ht="15" customHeight="1">
      <c r="A45" s="53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28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30"/>
      <c r="AX45" s="131"/>
      <c r="AY45" s="131"/>
      <c r="AZ45" s="131"/>
      <c r="BA45" s="131"/>
      <c r="BB45" s="131"/>
      <c r="BC45" s="132"/>
      <c r="BD45" s="135"/>
      <c r="BE45" s="131"/>
      <c r="BF45" s="131"/>
      <c r="BG45" s="131"/>
      <c r="BH45" s="131"/>
      <c r="BI45" s="131"/>
      <c r="BJ45" s="132"/>
      <c r="BK45" s="54"/>
    </row>
    <row r="46" spans="1:63" ht="15" customHeight="1">
      <c r="A46" s="53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9"/>
      <c r="AX46" s="133"/>
      <c r="AY46" s="133"/>
      <c r="AZ46" s="133"/>
      <c r="BA46" s="133"/>
      <c r="BB46" s="133"/>
      <c r="BC46" s="134"/>
      <c r="BD46" s="136"/>
      <c r="BE46" s="133"/>
      <c r="BF46" s="133"/>
      <c r="BG46" s="133"/>
      <c r="BH46" s="133"/>
      <c r="BI46" s="133"/>
      <c r="BJ46" s="134"/>
      <c r="BK46" s="54"/>
    </row>
    <row r="47" spans="1:63" ht="15" customHeight="1">
      <c r="A47" s="53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28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30"/>
      <c r="AX47" s="131"/>
      <c r="AY47" s="131"/>
      <c r="AZ47" s="131"/>
      <c r="BA47" s="131"/>
      <c r="BB47" s="131"/>
      <c r="BC47" s="132"/>
      <c r="BD47" s="135"/>
      <c r="BE47" s="131"/>
      <c r="BF47" s="131"/>
      <c r="BG47" s="131"/>
      <c r="BH47" s="131"/>
      <c r="BI47" s="131"/>
      <c r="BJ47" s="132"/>
      <c r="BK47" s="54"/>
    </row>
    <row r="48" spans="1:63" ht="15" customHeight="1">
      <c r="A48" s="53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7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9"/>
      <c r="AX48" s="133"/>
      <c r="AY48" s="133"/>
      <c r="AZ48" s="133"/>
      <c r="BA48" s="133"/>
      <c r="BB48" s="133"/>
      <c r="BC48" s="134"/>
      <c r="BD48" s="136"/>
      <c r="BE48" s="133"/>
      <c r="BF48" s="133"/>
      <c r="BG48" s="133"/>
      <c r="BH48" s="133"/>
      <c r="BI48" s="133"/>
      <c r="BJ48" s="134"/>
      <c r="BK48" s="54"/>
    </row>
    <row r="49" spans="1:63" ht="15" customHeight="1">
      <c r="A49" s="53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28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30"/>
      <c r="AX49" s="131"/>
      <c r="AY49" s="131"/>
      <c r="AZ49" s="131"/>
      <c r="BA49" s="131"/>
      <c r="BB49" s="131"/>
      <c r="BC49" s="132"/>
      <c r="BD49" s="135"/>
      <c r="BE49" s="131"/>
      <c r="BF49" s="131"/>
      <c r="BG49" s="131"/>
      <c r="BH49" s="131"/>
      <c r="BI49" s="131"/>
      <c r="BJ49" s="132"/>
      <c r="BK49" s="54"/>
    </row>
    <row r="50" spans="1:63" ht="15" customHeight="1">
      <c r="A50" s="53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7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9"/>
      <c r="AX50" s="133"/>
      <c r="AY50" s="133"/>
      <c r="AZ50" s="133"/>
      <c r="BA50" s="133"/>
      <c r="BB50" s="133"/>
      <c r="BC50" s="134"/>
      <c r="BD50" s="136"/>
      <c r="BE50" s="133"/>
      <c r="BF50" s="133"/>
      <c r="BG50" s="133"/>
      <c r="BH50" s="133"/>
      <c r="BI50" s="133"/>
      <c r="BJ50" s="134"/>
      <c r="BK50" s="54"/>
    </row>
    <row r="51" spans="1:63" ht="15" customHeight="1">
      <c r="A51" s="53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28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30"/>
      <c r="AX51" s="131"/>
      <c r="AY51" s="131"/>
      <c r="AZ51" s="131"/>
      <c r="BA51" s="131"/>
      <c r="BB51" s="131"/>
      <c r="BC51" s="132"/>
      <c r="BD51" s="135"/>
      <c r="BE51" s="131"/>
      <c r="BF51" s="131"/>
      <c r="BG51" s="131"/>
      <c r="BH51" s="131"/>
      <c r="BI51" s="131"/>
      <c r="BJ51" s="132"/>
      <c r="BK51" s="54"/>
    </row>
    <row r="52" spans="1:63" ht="15" customHeight="1">
      <c r="A52" s="53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133"/>
      <c r="AY52" s="133"/>
      <c r="AZ52" s="133"/>
      <c r="BA52" s="133"/>
      <c r="BB52" s="133"/>
      <c r="BC52" s="134"/>
      <c r="BD52" s="136"/>
      <c r="BE52" s="133"/>
      <c r="BF52" s="133"/>
      <c r="BG52" s="133"/>
      <c r="BH52" s="133"/>
      <c r="BI52" s="133"/>
      <c r="BJ52" s="134"/>
      <c r="BK52" s="54"/>
    </row>
    <row r="53" spans="1:63" ht="15" customHeight="1">
      <c r="A53" s="53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28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30"/>
      <c r="AX53" s="131"/>
      <c r="AY53" s="131"/>
      <c r="AZ53" s="131"/>
      <c r="BA53" s="131"/>
      <c r="BB53" s="131"/>
      <c r="BC53" s="132"/>
      <c r="BD53" s="135"/>
      <c r="BE53" s="131"/>
      <c r="BF53" s="131"/>
      <c r="BG53" s="131"/>
      <c r="BH53" s="131"/>
      <c r="BI53" s="131"/>
      <c r="BJ53" s="132"/>
      <c r="BK53" s="54"/>
    </row>
    <row r="54" spans="1:63" ht="15" customHeight="1">
      <c r="A54" s="53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7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9"/>
      <c r="AX54" s="133"/>
      <c r="AY54" s="133"/>
      <c r="AZ54" s="133"/>
      <c r="BA54" s="133"/>
      <c r="BB54" s="133"/>
      <c r="BC54" s="134"/>
      <c r="BD54" s="136"/>
      <c r="BE54" s="133"/>
      <c r="BF54" s="133"/>
      <c r="BG54" s="133"/>
      <c r="BH54" s="133"/>
      <c r="BI54" s="133"/>
      <c r="BJ54" s="134"/>
      <c r="BK54" s="54"/>
    </row>
    <row r="55" spans="1:63" ht="15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1" t="s">
        <v>144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145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148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48" t="str">
        <f>IF(表紙!K2="","",表紙!K2)</f>
        <v>POSサーバー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4" t="str">
        <f>IF(表紙!AP2="","",表紙!AP2)</f>
        <v>AnhDD</v>
      </c>
      <c r="AQ2" s="85"/>
      <c r="AR2" s="85"/>
      <c r="AS2" s="86"/>
      <c r="AT2" s="112">
        <f>IF(表紙!AT2="","",表紙!AT2)</f>
        <v>45467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45467</v>
      </c>
      <c r="BD2" s="113"/>
      <c r="BE2" s="113"/>
      <c r="BF2" s="113"/>
      <c r="BG2" s="114"/>
      <c r="BH2" s="84">
        <f>IF(表紙!BH2="","",表紙!BH2)</f>
        <v>0.1</v>
      </c>
      <c r="BI2" s="85"/>
      <c r="BJ2" s="85"/>
      <c r="BK2" s="86"/>
    </row>
    <row r="3" spans="1:63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3"/>
      <c r="K3" s="151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>
      <c r="A4" s="141" t="s">
        <v>153</v>
      </c>
      <c r="B4" s="142"/>
      <c r="C4" s="142"/>
      <c r="D4" s="142"/>
      <c r="E4" s="142"/>
      <c r="F4" s="142"/>
      <c r="G4" s="143"/>
      <c r="H4" s="144" t="str">
        <f>IF(表紙!H4="","",表紙!H4)</f>
        <v>AP6601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41" t="s">
        <v>154</v>
      </c>
      <c r="V4" s="142"/>
      <c r="W4" s="142"/>
      <c r="X4" s="142"/>
      <c r="Y4" s="143"/>
      <c r="Z4" s="144" t="str">
        <f>IF(表紙!Z4="","",表紙!Z4)</f>
        <v>API設計書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処理フロー凡例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9" customFormat="1" ht="15" customHeight="1">
      <c r="A7" s="65"/>
      <c r="B7" s="66" t="s">
        <v>162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8"/>
      <c r="AF7" s="69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8"/>
      <c r="BJ7" s="67"/>
      <c r="BK7" s="70"/>
    </row>
    <row r="8" spans="1:63" s="71" customFormat="1" ht="15" customHeight="1">
      <c r="BK8" s="70"/>
    </row>
    <row r="9" spans="1:63" s="71" customFormat="1" ht="15" customHeight="1">
      <c r="BK9" s="70"/>
    </row>
    <row r="10" spans="1:63" s="71" customFormat="1" ht="15" customHeight="1">
      <c r="BK10" s="70"/>
    </row>
    <row r="11" spans="1:63" s="71" customFormat="1" ht="15" customHeight="1">
      <c r="BK11" s="70"/>
    </row>
    <row r="12" spans="1:63" s="71" customFormat="1" ht="15" customHeight="1">
      <c r="BK12" s="70"/>
    </row>
    <row r="13" spans="1:63" s="71" customFormat="1" ht="15" customHeight="1">
      <c r="BK13" s="70"/>
    </row>
    <row r="14" spans="1:63" s="71" customFormat="1" ht="15" customHeight="1">
      <c r="BK14" s="70"/>
    </row>
    <row r="15" spans="1:63" s="71" customFormat="1" ht="15" customHeight="1">
      <c r="BK15" s="70"/>
    </row>
    <row r="16" spans="1:63" s="71" customFormat="1" ht="15" customHeight="1">
      <c r="BK16" s="70"/>
    </row>
    <row r="17" spans="63:63" s="71" customFormat="1" ht="15" customHeight="1">
      <c r="BK17" s="70"/>
    </row>
    <row r="18" spans="63:63" s="71" customFormat="1" ht="15" customHeight="1">
      <c r="BK18" s="70"/>
    </row>
    <row r="19" spans="63:63" s="71" customFormat="1" ht="15" customHeight="1">
      <c r="BK19" s="70"/>
    </row>
    <row r="20" spans="63:63" s="71" customFormat="1" ht="15" customHeight="1">
      <c r="BK20" s="70"/>
    </row>
    <row r="21" spans="63:63" s="71" customFormat="1" ht="15" customHeight="1">
      <c r="BK21" s="70"/>
    </row>
    <row r="22" spans="63:63" s="71" customFormat="1" ht="15" customHeight="1">
      <c r="BK22" s="70"/>
    </row>
    <row r="23" spans="63:63" s="71" customFormat="1" ht="15" customHeight="1">
      <c r="BK23" s="70"/>
    </row>
    <row r="24" spans="63:63" s="71" customFormat="1" ht="15" customHeight="1">
      <c r="BK24" s="70"/>
    </row>
    <row r="25" spans="63:63" s="71" customFormat="1" ht="15" customHeight="1">
      <c r="BK25" s="70"/>
    </row>
    <row r="26" spans="63:63" s="71" customFormat="1" ht="15" customHeight="1">
      <c r="BK26" s="70"/>
    </row>
    <row r="27" spans="63:63" s="71" customFormat="1" ht="15" customHeight="1">
      <c r="BK27" s="70"/>
    </row>
    <row r="28" spans="63:63" s="71" customFormat="1" ht="15" customHeight="1">
      <c r="BK28" s="70"/>
    </row>
    <row r="29" spans="63:63" s="71" customFormat="1" ht="15" customHeight="1">
      <c r="BK29" s="70"/>
    </row>
    <row r="30" spans="63:63" s="71" customFormat="1" ht="15" customHeight="1">
      <c r="BK30" s="70"/>
    </row>
    <row r="31" spans="63:63" s="71" customFormat="1" ht="15" customHeight="1">
      <c r="BK31" s="70"/>
    </row>
    <row r="32" spans="63:63" s="71" customFormat="1" ht="15" customHeight="1">
      <c r="BK32" s="70"/>
    </row>
    <row r="33" spans="63:63" s="71" customFormat="1" ht="15" customHeight="1">
      <c r="BK33" s="70"/>
    </row>
    <row r="34" spans="63:63" s="71" customFormat="1" ht="15" customHeight="1">
      <c r="BK34" s="70"/>
    </row>
    <row r="35" spans="63:63" s="71" customFormat="1" ht="15" customHeight="1">
      <c r="BK35" s="70"/>
    </row>
    <row r="36" spans="63:63" s="71" customFormat="1" ht="15" customHeight="1">
      <c r="BK36" s="70"/>
    </row>
    <row r="37" spans="63:63" s="71" customFormat="1" ht="15" customHeight="1">
      <c r="BK37" s="70"/>
    </row>
    <row r="38" spans="63:63" s="71" customFormat="1" ht="15" customHeight="1">
      <c r="BK38" s="70"/>
    </row>
    <row r="39" spans="63:63" s="71" customFormat="1" ht="15" customHeight="1">
      <c r="BK39" s="70"/>
    </row>
    <row r="40" spans="63:63" s="71" customFormat="1" ht="15" customHeight="1">
      <c r="BK40" s="70"/>
    </row>
    <row r="41" spans="63:63" s="71" customFormat="1" ht="15" customHeight="1">
      <c r="BK41" s="70"/>
    </row>
    <row r="42" spans="63:63" s="71" customFormat="1" ht="15" customHeight="1">
      <c r="BK42" s="70"/>
    </row>
    <row r="43" spans="63:63" s="71" customFormat="1" ht="15" customHeight="1">
      <c r="BK43" s="70"/>
    </row>
    <row r="44" spans="63:63" s="71" customFormat="1" ht="15" customHeight="1">
      <c r="BK44" s="70"/>
    </row>
    <row r="45" spans="63:63" s="71" customFormat="1" ht="15" customHeight="1">
      <c r="BK45" s="70"/>
    </row>
    <row r="46" spans="63:63" s="71" customFormat="1" ht="15" customHeight="1">
      <c r="BK46" s="70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M1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64" width="10.109375" style="1"/>
    <col min="65" max="65" width="12.109375" style="1" bestFit="1" customWidth="1"/>
    <col min="66" max="16384" width="10.109375" style="1"/>
  </cols>
  <sheetData>
    <row r="1" spans="1:63" ht="24.95" customHeight="1">
      <c r="A1" s="141" t="s">
        <v>144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145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148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48" t="str">
        <f>IF(表紙!K2="","",表紙!K2)</f>
        <v>POSサーバー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4" t="str">
        <f>IF(表紙!AP2="","",表紙!AP2)</f>
        <v>AnhDD</v>
      </c>
      <c r="AQ2" s="85"/>
      <c r="AR2" s="85"/>
      <c r="AS2" s="86"/>
      <c r="AT2" s="112">
        <f>IF(表紙!AT2="","",表紙!AT2)</f>
        <v>45467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45467</v>
      </c>
      <c r="BD2" s="113"/>
      <c r="BE2" s="113"/>
      <c r="BF2" s="113"/>
      <c r="BG2" s="114"/>
      <c r="BH2" s="84">
        <f>IF(表紙!BH2="","",表紙!BH2)</f>
        <v>0.1</v>
      </c>
      <c r="BI2" s="85"/>
      <c r="BJ2" s="85"/>
      <c r="BK2" s="86"/>
    </row>
    <row r="3" spans="1:63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3"/>
      <c r="K3" s="151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>
      <c r="A4" s="141" t="s">
        <v>153</v>
      </c>
      <c r="B4" s="142"/>
      <c r="C4" s="142"/>
      <c r="D4" s="142"/>
      <c r="E4" s="142"/>
      <c r="F4" s="142"/>
      <c r="G4" s="143"/>
      <c r="H4" s="144" t="str">
        <f>IF(表紙!H4="","",表紙!H4)</f>
        <v>AP6601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41" t="s">
        <v>154</v>
      </c>
      <c r="V4" s="142"/>
      <c r="W4" s="142"/>
      <c r="X4" s="142"/>
      <c r="Y4" s="143"/>
      <c r="Z4" s="144" t="str">
        <f>IF(表紙!Z4="","",表紙!Z4)</f>
        <v>API設計書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AP6601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>
      <c r="A7" s="13"/>
      <c r="B7" s="14" t="s">
        <v>163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2"/>
      <c r="AQ7" s="72"/>
      <c r="AR7" s="72"/>
      <c r="AS7" s="72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>
      <c r="A8" s="13"/>
      <c r="B8" s="19"/>
      <c r="C8" s="41" t="s">
        <v>164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3"/>
      <c r="AQ8" s="73"/>
      <c r="AR8" s="73"/>
      <c r="AS8" s="73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>
      <c r="A9" s="13"/>
      <c r="B9" s="20"/>
      <c r="C9" s="43" t="s">
        <v>50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>
      <c r="A11" s="13"/>
      <c r="B11" s="20"/>
      <c r="C11" s="20" t="s">
        <v>24</v>
      </c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17"/>
    </row>
    <row r="12" spans="1:63" s="18" customFormat="1" ht="15" customHeight="1">
      <c r="A12" s="13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>
      <c r="A13" s="13"/>
      <c r="B13" s="22" t="s">
        <v>165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6"/>
      <c r="BI13" s="16"/>
      <c r="BJ13" s="16"/>
      <c r="BK13" s="17"/>
    </row>
    <row r="14" spans="1:63" s="18" customFormat="1" ht="15" customHeight="1">
      <c r="A14" s="13"/>
      <c r="B14" s="20"/>
      <c r="C14" s="23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>
      <c r="A15" s="13"/>
      <c r="B15" s="20"/>
      <c r="C15" s="23" t="s">
        <v>166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1"/>
      <c r="BI15" s="21"/>
      <c r="BJ15" s="21"/>
      <c r="BK15" s="17"/>
    </row>
    <row r="16" spans="1:63" s="18" customFormat="1" ht="15" customHeight="1">
      <c r="A16" s="13"/>
      <c r="B16" s="20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1"/>
      <c r="BI16" s="21"/>
      <c r="BJ16" s="21"/>
      <c r="BK16" s="17"/>
    </row>
    <row r="17" spans="1:63" s="18" customFormat="1" ht="15" customHeight="1">
      <c r="A17" s="13"/>
      <c r="B17" s="20"/>
      <c r="C17" s="186" t="s">
        <v>14</v>
      </c>
      <c r="D17" s="188"/>
      <c r="E17" s="186" t="s">
        <v>15</v>
      </c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8"/>
      <c r="AG17" s="186" t="s">
        <v>16</v>
      </c>
      <c r="AH17" s="187"/>
      <c r="AI17" s="187"/>
      <c r="AJ17" s="187"/>
      <c r="AK17" s="187"/>
      <c r="AL17" s="187"/>
      <c r="AM17" s="187"/>
      <c r="AN17" s="187"/>
      <c r="AO17" s="187"/>
      <c r="AP17" s="188"/>
      <c r="AQ17" s="186" t="s">
        <v>17</v>
      </c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8"/>
      <c r="BK17" s="17"/>
    </row>
    <row r="18" spans="1:63" s="18" customFormat="1" ht="15" customHeight="1">
      <c r="A18" s="13"/>
      <c r="B18" s="20"/>
      <c r="C18" s="163">
        <v>1</v>
      </c>
      <c r="D18" s="164"/>
      <c r="E18" s="195" t="s">
        <v>51</v>
      </c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7"/>
      <c r="AG18" s="163" t="s">
        <v>35</v>
      </c>
      <c r="AH18" s="171"/>
      <c r="AI18" s="171"/>
      <c r="AJ18" s="171"/>
      <c r="AK18" s="171"/>
      <c r="AL18" s="171"/>
      <c r="AM18" s="171"/>
      <c r="AN18" s="171"/>
      <c r="AO18" s="171"/>
      <c r="AP18" s="164"/>
      <c r="AQ18" s="198" t="s">
        <v>6</v>
      </c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200"/>
      <c r="BK18" s="17"/>
    </row>
    <row r="19" spans="1:63" s="18" customFormat="1" ht="15" customHeight="1">
      <c r="A19" s="13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>
      <c r="A20" s="13"/>
      <c r="B20" s="20"/>
      <c r="C20" s="23" t="s">
        <v>167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1"/>
      <c r="BI20" s="21"/>
      <c r="BJ20" s="21"/>
      <c r="BK20" s="17"/>
    </row>
    <row r="21" spans="1:63" s="18" customFormat="1" ht="15" customHeight="1">
      <c r="A21" s="13"/>
      <c r="B21" s="20"/>
      <c r="C21" s="23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1"/>
      <c r="BI21" s="21"/>
      <c r="BJ21" s="21"/>
      <c r="BK21" s="17"/>
    </row>
    <row r="22" spans="1:63" s="18" customFormat="1" ht="15" customHeight="1">
      <c r="A22" s="13"/>
      <c r="B22" s="20"/>
      <c r="C22" s="189" t="s">
        <v>168</v>
      </c>
      <c r="D22" s="191"/>
      <c r="E22" s="189" t="s">
        <v>169</v>
      </c>
      <c r="F22" s="190"/>
      <c r="G22" s="190"/>
      <c r="H22" s="190"/>
      <c r="I22" s="190"/>
      <c r="J22" s="190"/>
      <c r="K22" s="191"/>
      <c r="L22" s="186" t="s">
        <v>18</v>
      </c>
      <c r="M22" s="187"/>
      <c r="N22" s="188"/>
      <c r="O22" s="186" t="s">
        <v>19</v>
      </c>
      <c r="P22" s="187"/>
      <c r="Q22" s="187"/>
      <c r="R22" s="188"/>
      <c r="S22" s="186" t="s">
        <v>20</v>
      </c>
      <c r="T22" s="187"/>
      <c r="U22" s="187"/>
      <c r="V22" s="187"/>
      <c r="W22" s="187"/>
      <c r="X22" s="187"/>
      <c r="Y22" s="188"/>
      <c r="Z22" s="189" t="s">
        <v>170</v>
      </c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1"/>
      <c r="AQ22" s="186" t="s">
        <v>17</v>
      </c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8"/>
      <c r="BK22" s="17"/>
    </row>
    <row r="23" spans="1:63" s="18" customFormat="1" ht="33.75" customHeight="1">
      <c r="A23" s="13"/>
      <c r="B23" s="20"/>
      <c r="C23" s="163">
        <v>1</v>
      </c>
      <c r="D23" s="164"/>
      <c r="E23" s="183" t="s">
        <v>3</v>
      </c>
      <c r="F23" s="184"/>
      <c r="G23" s="184"/>
      <c r="H23" s="184"/>
      <c r="I23" s="184"/>
      <c r="J23" s="184"/>
      <c r="K23" s="185"/>
      <c r="L23" s="180" t="s">
        <v>4</v>
      </c>
      <c r="M23" s="181"/>
      <c r="N23" s="182"/>
      <c r="O23" s="163" t="s">
        <v>5</v>
      </c>
      <c r="P23" s="171"/>
      <c r="Q23" s="171"/>
      <c r="R23" s="164"/>
      <c r="S23" s="163" t="s">
        <v>6</v>
      </c>
      <c r="T23" s="171"/>
      <c r="U23" s="171"/>
      <c r="V23" s="171"/>
      <c r="W23" s="171"/>
      <c r="X23" s="171"/>
      <c r="Y23" s="164"/>
      <c r="Z23" s="183" t="s">
        <v>7</v>
      </c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5"/>
      <c r="AQ23" s="234" t="s">
        <v>171</v>
      </c>
      <c r="AR23" s="232"/>
      <c r="AS23" s="232"/>
      <c r="AT23" s="232"/>
      <c r="AU23" s="232"/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2"/>
      <c r="BG23" s="232"/>
      <c r="BH23" s="232"/>
      <c r="BI23" s="232"/>
      <c r="BJ23" s="233"/>
      <c r="BK23" s="17"/>
    </row>
    <row r="24" spans="1:63" s="18" customFormat="1" ht="15" customHeight="1">
      <c r="A24" s="13"/>
      <c r="B24" s="20"/>
      <c r="C24" s="163">
        <v>2</v>
      </c>
      <c r="D24" s="164"/>
      <c r="E24" s="183" t="s">
        <v>8</v>
      </c>
      <c r="F24" s="184"/>
      <c r="G24" s="184"/>
      <c r="H24" s="184"/>
      <c r="I24" s="184"/>
      <c r="J24" s="184"/>
      <c r="K24" s="185"/>
      <c r="L24" s="180" t="s">
        <v>6</v>
      </c>
      <c r="M24" s="181"/>
      <c r="N24" s="182"/>
      <c r="O24" s="163" t="s">
        <v>5</v>
      </c>
      <c r="P24" s="171"/>
      <c r="Q24" s="171"/>
      <c r="R24" s="164"/>
      <c r="S24" s="163" t="s">
        <v>6</v>
      </c>
      <c r="T24" s="171"/>
      <c r="U24" s="171"/>
      <c r="V24" s="171"/>
      <c r="W24" s="171"/>
      <c r="X24" s="171"/>
      <c r="Y24" s="164"/>
      <c r="Z24" s="183" t="s">
        <v>8</v>
      </c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5"/>
      <c r="AQ24" s="231" t="s">
        <v>9</v>
      </c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3"/>
      <c r="BK24" s="17"/>
    </row>
    <row r="25" spans="1:63" s="18" customFormat="1" ht="33" customHeight="1">
      <c r="A25" s="13"/>
      <c r="B25" s="20"/>
      <c r="C25" s="201">
        <v>3</v>
      </c>
      <c r="D25" s="202"/>
      <c r="E25" s="207" t="s">
        <v>10</v>
      </c>
      <c r="F25" s="208"/>
      <c r="G25" s="208"/>
      <c r="H25" s="208"/>
      <c r="I25" s="208"/>
      <c r="J25" s="208"/>
      <c r="K25" s="209"/>
      <c r="L25" s="255" t="s">
        <v>6</v>
      </c>
      <c r="M25" s="256"/>
      <c r="N25" s="257"/>
      <c r="O25" s="216" t="s">
        <v>5</v>
      </c>
      <c r="P25" s="217"/>
      <c r="Q25" s="217"/>
      <c r="R25" s="218"/>
      <c r="S25" s="216" t="s">
        <v>6</v>
      </c>
      <c r="T25" s="217"/>
      <c r="U25" s="217"/>
      <c r="V25" s="217"/>
      <c r="W25" s="217"/>
      <c r="X25" s="217"/>
      <c r="Y25" s="218"/>
      <c r="Z25" s="246" t="s">
        <v>10</v>
      </c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8"/>
      <c r="AQ25" s="235" t="s">
        <v>172</v>
      </c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17"/>
    </row>
    <row r="26" spans="1:63" s="18" customFormat="1" ht="33" customHeight="1">
      <c r="A26" s="13"/>
      <c r="B26" s="20"/>
      <c r="C26" s="203"/>
      <c r="D26" s="204"/>
      <c r="E26" s="210"/>
      <c r="F26" s="211"/>
      <c r="G26" s="211"/>
      <c r="H26" s="211"/>
      <c r="I26" s="211"/>
      <c r="J26" s="211"/>
      <c r="K26" s="212"/>
      <c r="L26" s="258"/>
      <c r="M26" s="259"/>
      <c r="N26" s="260"/>
      <c r="O26" s="219"/>
      <c r="P26" s="220"/>
      <c r="Q26" s="220"/>
      <c r="R26" s="221"/>
      <c r="S26" s="219"/>
      <c r="T26" s="220"/>
      <c r="U26" s="220"/>
      <c r="V26" s="220"/>
      <c r="W26" s="220"/>
      <c r="X26" s="220"/>
      <c r="Y26" s="221"/>
      <c r="Z26" s="249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1"/>
      <c r="AQ26" s="238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40"/>
      <c r="BK26" s="17"/>
    </row>
    <row r="27" spans="1:63" s="18" customFormat="1" ht="33" customHeight="1">
      <c r="A27" s="13"/>
      <c r="B27" s="20"/>
      <c r="C27" s="205"/>
      <c r="D27" s="206"/>
      <c r="E27" s="213"/>
      <c r="F27" s="214"/>
      <c r="G27" s="214"/>
      <c r="H27" s="214"/>
      <c r="I27" s="214"/>
      <c r="J27" s="214"/>
      <c r="K27" s="215"/>
      <c r="L27" s="261"/>
      <c r="M27" s="262"/>
      <c r="N27" s="263"/>
      <c r="O27" s="222"/>
      <c r="P27" s="223"/>
      <c r="Q27" s="223"/>
      <c r="R27" s="224"/>
      <c r="S27" s="222"/>
      <c r="T27" s="223"/>
      <c r="U27" s="223"/>
      <c r="V27" s="223"/>
      <c r="W27" s="223"/>
      <c r="X27" s="223"/>
      <c r="Y27" s="224"/>
      <c r="Z27" s="252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4"/>
      <c r="AQ27" s="241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/>
      <c r="BB27" s="242"/>
      <c r="BC27" s="242"/>
      <c r="BD27" s="242"/>
      <c r="BE27" s="242"/>
      <c r="BF27" s="242"/>
      <c r="BG27" s="242"/>
      <c r="BH27" s="242"/>
      <c r="BI27" s="242"/>
      <c r="BJ27" s="243"/>
      <c r="BK27" s="17"/>
    </row>
    <row r="28" spans="1:63" s="18" customFormat="1" ht="31.5" customHeight="1">
      <c r="A28" s="13"/>
      <c r="B28" s="20"/>
      <c r="C28" s="163">
        <v>4</v>
      </c>
      <c r="D28" s="164"/>
      <c r="E28" s="183" t="s">
        <v>11</v>
      </c>
      <c r="F28" s="184"/>
      <c r="G28" s="184"/>
      <c r="H28" s="184"/>
      <c r="I28" s="184"/>
      <c r="J28" s="184"/>
      <c r="K28" s="185"/>
      <c r="L28" s="180" t="s">
        <v>6</v>
      </c>
      <c r="M28" s="181"/>
      <c r="N28" s="182"/>
      <c r="O28" s="163" t="s">
        <v>5</v>
      </c>
      <c r="P28" s="171"/>
      <c r="Q28" s="171"/>
      <c r="R28" s="164"/>
      <c r="S28" s="163" t="s">
        <v>6</v>
      </c>
      <c r="T28" s="171"/>
      <c r="U28" s="171"/>
      <c r="V28" s="171"/>
      <c r="W28" s="171"/>
      <c r="X28" s="171"/>
      <c r="Y28" s="164"/>
      <c r="Z28" s="183" t="s">
        <v>11</v>
      </c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5"/>
      <c r="AQ28" s="231" t="s">
        <v>12</v>
      </c>
      <c r="AR28" s="232"/>
      <c r="AS28" s="232"/>
      <c r="AT28" s="232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  <c r="BI28" s="232"/>
      <c r="BJ28" s="233"/>
      <c r="BK28" s="17"/>
    </row>
    <row r="29" spans="1:63" s="18" customFormat="1" ht="44.25" customHeight="1">
      <c r="A29" s="13"/>
      <c r="B29" s="20"/>
      <c r="C29" s="163">
        <v>5</v>
      </c>
      <c r="D29" s="164"/>
      <c r="E29" s="183" t="s">
        <v>13</v>
      </c>
      <c r="F29" s="184"/>
      <c r="G29" s="184"/>
      <c r="H29" s="184"/>
      <c r="I29" s="184"/>
      <c r="J29" s="184"/>
      <c r="K29" s="185"/>
      <c r="L29" s="180" t="s">
        <v>6</v>
      </c>
      <c r="M29" s="181"/>
      <c r="N29" s="182"/>
      <c r="O29" s="163" t="s">
        <v>5</v>
      </c>
      <c r="P29" s="171"/>
      <c r="Q29" s="171"/>
      <c r="R29" s="164"/>
      <c r="S29" s="163" t="s">
        <v>6</v>
      </c>
      <c r="T29" s="171"/>
      <c r="U29" s="171"/>
      <c r="V29" s="171"/>
      <c r="W29" s="171"/>
      <c r="X29" s="171"/>
      <c r="Y29" s="164"/>
      <c r="Z29" s="183" t="s">
        <v>13</v>
      </c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5"/>
      <c r="AQ29" s="234" t="s">
        <v>173</v>
      </c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44"/>
      <c r="BI29" s="244"/>
      <c r="BJ29" s="245"/>
      <c r="BK29" s="17"/>
    </row>
    <row r="30" spans="1:63" s="18" customFormat="1" ht="15" customHeight="1">
      <c r="A30" s="13"/>
      <c r="B30" s="20"/>
      <c r="C30" s="20"/>
      <c r="D30" s="20"/>
      <c r="E30" s="73"/>
      <c r="F30" s="73"/>
      <c r="G30" s="73"/>
      <c r="H30" s="73"/>
      <c r="I30" s="20"/>
      <c r="J30" s="20"/>
      <c r="K30" s="20"/>
      <c r="L30" s="76"/>
      <c r="M30" s="73"/>
      <c r="N30" s="73"/>
      <c r="O30" s="73"/>
      <c r="P30" s="73"/>
      <c r="Q30" s="20"/>
      <c r="R30" s="20"/>
      <c r="S30" s="20"/>
      <c r="T30" s="20"/>
      <c r="U30" s="20"/>
      <c r="V30" s="20"/>
      <c r="W30" s="20"/>
      <c r="X30" s="20"/>
      <c r="Y30" s="20"/>
      <c r="Z30" s="27"/>
      <c r="AA30" s="20"/>
      <c r="AB30" s="20"/>
      <c r="AC30" s="20"/>
      <c r="AD30" s="20"/>
      <c r="AE30" s="20"/>
      <c r="AF30" s="20"/>
      <c r="AG30" s="73"/>
      <c r="AH30" s="73"/>
      <c r="AI30" s="73"/>
      <c r="AJ30" s="73"/>
      <c r="AK30" s="73"/>
      <c r="AL30" s="73"/>
      <c r="AM30" s="73"/>
      <c r="AN30" s="73"/>
      <c r="AO30" s="73"/>
      <c r="AP30" s="20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1"/>
      <c r="BI30" s="21"/>
      <c r="BJ30" s="21"/>
      <c r="BK30" s="17"/>
    </row>
    <row r="31" spans="1:63" s="18" customFormat="1" ht="15" customHeight="1">
      <c r="A31" s="13"/>
      <c r="B31" s="20"/>
      <c r="C31" s="20"/>
      <c r="D31" s="20"/>
      <c r="E31" s="73"/>
      <c r="F31" s="73"/>
      <c r="G31" s="73"/>
      <c r="H31" s="73"/>
      <c r="I31" s="20"/>
      <c r="J31" s="20"/>
      <c r="K31" s="20"/>
      <c r="L31" s="29"/>
      <c r="M31" s="73"/>
      <c r="N31" s="73"/>
      <c r="O31" s="73"/>
      <c r="P31" s="73"/>
      <c r="Q31" s="20"/>
      <c r="R31" s="20"/>
      <c r="S31" s="20"/>
      <c r="T31" s="20"/>
      <c r="U31" s="20"/>
      <c r="V31" s="20"/>
      <c r="W31" s="20"/>
      <c r="X31" s="20"/>
      <c r="Y31" s="20"/>
      <c r="Z31" s="27"/>
      <c r="AA31" s="20"/>
      <c r="AB31" s="20"/>
      <c r="AC31" s="20"/>
      <c r="AD31" s="20"/>
      <c r="AE31" s="20"/>
      <c r="AF31" s="20"/>
      <c r="AG31" s="73"/>
      <c r="AH31" s="73"/>
      <c r="AI31" s="73"/>
      <c r="AJ31" s="73"/>
      <c r="AK31" s="73"/>
      <c r="AL31" s="73"/>
      <c r="AM31" s="73"/>
      <c r="AN31" s="73"/>
      <c r="AO31" s="73"/>
      <c r="AP31" s="20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1"/>
      <c r="BI31" s="21"/>
      <c r="BJ31" s="21"/>
      <c r="BK31" s="17"/>
    </row>
    <row r="32" spans="1:63" s="18" customFormat="1" ht="15" customHeight="1">
      <c r="A32" s="13"/>
      <c r="B32" s="20"/>
      <c r="C32" s="23" t="s">
        <v>174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>
      <c r="A33" s="13"/>
      <c r="B33" s="20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>
      <c r="A34" s="13"/>
      <c r="B34" s="20"/>
      <c r="C34" s="225" t="s">
        <v>14</v>
      </c>
      <c r="D34" s="226"/>
      <c r="E34" s="227" t="s">
        <v>21</v>
      </c>
      <c r="F34" s="228"/>
      <c r="G34" s="228"/>
      <c r="H34" s="228"/>
      <c r="I34" s="228"/>
      <c r="J34" s="228"/>
      <c r="K34" s="229"/>
      <c r="L34" s="186" t="s">
        <v>18</v>
      </c>
      <c r="M34" s="187"/>
      <c r="N34" s="188"/>
      <c r="O34" s="186" t="s">
        <v>19</v>
      </c>
      <c r="P34" s="187"/>
      <c r="Q34" s="187"/>
      <c r="R34" s="188"/>
      <c r="S34" s="186" t="s">
        <v>20</v>
      </c>
      <c r="T34" s="187"/>
      <c r="U34" s="187"/>
      <c r="V34" s="187"/>
      <c r="W34" s="187"/>
      <c r="X34" s="187"/>
      <c r="Y34" s="188"/>
      <c r="Z34" s="189" t="s">
        <v>170</v>
      </c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1"/>
      <c r="AQ34" s="192" t="s">
        <v>17</v>
      </c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J34" s="194"/>
      <c r="BK34" s="17"/>
    </row>
    <row r="35" spans="1:63" s="18" customFormat="1" ht="15" customHeight="1">
      <c r="A35" s="13"/>
      <c r="B35" s="20"/>
      <c r="C35" s="163">
        <v>1</v>
      </c>
      <c r="D35" s="164"/>
      <c r="E35" s="183" t="s">
        <v>25</v>
      </c>
      <c r="F35" s="184"/>
      <c r="G35" s="184"/>
      <c r="H35" s="184"/>
      <c r="I35" s="184"/>
      <c r="J35" s="184"/>
      <c r="K35" s="185"/>
      <c r="L35" s="180" t="s">
        <v>6</v>
      </c>
      <c r="M35" s="181"/>
      <c r="N35" s="182"/>
      <c r="O35" s="163" t="s">
        <v>5</v>
      </c>
      <c r="P35" s="171"/>
      <c r="Q35" s="171"/>
      <c r="R35" s="164"/>
      <c r="S35" s="163"/>
      <c r="T35" s="171"/>
      <c r="U35" s="171"/>
      <c r="V35" s="171"/>
      <c r="W35" s="171"/>
      <c r="X35" s="171"/>
      <c r="Y35" s="164"/>
      <c r="Z35" s="183" t="s">
        <v>29</v>
      </c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5"/>
      <c r="AQ35" s="198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200"/>
      <c r="BK35" s="17"/>
    </row>
    <row r="36" spans="1:63" s="18" customFormat="1" ht="96" customHeight="1">
      <c r="A36" s="13"/>
      <c r="B36" s="20"/>
      <c r="C36" s="163">
        <f>C35+1</f>
        <v>2</v>
      </c>
      <c r="D36" s="164"/>
      <c r="E36" s="183" t="s">
        <v>27</v>
      </c>
      <c r="F36" s="184"/>
      <c r="G36" s="184"/>
      <c r="H36" s="184"/>
      <c r="I36" s="184"/>
      <c r="J36" s="184"/>
      <c r="K36" s="185"/>
      <c r="L36" s="180" t="s">
        <v>6</v>
      </c>
      <c r="M36" s="181"/>
      <c r="N36" s="182"/>
      <c r="O36" s="163" t="s">
        <v>39</v>
      </c>
      <c r="P36" s="171"/>
      <c r="Q36" s="171"/>
      <c r="R36" s="164"/>
      <c r="S36" s="163"/>
      <c r="T36" s="171"/>
      <c r="U36" s="171"/>
      <c r="V36" s="171"/>
      <c r="W36" s="171"/>
      <c r="X36" s="171"/>
      <c r="Y36" s="164"/>
      <c r="Z36" s="183" t="s">
        <v>28</v>
      </c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5"/>
      <c r="AQ36" s="230" t="s">
        <v>175</v>
      </c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  <c r="BI36" s="199"/>
      <c r="BJ36" s="200"/>
      <c r="BK36" s="17"/>
    </row>
    <row r="37" spans="1:63" s="18" customFormat="1" ht="66" customHeight="1">
      <c r="A37" s="13"/>
      <c r="B37" s="20"/>
      <c r="C37" s="163">
        <v>3</v>
      </c>
      <c r="D37" s="164"/>
      <c r="E37" s="183" t="s">
        <v>26</v>
      </c>
      <c r="F37" s="184"/>
      <c r="G37" s="184"/>
      <c r="H37" s="184"/>
      <c r="I37" s="184"/>
      <c r="J37" s="184"/>
      <c r="K37" s="185"/>
      <c r="L37" s="180" t="s">
        <v>4</v>
      </c>
      <c r="M37" s="181"/>
      <c r="N37" s="182"/>
      <c r="O37" s="163" t="s">
        <v>39</v>
      </c>
      <c r="P37" s="171"/>
      <c r="Q37" s="171"/>
      <c r="R37" s="164"/>
      <c r="S37" s="163">
        <v>1</v>
      </c>
      <c r="T37" s="171"/>
      <c r="U37" s="171"/>
      <c r="V37" s="171"/>
      <c r="W37" s="171"/>
      <c r="X37" s="171"/>
      <c r="Y37" s="164"/>
      <c r="Z37" s="183" t="s">
        <v>52</v>
      </c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5"/>
      <c r="AQ37" s="230" t="s">
        <v>176</v>
      </c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200"/>
      <c r="BK37" s="17"/>
    </row>
    <row r="38" spans="1:63" s="18" customFormat="1" ht="15" customHeight="1">
      <c r="A38" s="13"/>
      <c r="B38" s="20"/>
      <c r="C38" s="163">
        <f>C37+1</f>
        <v>4</v>
      </c>
      <c r="D38" s="164"/>
      <c r="E38" s="183" t="s">
        <v>30</v>
      </c>
      <c r="F38" s="184"/>
      <c r="G38" s="184"/>
      <c r="H38" s="184"/>
      <c r="I38" s="184"/>
      <c r="J38" s="184"/>
      <c r="K38" s="185"/>
      <c r="L38" s="180" t="s">
        <v>4</v>
      </c>
      <c r="M38" s="181"/>
      <c r="N38" s="182"/>
      <c r="O38" s="163" t="s">
        <v>39</v>
      </c>
      <c r="P38" s="171"/>
      <c r="Q38" s="171"/>
      <c r="R38" s="164"/>
      <c r="S38" s="163">
        <v>1</v>
      </c>
      <c r="T38" s="171"/>
      <c r="U38" s="171"/>
      <c r="V38" s="171"/>
      <c r="W38" s="171"/>
      <c r="X38" s="171"/>
      <c r="Y38" s="164"/>
      <c r="Z38" s="183" t="s">
        <v>32</v>
      </c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5"/>
      <c r="AQ38" s="198"/>
      <c r="AR38" s="199"/>
      <c r="AS38" s="199"/>
      <c r="AT38" s="199"/>
      <c r="AU38" s="199"/>
      <c r="AV38" s="199"/>
      <c r="AW38" s="199"/>
      <c r="AX38" s="199"/>
      <c r="AY38" s="199"/>
      <c r="AZ38" s="199"/>
      <c r="BA38" s="199"/>
      <c r="BB38" s="199"/>
      <c r="BC38" s="199"/>
      <c r="BD38" s="199"/>
      <c r="BE38" s="199"/>
      <c r="BF38" s="199"/>
      <c r="BG38" s="199"/>
      <c r="BH38" s="199"/>
      <c r="BI38" s="199"/>
      <c r="BJ38" s="200"/>
      <c r="BK38" s="17"/>
    </row>
    <row r="39" spans="1:63" s="18" customFormat="1" ht="15" customHeight="1">
      <c r="A39" s="13"/>
      <c r="B39" s="20"/>
      <c r="C39" s="163">
        <v>5</v>
      </c>
      <c r="D39" s="164"/>
      <c r="E39" s="183" t="s">
        <v>31</v>
      </c>
      <c r="F39" s="184"/>
      <c r="G39" s="184"/>
      <c r="H39" s="184"/>
      <c r="I39" s="184"/>
      <c r="J39" s="184"/>
      <c r="K39" s="185"/>
      <c r="L39" s="180" t="s">
        <v>4</v>
      </c>
      <c r="M39" s="181"/>
      <c r="N39" s="182"/>
      <c r="O39" s="163" t="s">
        <v>39</v>
      </c>
      <c r="P39" s="171"/>
      <c r="Q39" s="171"/>
      <c r="R39" s="164"/>
      <c r="S39" s="163">
        <v>1000</v>
      </c>
      <c r="T39" s="171"/>
      <c r="U39" s="171"/>
      <c r="V39" s="171"/>
      <c r="W39" s="171"/>
      <c r="X39" s="171"/>
      <c r="Y39" s="164"/>
      <c r="Z39" s="183" t="s">
        <v>33</v>
      </c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5"/>
      <c r="AQ39" s="198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200"/>
      <c r="BK39" s="17"/>
    </row>
    <row r="40" spans="1:63" s="18" customFormat="1" ht="15" customHeight="1">
      <c r="A40" s="1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>
      <c r="A41" s="13"/>
      <c r="B41" s="20"/>
      <c r="C41" s="23" t="s">
        <v>177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>
      <c r="A42" s="13"/>
      <c r="B42" s="20"/>
      <c r="C42" s="42" t="s">
        <v>34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>
      <c r="A43" s="13"/>
      <c r="B43" s="20"/>
      <c r="C43" s="225" t="s">
        <v>14</v>
      </c>
      <c r="D43" s="226"/>
      <c r="E43" s="227" t="s">
        <v>21</v>
      </c>
      <c r="F43" s="228"/>
      <c r="G43" s="228"/>
      <c r="H43" s="228"/>
      <c r="I43" s="228"/>
      <c r="J43" s="228"/>
      <c r="K43" s="229"/>
      <c r="L43" s="186" t="s">
        <v>18</v>
      </c>
      <c r="M43" s="187"/>
      <c r="N43" s="188"/>
      <c r="O43" s="186" t="s">
        <v>19</v>
      </c>
      <c r="P43" s="187"/>
      <c r="Q43" s="187"/>
      <c r="R43" s="188"/>
      <c r="S43" s="186" t="s">
        <v>20</v>
      </c>
      <c r="T43" s="187"/>
      <c r="U43" s="187"/>
      <c r="V43" s="187"/>
      <c r="W43" s="187"/>
      <c r="X43" s="187"/>
      <c r="Y43" s="188"/>
      <c r="Z43" s="189" t="s">
        <v>170</v>
      </c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1"/>
      <c r="AQ43" s="192" t="s">
        <v>17</v>
      </c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4"/>
      <c r="BK43" s="17"/>
    </row>
    <row r="44" spans="1:63" s="18" customFormat="1" ht="15" customHeight="1">
      <c r="A44" s="13"/>
      <c r="B44" s="20"/>
      <c r="C44" s="163">
        <v>1</v>
      </c>
      <c r="D44" s="164"/>
      <c r="E44" s="183" t="s">
        <v>38</v>
      </c>
      <c r="F44" s="184"/>
      <c r="G44" s="184"/>
      <c r="H44" s="184"/>
      <c r="I44" s="184"/>
      <c r="J44" s="184"/>
      <c r="K44" s="185"/>
      <c r="L44" s="180" t="s">
        <v>4</v>
      </c>
      <c r="M44" s="181"/>
      <c r="N44" s="182"/>
      <c r="O44" s="163" t="s">
        <v>36</v>
      </c>
      <c r="P44" s="171"/>
      <c r="Q44" s="171"/>
      <c r="R44" s="164"/>
      <c r="S44" s="163" t="s">
        <v>6</v>
      </c>
      <c r="T44" s="171"/>
      <c r="U44" s="171"/>
      <c r="V44" s="171"/>
      <c r="W44" s="171"/>
      <c r="X44" s="171"/>
      <c r="Y44" s="164"/>
      <c r="Z44" s="183" t="s">
        <v>37</v>
      </c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5"/>
      <c r="AQ44" s="198" t="s">
        <v>178</v>
      </c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200"/>
      <c r="BK44" s="17"/>
    </row>
    <row r="45" spans="1:63" s="18" customFormat="1" ht="15" customHeight="1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>
      <c r="A46" s="13"/>
      <c r="B46" s="14" t="s">
        <v>179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6"/>
      <c r="BI46" s="16"/>
      <c r="BJ46" s="16"/>
      <c r="BK46" s="17"/>
    </row>
    <row r="47" spans="1:63" s="18" customFormat="1" ht="15" customHeight="1">
      <c r="A47" s="13"/>
      <c r="B47" s="19"/>
      <c r="C47" s="23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>
      <c r="A48" s="13"/>
      <c r="B48" s="19"/>
      <c r="C48" s="23" t="s">
        <v>180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>
      <c r="A49" s="13"/>
      <c r="B49" s="19"/>
      <c r="C49" s="23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>
      <c r="A50" s="13"/>
      <c r="B50" s="20"/>
      <c r="C50" s="186" t="s">
        <v>14</v>
      </c>
      <c r="D50" s="188"/>
      <c r="E50" s="189" t="s">
        <v>181</v>
      </c>
      <c r="F50" s="187"/>
      <c r="G50" s="187"/>
      <c r="H50" s="187"/>
      <c r="I50" s="187"/>
      <c r="J50" s="187"/>
      <c r="K50" s="188"/>
      <c r="L50" s="186" t="s">
        <v>19</v>
      </c>
      <c r="M50" s="187"/>
      <c r="N50" s="187"/>
      <c r="O50" s="187"/>
      <c r="P50" s="187"/>
      <c r="Q50" s="187"/>
      <c r="R50" s="188"/>
      <c r="S50" s="264" t="s">
        <v>170</v>
      </c>
      <c r="T50" s="265"/>
      <c r="U50" s="265"/>
      <c r="V50" s="265"/>
      <c r="W50" s="265"/>
      <c r="X50" s="265"/>
      <c r="Y50" s="265"/>
      <c r="Z50" s="265"/>
      <c r="AA50" s="265"/>
      <c r="AB50" s="266"/>
      <c r="AC50" s="186" t="s">
        <v>17</v>
      </c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8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>
      <c r="A51" s="13"/>
      <c r="B51" s="20"/>
      <c r="C51" s="163">
        <v>1</v>
      </c>
      <c r="D51" s="164"/>
      <c r="E51" s="163" t="s">
        <v>40</v>
      </c>
      <c r="F51" s="171"/>
      <c r="G51" s="171"/>
      <c r="H51" s="171"/>
      <c r="I51" s="171"/>
      <c r="J51" s="171"/>
      <c r="K51" s="164"/>
      <c r="L51" s="163" t="s">
        <v>39</v>
      </c>
      <c r="M51" s="171"/>
      <c r="N51" s="171"/>
      <c r="O51" s="171"/>
      <c r="P51" s="171"/>
      <c r="Q51" s="171"/>
      <c r="R51" s="164"/>
      <c r="S51" s="267" t="s">
        <v>43</v>
      </c>
      <c r="T51" s="178"/>
      <c r="U51" s="178"/>
      <c r="V51" s="178"/>
      <c r="W51" s="178"/>
      <c r="X51" s="178"/>
      <c r="Y51" s="178"/>
      <c r="Z51" s="178"/>
      <c r="AA51" s="178"/>
      <c r="AB51" s="179"/>
      <c r="AC51" s="163" t="s">
        <v>41</v>
      </c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64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>
      <c r="A52" s="13"/>
      <c r="B52" s="20"/>
      <c r="C52" s="163">
        <f>C51+1</f>
        <v>2</v>
      </c>
      <c r="D52" s="164"/>
      <c r="E52" s="163" t="s">
        <v>42</v>
      </c>
      <c r="F52" s="171"/>
      <c r="G52" s="171"/>
      <c r="H52" s="171"/>
      <c r="I52" s="171"/>
      <c r="J52" s="171"/>
      <c r="K52" s="164"/>
      <c r="L52" s="163" t="s">
        <v>39</v>
      </c>
      <c r="M52" s="171"/>
      <c r="N52" s="171"/>
      <c r="O52" s="171"/>
      <c r="P52" s="171"/>
      <c r="Q52" s="171"/>
      <c r="R52" s="164"/>
      <c r="S52" s="177" t="s">
        <v>6</v>
      </c>
      <c r="T52" s="178"/>
      <c r="U52" s="178"/>
      <c r="V52" s="178"/>
      <c r="W52" s="178"/>
      <c r="X52" s="178"/>
      <c r="Y52" s="178"/>
      <c r="Z52" s="178"/>
      <c r="AA52" s="178"/>
      <c r="AB52" s="179"/>
      <c r="AC52" s="163" t="s">
        <v>44</v>
      </c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64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>
      <c r="A53" s="13"/>
      <c r="B53" s="20"/>
      <c r="C53" s="163">
        <v>2</v>
      </c>
      <c r="D53" s="164"/>
      <c r="E53" s="163" t="s">
        <v>141</v>
      </c>
      <c r="F53" s="171"/>
      <c r="G53" s="171"/>
      <c r="H53" s="171"/>
      <c r="I53" s="171"/>
      <c r="J53" s="171"/>
      <c r="K53" s="164"/>
      <c r="L53" s="163" t="s">
        <v>142</v>
      </c>
      <c r="M53" s="171"/>
      <c r="N53" s="171"/>
      <c r="O53" s="171"/>
      <c r="P53" s="171"/>
      <c r="Q53" s="171"/>
      <c r="R53" s="164"/>
      <c r="S53" s="177"/>
      <c r="T53" s="178"/>
      <c r="U53" s="178"/>
      <c r="V53" s="178"/>
      <c r="W53" s="178"/>
      <c r="X53" s="178"/>
      <c r="Y53" s="178"/>
      <c r="Z53" s="178"/>
      <c r="AA53" s="178"/>
      <c r="AB53" s="179"/>
      <c r="AC53" s="163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64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>
      <c r="A54" s="13"/>
      <c r="B54" s="20"/>
      <c r="C54" s="163">
        <f t="shared" ref="C54" si="0">C53+1</f>
        <v>3</v>
      </c>
      <c r="D54" s="164"/>
      <c r="E54" s="165" t="s">
        <v>54</v>
      </c>
      <c r="F54" s="166"/>
      <c r="G54" s="166"/>
      <c r="H54" s="166"/>
      <c r="I54" s="166"/>
      <c r="J54" s="166"/>
      <c r="K54" s="167"/>
      <c r="L54" s="165" t="s">
        <v>55</v>
      </c>
      <c r="M54" s="166"/>
      <c r="N54" s="166"/>
      <c r="O54" s="166"/>
      <c r="P54" s="166"/>
      <c r="Q54" s="166"/>
      <c r="R54" s="167"/>
      <c r="S54" s="177" t="s">
        <v>56</v>
      </c>
      <c r="T54" s="178"/>
      <c r="U54" s="178"/>
      <c r="V54" s="178"/>
      <c r="W54" s="178"/>
      <c r="X54" s="178"/>
      <c r="Y54" s="178"/>
      <c r="Z54" s="178"/>
      <c r="AA54" s="178"/>
      <c r="AB54" s="179"/>
      <c r="AC54" s="163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64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>
      <c r="A55" s="13"/>
      <c r="B55" s="20"/>
      <c r="C55" s="163">
        <v>3</v>
      </c>
      <c r="D55" s="164"/>
      <c r="E55" s="165" t="s">
        <v>47</v>
      </c>
      <c r="F55" s="166"/>
      <c r="G55" s="166"/>
      <c r="H55" s="166"/>
      <c r="I55" s="166"/>
      <c r="J55" s="166"/>
      <c r="K55" s="167"/>
      <c r="L55" s="165" t="s">
        <v>5</v>
      </c>
      <c r="M55" s="166"/>
      <c r="N55" s="166"/>
      <c r="O55" s="166"/>
      <c r="P55" s="166"/>
      <c r="Q55" s="166"/>
      <c r="R55" s="167"/>
      <c r="S55" s="163" t="s">
        <v>57</v>
      </c>
      <c r="T55" s="171"/>
      <c r="U55" s="171"/>
      <c r="V55" s="171"/>
      <c r="W55" s="171"/>
      <c r="X55" s="171"/>
      <c r="Y55" s="171"/>
      <c r="Z55" s="171"/>
      <c r="AA55" s="171"/>
      <c r="AB55" s="164"/>
      <c r="AC55" s="163" t="s">
        <v>182</v>
      </c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64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>
      <c r="A56" s="13"/>
      <c r="B56" s="20"/>
      <c r="C56" s="163">
        <f t="shared" ref="C56" si="1">C55+1</f>
        <v>4</v>
      </c>
      <c r="D56" s="164"/>
      <c r="E56" s="165" t="s">
        <v>48</v>
      </c>
      <c r="F56" s="166"/>
      <c r="G56" s="166"/>
      <c r="H56" s="166"/>
      <c r="I56" s="166"/>
      <c r="J56" s="166"/>
      <c r="K56" s="167"/>
      <c r="L56" s="165" t="s">
        <v>5</v>
      </c>
      <c r="M56" s="166"/>
      <c r="N56" s="166"/>
      <c r="O56" s="166"/>
      <c r="P56" s="166"/>
      <c r="Q56" s="166"/>
      <c r="R56" s="167"/>
      <c r="S56" s="163" t="s">
        <v>58</v>
      </c>
      <c r="T56" s="171"/>
      <c r="U56" s="171"/>
      <c r="V56" s="171"/>
      <c r="W56" s="171"/>
      <c r="X56" s="171"/>
      <c r="Y56" s="171"/>
      <c r="Z56" s="171"/>
      <c r="AA56" s="171"/>
      <c r="AB56" s="164"/>
      <c r="AC56" s="163" t="s">
        <v>37</v>
      </c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64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>
      <c r="A57" s="13"/>
      <c r="B57" s="20"/>
      <c r="C57" s="163">
        <v>4</v>
      </c>
      <c r="D57" s="164"/>
      <c r="E57" s="165" t="s">
        <v>89</v>
      </c>
      <c r="F57" s="166"/>
      <c r="G57" s="166"/>
      <c r="H57" s="166"/>
      <c r="I57" s="166"/>
      <c r="J57" s="166"/>
      <c r="K57" s="167"/>
      <c r="L57" s="165" t="s">
        <v>5</v>
      </c>
      <c r="M57" s="166"/>
      <c r="N57" s="166"/>
      <c r="O57" s="166"/>
      <c r="P57" s="166"/>
      <c r="Q57" s="166"/>
      <c r="R57" s="167"/>
      <c r="S57" s="163" t="s">
        <v>90</v>
      </c>
      <c r="T57" s="171"/>
      <c r="U57" s="171"/>
      <c r="V57" s="171"/>
      <c r="W57" s="171"/>
      <c r="X57" s="171"/>
      <c r="Y57" s="171"/>
      <c r="Z57" s="171"/>
      <c r="AA57" s="171"/>
      <c r="AB57" s="164"/>
      <c r="AC57" s="163" t="s">
        <v>91</v>
      </c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64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>
      <c r="A58" s="13"/>
      <c r="B58" s="20"/>
      <c r="C58" s="163">
        <f t="shared" ref="C58" si="2">C57+1</f>
        <v>5</v>
      </c>
      <c r="D58" s="164"/>
      <c r="E58" s="165" t="s">
        <v>49</v>
      </c>
      <c r="F58" s="166"/>
      <c r="G58" s="166"/>
      <c r="H58" s="166"/>
      <c r="I58" s="166"/>
      <c r="J58" s="166"/>
      <c r="K58" s="167"/>
      <c r="L58" s="165" t="s">
        <v>5</v>
      </c>
      <c r="M58" s="166"/>
      <c r="N58" s="166"/>
      <c r="O58" s="166"/>
      <c r="P58" s="166"/>
      <c r="Q58" s="166"/>
      <c r="R58" s="167"/>
      <c r="S58" s="163" t="s">
        <v>59</v>
      </c>
      <c r="T58" s="171"/>
      <c r="U58" s="171"/>
      <c r="V58" s="171"/>
      <c r="W58" s="171"/>
      <c r="X58" s="171"/>
      <c r="Y58" s="171"/>
      <c r="Z58" s="171"/>
      <c r="AA58" s="171"/>
      <c r="AB58" s="164"/>
      <c r="AC58" s="163" t="s">
        <v>60</v>
      </c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64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>
      <c r="A59" s="13"/>
      <c r="B59" s="20"/>
      <c r="C59" s="163">
        <v>5</v>
      </c>
      <c r="D59" s="164"/>
      <c r="E59" s="165" t="s">
        <v>53</v>
      </c>
      <c r="F59" s="166"/>
      <c r="G59" s="166"/>
      <c r="H59" s="166"/>
      <c r="I59" s="166"/>
      <c r="J59" s="166"/>
      <c r="K59" s="167"/>
      <c r="L59" s="165" t="s">
        <v>5</v>
      </c>
      <c r="M59" s="166"/>
      <c r="N59" s="166"/>
      <c r="O59" s="166"/>
      <c r="P59" s="166"/>
      <c r="Q59" s="166"/>
      <c r="R59" s="167"/>
      <c r="S59" s="163" t="s">
        <v>83</v>
      </c>
      <c r="T59" s="171"/>
      <c r="U59" s="171"/>
      <c r="V59" s="171"/>
      <c r="W59" s="171"/>
      <c r="X59" s="171"/>
      <c r="Y59" s="171"/>
      <c r="Z59" s="171"/>
      <c r="AA59" s="171"/>
      <c r="AB59" s="164"/>
      <c r="AC59" s="163" t="s">
        <v>61</v>
      </c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64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>
      <c r="A60" s="13"/>
      <c r="B60" s="20"/>
      <c r="C60" s="163">
        <v>6</v>
      </c>
      <c r="D60" s="164"/>
      <c r="E60" s="165" t="s">
        <v>65</v>
      </c>
      <c r="F60" s="166"/>
      <c r="G60" s="166"/>
      <c r="H60" s="166"/>
      <c r="I60" s="166"/>
      <c r="J60" s="166"/>
      <c r="K60" s="167"/>
      <c r="L60" s="165" t="s">
        <v>39</v>
      </c>
      <c r="M60" s="166"/>
      <c r="N60" s="166"/>
      <c r="O60" s="166"/>
      <c r="P60" s="166"/>
      <c r="Q60" s="166"/>
      <c r="R60" s="167"/>
      <c r="S60" s="163" t="s">
        <v>66</v>
      </c>
      <c r="T60" s="171"/>
      <c r="U60" s="171"/>
      <c r="V60" s="171"/>
      <c r="W60" s="171"/>
      <c r="X60" s="171"/>
      <c r="Y60" s="171"/>
      <c r="Z60" s="171"/>
      <c r="AA60" s="171"/>
      <c r="AB60" s="164"/>
      <c r="AC60" s="163" t="s">
        <v>67</v>
      </c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64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47.25" customHeight="1">
      <c r="A61" s="13"/>
      <c r="B61" s="20"/>
      <c r="C61" s="163">
        <f t="shared" ref="C61:C62" si="3">C60+1</f>
        <v>7</v>
      </c>
      <c r="D61" s="164"/>
      <c r="E61" s="165" t="s">
        <v>62</v>
      </c>
      <c r="F61" s="166"/>
      <c r="G61" s="166"/>
      <c r="H61" s="166"/>
      <c r="I61" s="166"/>
      <c r="J61" s="166"/>
      <c r="K61" s="167"/>
      <c r="L61" s="165" t="s">
        <v>63</v>
      </c>
      <c r="M61" s="166"/>
      <c r="N61" s="166"/>
      <c r="O61" s="166"/>
      <c r="P61" s="166"/>
      <c r="Q61" s="166"/>
      <c r="R61" s="167"/>
      <c r="S61" s="163" t="s">
        <v>64</v>
      </c>
      <c r="T61" s="171"/>
      <c r="U61" s="171"/>
      <c r="V61" s="171"/>
      <c r="W61" s="171"/>
      <c r="X61" s="171"/>
      <c r="Y61" s="171"/>
      <c r="Z61" s="171"/>
      <c r="AA61" s="171"/>
      <c r="AB61" s="164"/>
      <c r="AC61" s="168" t="s">
        <v>183</v>
      </c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64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>
      <c r="A62" s="13"/>
      <c r="B62" s="20"/>
      <c r="C62" s="163">
        <f t="shared" si="3"/>
        <v>8</v>
      </c>
      <c r="D62" s="164"/>
      <c r="E62" s="163" t="s">
        <v>45</v>
      </c>
      <c r="F62" s="171"/>
      <c r="G62" s="171"/>
      <c r="H62" s="171"/>
      <c r="I62" s="171"/>
      <c r="J62" s="171"/>
      <c r="K62" s="164"/>
      <c r="L62" s="163" t="s">
        <v>142</v>
      </c>
      <c r="M62" s="171"/>
      <c r="N62" s="171"/>
      <c r="O62" s="171"/>
      <c r="P62" s="171"/>
      <c r="Q62" s="171"/>
      <c r="R62" s="164"/>
      <c r="S62" s="177" t="s">
        <v>6</v>
      </c>
      <c r="T62" s="178"/>
      <c r="U62" s="178"/>
      <c r="V62" s="178"/>
      <c r="W62" s="178"/>
      <c r="X62" s="178"/>
      <c r="Y62" s="178"/>
      <c r="Z62" s="178"/>
      <c r="AA62" s="178"/>
      <c r="AB62" s="179"/>
      <c r="AC62" s="163" t="s">
        <v>46</v>
      </c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64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>
      <c r="A63" s="13"/>
      <c r="B63" s="20"/>
      <c r="C63" s="163">
        <f t="shared" ref="C63:C64" si="4">C62+1</f>
        <v>9</v>
      </c>
      <c r="D63" s="164"/>
      <c r="E63" s="165" t="s">
        <v>54</v>
      </c>
      <c r="F63" s="166"/>
      <c r="G63" s="166"/>
      <c r="H63" s="166"/>
      <c r="I63" s="166"/>
      <c r="J63" s="166"/>
      <c r="K63" s="167"/>
      <c r="L63" s="165" t="s">
        <v>55</v>
      </c>
      <c r="M63" s="166"/>
      <c r="N63" s="166"/>
      <c r="O63" s="166"/>
      <c r="P63" s="166"/>
      <c r="Q63" s="166"/>
      <c r="R63" s="167"/>
      <c r="S63" s="177" t="s">
        <v>56</v>
      </c>
      <c r="T63" s="178"/>
      <c r="U63" s="178"/>
      <c r="V63" s="178"/>
      <c r="W63" s="178"/>
      <c r="X63" s="178"/>
      <c r="Y63" s="178"/>
      <c r="Z63" s="178"/>
      <c r="AA63" s="178"/>
      <c r="AB63" s="179"/>
      <c r="AC63" s="163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64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>
      <c r="A64" s="13"/>
      <c r="B64" s="20"/>
      <c r="C64" s="163">
        <f t="shared" si="4"/>
        <v>10</v>
      </c>
      <c r="D64" s="164"/>
      <c r="E64" s="165" t="s">
        <v>47</v>
      </c>
      <c r="F64" s="166"/>
      <c r="G64" s="166"/>
      <c r="H64" s="166"/>
      <c r="I64" s="166"/>
      <c r="J64" s="166"/>
      <c r="K64" s="167"/>
      <c r="L64" s="165" t="s">
        <v>5</v>
      </c>
      <c r="M64" s="166"/>
      <c r="N64" s="166"/>
      <c r="O64" s="166"/>
      <c r="P64" s="166"/>
      <c r="Q64" s="166"/>
      <c r="R64" s="167"/>
      <c r="S64" s="163" t="s">
        <v>57</v>
      </c>
      <c r="T64" s="171"/>
      <c r="U64" s="171"/>
      <c r="V64" s="171"/>
      <c r="W64" s="171"/>
      <c r="X64" s="171"/>
      <c r="Y64" s="171"/>
      <c r="Z64" s="171"/>
      <c r="AA64" s="171"/>
      <c r="AB64" s="164"/>
      <c r="AC64" s="163" t="s">
        <v>182</v>
      </c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64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5" s="18" customFormat="1" ht="15" customHeight="1">
      <c r="A65" s="13"/>
      <c r="B65" s="20"/>
      <c r="C65" s="163">
        <f t="shared" ref="C65:C92" si="5">C64+1</f>
        <v>11</v>
      </c>
      <c r="D65" s="164"/>
      <c r="E65" s="165" t="s">
        <v>48</v>
      </c>
      <c r="F65" s="166"/>
      <c r="G65" s="166"/>
      <c r="H65" s="166"/>
      <c r="I65" s="166"/>
      <c r="J65" s="166"/>
      <c r="K65" s="167"/>
      <c r="L65" s="165" t="s">
        <v>5</v>
      </c>
      <c r="M65" s="166"/>
      <c r="N65" s="166"/>
      <c r="O65" s="166"/>
      <c r="P65" s="166"/>
      <c r="Q65" s="166"/>
      <c r="R65" s="167"/>
      <c r="S65" s="163" t="s">
        <v>58</v>
      </c>
      <c r="T65" s="171"/>
      <c r="U65" s="171"/>
      <c r="V65" s="171"/>
      <c r="W65" s="171"/>
      <c r="X65" s="171"/>
      <c r="Y65" s="171"/>
      <c r="Z65" s="171"/>
      <c r="AA65" s="171"/>
      <c r="AB65" s="164"/>
      <c r="AC65" s="163" t="s">
        <v>37</v>
      </c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64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  <c r="BM65" s="44"/>
    </row>
    <row r="66" spans="1:65" s="18" customFormat="1" ht="15" customHeight="1">
      <c r="A66" s="13"/>
      <c r="B66" s="20"/>
      <c r="C66" s="163">
        <f t="shared" si="5"/>
        <v>12</v>
      </c>
      <c r="D66" s="164"/>
      <c r="E66" s="165" t="s">
        <v>89</v>
      </c>
      <c r="F66" s="166"/>
      <c r="G66" s="166"/>
      <c r="H66" s="166"/>
      <c r="I66" s="166"/>
      <c r="J66" s="166"/>
      <c r="K66" s="167"/>
      <c r="L66" s="165" t="s">
        <v>5</v>
      </c>
      <c r="M66" s="166"/>
      <c r="N66" s="166"/>
      <c r="O66" s="166"/>
      <c r="P66" s="166"/>
      <c r="Q66" s="166"/>
      <c r="R66" s="167"/>
      <c r="S66" s="163" t="s">
        <v>90</v>
      </c>
      <c r="T66" s="171"/>
      <c r="U66" s="171"/>
      <c r="V66" s="171"/>
      <c r="W66" s="171"/>
      <c r="X66" s="171"/>
      <c r="Y66" s="171"/>
      <c r="Z66" s="171"/>
      <c r="AA66" s="171"/>
      <c r="AB66" s="164"/>
      <c r="AC66" s="163" t="s">
        <v>91</v>
      </c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64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  <c r="BM66" s="44"/>
    </row>
    <row r="67" spans="1:65" s="18" customFormat="1" ht="15" customHeight="1">
      <c r="A67" s="13"/>
      <c r="B67" s="20"/>
      <c r="C67" s="163">
        <f t="shared" si="5"/>
        <v>13</v>
      </c>
      <c r="D67" s="164"/>
      <c r="E67" s="165" t="s">
        <v>49</v>
      </c>
      <c r="F67" s="166"/>
      <c r="G67" s="166"/>
      <c r="H67" s="166"/>
      <c r="I67" s="166"/>
      <c r="J67" s="166"/>
      <c r="K67" s="167"/>
      <c r="L67" s="165" t="s">
        <v>5</v>
      </c>
      <c r="M67" s="166"/>
      <c r="N67" s="166"/>
      <c r="O67" s="166"/>
      <c r="P67" s="166"/>
      <c r="Q67" s="166"/>
      <c r="R67" s="167"/>
      <c r="S67" s="163" t="s">
        <v>59</v>
      </c>
      <c r="T67" s="171"/>
      <c r="U67" s="171"/>
      <c r="V67" s="171"/>
      <c r="W67" s="171"/>
      <c r="X67" s="171"/>
      <c r="Y67" s="171"/>
      <c r="Z67" s="171"/>
      <c r="AA67" s="171"/>
      <c r="AB67" s="164"/>
      <c r="AC67" s="163" t="s">
        <v>60</v>
      </c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64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  <c r="BM67" s="44"/>
    </row>
    <row r="68" spans="1:65" s="18" customFormat="1" ht="15" customHeight="1">
      <c r="A68" s="13"/>
      <c r="B68" s="20"/>
      <c r="C68" s="163">
        <f t="shared" si="5"/>
        <v>14</v>
      </c>
      <c r="D68" s="164"/>
      <c r="E68" s="165" t="s">
        <v>53</v>
      </c>
      <c r="F68" s="166"/>
      <c r="G68" s="166"/>
      <c r="H68" s="166"/>
      <c r="I68" s="166"/>
      <c r="J68" s="166"/>
      <c r="K68" s="167"/>
      <c r="L68" s="165" t="s">
        <v>5</v>
      </c>
      <c r="M68" s="166"/>
      <c r="N68" s="166"/>
      <c r="O68" s="166"/>
      <c r="P68" s="166"/>
      <c r="Q68" s="166"/>
      <c r="R68" s="167"/>
      <c r="S68" s="163" t="s">
        <v>83</v>
      </c>
      <c r="T68" s="171"/>
      <c r="U68" s="171"/>
      <c r="V68" s="171"/>
      <c r="W68" s="171"/>
      <c r="X68" s="171"/>
      <c r="Y68" s="171"/>
      <c r="Z68" s="171"/>
      <c r="AA68" s="171"/>
      <c r="AB68" s="164"/>
      <c r="AC68" s="163" t="s">
        <v>61</v>
      </c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64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  <c r="BM68" s="44"/>
    </row>
    <row r="69" spans="1:65" s="18" customFormat="1" ht="45.75" customHeight="1">
      <c r="A69" s="13"/>
      <c r="B69" s="20"/>
      <c r="C69" s="163">
        <f t="shared" si="5"/>
        <v>15</v>
      </c>
      <c r="D69" s="164"/>
      <c r="E69" s="165" t="s">
        <v>62</v>
      </c>
      <c r="F69" s="166"/>
      <c r="G69" s="166"/>
      <c r="H69" s="166"/>
      <c r="I69" s="166"/>
      <c r="J69" s="166"/>
      <c r="K69" s="167"/>
      <c r="L69" s="165" t="s">
        <v>63</v>
      </c>
      <c r="M69" s="166"/>
      <c r="N69" s="166"/>
      <c r="O69" s="166"/>
      <c r="P69" s="166"/>
      <c r="Q69" s="166"/>
      <c r="R69" s="167"/>
      <c r="S69" s="163" t="s">
        <v>64</v>
      </c>
      <c r="T69" s="171"/>
      <c r="U69" s="171"/>
      <c r="V69" s="171"/>
      <c r="W69" s="171"/>
      <c r="X69" s="171"/>
      <c r="Y69" s="171"/>
      <c r="Z69" s="171"/>
      <c r="AA69" s="171"/>
      <c r="AB69" s="164"/>
      <c r="AC69" s="168" t="s">
        <v>184</v>
      </c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64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  <c r="BM69" s="46"/>
    </row>
    <row r="70" spans="1:65" s="18" customFormat="1" ht="15" customHeight="1">
      <c r="A70" s="13"/>
      <c r="B70" s="20"/>
      <c r="C70" s="163">
        <f t="shared" si="5"/>
        <v>16</v>
      </c>
      <c r="D70" s="164"/>
      <c r="E70" s="165" t="s">
        <v>65</v>
      </c>
      <c r="F70" s="166"/>
      <c r="G70" s="166"/>
      <c r="H70" s="166"/>
      <c r="I70" s="166"/>
      <c r="J70" s="166"/>
      <c r="K70" s="167"/>
      <c r="L70" s="165" t="s">
        <v>39</v>
      </c>
      <c r="M70" s="166"/>
      <c r="N70" s="166"/>
      <c r="O70" s="166"/>
      <c r="P70" s="166"/>
      <c r="Q70" s="166"/>
      <c r="R70" s="167"/>
      <c r="S70" s="163" t="s">
        <v>66</v>
      </c>
      <c r="T70" s="171"/>
      <c r="U70" s="171"/>
      <c r="V70" s="171"/>
      <c r="W70" s="171"/>
      <c r="X70" s="171"/>
      <c r="Y70" s="171"/>
      <c r="Z70" s="171"/>
      <c r="AA70" s="171"/>
      <c r="AB70" s="164"/>
      <c r="AC70" s="163" t="s">
        <v>67</v>
      </c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64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  <c r="BM70" s="44"/>
    </row>
    <row r="71" spans="1:65" s="18" customFormat="1" ht="15" customHeight="1">
      <c r="A71" s="13"/>
      <c r="B71" s="20"/>
      <c r="C71" s="163">
        <f t="shared" si="5"/>
        <v>17</v>
      </c>
      <c r="D71" s="164"/>
      <c r="E71" s="165" t="s">
        <v>69</v>
      </c>
      <c r="F71" s="166"/>
      <c r="G71" s="166"/>
      <c r="H71" s="166"/>
      <c r="I71" s="166"/>
      <c r="J71" s="166"/>
      <c r="K71" s="167"/>
      <c r="L71" s="165" t="s">
        <v>63</v>
      </c>
      <c r="M71" s="166"/>
      <c r="N71" s="166"/>
      <c r="O71" s="166"/>
      <c r="P71" s="166"/>
      <c r="Q71" s="166"/>
      <c r="R71" s="167"/>
      <c r="S71" s="163" t="s">
        <v>68</v>
      </c>
      <c r="T71" s="171"/>
      <c r="U71" s="171"/>
      <c r="V71" s="171"/>
      <c r="W71" s="171"/>
      <c r="X71" s="171"/>
      <c r="Y71" s="171"/>
      <c r="Z71" s="171"/>
      <c r="AA71" s="171"/>
      <c r="AB71" s="164"/>
      <c r="AC71" s="163" t="s">
        <v>70</v>
      </c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64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  <c r="BM71" s="46"/>
    </row>
    <row r="72" spans="1:65" s="18" customFormat="1" ht="32.25" customHeight="1">
      <c r="A72" s="13"/>
      <c r="B72" s="20"/>
      <c r="C72" s="163">
        <f t="shared" si="5"/>
        <v>18</v>
      </c>
      <c r="D72" s="164"/>
      <c r="E72" s="165" t="s">
        <v>71</v>
      </c>
      <c r="F72" s="166"/>
      <c r="G72" s="166"/>
      <c r="H72" s="166"/>
      <c r="I72" s="166"/>
      <c r="J72" s="166"/>
      <c r="K72" s="167"/>
      <c r="L72" s="165" t="s">
        <v>72</v>
      </c>
      <c r="M72" s="166"/>
      <c r="N72" s="166"/>
      <c r="O72" s="166"/>
      <c r="P72" s="166"/>
      <c r="Q72" s="166"/>
      <c r="R72" s="167"/>
      <c r="S72" s="168" t="s">
        <v>112</v>
      </c>
      <c r="T72" s="169"/>
      <c r="U72" s="169"/>
      <c r="V72" s="169"/>
      <c r="W72" s="169"/>
      <c r="X72" s="169"/>
      <c r="Y72" s="169"/>
      <c r="Z72" s="169"/>
      <c r="AA72" s="169"/>
      <c r="AB72" s="170"/>
      <c r="AC72" s="168" t="s">
        <v>185</v>
      </c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64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  <c r="BM72" s="44"/>
    </row>
    <row r="73" spans="1:65" s="18" customFormat="1" ht="30.75" customHeight="1">
      <c r="A73" s="13"/>
      <c r="B73" s="20"/>
      <c r="C73" s="163">
        <f t="shared" si="5"/>
        <v>19</v>
      </c>
      <c r="D73" s="164"/>
      <c r="E73" s="165" t="s">
        <v>73</v>
      </c>
      <c r="F73" s="166"/>
      <c r="G73" s="166"/>
      <c r="H73" s="166"/>
      <c r="I73" s="166"/>
      <c r="J73" s="166"/>
      <c r="K73" s="167"/>
      <c r="L73" s="165" t="s">
        <v>72</v>
      </c>
      <c r="M73" s="166"/>
      <c r="N73" s="166"/>
      <c r="O73" s="166"/>
      <c r="P73" s="166"/>
      <c r="Q73" s="166"/>
      <c r="R73" s="167"/>
      <c r="S73" s="168" t="s">
        <v>113</v>
      </c>
      <c r="T73" s="169"/>
      <c r="U73" s="169"/>
      <c r="V73" s="169"/>
      <c r="W73" s="169"/>
      <c r="X73" s="169"/>
      <c r="Y73" s="169"/>
      <c r="Z73" s="169"/>
      <c r="AA73" s="169"/>
      <c r="AB73" s="170"/>
      <c r="AC73" s="168" t="s">
        <v>186</v>
      </c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64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  <c r="BM73" s="44"/>
    </row>
    <row r="74" spans="1:65" s="18" customFormat="1" ht="33.75" customHeight="1">
      <c r="A74" s="13"/>
      <c r="B74" s="20"/>
      <c r="C74" s="163">
        <f t="shared" si="5"/>
        <v>20</v>
      </c>
      <c r="D74" s="164"/>
      <c r="E74" s="165" t="s">
        <v>74</v>
      </c>
      <c r="F74" s="166"/>
      <c r="G74" s="166"/>
      <c r="H74" s="166"/>
      <c r="I74" s="166"/>
      <c r="J74" s="166"/>
      <c r="K74" s="167"/>
      <c r="L74" s="165" t="s">
        <v>72</v>
      </c>
      <c r="M74" s="166"/>
      <c r="N74" s="166"/>
      <c r="O74" s="166"/>
      <c r="P74" s="166"/>
      <c r="Q74" s="166"/>
      <c r="R74" s="167"/>
      <c r="S74" s="168" t="s">
        <v>114</v>
      </c>
      <c r="T74" s="169"/>
      <c r="U74" s="169"/>
      <c r="V74" s="169"/>
      <c r="W74" s="169"/>
      <c r="X74" s="169"/>
      <c r="Y74" s="169"/>
      <c r="Z74" s="169"/>
      <c r="AA74" s="169"/>
      <c r="AB74" s="170"/>
      <c r="AC74" s="168" t="s">
        <v>187</v>
      </c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64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  <c r="BM74" s="44"/>
    </row>
    <row r="75" spans="1:65" s="18" customFormat="1" ht="32.25" customHeight="1">
      <c r="A75" s="13"/>
      <c r="B75" s="20"/>
      <c r="C75" s="163">
        <f t="shared" si="5"/>
        <v>21</v>
      </c>
      <c r="D75" s="164"/>
      <c r="E75" s="165" t="s">
        <v>75</v>
      </c>
      <c r="F75" s="166"/>
      <c r="G75" s="166"/>
      <c r="H75" s="166"/>
      <c r="I75" s="166"/>
      <c r="J75" s="166"/>
      <c r="K75" s="167"/>
      <c r="L75" s="165" t="s">
        <v>72</v>
      </c>
      <c r="M75" s="166"/>
      <c r="N75" s="166"/>
      <c r="O75" s="166"/>
      <c r="P75" s="166"/>
      <c r="Q75" s="166"/>
      <c r="R75" s="167"/>
      <c r="S75" s="168" t="s">
        <v>115</v>
      </c>
      <c r="T75" s="169"/>
      <c r="U75" s="169"/>
      <c r="V75" s="169"/>
      <c r="W75" s="169"/>
      <c r="X75" s="169"/>
      <c r="Y75" s="169"/>
      <c r="Z75" s="169"/>
      <c r="AA75" s="169"/>
      <c r="AB75" s="170"/>
      <c r="AC75" s="168" t="s">
        <v>188</v>
      </c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64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  <c r="BM75" s="45"/>
    </row>
    <row r="76" spans="1:65" s="18" customFormat="1" ht="30" customHeight="1">
      <c r="A76" s="13"/>
      <c r="B76" s="20"/>
      <c r="C76" s="163">
        <f t="shared" si="5"/>
        <v>22</v>
      </c>
      <c r="D76" s="164"/>
      <c r="E76" s="165" t="s">
        <v>76</v>
      </c>
      <c r="F76" s="166"/>
      <c r="G76" s="166"/>
      <c r="H76" s="166"/>
      <c r="I76" s="166"/>
      <c r="J76" s="166"/>
      <c r="K76" s="167"/>
      <c r="L76" s="165" t="s">
        <v>72</v>
      </c>
      <c r="M76" s="166"/>
      <c r="N76" s="166"/>
      <c r="O76" s="166"/>
      <c r="P76" s="166"/>
      <c r="Q76" s="166"/>
      <c r="R76" s="167"/>
      <c r="S76" s="168" t="s">
        <v>116</v>
      </c>
      <c r="T76" s="169"/>
      <c r="U76" s="169"/>
      <c r="V76" s="169"/>
      <c r="W76" s="169"/>
      <c r="X76" s="169"/>
      <c r="Y76" s="169"/>
      <c r="Z76" s="169"/>
      <c r="AA76" s="169"/>
      <c r="AB76" s="170"/>
      <c r="AC76" s="168" t="s">
        <v>189</v>
      </c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64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5" s="18" customFormat="1" ht="30" customHeight="1">
      <c r="A77" s="13"/>
      <c r="B77" s="20"/>
      <c r="C77" s="163">
        <f t="shared" si="5"/>
        <v>23</v>
      </c>
      <c r="D77" s="164"/>
      <c r="E77" s="165" t="s">
        <v>77</v>
      </c>
      <c r="F77" s="166"/>
      <c r="G77" s="166"/>
      <c r="H77" s="166"/>
      <c r="I77" s="166"/>
      <c r="J77" s="166"/>
      <c r="K77" s="167"/>
      <c r="L77" s="165" t="s">
        <v>72</v>
      </c>
      <c r="M77" s="166"/>
      <c r="N77" s="166"/>
      <c r="O77" s="166"/>
      <c r="P77" s="166"/>
      <c r="Q77" s="166"/>
      <c r="R77" s="167"/>
      <c r="S77" s="168" t="s">
        <v>117</v>
      </c>
      <c r="T77" s="169"/>
      <c r="U77" s="169"/>
      <c r="V77" s="169"/>
      <c r="W77" s="169"/>
      <c r="X77" s="169"/>
      <c r="Y77" s="169"/>
      <c r="Z77" s="169"/>
      <c r="AA77" s="169"/>
      <c r="AB77" s="170"/>
      <c r="AC77" s="168" t="s">
        <v>190</v>
      </c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64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5" s="18" customFormat="1" ht="30" customHeight="1">
      <c r="A78" s="13"/>
      <c r="B78" s="20"/>
      <c r="C78" s="163">
        <f t="shared" si="5"/>
        <v>24</v>
      </c>
      <c r="D78" s="164"/>
      <c r="E78" s="165" t="s">
        <v>78</v>
      </c>
      <c r="F78" s="166"/>
      <c r="G78" s="166"/>
      <c r="H78" s="166"/>
      <c r="I78" s="166"/>
      <c r="J78" s="166"/>
      <c r="K78" s="167"/>
      <c r="L78" s="165" t="s">
        <v>72</v>
      </c>
      <c r="M78" s="166"/>
      <c r="N78" s="166"/>
      <c r="O78" s="166"/>
      <c r="P78" s="166"/>
      <c r="Q78" s="166"/>
      <c r="R78" s="167"/>
      <c r="S78" s="168" t="s">
        <v>118</v>
      </c>
      <c r="T78" s="169"/>
      <c r="U78" s="169"/>
      <c r="V78" s="169"/>
      <c r="W78" s="169"/>
      <c r="X78" s="169"/>
      <c r="Y78" s="169"/>
      <c r="Z78" s="169"/>
      <c r="AA78" s="169"/>
      <c r="AB78" s="170"/>
      <c r="AC78" s="168" t="s">
        <v>191</v>
      </c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64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5" s="18" customFormat="1" ht="30" customHeight="1">
      <c r="A79" s="13"/>
      <c r="B79" s="20"/>
      <c r="C79" s="163">
        <f t="shared" si="5"/>
        <v>25</v>
      </c>
      <c r="D79" s="164"/>
      <c r="E79" s="165" t="s">
        <v>79</v>
      </c>
      <c r="F79" s="166"/>
      <c r="G79" s="166"/>
      <c r="H79" s="166"/>
      <c r="I79" s="166"/>
      <c r="J79" s="166"/>
      <c r="K79" s="167"/>
      <c r="L79" s="165" t="s">
        <v>72</v>
      </c>
      <c r="M79" s="166"/>
      <c r="N79" s="166"/>
      <c r="O79" s="166"/>
      <c r="P79" s="166"/>
      <c r="Q79" s="166"/>
      <c r="R79" s="167"/>
      <c r="S79" s="168" t="s">
        <v>119</v>
      </c>
      <c r="T79" s="169"/>
      <c r="U79" s="169"/>
      <c r="V79" s="169"/>
      <c r="W79" s="169"/>
      <c r="X79" s="169"/>
      <c r="Y79" s="169"/>
      <c r="Z79" s="169"/>
      <c r="AA79" s="169"/>
      <c r="AB79" s="170"/>
      <c r="AC79" s="168" t="s">
        <v>192</v>
      </c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64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5" s="18" customFormat="1" ht="30" customHeight="1">
      <c r="A80" s="13"/>
      <c r="B80" s="20"/>
      <c r="C80" s="163">
        <f t="shared" si="5"/>
        <v>26</v>
      </c>
      <c r="D80" s="164"/>
      <c r="E80" s="165" t="s">
        <v>80</v>
      </c>
      <c r="F80" s="166"/>
      <c r="G80" s="166"/>
      <c r="H80" s="166"/>
      <c r="I80" s="166"/>
      <c r="J80" s="166"/>
      <c r="K80" s="167"/>
      <c r="L80" s="165" t="s">
        <v>72</v>
      </c>
      <c r="M80" s="166"/>
      <c r="N80" s="166"/>
      <c r="O80" s="166"/>
      <c r="P80" s="166"/>
      <c r="Q80" s="166"/>
      <c r="R80" s="167"/>
      <c r="S80" s="168" t="s">
        <v>120</v>
      </c>
      <c r="T80" s="169"/>
      <c r="U80" s="169"/>
      <c r="V80" s="169"/>
      <c r="W80" s="169"/>
      <c r="X80" s="169"/>
      <c r="Y80" s="169"/>
      <c r="Z80" s="169"/>
      <c r="AA80" s="169"/>
      <c r="AB80" s="170"/>
      <c r="AC80" s="168" t="s">
        <v>193</v>
      </c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64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30" customHeight="1">
      <c r="A81" s="13"/>
      <c r="B81" s="20"/>
      <c r="C81" s="163">
        <f t="shared" si="5"/>
        <v>27</v>
      </c>
      <c r="D81" s="164"/>
      <c r="E81" s="165" t="s">
        <v>81</v>
      </c>
      <c r="F81" s="166"/>
      <c r="G81" s="166"/>
      <c r="H81" s="166"/>
      <c r="I81" s="166"/>
      <c r="J81" s="166"/>
      <c r="K81" s="167"/>
      <c r="L81" s="165" t="s">
        <v>72</v>
      </c>
      <c r="M81" s="166"/>
      <c r="N81" s="166"/>
      <c r="O81" s="166"/>
      <c r="P81" s="166"/>
      <c r="Q81" s="166"/>
      <c r="R81" s="167"/>
      <c r="S81" s="168" t="s">
        <v>121</v>
      </c>
      <c r="T81" s="169"/>
      <c r="U81" s="169"/>
      <c r="V81" s="169"/>
      <c r="W81" s="169"/>
      <c r="X81" s="169"/>
      <c r="Y81" s="169"/>
      <c r="Z81" s="169"/>
      <c r="AA81" s="169"/>
      <c r="AB81" s="170"/>
      <c r="AC81" s="168" t="s">
        <v>194</v>
      </c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64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>
      <c r="A82" s="13"/>
      <c r="B82" s="20"/>
      <c r="C82" s="163">
        <f t="shared" si="5"/>
        <v>28</v>
      </c>
      <c r="D82" s="164"/>
      <c r="E82" s="163" t="s">
        <v>82</v>
      </c>
      <c r="F82" s="171"/>
      <c r="G82" s="171"/>
      <c r="H82" s="171"/>
      <c r="I82" s="171"/>
      <c r="J82" s="171"/>
      <c r="K82" s="164"/>
      <c r="L82" s="163" t="s">
        <v>142</v>
      </c>
      <c r="M82" s="171"/>
      <c r="N82" s="171"/>
      <c r="O82" s="171"/>
      <c r="P82" s="171"/>
      <c r="Q82" s="171"/>
      <c r="R82" s="164"/>
      <c r="S82" s="163"/>
      <c r="T82" s="171"/>
      <c r="U82" s="171"/>
      <c r="V82" s="171"/>
      <c r="W82" s="171"/>
      <c r="X82" s="171"/>
      <c r="Y82" s="171"/>
      <c r="Z82" s="171"/>
      <c r="AA82" s="171"/>
      <c r="AB82" s="164"/>
      <c r="AC82" s="163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64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>
      <c r="A83" s="13"/>
      <c r="B83" s="20"/>
      <c r="C83" s="163">
        <f t="shared" si="5"/>
        <v>29</v>
      </c>
      <c r="D83" s="164"/>
      <c r="E83" s="165" t="s">
        <v>54</v>
      </c>
      <c r="F83" s="166"/>
      <c r="G83" s="166"/>
      <c r="H83" s="166"/>
      <c r="I83" s="166"/>
      <c r="J83" s="166"/>
      <c r="K83" s="167"/>
      <c r="L83" s="165" t="s">
        <v>55</v>
      </c>
      <c r="M83" s="166"/>
      <c r="N83" s="166"/>
      <c r="O83" s="166"/>
      <c r="P83" s="166"/>
      <c r="Q83" s="166"/>
      <c r="R83" s="167"/>
      <c r="S83" s="177" t="s">
        <v>56</v>
      </c>
      <c r="T83" s="178"/>
      <c r="U83" s="178"/>
      <c r="V83" s="178"/>
      <c r="W83" s="178"/>
      <c r="X83" s="178"/>
      <c r="Y83" s="178"/>
      <c r="Z83" s="178"/>
      <c r="AA83" s="178"/>
      <c r="AB83" s="179"/>
      <c r="AC83" s="163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64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>
      <c r="A84" s="13"/>
      <c r="B84" s="20"/>
      <c r="C84" s="163">
        <f t="shared" si="5"/>
        <v>30</v>
      </c>
      <c r="D84" s="164"/>
      <c r="E84" s="165" t="s">
        <v>47</v>
      </c>
      <c r="F84" s="166"/>
      <c r="G84" s="166"/>
      <c r="H84" s="166"/>
      <c r="I84" s="166"/>
      <c r="J84" s="166"/>
      <c r="K84" s="167"/>
      <c r="L84" s="165" t="s">
        <v>5</v>
      </c>
      <c r="M84" s="166"/>
      <c r="N84" s="166"/>
      <c r="O84" s="166"/>
      <c r="P84" s="166"/>
      <c r="Q84" s="166"/>
      <c r="R84" s="167"/>
      <c r="S84" s="163" t="s">
        <v>57</v>
      </c>
      <c r="T84" s="171"/>
      <c r="U84" s="171"/>
      <c r="V84" s="171"/>
      <c r="W84" s="171"/>
      <c r="X84" s="171"/>
      <c r="Y84" s="171"/>
      <c r="Z84" s="171"/>
      <c r="AA84" s="171"/>
      <c r="AB84" s="164"/>
      <c r="AC84" s="163" t="s">
        <v>182</v>
      </c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64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>
      <c r="A85" s="13"/>
      <c r="B85" s="20"/>
      <c r="C85" s="163">
        <f t="shared" si="5"/>
        <v>31</v>
      </c>
      <c r="D85" s="164"/>
      <c r="E85" s="165" t="s">
        <v>48</v>
      </c>
      <c r="F85" s="166"/>
      <c r="G85" s="166"/>
      <c r="H85" s="166"/>
      <c r="I85" s="166"/>
      <c r="J85" s="166"/>
      <c r="K85" s="167"/>
      <c r="L85" s="165" t="s">
        <v>5</v>
      </c>
      <c r="M85" s="166"/>
      <c r="N85" s="166"/>
      <c r="O85" s="166"/>
      <c r="P85" s="166"/>
      <c r="Q85" s="166"/>
      <c r="R85" s="167"/>
      <c r="S85" s="163" t="s">
        <v>58</v>
      </c>
      <c r="T85" s="171"/>
      <c r="U85" s="171"/>
      <c r="V85" s="171"/>
      <c r="W85" s="171"/>
      <c r="X85" s="171"/>
      <c r="Y85" s="171"/>
      <c r="Z85" s="171"/>
      <c r="AA85" s="171"/>
      <c r="AB85" s="164"/>
      <c r="AC85" s="163" t="s">
        <v>37</v>
      </c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64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>
      <c r="A86" s="13"/>
      <c r="B86" s="20"/>
      <c r="C86" s="163">
        <f t="shared" si="5"/>
        <v>32</v>
      </c>
      <c r="D86" s="164"/>
      <c r="E86" s="165" t="s">
        <v>89</v>
      </c>
      <c r="F86" s="166"/>
      <c r="G86" s="166"/>
      <c r="H86" s="166"/>
      <c r="I86" s="166"/>
      <c r="J86" s="166"/>
      <c r="K86" s="167"/>
      <c r="L86" s="165" t="s">
        <v>5</v>
      </c>
      <c r="M86" s="166"/>
      <c r="N86" s="166"/>
      <c r="O86" s="166"/>
      <c r="P86" s="166"/>
      <c r="Q86" s="166"/>
      <c r="R86" s="167"/>
      <c r="S86" s="163" t="s">
        <v>90</v>
      </c>
      <c r="T86" s="171"/>
      <c r="U86" s="171"/>
      <c r="V86" s="171"/>
      <c r="W86" s="171"/>
      <c r="X86" s="171"/>
      <c r="Y86" s="171"/>
      <c r="Z86" s="171"/>
      <c r="AA86" s="171"/>
      <c r="AB86" s="164"/>
      <c r="AC86" s="163" t="s">
        <v>91</v>
      </c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64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>
      <c r="A87" s="13"/>
      <c r="B87" s="20"/>
      <c r="C87" s="163">
        <f t="shared" si="5"/>
        <v>33</v>
      </c>
      <c r="D87" s="164"/>
      <c r="E87" s="165" t="s">
        <v>49</v>
      </c>
      <c r="F87" s="166"/>
      <c r="G87" s="166"/>
      <c r="H87" s="166"/>
      <c r="I87" s="166"/>
      <c r="J87" s="166"/>
      <c r="K87" s="167"/>
      <c r="L87" s="165" t="s">
        <v>5</v>
      </c>
      <c r="M87" s="166"/>
      <c r="N87" s="166"/>
      <c r="O87" s="166"/>
      <c r="P87" s="166"/>
      <c r="Q87" s="166"/>
      <c r="R87" s="167"/>
      <c r="S87" s="163" t="s">
        <v>59</v>
      </c>
      <c r="T87" s="171"/>
      <c r="U87" s="171"/>
      <c r="V87" s="171"/>
      <c r="W87" s="171"/>
      <c r="X87" s="171"/>
      <c r="Y87" s="171"/>
      <c r="Z87" s="171"/>
      <c r="AA87" s="171"/>
      <c r="AB87" s="164"/>
      <c r="AC87" s="163" t="s">
        <v>60</v>
      </c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64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>
      <c r="A88" s="13"/>
      <c r="B88" s="20"/>
      <c r="C88" s="163">
        <f t="shared" si="5"/>
        <v>34</v>
      </c>
      <c r="D88" s="164"/>
      <c r="E88" s="165" t="s">
        <v>53</v>
      </c>
      <c r="F88" s="166"/>
      <c r="G88" s="166"/>
      <c r="H88" s="166"/>
      <c r="I88" s="166"/>
      <c r="J88" s="166"/>
      <c r="K88" s="167"/>
      <c r="L88" s="165" t="s">
        <v>5</v>
      </c>
      <c r="M88" s="166"/>
      <c r="N88" s="166"/>
      <c r="O88" s="166"/>
      <c r="P88" s="166"/>
      <c r="Q88" s="166"/>
      <c r="R88" s="167"/>
      <c r="S88" s="163" t="s">
        <v>83</v>
      </c>
      <c r="T88" s="171"/>
      <c r="U88" s="171"/>
      <c r="V88" s="171"/>
      <c r="W88" s="171"/>
      <c r="X88" s="171"/>
      <c r="Y88" s="171"/>
      <c r="Z88" s="171"/>
      <c r="AA88" s="171"/>
      <c r="AB88" s="164"/>
      <c r="AC88" s="163" t="s">
        <v>61</v>
      </c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64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43.5" customHeight="1">
      <c r="A89" s="13"/>
      <c r="B89" s="20"/>
      <c r="C89" s="163">
        <f t="shared" si="5"/>
        <v>35</v>
      </c>
      <c r="D89" s="164"/>
      <c r="E89" s="165" t="s">
        <v>62</v>
      </c>
      <c r="F89" s="166"/>
      <c r="G89" s="166"/>
      <c r="H89" s="166"/>
      <c r="I89" s="166"/>
      <c r="J89" s="166"/>
      <c r="K89" s="167"/>
      <c r="L89" s="165" t="s">
        <v>63</v>
      </c>
      <c r="M89" s="166"/>
      <c r="N89" s="166"/>
      <c r="O89" s="166"/>
      <c r="P89" s="166"/>
      <c r="Q89" s="166"/>
      <c r="R89" s="167"/>
      <c r="S89" s="163" t="s">
        <v>64</v>
      </c>
      <c r="T89" s="171"/>
      <c r="U89" s="171"/>
      <c r="V89" s="171"/>
      <c r="W89" s="171"/>
      <c r="X89" s="171"/>
      <c r="Y89" s="171"/>
      <c r="Z89" s="171"/>
      <c r="AA89" s="171"/>
      <c r="AB89" s="164"/>
      <c r="AC89" s="168" t="s">
        <v>184</v>
      </c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64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>
      <c r="A90" s="13"/>
      <c r="B90" s="20"/>
      <c r="C90" s="163">
        <f t="shared" si="5"/>
        <v>36</v>
      </c>
      <c r="D90" s="164"/>
      <c r="E90" s="165" t="s">
        <v>65</v>
      </c>
      <c r="F90" s="166"/>
      <c r="G90" s="166"/>
      <c r="H90" s="166"/>
      <c r="I90" s="166"/>
      <c r="J90" s="166"/>
      <c r="K90" s="167"/>
      <c r="L90" s="165" t="s">
        <v>39</v>
      </c>
      <c r="M90" s="166"/>
      <c r="N90" s="166"/>
      <c r="O90" s="166"/>
      <c r="P90" s="166"/>
      <c r="Q90" s="166"/>
      <c r="R90" s="167"/>
      <c r="S90" s="163" t="s">
        <v>66</v>
      </c>
      <c r="T90" s="171"/>
      <c r="U90" s="171"/>
      <c r="V90" s="171"/>
      <c r="W90" s="171"/>
      <c r="X90" s="171"/>
      <c r="Y90" s="171"/>
      <c r="Z90" s="171"/>
      <c r="AA90" s="171"/>
      <c r="AB90" s="164"/>
      <c r="AC90" s="163" t="s">
        <v>67</v>
      </c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64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>
      <c r="A91" s="13"/>
      <c r="B91" s="20"/>
      <c r="C91" s="163">
        <f t="shared" si="5"/>
        <v>37</v>
      </c>
      <c r="D91" s="164"/>
      <c r="E91" s="165" t="s">
        <v>69</v>
      </c>
      <c r="F91" s="166"/>
      <c r="G91" s="166"/>
      <c r="H91" s="166"/>
      <c r="I91" s="166"/>
      <c r="J91" s="166"/>
      <c r="K91" s="167"/>
      <c r="L91" s="165" t="s">
        <v>63</v>
      </c>
      <c r="M91" s="166"/>
      <c r="N91" s="166"/>
      <c r="O91" s="166"/>
      <c r="P91" s="166"/>
      <c r="Q91" s="166"/>
      <c r="R91" s="167"/>
      <c r="S91" s="163" t="s">
        <v>68</v>
      </c>
      <c r="T91" s="171"/>
      <c r="U91" s="171"/>
      <c r="V91" s="171"/>
      <c r="W91" s="171"/>
      <c r="X91" s="171"/>
      <c r="Y91" s="171"/>
      <c r="Z91" s="171"/>
      <c r="AA91" s="171"/>
      <c r="AB91" s="164"/>
      <c r="AC91" s="163" t="s">
        <v>70</v>
      </c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64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78" customHeight="1">
      <c r="A92" s="13"/>
      <c r="B92" s="20"/>
      <c r="C92" s="163">
        <f t="shared" si="5"/>
        <v>38</v>
      </c>
      <c r="D92" s="164"/>
      <c r="E92" s="172" t="s">
        <v>94</v>
      </c>
      <c r="F92" s="173"/>
      <c r="G92" s="173"/>
      <c r="H92" s="173"/>
      <c r="I92" s="173"/>
      <c r="J92" s="173"/>
      <c r="K92" s="174"/>
      <c r="L92" s="165" t="s">
        <v>63</v>
      </c>
      <c r="M92" s="166"/>
      <c r="N92" s="166"/>
      <c r="O92" s="166"/>
      <c r="P92" s="166"/>
      <c r="Q92" s="166"/>
      <c r="R92" s="167"/>
      <c r="S92" s="168" t="s">
        <v>103</v>
      </c>
      <c r="T92" s="169"/>
      <c r="U92" s="169"/>
      <c r="V92" s="169"/>
      <c r="W92" s="169"/>
      <c r="X92" s="169"/>
      <c r="Y92" s="169"/>
      <c r="Z92" s="169"/>
      <c r="AA92" s="169"/>
      <c r="AB92" s="170"/>
      <c r="AC92" s="175" t="s">
        <v>219</v>
      </c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64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36" customHeight="1">
      <c r="A93" s="13"/>
      <c r="B93" s="20"/>
      <c r="C93" s="163">
        <f>C91+1</f>
        <v>38</v>
      </c>
      <c r="D93" s="164"/>
      <c r="E93" s="165" t="s">
        <v>93</v>
      </c>
      <c r="F93" s="166"/>
      <c r="G93" s="166"/>
      <c r="H93" s="166"/>
      <c r="I93" s="166"/>
      <c r="J93" s="166"/>
      <c r="K93" s="167"/>
      <c r="L93" s="165" t="s">
        <v>84</v>
      </c>
      <c r="M93" s="166"/>
      <c r="N93" s="166"/>
      <c r="O93" s="166"/>
      <c r="P93" s="166"/>
      <c r="Q93" s="166"/>
      <c r="R93" s="167"/>
      <c r="S93" s="168" t="s">
        <v>195</v>
      </c>
      <c r="T93" s="169"/>
      <c r="U93" s="169"/>
      <c r="V93" s="169"/>
      <c r="W93" s="169"/>
      <c r="X93" s="169"/>
      <c r="Y93" s="169"/>
      <c r="Z93" s="169"/>
      <c r="AA93" s="169"/>
      <c r="AB93" s="170"/>
      <c r="AC93" s="176" t="s">
        <v>196</v>
      </c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64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31.5" customHeight="1">
      <c r="A94" s="13"/>
      <c r="B94" s="20"/>
      <c r="C94" s="163">
        <f>C92+1</f>
        <v>39</v>
      </c>
      <c r="D94" s="164"/>
      <c r="E94" s="165" t="s">
        <v>95</v>
      </c>
      <c r="F94" s="166"/>
      <c r="G94" s="166"/>
      <c r="H94" s="166"/>
      <c r="I94" s="166"/>
      <c r="J94" s="166"/>
      <c r="K94" s="167"/>
      <c r="L94" s="165" t="s">
        <v>84</v>
      </c>
      <c r="M94" s="166"/>
      <c r="N94" s="166"/>
      <c r="O94" s="166"/>
      <c r="P94" s="166"/>
      <c r="Q94" s="166"/>
      <c r="R94" s="167"/>
      <c r="S94" s="168" t="s">
        <v>104</v>
      </c>
      <c r="T94" s="169"/>
      <c r="U94" s="169"/>
      <c r="V94" s="169"/>
      <c r="W94" s="169"/>
      <c r="X94" s="169"/>
      <c r="Y94" s="169"/>
      <c r="Z94" s="169"/>
      <c r="AA94" s="169"/>
      <c r="AB94" s="170"/>
      <c r="AC94" s="168" t="s">
        <v>197</v>
      </c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64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31.5" customHeight="1">
      <c r="A95" s="13"/>
      <c r="B95" s="20"/>
      <c r="C95" s="163">
        <f t="shared" ref="C95:C101" si="6">C93+1</f>
        <v>39</v>
      </c>
      <c r="D95" s="164"/>
      <c r="E95" s="165" t="s">
        <v>96</v>
      </c>
      <c r="F95" s="166"/>
      <c r="G95" s="166"/>
      <c r="H95" s="166"/>
      <c r="I95" s="166"/>
      <c r="J95" s="166"/>
      <c r="K95" s="167"/>
      <c r="L95" s="165" t="s">
        <v>72</v>
      </c>
      <c r="M95" s="166"/>
      <c r="N95" s="166"/>
      <c r="O95" s="166"/>
      <c r="P95" s="166"/>
      <c r="Q95" s="166"/>
      <c r="R95" s="167"/>
      <c r="S95" s="168" t="s">
        <v>105</v>
      </c>
      <c r="T95" s="169"/>
      <c r="U95" s="169"/>
      <c r="V95" s="169"/>
      <c r="W95" s="169"/>
      <c r="X95" s="169"/>
      <c r="Y95" s="169"/>
      <c r="Z95" s="169"/>
      <c r="AA95" s="169"/>
      <c r="AB95" s="170"/>
      <c r="AC95" s="168" t="s">
        <v>197</v>
      </c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64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31.5" customHeight="1">
      <c r="A96" s="13"/>
      <c r="B96" s="20"/>
      <c r="C96" s="163">
        <f t="shared" si="6"/>
        <v>40</v>
      </c>
      <c r="D96" s="164"/>
      <c r="E96" s="165" t="s">
        <v>97</v>
      </c>
      <c r="F96" s="166"/>
      <c r="G96" s="166"/>
      <c r="H96" s="166"/>
      <c r="I96" s="166"/>
      <c r="J96" s="166"/>
      <c r="K96" s="167"/>
      <c r="L96" s="165" t="s">
        <v>72</v>
      </c>
      <c r="M96" s="166"/>
      <c r="N96" s="166"/>
      <c r="O96" s="166"/>
      <c r="P96" s="166"/>
      <c r="Q96" s="166"/>
      <c r="R96" s="167"/>
      <c r="S96" s="168" t="s">
        <v>106</v>
      </c>
      <c r="T96" s="169"/>
      <c r="U96" s="169"/>
      <c r="V96" s="169"/>
      <c r="W96" s="169"/>
      <c r="X96" s="169"/>
      <c r="Y96" s="169"/>
      <c r="Z96" s="169"/>
      <c r="AA96" s="169"/>
      <c r="AB96" s="170"/>
      <c r="AC96" s="168" t="s">
        <v>197</v>
      </c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64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31.5" customHeight="1">
      <c r="A97" s="13"/>
      <c r="B97" s="20"/>
      <c r="C97" s="163">
        <f t="shared" si="6"/>
        <v>40</v>
      </c>
      <c r="D97" s="164"/>
      <c r="E97" s="165" t="s">
        <v>98</v>
      </c>
      <c r="F97" s="166"/>
      <c r="G97" s="166"/>
      <c r="H97" s="166"/>
      <c r="I97" s="166"/>
      <c r="J97" s="166"/>
      <c r="K97" s="167"/>
      <c r="L97" s="165" t="s">
        <v>72</v>
      </c>
      <c r="M97" s="166"/>
      <c r="N97" s="166"/>
      <c r="O97" s="166"/>
      <c r="P97" s="166"/>
      <c r="Q97" s="166"/>
      <c r="R97" s="167"/>
      <c r="S97" s="168" t="s">
        <v>107</v>
      </c>
      <c r="T97" s="169"/>
      <c r="U97" s="169"/>
      <c r="V97" s="169"/>
      <c r="W97" s="169"/>
      <c r="X97" s="169"/>
      <c r="Y97" s="169"/>
      <c r="Z97" s="169"/>
      <c r="AA97" s="169"/>
      <c r="AB97" s="170"/>
      <c r="AC97" s="168" t="s">
        <v>197</v>
      </c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64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31.5" customHeight="1">
      <c r="A98" s="13"/>
      <c r="B98" s="20"/>
      <c r="C98" s="163">
        <f t="shared" si="6"/>
        <v>41</v>
      </c>
      <c r="D98" s="164"/>
      <c r="E98" s="165" t="s">
        <v>99</v>
      </c>
      <c r="F98" s="166"/>
      <c r="G98" s="166"/>
      <c r="H98" s="166"/>
      <c r="I98" s="166"/>
      <c r="J98" s="166"/>
      <c r="K98" s="167"/>
      <c r="L98" s="165" t="s">
        <v>72</v>
      </c>
      <c r="M98" s="166"/>
      <c r="N98" s="166"/>
      <c r="O98" s="166"/>
      <c r="P98" s="166"/>
      <c r="Q98" s="166"/>
      <c r="R98" s="167"/>
      <c r="S98" s="168" t="s">
        <v>108</v>
      </c>
      <c r="T98" s="169"/>
      <c r="U98" s="169"/>
      <c r="V98" s="169"/>
      <c r="W98" s="169"/>
      <c r="X98" s="169"/>
      <c r="Y98" s="169"/>
      <c r="Z98" s="169"/>
      <c r="AA98" s="169"/>
      <c r="AB98" s="170"/>
      <c r="AC98" s="168" t="s">
        <v>197</v>
      </c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64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31.5" customHeight="1">
      <c r="A99" s="13"/>
      <c r="B99" s="20"/>
      <c r="C99" s="163">
        <f t="shared" si="6"/>
        <v>41</v>
      </c>
      <c r="D99" s="164"/>
      <c r="E99" s="165" t="s">
        <v>100</v>
      </c>
      <c r="F99" s="166"/>
      <c r="G99" s="166"/>
      <c r="H99" s="166"/>
      <c r="I99" s="166"/>
      <c r="J99" s="166"/>
      <c r="K99" s="167"/>
      <c r="L99" s="165" t="s">
        <v>72</v>
      </c>
      <c r="M99" s="166"/>
      <c r="N99" s="166"/>
      <c r="O99" s="166"/>
      <c r="P99" s="166"/>
      <c r="Q99" s="166"/>
      <c r="R99" s="167"/>
      <c r="S99" s="168" t="s">
        <v>109</v>
      </c>
      <c r="T99" s="169"/>
      <c r="U99" s="169"/>
      <c r="V99" s="169"/>
      <c r="W99" s="169"/>
      <c r="X99" s="169"/>
      <c r="Y99" s="169"/>
      <c r="Z99" s="169"/>
      <c r="AA99" s="169"/>
      <c r="AB99" s="170"/>
      <c r="AC99" s="168" t="s">
        <v>197</v>
      </c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64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31.5" customHeight="1">
      <c r="A100" s="13"/>
      <c r="B100" s="20"/>
      <c r="C100" s="163">
        <f t="shared" si="6"/>
        <v>42</v>
      </c>
      <c r="D100" s="164"/>
      <c r="E100" s="165" t="s">
        <v>101</v>
      </c>
      <c r="F100" s="166"/>
      <c r="G100" s="166"/>
      <c r="H100" s="166"/>
      <c r="I100" s="166"/>
      <c r="J100" s="166"/>
      <c r="K100" s="167"/>
      <c r="L100" s="165" t="s">
        <v>72</v>
      </c>
      <c r="M100" s="166"/>
      <c r="N100" s="166"/>
      <c r="O100" s="166"/>
      <c r="P100" s="166"/>
      <c r="Q100" s="166"/>
      <c r="R100" s="167"/>
      <c r="S100" s="168" t="s">
        <v>110</v>
      </c>
      <c r="T100" s="169"/>
      <c r="U100" s="169"/>
      <c r="V100" s="169"/>
      <c r="W100" s="169"/>
      <c r="X100" s="169"/>
      <c r="Y100" s="169"/>
      <c r="Z100" s="169"/>
      <c r="AA100" s="169"/>
      <c r="AB100" s="170"/>
      <c r="AC100" s="168" t="s">
        <v>197</v>
      </c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64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31.5" customHeight="1">
      <c r="A101" s="13"/>
      <c r="B101" s="20"/>
      <c r="C101" s="163">
        <f t="shared" si="6"/>
        <v>42</v>
      </c>
      <c r="D101" s="164"/>
      <c r="E101" s="165" t="s">
        <v>102</v>
      </c>
      <c r="F101" s="166"/>
      <c r="G101" s="166"/>
      <c r="H101" s="166"/>
      <c r="I101" s="166"/>
      <c r="J101" s="166"/>
      <c r="K101" s="167"/>
      <c r="L101" s="165" t="s">
        <v>72</v>
      </c>
      <c r="M101" s="166"/>
      <c r="N101" s="166"/>
      <c r="O101" s="166"/>
      <c r="P101" s="166"/>
      <c r="Q101" s="166"/>
      <c r="R101" s="167"/>
      <c r="S101" s="168" t="s">
        <v>111</v>
      </c>
      <c r="T101" s="169"/>
      <c r="U101" s="169"/>
      <c r="V101" s="169"/>
      <c r="W101" s="169"/>
      <c r="X101" s="169"/>
      <c r="Y101" s="169"/>
      <c r="Z101" s="169"/>
      <c r="AA101" s="169"/>
      <c r="AB101" s="170"/>
      <c r="AC101" s="168" t="s">
        <v>197</v>
      </c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64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>
      <c r="A102" s="13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>
      <c r="A103" s="13"/>
      <c r="B103" s="20"/>
      <c r="C103" s="20"/>
      <c r="D103" s="20"/>
      <c r="E103" s="73"/>
      <c r="F103" s="73"/>
      <c r="G103" s="73"/>
      <c r="H103" s="73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73"/>
      <c r="T103" s="73"/>
      <c r="U103" s="73"/>
      <c r="V103" s="73"/>
      <c r="W103" s="73"/>
      <c r="X103" s="73"/>
      <c r="Y103" s="73"/>
      <c r="Z103" s="73"/>
      <c r="AA103" s="73"/>
      <c r="AB103" s="20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>
      <c r="A104" s="13"/>
      <c r="B104" s="20"/>
      <c r="C104" s="23" t="s">
        <v>198</v>
      </c>
      <c r="D104" s="20"/>
      <c r="E104" s="73"/>
      <c r="F104" s="20"/>
      <c r="G104" s="73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>
      <c r="A105" s="13"/>
      <c r="B105" s="20"/>
      <c r="C105" s="23"/>
      <c r="D105" s="73"/>
      <c r="E105" s="73"/>
      <c r="F105" s="20"/>
      <c r="G105" s="73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>
      <c r="A106" s="13"/>
      <c r="B106" s="20"/>
      <c r="C106" s="47" t="s">
        <v>199</v>
      </c>
      <c r="D106" s="74"/>
      <c r="E106" s="74"/>
      <c r="F106" s="30"/>
      <c r="G106" s="74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48" t="s">
        <v>200</v>
      </c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 t="s">
        <v>143</v>
      </c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24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>
      <c r="A107" s="13"/>
      <c r="B107" s="20"/>
      <c r="C107" s="75" t="s">
        <v>85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73" t="s">
        <v>85</v>
      </c>
      <c r="U107" s="31"/>
      <c r="V107" s="31"/>
      <c r="W107" s="31"/>
      <c r="X107" s="31"/>
      <c r="Y107" s="20"/>
      <c r="Z107" s="20"/>
      <c r="AA107" s="20"/>
      <c r="AB107" s="20"/>
      <c r="AC107" s="20"/>
      <c r="AD107" s="20"/>
      <c r="AE107" s="20"/>
      <c r="AF107" s="20"/>
      <c r="AG107" s="20"/>
      <c r="AH107" s="73" t="s">
        <v>85</v>
      </c>
      <c r="AI107" s="31"/>
      <c r="AJ107" s="31"/>
      <c r="AK107" s="31"/>
      <c r="AL107" s="31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>
      <c r="A108" s="13"/>
      <c r="B108" s="20"/>
      <c r="C108" s="75"/>
      <c r="D108" s="73" t="s">
        <v>201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 t="s">
        <v>201</v>
      </c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20"/>
      <c r="AH108" s="73"/>
      <c r="AI108" s="73" t="s">
        <v>201</v>
      </c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>
      <c r="A109" s="13"/>
      <c r="B109" s="20"/>
      <c r="C109" s="75"/>
      <c r="D109" s="73" t="s">
        <v>202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 t="s">
        <v>202</v>
      </c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20"/>
      <c r="AH109" s="73"/>
      <c r="AI109" s="73" t="s">
        <v>202</v>
      </c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20"/>
      <c r="AU109" s="25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>
      <c r="A110" s="13"/>
      <c r="B110" s="20"/>
      <c r="C110" s="75"/>
      <c r="D110" s="73" t="s">
        <v>87</v>
      </c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 t="s">
        <v>123</v>
      </c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20"/>
      <c r="AH110" s="73"/>
      <c r="AI110" s="73" t="s">
        <v>123</v>
      </c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20"/>
      <c r="AU110" s="25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>
      <c r="A111" s="13"/>
      <c r="B111" s="20"/>
      <c r="C111" s="75"/>
      <c r="D111" s="73"/>
      <c r="E111" s="73" t="s">
        <v>85</v>
      </c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 t="s">
        <v>85</v>
      </c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20"/>
      <c r="AH111" s="73"/>
      <c r="AI111" s="73"/>
      <c r="AJ111" s="73" t="s">
        <v>85</v>
      </c>
      <c r="AK111" s="73"/>
      <c r="AL111" s="73"/>
      <c r="AM111" s="73"/>
      <c r="AN111" s="73"/>
      <c r="AO111" s="73"/>
      <c r="AP111" s="73"/>
      <c r="AQ111" s="73"/>
      <c r="AR111" s="73"/>
      <c r="AS111" s="73"/>
      <c r="AT111" s="20"/>
      <c r="AU111" s="25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>
      <c r="A112" s="13"/>
      <c r="B112" s="20"/>
      <c r="C112" s="75"/>
      <c r="D112" s="73"/>
      <c r="E112" s="73"/>
      <c r="F112" s="73" t="s">
        <v>203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 t="s">
        <v>203</v>
      </c>
      <c r="X112" s="73"/>
      <c r="Y112" s="73"/>
      <c r="Z112" s="73"/>
      <c r="AA112" s="73"/>
      <c r="AB112" s="73"/>
      <c r="AC112" s="73"/>
      <c r="AD112" s="73"/>
      <c r="AE112" s="73"/>
      <c r="AF112" s="73"/>
      <c r="AG112" s="20"/>
      <c r="AH112" s="73"/>
      <c r="AI112" s="73"/>
      <c r="AJ112" s="73"/>
      <c r="AK112" s="73" t="s">
        <v>203</v>
      </c>
      <c r="AL112" s="73"/>
      <c r="AM112" s="73"/>
      <c r="AN112" s="73"/>
      <c r="AO112" s="73"/>
      <c r="AP112" s="73"/>
      <c r="AQ112" s="73"/>
      <c r="AR112" s="73"/>
      <c r="AS112" s="73"/>
      <c r="AT112" s="20"/>
      <c r="AU112" s="25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>
      <c r="A113" s="13"/>
      <c r="B113" s="20"/>
      <c r="C113" s="75"/>
      <c r="D113" s="73"/>
      <c r="E113" s="73"/>
      <c r="F113" s="73" t="s">
        <v>204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 t="s">
        <v>204</v>
      </c>
      <c r="X113" s="73"/>
      <c r="Y113" s="73"/>
      <c r="Z113" s="73"/>
      <c r="AA113" s="73"/>
      <c r="AB113" s="73"/>
      <c r="AC113" s="73"/>
      <c r="AD113" s="73"/>
      <c r="AE113" s="73"/>
      <c r="AF113" s="73"/>
      <c r="AG113" s="20"/>
      <c r="AH113" s="73"/>
      <c r="AI113" s="73"/>
      <c r="AJ113" s="73"/>
      <c r="AK113" s="73" t="s">
        <v>204</v>
      </c>
      <c r="AL113" s="73"/>
      <c r="AM113" s="73"/>
      <c r="AN113" s="73"/>
      <c r="AO113" s="73"/>
      <c r="AP113" s="73"/>
      <c r="AQ113" s="73"/>
      <c r="AR113" s="73"/>
      <c r="AS113" s="73"/>
      <c r="AT113" s="20"/>
      <c r="AU113" s="25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>
      <c r="A114" s="13"/>
      <c r="B114" s="20"/>
      <c r="C114" s="75"/>
      <c r="D114" s="73"/>
      <c r="E114" s="73"/>
      <c r="F114" s="73" t="s">
        <v>205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 t="s">
        <v>205</v>
      </c>
      <c r="X114" s="73"/>
      <c r="Y114" s="73"/>
      <c r="Z114" s="73"/>
      <c r="AA114" s="73"/>
      <c r="AB114" s="73"/>
      <c r="AC114" s="73"/>
      <c r="AD114" s="73"/>
      <c r="AE114" s="73"/>
      <c r="AF114" s="73"/>
      <c r="AG114" s="20"/>
      <c r="AH114" s="73"/>
      <c r="AI114" s="73"/>
      <c r="AJ114" s="73"/>
      <c r="AK114" s="73" t="s">
        <v>205</v>
      </c>
      <c r="AL114" s="73"/>
      <c r="AM114" s="73"/>
      <c r="AN114" s="73"/>
      <c r="AO114" s="73"/>
      <c r="AP114" s="73"/>
      <c r="AQ114" s="73"/>
      <c r="AR114" s="73"/>
      <c r="AS114" s="73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>
      <c r="A115" s="13"/>
      <c r="B115" s="20"/>
      <c r="C115" s="75"/>
      <c r="D115" s="73"/>
      <c r="E115" s="73"/>
      <c r="F115" s="73" t="s">
        <v>92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 t="s">
        <v>92</v>
      </c>
      <c r="X115" s="73"/>
      <c r="Y115" s="73"/>
      <c r="Z115" s="73"/>
      <c r="AA115" s="73"/>
      <c r="AB115" s="73"/>
      <c r="AC115" s="73"/>
      <c r="AD115" s="73"/>
      <c r="AE115" s="73"/>
      <c r="AF115" s="73"/>
      <c r="AG115" s="20"/>
      <c r="AH115" s="73"/>
      <c r="AI115" s="73"/>
      <c r="AJ115" s="73"/>
      <c r="AK115" s="73" t="s">
        <v>92</v>
      </c>
      <c r="AL115" s="73"/>
      <c r="AM115" s="73"/>
      <c r="AN115" s="73"/>
      <c r="AO115" s="73"/>
      <c r="AP115" s="73"/>
      <c r="AQ115" s="73"/>
      <c r="AR115" s="73"/>
      <c r="AS115" s="73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>
      <c r="A116" s="13"/>
      <c r="B116" s="20"/>
      <c r="C116" s="75"/>
      <c r="D116" s="73"/>
      <c r="E116" s="73"/>
      <c r="F116" s="73" t="s">
        <v>206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 t="s">
        <v>206</v>
      </c>
      <c r="X116" s="73"/>
      <c r="Y116" s="73"/>
      <c r="Z116" s="73"/>
      <c r="AA116" s="73"/>
      <c r="AB116" s="73"/>
      <c r="AC116" s="73"/>
      <c r="AD116" s="73"/>
      <c r="AE116" s="73"/>
      <c r="AF116" s="73"/>
      <c r="AG116" s="20"/>
      <c r="AH116" s="73"/>
      <c r="AI116" s="73"/>
      <c r="AJ116" s="73"/>
      <c r="AK116" s="73" t="s">
        <v>206</v>
      </c>
      <c r="AL116" s="73"/>
      <c r="AM116" s="73"/>
      <c r="AN116" s="73"/>
      <c r="AO116" s="73"/>
      <c r="AP116" s="73"/>
      <c r="AQ116" s="73"/>
      <c r="AR116" s="73"/>
      <c r="AS116" s="73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>
      <c r="A117" s="13"/>
      <c r="B117" s="20"/>
      <c r="C117" s="75"/>
      <c r="D117" s="73"/>
      <c r="E117" s="73"/>
      <c r="F117" s="73" t="s">
        <v>207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 t="s">
        <v>208</v>
      </c>
      <c r="X117" s="73"/>
      <c r="Y117" s="73"/>
      <c r="Z117" s="73"/>
      <c r="AA117" s="73"/>
      <c r="AB117" s="73"/>
      <c r="AC117" s="73"/>
      <c r="AD117" s="73"/>
      <c r="AE117" s="73"/>
      <c r="AF117" s="73"/>
      <c r="AG117" s="20"/>
      <c r="AH117" s="73"/>
      <c r="AI117" s="73"/>
      <c r="AJ117" s="73"/>
      <c r="AK117" s="73" t="s">
        <v>209</v>
      </c>
      <c r="AL117" s="73"/>
      <c r="AM117" s="73"/>
      <c r="AN117" s="73"/>
      <c r="AO117" s="73"/>
      <c r="AP117" s="73"/>
      <c r="AQ117" s="73"/>
      <c r="AR117" s="73"/>
      <c r="AS117" s="73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>
      <c r="A118" s="13"/>
      <c r="B118" s="20"/>
      <c r="C118" s="75"/>
      <c r="D118" s="73"/>
      <c r="E118" s="73"/>
      <c r="F118" s="73" t="s">
        <v>210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 t="s">
        <v>211</v>
      </c>
      <c r="X118" s="73"/>
      <c r="Y118" s="73"/>
      <c r="Z118" s="73"/>
      <c r="AA118" s="73"/>
      <c r="AB118" s="73"/>
      <c r="AC118" s="73"/>
      <c r="AD118" s="73"/>
      <c r="AE118" s="73"/>
      <c r="AF118" s="73"/>
      <c r="AG118" s="20"/>
      <c r="AH118" s="73"/>
      <c r="AI118" s="73"/>
      <c r="AJ118" s="73"/>
      <c r="AK118" s="73" t="s">
        <v>211</v>
      </c>
      <c r="AL118" s="73"/>
      <c r="AM118" s="73"/>
      <c r="AN118" s="73"/>
      <c r="AO118" s="73"/>
      <c r="AP118" s="73"/>
      <c r="AQ118" s="73"/>
      <c r="AR118" s="73"/>
      <c r="AS118" s="73"/>
      <c r="AT118" s="20"/>
      <c r="AU118" s="25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18" customFormat="1" ht="15" customHeight="1">
      <c r="A119" s="13"/>
      <c r="B119" s="20"/>
      <c r="C119" s="75"/>
      <c r="D119" s="73"/>
      <c r="E119" s="73"/>
      <c r="F119" s="73" t="s">
        <v>212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 t="s">
        <v>212</v>
      </c>
      <c r="X119" s="73"/>
      <c r="Y119" s="73"/>
      <c r="Z119" s="73"/>
      <c r="AA119" s="73"/>
      <c r="AB119" s="73"/>
      <c r="AC119" s="73"/>
      <c r="AD119" s="73"/>
      <c r="AE119" s="73"/>
      <c r="AF119" s="73"/>
      <c r="AG119" s="20"/>
      <c r="AH119" s="73"/>
      <c r="AI119" s="73"/>
      <c r="AJ119" s="73"/>
      <c r="AK119" s="73" t="s">
        <v>212</v>
      </c>
      <c r="AL119" s="73"/>
      <c r="AM119" s="73"/>
      <c r="AN119" s="73"/>
      <c r="AO119" s="73"/>
      <c r="AP119" s="73"/>
      <c r="AQ119" s="73"/>
      <c r="AR119" s="73"/>
      <c r="AS119" s="73"/>
      <c r="AT119" s="20"/>
      <c r="AU119" s="25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1"/>
      <c r="BK119" s="17"/>
    </row>
    <row r="120" spans="1:63" s="18" customFormat="1" ht="15" customHeight="1">
      <c r="A120" s="13"/>
      <c r="B120" s="20"/>
      <c r="C120" s="75"/>
      <c r="D120" s="73"/>
      <c r="E120" s="73"/>
      <c r="F120" s="73" t="s">
        <v>213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 t="s">
        <v>214</v>
      </c>
      <c r="X120" s="73"/>
      <c r="Y120" s="73"/>
      <c r="Z120" s="73"/>
      <c r="AA120" s="73"/>
      <c r="AB120" s="73"/>
      <c r="AC120" s="73"/>
      <c r="AD120" s="73"/>
      <c r="AE120" s="73"/>
      <c r="AF120" s="73"/>
      <c r="AG120" s="20"/>
      <c r="AH120" s="73"/>
      <c r="AI120" s="73"/>
      <c r="AJ120" s="73" t="s">
        <v>86</v>
      </c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>
      <c r="A121" s="13"/>
      <c r="B121" s="20"/>
      <c r="C121" s="75"/>
      <c r="D121" s="73"/>
      <c r="E121" s="73"/>
      <c r="F121" s="73" t="s">
        <v>215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 t="s">
        <v>125</v>
      </c>
      <c r="X121" s="73"/>
      <c r="Y121" s="73"/>
      <c r="Z121" s="73"/>
      <c r="AA121" s="73"/>
      <c r="AB121" s="73"/>
      <c r="AC121" s="73"/>
      <c r="AD121" s="73"/>
      <c r="AE121" s="73"/>
      <c r="AF121" s="73"/>
      <c r="AG121" s="20"/>
      <c r="AH121" s="73"/>
      <c r="AI121" s="73" t="s">
        <v>88</v>
      </c>
      <c r="AJ121" s="7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5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>
      <c r="A122" s="13"/>
      <c r="B122" s="20"/>
      <c r="C122" s="75"/>
      <c r="D122" s="73"/>
      <c r="E122" s="73"/>
      <c r="F122" s="73" t="s">
        <v>216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 t="s">
        <v>124</v>
      </c>
      <c r="X122" s="73"/>
      <c r="Y122" s="73"/>
      <c r="Z122" s="73"/>
      <c r="AA122" s="73"/>
      <c r="AB122" s="73"/>
      <c r="AC122" s="73"/>
      <c r="AD122" s="73"/>
      <c r="AE122" s="73"/>
      <c r="AF122" s="73"/>
      <c r="AG122" s="20"/>
      <c r="AH122" s="73" t="s">
        <v>86</v>
      </c>
      <c r="AI122" s="31"/>
      <c r="AJ122" s="31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5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>
      <c r="A123" s="13"/>
      <c r="B123" s="20"/>
      <c r="C123" s="75"/>
      <c r="D123" s="73"/>
      <c r="E123" s="73"/>
      <c r="F123" s="73" t="s">
        <v>217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 t="s">
        <v>132</v>
      </c>
      <c r="X123" s="73"/>
      <c r="Y123" s="73"/>
      <c r="Z123" s="73"/>
      <c r="AA123" s="73"/>
      <c r="AB123" s="73"/>
      <c r="AC123" s="73"/>
      <c r="AD123" s="73"/>
      <c r="AE123" s="73"/>
      <c r="AF123" s="73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5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>
      <c r="A124" s="13"/>
      <c r="B124" s="20"/>
      <c r="C124" s="75"/>
      <c r="D124" s="73"/>
      <c r="E124" s="73"/>
      <c r="F124" s="73" t="s">
        <v>126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 t="s">
        <v>133</v>
      </c>
      <c r="X124" s="73"/>
      <c r="Y124" s="73"/>
      <c r="Z124" s="73"/>
      <c r="AA124" s="73"/>
      <c r="AB124" s="73"/>
      <c r="AC124" s="73"/>
      <c r="AD124" s="73"/>
      <c r="AE124" s="73"/>
      <c r="AF124" s="73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5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1"/>
      <c r="BI124" s="21"/>
      <c r="BJ124" s="21"/>
      <c r="BK124" s="17"/>
    </row>
    <row r="125" spans="1:63" s="18" customFormat="1" ht="15" customHeight="1">
      <c r="A125" s="13"/>
      <c r="B125" s="20"/>
      <c r="C125" s="75"/>
      <c r="D125" s="73"/>
      <c r="E125" s="73"/>
      <c r="F125" s="73" t="s">
        <v>127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 t="s">
        <v>134</v>
      </c>
      <c r="X125" s="73"/>
      <c r="Y125" s="73"/>
      <c r="Z125" s="73"/>
      <c r="AA125" s="73"/>
      <c r="AB125" s="73"/>
      <c r="AC125" s="73"/>
      <c r="AD125" s="73"/>
      <c r="AE125" s="73"/>
      <c r="AF125" s="73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5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>
      <c r="A126" s="13"/>
      <c r="B126" s="20"/>
      <c r="C126" s="75"/>
      <c r="D126" s="73"/>
      <c r="E126" s="73"/>
      <c r="F126" s="73" t="s">
        <v>128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 t="s">
        <v>135</v>
      </c>
      <c r="X126" s="73"/>
      <c r="Y126" s="73"/>
      <c r="Z126" s="73"/>
      <c r="AA126" s="73"/>
      <c r="AB126" s="73"/>
      <c r="AC126" s="73"/>
      <c r="AD126" s="73"/>
      <c r="AE126" s="73"/>
      <c r="AF126" s="73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5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1"/>
      <c r="BI126" s="21"/>
      <c r="BJ126" s="21"/>
      <c r="BK126" s="17"/>
    </row>
    <row r="127" spans="1:63" s="18" customFormat="1" ht="15" customHeight="1">
      <c r="A127" s="13"/>
      <c r="B127" s="20"/>
      <c r="C127" s="75"/>
      <c r="D127" s="73"/>
      <c r="E127" s="73"/>
      <c r="F127" s="73" t="s">
        <v>129</v>
      </c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 t="s">
        <v>136</v>
      </c>
      <c r="X127" s="73"/>
      <c r="Y127" s="73"/>
      <c r="Z127" s="73"/>
      <c r="AA127" s="73"/>
      <c r="AB127" s="73"/>
      <c r="AC127" s="73"/>
      <c r="AD127" s="73"/>
      <c r="AE127" s="73"/>
      <c r="AF127" s="73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5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>
      <c r="A128" s="13"/>
      <c r="B128" s="20"/>
      <c r="C128" s="75"/>
      <c r="D128" s="73"/>
      <c r="E128" s="73"/>
      <c r="F128" s="73" t="s">
        <v>130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 t="s">
        <v>137</v>
      </c>
      <c r="X128" s="73"/>
      <c r="Y128" s="73"/>
      <c r="Z128" s="73"/>
      <c r="AA128" s="73"/>
      <c r="AB128" s="73"/>
      <c r="AC128" s="73"/>
      <c r="AD128" s="73"/>
      <c r="AE128" s="73"/>
      <c r="AF128" s="73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5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>
      <c r="A129" s="13"/>
      <c r="B129" s="20"/>
      <c r="C129" s="75"/>
      <c r="D129" s="73"/>
      <c r="E129" s="73"/>
      <c r="F129" s="73" t="s">
        <v>131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 t="s">
        <v>138</v>
      </c>
      <c r="X129" s="73"/>
      <c r="Y129" s="73"/>
      <c r="Z129" s="73"/>
      <c r="AA129" s="73"/>
      <c r="AB129" s="73"/>
      <c r="AC129" s="73"/>
      <c r="AD129" s="73"/>
      <c r="AE129" s="73"/>
      <c r="AF129" s="73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5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ht="15" customHeight="1">
      <c r="A130" s="13"/>
      <c r="B130" s="20"/>
      <c r="C130" s="75"/>
      <c r="D130" s="73"/>
      <c r="E130" s="73"/>
      <c r="F130" s="73" t="s">
        <v>122</v>
      </c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 t="s">
        <v>139</v>
      </c>
      <c r="X130" s="73"/>
      <c r="Y130" s="73"/>
      <c r="Z130" s="73"/>
      <c r="AA130" s="73"/>
      <c r="AB130" s="73"/>
      <c r="AC130" s="73"/>
      <c r="AD130" s="73"/>
      <c r="AE130" s="73"/>
      <c r="AF130" s="73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5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18" customFormat="1" ht="15" customHeight="1">
      <c r="A131" s="13"/>
      <c r="B131" s="20"/>
      <c r="C131" s="75"/>
      <c r="D131" s="73"/>
      <c r="E131" s="73" t="s">
        <v>86</v>
      </c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 t="s">
        <v>86</v>
      </c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5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1"/>
      <c r="BK131" s="17"/>
    </row>
    <row r="132" spans="1:63" s="18" customFormat="1" ht="15" customHeight="1">
      <c r="A132" s="13"/>
      <c r="B132" s="20"/>
      <c r="C132" s="75"/>
      <c r="D132" s="73" t="s">
        <v>88</v>
      </c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 t="s">
        <v>88</v>
      </c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5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1"/>
      <c r="BK132" s="17"/>
    </row>
    <row r="133" spans="1:63" s="18" customFormat="1" ht="15" customHeight="1">
      <c r="A133" s="13"/>
      <c r="B133" s="20"/>
      <c r="C133" s="77" t="s">
        <v>86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78" t="s">
        <v>86</v>
      </c>
      <c r="U133" s="32"/>
      <c r="V133" s="32"/>
      <c r="W133" s="32"/>
      <c r="X133" s="32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26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1"/>
      <c r="BK133" s="17"/>
    </row>
    <row r="134" spans="1:63" s="18" customFormat="1" ht="15" customHeight="1">
      <c r="A134" s="13"/>
      <c r="B134" s="20"/>
      <c r="C134" s="20"/>
      <c r="D134" s="73"/>
      <c r="E134" s="7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1"/>
      <c r="BK134" s="17"/>
    </row>
    <row r="135" spans="1:63" s="18" customFormat="1" ht="15" customHeight="1">
      <c r="A135" s="13"/>
      <c r="B135" s="20"/>
      <c r="C135" s="19" t="s">
        <v>218</v>
      </c>
      <c r="D135" s="20"/>
      <c r="E135" s="7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1"/>
      <c r="BK135" s="17"/>
    </row>
    <row r="136" spans="1:63" s="18" customFormat="1" ht="15" customHeight="1">
      <c r="A136" s="13"/>
      <c r="B136" s="20"/>
      <c r="C136" s="19"/>
      <c r="D136" s="20"/>
      <c r="E136" s="7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1"/>
      <c r="BK136" s="17"/>
    </row>
    <row r="137" spans="1:63" s="18" customFormat="1" ht="15" customHeight="1">
      <c r="A137" s="13"/>
      <c r="B137" s="20"/>
      <c r="C137" s="19"/>
      <c r="D137" s="20" t="s">
        <v>140</v>
      </c>
      <c r="E137" s="7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1"/>
      <c r="BK137" s="17"/>
    </row>
    <row r="138" spans="1:63" s="39" customFormat="1" ht="15" customHeight="1">
      <c r="A138" s="34"/>
      <c r="B138" s="35"/>
      <c r="C138" s="35"/>
      <c r="D138" s="35"/>
      <c r="E138" s="36"/>
      <c r="F138" s="36"/>
      <c r="G138" s="36"/>
      <c r="H138" s="36"/>
      <c r="I138" s="36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20"/>
      <c r="AP138" s="20"/>
      <c r="AQ138" s="20"/>
      <c r="AR138" s="20"/>
      <c r="AS138" s="20"/>
      <c r="AT138" s="20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7"/>
      <c r="BI138" s="37"/>
      <c r="BJ138" s="37"/>
      <c r="BK138" s="38"/>
    </row>
  </sheetData>
  <mergeCells count="386">
    <mergeCell ref="S61:AB61"/>
    <mergeCell ref="AC61:AU61"/>
    <mergeCell ref="C61:D61"/>
    <mergeCell ref="C59:D59"/>
    <mergeCell ref="E59:K59"/>
    <mergeCell ref="L59:R59"/>
    <mergeCell ref="S59:AB59"/>
    <mergeCell ref="AC59:AU59"/>
    <mergeCell ref="C52:D52"/>
    <mergeCell ref="E60:K60"/>
    <mergeCell ref="L60:R60"/>
    <mergeCell ref="S60:AB60"/>
    <mergeCell ref="AC60:AU60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AC54:AU54"/>
    <mergeCell ref="C55:D55"/>
    <mergeCell ref="AC55:AU55"/>
    <mergeCell ref="C56:D56"/>
    <mergeCell ref="E56:K56"/>
    <mergeCell ref="L56:R56"/>
    <mergeCell ref="S56:AB56"/>
    <mergeCell ref="AC56:AU56"/>
    <mergeCell ref="E39:K39"/>
    <mergeCell ref="S39:Y39"/>
    <mergeCell ref="AQ39:BJ39"/>
    <mergeCell ref="C43:D43"/>
    <mergeCell ref="E43:K43"/>
    <mergeCell ref="S43:Y43"/>
    <mergeCell ref="S50:AB50"/>
    <mergeCell ref="S51:AB51"/>
    <mergeCell ref="S44:Y44"/>
    <mergeCell ref="AQ44:BJ44"/>
    <mergeCell ref="C39:D39"/>
    <mergeCell ref="C64:D64"/>
    <mergeCell ref="C65:D65"/>
    <mergeCell ref="C67:D67"/>
    <mergeCell ref="C68:D68"/>
    <mergeCell ref="C69:D69"/>
    <mergeCell ref="C70:D70"/>
    <mergeCell ref="C71:D71"/>
    <mergeCell ref="C74:D74"/>
    <mergeCell ref="E74:K74"/>
    <mergeCell ref="C72:D72"/>
    <mergeCell ref="E72:K72"/>
    <mergeCell ref="C66:D66"/>
    <mergeCell ref="AC64:AU64"/>
    <mergeCell ref="AC65:AU65"/>
    <mergeCell ref="S67:AB67"/>
    <mergeCell ref="S68:AB68"/>
    <mergeCell ref="S69:AB69"/>
    <mergeCell ref="S70:AB70"/>
    <mergeCell ref="S71:AB71"/>
    <mergeCell ref="E51:K51"/>
    <mergeCell ref="E52:K52"/>
    <mergeCell ref="E62:K62"/>
    <mergeCell ref="E64:K64"/>
    <mergeCell ref="E65:K65"/>
    <mergeCell ref="E67:K67"/>
    <mergeCell ref="AC67:AU67"/>
    <mergeCell ref="AC68:AU68"/>
    <mergeCell ref="AC69:AU69"/>
    <mergeCell ref="AC70:AU70"/>
    <mergeCell ref="AC71:AU71"/>
    <mergeCell ref="E68:K68"/>
    <mergeCell ref="E69:K69"/>
    <mergeCell ref="E53:K53"/>
    <mergeCell ref="L53:R53"/>
    <mergeCell ref="S53:AB53"/>
    <mergeCell ref="AC53:AU53"/>
    <mergeCell ref="E22:K22"/>
    <mergeCell ref="C22:D22"/>
    <mergeCell ref="S22:Y22"/>
    <mergeCell ref="Z22:AP22"/>
    <mergeCell ref="O23:R23"/>
    <mergeCell ref="C29:D29"/>
    <mergeCell ref="C28:D28"/>
    <mergeCell ref="O22:R22"/>
    <mergeCell ref="L22:N22"/>
    <mergeCell ref="S24:Y24"/>
    <mergeCell ref="S25:Y27"/>
    <mergeCell ref="S23:Y23"/>
    <mergeCell ref="Z29:AP29"/>
    <mergeCell ref="Z25:AP27"/>
    <mergeCell ref="Z23:AP23"/>
    <mergeCell ref="Z24:AP24"/>
    <mergeCell ref="Z28:AP28"/>
    <mergeCell ref="L24:N24"/>
    <mergeCell ref="L25:N27"/>
    <mergeCell ref="L28:N28"/>
    <mergeCell ref="L29:N29"/>
    <mergeCell ref="AQ22:BJ22"/>
    <mergeCell ref="L34:N34"/>
    <mergeCell ref="O34:R34"/>
    <mergeCell ref="Z34:AP34"/>
    <mergeCell ref="AQ24:BJ24"/>
    <mergeCell ref="AQ23:BJ23"/>
    <mergeCell ref="AQ25:BJ27"/>
    <mergeCell ref="AQ28:BJ28"/>
    <mergeCell ref="AQ29:BJ29"/>
    <mergeCell ref="S34:Y34"/>
    <mergeCell ref="S64:AB64"/>
    <mergeCell ref="E70:K70"/>
    <mergeCell ref="E71:K71"/>
    <mergeCell ref="L50:R50"/>
    <mergeCell ref="L51:R51"/>
    <mergeCell ref="L52:R52"/>
    <mergeCell ref="L62:R62"/>
    <mergeCell ref="L64:R64"/>
    <mergeCell ref="L65:R65"/>
    <mergeCell ref="L67:R67"/>
    <mergeCell ref="L68:R68"/>
    <mergeCell ref="E50:K50"/>
    <mergeCell ref="E54:K54"/>
    <mergeCell ref="L54:R54"/>
    <mergeCell ref="S54:AB54"/>
    <mergeCell ref="S65:AB65"/>
    <mergeCell ref="E66:K66"/>
    <mergeCell ref="L66:R66"/>
    <mergeCell ref="S66:AB66"/>
    <mergeCell ref="E55:K55"/>
    <mergeCell ref="L55:R55"/>
    <mergeCell ref="S55:AB55"/>
    <mergeCell ref="E61:K61"/>
    <mergeCell ref="L61:R61"/>
    <mergeCell ref="C50:D50"/>
    <mergeCell ref="C51:D51"/>
    <mergeCell ref="Z36:AP36"/>
    <mergeCell ref="AQ38:BJ38"/>
    <mergeCell ref="L38:N38"/>
    <mergeCell ref="O38:R38"/>
    <mergeCell ref="Z38:AP38"/>
    <mergeCell ref="S38:Y38"/>
    <mergeCell ref="O36:R36"/>
    <mergeCell ref="C37:D37"/>
    <mergeCell ref="E37:K37"/>
    <mergeCell ref="L37:N37"/>
    <mergeCell ref="L39:N39"/>
    <mergeCell ref="O37:R37"/>
    <mergeCell ref="S37:Y37"/>
    <mergeCell ref="Z37:AP37"/>
    <mergeCell ref="AQ37:BJ37"/>
    <mergeCell ref="O39:R39"/>
    <mergeCell ref="Z39:AP39"/>
    <mergeCell ref="E38:K38"/>
    <mergeCell ref="C35:D35"/>
    <mergeCell ref="C34:D34"/>
    <mergeCell ref="E34:K34"/>
    <mergeCell ref="L35:N35"/>
    <mergeCell ref="AQ36:BJ36"/>
    <mergeCell ref="O35:R35"/>
    <mergeCell ref="Z35:AP35"/>
    <mergeCell ref="L36:N36"/>
    <mergeCell ref="C36:D36"/>
    <mergeCell ref="C38:D38"/>
    <mergeCell ref="S35:Y35"/>
    <mergeCell ref="AG17:AP17"/>
    <mergeCell ref="AQ17:BJ17"/>
    <mergeCell ref="E18:AF18"/>
    <mergeCell ref="S36:Y36"/>
    <mergeCell ref="AQ18:BJ18"/>
    <mergeCell ref="E23:K23"/>
    <mergeCell ref="E24:K24"/>
    <mergeCell ref="C25:D27"/>
    <mergeCell ref="E25:K27"/>
    <mergeCell ref="C23:D23"/>
    <mergeCell ref="E28:K28"/>
    <mergeCell ref="E29:K29"/>
    <mergeCell ref="O24:R24"/>
    <mergeCell ref="O28:R28"/>
    <mergeCell ref="O29:R29"/>
    <mergeCell ref="O25:R27"/>
    <mergeCell ref="L23:N23"/>
    <mergeCell ref="AQ35:BJ35"/>
    <mergeCell ref="AQ34:BJ34"/>
    <mergeCell ref="S28:Y28"/>
    <mergeCell ref="S29:Y29"/>
    <mergeCell ref="E35:K35"/>
    <mergeCell ref="E36:K36"/>
    <mergeCell ref="C24:D24"/>
    <mergeCell ref="AG18:AP1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7:D17"/>
    <mergeCell ref="C18:D18"/>
    <mergeCell ref="E17:AF17"/>
    <mergeCell ref="C63:D63"/>
    <mergeCell ref="E63:K63"/>
    <mergeCell ref="L63:R63"/>
    <mergeCell ref="S63:AB63"/>
    <mergeCell ref="AC63:AU63"/>
    <mergeCell ref="L44:N44"/>
    <mergeCell ref="O44:R44"/>
    <mergeCell ref="Z44:AP44"/>
    <mergeCell ref="L43:N43"/>
    <mergeCell ref="O43:R43"/>
    <mergeCell ref="Z43:AP43"/>
    <mergeCell ref="AC50:AU50"/>
    <mergeCell ref="AC51:AU51"/>
    <mergeCell ref="AC52:AU52"/>
    <mergeCell ref="AC62:AU62"/>
    <mergeCell ref="C53:D53"/>
    <mergeCell ref="C54:D54"/>
    <mergeCell ref="C62:D62"/>
    <mergeCell ref="AQ43:BJ43"/>
    <mergeCell ref="C44:D44"/>
    <mergeCell ref="E44:K44"/>
    <mergeCell ref="S52:AB52"/>
    <mergeCell ref="S62:AB62"/>
    <mergeCell ref="C60:D60"/>
    <mergeCell ref="L72:R72"/>
    <mergeCell ref="S72:AB72"/>
    <mergeCell ref="AC72:AU72"/>
    <mergeCell ref="C73:D73"/>
    <mergeCell ref="E73:K73"/>
    <mergeCell ref="L73:R73"/>
    <mergeCell ref="S73:AB73"/>
    <mergeCell ref="AC73:AU73"/>
    <mergeCell ref="L69:R69"/>
    <mergeCell ref="L70:R70"/>
    <mergeCell ref="L71:R71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6:D76"/>
    <mergeCell ref="E76:K76"/>
    <mergeCell ref="L76:R76"/>
    <mergeCell ref="S76:AB76"/>
    <mergeCell ref="AC76:AU76"/>
    <mergeCell ref="L77:R77"/>
    <mergeCell ref="S77:AB77"/>
    <mergeCell ref="AC77:AU77"/>
    <mergeCell ref="C78:D78"/>
    <mergeCell ref="E78:K78"/>
    <mergeCell ref="L78:R78"/>
    <mergeCell ref="S78:AB78"/>
    <mergeCell ref="AC78:AU78"/>
    <mergeCell ref="C79:D79"/>
    <mergeCell ref="E79:K79"/>
    <mergeCell ref="L79:R79"/>
    <mergeCell ref="S79:AB79"/>
    <mergeCell ref="AC79:AU79"/>
    <mergeCell ref="C77:D77"/>
    <mergeCell ref="E77:K77"/>
    <mergeCell ref="E80:K80"/>
    <mergeCell ref="L80:R80"/>
    <mergeCell ref="S80:AB80"/>
    <mergeCell ref="AC80:AU80"/>
    <mergeCell ref="C81:D81"/>
    <mergeCell ref="E81:K81"/>
    <mergeCell ref="L81:R81"/>
    <mergeCell ref="S81:AB81"/>
    <mergeCell ref="AC81:AU81"/>
    <mergeCell ref="C80:D80"/>
    <mergeCell ref="C84:D84"/>
    <mergeCell ref="E84:K84"/>
    <mergeCell ref="L84:R84"/>
    <mergeCell ref="S84:AB84"/>
    <mergeCell ref="AC84:AU84"/>
    <mergeCell ref="C85:D85"/>
    <mergeCell ref="E85:K85"/>
    <mergeCell ref="L85:R85"/>
    <mergeCell ref="S85:AB85"/>
    <mergeCell ref="AC85:AU85"/>
    <mergeCell ref="C82:D82"/>
    <mergeCell ref="E82:K82"/>
    <mergeCell ref="L82:R82"/>
    <mergeCell ref="S82:AB82"/>
    <mergeCell ref="AC82:AU82"/>
    <mergeCell ref="C83:D83"/>
    <mergeCell ref="E83:K83"/>
    <mergeCell ref="L83:R83"/>
    <mergeCell ref="S83:AB83"/>
    <mergeCell ref="AC83:AU83"/>
    <mergeCell ref="C99:D99"/>
    <mergeCell ref="E99:K99"/>
    <mergeCell ref="L99:R99"/>
    <mergeCell ref="S99:AB99"/>
    <mergeCell ref="AC99:AU99"/>
    <mergeCell ref="C96:D96"/>
    <mergeCell ref="E96:K96"/>
    <mergeCell ref="L96:R96"/>
    <mergeCell ref="S96:AB96"/>
    <mergeCell ref="AC96:AU96"/>
    <mergeCell ref="C97:D97"/>
    <mergeCell ref="E97:K97"/>
    <mergeCell ref="L97:R97"/>
    <mergeCell ref="S97:AB97"/>
    <mergeCell ref="AC97:AU97"/>
    <mergeCell ref="C98:D98"/>
    <mergeCell ref="E98:K98"/>
    <mergeCell ref="L98:R98"/>
    <mergeCell ref="S98:AB98"/>
    <mergeCell ref="AC98:AU98"/>
    <mergeCell ref="C93:D93"/>
    <mergeCell ref="E93:K93"/>
    <mergeCell ref="L93:R93"/>
    <mergeCell ref="S93:AB93"/>
    <mergeCell ref="AC93:AU93"/>
    <mergeCell ref="C95:D95"/>
    <mergeCell ref="E95:K95"/>
    <mergeCell ref="L95:R95"/>
    <mergeCell ref="S95:AB95"/>
    <mergeCell ref="AC95:AU95"/>
    <mergeCell ref="C94:D94"/>
    <mergeCell ref="E94:K94"/>
    <mergeCell ref="L94:R94"/>
    <mergeCell ref="S94:AB94"/>
    <mergeCell ref="AC94:AU94"/>
    <mergeCell ref="E89:K89"/>
    <mergeCell ref="L89:R89"/>
    <mergeCell ref="S89:AB89"/>
    <mergeCell ref="AC89:AU89"/>
    <mergeCell ref="E90:K90"/>
    <mergeCell ref="L90:R90"/>
    <mergeCell ref="S90:AB90"/>
    <mergeCell ref="AC90:AU90"/>
    <mergeCell ref="E91:K91"/>
    <mergeCell ref="L91:R91"/>
    <mergeCell ref="S91:AB91"/>
    <mergeCell ref="AC91:AU91"/>
    <mergeCell ref="AC66:AU66"/>
    <mergeCell ref="C86:D86"/>
    <mergeCell ref="E86:K86"/>
    <mergeCell ref="L86:R86"/>
    <mergeCell ref="S86:AB86"/>
    <mergeCell ref="AC86:AU86"/>
    <mergeCell ref="C92:D92"/>
    <mergeCell ref="E92:K92"/>
    <mergeCell ref="L92:R92"/>
    <mergeCell ref="S92:AB92"/>
    <mergeCell ref="AC92:AU92"/>
    <mergeCell ref="C89:D89"/>
    <mergeCell ref="C90:D90"/>
    <mergeCell ref="C91:D91"/>
    <mergeCell ref="C87:D87"/>
    <mergeCell ref="E87:K87"/>
    <mergeCell ref="L87:R87"/>
    <mergeCell ref="S87:AB87"/>
    <mergeCell ref="AC87:AU87"/>
    <mergeCell ref="C88:D88"/>
    <mergeCell ref="E88:K88"/>
    <mergeCell ref="L88:R88"/>
    <mergeCell ref="S88:AB88"/>
    <mergeCell ref="AC88:AU88"/>
    <mergeCell ref="C100:D100"/>
    <mergeCell ref="E100:K100"/>
    <mergeCell ref="L100:R100"/>
    <mergeCell ref="S100:AB100"/>
    <mergeCell ref="AC100:AU100"/>
    <mergeCell ref="C101:D101"/>
    <mergeCell ref="E101:K101"/>
    <mergeCell ref="L101:R101"/>
    <mergeCell ref="S101:AB101"/>
    <mergeCell ref="AC101:AU101"/>
  </mergeCells>
  <pageMargins left="0.7" right="0.7" top="0.75" bottom="0.75" header="0.3" footer="0.3"/>
  <pageSetup scale="2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1" t="s">
        <v>144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145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148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48" t="str">
        <f>IF(表紙!K2="","",表紙!K2)</f>
        <v>POSサーバー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4" t="str">
        <f>IF(表紙!AP2="","",表紙!AP2)</f>
        <v>AnhDD</v>
      </c>
      <c r="AQ2" s="85"/>
      <c r="AR2" s="85"/>
      <c r="AS2" s="86"/>
      <c r="AT2" s="112">
        <f>IF(表紙!AT2="","",表紙!AT2)</f>
        <v>45467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45467</v>
      </c>
      <c r="BD2" s="113"/>
      <c r="BE2" s="113"/>
      <c r="BF2" s="113"/>
      <c r="BG2" s="114"/>
      <c r="BH2" s="84">
        <f>IF(表紙!BH2="","",表紙!BH2)</f>
        <v>0.1</v>
      </c>
      <c r="BI2" s="85"/>
      <c r="BJ2" s="85"/>
      <c r="BK2" s="86"/>
    </row>
    <row r="3" spans="1:63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3"/>
      <c r="K3" s="151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>
      <c r="A4" s="141" t="s">
        <v>153</v>
      </c>
      <c r="B4" s="142"/>
      <c r="C4" s="142"/>
      <c r="D4" s="142"/>
      <c r="E4" s="142"/>
      <c r="F4" s="142"/>
      <c r="G4" s="143"/>
      <c r="H4" s="144" t="str">
        <f>IF(表紙!H4="","",表紙!H4)</f>
        <v>AP6601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41" t="s">
        <v>154</v>
      </c>
      <c r="V4" s="142"/>
      <c r="W4" s="142"/>
      <c r="X4" s="142"/>
      <c r="Y4" s="143"/>
      <c r="Z4" s="144" t="str">
        <f>IF(表紙!Z4="","",表紙!Z4)</f>
        <v>API設計書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1" customFormat="1" ht="15" customHeight="1">
      <c r="B7" s="40" t="s">
        <v>22</v>
      </c>
      <c r="C7" s="21"/>
      <c r="D7" s="21"/>
      <c r="E7" s="21"/>
      <c r="F7" s="21"/>
      <c r="G7" s="21"/>
      <c r="AI7" s="79"/>
      <c r="BJ7" s="79"/>
      <c r="BK7" s="70"/>
    </row>
    <row r="8" spans="1:63" s="71" customFormat="1" ht="15" customHeight="1">
      <c r="B8" s="40"/>
      <c r="C8" s="21"/>
      <c r="D8" s="21"/>
      <c r="E8" s="21"/>
      <c r="F8" s="21"/>
      <c r="G8" s="21"/>
      <c r="AI8" s="79"/>
      <c r="BJ8" s="79"/>
      <c r="BK8" s="70"/>
    </row>
    <row r="9" spans="1:63" s="71" customFormat="1" ht="15" customHeight="1">
      <c r="B9" s="40"/>
      <c r="C9" s="21"/>
      <c r="D9" s="21"/>
      <c r="E9" s="21"/>
      <c r="F9" s="21"/>
      <c r="G9" s="21"/>
      <c r="AI9" s="79"/>
      <c r="BJ9" s="79"/>
      <c r="BK9" s="70"/>
    </row>
    <row r="10" spans="1:63" s="71" customFormat="1" ht="15" customHeight="1">
      <c r="B10" s="40"/>
      <c r="C10" s="21"/>
      <c r="D10" s="21"/>
      <c r="E10" s="21"/>
      <c r="F10" s="21"/>
      <c r="G10" s="21"/>
      <c r="AI10" s="79"/>
      <c r="BJ10" s="79"/>
      <c r="BK10" s="70"/>
    </row>
    <row r="11" spans="1:63" s="71" customFormat="1" ht="15" customHeight="1">
      <c r="B11" s="80"/>
      <c r="AI11" s="79"/>
      <c r="BJ11" s="79"/>
      <c r="BK11" s="70"/>
    </row>
    <row r="12" spans="1:63" s="71" customFormat="1" ht="15" customHeight="1">
      <c r="B12" s="80"/>
      <c r="AI12" s="79"/>
      <c r="BJ12" s="79"/>
      <c r="BK12" s="70"/>
    </row>
    <row r="13" spans="1:63" s="71" customFormat="1" ht="15" customHeight="1">
      <c r="B13" s="80"/>
      <c r="AI13" s="79"/>
      <c r="BJ13" s="79"/>
      <c r="BK13" s="70"/>
    </row>
    <row r="14" spans="1:63" s="71" customFormat="1" ht="15" customHeight="1">
      <c r="B14" s="80"/>
      <c r="AI14" s="79"/>
      <c r="BJ14" s="79"/>
      <c r="BK14" s="70"/>
    </row>
    <row r="15" spans="1:63" s="71" customFormat="1" ht="15" customHeight="1">
      <c r="B15" s="80"/>
      <c r="AI15" s="79"/>
      <c r="BJ15" s="79"/>
      <c r="BK15" s="70"/>
    </row>
    <row r="16" spans="1:63" s="71" customFormat="1" ht="15" customHeight="1">
      <c r="B16" s="80"/>
      <c r="AI16" s="79"/>
      <c r="BJ16" s="79"/>
      <c r="BK16" s="70"/>
    </row>
    <row r="17" spans="2:63" s="71" customFormat="1" ht="15" customHeight="1">
      <c r="B17" s="80"/>
      <c r="AI17" s="79"/>
      <c r="BJ17" s="79"/>
      <c r="BK17" s="70"/>
    </row>
    <row r="18" spans="2:63" s="71" customFormat="1" ht="15" customHeight="1">
      <c r="B18" s="80"/>
      <c r="AI18" s="79"/>
      <c r="BJ18" s="79"/>
      <c r="BK18" s="70"/>
    </row>
    <row r="19" spans="2:63" s="71" customFormat="1" ht="15" customHeight="1">
      <c r="B19" s="80"/>
      <c r="AI19" s="79"/>
      <c r="BJ19" s="79"/>
      <c r="BK19" s="70"/>
    </row>
    <row r="20" spans="2:63" s="71" customFormat="1" ht="15" customHeight="1">
      <c r="B20" s="80"/>
      <c r="AI20" s="79"/>
      <c r="BJ20" s="79"/>
      <c r="BK20" s="70"/>
    </row>
    <row r="21" spans="2:63" s="71" customFormat="1" ht="15" customHeight="1">
      <c r="B21" s="80"/>
      <c r="AI21" s="79"/>
      <c r="BJ21" s="79"/>
      <c r="BK21" s="70"/>
    </row>
    <row r="22" spans="2:63" s="71" customFormat="1" ht="15" customHeight="1">
      <c r="B22" s="80"/>
      <c r="AI22" s="79"/>
      <c r="BJ22" s="79"/>
      <c r="BK22" s="70"/>
    </row>
    <row r="23" spans="2:63" s="71" customFormat="1" ht="15" customHeight="1">
      <c r="B23" s="80"/>
      <c r="AI23" s="79"/>
      <c r="BJ23" s="79"/>
      <c r="BK23" s="70"/>
    </row>
    <row r="24" spans="2:63" s="71" customFormat="1" ht="15" customHeight="1">
      <c r="B24" s="80"/>
      <c r="AI24" s="79"/>
      <c r="BJ24" s="79"/>
      <c r="BK24" s="70"/>
    </row>
    <row r="25" spans="2:63" s="71" customFormat="1" ht="15" customHeight="1">
      <c r="B25" s="80"/>
      <c r="AI25" s="79"/>
      <c r="BJ25" s="79"/>
      <c r="BK25" s="70"/>
    </row>
    <row r="26" spans="2:63" s="71" customFormat="1" ht="15" customHeight="1">
      <c r="B26" s="80"/>
      <c r="AI26" s="79"/>
      <c r="BJ26" s="79"/>
      <c r="BK26" s="70"/>
    </row>
    <row r="27" spans="2:63" s="71" customFormat="1" ht="15" customHeight="1">
      <c r="B27" s="80"/>
      <c r="AI27" s="79"/>
      <c r="BJ27" s="79"/>
      <c r="BK27" s="70"/>
    </row>
    <row r="28" spans="2:63" s="71" customFormat="1" ht="15" customHeight="1">
      <c r="B28" s="80"/>
      <c r="AI28" s="79"/>
      <c r="BJ28" s="79"/>
      <c r="BK28" s="70"/>
    </row>
    <row r="29" spans="2:63" s="71" customFormat="1" ht="15" customHeight="1">
      <c r="B29" s="80"/>
      <c r="AI29" s="79"/>
      <c r="BJ29" s="79"/>
      <c r="BK29" s="70"/>
    </row>
    <row r="30" spans="2:63" s="71" customFormat="1" ht="15" customHeight="1">
      <c r="B30" s="80"/>
      <c r="AI30" s="79"/>
      <c r="BJ30" s="79"/>
      <c r="BK30" s="70"/>
    </row>
    <row r="31" spans="2:63" s="71" customFormat="1" ht="15" customHeight="1">
      <c r="B31" s="80"/>
      <c r="AI31" s="79"/>
      <c r="BJ31" s="79"/>
      <c r="BK31" s="70"/>
    </row>
    <row r="32" spans="2:63" s="71" customFormat="1" ht="15" customHeight="1">
      <c r="B32" s="80"/>
      <c r="AI32" s="79"/>
      <c r="BJ32" s="79"/>
      <c r="BK32" s="70"/>
    </row>
    <row r="33" spans="2:63" s="71" customFormat="1" ht="15" customHeight="1">
      <c r="B33" s="80"/>
      <c r="AI33" s="79"/>
      <c r="BJ33" s="79"/>
      <c r="BK33" s="70"/>
    </row>
    <row r="34" spans="2:63" s="71" customFormat="1" ht="15" customHeight="1">
      <c r="B34" s="80"/>
      <c r="AI34" s="79"/>
      <c r="BJ34" s="79"/>
      <c r="BK34" s="70"/>
    </row>
    <row r="35" spans="2:63" s="71" customFormat="1" ht="15" customHeight="1">
      <c r="B35" s="80"/>
      <c r="AI35" s="79"/>
      <c r="BJ35" s="79"/>
      <c r="BK35" s="70"/>
    </row>
    <row r="36" spans="2:63" s="71" customFormat="1" ht="15" customHeight="1">
      <c r="B36" s="80"/>
      <c r="AI36" s="79"/>
      <c r="BJ36" s="79"/>
      <c r="BK36" s="70"/>
    </row>
    <row r="37" spans="2:63" s="71" customFormat="1" ht="15" customHeight="1">
      <c r="B37" s="80"/>
      <c r="AI37" s="79"/>
      <c r="BJ37" s="79"/>
      <c r="BK37" s="70"/>
    </row>
    <row r="38" spans="2:63" s="71" customFormat="1" ht="15" customHeight="1">
      <c r="B38" s="80"/>
      <c r="AI38" s="79"/>
      <c r="BJ38" s="79"/>
      <c r="BK38" s="70"/>
    </row>
    <row r="39" spans="2:63" s="71" customFormat="1" ht="15" customHeight="1">
      <c r="B39" s="80"/>
      <c r="AI39" s="79"/>
      <c r="BJ39" s="79"/>
      <c r="BK39" s="70"/>
    </row>
    <row r="40" spans="2:63" s="71" customFormat="1" ht="15" customHeight="1">
      <c r="B40" s="80"/>
      <c r="AI40" s="79"/>
      <c r="BJ40" s="79"/>
      <c r="BK40" s="70"/>
    </row>
    <row r="41" spans="2:63" s="71" customFormat="1" ht="15" customHeight="1">
      <c r="B41" s="80"/>
      <c r="AI41" s="79"/>
      <c r="BJ41" s="79"/>
      <c r="BK41" s="70"/>
    </row>
    <row r="42" spans="2:63" s="71" customFormat="1" ht="15" customHeight="1">
      <c r="B42" s="80"/>
      <c r="AI42" s="79"/>
      <c r="BJ42" s="79"/>
      <c r="BK42" s="70"/>
    </row>
    <row r="43" spans="2:63" s="71" customFormat="1" ht="15" customHeight="1">
      <c r="B43" s="80"/>
      <c r="AI43" s="79"/>
      <c r="BJ43" s="79"/>
      <c r="BK43" s="70"/>
    </row>
    <row r="44" spans="2:63" s="71" customFormat="1" ht="15" customHeight="1">
      <c r="B44" s="80"/>
      <c r="AI44" s="79"/>
      <c r="BJ44" s="79"/>
      <c r="BK44" s="70"/>
    </row>
    <row r="45" spans="2:63" s="71" customFormat="1" ht="15" customHeight="1">
      <c r="B45" s="80"/>
      <c r="AI45" s="79"/>
      <c r="BJ45" s="79"/>
      <c r="BK45" s="70"/>
    </row>
    <row r="46" spans="2:63" s="71" customFormat="1" ht="15" customHeight="1">
      <c r="B46" s="80"/>
      <c r="AI46" s="79"/>
      <c r="BJ46" s="79"/>
      <c r="BK46" s="70"/>
    </row>
    <row r="47" spans="2:63" s="71" customFormat="1" ht="15" customHeight="1">
      <c r="B47" s="80"/>
      <c r="AI47" s="79"/>
      <c r="BJ47" s="79"/>
      <c r="BK47" s="70"/>
    </row>
    <row r="48" spans="2:63" s="71" customFormat="1" ht="15" customHeight="1">
      <c r="B48" s="80"/>
      <c r="AI48" s="79"/>
      <c r="BJ48" s="79"/>
      <c r="BK48" s="70"/>
    </row>
    <row r="49" spans="1:63" s="71" customFormat="1" ht="15" customHeight="1">
      <c r="B49" s="80"/>
      <c r="AI49" s="79"/>
      <c r="BJ49" s="79"/>
      <c r="BK49" s="70"/>
    </row>
    <row r="50" spans="1:63" s="71" customFormat="1" ht="15" customHeight="1">
      <c r="B50" s="80"/>
      <c r="AI50" s="79"/>
      <c r="BJ50" s="79"/>
      <c r="BK50" s="70"/>
    </row>
    <row r="51" spans="1:63" s="71" customFormat="1" ht="15" customHeight="1">
      <c r="B51" s="80"/>
      <c r="AI51" s="79"/>
      <c r="BJ51" s="79"/>
      <c r="BK51" s="70"/>
    </row>
    <row r="52" spans="1:63" s="71" customFormat="1" ht="15" customHeight="1">
      <c r="B52" s="80"/>
      <c r="AI52" s="79"/>
      <c r="BJ52" s="79"/>
      <c r="BK52" s="70"/>
    </row>
    <row r="53" spans="1:63" s="71" customFormat="1" ht="15" customHeight="1">
      <c r="B53" s="80"/>
      <c r="AI53" s="79"/>
      <c r="BJ53" s="79"/>
      <c r="BK53" s="70"/>
    </row>
    <row r="54" spans="1:63" s="71" customFormat="1" ht="15" customHeight="1">
      <c r="B54" s="80"/>
      <c r="AI54" s="79"/>
      <c r="BJ54" s="79"/>
      <c r="BK54" s="70"/>
    </row>
    <row r="55" spans="1:63" s="71" customFormat="1" ht="15" customHeight="1">
      <c r="B55" s="80"/>
      <c r="AI55" s="79"/>
      <c r="BJ55" s="79"/>
      <c r="BK55" s="70"/>
    </row>
    <row r="56" spans="1:63" s="71" customFormat="1" ht="15" customHeight="1">
      <c r="B56" s="80"/>
      <c r="AI56" s="79"/>
      <c r="BJ56" s="79"/>
      <c r="BK56" s="70"/>
    </row>
    <row r="57" spans="1:63" s="71" customFormat="1" ht="15" customHeight="1">
      <c r="B57" s="80"/>
      <c r="AI57" s="79"/>
      <c r="BJ57" s="79"/>
      <c r="BK57" s="70"/>
    </row>
    <row r="58" spans="1:63" s="71" customFormat="1" ht="15" customHeight="1">
      <c r="B58" s="80"/>
      <c r="AI58" s="79"/>
      <c r="BJ58" s="79"/>
      <c r="BK58" s="70"/>
    </row>
    <row r="59" spans="1:63" s="71" customFormat="1" ht="15" customHeight="1">
      <c r="B59" s="80"/>
      <c r="AI59" s="79"/>
      <c r="BJ59" s="79"/>
      <c r="BK59" s="70"/>
    </row>
    <row r="60" spans="1:63" ht="15" customHeight="1">
      <c r="B60" s="9"/>
      <c r="AI60" s="11"/>
      <c r="BJ60" s="11"/>
      <c r="BK60" s="5"/>
    </row>
    <row r="61" spans="1:63" ht="15" customHeight="1">
      <c r="A61" s="3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2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12"/>
      <c r="BK61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topLeftCell="A10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1" t="s">
        <v>144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145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81" t="s">
        <v>147</v>
      </c>
      <c r="AQ1" s="82"/>
      <c r="AR1" s="82"/>
      <c r="AS1" s="83"/>
      <c r="AT1" s="81" t="s">
        <v>148</v>
      </c>
      <c r="AU1" s="82"/>
      <c r="AV1" s="82"/>
      <c r="AW1" s="82"/>
      <c r="AX1" s="83"/>
      <c r="AY1" s="81" t="s">
        <v>149</v>
      </c>
      <c r="AZ1" s="82"/>
      <c r="BA1" s="82"/>
      <c r="BB1" s="83"/>
      <c r="BC1" s="81" t="s">
        <v>150</v>
      </c>
      <c r="BD1" s="82"/>
      <c r="BE1" s="82"/>
      <c r="BF1" s="82"/>
      <c r="BG1" s="83"/>
      <c r="BH1" s="81" t="s">
        <v>151</v>
      </c>
      <c r="BI1" s="82"/>
      <c r="BJ1" s="82"/>
      <c r="BK1" s="83"/>
    </row>
    <row r="2" spans="1:63" ht="15" customHeight="1">
      <c r="A2" s="148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48" t="str">
        <f>IF(表紙!K2="","",表紙!K2)</f>
        <v>POSサーバー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4" t="str">
        <f>IF(表紙!AP2="","",表紙!AP2)</f>
        <v>AnhDD</v>
      </c>
      <c r="AQ2" s="85"/>
      <c r="AR2" s="85"/>
      <c r="AS2" s="86"/>
      <c r="AT2" s="112">
        <f>IF(表紙!AT2="","",表紙!AT2)</f>
        <v>45467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45467</v>
      </c>
      <c r="BD2" s="113"/>
      <c r="BE2" s="113"/>
      <c r="BF2" s="113"/>
      <c r="BG2" s="114"/>
      <c r="BH2" s="84">
        <f>IF(表紙!BH2="","",表紙!BH2)</f>
        <v>0.1</v>
      </c>
      <c r="BI2" s="85"/>
      <c r="BJ2" s="85"/>
      <c r="BK2" s="86"/>
    </row>
    <row r="3" spans="1:63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3"/>
      <c r="K3" s="151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>
      <c r="A4" s="141" t="s">
        <v>153</v>
      </c>
      <c r="B4" s="142"/>
      <c r="C4" s="142"/>
      <c r="D4" s="142"/>
      <c r="E4" s="142"/>
      <c r="F4" s="142"/>
      <c r="G4" s="143"/>
      <c r="H4" s="144" t="str">
        <f>IF(表紙!H4="","",表紙!H4)</f>
        <v>AP6601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41" t="s">
        <v>154</v>
      </c>
      <c r="V4" s="142"/>
      <c r="W4" s="142"/>
      <c r="X4" s="142"/>
      <c r="Y4" s="143"/>
      <c r="Z4" s="144" t="str">
        <f>IF(表紙!Z4="","",表紙!Z4)</f>
        <v>API設計書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テンプレート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1" customFormat="1" ht="15" customHeight="1">
      <c r="BK7" s="70"/>
    </row>
    <row r="8" spans="1:63" s="71" customFormat="1" ht="15" customHeight="1">
      <c r="BK8" s="70"/>
    </row>
    <row r="9" spans="1:63" s="71" customFormat="1" ht="15" customHeight="1">
      <c r="BK9" s="70"/>
    </row>
    <row r="10" spans="1:63" s="71" customFormat="1" ht="15" customHeight="1">
      <c r="BK10" s="70"/>
    </row>
    <row r="11" spans="1:63" s="71" customFormat="1" ht="15" customHeight="1">
      <c r="BK11" s="70"/>
    </row>
    <row r="12" spans="1:63" s="71" customFormat="1" ht="15" customHeight="1">
      <c r="BK12" s="70"/>
    </row>
    <row r="13" spans="1:63" s="71" customFormat="1" ht="15" customHeight="1">
      <c r="BK13" s="70"/>
    </row>
    <row r="14" spans="1:63" s="71" customFormat="1" ht="15" customHeight="1">
      <c r="BK14" s="70"/>
    </row>
    <row r="15" spans="1:63" s="71" customFormat="1" ht="15" customHeight="1">
      <c r="BK15" s="70"/>
    </row>
    <row r="16" spans="1:63" s="71" customFormat="1" ht="15" customHeight="1">
      <c r="BK16" s="70"/>
    </row>
    <row r="17" spans="63:63" s="71" customFormat="1" ht="15" customHeight="1">
      <c r="BK17" s="70"/>
    </row>
    <row r="18" spans="63:63" s="71" customFormat="1" ht="15" customHeight="1">
      <c r="BK18" s="70"/>
    </row>
    <row r="19" spans="63:63" s="71" customFormat="1" ht="15" customHeight="1">
      <c r="BK19" s="70"/>
    </row>
    <row r="20" spans="63:63" s="71" customFormat="1" ht="15" customHeight="1">
      <c r="BK20" s="70"/>
    </row>
    <row r="21" spans="63:63" s="71" customFormat="1" ht="15" customHeight="1">
      <c r="BK21" s="70"/>
    </row>
    <row r="22" spans="63:63" s="71" customFormat="1" ht="15" customHeight="1">
      <c r="BK22" s="70"/>
    </row>
    <row r="23" spans="63:63" s="71" customFormat="1" ht="15" customHeight="1">
      <c r="BK23" s="70"/>
    </row>
    <row r="24" spans="63:63" s="71" customFormat="1" ht="15" customHeight="1">
      <c r="BK24" s="70"/>
    </row>
    <row r="25" spans="63:63" s="71" customFormat="1" ht="15" customHeight="1">
      <c r="BK25" s="70"/>
    </row>
    <row r="26" spans="63:63" s="71" customFormat="1" ht="15" customHeight="1">
      <c r="BK26" s="70"/>
    </row>
    <row r="27" spans="63:63" s="71" customFormat="1" ht="15" customHeight="1">
      <c r="BK27" s="70"/>
    </row>
    <row r="28" spans="63:63" s="71" customFormat="1" ht="15" customHeight="1">
      <c r="BK28" s="70"/>
    </row>
    <row r="29" spans="63:63" s="71" customFormat="1" ht="15" customHeight="1">
      <c r="BK29" s="70"/>
    </row>
    <row r="30" spans="63:63" s="71" customFormat="1" ht="15" customHeight="1">
      <c r="BK30" s="70"/>
    </row>
    <row r="31" spans="63:63" s="71" customFormat="1" ht="15" customHeight="1">
      <c r="BK31" s="70"/>
    </row>
    <row r="32" spans="63:63" s="71" customFormat="1" ht="15" customHeight="1">
      <c r="BK32" s="70"/>
    </row>
    <row r="33" spans="63:63" s="71" customFormat="1" ht="15" customHeight="1">
      <c r="BK33" s="70"/>
    </row>
    <row r="34" spans="63:63" s="71" customFormat="1" ht="15" customHeight="1">
      <c r="BK34" s="70"/>
    </row>
    <row r="35" spans="63:63" s="71" customFormat="1" ht="15" customHeight="1">
      <c r="BK35" s="70"/>
    </row>
    <row r="36" spans="63:63" s="71" customFormat="1" ht="15" customHeight="1">
      <c r="BK36" s="70"/>
    </row>
    <row r="37" spans="63:63" s="71" customFormat="1" ht="15" customHeight="1">
      <c r="BK37" s="70"/>
    </row>
    <row r="38" spans="63:63" s="71" customFormat="1" ht="15" customHeight="1">
      <c r="BK38" s="70"/>
    </row>
    <row r="39" spans="63:63" s="71" customFormat="1" ht="15" customHeight="1">
      <c r="BK39" s="70"/>
    </row>
    <row r="40" spans="63:63" s="71" customFormat="1" ht="15" customHeight="1">
      <c r="BK40" s="70"/>
    </row>
    <row r="41" spans="63:63" s="71" customFormat="1" ht="15" customHeight="1">
      <c r="BK41" s="70"/>
    </row>
    <row r="42" spans="63:63" s="71" customFormat="1" ht="15" customHeight="1">
      <c r="BK42" s="70"/>
    </row>
    <row r="43" spans="63:63" s="71" customFormat="1" ht="15" customHeight="1">
      <c r="BK43" s="70"/>
    </row>
    <row r="44" spans="63:63" s="71" customFormat="1" ht="15" customHeight="1">
      <c r="BK44" s="70"/>
    </row>
    <row r="45" spans="63:63" s="71" customFormat="1" ht="15" customHeight="1">
      <c r="BK45" s="70"/>
    </row>
    <row r="46" spans="63:63" s="71" customFormat="1" ht="15" customHeight="1">
      <c r="BK46" s="70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2DF4C-C132-41D0-AFC6-92A9AA05D2B2}"/>
</file>

<file path=customXml/itemProps2.xml><?xml version="1.0" encoding="utf-8"?>
<ds:datastoreItem xmlns:ds="http://schemas.openxmlformats.org/officeDocument/2006/customXml" ds:itemID="{F0CD8BDB-9702-4A57-8A55-26C92C435419}"/>
</file>

<file path=customXml/itemProps3.xml><?xml version="1.0" encoding="utf-8"?>
<ds:datastoreItem xmlns:ds="http://schemas.openxmlformats.org/officeDocument/2006/customXml" ds:itemID="{0CFFE7D9-E426-42E1-9486-6282903464B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AP6601</vt:lpstr>
      <vt:lpstr>処理フロー</vt:lpstr>
      <vt:lpstr>テンプレート</vt:lpstr>
      <vt:lpstr>'AP6601'!Print_Area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