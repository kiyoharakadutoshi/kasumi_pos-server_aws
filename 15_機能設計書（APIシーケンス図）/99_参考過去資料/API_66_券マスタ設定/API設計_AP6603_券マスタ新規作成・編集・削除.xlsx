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66_券マスタ設定\"/>
    </mc:Choice>
  </mc:AlternateContent>
  <xr:revisionPtr revIDLastSave="0" documentId="13_ncr:1_{84FD5656-135D-4201-B121-9F2F3F4C870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6603" sheetId="8" r:id="rId4"/>
    <sheet name="処理フロー" sheetId="9" r:id="rId5"/>
    <sheet name="テンプレート" sheetId="7" r:id="rId6"/>
  </sheets>
  <definedNames>
    <definedName name="_xlnm.Print_Area" localSheetId="3">'AP6603'!$A$1:$BK$132</definedName>
    <definedName name="_xlnm.Print_Area" localSheetId="5">テンプレート!$A$1:$BK$54</definedName>
    <definedName name="_xlnm.Print_Area" localSheetId="4">処理フロー!$A$1:$BK$142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P2" i="7" l="1"/>
  <c r="BH2" i="7"/>
  <c r="AY2" i="8"/>
  <c r="BC2" i="9"/>
  <c r="AY2" i="3"/>
  <c r="AY2" i="10"/>
  <c r="BC2" i="8"/>
  <c r="AP2" i="9"/>
  <c r="BH2" i="9"/>
  <c r="AT2" i="7"/>
  <c r="BC2" i="3"/>
  <c r="BC2" i="10"/>
  <c r="AP2" i="8"/>
  <c r="BH2" i="8"/>
  <c r="AY2" i="7"/>
  <c r="AP2" i="3"/>
  <c r="BH2" i="3"/>
</calcChain>
</file>

<file path=xl/sharedStrings.xml><?xml version="1.0" encoding="utf-8"?>
<sst xmlns="http://schemas.openxmlformats.org/spreadsheetml/2006/main" count="443" uniqueCount="213">
  <si>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</si>
  <si>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</si>
  <si>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</si>
  <si>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</si>
  <si>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</si>
  <si>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</si>
  <si>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</si>
  <si>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</si>
  <si>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</si>
  <si>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</si>
  <si>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</si>
  <si>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</si>
  <si>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</si>
  <si>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</si>
  <si>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</si>
  <si>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</si>
  <si>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</si>
  <si>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</si>
  <si>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</si>
  <si>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</si>
  <si>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</si>
  <si>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</si>
  <si>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</si>
  <si>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</si>
  <si>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</si>
  <si>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</si>
  <si>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</si>
  <si>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Bigint</t>
    </r>
  </si>
  <si>
    <t>]</t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</si>
  <si>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</si>
  <si>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券マスタを新規作成、編集、削除する。</t>
    </r>
  </si>
  <si>
    <r>
      <rPr>
        <sz val="11"/>
        <color rgb="FF000000"/>
        <rFont val="Meiryo UI"/>
        <family val="2"/>
      </rPr>
      <t>券種類: 1 - 支払券、2 - 値引券</t>
    </r>
  </si>
  <si>
    <r>
      <rPr>
        <sz val="11"/>
        <color rgb="FF000000"/>
        <rFont val="Meiryo UI"/>
        <family val="2"/>
      </rPr>
      <t>payment_tickets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</si>
  <si>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</si>
  <si>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amount</t>
    </r>
  </si>
  <si>
    <r>
      <rPr>
        <sz val="11"/>
        <color rgb="FF000000"/>
        <rFont val="Meiryo UI"/>
        <family val="2"/>
      </rPr>
      <t>can_return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</si>
  <si>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</si>
  <si>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返品使用許可</t>
    </r>
  </si>
  <si>
    <r>
      <rPr>
        <sz val="11"/>
        <color rgb="FF000000"/>
        <rFont val="Meiryo UI"/>
        <family val="2"/>
      </rPr>
      <t>一部返品交換許可</t>
    </r>
  </si>
  <si>
    <r>
      <rPr>
        <sz val="11"/>
        <color rgb="FF000000"/>
        <rFont val="Meiryo UI"/>
        <family val="2"/>
      </rPr>
      <t>can_change</t>
    </r>
  </si>
  <si>
    <r>
      <rPr>
        <sz val="11"/>
        <color rgb="FF000000"/>
        <rFont val="Meiryo UI"/>
        <family val="2"/>
      </rPr>
      <t>釣り許可</t>
    </r>
  </si>
  <si>
    <r>
      <rPr>
        <sz val="11"/>
        <color rgb="FF000000"/>
        <rFont val="Meiryo UI"/>
        <family val="2"/>
      </rPr>
      <t>can_just_fix</t>
    </r>
  </si>
  <si>
    <r>
      <rPr>
        <sz val="11"/>
        <color rgb="FF000000"/>
        <rFont val="Meiryo UI"/>
        <family val="2"/>
      </rPr>
      <t>丁度預かり許可</t>
    </r>
  </si>
  <si>
    <r>
      <rPr>
        <sz val="11"/>
        <color rgb="FF000000"/>
        <rFont val="Meiryo UI"/>
        <family val="2"/>
      </rPr>
      <t>is_drawer</t>
    </r>
  </si>
  <si>
    <r>
      <rPr>
        <sz val="11"/>
        <color rgb="FF000000"/>
        <rFont val="Meiryo UI"/>
        <family val="2"/>
      </rPr>
      <t>ドロア開閉制御</t>
    </r>
  </si>
  <si>
    <r>
      <rPr>
        <sz val="11"/>
        <color rgb="FF000000"/>
        <rFont val="Meiryo UI"/>
        <family val="2"/>
      </rPr>
      <t>can_cancel</t>
    </r>
  </si>
  <si>
    <r>
      <rPr>
        <sz val="11"/>
        <color rgb="FF000000"/>
        <rFont val="Meiryo UI"/>
        <family val="2"/>
      </rPr>
      <t>支払明細クリア</t>
    </r>
  </si>
  <si>
    <r>
      <rPr>
        <sz val="11"/>
        <color rgb="FF000000"/>
        <rFont val="Meiryo UI"/>
        <family val="2"/>
      </rPr>
      <t>can_void</t>
    </r>
  </si>
  <si>
    <r>
      <rPr>
        <sz val="11"/>
        <color rgb="FF000000"/>
        <rFont val="Meiryo UI"/>
        <family val="2"/>
      </rPr>
      <t>レジマイナス許可</t>
    </r>
  </si>
  <si>
    <r>
      <rPr>
        <sz val="11"/>
        <color rgb="FF000000"/>
        <rFont val="Meiryo UI"/>
        <family val="2"/>
      </rPr>
      <t>can_over_deposit</t>
    </r>
  </si>
  <si>
    <r>
      <rPr>
        <sz val="11"/>
        <color rgb="FF000000"/>
        <rFont val="Meiryo UI"/>
        <family val="2"/>
      </rPr>
      <t>預かりオーバー許可</t>
    </r>
  </si>
  <si>
    <r>
      <rPr>
        <sz val="11"/>
        <color rgb="FF000000"/>
        <rFont val="Meiryo UI"/>
        <family val="2"/>
      </rPr>
      <t>can_change_cout</t>
    </r>
  </si>
  <si>
    <r>
      <rPr>
        <sz val="11"/>
        <color rgb="FF000000"/>
        <rFont val="Meiryo UI"/>
        <family val="2"/>
      </rPr>
      <t>枚数変更許可</t>
    </r>
  </si>
  <si>
    <r>
      <rPr>
        <sz val="11"/>
        <color rgb="FF000000"/>
        <rFont val="Meiryo UI"/>
        <family val="2"/>
      </rPr>
      <t>is_point_prohibition</t>
    </r>
  </si>
  <si>
    <r>
      <rPr>
        <sz val="11"/>
        <color rgb="FF000000"/>
        <rFont val="Meiryo UI"/>
        <family val="2"/>
      </rPr>
      <t>ポイント除外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</si>
  <si>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</si>
  <si>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coupons</t>
    </r>
  </si>
  <si>
    <r>
      <rPr>
        <sz val="11"/>
        <color rgb="FF000000"/>
        <rFont val="Meiryo UI"/>
        <family val="2"/>
      </rPr>
      <t>discount_type</t>
    </r>
  </si>
  <si>
    <r>
      <rPr>
        <sz val="11"/>
        <color rgb="FF000000"/>
        <rFont val="Meiryo UI"/>
        <family val="2"/>
      </rPr>
      <t>category</t>
    </r>
  </si>
  <si>
    <r>
      <rPr>
        <sz val="11"/>
        <color rgb="FF000000"/>
        <rFont val="Meiryo UI"/>
        <family val="2"/>
      </rPr>
      <t>TicketMaster.RECORD_ID</t>
    </r>
  </si>
  <si>
    <r>
      <rPr>
        <sz val="11"/>
        <color rgb="FF000000"/>
        <rFont val="Meiryo UI"/>
        <family val="2"/>
      </rPr>
      <t>TicketMaster.StoreCode</t>
    </r>
  </si>
  <si>
    <r>
      <rPr>
        <sz val="11"/>
        <color rgb="FF000000"/>
        <rFont val="Meiryo UI"/>
        <family val="2"/>
      </rPr>
      <t>TicketMaster.Amount</t>
    </r>
  </si>
  <si>
    <r>
      <rPr>
        <sz val="11"/>
        <color rgb="FF000000"/>
        <rFont val="Meiryo UI"/>
        <family val="2"/>
      </rPr>
      <t>TicketMaster.Category</t>
    </r>
  </si>
  <si>
    <r>
      <rPr>
        <sz val="11"/>
        <color rgb="FF000000"/>
        <rFont val="Meiryo UI"/>
        <family val="2"/>
      </rPr>
      <t>master_ticketオブジェクトから継承オブジェクト</t>
    </r>
  </si>
  <si>
    <r>
      <rPr>
        <sz val="11"/>
        <color rgb="FF000000"/>
        <rFont val="Meiryo UI"/>
        <family val="2"/>
      </rPr>
      <t>・メッセージ = MSG_VAL_001で入力必須のバリデーションチェック。その中 ：{0}がamountである。</t>
    </r>
  </si>
  <si>
    <r>
      <rPr>
        <sz val="11"/>
        <color rgb="FF000000"/>
        <rFont val="Meiryo UI"/>
        <family val="2"/>
      </rPr>
      <t>apply_type</t>
    </r>
  </si>
  <si>
    <r>
      <rPr>
        <sz val="11"/>
        <color rgb="FF000000"/>
        <rFont val="Meiryo UI"/>
        <family val="2"/>
      </rPr>
      <t>Date time</t>
    </r>
  </si>
  <si>
    <r>
      <rPr>
        <sz val="11"/>
        <color rgb="FF000000"/>
        <rFont val="Meiryo UI"/>
        <family val="2"/>
      </rPr>
      <t>can_exchange</t>
    </r>
  </si>
  <si>
    <r>
      <rPr>
        <sz val="11"/>
        <color rgb="FF000000"/>
        <rFont val="Meiryo UI"/>
        <family val="2"/>
      </rPr>
      <t>is_monday</t>
    </r>
  </si>
  <si>
    <r>
      <rPr>
        <sz val="11"/>
        <color rgb="FF000000"/>
        <rFont val="Meiryo UI"/>
        <family val="2"/>
      </rPr>
      <t>is_wednesday</t>
    </r>
  </si>
  <si>
    <r>
      <rPr>
        <sz val="11"/>
        <color rgb="FF000000"/>
        <rFont val="Meiryo UI"/>
        <family val="2"/>
      </rPr>
      <t>is_thursday</t>
    </r>
  </si>
  <si>
    <r>
      <rPr>
        <sz val="11"/>
        <color rgb="FF000000"/>
        <rFont val="Meiryo UI"/>
        <family val="2"/>
      </rPr>
      <t>is_sunday</t>
    </r>
  </si>
  <si>
    <r>
      <rPr>
        <sz val="11"/>
        <color rgb="FF000000"/>
        <rFont val="Meiryo UI"/>
        <family val="2"/>
      </rPr>
      <t>is_saturday</t>
    </r>
  </si>
  <si>
    <r>
      <rPr>
        <sz val="11"/>
        <color rgb="FF000000"/>
        <rFont val="Meiryo UI"/>
        <family val="2"/>
      </rPr>
      <t>is_friday</t>
    </r>
  </si>
  <si>
    <r>
      <rPr>
        <sz val="11"/>
        <color rgb="FF000000"/>
        <rFont val="Meiryo UI"/>
        <family val="2"/>
      </rPr>
      <t>is_tuesday</t>
    </r>
  </si>
  <si>
    <r>
      <rPr>
        <sz val="11"/>
        <color rgb="FF000000"/>
        <rFont val="Meiryo UI"/>
        <family val="2"/>
      </rPr>
      <t>"payment_tickets": [</t>
    </r>
  </si>
  <si>
    <r>
      <rPr>
        <sz val="11"/>
        <color rgb="FF000000"/>
        <rFont val="Meiryo UI"/>
        <family val="2"/>
      </rPr>
      <t>"can_exchange": fasle,</t>
    </r>
  </si>
  <si>
    <r>
      <rPr>
        <sz val="11"/>
        <color rgb="FF000000"/>
        <rFont val="Meiryo UI"/>
        <family val="2"/>
      </rPr>
      <t>"can_change": fasle,</t>
    </r>
  </si>
  <si>
    <r>
      <rPr>
        <sz val="11"/>
        <color rgb="FF000000"/>
        <rFont val="Meiryo UI"/>
        <family val="2"/>
      </rPr>
      <t>"can_just_fix": fasle,</t>
    </r>
  </si>
  <si>
    <r>
      <rPr>
        <sz val="11"/>
        <color rgb="FF000000"/>
        <rFont val="Meiryo UI"/>
        <family val="2"/>
      </rPr>
      <t>"is_drawer": fasle,</t>
    </r>
  </si>
  <si>
    <r>
      <rPr>
        <sz val="11"/>
        <color rgb="FF000000"/>
        <rFont val="Meiryo UI"/>
        <family val="2"/>
      </rPr>
      <t>"can_cancel": fasle,</t>
    </r>
  </si>
  <si>
    <r>
      <rPr>
        <sz val="11"/>
        <color rgb="FF000000"/>
        <rFont val="Meiryo UI"/>
        <family val="2"/>
      </rPr>
      <t>"can_void": fasle,</t>
    </r>
  </si>
  <si>
    <r>
      <rPr>
        <sz val="11"/>
        <color rgb="FF000000"/>
        <rFont val="Meiryo UI"/>
        <family val="2"/>
      </rPr>
      <t>"can_over_deposit": fasle,</t>
    </r>
  </si>
  <si>
    <r>
      <rPr>
        <sz val="11"/>
        <color rgb="FF000000"/>
        <rFont val="Meiryo UI"/>
        <family val="2"/>
      </rPr>
      <t>"can_change_cout": fasle,</t>
    </r>
  </si>
  <si>
    <r>
      <rPr>
        <sz val="11"/>
        <color rgb="FF000000"/>
        <rFont val="Meiryo UI"/>
        <family val="2"/>
      </rPr>
      <t>"is_point_prohibition": fasle</t>
    </r>
  </si>
  <si>
    <r>
      <rPr>
        <sz val="11"/>
        <color rgb="FF000000"/>
        <rFont val="Meiryo UI"/>
        <family val="2"/>
      </rPr>
      <t>"coupons": [</t>
    </r>
  </si>
  <si>
    <r>
      <rPr>
        <sz val="11"/>
        <color rgb="FF000000"/>
        <rFont val="Meiryo UI"/>
        <family val="2"/>
      </rPr>
      <t>"can_return": true,</t>
    </r>
  </si>
  <si>
    <r>
      <rPr>
        <sz val="11"/>
        <color rgb="FF000000"/>
        <rFont val="Meiryo UI"/>
        <family val="2"/>
      </rPr>
      <t>"is_monday": true,</t>
    </r>
  </si>
  <si>
    <r>
      <rPr>
        <sz val="11"/>
        <color rgb="FF000000"/>
        <rFont val="Meiryo UI"/>
        <family val="2"/>
      </rPr>
      <t>"is_tuesday": fasle,</t>
    </r>
  </si>
  <si>
    <r>
      <rPr>
        <sz val="11"/>
        <color rgb="FF000000"/>
        <rFont val="Meiryo UI"/>
        <family val="2"/>
      </rPr>
      <t>"is_wednesday": fasle,</t>
    </r>
  </si>
  <si>
    <r>
      <rPr>
        <sz val="11"/>
        <color rgb="FF000000"/>
        <rFont val="Meiryo UI"/>
        <family val="2"/>
      </rPr>
      <t>"is_thursday": fasle,</t>
    </r>
  </si>
  <si>
    <r>
      <rPr>
        <sz val="11"/>
        <color rgb="FF000000"/>
        <rFont val="Meiryo UI"/>
        <family val="2"/>
      </rPr>
      <t>"is_friday": fasle,</t>
    </r>
  </si>
  <si>
    <r>
      <rPr>
        <sz val="11"/>
        <color rgb="FF000000"/>
        <rFont val="Meiryo UI"/>
        <family val="2"/>
      </rPr>
      <t>"is_saturday": fasle,</t>
    </r>
  </si>
  <si>
    <r>
      <rPr>
        <sz val="11"/>
        <color rgb="FF000000"/>
        <rFont val="Meiryo UI"/>
        <family val="2"/>
      </rPr>
      <t>"is_sunday": fasle</t>
    </r>
  </si>
  <si>
    <r>
      <rPr>
        <sz val="11"/>
        <color rgb="FF000000"/>
        <rFont val="Meiryo UI"/>
        <family val="2"/>
      </rPr>
      <t>値引券の場合</t>
    </r>
  </si>
  <si>
    <r>
      <rPr>
        <sz val="11"/>
        <color rgb="FF000000"/>
        <rFont val="Meiryo UI"/>
        <family val="2"/>
      </rPr>
      <t>支払券の場合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</si>
  <si>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</si>
  <si>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registered_stores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</si>
  <si>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</si>
  <si>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券マスタの作成・更新・削除時に適用される店舗一覧</t>
    </r>
  </si>
  <si>
    <r>
      <rPr>
        <sz val="11"/>
        <color rgb="FF000000"/>
        <rFont val="Meiryo UI"/>
        <family val="2"/>
      </rPr>
      <t>date_categorize_type_code</t>
    </r>
  </si>
  <si>
    <r>
      <rPr>
        <sz val="11"/>
        <color rgb="FF000000"/>
        <rFont val="Meiryo UI"/>
        <family val="2"/>
      </rPr>
      <t>TicketMaster.DiscountType</t>
    </r>
  </si>
  <si>
    <r>
      <rPr>
        <sz val="11"/>
        <color rgb="FF000000"/>
        <rFont val="Meiryo UI"/>
        <family val="2"/>
      </rPr>
      <t>TicketMaster.OperationType</t>
    </r>
  </si>
  <si>
    <r>
      <rPr>
        <sz val="11"/>
        <color rgb="FF000000"/>
        <rFont val="Meiryo UI"/>
        <family val="2"/>
      </rPr>
      <t>TicketMaster.ExtraInfo.PaymentTicket.CanReturn</t>
    </r>
  </si>
  <si>
    <r>
      <rPr>
        <sz val="11"/>
        <color rgb="FF000000"/>
        <rFont val="Meiryo UI"/>
        <family val="2"/>
      </rPr>
      <t>TicketMaster.ExtraInfo.PaymentTicket.CanExchange</t>
    </r>
  </si>
  <si>
    <r>
      <rPr>
        <sz val="11"/>
        <color rgb="FF000000"/>
        <rFont val="Meiryo UI"/>
        <family val="2"/>
      </rPr>
      <t>TicketMaster.ExtraInfo.PaymentTicket.CanChange</t>
    </r>
  </si>
  <si>
    <r>
      <rPr>
        <sz val="11"/>
        <color rgb="FF000000"/>
        <rFont val="Meiryo UI"/>
        <family val="2"/>
      </rPr>
      <t>TicketMaster.ExtraInfo.PaymentTicket.CanJustFix</t>
    </r>
  </si>
  <si>
    <r>
      <rPr>
        <sz val="11"/>
        <color rgb="FF000000"/>
        <rFont val="Meiryo UI"/>
        <family val="2"/>
      </rPr>
      <t>TicketMaster.ExtraInfo.PaymentTicket.IsDrawer</t>
    </r>
  </si>
  <si>
    <r>
      <rPr>
        <sz val="11"/>
        <color rgb="FF000000"/>
        <rFont val="Meiryo UI"/>
        <family val="2"/>
      </rPr>
      <t>TicketMaster.ExtraInfo.PaymentTicket.CanCancel</t>
    </r>
  </si>
  <si>
    <r>
      <rPr>
        <sz val="11"/>
        <color rgb="FF000000"/>
        <rFont val="Meiryo UI"/>
        <family val="2"/>
      </rPr>
      <t>TicketMaster.ExtraInfo.PaymentTicket.CanVoid</t>
    </r>
  </si>
  <si>
    <r>
      <rPr>
        <sz val="11"/>
        <color rgb="FF000000"/>
        <rFont val="Meiryo UI"/>
        <family val="2"/>
      </rPr>
      <t>TicketMaster.ExtraInfo.PaymentTicket.CanOverDeposit</t>
    </r>
  </si>
  <si>
    <r>
      <rPr>
        <sz val="11"/>
        <color rgb="FF000000"/>
        <rFont val="Meiryo UI"/>
        <family val="2"/>
      </rPr>
      <t>TicketMaster.ExtraInfo.PaymentTicket.CanChangeCout</t>
    </r>
  </si>
  <si>
    <r>
      <rPr>
        <sz val="11"/>
        <color rgb="FF000000"/>
        <rFont val="Meiryo UI"/>
        <family val="2"/>
      </rPr>
      <t>TicketMaster.ExtraInfo.PaymentTicket.IsPointProhibition</t>
    </r>
  </si>
  <si>
    <r>
      <rPr>
        <sz val="11"/>
        <color rgb="FF000000"/>
        <rFont val="Meiryo UI"/>
        <family val="2"/>
      </rPr>
      <t>TicketMaster.ExtraInfo.Coupon.ApplyType</t>
    </r>
  </si>
  <si>
    <r>
      <rPr>
        <sz val="11"/>
        <color rgb="FF000000"/>
        <rFont val="Meiryo UI"/>
        <family val="2"/>
      </rPr>
      <t>TicketMaster.ExtraInfo.Coupon.StartDateTime</t>
    </r>
  </si>
  <si>
    <r>
      <rPr>
        <sz val="11"/>
        <color rgb="FF000000"/>
        <rFont val="Meiryo UI"/>
        <family val="2"/>
      </rPr>
      <t>TicketMaster.ExtraInfo.Coupon.EndDateTime</t>
    </r>
  </si>
  <si>
    <r>
      <rPr>
        <sz val="11"/>
        <color rgb="FF000000"/>
        <rFont val="Meiryo UI"/>
        <family val="2"/>
      </rPr>
      <t>TicketMaster.ExtraInfo.Coupon.DateCategorizeType_code</t>
    </r>
  </si>
  <si>
    <r>
      <rPr>
        <sz val="11"/>
        <color rgb="FF000000"/>
        <rFont val="Meiryo UI"/>
        <family val="2"/>
      </rPr>
      <t>TicketMaster.ExtraInfo.Coupon.IsMonday</t>
    </r>
  </si>
  <si>
    <r>
      <rPr>
        <sz val="11"/>
        <color rgb="FF000000"/>
        <rFont val="Meiryo UI"/>
        <family val="2"/>
      </rPr>
      <t>TicketMaster.ExtraInfo.Coupon.IsTuesday</t>
    </r>
  </si>
  <si>
    <r>
      <rPr>
        <sz val="11"/>
        <color rgb="FF000000"/>
        <rFont val="Meiryo UI"/>
        <family val="2"/>
      </rPr>
      <t>TicketMaster.ExtraInfo.Coupon.IsWednesday</t>
    </r>
  </si>
  <si>
    <r>
      <rPr>
        <sz val="11"/>
        <color rgb="FF000000"/>
        <rFont val="Meiryo UI"/>
        <family val="2"/>
      </rPr>
      <t>TicketMaster.ExtraInfo.Coupon.IsThursday</t>
    </r>
  </si>
  <si>
    <r>
      <rPr>
        <sz val="11"/>
        <color rgb="FF000000"/>
        <rFont val="Meiryo UI"/>
        <family val="2"/>
      </rPr>
      <t>TicketMaster.ExtraInfo.Coupon.IsFriday</t>
    </r>
  </si>
  <si>
    <r>
      <rPr>
        <sz val="11"/>
        <color rgb="FF000000"/>
        <rFont val="Meiryo UI"/>
        <family val="2"/>
      </rPr>
      <t>TicketMaster.ExtraInfo.Coupon.IsSaturday</t>
    </r>
  </si>
  <si>
    <r>
      <rPr>
        <sz val="11"/>
        <color rgb="FF000000"/>
        <rFont val="Meiryo UI"/>
        <family val="2"/>
      </rPr>
      <t>TicketMaster.ExtraInfo.Coupon.IsSunday</t>
    </r>
  </si>
  <si>
    <r>
      <rPr>
        <sz val="11"/>
        <color rgb="FF000000"/>
        <rFont val="Meiryo UI"/>
        <family val="2"/>
      </rPr>
      <t>StoreMaster.Code</t>
    </r>
  </si>
  <si>
    <t>],</t>
  </si>
  <si>
    <r>
      <rPr>
        <sz val="11"/>
        <color rgb="FF000000"/>
        <rFont val="Meiryo UI"/>
        <family val="2"/>
      </rPr>
      <t>api/v1/ticket/maintenance_ticket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</si>
  <si>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</si>
  <si>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AP6603</t>
    </r>
  </si>
  <si>
    <r>
      <rPr>
        <sz val="11"/>
        <color rgb="FF000000"/>
        <rFont val="Meiryo UI"/>
        <family val="2"/>
      </rPr>
      <t>TicketMaster.Code</t>
    </r>
  </si>
  <si>
    <r>
      <rPr>
        <sz val="11"/>
        <color rgb="FF000000"/>
        <rFont val="Meiryo UI"/>
        <family val="2"/>
      </rPr>
      <t>TicketMaster.Name</t>
    </r>
  </si>
  <si>
    <r>
      <rPr>
        <sz val="11"/>
        <color rgb="FF000000"/>
        <rFont val="Meiryo UI"/>
        <family val="2"/>
      </rPr>
      <t>・メッセージ = MSG_VAL_001で入力必須のバリデーションチェック。その中 ：{0}がnameである。</t>
    </r>
  </si>
  <si>
    <r>
      <rPr>
        <sz val="11"/>
        <color rgb="FF000000"/>
        <rFont val="Meiryo UI"/>
        <family val="2"/>
      </rPr>
      <t>"name": "10% discount",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</si>
  <si>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</si>
  <si>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</si>
  <si>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</si>
  <si>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</si>
  <si>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</si>
  <si>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</si>
  <si>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</si>
  <si>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</si>
  <si>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</si>
  <si>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</si>
  <si>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</si>
  <si>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</si>
  <si>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</si>
  <si>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</si>
  <si>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</si>
  <si>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</si>
  <si>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</si>
  <si>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</si>
  <si>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</si>
  <si>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</si>
  <si>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</si>
  <si>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</si>
  <si>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</si>
  <si>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</si>
  <si>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</si>
  <si>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</si>
  <si>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</si>
  <si>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</si>
  <si>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フォーマット: 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</si>
  <si>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</si>
  <si>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</si>
  <si>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</si>
  <si>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</si>
  <si>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</si>
  <si>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typeなし、1-&gt;2の範囲以外のバリデーションチェック： 表示エラーメッセージ： MSG_VAL_019（{0}：type）
+type = 1の場合、支払券にはデータありが必須で、値引券 = null
+ type = 2の場合、値引券にはデータありが必須で、支払券 = null</t>
  </si>
  <si>
    <t>支払券データ一覧</t>
  </si>
  <si>
    <r>
      <rPr>
        <sz val="11"/>
        <color rgb="FF000000"/>
        <rFont val="Meiryo UI"/>
        <family val="2"/>
      </rPr>
      <t xml:space="preserve">    record_id</t>
    </r>
  </si>
  <si>
    <r>
      <rPr>
        <sz val="11"/>
        <color rgb="FF000000"/>
        <rFont val="Meiryo UI"/>
        <family val="2"/>
      </rPr>
      <t>・新規作成の場合、record_idをnullとして渡す。
・編集、削除の場合、該当するrecord_idを渡す。</t>
    </r>
  </si>
  <si>
    <r>
      <rPr>
        <sz val="11"/>
        <color rgb="FF000000"/>
        <rFont val="Meiryo UI"/>
        <family val="2"/>
      </rPr>
      <t xml:space="preserve">    store_code</t>
    </r>
  </si>
  <si>
    <t>・メッセージ = MSG_VAL_001で入力必須のバリデーションチェック。その中 ：{0}がstore_codeである。</t>
  </si>
  <si>
    <r>
      <rPr>
        <sz val="11"/>
        <color rgb="FF000000"/>
        <rFont val="Meiryo UI"/>
        <family val="2"/>
      </rPr>
      <t xml:space="preserve">    code</t>
    </r>
  </si>
  <si>
    <r>
      <rPr>
        <sz val="11"/>
        <color rgb="FF000000"/>
        <rFont val="Meiryo UI"/>
        <family val="2"/>
      </rPr>
      <t>・メッセージ = MSG_VAL_001で入力必須のバリデーションチェック。その中 ：{0}がcodeである。
・メッセージ = MSG_VAL_006でバリデーションチェック：数字。その中： {0} がcodeである。
・メッセージ = MSG_VAL_004でバリデーションチェック： 最大15文字。その中：{0}がcodeであり、{1}が{9}である。</t>
    </r>
  </si>
  <si>
    <r>
      <rPr>
        <sz val="11"/>
        <color rgb="FF000000"/>
        <rFont val="Meiryo UI"/>
        <family val="2"/>
      </rPr>
      <t xml:space="preserve">    name</t>
    </r>
  </si>
  <si>
    <r>
      <rPr>
        <sz val="11"/>
        <color rgb="FF000000"/>
        <rFont val="Meiryo UI"/>
        <family val="2"/>
      </rPr>
      <t>・メッセージ = MSG_VAL_0014で選択必須のバリデーションチェック。その中：{0}がamountである。
カテゴリ値：
・type = 1 -&gt; 15:売掛金, 16:カード, 17:カスミイオン, 18:古紙リサイクル券, 19:"商品券, 20:ギフト券, 21:エコスタンプ, 22:クーポン券, 23:株主優待券, 24:カスミ商品券.
・type = 2:
     + discount_type = 1 -&gt; 1:単品値引1、1のみ選択可能。タッチすると、以下の一覧を表示する。 1:単品値引1, 2:単品値引2, 3:単品値引3, 4:単品値引4, 5:単品値引5, 11:小計値引1, 13:小計値引3, 14:小計値引4, 15:小計値引5
     + discount_type = 2-&gt; 6:単品割引1, 7:単品割引2, 8:単品割引3, 9:単品割引4, 10:単品割引, 16:小計割引1, 17:小計割引2, 18:小計割引3, 19:小計割引4, 20:小計割引5</t>
    </r>
  </si>
  <si>
    <r>
      <rPr>
        <sz val="11"/>
        <color rgb="FF000000"/>
        <rFont val="Meiryo UI"/>
        <family val="2"/>
      </rPr>
      <t>discount_typeなし、1-&gt;2の範囲以外のバリデーションチェック: 表示エラーメッセージ：MSG_VAL_019（{0}：discount_type）
1: amountが割引の場合（amount 1-&gt; 99） 
   ・メッセージ = MSG_VAL_001でamountが0以外のバリデーションチェック。その中：{0}がamountある。
   ・メッセージ = MSG_VAL_004でamount &lt;= 99のバリデーションチェック。その中：{0}がamountであり、{1}が99.99である。
2: amountが値引の場合
   ・メッセージ = MSG_VAL_004でamountのバリデーションチェック： 最大6文字。その中：{0}がamountであり、{1}が{6}である。</t>
    </r>
  </si>
  <si>
    <r>
      <rPr>
        <sz val="11"/>
        <color rgb="FF000000"/>
        <rFont val="Meiryo UI"/>
        <family val="2"/>
      </rPr>
      <t xml:space="preserve">    operation_type</t>
    </r>
  </si>
  <si>
    <r>
      <rPr>
        <sz val="11"/>
        <color rgb="FF000000"/>
        <rFont val="Meiryo UI"/>
        <family val="2"/>
      </rPr>
      <t xml:space="preserve">・渡さない場合又は1 -&gt; 3範囲外で渡した場合、MSG_VAL_019（{0}：operation_type）を表示する。
・新規作成の場合、operation_typeを「1」として渡す。
・編集の場合、operation_type を「2」として渡す。
・削除の場合、operation_typeを「3」として渡す。
</t>
    </r>
  </si>
  <si>
    <t>値引券一覧</t>
  </si>
  <si>
    <r>
      <rPr>
        <sz val="11"/>
        <color rgb="FF000000"/>
        <rFont val="Meiryo UI"/>
        <family val="2"/>
      </rPr>
      <t>・apply_type = 1の場合：期間
・apply_type = 2の場合：タイムサービス
値が満たされていない場合、デフォルトセット</t>
    </r>
  </si>
  <si>
    <r>
      <rPr>
        <sz val="11"/>
        <color rgb="FF000000"/>
        <rFont val="Meiryo UI"/>
        <family val="2"/>
      </rPr>
      <t>形式：yyyy/MM/dd HH:mm
・メッセージ=MSG_VAL_001で入力なしのバリデーションチェック。その中：{0}がtime_service_startである。
・apply_type = 1の場合、バリデーションチェック（正しい形式：yyyy/MM/dd 00:00）
・apply_type = 2の場合、バリデーションチェック（正しい形式：yyyy/MM/dd HH:mm）</t>
    </r>
  </si>
  <si>
    <r>
      <rPr>
        <sz val="11"/>
        <color rgb="FF000000"/>
        <rFont val="Meiryo UI"/>
        <family val="2"/>
      </rPr>
      <t>・date_categorize_type_code = 1: 毎日
・date_categorize_type_code = 2: 曜日指定</t>
    </r>
  </si>
  <si>
    <t>※サンプル</t>
  </si>
  <si>
    <r>
      <rPr>
        <sz val="11"/>
        <color rgb="FF000000"/>
        <rFont val="Meiryo UI"/>
        <family val="2"/>
      </rPr>
      <t>"type": 1,</t>
    </r>
  </si>
  <si>
    <r>
      <rPr>
        <sz val="11"/>
        <color rgb="FF000000"/>
        <rFont val="Meiryo UI"/>
        <family val="2"/>
      </rPr>
      <t>"type": 2,</t>
    </r>
  </si>
  <si>
    <r>
      <rPr>
        <sz val="11"/>
        <color rgb="FF000000"/>
        <rFont val="Meiryo UI"/>
        <family val="2"/>
      </rPr>
      <t>"record_id": 1,</t>
    </r>
  </si>
  <si>
    <r>
      <rPr>
        <sz val="11"/>
        <color rgb="FF000000"/>
        <rFont val="Meiryo UI"/>
        <family val="2"/>
      </rPr>
      <t>"record_id": 2,</t>
    </r>
  </si>
  <si>
    <r>
      <rPr>
        <sz val="11"/>
        <color rgb="FF000000"/>
        <rFont val="Meiryo UI"/>
        <family val="2"/>
      </rPr>
      <t>"record_id": 3,</t>
    </r>
  </si>
  <si>
    <r>
      <rPr>
        <sz val="11"/>
        <color rgb="FF000000"/>
        <rFont val="Meiryo UI"/>
        <family val="2"/>
      </rPr>
      <t>"store_code": "09176",</t>
    </r>
  </si>
  <si>
    <r>
      <rPr>
        <sz val="11"/>
        <color rgb="FF000000"/>
        <rFont val="Meiryo UI"/>
        <family val="2"/>
      </rPr>
      <t>"code": "0000000223867",</t>
    </r>
  </si>
  <si>
    <r>
      <rPr>
        <sz val="11"/>
        <color rgb="FF000000"/>
        <rFont val="Meiryo UI"/>
        <family val="2"/>
      </rPr>
      <t>"name": "1000 Yen discount",</t>
    </r>
  </si>
  <si>
    <r>
      <rPr>
        <sz val="11"/>
        <color rgb="FF000000"/>
        <rFont val="Meiryo UI"/>
        <family val="2"/>
      </rPr>
      <t>"amount": 1000,</t>
    </r>
  </si>
  <si>
    <r>
      <rPr>
        <sz val="11"/>
        <color rgb="FF000000"/>
        <rFont val="Meiryo UI"/>
        <family val="2"/>
      </rPr>
      <t>"amount": 10,</t>
    </r>
  </si>
  <si>
    <r>
      <rPr>
        <sz val="11"/>
        <color rgb="FF000000"/>
        <rFont val="Meiryo UI"/>
        <family val="2"/>
      </rPr>
      <t>"category": 15,</t>
    </r>
  </si>
  <si>
    <r>
      <rPr>
        <sz val="11"/>
        <color rgb="FF000000"/>
        <rFont val="Meiryo UI"/>
        <family val="2"/>
      </rPr>
      <t>"category": 1,</t>
    </r>
  </si>
  <si>
    <r>
      <rPr>
        <sz val="11"/>
        <color rgb="FF000000"/>
        <rFont val="Meiryo UI"/>
        <family val="2"/>
      </rPr>
      <t>"category": 6,</t>
    </r>
  </si>
  <si>
    <r>
      <rPr>
        <sz val="11"/>
        <color rgb="FF000000"/>
        <rFont val="Meiryo UI"/>
        <family val="2"/>
      </rPr>
      <t>"discount_type: 2,</t>
    </r>
  </si>
  <si>
    <r>
      <rPr>
        <sz val="11"/>
        <color rgb="FF000000"/>
        <rFont val="Meiryo UI"/>
        <family val="2"/>
      </rPr>
      <t>"discount_type: 1,</t>
    </r>
  </si>
  <si>
    <r>
      <rPr>
        <sz val="11"/>
        <color rgb="FF000000"/>
        <rFont val="Meiryo UI"/>
        <family val="2"/>
      </rPr>
      <t>"operation_type": 2</t>
    </r>
  </si>
  <si>
    <r>
      <rPr>
        <sz val="11"/>
        <color rgb="FF000000"/>
        <rFont val="Meiryo UI"/>
        <family val="2"/>
      </rPr>
      <t>"apply_type": 1,</t>
    </r>
  </si>
  <si>
    <r>
      <rPr>
        <sz val="11"/>
        <color rgb="FF000000"/>
        <rFont val="Meiryo UI"/>
        <family val="2"/>
      </rPr>
      <t>"start_date_time": 2024/06/26 00:00,</t>
    </r>
  </si>
  <si>
    <r>
      <rPr>
        <sz val="11"/>
        <color rgb="FF000000"/>
        <rFont val="Meiryo UI"/>
        <family val="2"/>
      </rPr>
      <t>"end_date_time": 2024/07/26 23:59,</t>
    </r>
  </si>
  <si>
    <r>
      <rPr>
        <sz val="11"/>
        <color rgb="FF000000"/>
        <rFont val="Meiryo UI"/>
        <family val="2"/>
      </rPr>
      <t>"date_categorize_type_code": 1</t>
    </r>
  </si>
  <si>
    <r>
      <rPr>
        <sz val="11"/>
        <color rgb="FF000000"/>
        <rFont val="Meiryo UI"/>
        <family val="2"/>
      </rPr>
      <t>"date_categorize_type_code": 2</t>
    </r>
  </si>
  <si>
    <r>
      <rPr>
        <sz val="11"/>
        <color rgb="FF000000"/>
        <rFont val="Meiryo UI"/>
        <family val="2"/>
      </rPr>
      <t>"registered_stores": ["09176", "09156']</t>
    </r>
  </si>
  <si>
    <t>3. レスポンス</t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</si>
  <si>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</si>
  <si>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</si>
  <si>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00"/>
        <rFont val="Meiryo UI"/>
        <family val="2"/>
      </rPr>
      <t>discount_typeなし、1-&gt;2の範囲以外のバリデーションチェック: 表示エラーメッセージ：MSG_VAL_019（{0}：discount_type）
1: amountが割引の場合（amount 1-&gt; 99） 
　・メッセージ=MSG_VAL_001でamountが0以外のバリデーションチェック。その中：{0}がamountある。
　・メッセージ=MSG_VAL_004でamount&lt;=99のバリデーションチェック。その中：{0}がamountであり、{1}が99.99である。
2: amountが値引の場合
・メッセージ=MSG_VAL_004でamountのバリデーションチェック：最大6文字。その中：{0}がamountであり、{1}が{6}である。</t>
    </r>
  </si>
  <si>
    <r>
      <rPr>
        <sz val="11"/>
        <color rgb="FF000000"/>
        <rFont val="Meiryo UI"/>
        <family val="2"/>
      </rPr>
      <t xml:space="preserve">・渡さない場合又は1-&gt;3範囲外で渡した場合、MSG_VAL_019（{0}：operation_type）を表示する。
・新規作成の場合、operation_typeを「1」として渡す。
・編集の場合、operation_type を「2」として渡す。
・削除の場合、operation_typeを「3」として渡す。
</t>
    </r>
  </si>
  <si>
    <r>
      <rPr>
        <sz val="11"/>
        <color rgb="FF000000"/>
        <rFont val="Meiryo UI"/>
        <family val="2"/>
      </rPr>
      <t>形式：yyyy/MM/dd HH:mm
・メッセージ=MSG_VAL_001で入力なしのバリデーションチェック。その中：{0}がtime_service_startである。
・apply_type = 1の場合、バリデーションチェック（正しい形式：yyyy/MM/dd 23:59）
・apply_type = 2の場合、バリデーションチェック（正しい形式：yyyy/MM/dd HH:mm）
・メッセージ=MSG_VAL_004でtime_service_start&lt;time_service_endのバリデーションチェック。その中：{0}がtime_service_startであり、{1}がtime_service_endである。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</si>
</sst>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77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23" xfId="6" applyFont="1" applyBorder="1" applyAlignment="1">
      <alignment vertical="center"/>
    </xf>
    <xf numFmtId="0" fontId="3" fillId="0" borderId="24" xfId="6" applyFont="1" applyBorder="1" applyAlignment="1">
      <alignment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0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quotePrefix="1" applyFont="1" applyAlignment="1">
      <alignment horizontal="left" vertical="top" wrapText="1"/>
    </xf>
    <xf numFmtId="0" fontId="17" fillId="0" borderId="0" xfId="0" applyFont="1" applyAlignment="1">
      <alignment horizontal="left" vertical="center" indent="1"/>
    </xf>
    <xf numFmtId="0" fontId="17" fillId="0" borderId="20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28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31" xfId="0" applyFont="1" applyBorder="1"/>
    <xf numFmtId="0" fontId="17" fillId="0" borderId="32" xfId="0" applyFont="1" applyBorder="1"/>
    <xf numFmtId="0" fontId="17" fillId="0" borderId="33" xfId="0" applyFont="1" applyBorder="1"/>
    <xf numFmtId="0" fontId="13" fillId="4" borderId="0" xfId="0" applyFont="1" applyFill="1"/>
    <xf numFmtId="0" fontId="13" fillId="4" borderId="25" xfId="6" applyFont="1" applyFill="1" applyBorder="1" applyAlignment="1">
      <alignment horizontal="center" vertical="center"/>
    </xf>
    <xf numFmtId="0" fontId="13" fillId="4" borderId="26" xfId="6" applyFont="1" applyFill="1" applyBorder="1" applyAlignment="1">
      <alignment horizontal="center" vertical="center"/>
    </xf>
    <xf numFmtId="0" fontId="13" fillId="4" borderId="27" xfId="6" applyFont="1" applyFill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4" fillId="0" borderId="2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top" wrapText="1"/>
    </xf>
    <xf numFmtId="0" fontId="17" fillId="0" borderId="26" xfId="0" quotePrefix="1" applyFont="1" applyBorder="1" applyAlignment="1">
      <alignment horizontal="left" vertical="top" wrapText="1"/>
    </xf>
    <xf numFmtId="0" fontId="17" fillId="0" borderId="27" xfId="0" quotePrefix="1" applyFont="1" applyBorder="1" applyAlignment="1">
      <alignment horizontal="left" vertical="top" wrapText="1"/>
    </xf>
    <xf numFmtId="0" fontId="17" fillId="0" borderId="25" xfId="0" applyFont="1" applyBorder="1" applyAlignment="1">
      <alignment horizontal="left" vertical="center" wrapText="1" indent="1"/>
    </xf>
    <xf numFmtId="0" fontId="17" fillId="0" borderId="26" xfId="0" applyFont="1" applyBorder="1" applyAlignment="1">
      <alignment horizontal="left" vertical="center" wrapText="1" indent="1"/>
    </xf>
    <xf numFmtId="0" fontId="17" fillId="0" borderId="27" xfId="0" applyFont="1" applyBorder="1" applyAlignment="1">
      <alignment horizontal="left" vertical="center" wrapText="1" inden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26" xfId="0" quotePrefix="1" applyFont="1" applyBorder="1" applyAlignment="1">
      <alignment horizontal="left" vertical="center" wrapText="1"/>
    </xf>
    <xf numFmtId="0" fontId="17" fillId="0" borderId="27" xfId="0" quotePrefix="1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indent="1"/>
    </xf>
    <xf numFmtId="0" fontId="17" fillId="0" borderId="26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4" fillId="0" borderId="25" xfId="0" quotePrefix="1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7" xfId="0" applyFont="1" applyFill="1" applyBorder="1" applyAlignment="1">
      <alignment horizontal="left" vertical="center"/>
    </xf>
    <xf numFmtId="0" fontId="5" fillId="5" borderId="26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7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5" borderId="26" xfId="0" applyFont="1" applyFill="1" applyBorder="1" applyAlignment="1">
      <alignment horizontal="left" vertical="center"/>
    </xf>
    <xf numFmtId="0" fontId="17" fillId="5" borderId="27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4" fillId="5" borderId="26" xfId="0" applyFont="1" applyFill="1" applyBorder="1" applyAlignment="1">
      <alignment horizontal="left" vertical="center"/>
    </xf>
    <xf numFmtId="0" fontId="4" fillId="5" borderId="27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5" borderId="27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3" fillId="0" borderId="26" xfId="0" quotePrefix="1" applyFont="1" applyBorder="1" applyAlignment="1">
      <alignment horizontal="left" vertical="center"/>
    </xf>
    <xf numFmtId="0" fontId="3" fillId="0" borderId="27" xfId="0" quotePrefix="1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127</xdr:row>
      <xdr:rowOff>0</xdr:rowOff>
    </xdr:from>
    <xdr:to>
      <xdr:col>62</xdr:col>
      <xdr:colOff>0</xdr:colOff>
      <xdr:row>132</xdr:row>
      <xdr:rowOff>0</xdr:rowOff>
    </xdr:to>
    <xdr:sp macro="" textlink="" fLocksText="0">
      <xdr:nvSpPr>
        <xdr:cNvPr id="296" name="吹き出し: 線 2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SpPr/>
      </xdr:nvSpPr>
      <xdr:spPr>
        <a:xfrm>
          <a:off x="9334500" y="24555450"/>
          <a:ext cx="7200900" cy="1000125"/>
        </a:xfrm>
        <a:prstGeom prst="borderCallout1">
          <a:avLst>
            <a:gd name="adj1" fmla="val 50907"/>
            <a:gd name="adj2" fmla="val 647"/>
            <a:gd name="adj3" fmla="val 19514"/>
            <a:gd name="adj4" fmla="val -876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13.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・削除成功の場合、以下のステップを実行する。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[9.配列の最後の要素であるかを確認する]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失敗の場合、status_code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122</xdr:row>
      <xdr:rowOff>0</xdr:rowOff>
    </xdr:from>
    <xdr:to>
      <xdr:col>62</xdr:col>
      <xdr:colOff>0</xdr:colOff>
      <xdr:row>124</xdr:row>
      <xdr:rowOff>0</xdr:rowOff>
    </xdr:to>
    <xdr:sp macro="" textlink="" fLocksText="0">
      <xdr:nvSpPr>
        <xdr:cNvPr id="295" name="吹き出し: 線 2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SpPr/>
      </xdr:nvSpPr>
      <xdr:spPr>
        <a:xfrm>
          <a:off x="9334500" y="23555325"/>
          <a:ext cx="7200900" cy="400050"/>
        </a:xfrm>
        <a:prstGeom prst="borderCallout1">
          <a:avLst>
            <a:gd name="adj1" fmla="val 50907"/>
            <a:gd name="adj2" fmla="val 647"/>
            <a:gd name="adj3" fmla="val -44375"/>
            <a:gd name="adj4" fmla="val -8892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12. ステップ11の券マスタレコードを削除する。</a:t>
          </a:r>
        </a:p>
      </xdr:txBody>
    </xdr:sp>
    <xdr:clientData/>
  </xdr:twoCellAnchor>
  <xdr:twoCellAnchor>
    <xdr:from>
      <xdr:col>35</xdr:col>
      <xdr:colOff>0</xdr:colOff>
      <xdr:row>70</xdr:row>
      <xdr:rowOff>0</xdr:rowOff>
    </xdr:from>
    <xdr:to>
      <xdr:col>62</xdr:col>
      <xdr:colOff>0</xdr:colOff>
      <xdr:row>75</xdr:row>
      <xdr:rowOff>0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9334500" y="13449300"/>
          <a:ext cx="7200900" cy="952500"/>
        </a:xfrm>
        <a:prstGeom prst="borderCallout1">
          <a:avLst>
            <a:gd name="adj1" fmla="val 55319"/>
            <a:gd name="adj2" fmla="val 498"/>
            <a:gd name="adj3" fmla="val 48907"/>
            <a:gd name="adj4" fmla="val -838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店舗従業員新規作成・編集・削除の状態確認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成功の場合、以下のステップを実行する。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[9.配列の最後の要素であるかを確認する]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▪失敗の場合、status_code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62</xdr:row>
      <xdr:rowOff>0</xdr:rowOff>
    </xdr:from>
    <xdr:to>
      <xdr:col>62</xdr:col>
      <xdr:colOff>0</xdr:colOff>
      <xdr:row>64</xdr:row>
      <xdr:rowOff>0</xdr:rowOff>
    </xdr:to>
    <xdr:sp macro="" textlink="" fLocksText="0">
      <xdr:nvSpPr>
        <xdr:cNvPr id="189" name="吹き出し: 線 2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9334500" y="11925300"/>
          <a:ext cx="7200900" cy="381000"/>
        </a:xfrm>
        <a:prstGeom prst="borderCallout1">
          <a:avLst>
            <a:gd name="adj1" fmla="val 50907"/>
            <a:gd name="adj2" fmla="val 647"/>
            <a:gd name="adj3" fmla="val 63860"/>
            <a:gd name="adj4" fmla="val -5312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ステップ5の券マスタを新規作成する。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47</xdr:row>
      <xdr:rowOff>0</xdr:rowOff>
    </xdr:from>
    <xdr:to>
      <xdr:col>62</xdr:col>
      <xdr:colOff>0</xdr:colOff>
      <xdr:row>53</xdr:row>
      <xdr:rowOff>22412</xdr:rowOff>
    </xdr:to>
    <xdr:sp macro="" textlink="" fLocksText="0">
      <xdr:nvSpPr>
        <xdr:cNvPr id="186" name="吹き出し: 線 2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/>
      </xdr:nvSpPr>
      <xdr:spPr>
        <a:xfrm>
          <a:off x="8236324" y="9065559"/>
          <a:ext cx="6353735" cy="1165412"/>
        </a:xfrm>
        <a:prstGeom prst="borderCallout1">
          <a:avLst>
            <a:gd name="adj1" fmla="val 53848"/>
            <a:gd name="adj2" fmla="val -59"/>
            <a:gd name="adj3" fmla="val 44939"/>
            <a:gd name="adj4" fmla="val -8900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ステップ4から返された編集対象データを確認する。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[6.券マスタ情報更新]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[7.券マスタ情報新規作成]</a:t>
          </a:r>
        </a:p>
      </xdr:txBody>
    </xdr:sp>
    <xdr:clientData/>
  </xdr:twoCellAnchor>
  <xdr:twoCellAnchor>
    <xdr:from>
      <xdr:col>35</xdr:col>
      <xdr:colOff>0</xdr:colOff>
      <xdr:row>39</xdr:row>
      <xdr:rowOff>0</xdr:rowOff>
    </xdr:from>
    <xdr:to>
      <xdr:col>62</xdr:col>
      <xdr:colOff>0</xdr:colOff>
      <xdr:row>45</xdr:row>
      <xdr:rowOff>11206</xdr:rowOff>
    </xdr:to>
    <xdr:sp macro="" textlink="" fLocksText="0">
      <xdr:nvSpPr>
        <xdr:cNvPr id="185" name="吹き出し: 線 2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/>
      </xdr:nvSpPr>
      <xdr:spPr>
        <a:xfrm>
          <a:off x="9334500" y="7543800"/>
          <a:ext cx="7200900" cy="1152525"/>
        </a:xfrm>
        <a:prstGeom prst="borderCallout1">
          <a:avLst>
            <a:gd name="adj1" fmla="val 49926"/>
            <a:gd name="adj2" fmla="val -59"/>
            <a:gd name="adj3" fmla="val 49814"/>
            <a:gd name="adj4" fmla="val -8525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以下の条件を満たすTicketMasterテーブルの編集対象券マスタレコードを取得する。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・MasterTicket.company_code = User.CompanyCode(ログインしているアカウントが所属する会社)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・TicketMaster.StoreCode = request.ticket.store_code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TicketMaster.Code = request.ticket.code</a:t>
          </a:r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62</xdr:col>
      <xdr:colOff>0</xdr:colOff>
      <xdr:row>58</xdr:row>
      <xdr:rowOff>0</xdr:rowOff>
    </xdr:to>
    <xdr:sp macro="" textlink="" fLocksText="0">
      <xdr:nvSpPr>
        <xdr:cNvPr id="210" name="吹き出し: 線 2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/>
      </xdr:nvSpPr>
      <xdr:spPr>
        <a:xfrm>
          <a:off x="9334500" y="10782300"/>
          <a:ext cx="7200900" cy="381000"/>
        </a:xfrm>
        <a:prstGeom prst="borderCallout1">
          <a:avLst>
            <a:gd name="adj1" fmla="val 47600"/>
            <a:gd name="adj2" fmla="val 118"/>
            <a:gd name="adj3" fmla="val 53182"/>
            <a:gd name="adj4" fmla="val -8560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ステップ5で存在をチェックした後、レコードを更新する。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24</xdr:row>
      <xdr:rowOff>0</xdr:rowOff>
    </xdr:from>
    <xdr:to>
      <xdr:col>62</xdr:col>
      <xdr:colOff>0</xdr:colOff>
      <xdr:row>26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4686300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画面から渡された券マスタ情報データ配列の各レコードをループする。</a:t>
          </a:r>
        </a:p>
      </xdr:txBody>
    </xdr:sp>
    <xdr:clientData/>
  </xdr:twoCellAnchor>
  <xdr:twoCellAnchor>
    <xdr:from>
      <xdr:col>7</xdr:col>
      <xdr:colOff>0</xdr:colOff>
      <xdr:row>5</xdr:row>
      <xdr:rowOff>190499</xdr:rowOff>
    </xdr:from>
    <xdr:to>
      <xdr:col>11</xdr:col>
      <xdr:colOff>0</xdr:colOff>
      <xdr:row>7</xdr:row>
      <xdr:rowOff>179293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669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7</xdr:col>
      <xdr:colOff>0</xdr:colOff>
      <xdr:row>96</xdr:row>
      <xdr:rowOff>22412</xdr:rowOff>
    </xdr:from>
    <xdr:to>
      <xdr:col>11</xdr:col>
      <xdr:colOff>0</xdr:colOff>
      <xdr:row>98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866900" y="18421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7</xdr:row>
      <xdr:rowOff>179293</xdr:rowOff>
    </xdr:from>
    <xdr:to>
      <xdr:col>9</xdr:col>
      <xdr:colOff>0</xdr:colOff>
      <xdr:row>9</xdr:row>
      <xdr:rowOff>190499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3" idx="4"/>
          <a:endCxn id="12" idx="0"/>
        </xdr:cNvCxnSpPr>
      </xdr:nvCxnSpPr>
      <xdr:spPr>
        <a:xfrm>
          <a:off x="2400300" y="1628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</xdr:row>
      <xdr:rowOff>190499</xdr:rowOff>
    </xdr:from>
    <xdr:to>
      <xdr:col>11</xdr:col>
      <xdr:colOff>0</xdr:colOff>
      <xdr:row>10</xdr:row>
      <xdr:rowOff>179293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8669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88</xdr:row>
      <xdr:rowOff>168088</xdr:rowOff>
    </xdr:from>
    <xdr:to>
      <xdr:col>9</xdr:col>
      <xdr:colOff>0</xdr:colOff>
      <xdr:row>92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15" idx="0"/>
        </xdr:cNvCxnSpPr>
      </xdr:nvCxnSpPr>
      <xdr:spPr>
        <a:xfrm>
          <a:off x="2400300" y="17049750"/>
          <a:ext cx="0" cy="590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92</xdr:row>
      <xdr:rowOff>0</xdr:rowOff>
    </xdr:from>
    <xdr:to>
      <xdr:col>11</xdr:col>
      <xdr:colOff>0</xdr:colOff>
      <xdr:row>93</xdr:row>
      <xdr:rowOff>0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866900" y="176403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93</xdr:row>
      <xdr:rowOff>0</xdr:rowOff>
    </xdr:from>
    <xdr:to>
      <xdr:col>9</xdr:col>
      <xdr:colOff>0</xdr:colOff>
      <xdr:row>96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5" idx="2"/>
          <a:endCxn id="4" idx="0"/>
        </xdr:cNvCxnSpPr>
      </xdr:nvCxnSpPr>
      <xdr:spPr>
        <a:xfrm>
          <a:off x="2400300" y="17830800"/>
          <a:ext cx="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30</xdr:row>
      <xdr:rowOff>0</xdr:rowOff>
    </xdr:from>
    <xdr:to>
      <xdr:col>13</xdr:col>
      <xdr:colOff>0</xdr:colOff>
      <xdr:row>37</xdr:row>
      <xdr:rowOff>0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333500" y="58293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operation_type &lt; 3</a:t>
          </a:r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10</xdr:col>
      <xdr:colOff>0</xdr:colOff>
      <xdr:row>52</xdr:row>
      <xdr:rowOff>0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133600" y="9829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10</xdr:row>
      <xdr:rowOff>179293</xdr:rowOff>
    </xdr:from>
    <xdr:to>
      <xdr:col>9</xdr:col>
      <xdr:colOff>0</xdr:colOff>
      <xdr:row>15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2" idx="2"/>
          <a:endCxn id="7" idx="0"/>
        </xdr:cNvCxnSpPr>
      </xdr:nvCxnSpPr>
      <xdr:spPr>
        <a:xfrm>
          <a:off x="2400300" y="22002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</xdr:row>
      <xdr:rowOff>0</xdr:rowOff>
    </xdr:from>
    <xdr:to>
      <xdr:col>62</xdr:col>
      <xdr:colOff>0</xdr:colOff>
      <xdr:row>11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334500" y="1828800"/>
          <a:ext cx="7200900" cy="381000"/>
        </a:xfrm>
        <a:prstGeom prst="borderCallout1">
          <a:avLst>
            <a:gd name="adj1" fmla="val 46004"/>
            <a:gd name="adj2" fmla="val 117"/>
            <a:gd name="adj3" fmla="val 83818"/>
            <a:gd name="adj4" fmla="val -8860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91</xdr:row>
      <xdr:rowOff>0</xdr:rowOff>
    </xdr:from>
    <xdr:to>
      <xdr:col>62</xdr:col>
      <xdr:colOff>0</xdr:colOff>
      <xdr:row>93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17449800"/>
          <a:ext cx="7200900" cy="381000"/>
        </a:xfrm>
        <a:prstGeom prst="borderCallout1">
          <a:avLst>
            <a:gd name="adj1" fmla="val 46004"/>
            <a:gd name="adj2" fmla="val 117"/>
            <a:gd name="adj3" fmla="val 83451"/>
            <a:gd name="adj4" fmla="val -8960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30</xdr:row>
      <xdr:rowOff>0</xdr:rowOff>
    </xdr:from>
    <xdr:to>
      <xdr:col>62</xdr:col>
      <xdr:colOff>0</xdr:colOff>
      <xdr:row>36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236324" y="5827059"/>
          <a:ext cx="6353735" cy="1143000"/>
        </a:xfrm>
        <a:prstGeom prst="borderCallout1">
          <a:avLst>
            <a:gd name="adj1" fmla="val 49926"/>
            <a:gd name="adj2" fmla="val -59"/>
            <a:gd name="adj3" fmla="val 67720"/>
            <a:gd name="adj4" fmla="val -8510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対象レコードが新規作成、更新されているかを確認する。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▪operation_type &lt; 3の場合 (レコード新規作成、更新): 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[4.券マスタレコード取得]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▪operation_type = 3の場合：以下のステップを実行する。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[10.券マスタレコード取得]</a:t>
          </a:r>
        </a:p>
      </xdr:txBody>
    </xdr:sp>
    <xdr:clientData/>
  </xdr:twoCellAnchor>
  <xdr:twoCellAnchor>
    <xdr:from>
      <xdr:col>15</xdr:col>
      <xdr:colOff>0</xdr:colOff>
      <xdr:row>61</xdr:row>
      <xdr:rowOff>0</xdr:rowOff>
    </xdr:from>
    <xdr:to>
      <xdr:col>21</xdr:col>
      <xdr:colOff>0</xdr:colOff>
      <xdr:row>65</xdr:row>
      <xdr:rowOff>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4000500" y="11734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券マスタ情報新規作成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40</xdr:row>
      <xdr:rowOff>0</xdr:rowOff>
    </xdr:from>
    <xdr:to>
      <xdr:col>12</xdr:col>
      <xdr:colOff>0</xdr:colOff>
      <xdr:row>44</xdr:row>
      <xdr:rowOff>0</xdr:rowOff>
    </xdr:to>
    <xdr:sp macro="" textlink="" fLocksText="0">
      <xdr:nvSpPr>
        <xdr:cNvPr id="55" name="Rectangl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16002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券マスタレコード取得</a:t>
          </a:r>
        </a:p>
      </xdr:txBody>
    </xdr:sp>
    <xdr:clientData/>
  </xdr:twoCellAnchor>
  <xdr:twoCellAnchor>
    <xdr:from>
      <xdr:col>9</xdr:col>
      <xdr:colOff>0</xdr:colOff>
      <xdr:row>27</xdr:row>
      <xdr:rowOff>0</xdr:rowOff>
    </xdr:from>
    <xdr:to>
      <xdr:col>9</xdr:col>
      <xdr:colOff>0</xdr:colOff>
      <xdr:row>30</xdr:row>
      <xdr:rowOff>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85" idx="2"/>
          <a:endCxn id="17" idx="0"/>
        </xdr:cNvCxnSpPr>
      </xdr:nvCxnSpPr>
      <xdr:spPr>
        <a:xfrm>
          <a:off x="2400300" y="5257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0</xdr:colOff>
      <xdr:row>46</xdr:row>
      <xdr:rowOff>11206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CxnSpPr>
          <a:stCxn id="55" idx="2"/>
          <a:endCxn id="19" idx="0"/>
        </xdr:cNvCxnSpPr>
      </xdr:nvCxnSpPr>
      <xdr:spPr>
        <a:xfrm>
          <a:off x="2400300" y="84963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52</xdr:row>
      <xdr:rowOff>0</xdr:rowOff>
    </xdr:from>
    <xdr:to>
      <xdr:col>9</xdr:col>
      <xdr:colOff>0</xdr:colOff>
      <xdr:row>55</xdr:row>
      <xdr:rowOff>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18" idx="2"/>
          <a:endCxn id="10" idx="0"/>
        </xdr:cNvCxnSpPr>
      </xdr:nvCxnSpPr>
      <xdr:spPr>
        <a:xfrm>
          <a:off x="2400300" y="10020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224118</xdr:colOff>
      <xdr:row>33</xdr:row>
      <xdr:rowOff>95250</xdr:rowOff>
    </xdr:from>
    <xdr:to>
      <xdr:col>19</xdr:col>
      <xdr:colOff>201706</xdr:colOff>
      <xdr:row>33</xdr:row>
      <xdr:rowOff>95250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101" idx="3"/>
          <a:endCxn id="198" idx="1"/>
        </xdr:cNvCxnSpPr>
      </xdr:nvCxnSpPr>
      <xdr:spPr>
        <a:xfrm>
          <a:off x="3962400" y="6496050"/>
          <a:ext cx="13049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27</xdr:row>
      <xdr:rowOff>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1600200" y="4495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券マスタデータ配列ループ</a:t>
          </a:r>
        </a:p>
      </xdr:txBody>
    </xdr:sp>
    <xdr:clientData/>
  </xdr:twoCellAnchor>
  <xdr:twoCellAnchor>
    <xdr:from>
      <xdr:col>12</xdr:col>
      <xdr:colOff>0</xdr:colOff>
      <xdr:row>48</xdr:row>
      <xdr:rowOff>0</xdr:rowOff>
    </xdr:from>
    <xdr:to>
      <xdr:col>14</xdr:col>
      <xdr:colOff>0</xdr:colOff>
      <xdr:row>49</xdr:row>
      <xdr:rowOff>0</xdr:rowOff>
    </xdr:to>
    <xdr:sp macro="" textlink="" fLocksText="0">
      <xdr:nvSpPr>
        <xdr:cNvPr id="96" name="Flowchart: Process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3200400" y="925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  <a:p>
          <a:pPr algn="ctr"/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224118</xdr:colOff>
      <xdr:row>33</xdr:row>
      <xdr:rowOff>0</xdr:rowOff>
    </xdr:from>
    <xdr:to>
      <xdr:col>14</xdr:col>
      <xdr:colOff>224118</xdr:colOff>
      <xdr:row>34</xdr:row>
      <xdr:rowOff>0</xdr:rowOff>
    </xdr:to>
    <xdr:sp macro="" textlink="" fLocksText="0">
      <xdr:nvSpPr>
        <xdr:cNvPr id="101" name="Flowchart: Process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3429000" y="640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81</xdr:row>
      <xdr:rowOff>0</xdr:rowOff>
    </xdr:from>
    <xdr:to>
      <xdr:col>13</xdr:col>
      <xdr:colOff>0</xdr:colOff>
      <xdr:row>88</xdr:row>
      <xdr:rowOff>0</xdr:rowOff>
    </xdr:to>
    <xdr:sp macro="" textlink="" fLocksText="0">
      <xdr:nvSpPr>
        <xdr:cNvPr id="109" name="Flowchart: Decision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1333500" y="155448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配列の最後の要素であるかを確認する。</a:t>
          </a: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10</xdr:col>
      <xdr:colOff>0</xdr:colOff>
      <xdr:row>89</xdr:row>
      <xdr:rowOff>0</xdr:rowOff>
    </xdr:to>
    <xdr:sp macro="" textlink="" fLocksText="0">
      <xdr:nvSpPr>
        <xdr:cNvPr id="110" name="Flowchart: Process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2133600" y="1687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84</xdr:row>
      <xdr:rowOff>0</xdr:rowOff>
    </xdr:from>
    <xdr:to>
      <xdr:col>5</xdr:col>
      <xdr:colOff>1</xdr:colOff>
      <xdr:row>85</xdr:row>
      <xdr:rowOff>0</xdr:rowOff>
    </xdr:to>
    <xdr:sp macro="" textlink="" fLocksText="0">
      <xdr:nvSpPr>
        <xdr:cNvPr id="111" name="Flowchart: Process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800100" y="1611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No</a:t>
          </a:r>
        </a:p>
      </xdr:txBody>
    </xdr:sp>
    <xdr:clientData/>
  </xdr:twoCellAnchor>
  <xdr:twoCellAnchor>
    <xdr:from>
      <xdr:col>2</xdr:col>
      <xdr:colOff>238124</xdr:colOff>
      <xdr:row>25</xdr:row>
      <xdr:rowOff>0</xdr:rowOff>
    </xdr:from>
    <xdr:to>
      <xdr:col>5</xdr:col>
      <xdr:colOff>238124</xdr:colOff>
      <xdr:row>84</xdr:row>
      <xdr:rowOff>95250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111" idx="1"/>
          <a:endCxn id="85" idx="1"/>
        </xdr:cNvCxnSpPr>
      </xdr:nvCxnSpPr>
      <xdr:spPr>
        <a:xfrm rot="10800000" flipH="1">
          <a:off x="771525" y="4876800"/>
          <a:ext cx="800100" cy="11334750"/>
        </a:xfrm>
        <a:prstGeom prst="bentConnector3">
          <a:avLst>
            <a:gd name="adj1" fmla="val -32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65</xdr:row>
      <xdr:rowOff>1</xdr:rowOff>
    </xdr:from>
    <xdr:to>
      <xdr:col>18</xdr:col>
      <xdr:colOff>0</xdr:colOff>
      <xdr:row>69</xdr:row>
      <xdr:rowOff>1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43" idx="2"/>
          <a:endCxn id="151" idx="0"/>
        </xdr:cNvCxnSpPr>
      </xdr:nvCxnSpPr>
      <xdr:spPr>
        <a:xfrm rot="5400000">
          <a:off x="2400300" y="12496800"/>
          <a:ext cx="2400300" cy="762000"/>
        </a:xfrm>
        <a:prstGeom prst="bentConnector3">
          <a:avLst>
            <a:gd name="adj1" fmla="val 50000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0</xdr:rowOff>
    </xdr:from>
    <xdr:to>
      <xdr:col>13</xdr:col>
      <xdr:colOff>0</xdr:colOff>
      <xdr:row>76</xdr:row>
      <xdr:rowOff>0</xdr:rowOff>
    </xdr:to>
    <xdr:sp macro="" textlink="" fLocksText="0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1333500" y="132588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成功</a:t>
          </a:r>
        </a:p>
      </xdr:txBody>
    </xdr:sp>
    <xdr:clientData/>
  </xdr:twoCellAnchor>
  <xdr:twoCellAnchor>
    <xdr:from>
      <xdr:col>8</xdr:col>
      <xdr:colOff>0</xdr:colOff>
      <xdr:row>76</xdr:row>
      <xdr:rowOff>0</xdr:rowOff>
    </xdr:from>
    <xdr:to>
      <xdr:col>10</xdr:col>
      <xdr:colOff>0</xdr:colOff>
      <xdr:row>77</xdr:row>
      <xdr:rowOff>0</xdr:rowOff>
    </xdr:to>
    <xdr:sp macro="" textlink="" fLocksText="0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2133600" y="1459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0</xdr:colOff>
      <xdr:row>72</xdr:row>
      <xdr:rowOff>0</xdr:rowOff>
    </xdr:from>
    <xdr:to>
      <xdr:col>15</xdr:col>
      <xdr:colOff>0</xdr:colOff>
      <xdr:row>73</xdr:row>
      <xdr:rowOff>0</xdr:rowOff>
    </xdr:to>
    <xdr:sp macro="" textlink="" fLocksText="0">
      <xdr:nvSpPr>
        <xdr:cNvPr id="153" name="Flowchart: Process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3467100" y="1383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  <a:p>
          <a:pPr algn="ctr"/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72</xdr:row>
      <xdr:rowOff>95250</xdr:rowOff>
    </xdr:from>
    <xdr:to>
      <xdr:col>15</xdr:col>
      <xdr:colOff>0</xdr:colOff>
      <xdr:row>92</xdr:row>
      <xdr:rowOff>0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53" idx="3"/>
          <a:endCxn id="15" idx="0"/>
        </xdr:cNvCxnSpPr>
      </xdr:nvCxnSpPr>
      <xdr:spPr>
        <a:xfrm flipH="1">
          <a:off x="2400300" y="13925550"/>
          <a:ext cx="1600200" cy="3714750"/>
        </a:xfrm>
        <a:prstGeom prst="bentConnector4">
          <a:avLst>
            <a:gd name="adj1" fmla="val -16000"/>
            <a:gd name="adj2" fmla="val 8948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77</xdr:row>
      <xdr:rowOff>0</xdr:rowOff>
    </xdr:from>
    <xdr:to>
      <xdr:col>9</xdr:col>
      <xdr:colOff>0</xdr:colOff>
      <xdr:row>81</xdr:row>
      <xdr:rowOff>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152" idx="2"/>
          <a:endCxn id="109" idx="0"/>
        </xdr:cNvCxnSpPr>
      </xdr:nvCxnSpPr>
      <xdr:spPr>
        <a:xfrm>
          <a:off x="2400300" y="14782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82</xdr:row>
      <xdr:rowOff>0</xdr:rowOff>
    </xdr:from>
    <xdr:to>
      <xdr:col>62</xdr:col>
      <xdr:colOff>0</xdr:colOff>
      <xdr:row>86</xdr:row>
      <xdr:rowOff>0</xdr:rowOff>
    </xdr:to>
    <xdr:sp macro="" textlink="" fLocksText="0">
      <xdr:nvSpPr>
        <xdr:cNvPr id="191" name="吹き出し: 線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334500" y="15735300"/>
          <a:ext cx="7200900" cy="762000"/>
        </a:xfrm>
        <a:prstGeom prst="borderCallout1">
          <a:avLst>
            <a:gd name="adj1" fmla="val 51201"/>
            <a:gd name="adj2" fmla="val -58"/>
            <a:gd name="adj3" fmla="val 63321"/>
            <a:gd name="adj4" fmla="val -840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画面から渡された券マスタデータ配列の最後の要素であるかを確認する。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最後の要素でない場合は、次の要素をループする。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最後の要素の場合は、ログを記録してプログラムを終了する。</a:t>
          </a:r>
        </a:p>
      </xdr:txBody>
    </xdr:sp>
    <xdr:clientData/>
  </xdr:twoCellAnchor>
  <xdr:twoCellAnchor>
    <xdr:from>
      <xdr:col>6</xdr:col>
      <xdr:colOff>0</xdr:colOff>
      <xdr:row>55</xdr:row>
      <xdr:rowOff>0</xdr:rowOff>
    </xdr:from>
    <xdr:to>
      <xdr:col>12</xdr:col>
      <xdr:colOff>0</xdr:colOff>
      <xdr:row>59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600200" y="1059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券マスタ情報更新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119</xdr:row>
      <xdr:rowOff>0</xdr:rowOff>
    </xdr:from>
    <xdr:to>
      <xdr:col>12</xdr:col>
      <xdr:colOff>0</xdr:colOff>
      <xdr:row>123</xdr:row>
      <xdr:rowOff>23812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600200" y="22955250"/>
          <a:ext cx="1600200" cy="8191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12. 券マスタ情報削除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46</xdr:row>
      <xdr:rowOff>11206</xdr:rowOff>
    </xdr:from>
    <xdr:to>
      <xdr:col>12</xdr:col>
      <xdr:colOff>0</xdr:colOff>
      <xdr:row>51</xdr:row>
      <xdr:rowOff>0</xdr:rowOff>
    </xdr:to>
    <xdr:sp macro="" textlink="" fLocksText="0">
      <xdr:nvSpPr>
        <xdr:cNvPr id="19" name="Flowchart: Decision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600200" y="8886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10" idx="2"/>
          <a:endCxn id="151" idx="0"/>
        </xdr:cNvCxnSpPr>
      </xdr:nvCxnSpPr>
      <xdr:spPr>
        <a:xfrm>
          <a:off x="2400300" y="11353800"/>
          <a:ext cx="0" cy="1905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123</xdr:row>
      <xdr:rowOff>23812</xdr:rowOff>
    </xdr:from>
    <xdr:to>
      <xdr:col>9</xdr:col>
      <xdr:colOff>0</xdr:colOff>
      <xdr:row>125</xdr:row>
      <xdr:rowOff>1</xdr:rowOff>
    </xdr:to>
    <xdr:cxnSp macro="">
      <xdr:nvCxnSpPr>
        <xdr:cNvPr id="75" name="Connector: Elbow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>
          <a:stCxn id="11" idx="2"/>
          <a:endCxn id="20" idx="0"/>
        </xdr:cNvCxnSpPr>
      </xdr:nvCxnSpPr>
      <xdr:spPr>
        <a:xfrm>
          <a:off x="2400300" y="237744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104</xdr:row>
      <xdr:rowOff>1</xdr:rowOff>
    </xdr:from>
    <xdr:to>
      <xdr:col>62</xdr:col>
      <xdr:colOff>0</xdr:colOff>
      <xdr:row>111</xdr:row>
      <xdr:rowOff>0</xdr:rowOff>
    </xdr:to>
    <xdr:sp macro="" textlink="" fLocksText="0">
      <xdr:nvSpPr>
        <xdr:cNvPr id="237" name="吹き出し: 線 2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SpPr/>
      </xdr:nvSpPr>
      <xdr:spPr>
        <a:xfrm>
          <a:off x="9334500" y="19954875"/>
          <a:ext cx="7200900" cy="1400175"/>
        </a:xfrm>
        <a:prstGeom prst="borderCallout1">
          <a:avLst>
            <a:gd name="adj1" fmla="val 47600"/>
            <a:gd name="adj2" fmla="val 118"/>
            <a:gd name="adj3" fmla="val 41051"/>
            <a:gd name="adj4" fmla="val -8613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10. 以下の条件を満たすTicketMasterテーブルの削除対象券マスタレコードを取得する。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TicketMaster.company_code = User.CompanyCode (ログインしているアカウントが所属する会社)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request.store_code = store_default (00002) ? request.include_stores contains TicketMaster.store_code : TicketMaster.StoreCode = request.ticket.store_code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TicketMaster.Code = request.ticket.code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19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00200" y="297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重複レコードの処理</a:t>
          </a:r>
        </a:p>
      </xdr:txBody>
    </xdr:sp>
    <xdr:clientData/>
  </xdr:twoCellAnchor>
  <xdr:twoCellAnchor>
    <xdr:from>
      <xdr:col>9</xdr:col>
      <xdr:colOff>0</xdr:colOff>
      <xdr:row>19</xdr:row>
      <xdr:rowOff>0</xdr:rowOff>
    </xdr:from>
    <xdr:to>
      <xdr:col>9</xdr:col>
      <xdr:colOff>0</xdr:colOff>
      <xdr:row>23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7" idx="2"/>
          <a:endCxn id="85" idx="0"/>
        </xdr:cNvCxnSpPr>
      </xdr:nvCxnSpPr>
      <xdr:spPr>
        <a:xfrm>
          <a:off x="2400300" y="3733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2590800"/>
          <a:ext cx="7200900" cy="1905000"/>
        </a:xfrm>
        <a:prstGeom prst="borderCallout1">
          <a:avLst>
            <a:gd name="adj1" fmla="val 48945"/>
            <a:gd name="adj2" fmla="val 117"/>
            <a:gd name="adj3" fmla="val 43144"/>
            <a:gd name="adj4" fmla="val -8543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以下の条件を満たす券マスタデータ配列の重複レコードを解除する。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record_duplicate.code = record_default.code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include_stores contains record_duplicate.store_code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その中: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デrecord_duplicateがデフォルト店舗(storeId が00002以外)に属さないレコードであり、削除対象である。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+record_defaultはデフォルト店舗(storeId = 00002)に属するレコードである。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 record_defaultのoperation_typeが1、2の場合、include_storeに属する店舗のデータ配列の新しいレコードを作成する。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include_storeにrecord_defaultが含まれていない場合、データ配列からrecord_defaultを削除する。</a:t>
          </a:r>
        </a:p>
      </xdr:txBody>
    </xdr:sp>
    <xdr:clientData/>
  </xdr:twoCellAnchor>
  <xdr:twoCellAnchor>
    <xdr:from>
      <xdr:col>5</xdr:col>
      <xdr:colOff>0</xdr:colOff>
      <xdr:row>125</xdr:row>
      <xdr:rowOff>1</xdr:rowOff>
    </xdr:from>
    <xdr:to>
      <xdr:col>13</xdr:col>
      <xdr:colOff>0</xdr:colOff>
      <xdr:row>130</xdr:row>
      <xdr:rowOff>0</xdr:rowOff>
    </xdr:to>
    <xdr:sp macro="" textlink="" fLocksText="0">
      <xdr:nvSpPr>
        <xdr:cNvPr id="20" name="Flowchart: Decision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333500" y="24155400"/>
          <a:ext cx="2133600" cy="100012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13. 成功</a:t>
          </a:r>
        </a:p>
      </xdr:txBody>
    </xdr:sp>
    <xdr:clientData/>
  </xdr:twoCellAnchor>
  <xdr:twoCellAnchor>
    <xdr:from>
      <xdr:col>12</xdr:col>
      <xdr:colOff>0</xdr:colOff>
      <xdr:row>113</xdr:row>
      <xdr:rowOff>13608</xdr:rowOff>
    </xdr:from>
    <xdr:to>
      <xdr:col>14</xdr:col>
      <xdr:colOff>0</xdr:colOff>
      <xdr:row>114</xdr:row>
      <xdr:rowOff>0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3200400" y="217646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  <a:p>
          <a:pPr algn="ctr"/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234763</xdr:colOff>
      <xdr:row>116</xdr:row>
      <xdr:rowOff>0</xdr:rowOff>
    </xdr:from>
    <xdr:to>
      <xdr:col>10</xdr:col>
      <xdr:colOff>0</xdr:colOff>
      <xdr:row>116</xdr:row>
      <xdr:rowOff>188799</xdr:rowOff>
    </xdr:to>
    <xdr:sp macro="" textlink="" fLocksText="0">
      <xdr:nvSpPr>
        <xdr:cNvPr id="30" name="Flowchart: Proces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2105025" y="22355175"/>
          <a:ext cx="5619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236444</xdr:colOff>
      <xdr:row>116</xdr:row>
      <xdr:rowOff>188799</xdr:rowOff>
    </xdr:from>
    <xdr:to>
      <xdr:col>9</xdr:col>
      <xdr:colOff>0</xdr:colOff>
      <xdr:row>119</xdr:row>
      <xdr:rowOff>0</xdr:rowOff>
    </xdr:to>
    <xdr:cxnSp macro="">
      <xdr:nvCxnSpPr>
        <xdr:cNvPr id="46" name="Connector: Elbow 74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30" idx="2"/>
          <a:endCxn id="11" idx="0"/>
        </xdr:cNvCxnSpPr>
      </xdr:nvCxnSpPr>
      <xdr:spPr>
        <a:xfrm>
          <a:off x="2371725" y="22545675"/>
          <a:ext cx="28575" cy="4095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130</xdr:row>
      <xdr:rowOff>13606</xdr:rowOff>
    </xdr:from>
    <xdr:to>
      <xdr:col>10</xdr:col>
      <xdr:colOff>0</xdr:colOff>
      <xdr:row>131</xdr:row>
      <xdr:rowOff>0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133600" y="251650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0</xdr:colOff>
      <xdr:row>127</xdr:row>
      <xdr:rowOff>0</xdr:rowOff>
    </xdr:from>
    <xdr:to>
      <xdr:col>15</xdr:col>
      <xdr:colOff>0</xdr:colOff>
      <xdr:row>128</xdr:row>
      <xdr:rowOff>0</xdr:rowOff>
    </xdr:to>
    <xdr:sp macro="" textlink="" fLocksText="0">
      <xdr:nvSpPr>
        <xdr:cNvPr id="52" name="Flowchart: Process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3467100" y="2455545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いいえ</a:t>
          </a:r>
          <a:endParaRPr lang="en-US" sz="900">
            <a:effectLst/>
          </a:endParaRPr>
        </a:p>
        <a:p>
          <a:pPr algn="ctr"/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0</xdr:colOff>
      <xdr:row>127</xdr:row>
      <xdr:rowOff>100853</xdr:rowOff>
    </xdr:from>
    <xdr:to>
      <xdr:col>19</xdr:col>
      <xdr:colOff>0</xdr:colOff>
      <xdr:row>132</xdr:row>
      <xdr:rowOff>0</xdr:rowOff>
    </xdr:to>
    <xdr:cxnSp macro="">
      <xdr:nvCxnSpPr>
        <xdr:cNvPr id="74" name="Connector: Elbow 74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52" idx="3"/>
          <a:endCxn id="301" idx="0"/>
        </xdr:cNvCxnSpPr>
      </xdr:nvCxnSpPr>
      <xdr:spPr>
        <a:xfrm>
          <a:off x="4000500" y="24660225"/>
          <a:ext cx="1066800" cy="8953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89</xdr:row>
      <xdr:rowOff>0</xdr:rowOff>
    </xdr:from>
    <xdr:to>
      <xdr:col>9</xdr:col>
      <xdr:colOff>0</xdr:colOff>
      <xdr:row>92</xdr:row>
      <xdr:rowOff>0</xdr:rowOff>
    </xdr:to>
    <xdr:cxnSp macro="">
      <xdr:nvCxnSpPr>
        <xdr:cNvPr id="103" name="Connector: Elbow 74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CxnSpPr>
          <a:stCxn id="110" idx="2"/>
          <a:endCxn id="15" idx="0"/>
        </xdr:cNvCxnSpPr>
      </xdr:nvCxnSpPr>
      <xdr:spPr>
        <a:xfrm>
          <a:off x="2400300" y="17068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114</xdr:row>
      <xdr:rowOff>201705</xdr:rowOff>
    </xdr:from>
    <xdr:to>
      <xdr:col>62</xdr:col>
      <xdr:colOff>0</xdr:colOff>
      <xdr:row>120</xdr:row>
      <xdr:rowOff>56028</xdr:rowOff>
    </xdr:to>
    <xdr:sp macro="" textlink="" fLocksText="0">
      <xdr:nvSpPr>
        <xdr:cNvPr id="115" name="吹き出し: 線 2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8236324" y="22176440"/>
          <a:ext cx="6353735" cy="1064559"/>
        </a:xfrm>
        <a:prstGeom prst="borderCallout1">
          <a:avLst>
            <a:gd name="adj1" fmla="val 50907"/>
            <a:gd name="adj2" fmla="val 647"/>
            <a:gd name="adj3" fmla="val -19375"/>
            <a:gd name="adj4" fmla="val -8892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11.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・存在している場合、以下のステップから取得できたレコードを削除する。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[13.券マスタレコード取得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・存在していない場合、以下のステップを実行する。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[9.配列の最後の要素であるかを確認する]</a:t>
          </a:r>
        </a:p>
      </xdr:txBody>
    </xdr:sp>
    <xdr:clientData/>
  </xdr:twoCellAnchor>
  <xdr:twoCellAnchor>
    <xdr:from>
      <xdr:col>19</xdr:col>
      <xdr:colOff>201706</xdr:colOff>
      <xdr:row>33</xdr:row>
      <xdr:rowOff>0</xdr:rowOff>
    </xdr:from>
    <xdr:to>
      <xdr:col>21</xdr:col>
      <xdr:colOff>201706</xdr:colOff>
      <xdr:row>34</xdr:row>
      <xdr:rowOff>0</xdr:rowOff>
    </xdr:to>
    <xdr:sp macro="" textlink="" fLocksText="0">
      <xdr:nvSpPr>
        <xdr:cNvPr id="198" name="Rectangle: Rounded Corners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/>
      </xdr:nvSpPr>
      <xdr:spPr>
        <a:xfrm>
          <a:off x="5267325" y="6400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</a:t>
          </a:r>
        </a:p>
      </xdr:txBody>
    </xdr:sp>
    <xdr:clientData/>
  </xdr:twoCellAnchor>
  <xdr:twoCellAnchor>
    <xdr:from>
      <xdr:col>8</xdr:col>
      <xdr:colOff>0</xdr:colOff>
      <xdr:row>102</xdr:row>
      <xdr:rowOff>0</xdr:rowOff>
    </xdr:from>
    <xdr:to>
      <xdr:col>10</xdr:col>
      <xdr:colOff>0</xdr:colOff>
      <xdr:row>102</xdr:row>
      <xdr:rowOff>190500</xdr:rowOff>
    </xdr:to>
    <xdr:sp macro="" textlink="" fLocksText="0">
      <xdr:nvSpPr>
        <xdr:cNvPr id="205" name="Rectangle: Rounded Corners 204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/>
      </xdr:nvSpPr>
      <xdr:spPr>
        <a:xfrm>
          <a:off x="2133600" y="195548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</a:t>
          </a:r>
        </a:p>
      </xdr:txBody>
    </xdr:sp>
    <xdr:clientData/>
  </xdr:twoCellAnchor>
  <xdr:twoCellAnchor>
    <xdr:from>
      <xdr:col>9</xdr:col>
      <xdr:colOff>0</xdr:colOff>
      <xdr:row>102</xdr:row>
      <xdr:rowOff>190500</xdr:rowOff>
    </xdr:from>
    <xdr:to>
      <xdr:col>9</xdr:col>
      <xdr:colOff>0</xdr:colOff>
      <xdr:row>105</xdr:row>
      <xdr:rowOff>0</xdr:rowOff>
    </xdr:to>
    <xdr:cxnSp macro="">
      <xdr:nvCxnSpPr>
        <xdr:cNvPr id="208" name="Connector: Elbow 74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CxnSpPr>
          <a:stCxn id="205" idx="2"/>
          <a:endCxn id="240" idx="0"/>
        </xdr:cNvCxnSpPr>
      </xdr:nvCxnSpPr>
      <xdr:spPr>
        <a:xfrm>
          <a:off x="2400300" y="19745325"/>
          <a:ext cx="0" cy="4095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113</xdr:row>
      <xdr:rowOff>11907</xdr:rowOff>
    </xdr:from>
    <xdr:to>
      <xdr:col>18</xdr:col>
      <xdr:colOff>0</xdr:colOff>
      <xdr:row>114</xdr:row>
      <xdr:rowOff>0</xdr:rowOff>
    </xdr:to>
    <xdr:sp macro="" textlink="" fLocksText="0">
      <xdr:nvSpPr>
        <xdr:cNvPr id="235" name="Rectangle: Rounded Corners 234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SpPr/>
      </xdr:nvSpPr>
      <xdr:spPr>
        <a:xfrm>
          <a:off x="4267200" y="217646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</a:t>
          </a:r>
        </a:p>
      </xdr:txBody>
    </xdr:sp>
    <xdr:clientData/>
  </xdr:twoCellAnchor>
  <xdr:twoCellAnchor>
    <xdr:from>
      <xdr:col>14</xdr:col>
      <xdr:colOff>0</xdr:colOff>
      <xdr:row>113</xdr:row>
      <xdr:rowOff>107157</xdr:rowOff>
    </xdr:from>
    <xdr:to>
      <xdr:col>16</xdr:col>
      <xdr:colOff>0</xdr:colOff>
      <xdr:row>113</xdr:row>
      <xdr:rowOff>108008</xdr:rowOff>
    </xdr:to>
    <xdr:cxnSp macro="">
      <xdr:nvCxnSpPr>
        <xdr:cNvPr id="236" name="Connector: Elbow 74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CxnSpPr>
          <a:stCxn id="26" idx="3"/>
          <a:endCxn id="235" idx="1"/>
        </xdr:cNvCxnSpPr>
      </xdr:nvCxnSpPr>
      <xdr:spPr>
        <a:xfrm flipV="1">
          <a:off x="3733800" y="21859875"/>
          <a:ext cx="5334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105</xdr:row>
      <xdr:rowOff>0</xdr:rowOff>
    </xdr:from>
    <xdr:to>
      <xdr:col>12</xdr:col>
      <xdr:colOff>0</xdr:colOff>
      <xdr:row>109</xdr:row>
      <xdr:rowOff>0</xdr:rowOff>
    </xdr:to>
    <xdr:sp macro="" textlink="" fLocksText="0">
      <xdr:nvSpPr>
        <xdr:cNvPr id="240" name="Rectangle 239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SpPr/>
      </xdr:nvSpPr>
      <xdr:spPr>
        <a:xfrm>
          <a:off x="1600200" y="20154900"/>
          <a:ext cx="1600200" cy="8001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10. 券マスタレコード取得</a:t>
          </a:r>
        </a:p>
      </xdr:txBody>
    </xdr:sp>
    <xdr:clientData/>
  </xdr:twoCellAnchor>
  <xdr:twoCellAnchor>
    <xdr:from>
      <xdr:col>6</xdr:col>
      <xdr:colOff>0</xdr:colOff>
      <xdr:row>111</xdr:row>
      <xdr:rowOff>0</xdr:rowOff>
    </xdr:from>
    <xdr:to>
      <xdr:col>12</xdr:col>
      <xdr:colOff>0</xdr:colOff>
      <xdr:row>116</xdr:row>
      <xdr:rowOff>0</xdr:rowOff>
    </xdr:to>
    <xdr:sp macro="" textlink="" fLocksText="0">
      <xdr:nvSpPr>
        <xdr:cNvPr id="241" name="Flowchart: Decision 240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SpPr/>
      </xdr:nvSpPr>
      <xdr:spPr>
        <a:xfrm>
          <a:off x="1600200" y="21355050"/>
          <a:ext cx="1600200" cy="100012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11.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109</xdr:row>
      <xdr:rowOff>0</xdr:rowOff>
    </xdr:from>
    <xdr:to>
      <xdr:col>9</xdr:col>
      <xdr:colOff>0</xdr:colOff>
      <xdr:row>111</xdr:row>
      <xdr:rowOff>0</xdr:rowOff>
    </xdr:to>
    <xdr:cxnSp macro="">
      <xdr:nvCxnSpPr>
        <xdr:cNvPr id="257" name="Connector: Elbow 74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CxnSpPr>
          <a:stCxn id="240" idx="2"/>
          <a:endCxn id="241" idx="0"/>
        </xdr:cNvCxnSpPr>
      </xdr:nvCxnSpPr>
      <xdr:spPr>
        <a:xfrm>
          <a:off x="2400300" y="20955000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131</xdr:row>
      <xdr:rowOff>0</xdr:rowOff>
    </xdr:from>
    <xdr:to>
      <xdr:col>9</xdr:col>
      <xdr:colOff>0</xdr:colOff>
      <xdr:row>133</xdr:row>
      <xdr:rowOff>0</xdr:rowOff>
    </xdr:to>
    <xdr:cxnSp macro="">
      <xdr:nvCxnSpPr>
        <xdr:cNvPr id="290" name="Connector: Elbow 74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CxnSpPr>
          <a:stCxn id="50" idx="2"/>
          <a:endCxn id="298" idx="0"/>
        </xdr:cNvCxnSpPr>
      </xdr:nvCxnSpPr>
      <xdr:spPr>
        <a:xfrm>
          <a:off x="2400300" y="25355550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133</xdr:row>
      <xdr:rowOff>0</xdr:rowOff>
    </xdr:from>
    <xdr:to>
      <xdr:col>10</xdr:col>
      <xdr:colOff>1</xdr:colOff>
      <xdr:row>133</xdr:row>
      <xdr:rowOff>189799</xdr:rowOff>
    </xdr:to>
    <xdr:sp macro="" textlink="" fLocksText="0">
      <xdr:nvSpPr>
        <xdr:cNvPr id="298" name="Rectangle: Rounded Corners 297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SpPr/>
      </xdr:nvSpPr>
      <xdr:spPr>
        <a:xfrm>
          <a:off x="2133600" y="257556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</a:t>
          </a:r>
        </a:p>
      </xdr:txBody>
    </xdr:sp>
    <xdr:clientData/>
  </xdr:twoCellAnchor>
  <xdr:twoCellAnchor>
    <xdr:from>
      <xdr:col>17</xdr:col>
      <xdr:colOff>0</xdr:colOff>
      <xdr:row>135</xdr:row>
      <xdr:rowOff>179294</xdr:rowOff>
    </xdr:from>
    <xdr:to>
      <xdr:col>21</xdr:col>
      <xdr:colOff>0</xdr:colOff>
      <xdr:row>137</xdr:row>
      <xdr:rowOff>134470</xdr:rowOff>
    </xdr:to>
    <xdr:sp macro="" textlink="" fLocksText="0">
      <xdr:nvSpPr>
        <xdr:cNvPr id="300" name="Oval 299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SpPr/>
      </xdr:nvSpPr>
      <xdr:spPr>
        <a:xfrm>
          <a:off x="4533900" y="26336625"/>
          <a:ext cx="1066800" cy="35242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17</xdr:col>
      <xdr:colOff>0</xdr:colOff>
      <xdr:row>132</xdr:row>
      <xdr:rowOff>0</xdr:rowOff>
    </xdr:from>
    <xdr:to>
      <xdr:col>21</xdr:col>
      <xdr:colOff>0</xdr:colOff>
      <xdr:row>132</xdr:row>
      <xdr:rowOff>190500</xdr:rowOff>
    </xdr:to>
    <xdr:sp macro="" textlink="" fLocksText="0">
      <xdr:nvSpPr>
        <xdr:cNvPr id="301" name="Rectangle 300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/>
      </xdr:nvSpPr>
      <xdr:spPr>
        <a:xfrm>
          <a:off x="4533900" y="25555575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19</xdr:col>
      <xdr:colOff>0</xdr:colOff>
      <xdr:row>132</xdr:row>
      <xdr:rowOff>190500</xdr:rowOff>
    </xdr:from>
    <xdr:to>
      <xdr:col>19</xdr:col>
      <xdr:colOff>0</xdr:colOff>
      <xdr:row>135</xdr:row>
      <xdr:rowOff>179294</xdr:rowOff>
    </xdr:to>
    <xdr:cxnSp macro="">
      <xdr:nvCxnSpPr>
        <xdr:cNvPr id="303" name="Connector: Elbow 74">
          <a:extLst>
            <a:ext uri="{FF2B5EF4-FFF2-40B4-BE49-F238E27FC236}">
              <a16:creationId xmlns:a16="http://schemas.microsoft.com/office/drawing/2014/main" id="{00000000-0008-0000-0400-00002F010000}"/>
            </a:ext>
          </a:extLst>
        </xdr:cNvPr>
        <xdr:cNvCxnSpPr>
          <a:stCxn id="301" idx="2"/>
          <a:endCxn id="300" idx="0"/>
        </xdr:cNvCxnSpPr>
      </xdr:nvCxnSpPr>
      <xdr:spPr>
        <a:xfrm>
          <a:off x="5067300" y="25746075"/>
          <a:ext cx="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37</xdr:row>
      <xdr:rowOff>0</xdr:rowOff>
    </xdr:from>
    <xdr:to>
      <xdr:col>10</xdr:col>
      <xdr:colOff>0</xdr:colOff>
      <xdr:row>38</xdr:row>
      <xdr:rowOff>0</xdr:rowOff>
    </xdr:to>
    <xdr:sp macro="" textlink="" fLocksText="0">
      <xdr:nvSpPr>
        <xdr:cNvPr id="71" name="Flowchart: Process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2133600" y="7162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38</xdr:row>
      <xdr:rowOff>0</xdr:rowOff>
    </xdr:from>
    <xdr:to>
      <xdr:col>9</xdr:col>
      <xdr:colOff>0</xdr:colOff>
      <xdr:row>40</xdr:row>
      <xdr:rowOff>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CxnSpPr>
          <a:stCxn id="71" idx="2"/>
          <a:endCxn id="55" idx="0"/>
        </xdr:cNvCxnSpPr>
      </xdr:nvCxnSpPr>
      <xdr:spPr>
        <a:xfrm>
          <a:off x="2400300" y="7353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48</xdr:row>
      <xdr:rowOff>95250</xdr:rowOff>
    </xdr:from>
    <xdr:to>
      <xdr:col>18</xdr:col>
      <xdr:colOff>0</xdr:colOff>
      <xdr:row>61</xdr:row>
      <xdr:rowOff>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96" idx="3"/>
          <a:endCxn id="43" idx="0"/>
        </xdr:cNvCxnSpPr>
      </xdr:nvCxnSpPr>
      <xdr:spPr>
        <a:xfrm>
          <a:off x="3733800" y="9353550"/>
          <a:ext cx="1066800" cy="2381250"/>
        </a:xfrm>
        <a:prstGeom prst="bentConnector2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79</xdr:row>
      <xdr:rowOff>0</xdr:rowOff>
    </xdr:from>
    <xdr:to>
      <xdr:col>8</xdr:col>
      <xdr:colOff>0</xdr:colOff>
      <xdr:row>80</xdr:row>
      <xdr:rowOff>0</xdr:rowOff>
    </xdr:to>
    <xdr:sp macro="" textlink="" fLocksText="0">
      <xdr:nvSpPr>
        <xdr:cNvPr id="99" name="Rectangle: Rounded Corners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1600200" y="1516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</a:t>
          </a:r>
        </a:p>
      </xdr:txBody>
    </xdr:sp>
    <xdr:clientData/>
  </xdr:twoCellAnchor>
  <xdr:twoCellAnchor>
    <xdr:from>
      <xdr:col>8</xdr:col>
      <xdr:colOff>0</xdr:colOff>
      <xdr:row>79</xdr:row>
      <xdr:rowOff>95250</xdr:rowOff>
    </xdr:from>
    <xdr:to>
      <xdr:col>9</xdr:col>
      <xdr:colOff>0</xdr:colOff>
      <xdr:row>81</xdr:row>
      <xdr:rowOff>0</xdr:rowOff>
    </xdr:to>
    <xdr:cxnSp macro="">
      <xdr:nvCxnSpPr>
        <xdr:cNvPr id="102" name="Connector: Elbow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>
          <a:stCxn id="99" idx="3"/>
          <a:endCxn id="109" idx="0"/>
        </xdr:cNvCxnSpPr>
      </xdr:nvCxnSpPr>
      <xdr:spPr>
        <a:xfrm>
          <a:off x="2133600" y="15259050"/>
          <a:ext cx="266700" cy="28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53" customWidth="1"/>
    <col min="61" max="16384" width="2.77734375" style="53"/>
  </cols>
  <sheetData>
    <row r="1" spans="1:63" ht="24.95" customHeight="1" x14ac:dyDescent="0.25">
      <c r="A1" s="85" t="s">
        <v>135</v>
      </c>
      <c r="B1" s="86"/>
      <c r="C1" s="86"/>
      <c r="D1" s="86"/>
      <c r="E1" s="86"/>
      <c r="F1" s="86"/>
      <c r="G1" s="86"/>
      <c r="H1" s="86"/>
      <c r="I1" s="86"/>
      <c r="J1" s="87"/>
      <c r="K1" s="85" t="s">
        <v>136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7"/>
      <c r="W1" s="95" t="s">
        <v>137</v>
      </c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7"/>
      <c r="AP1" s="85" t="s">
        <v>138</v>
      </c>
      <c r="AQ1" s="86"/>
      <c r="AR1" s="86"/>
      <c r="AS1" s="87"/>
      <c r="AT1" s="85" t="s">
        <v>139</v>
      </c>
      <c r="AU1" s="86"/>
      <c r="AV1" s="86"/>
      <c r="AW1" s="86"/>
      <c r="AX1" s="87"/>
      <c r="AY1" s="85" t="s">
        <v>140</v>
      </c>
      <c r="AZ1" s="86"/>
      <c r="BA1" s="86"/>
      <c r="BB1" s="87"/>
      <c r="BC1" s="85" t="s">
        <v>141</v>
      </c>
      <c r="BD1" s="86"/>
      <c r="BE1" s="86"/>
      <c r="BF1" s="86"/>
      <c r="BG1" s="87"/>
      <c r="BH1" s="85" t="s">
        <v>142</v>
      </c>
      <c r="BI1" s="86"/>
      <c r="BJ1" s="86"/>
      <c r="BK1" s="87"/>
    </row>
    <row r="2" spans="1:63" ht="15" customHeight="1" x14ac:dyDescent="0.25">
      <c r="A2" s="94" t="s">
        <v>143</v>
      </c>
      <c r="B2" s="89"/>
      <c r="C2" s="89"/>
      <c r="D2" s="89"/>
      <c r="E2" s="89"/>
      <c r="F2" s="89"/>
      <c r="G2" s="89"/>
      <c r="H2" s="89"/>
      <c r="I2" s="89"/>
      <c r="J2" s="90"/>
      <c r="K2" s="88" t="s">
        <v>1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  <c r="W2" s="98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100"/>
      <c r="AP2" s="88" t="str">
        <f>改訂履歴!$H$11</f>
        <v>LoiLV</v>
      </c>
      <c r="AQ2" s="89"/>
      <c r="AR2" s="89"/>
      <c r="AS2" s="90"/>
      <c r="AT2" s="116">
        <f>改訂履歴!$B$11</f>
        <v>45469</v>
      </c>
      <c r="AU2" s="117"/>
      <c r="AV2" s="117"/>
      <c r="AW2" s="117"/>
      <c r="AX2" s="118"/>
      <c r="AY2" s="88" t="str">
        <f>LOOKUP(2,1/(改訂履歴!H11:H30000&lt;&gt;""),改訂履歴!H11:H30000)</f>
        <v>LoiLV</v>
      </c>
      <c r="AZ2" s="89"/>
      <c r="BA2" s="89"/>
      <c r="BB2" s="90"/>
      <c r="BC2" s="116">
        <f>LOOKUP(2,1/(改訂履歴!B11:B30000&lt;&gt;""),改訂履歴!B11:B30000)</f>
        <v>45469</v>
      </c>
      <c r="BD2" s="117"/>
      <c r="BE2" s="117"/>
      <c r="BF2" s="117"/>
      <c r="BG2" s="118"/>
      <c r="BH2" s="110">
        <f>LOOKUP(2,1/(改訂履歴!O11:O30000&lt;&gt;""),改訂履歴!O11:O30000)</f>
        <v>0.1</v>
      </c>
      <c r="BI2" s="111"/>
      <c r="BJ2" s="111"/>
      <c r="BK2" s="112"/>
    </row>
    <row r="3" spans="1:63" ht="15" customHeight="1" x14ac:dyDescent="0.25">
      <c r="A3" s="91"/>
      <c r="B3" s="92"/>
      <c r="C3" s="92"/>
      <c r="D3" s="92"/>
      <c r="E3" s="92"/>
      <c r="F3" s="92"/>
      <c r="G3" s="92"/>
      <c r="H3" s="92"/>
      <c r="I3" s="92"/>
      <c r="J3" s="93"/>
      <c r="K3" s="91"/>
      <c r="L3" s="92"/>
      <c r="M3" s="92"/>
      <c r="N3" s="92"/>
      <c r="O3" s="92"/>
      <c r="P3" s="92"/>
      <c r="Q3" s="92"/>
      <c r="R3" s="92"/>
      <c r="S3" s="92"/>
      <c r="T3" s="92"/>
      <c r="U3" s="92"/>
      <c r="V3" s="93"/>
      <c r="W3" s="101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3"/>
      <c r="AP3" s="91"/>
      <c r="AQ3" s="92"/>
      <c r="AR3" s="92"/>
      <c r="AS3" s="93"/>
      <c r="AT3" s="119"/>
      <c r="AU3" s="120"/>
      <c r="AV3" s="120"/>
      <c r="AW3" s="120"/>
      <c r="AX3" s="121"/>
      <c r="AY3" s="91"/>
      <c r="AZ3" s="92"/>
      <c r="BA3" s="92"/>
      <c r="BB3" s="93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85" t="s">
        <v>144</v>
      </c>
      <c r="B4" s="86"/>
      <c r="C4" s="86"/>
      <c r="D4" s="86"/>
      <c r="E4" s="86"/>
      <c r="F4" s="86"/>
      <c r="G4" s="87"/>
      <c r="H4" s="106" t="s">
        <v>128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8"/>
      <c r="U4" s="85" t="s">
        <v>145</v>
      </c>
      <c r="V4" s="86"/>
      <c r="W4" s="86"/>
      <c r="X4" s="86"/>
      <c r="Y4" s="87"/>
      <c r="Z4" s="109" t="s">
        <v>146</v>
      </c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8"/>
      <c r="AP4" s="106" t="str">
        <f t="array" aca="1" ref="AP4" ca="1">RIGHT(CELL("filename",$A$1),LEN(CELL("filename",$A$1))-FIND("]",CELL("filename",$A$1)))</f>
        <v>表紙</v>
      </c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8"/>
    </row>
    <row r="5" spans="1:63" ht="5.0999999999999996" customHeight="1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</row>
    <row r="6" spans="1:63" ht="15" customHeight="1" x14ac:dyDescent="0.25">
      <c r="A6" s="57"/>
      <c r="BK6" s="58"/>
    </row>
    <row r="7" spans="1:63" ht="15" customHeight="1" x14ac:dyDescent="0.25">
      <c r="A7" s="57"/>
      <c r="BK7" s="58"/>
    </row>
    <row r="8" spans="1:63" ht="15" customHeight="1" x14ac:dyDescent="0.25">
      <c r="A8" s="57"/>
      <c r="BK8" s="58"/>
    </row>
    <row r="9" spans="1:63" ht="15" customHeight="1" x14ac:dyDescent="0.25">
      <c r="A9" s="57"/>
      <c r="BK9" s="58"/>
    </row>
    <row r="10" spans="1:63" ht="15" customHeight="1" x14ac:dyDescent="0.25">
      <c r="A10" s="57"/>
      <c r="BK10" s="58"/>
    </row>
    <row r="11" spans="1:63" ht="15" customHeight="1" x14ac:dyDescent="0.25">
      <c r="A11" s="57"/>
      <c r="BK11" s="58"/>
    </row>
    <row r="12" spans="1:63" ht="15" customHeight="1" x14ac:dyDescent="0.25">
      <c r="A12" s="57"/>
      <c r="BK12" s="58"/>
    </row>
    <row r="13" spans="1:63" ht="15" customHeight="1" x14ac:dyDescent="0.25">
      <c r="A13" s="57"/>
      <c r="BK13" s="58"/>
    </row>
    <row r="14" spans="1:63" ht="15" customHeight="1" thickBot="1" x14ac:dyDescent="0.3">
      <c r="A14" s="57"/>
      <c r="BK14" s="58"/>
    </row>
    <row r="15" spans="1:63" ht="15" customHeight="1" thickTop="1" x14ac:dyDescent="0.25">
      <c r="A15" s="57"/>
      <c r="K15" s="59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1"/>
      <c r="BK15" s="58"/>
    </row>
    <row r="16" spans="1:63" ht="15" customHeight="1" x14ac:dyDescent="0.25">
      <c r="A16" s="57"/>
      <c r="K16" s="62"/>
      <c r="L16" s="104" t="s">
        <v>147</v>
      </c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63"/>
      <c r="BK16" s="58"/>
    </row>
    <row r="17" spans="1:63" ht="15" customHeight="1" x14ac:dyDescent="0.25">
      <c r="A17" s="57"/>
      <c r="K17" s="62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63"/>
      <c r="BK17" s="58"/>
    </row>
    <row r="18" spans="1:63" ht="15" customHeight="1" x14ac:dyDescent="0.25">
      <c r="A18" s="57"/>
      <c r="K18" s="62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63"/>
      <c r="BK18" s="58"/>
    </row>
    <row r="19" spans="1:63" ht="15" customHeight="1" x14ac:dyDescent="0.25">
      <c r="A19" s="57"/>
      <c r="K19" s="62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63"/>
      <c r="BK19" s="58"/>
    </row>
    <row r="20" spans="1:63" ht="15" customHeight="1" x14ac:dyDescent="0.25">
      <c r="A20" s="57"/>
      <c r="K20" s="62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63"/>
      <c r="BK20" s="58"/>
    </row>
    <row r="21" spans="1:63" ht="15" customHeight="1" x14ac:dyDescent="0.25">
      <c r="A21" s="57"/>
      <c r="K21" s="62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63"/>
      <c r="BK21" s="58"/>
    </row>
    <row r="22" spans="1:63" ht="15" customHeight="1" thickBot="1" x14ac:dyDescent="0.3">
      <c r="A22" s="57"/>
      <c r="K22" s="62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3"/>
      <c r="BK22" s="58"/>
    </row>
    <row r="23" spans="1:63" ht="15" customHeight="1" x14ac:dyDescent="0.25">
      <c r="A23" s="57"/>
      <c r="K23" s="62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3"/>
      <c r="BK23" s="58"/>
    </row>
    <row r="24" spans="1:63" ht="15" customHeight="1" x14ac:dyDescent="0.25">
      <c r="A24" s="57"/>
      <c r="K24" s="62"/>
      <c r="L24" s="105" t="str">
        <f>K2&amp;"/"&amp;H4&amp;"/"&amp;Z4</f>
        <v>POSサーバー/AP6603/API設計書</v>
      </c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63"/>
      <c r="BK24" s="58"/>
    </row>
    <row r="25" spans="1:63" ht="15" customHeight="1" x14ac:dyDescent="0.25">
      <c r="A25" s="57"/>
      <c r="K25" s="62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63"/>
      <c r="BK25" s="58"/>
    </row>
    <row r="26" spans="1:63" ht="15" customHeight="1" x14ac:dyDescent="0.25">
      <c r="A26" s="57"/>
      <c r="K26" s="62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63"/>
      <c r="BK26" s="58"/>
    </row>
    <row r="27" spans="1:63" ht="15" customHeight="1" x14ac:dyDescent="0.25">
      <c r="A27" s="57"/>
      <c r="K27" s="62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63"/>
      <c r="BK27" s="58"/>
    </row>
    <row r="28" spans="1:63" ht="15" customHeight="1" x14ac:dyDescent="0.25">
      <c r="A28" s="57"/>
      <c r="K28" s="62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63"/>
      <c r="BK28" s="58"/>
    </row>
    <row r="29" spans="1:63" ht="15" customHeight="1" x14ac:dyDescent="0.25">
      <c r="A29" s="57"/>
      <c r="K29" s="62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63"/>
      <c r="BK29" s="58"/>
    </row>
    <row r="30" spans="1:63" ht="15" customHeight="1" x14ac:dyDescent="0.25">
      <c r="A30" s="57"/>
      <c r="K30" s="62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63"/>
      <c r="BK30" s="58"/>
    </row>
    <row r="31" spans="1:63" ht="15" customHeight="1" x14ac:dyDescent="0.25">
      <c r="A31" s="57"/>
      <c r="K31" s="62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63"/>
      <c r="BK31" s="58"/>
    </row>
    <row r="32" spans="1:63" ht="15" customHeight="1" x14ac:dyDescent="0.25">
      <c r="A32" s="57"/>
      <c r="K32" s="62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63"/>
      <c r="BK32" s="58"/>
    </row>
    <row r="33" spans="1:63" ht="15" customHeight="1" x14ac:dyDescent="0.25">
      <c r="A33" s="57"/>
      <c r="K33" s="62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63"/>
      <c r="BK33" s="58"/>
    </row>
    <row r="34" spans="1:63" ht="15" customHeight="1" x14ac:dyDescent="0.25">
      <c r="A34" s="57"/>
      <c r="K34" s="62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63"/>
      <c r="BK34" s="58"/>
    </row>
    <row r="35" spans="1:63" ht="15" customHeight="1" x14ac:dyDescent="0.25">
      <c r="A35" s="57"/>
      <c r="K35" s="62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63"/>
      <c r="BK35" s="58"/>
    </row>
    <row r="36" spans="1:63" ht="15" customHeight="1" x14ac:dyDescent="0.25">
      <c r="A36" s="57"/>
      <c r="K36" s="62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63"/>
      <c r="BK36" s="58"/>
    </row>
    <row r="37" spans="1:63" ht="15" customHeight="1" thickBot="1" x14ac:dyDescent="0.3">
      <c r="A37" s="57"/>
      <c r="K37" s="66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8"/>
      <c r="BK37" s="58"/>
    </row>
    <row r="38" spans="1:63" ht="15" customHeight="1" thickTop="1" x14ac:dyDescent="0.25">
      <c r="A38" s="57"/>
      <c r="BK38" s="58"/>
    </row>
    <row r="39" spans="1:63" ht="15" customHeight="1" x14ac:dyDescent="0.25">
      <c r="A39" s="57"/>
      <c r="BK39" s="58"/>
    </row>
    <row r="40" spans="1:63" ht="15" customHeight="1" x14ac:dyDescent="0.25">
      <c r="A40" s="57"/>
      <c r="BK40" s="58"/>
    </row>
    <row r="41" spans="1:63" ht="15" customHeight="1" x14ac:dyDescent="0.25">
      <c r="A41" s="57"/>
      <c r="BK41" s="58"/>
    </row>
    <row r="42" spans="1:63" ht="15" customHeight="1" x14ac:dyDescent="0.25">
      <c r="A42" s="57"/>
      <c r="BK42" s="58"/>
    </row>
    <row r="43" spans="1:63" ht="15" customHeight="1" x14ac:dyDescent="0.25">
      <c r="A43" s="57"/>
      <c r="BK43" s="58"/>
    </row>
    <row r="44" spans="1:63" ht="15" customHeight="1" x14ac:dyDescent="0.25">
      <c r="A44" s="57"/>
      <c r="Q44" s="125" t="s">
        <v>148</v>
      </c>
      <c r="R44" s="126"/>
      <c r="S44" s="126"/>
      <c r="T44" s="126"/>
      <c r="U44" s="126"/>
      <c r="V44" s="126"/>
      <c r="W44" s="126"/>
      <c r="X44" s="126"/>
      <c r="Y44" s="126"/>
      <c r="Z44" s="127"/>
      <c r="AA44" s="125" t="s">
        <v>149</v>
      </c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7"/>
      <c r="AQ44" s="125" t="s">
        <v>142</v>
      </c>
      <c r="AR44" s="126"/>
      <c r="AS44" s="126"/>
      <c r="AT44" s="126"/>
      <c r="AU44" s="127"/>
      <c r="BK44" s="58"/>
    </row>
    <row r="45" spans="1:63" ht="15" customHeight="1" x14ac:dyDescent="0.25">
      <c r="A45" s="57"/>
      <c r="Q45" s="128"/>
      <c r="R45" s="129"/>
      <c r="S45" s="129"/>
      <c r="T45" s="129"/>
      <c r="U45" s="129"/>
      <c r="V45" s="129"/>
      <c r="W45" s="129"/>
      <c r="X45" s="129"/>
      <c r="Y45" s="129"/>
      <c r="Z45" s="130"/>
      <c r="AA45" s="128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30"/>
      <c r="AQ45" s="128"/>
      <c r="AR45" s="129"/>
      <c r="AS45" s="129"/>
      <c r="AT45" s="129"/>
      <c r="AU45" s="130"/>
      <c r="BK45" s="58"/>
    </row>
    <row r="46" spans="1:63" ht="15" customHeight="1" x14ac:dyDescent="0.25">
      <c r="A46" s="57"/>
      <c r="Q46" s="88"/>
      <c r="R46" s="89"/>
      <c r="S46" s="89"/>
      <c r="T46" s="89"/>
      <c r="U46" s="89"/>
      <c r="V46" s="89"/>
      <c r="W46" s="89"/>
      <c r="X46" s="89"/>
      <c r="Y46" s="89"/>
      <c r="Z46" s="90"/>
      <c r="AA46" s="88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90"/>
      <c r="AQ46" s="88"/>
      <c r="AR46" s="89"/>
      <c r="AS46" s="89"/>
      <c r="AT46" s="89"/>
      <c r="AU46" s="90"/>
      <c r="BK46" s="58"/>
    </row>
    <row r="47" spans="1:63" ht="15" customHeight="1" x14ac:dyDescent="0.25">
      <c r="A47" s="57"/>
      <c r="Q47" s="122"/>
      <c r="R47" s="123"/>
      <c r="S47" s="123"/>
      <c r="T47" s="123"/>
      <c r="U47" s="123"/>
      <c r="V47" s="123"/>
      <c r="W47" s="123"/>
      <c r="X47" s="123"/>
      <c r="Y47" s="123"/>
      <c r="Z47" s="124"/>
      <c r="AA47" s="122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4"/>
      <c r="AQ47" s="122"/>
      <c r="AR47" s="123"/>
      <c r="AS47" s="123"/>
      <c r="AT47" s="123"/>
      <c r="AU47" s="124"/>
      <c r="BK47" s="58"/>
    </row>
    <row r="48" spans="1:63" ht="15" customHeight="1" x14ac:dyDescent="0.25">
      <c r="A48" s="57"/>
      <c r="Q48" s="122"/>
      <c r="R48" s="123"/>
      <c r="S48" s="123"/>
      <c r="T48" s="123"/>
      <c r="U48" s="123"/>
      <c r="V48" s="123"/>
      <c r="W48" s="123"/>
      <c r="X48" s="123"/>
      <c r="Y48" s="123"/>
      <c r="Z48" s="124"/>
      <c r="AA48" s="122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4"/>
      <c r="AQ48" s="122"/>
      <c r="AR48" s="123"/>
      <c r="AS48" s="123"/>
      <c r="AT48" s="123"/>
      <c r="AU48" s="124"/>
      <c r="BK48" s="58"/>
    </row>
    <row r="49" spans="1:63" ht="15" customHeight="1" x14ac:dyDescent="0.25">
      <c r="A49" s="57"/>
      <c r="Q49" s="91"/>
      <c r="R49" s="92"/>
      <c r="S49" s="92"/>
      <c r="T49" s="92"/>
      <c r="U49" s="92"/>
      <c r="V49" s="92"/>
      <c r="W49" s="92"/>
      <c r="X49" s="92"/>
      <c r="Y49" s="92"/>
      <c r="Z49" s="93"/>
      <c r="AA49" s="91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3"/>
      <c r="AQ49" s="91"/>
      <c r="AR49" s="92"/>
      <c r="AS49" s="92"/>
      <c r="AT49" s="92"/>
      <c r="AU49" s="93"/>
      <c r="BK49" s="58"/>
    </row>
    <row r="50" spans="1:63" ht="15" customHeight="1" x14ac:dyDescent="0.25">
      <c r="A50" s="57"/>
      <c r="BK50" s="58"/>
    </row>
    <row r="51" spans="1:63" ht="15" customHeight="1" x14ac:dyDescent="0.25">
      <c r="A51" s="57"/>
      <c r="BK51" s="58"/>
    </row>
    <row r="52" spans="1:63" ht="15" customHeight="1" x14ac:dyDescent="0.25">
      <c r="A52" s="57"/>
      <c r="BK52" s="58"/>
    </row>
    <row r="53" spans="1:63" ht="15" customHeight="1" x14ac:dyDescent="0.25">
      <c r="A53" s="57"/>
      <c r="BK53" s="58"/>
    </row>
    <row r="54" spans="1:63" ht="15" customHeight="1" x14ac:dyDescent="0.25">
      <c r="A54" s="57"/>
      <c r="BK54" s="58"/>
    </row>
    <row r="55" spans="1:63" ht="15" customHeight="1" x14ac:dyDescent="0.25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6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3" customWidth="1"/>
    <col min="61" max="16384" width="2.77734375" style="53"/>
  </cols>
  <sheetData>
    <row r="1" spans="1:63" ht="24.95" customHeight="1" x14ac:dyDescent="0.25">
      <c r="A1" s="85" t="s">
        <v>135</v>
      </c>
      <c r="B1" s="86"/>
      <c r="C1" s="86"/>
      <c r="D1" s="86"/>
      <c r="E1" s="86"/>
      <c r="F1" s="86"/>
      <c r="G1" s="86"/>
      <c r="H1" s="86"/>
      <c r="I1" s="86"/>
      <c r="J1" s="87"/>
      <c r="K1" s="85" t="s">
        <v>136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7"/>
      <c r="W1" s="131" t="str">
        <f>IF(表紙!W1="","",表紙!W1)</f>
        <v>詳細設計書</v>
      </c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7"/>
      <c r="AP1" s="85" t="s">
        <v>138</v>
      </c>
      <c r="AQ1" s="86"/>
      <c r="AR1" s="86"/>
      <c r="AS1" s="87"/>
      <c r="AT1" s="85" t="s">
        <v>139</v>
      </c>
      <c r="AU1" s="86"/>
      <c r="AV1" s="86"/>
      <c r="AW1" s="86"/>
      <c r="AX1" s="87"/>
      <c r="AY1" s="85" t="s">
        <v>140</v>
      </c>
      <c r="AZ1" s="86"/>
      <c r="BA1" s="86"/>
      <c r="BB1" s="87"/>
      <c r="BC1" s="85" t="s">
        <v>141</v>
      </c>
      <c r="BD1" s="86"/>
      <c r="BE1" s="86"/>
      <c r="BF1" s="86"/>
      <c r="BG1" s="87"/>
      <c r="BH1" s="85" t="s">
        <v>142</v>
      </c>
      <c r="BI1" s="86"/>
      <c r="BJ1" s="86"/>
      <c r="BK1" s="87"/>
    </row>
    <row r="2" spans="1:63" ht="15" customHeight="1" x14ac:dyDescent="0.25">
      <c r="A2" s="88" t="str">
        <f>IF(表紙!A2="","",表紙!A2)</f>
        <v>POSサーバー</v>
      </c>
      <c r="B2" s="89"/>
      <c r="C2" s="89"/>
      <c r="D2" s="89"/>
      <c r="E2" s="89"/>
      <c r="F2" s="89"/>
      <c r="G2" s="89"/>
      <c r="H2" s="89"/>
      <c r="I2" s="89"/>
      <c r="J2" s="90"/>
      <c r="K2" s="88" t="str">
        <f>IF(表紙!K2="","",表紙!K2)</f>
        <v>POSサーバー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  <c r="W2" s="98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100"/>
      <c r="AP2" s="88" t="str">
        <f>IF(表紙!AP2="","",表紙!AP2)</f>
        <v>LoiLV</v>
      </c>
      <c r="AQ2" s="89"/>
      <c r="AR2" s="89"/>
      <c r="AS2" s="90"/>
      <c r="AT2" s="116">
        <f>IF(表紙!AT2="","",表紙!AT2)</f>
        <v>45469</v>
      </c>
      <c r="AU2" s="117"/>
      <c r="AV2" s="117"/>
      <c r="AW2" s="117"/>
      <c r="AX2" s="118"/>
      <c r="AY2" s="88" t="str">
        <f>IF(表紙!AY2="","",表紙!AY2)</f>
        <v>LoiLV</v>
      </c>
      <c r="AZ2" s="89"/>
      <c r="BA2" s="89"/>
      <c r="BB2" s="90"/>
      <c r="BC2" s="116">
        <f>IF(表紙!BC2="","",表紙!BC2)</f>
        <v>45469</v>
      </c>
      <c r="BD2" s="117"/>
      <c r="BE2" s="117"/>
      <c r="BF2" s="117"/>
      <c r="BG2" s="118"/>
      <c r="BH2" s="88">
        <f>IF(表紙!BH2="","",表紙!BH2)</f>
        <v>0.1</v>
      </c>
      <c r="BI2" s="89"/>
      <c r="BJ2" s="89"/>
      <c r="BK2" s="90"/>
    </row>
    <row r="3" spans="1:63" ht="15" customHeight="1" x14ac:dyDescent="0.25">
      <c r="A3" s="91"/>
      <c r="B3" s="92"/>
      <c r="C3" s="92"/>
      <c r="D3" s="92"/>
      <c r="E3" s="92"/>
      <c r="F3" s="92"/>
      <c r="G3" s="92"/>
      <c r="H3" s="92"/>
      <c r="I3" s="92"/>
      <c r="J3" s="93"/>
      <c r="K3" s="91"/>
      <c r="L3" s="92"/>
      <c r="M3" s="92"/>
      <c r="N3" s="92"/>
      <c r="O3" s="92"/>
      <c r="P3" s="92"/>
      <c r="Q3" s="92"/>
      <c r="R3" s="92"/>
      <c r="S3" s="92"/>
      <c r="T3" s="92"/>
      <c r="U3" s="92"/>
      <c r="V3" s="93"/>
      <c r="W3" s="101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3"/>
      <c r="AP3" s="91"/>
      <c r="AQ3" s="92"/>
      <c r="AR3" s="92"/>
      <c r="AS3" s="93"/>
      <c r="AT3" s="119"/>
      <c r="AU3" s="120"/>
      <c r="AV3" s="120"/>
      <c r="AW3" s="120"/>
      <c r="AX3" s="121"/>
      <c r="AY3" s="91"/>
      <c r="AZ3" s="92"/>
      <c r="BA3" s="92"/>
      <c r="BB3" s="93"/>
      <c r="BC3" s="119"/>
      <c r="BD3" s="120"/>
      <c r="BE3" s="120"/>
      <c r="BF3" s="120"/>
      <c r="BG3" s="121"/>
      <c r="BH3" s="91"/>
      <c r="BI3" s="92"/>
      <c r="BJ3" s="92"/>
      <c r="BK3" s="93"/>
    </row>
    <row r="4" spans="1:63" ht="24.95" customHeight="1" x14ac:dyDescent="0.25">
      <c r="A4" s="85" t="s">
        <v>150</v>
      </c>
      <c r="B4" s="86"/>
      <c r="C4" s="86"/>
      <c r="D4" s="86"/>
      <c r="E4" s="86"/>
      <c r="F4" s="86"/>
      <c r="G4" s="87"/>
      <c r="H4" s="106" t="str">
        <f>IF(表紙!H4="","",表紙!H4)</f>
        <v>AP6603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8"/>
      <c r="U4" s="85" t="s">
        <v>145</v>
      </c>
      <c r="V4" s="86"/>
      <c r="W4" s="86"/>
      <c r="X4" s="86"/>
      <c r="Y4" s="87"/>
      <c r="Z4" s="106" t="str">
        <f>IF(表紙!Z4="","",表紙!Z4)</f>
        <v>API設計書</v>
      </c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8"/>
      <c r="AP4" s="106" t="str">
        <f t="array" aca="1" ref="AP4" ca="1">RIGHT(CELL("filename",$A$1),LEN(CELL("filename",$A$1))-FIND("]",CELL("filename",$A$1)))</f>
        <v>改訂履歴</v>
      </c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8"/>
    </row>
    <row r="5" spans="1:63" ht="5.0999999999999996" customHeight="1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</row>
    <row r="6" spans="1:63" ht="15" customHeight="1" x14ac:dyDescent="0.25">
      <c r="A6" s="57"/>
      <c r="BK6" s="58"/>
    </row>
    <row r="7" spans="1:63" ht="15" customHeight="1" x14ac:dyDescent="0.25">
      <c r="A7" s="57"/>
      <c r="BK7" s="58"/>
    </row>
    <row r="8" spans="1:63" ht="15" customHeight="1" x14ac:dyDescent="0.25">
      <c r="A8" s="57"/>
      <c r="B8" s="53" t="s">
        <v>0</v>
      </c>
      <c r="BK8" s="58"/>
    </row>
    <row r="9" spans="1:63" ht="15" customHeight="1" x14ac:dyDescent="0.25">
      <c r="A9" s="57"/>
      <c r="BK9" s="58"/>
    </row>
    <row r="10" spans="1:63" ht="15" customHeight="1" x14ac:dyDescent="0.25">
      <c r="A10" s="57"/>
      <c r="B10" s="144" t="s">
        <v>141</v>
      </c>
      <c r="C10" s="144"/>
      <c r="D10" s="144"/>
      <c r="E10" s="144"/>
      <c r="F10" s="144"/>
      <c r="G10" s="144"/>
      <c r="H10" s="144" t="s">
        <v>140</v>
      </c>
      <c r="I10" s="144"/>
      <c r="J10" s="144"/>
      <c r="K10" s="144"/>
      <c r="L10" s="144"/>
      <c r="M10" s="144"/>
      <c r="N10" s="144"/>
      <c r="O10" s="144" t="s">
        <v>142</v>
      </c>
      <c r="P10" s="144"/>
      <c r="Q10" s="144"/>
      <c r="R10" s="144"/>
      <c r="S10" s="144" t="s">
        <v>151</v>
      </c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 t="s">
        <v>148</v>
      </c>
      <c r="AY10" s="144"/>
      <c r="AZ10" s="144"/>
      <c r="BA10" s="144"/>
      <c r="BB10" s="144"/>
      <c r="BC10" s="144"/>
      <c r="BD10" s="144" t="s">
        <v>149</v>
      </c>
      <c r="BE10" s="144"/>
      <c r="BF10" s="144"/>
      <c r="BG10" s="144"/>
      <c r="BH10" s="144"/>
      <c r="BI10" s="144"/>
      <c r="BJ10" s="144"/>
      <c r="BK10" s="58"/>
    </row>
    <row r="11" spans="1:63" ht="15" customHeight="1" x14ac:dyDescent="0.25">
      <c r="A11" s="57"/>
      <c r="B11" s="116">
        <v>45469</v>
      </c>
      <c r="C11" s="89"/>
      <c r="D11" s="89"/>
      <c r="E11" s="89"/>
      <c r="F11" s="89"/>
      <c r="G11" s="90"/>
      <c r="H11" s="94" t="s">
        <v>152</v>
      </c>
      <c r="I11" s="89"/>
      <c r="J11" s="89"/>
      <c r="K11" s="89"/>
      <c r="L11" s="89"/>
      <c r="M11" s="89"/>
      <c r="N11" s="90"/>
      <c r="O11" s="88">
        <v>0.1</v>
      </c>
      <c r="P11" s="89"/>
      <c r="Q11" s="89"/>
      <c r="R11" s="89"/>
      <c r="S11" s="132" t="s">
        <v>2</v>
      </c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4"/>
      <c r="AX11" s="135"/>
      <c r="AY11" s="135"/>
      <c r="AZ11" s="135"/>
      <c r="BA11" s="135"/>
      <c r="BB11" s="135"/>
      <c r="BC11" s="136"/>
      <c r="BD11" s="139"/>
      <c r="BE11" s="135"/>
      <c r="BF11" s="135"/>
      <c r="BG11" s="135"/>
      <c r="BH11" s="135"/>
      <c r="BI11" s="135"/>
      <c r="BJ11" s="136"/>
      <c r="BK11" s="58"/>
    </row>
    <row r="12" spans="1:63" ht="15" customHeight="1" x14ac:dyDescent="0.25">
      <c r="A12" s="57"/>
      <c r="B12" s="91"/>
      <c r="C12" s="92"/>
      <c r="D12" s="92"/>
      <c r="E12" s="92"/>
      <c r="F12" s="92"/>
      <c r="G12" s="93"/>
      <c r="H12" s="91"/>
      <c r="I12" s="92"/>
      <c r="J12" s="92"/>
      <c r="K12" s="92"/>
      <c r="L12" s="92"/>
      <c r="M12" s="92"/>
      <c r="N12" s="93"/>
      <c r="O12" s="91"/>
      <c r="P12" s="92"/>
      <c r="Q12" s="92"/>
      <c r="R12" s="92"/>
      <c r="S12" s="141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3"/>
      <c r="AX12" s="137"/>
      <c r="AY12" s="137"/>
      <c r="AZ12" s="137"/>
      <c r="BA12" s="137"/>
      <c r="BB12" s="137"/>
      <c r="BC12" s="138"/>
      <c r="BD12" s="140"/>
      <c r="BE12" s="137"/>
      <c r="BF12" s="137"/>
      <c r="BG12" s="137"/>
      <c r="BH12" s="137"/>
      <c r="BI12" s="137"/>
      <c r="BJ12" s="138"/>
      <c r="BK12" s="58"/>
    </row>
    <row r="13" spans="1:63" ht="15" customHeight="1" x14ac:dyDescent="0.25">
      <c r="A13" s="57"/>
      <c r="B13" s="116"/>
      <c r="C13" s="89"/>
      <c r="D13" s="89"/>
      <c r="E13" s="89"/>
      <c r="F13" s="89"/>
      <c r="G13" s="90"/>
      <c r="H13" s="88"/>
      <c r="I13" s="89"/>
      <c r="J13" s="89"/>
      <c r="K13" s="89"/>
      <c r="L13" s="89"/>
      <c r="M13" s="89"/>
      <c r="N13" s="90"/>
      <c r="O13" s="88"/>
      <c r="P13" s="89"/>
      <c r="Q13" s="89"/>
      <c r="R13" s="89"/>
      <c r="S13" s="132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4"/>
      <c r="AX13" s="135"/>
      <c r="AY13" s="135"/>
      <c r="AZ13" s="135"/>
      <c r="BA13" s="135"/>
      <c r="BB13" s="135"/>
      <c r="BC13" s="136"/>
      <c r="BD13" s="139"/>
      <c r="BE13" s="135"/>
      <c r="BF13" s="135"/>
      <c r="BG13" s="135"/>
      <c r="BH13" s="135"/>
      <c r="BI13" s="135"/>
      <c r="BJ13" s="136"/>
      <c r="BK13" s="58"/>
    </row>
    <row r="14" spans="1:63" ht="15" customHeight="1" x14ac:dyDescent="0.25">
      <c r="A14" s="57"/>
      <c r="B14" s="91"/>
      <c r="C14" s="92"/>
      <c r="D14" s="92"/>
      <c r="E14" s="92"/>
      <c r="F14" s="92"/>
      <c r="G14" s="93"/>
      <c r="H14" s="91"/>
      <c r="I14" s="92"/>
      <c r="J14" s="92"/>
      <c r="K14" s="92"/>
      <c r="L14" s="92"/>
      <c r="M14" s="92"/>
      <c r="N14" s="93"/>
      <c r="O14" s="91"/>
      <c r="P14" s="92"/>
      <c r="Q14" s="92"/>
      <c r="R14" s="92"/>
      <c r="S14" s="141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3"/>
      <c r="AX14" s="137"/>
      <c r="AY14" s="137"/>
      <c r="AZ14" s="137"/>
      <c r="BA14" s="137"/>
      <c r="BB14" s="137"/>
      <c r="BC14" s="138"/>
      <c r="BD14" s="140"/>
      <c r="BE14" s="137"/>
      <c r="BF14" s="137"/>
      <c r="BG14" s="137"/>
      <c r="BH14" s="137"/>
      <c r="BI14" s="137"/>
      <c r="BJ14" s="138"/>
      <c r="BK14" s="58"/>
    </row>
    <row r="15" spans="1:63" ht="15" customHeight="1" x14ac:dyDescent="0.25">
      <c r="A15" s="57"/>
      <c r="B15" s="88"/>
      <c r="C15" s="89"/>
      <c r="D15" s="89"/>
      <c r="E15" s="89"/>
      <c r="F15" s="89"/>
      <c r="G15" s="90"/>
      <c r="H15" s="88"/>
      <c r="I15" s="89"/>
      <c r="J15" s="89"/>
      <c r="K15" s="89"/>
      <c r="L15" s="89"/>
      <c r="M15" s="89"/>
      <c r="N15" s="90"/>
      <c r="O15" s="88"/>
      <c r="P15" s="89"/>
      <c r="Q15" s="89"/>
      <c r="R15" s="89"/>
      <c r="S15" s="132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4"/>
      <c r="AX15" s="135"/>
      <c r="AY15" s="135"/>
      <c r="AZ15" s="135"/>
      <c r="BA15" s="135"/>
      <c r="BB15" s="135"/>
      <c r="BC15" s="136"/>
      <c r="BD15" s="139"/>
      <c r="BE15" s="135"/>
      <c r="BF15" s="135"/>
      <c r="BG15" s="135"/>
      <c r="BH15" s="135"/>
      <c r="BI15" s="135"/>
      <c r="BJ15" s="136"/>
      <c r="BK15" s="58"/>
    </row>
    <row r="16" spans="1:63" ht="15" customHeight="1" x14ac:dyDescent="0.25">
      <c r="A16" s="57"/>
      <c r="B16" s="91"/>
      <c r="C16" s="92"/>
      <c r="D16" s="92"/>
      <c r="E16" s="92"/>
      <c r="F16" s="92"/>
      <c r="G16" s="93"/>
      <c r="H16" s="91"/>
      <c r="I16" s="92"/>
      <c r="J16" s="92"/>
      <c r="K16" s="92"/>
      <c r="L16" s="92"/>
      <c r="M16" s="92"/>
      <c r="N16" s="93"/>
      <c r="O16" s="91"/>
      <c r="P16" s="92"/>
      <c r="Q16" s="92"/>
      <c r="R16" s="92"/>
      <c r="S16" s="141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3"/>
      <c r="AX16" s="137"/>
      <c r="AY16" s="137"/>
      <c r="AZ16" s="137"/>
      <c r="BA16" s="137"/>
      <c r="BB16" s="137"/>
      <c r="BC16" s="138"/>
      <c r="BD16" s="140"/>
      <c r="BE16" s="137"/>
      <c r="BF16" s="137"/>
      <c r="BG16" s="137"/>
      <c r="BH16" s="137"/>
      <c r="BI16" s="137"/>
      <c r="BJ16" s="138"/>
      <c r="BK16" s="58"/>
    </row>
    <row r="17" spans="1:63" ht="15" customHeight="1" x14ac:dyDescent="0.25">
      <c r="A17" s="57"/>
      <c r="B17" s="88"/>
      <c r="C17" s="89"/>
      <c r="D17" s="89"/>
      <c r="E17" s="89"/>
      <c r="F17" s="89"/>
      <c r="G17" s="90"/>
      <c r="H17" s="88"/>
      <c r="I17" s="89"/>
      <c r="J17" s="89"/>
      <c r="K17" s="89"/>
      <c r="L17" s="89"/>
      <c r="M17" s="89"/>
      <c r="N17" s="90"/>
      <c r="O17" s="88"/>
      <c r="P17" s="89"/>
      <c r="Q17" s="89"/>
      <c r="R17" s="89"/>
      <c r="S17" s="132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4"/>
      <c r="AX17" s="135"/>
      <c r="AY17" s="135"/>
      <c r="AZ17" s="135"/>
      <c r="BA17" s="135"/>
      <c r="BB17" s="135"/>
      <c r="BC17" s="136"/>
      <c r="BD17" s="139"/>
      <c r="BE17" s="135"/>
      <c r="BF17" s="135"/>
      <c r="BG17" s="135"/>
      <c r="BH17" s="135"/>
      <c r="BI17" s="135"/>
      <c r="BJ17" s="136"/>
      <c r="BK17" s="58"/>
    </row>
    <row r="18" spans="1:63" ht="15" customHeight="1" x14ac:dyDescent="0.25">
      <c r="A18" s="57"/>
      <c r="B18" s="91"/>
      <c r="C18" s="92"/>
      <c r="D18" s="92"/>
      <c r="E18" s="92"/>
      <c r="F18" s="92"/>
      <c r="G18" s="93"/>
      <c r="H18" s="91"/>
      <c r="I18" s="92"/>
      <c r="J18" s="92"/>
      <c r="K18" s="92"/>
      <c r="L18" s="92"/>
      <c r="M18" s="92"/>
      <c r="N18" s="93"/>
      <c r="O18" s="91"/>
      <c r="P18" s="92"/>
      <c r="Q18" s="92"/>
      <c r="R18" s="92"/>
      <c r="S18" s="141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3"/>
      <c r="AX18" s="137"/>
      <c r="AY18" s="137"/>
      <c r="AZ18" s="137"/>
      <c r="BA18" s="137"/>
      <c r="BB18" s="137"/>
      <c r="BC18" s="138"/>
      <c r="BD18" s="140"/>
      <c r="BE18" s="137"/>
      <c r="BF18" s="137"/>
      <c r="BG18" s="137"/>
      <c r="BH18" s="137"/>
      <c r="BI18" s="137"/>
      <c r="BJ18" s="138"/>
      <c r="BK18" s="58"/>
    </row>
    <row r="19" spans="1:63" ht="15" customHeight="1" x14ac:dyDescent="0.25">
      <c r="A19" s="57"/>
      <c r="B19" s="88"/>
      <c r="C19" s="89"/>
      <c r="D19" s="89"/>
      <c r="E19" s="89"/>
      <c r="F19" s="89"/>
      <c r="G19" s="90"/>
      <c r="H19" s="88"/>
      <c r="I19" s="89"/>
      <c r="J19" s="89"/>
      <c r="K19" s="89"/>
      <c r="L19" s="89"/>
      <c r="M19" s="89"/>
      <c r="N19" s="90"/>
      <c r="O19" s="88"/>
      <c r="P19" s="89"/>
      <c r="Q19" s="89"/>
      <c r="R19" s="89"/>
      <c r="S19" s="132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4"/>
      <c r="AX19" s="135"/>
      <c r="AY19" s="135"/>
      <c r="AZ19" s="135"/>
      <c r="BA19" s="135"/>
      <c r="BB19" s="135"/>
      <c r="BC19" s="136"/>
      <c r="BD19" s="139"/>
      <c r="BE19" s="135"/>
      <c r="BF19" s="135"/>
      <c r="BG19" s="135"/>
      <c r="BH19" s="135"/>
      <c r="BI19" s="135"/>
      <c r="BJ19" s="136"/>
      <c r="BK19" s="58"/>
    </row>
    <row r="20" spans="1:63" ht="15" customHeight="1" x14ac:dyDescent="0.25">
      <c r="A20" s="57"/>
      <c r="B20" s="91"/>
      <c r="C20" s="92"/>
      <c r="D20" s="92"/>
      <c r="E20" s="92"/>
      <c r="F20" s="92"/>
      <c r="G20" s="93"/>
      <c r="H20" s="91"/>
      <c r="I20" s="92"/>
      <c r="J20" s="92"/>
      <c r="K20" s="92"/>
      <c r="L20" s="92"/>
      <c r="M20" s="92"/>
      <c r="N20" s="93"/>
      <c r="O20" s="91"/>
      <c r="P20" s="92"/>
      <c r="Q20" s="92"/>
      <c r="R20" s="92"/>
      <c r="S20" s="141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3"/>
      <c r="AX20" s="137"/>
      <c r="AY20" s="137"/>
      <c r="AZ20" s="137"/>
      <c r="BA20" s="137"/>
      <c r="BB20" s="137"/>
      <c r="BC20" s="138"/>
      <c r="BD20" s="140"/>
      <c r="BE20" s="137"/>
      <c r="BF20" s="137"/>
      <c r="BG20" s="137"/>
      <c r="BH20" s="137"/>
      <c r="BI20" s="137"/>
      <c r="BJ20" s="138"/>
      <c r="BK20" s="58"/>
    </row>
    <row r="21" spans="1:63" ht="15" customHeight="1" x14ac:dyDescent="0.25">
      <c r="A21" s="57"/>
      <c r="B21" s="88"/>
      <c r="C21" s="89"/>
      <c r="D21" s="89"/>
      <c r="E21" s="89"/>
      <c r="F21" s="89"/>
      <c r="G21" s="90"/>
      <c r="H21" s="88"/>
      <c r="I21" s="89"/>
      <c r="J21" s="89"/>
      <c r="K21" s="89"/>
      <c r="L21" s="89"/>
      <c r="M21" s="89"/>
      <c r="N21" s="90"/>
      <c r="O21" s="88"/>
      <c r="P21" s="89"/>
      <c r="Q21" s="89"/>
      <c r="R21" s="89"/>
      <c r="S21" s="132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4"/>
      <c r="AX21" s="135"/>
      <c r="AY21" s="135"/>
      <c r="AZ21" s="135"/>
      <c r="BA21" s="135"/>
      <c r="BB21" s="135"/>
      <c r="BC21" s="136"/>
      <c r="BD21" s="139"/>
      <c r="BE21" s="135"/>
      <c r="BF21" s="135"/>
      <c r="BG21" s="135"/>
      <c r="BH21" s="135"/>
      <c r="BI21" s="135"/>
      <c r="BJ21" s="136"/>
      <c r="BK21" s="58"/>
    </row>
    <row r="22" spans="1:63" ht="15" customHeight="1" x14ac:dyDescent="0.25">
      <c r="A22" s="57"/>
      <c r="B22" s="91"/>
      <c r="C22" s="92"/>
      <c r="D22" s="92"/>
      <c r="E22" s="92"/>
      <c r="F22" s="92"/>
      <c r="G22" s="93"/>
      <c r="H22" s="91"/>
      <c r="I22" s="92"/>
      <c r="J22" s="92"/>
      <c r="K22" s="92"/>
      <c r="L22" s="92"/>
      <c r="M22" s="92"/>
      <c r="N22" s="93"/>
      <c r="O22" s="91"/>
      <c r="P22" s="92"/>
      <c r="Q22" s="92"/>
      <c r="R22" s="92"/>
      <c r="S22" s="141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3"/>
      <c r="AX22" s="137"/>
      <c r="AY22" s="137"/>
      <c r="AZ22" s="137"/>
      <c r="BA22" s="137"/>
      <c r="BB22" s="137"/>
      <c r="BC22" s="138"/>
      <c r="BD22" s="140"/>
      <c r="BE22" s="137"/>
      <c r="BF22" s="137"/>
      <c r="BG22" s="137"/>
      <c r="BH22" s="137"/>
      <c r="BI22" s="137"/>
      <c r="BJ22" s="138"/>
      <c r="BK22" s="58"/>
    </row>
    <row r="23" spans="1:63" ht="15" customHeight="1" x14ac:dyDescent="0.25">
      <c r="A23" s="57"/>
      <c r="B23" s="88"/>
      <c r="C23" s="89"/>
      <c r="D23" s="89"/>
      <c r="E23" s="89"/>
      <c r="F23" s="89"/>
      <c r="G23" s="90"/>
      <c r="H23" s="88"/>
      <c r="I23" s="89"/>
      <c r="J23" s="89"/>
      <c r="K23" s="89"/>
      <c r="L23" s="89"/>
      <c r="M23" s="89"/>
      <c r="N23" s="90"/>
      <c r="O23" s="88"/>
      <c r="P23" s="89"/>
      <c r="Q23" s="89"/>
      <c r="R23" s="89"/>
      <c r="S23" s="132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4"/>
      <c r="AX23" s="135"/>
      <c r="AY23" s="135"/>
      <c r="AZ23" s="135"/>
      <c r="BA23" s="135"/>
      <c r="BB23" s="135"/>
      <c r="BC23" s="136"/>
      <c r="BD23" s="139"/>
      <c r="BE23" s="135"/>
      <c r="BF23" s="135"/>
      <c r="BG23" s="135"/>
      <c r="BH23" s="135"/>
      <c r="BI23" s="135"/>
      <c r="BJ23" s="136"/>
      <c r="BK23" s="58"/>
    </row>
    <row r="24" spans="1:63" ht="15" customHeight="1" x14ac:dyDescent="0.25">
      <c r="A24" s="57"/>
      <c r="B24" s="91"/>
      <c r="C24" s="92"/>
      <c r="D24" s="92"/>
      <c r="E24" s="92"/>
      <c r="F24" s="92"/>
      <c r="G24" s="93"/>
      <c r="H24" s="91"/>
      <c r="I24" s="92"/>
      <c r="J24" s="92"/>
      <c r="K24" s="92"/>
      <c r="L24" s="92"/>
      <c r="M24" s="92"/>
      <c r="N24" s="93"/>
      <c r="O24" s="91"/>
      <c r="P24" s="92"/>
      <c r="Q24" s="92"/>
      <c r="R24" s="92"/>
      <c r="S24" s="141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3"/>
      <c r="AX24" s="137"/>
      <c r="AY24" s="137"/>
      <c r="AZ24" s="137"/>
      <c r="BA24" s="137"/>
      <c r="BB24" s="137"/>
      <c r="BC24" s="138"/>
      <c r="BD24" s="140"/>
      <c r="BE24" s="137"/>
      <c r="BF24" s="137"/>
      <c r="BG24" s="137"/>
      <c r="BH24" s="137"/>
      <c r="BI24" s="137"/>
      <c r="BJ24" s="138"/>
      <c r="BK24" s="58"/>
    </row>
    <row r="25" spans="1:63" ht="15" customHeight="1" x14ac:dyDescent="0.25">
      <c r="A25" s="57"/>
      <c r="B25" s="88"/>
      <c r="C25" s="89"/>
      <c r="D25" s="89"/>
      <c r="E25" s="89"/>
      <c r="F25" s="89"/>
      <c r="G25" s="90"/>
      <c r="H25" s="88"/>
      <c r="I25" s="89"/>
      <c r="J25" s="89"/>
      <c r="K25" s="89"/>
      <c r="L25" s="89"/>
      <c r="M25" s="89"/>
      <c r="N25" s="90"/>
      <c r="O25" s="88"/>
      <c r="P25" s="89"/>
      <c r="Q25" s="89"/>
      <c r="R25" s="89"/>
      <c r="S25" s="132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4"/>
      <c r="AX25" s="135"/>
      <c r="AY25" s="135"/>
      <c r="AZ25" s="135"/>
      <c r="BA25" s="135"/>
      <c r="BB25" s="135"/>
      <c r="BC25" s="136"/>
      <c r="BD25" s="139"/>
      <c r="BE25" s="135"/>
      <c r="BF25" s="135"/>
      <c r="BG25" s="135"/>
      <c r="BH25" s="135"/>
      <c r="BI25" s="135"/>
      <c r="BJ25" s="136"/>
      <c r="BK25" s="58"/>
    </row>
    <row r="26" spans="1:63" ht="15" customHeight="1" x14ac:dyDescent="0.25">
      <c r="A26" s="57"/>
      <c r="B26" s="91"/>
      <c r="C26" s="92"/>
      <c r="D26" s="92"/>
      <c r="E26" s="92"/>
      <c r="F26" s="92"/>
      <c r="G26" s="93"/>
      <c r="H26" s="91"/>
      <c r="I26" s="92"/>
      <c r="J26" s="92"/>
      <c r="K26" s="92"/>
      <c r="L26" s="92"/>
      <c r="M26" s="92"/>
      <c r="N26" s="93"/>
      <c r="O26" s="91"/>
      <c r="P26" s="92"/>
      <c r="Q26" s="92"/>
      <c r="R26" s="92"/>
      <c r="S26" s="141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3"/>
      <c r="AX26" s="137"/>
      <c r="AY26" s="137"/>
      <c r="AZ26" s="137"/>
      <c r="BA26" s="137"/>
      <c r="BB26" s="137"/>
      <c r="BC26" s="138"/>
      <c r="BD26" s="140"/>
      <c r="BE26" s="137"/>
      <c r="BF26" s="137"/>
      <c r="BG26" s="137"/>
      <c r="BH26" s="137"/>
      <c r="BI26" s="137"/>
      <c r="BJ26" s="138"/>
      <c r="BK26" s="58"/>
    </row>
    <row r="27" spans="1:63" ht="15" customHeight="1" x14ac:dyDescent="0.25">
      <c r="A27" s="57"/>
      <c r="B27" s="88"/>
      <c r="C27" s="89"/>
      <c r="D27" s="89"/>
      <c r="E27" s="89"/>
      <c r="F27" s="89"/>
      <c r="G27" s="90"/>
      <c r="H27" s="88"/>
      <c r="I27" s="89"/>
      <c r="J27" s="89"/>
      <c r="K27" s="89"/>
      <c r="L27" s="89"/>
      <c r="M27" s="89"/>
      <c r="N27" s="90"/>
      <c r="O27" s="88"/>
      <c r="P27" s="89"/>
      <c r="Q27" s="89"/>
      <c r="R27" s="89"/>
      <c r="S27" s="132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4"/>
      <c r="AX27" s="135"/>
      <c r="AY27" s="135"/>
      <c r="AZ27" s="135"/>
      <c r="BA27" s="135"/>
      <c r="BB27" s="135"/>
      <c r="BC27" s="136"/>
      <c r="BD27" s="139"/>
      <c r="BE27" s="135"/>
      <c r="BF27" s="135"/>
      <c r="BG27" s="135"/>
      <c r="BH27" s="135"/>
      <c r="BI27" s="135"/>
      <c r="BJ27" s="136"/>
      <c r="BK27" s="58"/>
    </row>
    <row r="28" spans="1:63" ht="15" customHeight="1" x14ac:dyDescent="0.25">
      <c r="A28" s="57"/>
      <c r="B28" s="91"/>
      <c r="C28" s="92"/>
      <c r="D28" s="92"/>
      <c r="E28" s="92"/>
      <c r="F28" s="92"/>
      <c r="G28" s="93"/>
      <c r="H28" s="91"/>
      <c r="I28" s="92"/>
      <c r="J28" s="92"/>
      <c r="K28" s="92"/>
      <c r="L28" s="92"/>
      <c r="M28" s="92"/>
      <c r="N28" s="93"/>
      <c r="O28" s="91"/>
      <c r="P28" s="92"/>
      <c r="Q28" s="92"/>
      <c r="R28" s="92"/>
      <c r="S28" s="141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3"/>
      <c r="AX28" s="137"/>
      <c r="AY28" s="137"/>
      <c r="AZ28" s="137"/>
      <c r="BA28" s="137"/>
      <c r="BB28" s="137"/>
      <c r="BC28" s="138"/>
      <c r="BD28" s="140"/>
      <c r="BE28" s="137"/>
      <c r="BF28" s="137"/>
      <c r="BG28" s="137"/>
      <c r="BH28" s="137"/>
      <c r="BI28" s="137"/>
      <c r="BJ28" s="138"/>
      <c r="BK28" s="58"/>
    </row>
    <row r="29" spans="1:63" ht="15" customHeight="1" x14ac:dyDescent="0.25">
      <c r="A29" s="57"/>
      <c r="B29" s="88"/>
      <c r="C29" s="89"/>
      <c r="D29" s="89"/>
      <c r="E29" s="89"/>
      <c r="F29" s="89"/>
      <c r="G29" s="90"/>
      <c r="H29" s="88"/>
      <c r="I29" s="89"/>
      <c r="J29" s="89"/>
      <c r="K29" s="89"/>
      <c r="L29" s="89"/>
      <c r="M29" s="89"/>
      <c r="N29" s="90"/>
      <c r="O29" s="88"/>
      <c r="P29" s="89"/>
      <c r="Q29" s="89"/>
      <c r="R29" s="89"/>
      <c r="S29" s="132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4"/>
      <c r="AX29" s="135"/>
      <c r="AY29" s="135"/>
      <c r="AZ29" s="135"/>
      <c r="BA29" s="135"/>
      <c r="BB29" s="135"/>
      <c r="BC29" s="136"/>
      <c r="BD29" s="139"/>
      <c r="BE29" s="135"/>
      <c r="BF29" s="135"/>
      <c r="BG29" s="135"/>
      <c r="BH29" s="135"/>
      <c r="BI29" s="135"/>
      <c r="BJ29" s="136"/>
      <c r="BK29" s="58"/>
    </row>
    <row r="30" spans="1:63" ht="15" customHeight="1" x14ac:dyDescent="0.25">
      <c r="A30" s="57"/>
      <c r="B30" s="91"/>
      <c r="C30" s="92"/>
      <c r="D30" s="92"/>
      <c r="E30" s="92"/>
      <c r="F30" s="92"/>
      <c r="G30" s="93"/>
      <c r="H30" s="91"/>
      <c r="I30" s="92"/>
      <c r="J30" s="92"/>
      <c r="K30" s="92"/>
      <c r="L30" s="92"/>
      <c r="M30" s="92"/>
      <c r="N30" s="93"/>
      <c r="O30" s="91"/>
      <c r="P30" s="92"/>
      <c r="Q30" s="92"/>
      <c r="R30" s="92"/>
      <c r="S30" s="141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3"/>
      <c r="AX30" s="137"/>
      <c r="AY30" s="137"/>
      <c r="AZ30" s="137"/>
      <c r="BA30" s="137"/>
      <c r="BB30" s="137"/>
      <c r="BC30" s="138"/>
      <c r="BD30" s="140"/>
      <c r="BE30" s="137"/>
      <c r="BF30" s="137"/>
      <c r="BG30" s="137"/>
      <c r="BH30" s="137"/>
      <c r="BI30" s="137"/>
      <c r="BJ30" s="138"/>
      <c r="BK30" s="58"/>
    </row>
    <row r="31" spans="1:63" ht="15" customHeight="1" x14ac:dyDescent="0.25">
      <c r="A31" s="57"/>
      <c r="B31" s="88"/>
      <c r="C31" s="89"/>
      <c r="D31" s="89"/>
      <c r="E31" s="89"/>
      <c r="F31" s="89"/>
      <c r="G31" s="90"/>
      <c r="H31" s="88"/>
      <c r="I31" s="89"/>
      <c r="J31" s="89"/>
      <c r="K31" s="89"/>
      <c r="L31" s="89"/>
      <c r="M31" s="89"/>
      <c r="N31" s="90"/>
      <c r="O31" s="88"/>
      <c r="P31" s="89"/>
      <c r="Q31" s="89"/>
      <c r="R31" s="89"/>
      <c r="S31" s="132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4"/>
      <c r="AX31" s="135"/>
      <c r="AY31" s="135"/>
      <c r="AZ31" s="135"/>
      <c r="BA31" s="135"/>
      <c r="BB31" s="135"/>
      <c r="BC31" s="136"/>
      <c r="BD31" s="139"/>
      <c r="BE31" s="135"/>
      <c r="BF31" s="135"/>
      <c r="BG31" s="135"/>
      <c r="BH31" s="135"/>
      <c r="BI31" s="135"/>
      <c r="BJ31" s="136"/>
      <c r="BK31" s="58"/>
    </row>
    <row r="32" spans="1:63" ht="15" customHeight="1" x14ac:dyDescent="0.25">
      <c r="A32" s="57"/>
      <c r="B32" s="91"/>
      <c r="C32" s="92"/>
      <c r="D32" s="92"/>
      <c r="E32" s="92"/>
      <c r="F32" s="92"/>
      <c r="G32" s="93"/>
      <c r="H32" s="91"/>
      <c r="I32" s="92"/>
      <c r="J32" s="92"/>
      <c r="K32" s="92"/>
      <c r="L32" s="92"/>
      <c r="M32" s="92"/>
      <c r="N32" s="93"/>
      <c r="O32" s="91"/>
      <c r="P32" s="92"/>
      <c r="Q32" s="92"/>
      <c r="R32" s="92"/>
      <c r="S32" s="141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3"/>
      <c r="AX32" s="137"/>
      <c r="AY32" s="137"/>
      <c r="AZ32" s="137"/>
      <c r="BA32" s="137"/>
      <c r="BB32" s="137"/>
      <c r="BC32" s="138"/>
      <c r="BD32" s="140"/>
      <c r="BE32" s="137"/>
      <c r="BF32" s="137"/>
      <c r="BG32" s="137"/>
      <c r="BH32" s="137"/>
      <c r="BI32" s="137"/>
      <c r="BJ32" s="138"/>
      <c r="BK32" s="58"/>
    </row>
    <row r="33" spans="1:63" ht="15" customHeight="1" x14ac:dyDescent="0.25">
      <c r="A33" s="57"/>
      <c r="B33" s="88"/>
      <c r="C33" s="89"/>
      <c r="D33" s="89"/>
      <c r="E33" s="89"/>
      <c r="F33" s="89"/>
      <c r="G33" s="90"/>
      <c r="H33" s="88"/>
      <c r="I33" s="89"/>
      <c r="J33" s="89"/>
      <c r="K33" s="89"/>
      <c r="L33" s="89"/>
      <c r="M33" s="89"/>
      <c r="N33" s="90"/>
      <c r="O33" s="88"/>
      <c r="P33" s="89"/>
      <c r="Q33" s="89"/>
      <c r="R33" s="89"/>
      <c r="S33" s="132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4"/>
      <c r="AX33" s="135"/>
      <c r="AY33" s="135"/>
      <c r="AZ33" s="135"/>
      <c r="BA33" s="135"/>
      <c r="BB33" s="135"/>
      <c r="BC33" s="136"/>
      <c r="BD33" s="139"/>
      <c r="BE33" s="135"/>
      <c r="BF33" s="135"/>
      <c r="BG33" s="135"/>
      <c r="BH33" s="135"/>
      <c r="BI33" s="135"/>
      <c r="BJ33" s="136"/>
      <c r="BK33" s="58"/>
    </row>
    <row r="34" spans="1:63" ht="15" customHeight="1" x14ac:dyDescent="0.25">
      <c r="A34" s="57"/>
      <c r="B34" s="91"/>
      <c r="C34" s="92"/>
      <c r="D34" s="92"/>
      <c r="E34" s="92"/>
      <c r="F34" s="92"/>
      <c r="G34" s="93"/>
      <c r="H34" s="91"/>
      <c r="I34" s="92"/>
      <c r="J34" s="92"/>
      <c r="K34" s="92"/>
      <c r="L34" s="92"/>
      <c r="M34" s="92"/>
      <c r="N34" s="93"/>
      <c r="O34" s="91"/>
      <c r="P34" s="92"/>
      <c r="Q34" s="92"/>
      <c r="R34" s="92"/>
      <c r="S34" s="141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3"/>
      <c r="AX34" s="137"/>
      <c r="AY34" s="137"/>
      <c r="AZ34" s="137"/>
      <c r="BA34" s="137"/>
      <c r="BB34" s="137"/>
      <c r="BC34" s="138"/>
      <c r="BD34" s="140"/>
      <c r="BE34" s="137"/>
      <c r="BF34" s="137"/>
      <c r="BG34" s="137"/>
      <c r="BH34" s="137"/>
      <c r="BI34" s="137"/>
      <c r="BJ34" s="138"/>
      <c r="BK34" s="58"/>
    </row>
    <row r="35" spans="1:63" ht="15" customHeight="1" x14ac:dyDescent="0.25">
      <c r="A35" s="57"/>
      <c r="B35" s="88"/>
      <c r="C35" s="89"/>
      <c r="D35" s="89"/>
      <c r="E35" s="89"/>
      <c r="F35" s="89"/>
      <c r="G35" s="90"/>
      <c r="H35" s="88"/>
      <c r="I35" s="89"/>
      <c r="J35" s="89"/>
      <c r="K35" s="89"/>
      <c r="L35" s="89"/>
      <c r="M35" s="89"/>
      <c r="N35" s="90"/>
      <c r="O35" s="88"/>
      <c r="P35" s="89"/>
      <c r="Q35" s="89"/>
      <c r="R35" s="89"/>
      <c r="S35" s="132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4"/>
      <c r="AX35" s="135"/>
      <c r="AY35" s="135"/>
      <c r="AZ35" s="135"/>
      <c r="BA35" s="135"/>
      <c r="BB35" s="135"/>
      <c r="BC35" s="136"/>
      <c r="BD35" s="139"/>
      <c r="BE35" s="135"/>
      <c r="BF35" s="135"/>
      <c r="BG35" s="135"/>
      <c r="BH35" s="135"/>
      <c r="BI35" s="135"/>
      <c r="BJ35" s="136"/>
      <c r="BK35" s="58"/>
    </row>
    <row r="36" spans="1:63" ht="15" customHeight="1" x14ac:dyDescent="0.25">
      <c r="A36" s="57"/>
      <c r="B36" s="91"/>
      <c r="C36" s="92"/>
      <c r="D36" s="92"/>
      <c r="E36" s="92"/>
      <c r="F36" s="92"/>
      <c r="G36" s="93"/>
      <c r="H36" s="91"/>
      <c r="I36" s="92"/>
      <c r="J36" s="92"/>
      <c r="K36" s="92"/>
      <c r="L36" s="92"/>
      <c r="M36" s="92"/>
      <c r="N36" s="93"/>
      <c r="O36" s="91"/>
      <c r="P36" s="92"/>
      <c r="Q36" s="92"/>
      <c r="R36" s="92"/>
      <c r="S36" s="141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3"/>
      <c r="AX36" s="137"/>
      <c r="AY36" s="137"/>
      <c r="AZ36" s="137"/>
      <c r="BA36" s="137"/>
      <c r="BB36" s="137"/>
      <c r="BC36" s="138"/>
      <c r="BD36" s="140"/>
      <c r="BE36" s="137"/>
      <c r="BF36" s="137"/>
      <c r="BG36" s="137"/>
      <c r="BH36" s="137"/>
      <c r="BI36" s="137"/>
      <c r="BJ36" s="138"/>
      <c r="BK36" s="58"/>
    </row>
    <row r="37" spans="1:63" ht="15" customHeight="1" x14ac:dyDescent="0.25">
      <c r="A37" s="57"/>
      <c r="B37" s="88"/>
      <c r="C37" s="89"/>
      <c r="D37" s="89"/>
      <c r="E37" s="89"/>
      <c r="F37" s="89"/>
      <c r="G37" s="90"/>
      <c r="H37" s="88"/>
      <c r="I37" s="89"/>
      <c r="J37" s="89"/>
      <c r="K37" s="89"/>
      <c r="L37" s="89"/>
      <c r="M37" s="89"/>
      <c r="N37" s="90"/>
      <c r="O37" s="88"/>
      <c r="P37" s="89"/>
      <c r="Q37" s="89"/>
      <c r="R37" s="89"/>
      <c r="S37" s="132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4"/>
      <c r="AX37" s="135"/>
      <c r="AY37" s="135"/>
      <c r="AZ37" s="135"/>
      <c r="BA37" s="135"/>
      <c r="BB37" s="135"/>
      <c r="BC37" s="136"/>
      <c r="BD37" s="139"/>
      <c r="BE37" s="135"/>
      <c r="BF37" s="135"/>
      <c r="BG37" s="135"/>
      <c r="BH37" s="135"/>
      <c r="BI37" s="135"/>
      <c r="BJ37" s="136"/>
      <c r="BK37" s="58"/>
    </row>
    <row r="38" spans="1:63" ht="15" customHeight="1" x14ac:dyDescent="0.25">
      <c r="A38" s="57"/>
      <c r="B38" s="91"/>
      <c r="C38" s="92"/>
      <c r="D38" s="92"/>
      <c r="E38" s="92"/>
      <c r="F38" s="92"/>
      <c r="G38" s="93"/>
      <c r="H38" s="91"/>
      <c r="I38" s="92"/>
      <c r="J38" s="92"/>
      <c r="K38" s="92"/>
      <c r="L38" s="92"/>
      <c r="M38" s="92"/>
      <c r="N38" s="93"/>
      <c r="O38" s="91"/>
      <c r="P38" s="92"/>
      <c r="Q38" s="92"/>
      <c r="R38" s="92"/>
      <c r="S38" s="141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3"/>
      <c r="AX38" s="137"/>
      <c r="AY38" s="137"/>
      <c r="AZ38" s="137"/>
      <c r="BA38" s="137"/>
      <c r="BB38" s="137"/>
      <c r="BC38" s="138"/>
      <c r="BD38" s="140"/>
      <c r="BE38" s="137"/>
      <c r="BF38" s="137"/>
      <c r="BG38" s="137"/>
      <c r="BH38" s="137"/>
      <c r="BI38" s="137"/>
      <c r="BJ38" s="138"/>
      <c r="BK38" s="58"/>
    </row>
    <row r="39" spans="1:63" ht="15" customHeight="1" x14ac:dyDescent="0.25">
      <c r="A39" s="57"/>
      <c r="B39" s="88"/>
      <c r="C39" s="89"/>
      <c r="D39" s="89"/>
      <c r="E39" s="89"/>
      <c r="F39" s="89"/>
      <c r="G39" s="90"/>
      <c r="H39" s="88"/>
      <c r="I39" s="89"/>
      <c r="J39" s="89"/>
      <c r="K39" s="89"/>
      <c r="L39" s="89"/>
      <c r="M39" s="89"/>
      <c r="N39" s="90"/>
      <c r="O39" s="88"/>
      <c r="P39" s="89"/>
      <c r="Q39" s="89"/>
      <c r="R39" s="89"/>
      <c r="S39" s="132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4"/>
      <c r="AX39" s="135"/>
      <c r="AY39" s="135"/>
      <c r="AZ39" s="135"/>
      <c r="BA39" s="135"/>
      <c r="BB39" s="135"/>
      <c r="BC39" s="136"/>
      <c r="BD39" s="139"/>
      <c r="BE39" s="135"/>
      <c r="BF39" s="135"/>
      <c r="BG39" s="135"/>
      <c r="BH39" s="135"/>
      <c r="BI39" s="135"/>
      <c r="BJ39" s="136"/>
      <c r="BK39" s="58"/>
    </row>
    <row r="40" spans="1:63" ht="15" customHeight="1" x14ac:dyDescent="0.25">
      <c r="A40" s="57"/>
      <c r="B40" s="91"/>
      <c r="C40" s="92"/>
      <c r="D40" s="92"/>
      <c r="E40" s="92"/>
      <c r="F40" s="92"/>
      <c r="G40" s="93"/>
      <c r="H40" s="91"/>
      <c r="I40" s="92"/>
      <c r="J40" s="92"/>
      <c r="K40" s="92"/>
      <c r="L40" s="92"/>
      <c r="M40" s="92"/>
      <c r="N40" s="93"/>
      <c r="O40" s="91"/>
      <c r="P40" s="92"/>
      <c r="Q40" s="92"/>
      <c r="R40" s="92"/>
      <c r="S40" s="141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3"/>
      <c r="AX40" s="137"/>
      <c r="AY40" s="137"/>
      <c r="AZ40" s="137"/>
      <c r="BA40" s="137"/>
      <c r="BB40" s="137"/>
      <c r="BC40" s="138"/>
      <c r="BD40" s="140"/>
      <c r="BE40" s="137"/>
      <c r="BF40" s="137"/>
      <c r="BG40" s="137"/>
      <c r="BH40" s="137"/>
      <c r="BI40" s="137"/>
      <c r="BJ40" s="138"/>
      <c r="BK40" s="58"/>
    </row>
    <row r="41" spans="1:63" ht="15" customHeight="1" x14ac:dyDescent="0.25">
      <c r="A41" s="57"/>
      <c r="B41" s="88"/>
      <c r="C41" s="89"/>
      <c r="D41" s="89"/>
      <c r="E41" s="89"/>
      <c r="F41" s="89"/>
      <c r="G41" s="90"/>
      <c r="H41" s="88"/>
      <c r="I41" s="89"/>
      <c r="J41" s="89"/>
      <c r="K41" s="89"/>
      <c r="L41" s="89"/>
      <c r="M41" s="89"/>
      <c r="N41" s="90"/>
      <c r="O41" s="88"/>
      <c r="P41" s="89"/>
      <c r="Q41" s="89"/>
      <c r="R41" s="89"/>
      <c r="S41" s="132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4"/>
      <c r="AX41" s="135"/>
      <c r="AY41" s="135"/>
      <c r="AZ41" s="135"/>
      <c r="BA41" s="135"/>
      <c r="BB41" s="135"/>
      <c r="BC41" s="136"/>
      <c r="BD41" s="139"/>
      <c r="BE41" s="135"/>
      <c r="BF41" s="135"/>
      <c r="BG41" s="135"/>
      <c r="BH41" s="135"/>
      <c r="BI41" s="135"/>
      <c r="BJ41" s="136"/>
      <c r="BK41" s="58"/>
    </row>
    <row r="42" spans="1:63" ht="15" customHeight="1" x14ac:dyDescent="0.25">
      <c r="A42" s="57"/>
      <c r="B42" s="91"/>
      <c r="C42" s="92"/>
      <c r="D42" s="92"/>
      <c r="E42" s="92"/>
      <c r="F42" s="92"/>
      <c r="G42" s="93"/>
      <c r="H42" s="91"/>
      <c r="I42" s="92"/>
      <c r="J42" s="92"/>
      <c r="K42" s="92"/>
      <c r="L42" s="92"/>
      <c r="M42" s="92"/>
      <c r="N42" s="93"/>
      <c r="O42" s="91"/>
      <c r="P42" s="92"/>
      <c r="Q42" s="92"/>
      <c r="R42" s="92"/>
      <c r="S42" s="141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3"/>
      <c r="AX42" s="137"/>
      <c r="AY42" s="137"/>
      <c r="AZ42" s="137"/>
      <c r="BA42" s="137"/>
      <c r="BB42" s="137"/>
      <c r="BC42" s="138"/>
      <c r="BD42" s="140"/>
      <c r="BE42" s="137"/>
      <c r="BF42" s="137"/>
      <c r="BG42" s="137"/>
      <c r="BH42" s="137"/>
      <c r="BI42" s="137"/>
      <c r="BJ42" s="138"/>
      <c r="BK42" s="58"/>
    </row>
    <row r="43" spans="1:63" ht="15" customHeight="1" x14ac:dyDescent="0.25">
      <c r="A43" s="57"/>
      <c r="B43" s="88"/>
      <c r="C43" s="89"/>
      <c r="D43" s="89"/>
      <c r="E43" s="89"/>
      <c r="F43" s="89"/>
      <c r="G43" s="90"/>
      <c r="H43" s="88"/>
      <c r="I43" s="89"/>
      <c r="J43" s="89"/>
      <c r="K43" s="89"/>
      <c r="L43" s="89"/>
      <c r="M43" s="89"/>
      <c r="N43" s="90"/>
      <c r="O43" s="88"/>
      <c r="P43" s="89"/>
      <c r="Q43" s="89"/>
      <c r="R43" s="89"/>
      <c r="S43" s="132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4"/>
      <c r="AX43" s="135"/>
      <c r="AY43" s="135"/>
      <c r="AZ43" s="135"/>
      <c r="BA43" s="135"/>
      <c r="BB43" s="135"/>
      <c r="BC43" s="136"/>
      <c r="BD43" s="139"/>
      <c r="BE43" s="135"/>
      <c r="BF43" s="135"/>
      <c r="BG43" s="135"/>
      <c r="BH43" s="135"/>
      <c r="BI43" s="135"/>
      <c r="BJ43" s="136"/>
      <c r="BK43" s="58"/>
    </row>
    <row r="44" spans="1:63" ht="15" customHeight="1" x14ac:dyDescent="0.25">
      <c r="A44" s="57"/>
      <c r="B44" s="91"/>
      <c r="C44" s="92"/>
      <c r="D44" s="92"/>
      <c r="E44" s="92"/>
      <c r="F44" s="92"/>
      <c r="G44" s="93"/>
      <c r="H44" s="91"/>
      <c r="I44" s="92"/>
      <c r="J44" s="92"/>
      <c r="K44" s="92"/>
      <c r="L44" s="92"/>
      <c r="M44" s="92"/>
      <c r="N44" s="93"/>
      <c r="O44" s="91"/>
      <c r="P44" s="92"/>
      <c r="Q44" s="92"/>
      <c r="R44" s="92"/>
      <c r="S44" s="141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3"/>
      <c r="AX44" s="137"/>
      <c r="AY44" s="137"/>
      <c r="AZ44" s="137"/>
      <c r="BA44" s="137"/>
      <c r="BB44" s="137"/>
      <c r="BC44" s="138"/>
      <c r="BD44" s="140"/>
      <c r="BE44" s="137"/>
      <c r="BF44" s="137"/>
      <c r="BG44" s="137"/>
      <c r="BH44" s="137"/>
      <c r="BI44" s="137"/>
      <c r="BJ44" s="138"/>
      <c r="BK44" s="58"/>
    </row>
    <row r="45" spans="1:63" ht="15" customHeight="1" x14ac:dyDescent="0.25">
      <c r="A45" s="57"/>
      <c r="B45" s="88"/>
      <c r="C45" s="89"/>
      <c r="D45" s="89"/>
      <c r="E45" s="89"/>
      <c r="F45" s="89"/>
      <c r="G45" s="90"/>
      <c r="H45" s="88"/>
      <c r="I45" s="89"/>
      <c r="J45" s="89"/>
      <c r="K45" s="89"/>
      <c r="L45" s="89"/>
      <c r="M45" s="89"/>
      <c r="N45" s="90"/>
      <c r="O45" s="88"/>
      <c r="P45" s="89"/>
      <c r="Q45" s="89"/>
      <c r="R45" s="89"/>
      <c r="S45" s="132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4"/>
      <c r="AX45" s="135"/>
      <c r="AY45" s="135"/>
      <c r="AZ45" s="135"/>
      <c r="BA45" s="135"/>
      <c r="BB45" s="135"/>
      <c r="BC45" s="136"/>
      <c r="BD45" s="139"/>
      <c r="BE45" s="135"/>
      <c r="BF45" s="135"/>
      <c r="BG45" s="135"/>
      <c r="BH45" s="135"/>
      <c r="BI45" s="135"/>
      <c r="BJ45" s="136"/>
      <c r="BK45" s="58"/>
    </row>
    <row r="46" spans="1:63" ht="15" customHeight="1" x14ac:dyDescent="0.25">
      <c r="A46" s="57"/>
      <c r="B46" s="91"/>
      <c r="C46" s="92"/>
      <c r="D46" s="92"/>
      <c r="E46" s="92"/>
      <c r="F46" s="92"/>
      <c r="G46" s="93"/>
      <c r="H46" s="91"/>
      <c r="I46" s="92"/>
      <c r="J46" s="92"/>
      <c r="K46" s="92"/>
      <c r="L46" s="92"/>
      <c r="M46" s="92"/>
      <c r="N46" s="93"/>
      <c r="O46" s="91"/>
      <c r="P46" s="92"/>
      <c r="Q46" s="92"/>
      <c r="R46" s="92"/>
      <c r="S46" s="141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3"/>
      <c r="AX46" s="137"/>
      <c r="AY46" s="137"/>
      <c r="AZ46" s="137"/>
      <c r="BA46" s="137"/>
      <c r="BB46" s="137"/>
      <c r="BC46" s="138"/>
      <c r="BD46" s="140"/>
      <c r="BE46" s="137"/>
      <c r="BF46" s="137"/>
      <c r="BG46" s="137"/>
      <c r="BH46" s="137"/>
      <c r="BI46" s="137"/>
      <c r="BJ46" s="138"/>
      <c r="BK46" s="58"/>
    </row>
    <row r="47" spans="1:63" ht="15" customHeight="1" x14ac:dyDescent="0.25">
      <c r="A47" s="57"/>
      <c r="B47" s="88"/>
      <c r="C47" s="89"/>
      <c r="D47" s="89"/>
      <c r="E47" s="89"/>
      <c r="F47" s="89"/>
      <c r="G47" s="90"/>
      <c r="H47" s="88"/>
      <c r="I47" s="89"/>
      <c r="J47" s="89"/>
      <c r="K47" s="89"/>
      <c r="L47" s="89"/>
      <c r="M47" s="89"/>
      <c r="N47" s="90"/>
      <c r="O47" s="88"/>
      <c r="P47" s="89"/>
      <c r="Q47" s="89"/>
      <c r="R47" s="89"/>
      <c r="S47" s="132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4"/>
      <c r="AX47" s="135"/>
      <c r="AY47" s="135"/>
      <c r="AZ47" s="135"/>
      <c r="BA47" s="135"/>
      <c r="BB47" s="135"/>
      <c r="BC47" s="136"/>
      <c r="BD47" s="139"/>
      <c r="BE47" s="135"/>
      <c r="BF47" s="135"/>
      <c r="BG47" s="135"/>
      <c r="BH47" s="135"/>
      <c r="BI47" s="135"/>
      <c r="BJ47" s="136"/>
      <c r="BK47" s="58"/>
    </row>
    <row r="48" spans="1:63" ht="15" customHeight="1" x14ac:dyDescent="0.25">
      <c r="A48" s="57"/>
      <c r="B48" s="91"/>
      <c r="C48" s="92"/>
      <c r="D48" s="92"/>
      <c r="E48" s="92"/>
      <c r="F48" s="92"/>
      <c r="G48" s="93"/>
      <c r="H48" s="91"/>
      <c r="I48" s="92"/>
      <c r="J48" s="92"/>
      <c r="K48" s="92"/>
      <c r="L48" s="92"/>
      <c r="M48" s="92"/>
      <c r="N48" s="93"/>
      <c r="O48" s="91"/>
      <c r="P48" s="92"/>
      <c r="Q48" s="92"/>
      <c r="R48" s="92"/>
      <c r="S48" s="141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3"/>
      <c r="AX48" s="137"/>
      <c r="AY48" s="137"/>
      <c r="AZ48" s="137"/>
      <c r="BA48" s="137"/>
      <c r="BB48" s="137"/>
      <c r="BC48" s="138"/>
      <c r="BD48" s="140"/>
      <c r="BE48" s="137"/>
      <c r="BF48" s="137"/>
      <c r="BG48" s="137"/>
      <c r="BH48" s="137"/>
      <c r="BI48" s="137"/>
      <c r="BJ48" s="138"/>
      <c r="BK48" s="58"/>
    </row>
    <row r="49" spans="1:63" ht="15" customHeight="1" x14ac:dyDescent="0.25">
      <c r="A49" s="57"/>
      <c r="B49" s="88"/>
      <c r="C49" s="89"/>
      <c r="D49" s="89"/>
      <c r="E49" s="89"/>
      <c r="F49" s="89"/>
      <c r="G49" s="90"/>
      <c r="H49" s="88"/>
      <c r="I49" s="89"/>
      <c r="J49" s="89"/>
      <c r="K49" s="89"/>
      <c r="L49" s="89"/>
      <c r="M49" s="89"/>
      <c r="N49" s="90"/>
      <c r="O49" s="88"/>
      <c r="P49" s="89"/>
      <c r="Q49" s="89"/>
      <c r="R49" s="89"/>
      <c r="S49" s="132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4"/>
      <c r="AX49" s="135"/>
      <c r="AY49" s="135"/>
      <c r="AZ49" s="135"/>
      <c r="BA49" s="135"/>
      <c r="BB49" s="135"/>
      <c r="BC49" s="136"/>
      <c r="BD49" s="139"/>
      <c r="BE49" s="135"/>
      <c r="BF49" s="135"/>
      <c r="BG49" s="135"/>
      <c r="BH49" s="135"/>
      <c r="BI49" s="135"/>
      <c r="BJ49" s="136"/>
      <c r="BK49" s="58"/>
    </row>
    <row r="50" spans="1:63" ht="15" customHeight="1" x14ac:dyDescent="0.25">
      <c r="A50" s="57"/>
      <c r="B50" s="91"/>
      <c r="C50" s="92"/>
      <c r="D50" s="92"/>
      <c r="E50" s="92"/>
      <c r="F50" s="92"/>
      <c r="G50" s="93"/>
      <c r="H50" s="91"/>
      <c r="I50" s="92"/>
      <c r="J50" s="92"/>
      <c r="K50" s="92"/>
      <c r="L50" s="92"/>
      <c r="M50" s="92"/>
      <c r="N50" s="93"/>
      <c r="O50" s="91"/>
      <c r="P50" s="92"/>
      <c r="Q50" s="92"/>
      <c r="R50" s="92"/>
      <c r="S50" s="141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3"/>
      <c r="AX50" s="137"/>
      <c r="AY50" s="137"/>
      <c r="AZ50" s="137"/>
      <c r="BA50" s="137"/>
      <c r="BB50" s="137"/>
      <c r="BC50" s="138"/>
      <c r="BD50" s="140"/>
      <c r="BE50" s="137"/>
      <c r="BF50" s="137"/>
      <c r="BG50" s="137"/>
      <c r="BH50" s="137"/>
      <c r="BI50" s="137"/>
      <c r="BJ50" s="138"/>
      <c r="BK50" s="58"/>
    </row>
    <row r="51" spans="1:63" ht="15" customHeight="1" x14ac:dyDescent="0.25">
      <c r="A51" s="57"/>
      <c r="B51" s="88"/>
      <c r="C51" s="89"/>
      <c r="D51" s="89"/>
      <c r="E51" s="89"/>
      <c r="F51" s="89"/>
      <c r="G51" s="90"/>
      <c r="H51" s="88"/>
      <c r="I51" s="89"/>
      <c r="J51" s="89"/>
      <c r="K51" s="89"/>
      <c r="L51" s="89"/>
      <c r="M51" s="89"/>
      <c r="N51" s="90"/>
      <c r="O51" s="88"/>
      <c r="P51" s="89"/>
      <c r="Q51" s="89"/>
      <c r="R51" s="89"/>
      <c r="S51" s="132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4"/>
      <c r="AX51" s="135"/>
      <c r="AY51" s="135"/>
      <c r="AZ51" s="135"/>
      <c r="BA51" s="135"/>
      <c r="BB51" s="135"/>
      <c r="BC51" s="136"/>
      <c r="BD51" s="139"/>
      <c r="BE51" s="135"/>
      <c r="BF51" s="135"/>
      <c r="BG51" s="135"/>
      <c r="BH51" s="135"/>
      <c r="BI51" s="135"/>
      <c r="BJ51" s="136"/>
      <c r="BK51" s="58"/>
    </row>
    <row r="52" spans="1:63" ht="15" customHeight="1" x14ac:dyDescent="0.25">
      <c r="A52" s="57"/>
      <c r="B52" s="91"/>
      <c r="C52" s="92"/>
      <c r="D52" s="92"/>
      <c r="E52" s="92"/>
      <c r="F52" s="92"/>
      <c r="G52" s="93"/>
      <c r="H52" s="91"/>
      <c r="I52" s="92"/>
      <c r="J52" s="92"/>
      <c r="K52" s="92"/>
      <c r="L52" s="92"/>
      <c r="M52" s="92"/>
      <c r="N52" s="93"/>
      <c r="O52" s="91"/>
      <c r="P52" s="92"/>
      <c r="Q52" s="92"/>
      <c r="R52" s="92"/>
      <c r="S52" s="141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3"/>
      <c r="AX52" s="137"/>
      <c r="AY52" s="137"/>
      <c r="AZ52" s="137"/>
      <c r="BA52" s="137"/>
      <c r="BB52" s="137"/>
      <c r="BC52" s="138"/>
      <c r="BD52" s="140"/>
      <c r="BE52" s="137"/>
      <c r="BF52" s="137"/>
      <c r="BG52" s="137"/>
      <c r="BH52" s="137"/>
      <c r="BI52" s="137"/>
      <c r="BJ52" s="138"/>
      <c r="BK52" s="58"/>
    </row>
    <row r="53" spans="1:63" ht="15" customHeight="1" x14ac:dyDescent="0.25">
      <c r="A53" s="57"/>
      <c r="B53" s="88"/>
      <c r="C53" s="89"/>
      <c r="D53" s="89"/>
      <c r="E53" s="89"/>
      <c r="F53" s="89"/>
      <c r="G53" s="90"/>
      <c r="H53" s="88"/>
      <c r="I53" s="89"/>
      <c r="J53" s="89"/>
      <c r="K53" s="89"/>
      <c r="L53" s="89"/>
      <c r="M53" s="89"/>
      <c r="N53" s="90"/>
      <c r="O53" s="88"/>
      <c r="P53" s="89"/>
      <c r="Q53" s="89"/>
      <c r="R53" s="89"/>
      <c r="S53" s="132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4"/>
      <c r="AX53" s="135"/>
      <c r="AY53" s="135"/>
      <c r="AZ53" s="135"/>
      <c r="BA53" s="135"/>
      <c r="BB53" s="135"/>
      <c r="BC53" s="136"/>
      <c r="BD53" s="139"/>
      <c r="BE53" s="135"/>
      <c r="BF53" s="135"/>
      <c r="BG53" s="135"/>
      <c r="BH53" s="135"/>
      <c r="BI53" s="135"/>
      <c r="BJ53" s="136"/>
      <c r="BK53" s="58"/>
    </row>
    <row r="54" spans="1:63" ht="15" customHeight="1" x14ac:dyDescent="0.25">
      <c r="A54" s="57"/>
      <c r="B54" s="91"/>
      <c r="C54" s="92"/>
      <c r="D54" s="92"/>
      <c r="E54" s="92"/>
      <c r="F54" s="92"/>
      <c r="G54" s="93"/>
      <c r="H54" s="91"/>
      <c r="I54" s="92"/>
      <c r="J54" s="92"/>
      <c r="K54" s="92"/>
      <c r="L54" s="92"/>
      <c r="M54" s="92"/>
      <c r="N54" s="93"/>
      <c r="O54" s="91"/>
      <c r="P54" s="92"/>
      <c r="Q54" s="92"/>
      <c r="R54" s="92"/>
      <c r="S54" s="141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3"/>
      <c r="AX54" s="137"/>
      <c r="AY54" s="137"/>
      <c r="AZ54" s="137"/>
      <c r="BA54" s="137"/>
      <c r="BB54" s="137"/>
      <c r="BC54" s="138"/>
      <c r="BD54" s="140"/>
      <c r="BE54" s="137"/>
      <c r="BF54" s="137"/>
      <c r="BG54" s="137"/>
      <c r="BH54" s="137"/>
      <c r="BI54" s="137"/>
      <c r="BJ54" s="138"/>
      <c r="BK54" s="58"/>
    </row>
    <row r="55" spans="1:63" ht="15" customHeight="1" x14ac:dyDescent="0.25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6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5" t="s">
        <v>135</v>
      </c>
      <c r="B1" s="146"/>
      <c r="C1" s="146"/>
      <c r="D1" s="146"/>
      <c r="E1" s="146"/>
      <c r="F1" s="146"/>
      <c r="G1" s="146"/>
      <c r="H1" s="146"/>
      <c r="I1" s="146"/>
      <c r="J1" s="147"/>
      <c r="K1" s="145" t="s">
        <v>136</v>
      </c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  <c r="W1" s="158" t="str">
        <f>IF(表紙!W1="","",表紙!W1)</f>
        <v>詳細設計書</v>
      </c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60"/>
      <c r="AP1" s="85" t="s">
        <v>138</v>
      </c>
      <c r="AQ1" s="86"/>
      <c r="AR1" s="86"/>
      <c r="AS1" s="87"/>
      <c r="AT1" s="85" t="s">
        <v>139</v>
      </c>
      <c r="AU1" s="86"/>
      <c r="AV1" s="86"/>
      <c r="AW1" s="86"/>
      <c r="AX1" s="87"/>
      <c r="AY1" s="85" t="s">
        <v>140</v>
      </c>
      <c r="AZ1" s="86"/>
      <c r="BA1" s="86"/>
      <c r="BB1" s="87"/>
      <c r="BC1" s="85" t="s">
        <v>141</v>
      </c>
      <c r="BD1" s="86"/>
      <c r="BE1" s="86"/>
      <c r="BF1" s="86"/>
      <c r="BG1" s="87"/>
      <c r="BH1" s="85" t="s">
        <v>142</v>
      </c>
      <c r="BI1" s="86"/>
      <c r="BJ1" s="86"/>
      <c r="BK1" s="87"/>
    </row>
    <row r="2" spans="1:63" ht="15" customHeight="1" x14ac:dyDescent="0.25">
      <c r="A2" s="152" t="str">
        <f>IF(表紙!A2="","",表紙!A2)</f>
        <v>POSサーバー</v>
      </c>
      <c r="B2" s="153"/>
      <c r="C2" s="153"/>
      <c r="D2" s="153"/>
      <c r="E2" s="153"/>
      <c r="F2" s="153"/>
      <c r="G2" s="153"/>
      <c r="H2" s="153"/>
      <c r="I2" s="153"/>
      <c r="J2" s="154"/>
      <c r="K2" s="152" t="str">
        <f>IF(表紙!K2="","",表紙!K2)</f>
        <v>POSサーバー</v>
      </c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4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88" t="str">
        <f>IF(表紙!AP2="","",表紙!AP2)</f>
        <v>LoiLV</v>
      </c>
      <c r="AQ2" s="89"/>
      <c r="AR2" s="89"/>
      <c r="AS2" s="90"/>
      <c r="AT2" s="116">
        <f>IF(表紙!AT2="","",表紙!AT2)</f>
        <v>45469</v>
      </c>
      <c r="AU2" s="117"/>
      <c r="AV2" s="117"/>
      <c r="AW2" s="117"/>
      <c r="AX2" s="118"/>
      <c r="AY2" s="88" t="str">
        <f>IF(表紙!AY2="","",表紙!AY2)</f>
        <v>LoiLV</v>
      </c>
      <c r="AZ2" s="89"/>
      <c r="BA2" s="89"/>
      <c r="BB2" s="90"/>
      <c r="BC2" s="116">
        <f>IF(表紙!BC2="","",表紙!BC2)</f>
        <v>45469</v>
      </c>
      <c r="BD2" s="117"/>
      <c r="BE2" s="117"/>
      <c r="BF2" s="117"/>
      <c r="BG2" s="118"/>
      <c r="BH2" s="88">
        <f>IF(表紙!BH2="","",表紙!BH2)</f>
        <v>0.1</v>
      </c>
      <c r="BI2" s="89"/>
      <c r="BJ2" s="89"/>
      <c r="BK2" s="90"/>
    </row>
    <row r="3" spans="1:63" ht="1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7"/>
      <c r="K3" s="155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7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91"/>
      <c r="AQ3" s="92"/>
      <c r="AR3" s="92"/>
      <c r="AS3" s="93"/>
      <c r="AT3" s="119"/>
      <c r="AU3" s="120"/>
      <c r="AV3" s="120"/>
      <c r="AW3" s="120"/>
      <c r="AX3" s="121"/>
      <c r="AY3" s="91"/>
      <c r="AZ3" s="92"/>
      <c r="BA3" s="92"/>
      <c r="BB3" s="93"/>
      <c r="BC3" s="119"/>
      <c r="BD3" s="120"/>
      <c r="BE3" s="120"/>
      <c r="BF3" s="120"/>
      <c r="BG3" s="121"/>
      <c r="BH3" s="91"/>
      <c r="BI3" s="92"/>
      <c r="BJ3" s="92"/>
      <c r="BK3" s="93"/>
    </row>
    <row r="4" spans="1:63" ht="24.95" customHeight="1" x14ac:dyDescent="0.25">
      <c r="A4" s="145" t="s">
        <v>144</v>
      </c>
      <c r="B4" s="146"/>
      <c r="C4" s="146"/>
      <c r="D4" s="146"/>
      <c r="E4" s="146"/>
      <c r="F4" s="146"/>
      <c r="G4" s="147"/>
      <c r="H4" s="148" t="str">
        <f>IF(表紙!H4="","",表紙!H4)</f>
        <v>AP6603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45" t="s">
        <v>145</v>
      </c>
      <c r="V4" s="146"/>
      <c r="W4" s="146"/>
      <c r="X4" s="146"/>
      <c r="Y4" s="147"/>
      <c r="Z4" s="148" t="str">
        <f>IF(表紙!Z4="","",表紙!Z4)</f>
        <v>API設計書</v>
      </c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50"/>
      <c r="AP4" s="151" t="str">
        <f ca="1">MID(CELL("filename",A1),FIND("]",CELL("filename",A1))+1,255)</f>
        <v>処理フロー凡例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5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3" customFormat="1" ht="15" customHeight="1" x14ac:dyDescent="0.25">
      <c r="A7" s="69"/>
      <c r="B7" s="70" t="s">
        <v>153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2"/>
      <c r="AF7" s="73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2"/>
      <c r="BJ7" s="71"/>
      <c r="BK7" s="74"/>
    </row>
    <row r="8" spans="1:63" s="75" customFormat="1" ht="15" customHeight="1" x14ac:dyDescent="0.25">
      <c r="BK8" s="74"/>
    </row>
    <row r="9" spans="1:63" s="75" customFormat="1" ht="15" customHeight="1" x14ac:dyDescent="0.25">
      <c r="BK9" s="74"/>
    </row>
    <row r="10" spans="1:63" s="75" customFormat="1" ht="15" customHeight="1" x14ac:dyDescent="0.25">
      <c r="BK10" s="74"/>
    </row>
    <row r="11" spans="1:63" s="75" customFormat="1" ht="15" customHeight="1" x14ac:dyDescent="0.25">
      <c r="BK11" s="74"/>
    </row>
    <row r="12" spans="1:63" s="75" customFormat="1" ht="15" customHeight="1" x14ac:dyDescent="0.25">
      <c r="BK12" s="74"/>
    </row>
    <row r="13" spans="1:63" s="75" customFormat="1" ht="15" customHeight="1" x14ac:dyDescent="0.25">
      <c r="BK13" s="74"/>
    </row>
    <row r="14" spans="1:63" s="75" customFormat="1" ht="15" customHeight="1" x14ac:dyDescent="0.25">
      <c r="BK14" s="74"/>
    </row>
    <row r="15" spans="1:63" s="75" customFormat="1" ht="15" customHeight="1" x14ac:dyDescent="0.25">
      <c r="BK15" s="74"/>
    </row>
    <row r="16" spans="1:63" s="75" customFormat="1" ht="15" customHeight="1" x14ac:dyDescent="0.25">
      <c r="BK16" s="74"/>
    </row>
    <row r="17" spans="63:63" s="75" customFormat="1" ht="15" customHeight="1" x14ac:dyDescent="0.25">
      <c r="BK17" s="74"/>
    </row>
    <row r="18" spans="63:63" s="75" customFormat="1" ht="15" customHeight="1" x14ac:dyDescent="0.25">
      <c r="BK18" s="74"/>
    </row>
    <row r="19" spans="63:63" s="75" customFormat="1" ht="15" customHeight="1" x14ac:dyDescent="0.25">
      <c r="BK19" s="74"/>
    </row>
    <row r="20" spans="63:63" s="75" customFormat="1" ht="15" customHeight="1" x14ac:dyDescent="0.25">
      <c r="BK20" s="74"/>
    </row>
    <row r="21" spans="63:63" s="75" customFormat="1" ht="15" customHeight="1" x14ac:dyDescent="0.25">
      <c r="BK21" s="74"/>
    </row>
    <row r="22" spans="63:63" s="75" customFormat="1" ht="15" customHeight="1" x14ac:dyDescent="0.25">
      <c r="BK22" s="74"/>
    </row>
    <row r="23" spans="63:63" s="75" customFormat="1" ht="15" customHeight="1" x14ac:dyDescent="0.25">
      <c r="BK23" s="74"/>
    </row>
    <row r="24" spans="63:63" s="75" customFormat="1" ht="15" customHeight="1" x14ac:dyDescent="0.25">
      <c r="BK24" s="74"/>
    </row>
    <row r="25" spans="63:63" s="75" customFormat="1" ht="15" customHeight="1" x14ac:dyDescent="0.25">
      <c r="BK25" s="74"/>
    </row>
    <row r="26" spans="63:63" s="75" customFormat="1" ht="15" customHeight="1" x14ac:dyDescent="0.25">
      <c r="BK26" s="74"/>
    </row>
    <row r="27" spans="63:63" s="75" customFormat="1" ht="15" customHeight="1" x14ac:dyDescent="0.25">
      <c r="BK27" s="74"/>
    </row>
    <row r="28" spans="63:63" s="75" customFormat="1" ht="15" customHeight="1" x14ac:dyDescent="0.25">
      <c r="BK28" s="74"/>
    </row>
    <row r="29" spans="63:63" s="75" customFormat="1" ht="15" customHeight="1" x14ac:dyDescent="0.25">
      <c r="BK29" s="74"/>
    </row>
    <row r="30" spans="63:63" s="75" customFormat="1" ht="15" customHeight="1" x14ac:dyDescent="0.25">
      <c r="BK30" s="74"/>
    </row>
    <row r="31" spans="63:63" s="75" customFormat="1" ht="15" customHeight="1" x14ac:dyDescent="0.25">
      <c r="BK31" s="74"/>
    </row>
    <row r="32" spans="63:63" s="75" customFormat="1" ht="15" customHeight="1" x14ac:dyDescent="0.25">
      <c r="BK32" s="74"/>
    </row>
    <row r="33" spans="63:63" s="75" customFormat="1" ht="15" customHeight="1" x14ac:dyDescent="0.25">
      <c r="BK33" s="74"/>
    </row>
    <row r="34" spans="63:63" s="75" customFormat="1" ht="15" customHeight="1" x14ac:dyDescent="0.25">
      <c r="BK34" s="74"/>
    </row>
    <row r="35" spans="63:63" s="75" customFormat="1" ht="15" customHeight="1" x14ac:dyDescent="0.25">
      <c r="BK35" s="74"/>
    </row>
    <row r="36" spans="63:63" s="75" customFormat="1" ht="15" customHeight="1" x14ac:dyDescent="0.25">
      <c r="BK36" s="74"/>
    </row>
    <row r="37" spans="63:63" s="75" customFormat="1" ht="15" customHeight="1" x14ac:dyDescent="0.25">
      <c r="BK37" s="74"/>
    </row>
    <row r="38" spans="63:63" s="75" customFormat="1" ht="15" customHeight="1" x14ac:dyDescent="0.25">
      <c r="BK38" s="74"/>
    </row>
    <row r="39" spans="63:63" s="75" customFormat="1" ht="15" customHeight="1" x14ac:dyDescent="0.25">
      <c r="BK39" s="74"/>
    </row>
    <row r="40" spans="63:63" s="75" customFormat="1" ht="15" customHeight="1" x14ac:dyDescent="0.25">
      <c r="BK40" s="74"/>
    </row>
    <row r="41" spans="63:63" s="75" customFormat="1" ht="15" customHeight="1" x14ac:dyDescent="0.25">
      <c r="BK41" s="74"/>
    </row>
    <row r="42" spans="63:63" s="75" customFormat="1" ht="15" customHeight="1" x14ac:dyDescent="0.25">
      <c r="BK42" s="74"/>
    </row>
    <row r="43" spans="63:63" s="75" customFormat="1" ht="15" customHeight="1" x14ac:dyDescent="0.25">
      <c r="BK43" s="74"/>
    </row>
    <row r="44" spans="63:63" s="75" customFormat="1" ht="15" customHeight="1" x14ac:dyDescent="0.25">
      <c r="BK44" s="74"/>
    </row>
    <row r="45" spans="63:63" s="75" customFormat="1" ht="15" customHeight="1" x14ac:dyDescent="0.25">
      <c r="BK45" s="74"/>
    </row>
    <row r="46" spans="63:63" s="75" customFormat="1" ht="15" customHeight="1" x14ac:dyDescent="0.25">
      <c r="BK46" s="7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13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3.554687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45" t="s">
        <v>135</v>
      </c>
      <c r="B1" s="146"/>
      <c r="C1" s="146"/>
      <c r="D1" s="146"/>
      <c r="E1" s="146"/>
      <c r="F1" s="146"/>
      <c r="G1" s="146"/>
      <c r="H1" s="146"/>
      <c r="I1" s="146"/>
      <c r="J1" s="147"/>
      <c r="K1" s="145" t="s">
        <v>136</v>
      </c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  <c r="W1" s="158" t="str">
        <f>IF(表紙!W1="","",表紙!W1)</f>
        <v>詳細設計書</v>
      </c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60"/>
      <c r="AP1" s="85" t="s">
        <v>138</v>
      </c>
      <c r="AQ1" s="86"/>
      <c r="AR1" s="86"/>
      <c r="AS1" s="87"/>
      <c r="AT1" s="85" t="s">
        <v>139</v>
      </c>
      <c r="AU1" s="86"/>
      <c r="AV1" s="86"/>
      <c r="AW1" s="86"/>
      <c r="AX1" s="87"/>
      <c r="AY1" s="85" t="s">
        <v>140</v>
      </c>
      <c r="AZ1" s="86"/>
      <c r="BA1" s="86"/>
      <c r="BB1" s="87"/>
      <c r="BC1" s="85" t="s">
        <v>141</v>
      </c>
      <c r="BD1" s="86"/>
      <c r="BE1" s="86"/>
      <c r="BF1" s="86"/>
      <c r="BG1" s="87"/>
      <c r="BH1" s="85" t="s">
        <v>142</v>
      </c>
      <c r="BI1" s="86"/>
      <c r="BJ1" s="86"/>
      <c r="BK1" s="87"/>
    </row>
    <row r="2" spans="1:63" ht="15" customHeight="1" x14ac:dyDescent="0.25">
      <c r="A2" s="152" t="str">
        <f>IF(表紙!A2="","",表紙!A2)</f>
        <v>POSサーバー</v>
      </c>
      <c r="B2" s="153"/>
      <c r="C2" s="153"/>
      <c r="D2" s="153"/>
      <c r="E2" s="153"/>
      <c r="F2" s="153"/>
      <c r="G2" s="153"/>
      <c r="H2" s="153"/>
      <c r="I2" s="153"/>
      <c r="J2" s="154"/>
      <c r="K2" s="152" t="str">
        <f>IF(表紙!K2="","",表紙!K2)</f>
        <v>POSサーバー</v>
      </c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4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88" t="str">
        <f>IF(表紙!AP2="","",表紙!AP2)</f>
        <v>LoiLV</v>
      </c>
      <c r="AQ2" s="89"/>
      <c r="AR2" s="89"/>
      <c r="AS2" s="90"/>
      <c r="AT2" s="116">
        <f>IF(表紙!AT2="","",表紙!AT2)</f>
        <v>45469</v>
      </c>
      <c r="AU2" s="117"/>
      <c r="AV2" s="117"/>
      <c r="AW2" s="117"/>
      <c r="AX2" s="118"/>
      <c r="AY2" s="88" t="str">
        <f>IF(表紙!AY2="","",表紙!AY2)</f>
        <v>LoiLV</v>
      </c>
      <c r="AZ2" s="89"/>
      <c r="BA2" s="89"/>
      <c r="BB2" s="90"/>
      <c r="BC2" s="116">
        <f>IF(表紙!BC2="","",表紙!BC2)</f>
        <v>45469</v>
      </c>
      <c r="BD2" s="117"/>
      <c r="BE2" s="117"/>
      <c r="BF2" s="117"/>
      <c r="BG2" s="118"/>
      <c r="BH2" s="88">
        <f>IF(表紙!BH2="","",表紙!BH2)</f>
        <v>0.1</v>
      </c>
      <c r="BI2" s="89"/>
      <c r="BJ2" s="89"/>
      <c r="BK2" s="90"/>
    </row>
    <row r="3" spans="1:63" ht="1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7"/>
      <c r="K3" s="155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7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91"/>
      <c r="AQ3" s="92"/>
      <c r="AR3" s="92"/>
      <c r="AS3" s="93"/>
      <c r="AT3" s="119"/>
      <c r="AU3" s="120"/>
      <c r="AV3" s="120"/>
      <c r="AW3" s="120"/>
      <c r="AX3" s="121"/>
      <c r="AY3" s="91"/>
      <c r="AZ3" s="92"/>
      <c r="BA3" s="92"/>
      <c r="BB3" s="93"/>
      <c r="BC3" s="119"/>
      <c r="BD3" s="120"/>
      <c r="BE3" s="120"/>
      <c r="BF3" s="120"/>
      <c r="BG3" s="121"/>
      <c r="BH3" s="91"/>
      <c r="BI3" s="92"/>
      <c r="BJ3" s="92"/>
      <c r="BK3" s="93"/>
    </row>
    <row r="4" spans="1:63" ht="24.95" customHeight="1" x14ac:dyDescent="0.25">
      <c r="A4" s="145" t="s">
        <v>144</v>
      </c>
      <c r="B4" s="146"/>
      <c r="C4" s="146"/>
      <c r="D4" s="146"/>
      <c r="E4" s="146"/>
      <c r="F4" s="146"/>
      <c r="G4" s="147"/>
      <c r="H4" s="148" t="str">
        <f>IF(表紙!H4="","",表紙!H4)</f>
        <v>AP6603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45" t="s">
        <v>145</v>
      </c>
      <c r="V4" s="146"/>
      <c r="W4" s="146"/>
      <c r="X4" s="146"/>
      <c r="Y4" s="147"/>
      <c r="Z4" s="148" t="str">
        <f>IF(表紙!Z4="","",表紙!Z4)</f>
        <v>API設計書</v>
      </c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50"/>
      <c r="AP4" s="151" t="str">
        <f ca="1">MID(CELL("filename",A1),FIND("]",CELL("filename",A1))+1,255)</f>
        <v>AP6603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5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154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76"/>
      <c r="AQ7" s="76"/>
      <c r="AR7" s="76"/>
      <c r="AS7" s="76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77"/>
      <c r="AQ8" s="77"/>
      <c r="AR8" s="77"/>
      <c r="AS8" s="77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30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77"/>
      <c r="AQ9" s="77"/>
      <c r="AR9" s="77"/>
      <c r="AS9" s="77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20" t="s">
        <v>155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5"/>
    </row>
    <row r="12" spans="1:63" s="16" customFormat="1" ht="15" customHeight="1" x14ac:dyDescent="0.25">
      <c r="A12" s="11"/>
      <c r="B12" s="18"/>
      <c r="C12" s="21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9"/>
      <c r="BI12" s="19"/>
      <c r="BJ12" s="19"/>
      <c r="BK12" s="15"/>
    </row>
    <row r="13" spans="1:63" s="16" customFormat="1" ht="15" customHeight="1" x14ac:dyDescent="0.25">
      <c r="A13" s="11"/>
      <c r="B13" s="18"/>
      <c r="C13" s="21" t="s">
        <v>156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210" t="s">
        <v>14</v>
      </c>
      <c r="D15" s="211"/>
      <c r="E15" s="210" t="s">
        <v>15</v>
      </c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1"/>
      <c r="AG15" s="210" t="s">
        <v>16</v>
      </c>
      <c r="AH15" s="212"/>
      <c r="AI15" s="212"/>
      <c r="AJ15" s="212"/>
      <c r="AK15" s="212"/>
      <c r="AL15" s="212"/>
      <c r="AM15" s="212"/>
      <c r="AN15" s="212"/>
      <c r="AO15" s="212"/>
      <c r="AP15" s="211"/>
      <c r="AQ15" s="210" t="s">
        <v>17</v>
      </c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1"/>
      <c r="BK15" s="15"/>
    </row>
    <row r="16" spans="1:63" s="16" customFormat="1" ht="15" customHeight="1" x14ac:dyDescent="0.25">
      <c r="A16" s="11"/>
      <c r="B16" s="18"/>
      <c r="C16" s="173">
        <v>1</v>
      </c>
      <c r="D16" s="175"/>
      <c r="E16" s="204" t="s">
        <v>126</v>
      </c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5"/>
      <c r="AG16" s="173" t="s">
        <v>22</v>
      </c>
      <c r="AH16" s="174"/>
      <c r="AI16" s="174"/>
      <c r="AJ16" s="174"/>
      <c r="AK16" s="174"/>
      <c r="AL16" s="174"/>
      <c r="AM16" s="174"/>
      <c r="AN16" s="174"/>
      <c r="AO16" s="174"/>
      <c r="AP16" s="175"/>
      <c r="AQ16" s="255" t="s">
        <v>6</v>
      </c>
      <c r="AR16" s="208"/>
      <c r="AS16" s="208"/>
      <c r="AT16" s="208"/>
      <c r="AU16" s="208"/>
      <c r="AV16" s="208"/>
      <c r="AW16" s="208"/>
      <c r="AX16" s="208"/>
      <c r="AY16" s="208"/>
      <c r="AZ16" s="208"/>
      <c r="BA16" s="208"/>
      <c r="BB16" s="208"/>
      <c r="BC16" s="208"/>
      <c r="BD16" s="208"/>
      <c r="BE16" s="208"/>
      <c r="BF16" s="208"/>
      <c r="BG16" s="208"/>
      <c r="BH16" s="208"/>
      <c r="BI16" s="208"/>
      <c r="BJ16" s="209"/>
      <c r="BK16" s="15"/>
    </row>
    <row r="17" spans="1:63" s="16" customFormat="1" ht="15" customHeight="1" x14ac:dyDescent="0.25">
      <c r="A17" s="1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9"/>
      <c r="BI17" s="19"/>
      <c r="BJ17" s="19"/>
      <c r="BK17" s="15"/>
    </row>
    <row r="18" spans="1:63" s="16" customFormat="1" ht="15" customHeight="1" x14ac:dyDescent="0.25">
      <c r="A18" s="11"/>
      <c r="B18" s="18"/>
      <c r="C18" s="21" t="s">
        <v>157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213" t="s">
        <v>158</v>
      </c>
      <c r="D20" s="214"/>
      <c r="E20" s="213" t="s">
        <v>159</v>
      </c>
      <c r="F20" s="215"/>
      <c r="G20" s="215"/>
      <c r="H20" s="215"/>
      <c r="I20" s="215"/>
      <c r="J20" s="215"/>
      <c r="K20" s="214"/>
      <c r="L20" s="210" t="s">
        <v>18</v>
      </c>
      <c r="M20" s="212"/>
      <c r="N20" s="211"/>
      <c r="O20" s="210" t="s">
        <v>19</v>
      </c>
      <c r="P20" s="212"/>
      <c r="Q20" s="212"/>
      <c r="R20" s="211"/>
      <c r="S20" s="210" t="s">
        <v>20</v>
      </c>
      <c r="T20" s="212"/>
      <c r="U20" s="212"/>
      <c r="V20" s="212"/>
      <c r="W20" s="212"/>
      <c r="X20" s="212"/>
      <c r="Y20" s="211"/>
      <c r="Z20" s="213" t="s">
        <v>160</v>
      </c>
      <c r="AA20" s="215"/>
      <c r="AB20" s="215"/>
      <c r="AC20" s="215"/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15"/>
      <c r="AP20" s="214"/>
      <c r="AQ20" s="210" t="s">
        <v>17</v>
      </c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1"/>
      <c r="BK20" s="15"/>
    </row>
    <row r="21" spans="1:63" s="16" customFormat="1" ht="15" customHeight="1" x14ac:dyDescent="0.25">
      <c r="A21" s="11"/>
      <c r="B21" s="18"/>
      <c r="C21" s="188">
        <v>1</v>
      </c>
      <c r="D21" s="190"/>
      <c r="E21" s="194" t="s">
        <v>3</v>
      </c>
      <c r="F21" s="195"/>
      <c r="G21" s="195"/>
      <c r="H21" s="195"/>
      <c r="I21" s="195"/>
      <c r="J21" s="195"/>
      <c r="K21" s="196"/>
      <c r="L21" s="197" t="s">
        <v>4</v>
      </c>
      <c r="M21" s="198"/>
      <c r="N21" s="199"/>
      <c r="O21" s="188" t="s">
        <v>5</v>
      </c>
      <c r="P21" s="189"/>
      <c r="Q21" s="189"/>
      <c r="R21" s="190"/>
      <c r="S21" s="188" t="s">
        <v>6</v>
      </c>
      <c r="T21" s="189"/>
      <c r="U21" s="189"/>
      <c r="V21" s="189"/>
      <c r="W21" s="189"/>
      <c r="X21" s="189"/>
      <c r="Y21" s="190"/>
      <c r="Z21" s="194" t="s">
        <v>7</v>
      </c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6"/>
      <c r="AQ21" s="200" t="s">
        <v>161</v>
      </c>
      <c r="AR21" s="201"/>
      <c r="AS21" s="201"/>
      <c r="AT21" s="201"/>
      <c r="AU21" s="201"/>
      <c r="AV21" s="201"/>
      <c r="AW21" s="201"/>
      <c r="AX21" s="201"/>
      <c r="AY21" s="201"/>
      <c r="AZ21" s="201"/>
      <c r="BA21" s="201"/>
      <c r="BB21" s="201"/>
      <c r="BC21" s="201"/>
      <c r="BD21" s="201"/>
      <c r="BE21" s="201"/>
      <c r="BF21" s="201"/>
      <c r="BG21" s="201"/>
      <c r="BH21" s="201"/>
      <c r="BI21" s="201"/>
      <c r="BJ21" s="202"/>
      <c r="BK21" s="15"/>
    </row>
    <row r="22" spans="1:63" s="16" customFormat="1" ht="15" customHeight="1" x14ac:dyDescent="0.25">
      <c r="A22" s="11"/>
      <c r="B22" s="18"/>
      <c r="C22" s="221"/>
      <c r="D22" s="222"/>
      <c r="E22" s="231"/>
      <c r="F22" s="232"/>
      <c r="G22" s="232"/>
      <c r="H22" s="232"/>
      <c r="I22" s="232"/>
      <c r="J22" s="232"/>
      <c r="K22" s="233"/>
      <c r="L22" s="271"/>
      <c r="M22" s="272"/>
      <c r="N22" s="273"/>
      <c r="O22" s="221"/>
      <c r="P22" s="254"/>
      <c r="Q22" s="254"/>
      <c r="R22" s="222"/>
      <c r="S22" s="221"/>
      <c r="T22" s="254"/>
      <c r="U22" s="254"/>
      <c r="V22" s="254"/>
      <c r="W22" s="254"/>
      <c r="X22" s="254"/>
      <c r="Y22" s="222"/>
      <c r="Z22" s="231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  <c r="AP22" s="233"/>
      <c r="AQ22" s="274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5"/>
      <c r="BE22" s="275"/>
      <c r="BF22" s="275"/>
      <c r="BG22" s="275"/>
      <c r="BH22" s="275"/>
      <c r="BI22" s="275"/>
      <c r="BJ22" s="276"/>
      <c r="BK22" s="15"/>
    </row>
    <row r="23" spans="1:63" s="16" customFormat="1" ht="15" customHeight="1" x14ac:dyDescent="0.25">
      <c r="A23" s="11"/>
      <c r="B23" s="18"/>
      <c r="C23" s="173">
        <v>2</v>
      </c>
      <c r="D23" s="175"/>
      <c r="E23" s="167" t="s">
        <v>8</v>
      </c>
      <c r="F23" s="168"/>
      <c r="G23" s="168"/>
      <c r="H23" s="168"/>
      <c r="I23" s="168"/>
      <c r="J23" s="168"/>
      <c r="K23" s="169"/>
      <c r="L23" s="170" t="s">
        <v>6</v>
      </c>
      <c r="M23" s="171"/>
      <c r="N23" s="172"/>
      <c r="O23" s="173" t="s">
        <v>5</v>
      </c>
      <c r="P23" s="174"/>
      <c r="Q23" s="174"/>
      <c r="R23" s="175"/>
      <c r="S23" s="173" t="s">
        <v>6</v>
      </c>
      <c r="T23" s="174"/>
      <c r="U23" s="174"/>
      <c r="V23" s="174"/>
      <c r="W23" s="174"/>
      <c r="X23" s="174"/>
      <c r="Y23" s="175"/>
      <c r="Z23" s="167" t="s">
        <v>8</v>
      </c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9"/>
      <c r="AQ23" s="182" t="s">
        <v>9</v>
      </c>
      <c r="AR23" s="183"/>
      <c r="AS23" s="183"/>
      <c r="AT23" s="183"/>
      <c r="AU23" s="183"/>
      <c r="AV23" s="183"/>
      <c r="AW23" s="183"/>
      <c r="AX23" s="183"/>
      <c r="AY23" s="183"/>
      <c r="AZ23" s="183"/>
      <c r="BA23" s="183"/>
      <c r="BB23" s="183"/>
      <c r="BC23" s="183"/>
      <c r="BD23" s="183"/>
      <c r="BE23" s="183"/>
      <c r="BF23" s="183"/>
      <c r="BG23" s="183"/>
      <c r="BH23" s="183"/>
      <c r="BI23" s="183"/>
      <c r="BJ23" s="184"/>
      <c r="BK23" s="15"/>
    </row>
    <row r="24" spans="1:63" s="16" customFormat="1" ht="15" customHeight="1" x14ac:dyDescent="0.25">
      <c r="A24" s="11"/>
      <c r="B24" s="18"/>
      <c r="C24" s="188">
        <v>3</v>
      </c>
      <c r="D24" s="190"/>
      <c r="E24" s="194" t="s">
        <v>10</v>
      </c>
      <c r="F24" s="195"/>
      <c r="G24" s="195"/>
      <c r="H24" s="195"/>
      <c r="I24" s="195"/>
      <c r="J24" s="195"/>
      <c r="K24" s="196"/>
      <c r="L24" s="262" t="s">
        <v>4</v>
      </c>
      <c r="M24" s="263"/>
      <c r="N24" s="264"/>
      <c r="O24" s="236" t="s">
        <v>5</v>
      </c>
      <c r="P24" s="237"/>
      <c r="Q24" s="237"/>
      <c r="R24" s="238"/>
      <c r="S24" s="236" t="s">
        <v>6</v>
      </c>
      <c r="T24" s="237"/>
      <c r="U24" s="237"/>
      <c r="V24" s="237"/>
      <c r="W24" s="237"/>
      <c r="X24" s="237"/>
      <c r="Y24" s="238"/>
      <c r="Z24" s="245" t="s">
        <v>10</v>
      </c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7"/>
      <c r="AQ24" s="256" t="s">
        <v>162</v>
      </c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6"/>
      <c r="BG24" s="256"/>
      <c r="BH24" s="256"/>
      <c r="BI24" s="256"/>
      <c r="BJ24" s="257"/>
      <c r="BK24" s="15"/>
    </row>
    <row r="25" spans="1:63" s="16" customFormat="1" ht="15" customHeight="1" x14ac:dyDescent="0.25">
      <c r="A25" s="11"/>
      <c r="B25" s="18"/>
      <c r="C25" s="219"/>
      <c r="D25" s="220"/>
      <c r="E25" s="228"/>
      <c r="F25" s="229"/>
      <c r="G25" s="229"/>
      <c r="H25" s="229"/>
      <c r="I25" s="229"/>
      <c r="J25" s="229"/>
      <c r="K25" s="230"/>
      <c r="L25" s="265"/>
      <c r="M25" s="266"/>
      <c r="N25" s="267"/>
      <c r="O25" s="239"/>
      <c r="P25" s="240"/>
      <c r="Q25" s="240"/>
      <c r="R25" s="241"/>
      <c r="S25" s="239"/>
      <c r="T25" s="240"/>
      <c r="U25" s="240"/>
      <c r="V25" s="240"/>
      <c r="W25" s="240"/>
      <c r="X25" s="240"/>
      <c r="Y25" s="241"/>
      <c r="Z25" s="248"/>
      <c r="AA25" s="249"/>
      <c r="AB25" s="249"/>
      <c r="AC25" s="249"/>
      <c r="AD25" s="249"/>
      <c r="AE25" s="249"/>
      <c r="AF25" s="249"/>
      <c r="AG25" s="249"/>
      <c r="AH25" s="249"/>
      <c r="AI25" s="249"/>
      <c r="AJ25" s="249"/>
      <c r="AK25" s="249"/>
      <c r="AL25" s="249"/>
      <c r="AM25" s="249"/>
      <c r="AN25" s="249"/>
      <c r="AO25" s="249"/>
      <c r="AP25" s="250"/>
      <c r="AQ25" s="258"/>
      <c r="AR25" s="258"/>
      <c r="AS25" s="258"/>
      <c r="AT25" s="258"/>
      <c r="AU25" s="258"/>
      <c r="AV25" s="258"/>
      <c r="AW25" s="258"/>
      <c r="AX25" s="258"/>
      <c r="AY25" s="258"/>
      <c r="AZ25" s="258"/>
      <c r="BA25" s="258"/>
      <c r="BB25" s="258"/>
      <c r="BC25" s="258"/>
      <c r="BD25" s="258"/>
      <c r="BE25" s="258"/>
      <c r="BF25" s="258"/>
      <c r="BG25" s="258"/>
      <c r="BH25" s="258"/>
      <c r="BI25" s="258"/>
      <c r="BJ25" s="259"/>
      <c r="BK25" s="15"/>
    </row>
    <row r="26" spans="1:63" s="16" customFormat="1" ht="15" customHeight="1" x14ac:dyDescent="0.25">
      <c r="A26" s="11"/>
      <c r="B26" s="18"/>
      <c r="C26" s="219"/>
      <c r="D26" s="220"/>
      <c r="E26" s="228"/>
      <c r="F26" s="229"/>
      <c r="G26" s="229"/>
      <c r="H26" s="229"/>
      <c r="I26" s="229"/>
      <c r="J26" s="229"/>
      <c r="K26" s="230"/>
      <c r="L26" s="265"/>
      <c r="M26" s="266"/>
      <c r="N26" s="267"/>
      <c r="O26" s="239"/>
      <c r="P26" s="240"/>
      <c r="Q26" s="240"/>
      <c r="R26" s="241"/>
      <c r="S26" s="239"/>
      <c r="T26" s="240"/>
      <c r="U26" s="240"/>
      <c r="V26" s="240"/>
      <c r="W26" s="240"/>
      <c r="X26" s="240"/>
      <c r="Y26" s="241"/>
      <c r="Z26" s="248"/>
      <c r="AA26" s="249"/>
      <c r="AB26" s="249"/>
      <c r="AC26" s="249"/>
      <c r="AD26" s="249"/>
      <c r="AE26" s="249"/>
      <c r="AF26" s="249"/>
      <c r="AG26" s="249"/>
      <c r="AH26" s="249"/>
      <c r="AI26" s="249"/>
      <c r="AJ26" s="249"/>
      <c r="AK26" s="249"/>
      <c r="AL26" s="249"/>
      <c r="AM26" s="249"/>
      <c r="AN26" s="249"/>
      <c r="AO26" s="249"/>
      <c r="AP26" s="250"/>
      <c r="AQ26" s="258"/>
      <c r="AR26" s="258"/>
      <c r="AS26" s="258"/>
      <c r="AT26" s="258"/>
      <c r="AU26" s="258"/>
      <c r="AV26" s="258"/>
      <c r="AW26" s="258"/>
      <c r="AX26" s="258"/>
      <c r="AY26" s="258"/>
      <c r="AZ26" s="258"/>
      <c r="BA26" s="258"/>
      <c r="BB26" s="258"/>
      <c r="BC26" s="258"/>
      <c r="BD26" s="258"/>
      <c r="BE26" s="258"/>
      <c r="BF26" s="258"/>
      <c r="BG26" s="258"/>
      <c r="BH26" s="258"/>
      <c r="BI26" s="258"/>
      <c r="BJ26" s="259"/>
      <c r="BK26" s="15"/>
    </row>
    <row r="27" spans="1:63" s="16" customFormat="1" ht="15" customHeight="1" x14ac:dyDescent="0.25">
      <c r="A27" s="11"/>
      <c r="B27" s="18"/>
      <c r="C27" s="219"/>
      <c r="D27" s="220"/>
      <c r="E27" s="228"/>
      <c r="F27" s="229"/>
      <c r="G27" s="229"/>
      <c r="H27" s="229"/>
      <c r="I27" s="229"/>
      <c r="J27" s="229"/>
      <c r="K27" s="230"/>
      <c r="L27" s="265"/>
      <c r="M27" s="266"/>
      <c r="N27" s="267"/>
      <c r="O27" s="239"/>
      <c r="P27" s="240"/>
      <c r="Q27" s="240"/>
      <c r="R27" s="241"/>
      <c r="S27" s="239"/>
      <c r="T27" s="240"/>
      <c r="U27" s="240"/>
      <c r="V27" s="240"/>
      <c r="W27" s="240"/>
      <c r="X27" s="240"/>
      <c r="Y27" s="241"/>
      <c r="Z27" s="248"/>
      <c r="AA27" s="249"/>
      <c r="AB27" s="249"/>
      <c r="AC27" s="249"/>
      <c r="AD27" s="249"/>
      <c r="AE27" s="249"/>
      <c r="AF27" s="249"/>
      <c r="AG27" s="249"/>
      <c r="AH27" s="249"/>
      <c r="AI27" s="249"/>
      <c r="AJ27" s="249"/>
      <c r="AK27" s="249"/>
      <c r="AL27" s="249"/>
      <c r="AM27" s="249"/>
      <c r="AN27" s="249"/>
      <c r="AO27" s="249"/>
      <c r="AP27" s="250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9"/>
      <c r="BK27" s="15"/>
    </row>
    <row r="28" spans="1:63" s="16" customFormat="1" ht="15" customHeight="1" x14ac:dyDescent="0.25">
      <c r="A28" s="11"/>
      <c r="B28" s="18"/>
      <c r="C28" s="219"/>
      <c r="D28" s="220"/>
      <c r="E28" s="228"/>
      <c r="F28" s="229"/>
      <c r="G28" s="229"/>
      <c r="H28" s="229"/>
      <c r="I28" s="229"/>
      <c r="J28" s="229"/>
      <c r="K28" s="230"/>
      <c r="L28" s="265"/>
      <c r="M28" s="266"/>
      <c r="N28" s="267"/>
      <c r="O28" s="239"/>
      <c r="P28" s="240"/>
      <c r="Q28" s="240"/>
      <c r="R28" s="241"/>
      <c r="S28" s="239"/>
      <c r="T28" s="240"/>
      <c r="U28" s="240"/>
      <c r="V28" s="240"/>
      <c r="W28" s="240"/>
      <c r="X28" s="240"/>
      <c r="Y28" s="241"/>
      <c r="Z28" s="248"/>
      <c r="AA28" s="249"/>
      <c r="AB28" s="249"/>
      <c r="AC28" s="249"/>
      <c r="AD28" s="249"/>
      <c r="AE28" s="249"/>
      <c r="AF28" s="249"/>
      <c r="AG28" s="249"/>
      <c r="AH28" s="249"/>
      <c r="AI28" s="249"/>
      <c r="AJ28" s="249"/>
      <c r="AK28" s="249"/>
      <c r="AL28" s="249"/>
      <c r="AM28" s="249"/>
      <c r="AN28" s="249"/>
      <c r="AO28" s="249"/>
      <c r="AP28" s="250"/>
      <c r="AQ28" s="258"/>
      <c r="AR28" s="258"/>
      <c r="AS28" s="258"/>
      <c r="AT28" s="258"/>
      <c r="AU28" s="258"/>
      <c r="AV28" s="258"/>
      <c r="AW28" s="258"/>
      <c r="AX28" s="258"/>
      <c r="AY28" s="258"/>
      <c r="AZ28" s="258"/>
      <c r="BA28" s="258"/>
      <c r="BB28" s="258"/>
      <c r="BC28" s="258"/>
      <c r="BD28" s="258"/>
      <c r="BE28" s="258"/>
      <c r="BF28" s="258"/>
      <c r="BG28" s="258"/>
      <c r="BH28" s="258"/>
      <c r="BI28" s="258"/>
      <c r="BJ28" s="259"/>
      <c r="BK28" s="15"/>
    </row>
    <row r="29" spans="1:63" s="16" customFormat="1" ht="15" customHeight="1" x14ac:dyDescent="0.25">
      <c r="A29" s="11"/>
      <c r="B29" s="18"/>
      <c r="C29" s="219"/>
      <c r="D29" s="220"/>
      <c r="E29" s="228"/>
      <c r="F29" s="229"/>
      <c r="G29" s="229"/>
      <c r="H29" s="229"/>
      <c r="I29" s="229"/>
      <c r="J29" s="229"/>
      <c r="K29" s="230"/>
      <c r="L29" s="265"/>
      <c r="M29" s="266"/>
      <c r="N29" s="267"/>
      <c r="O29" s="239"/>
      <c r="P29" s="240"/>
      <c r="Q29" s="240"/>
      <c r="R29" s="241"/>
      <c r="S29" s="239"/>
      <c r="T29" s="240"/>
      <c r="U29" s="240"/>
      <c r="V29" s="240"/>
      <c r="W29" s="240"/>
      <c r="X29" s="240"/>
      <c r="Y29" s="241"/>
      <c r="Z29" s="248"/>
      <c r="AA29" s="249"/>
      <c r="AB29" s="249"/>
      <c r="AC29" s="249"/>
      <c r="AD29" s="249"/>
      <c r="AE29" s="249"/>
      <c r="AF29" s="249"/>
      <c r="AG29" s="249"/>
      <c r="AH29" s="249"/>
      <c r="AI29" s="249"/>
      <c r="AJ29" s="249"/>
      <c r="AK29" s="249"/>
      <c r="AL29" s="249"/>
      <c r="AM29" s="249"/>
      <c r="AN29" s="249"/>
      <c r="AO29" s="249"/>
      <c r="AP29" s="250"/>
      <c r="AQ29" s="258"/>
      <c r="AR29" s="258"/>
      <c r="AS29" s="258"/>
      <c r="AT29" s="258"/>
      <c r="AU29" s="258"/>
      <c r="AV29" s="258"/>
      <c r="AW29" s="258"/>
      <c r="AX29" s="258"/>
      <c r="AY29" s="258"/>
      <c r="AZ29" s="258"/>
      <c r="BA29" s="258"/>
      <c r="BB29" s="258"/>
      <c r="BC29" s="258"/>
      <c r="BD29" s="258"/>
      <c r="BE29" s="258"/>
      <c r="BF29" s="258"/>
      <c r="BG29" s="258"/>
      <c r="BH29" s="258"/>
      <c r="BI29" s="258"/>
      <c r="BJ29" s="259"/>
      <c r="BK29" s="15"/>
    </row>
    <row r="30" spans="1:63" s="16" customFormat="1" ht="15" customHeight="1" x14ac:dyDescent="0.25">
      <c r="A30" s="11"/>
      <c r="B30" s="18"/>
      <c r="C30" s="221"/>
      <c r="D30" s="222"/>
      <c r="E30" s="231"/>
      <c r="F30" s="232"/>
      <c r="G30" s="232"/>
      <c r="H30" s="232"/>
      <c r="I30" s="232"/>
      <c r="J30" s="232"/>
      <c r="K30" s="233"/>
      <c r="L30" s="268"/>
      <c r="M30" s="269"/>
      <c r="N30" s="270"/>
      <c r="O30" s="242"/>
      <c r="P30" s="243"/>
      <c r="Q30" s="243"/>
      <c r="R30" s="244"/>
      <c r="S30" s="242"/>
      <c r="T30" s="243"/>
      <c r="U30" s="243"/>
      <c r="V30" s="243"/>
      <c r="W30" s="243"/>
      <c r="X30" s="243"/>
      <c r="Y30" s="244"/>
      <c r="Z30" s="251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3"/>
      <c r="AQ30" s="260"/>
      <c r="AR30" s="260"/>
      <c r="AS30" s="260"/>
      <c r="AT30" s="260"/>
      <c r="AU30" s="260"/>
      <c r="AV30" s="260"/>
      <c r="AW30" s="260"/>
      <c r="AX30" s="260"/>
      <c r="AY30" s="260"/>
      <c r="AZ30" s="260"/>
      <c r="BA30" s="260"/>
      <c r="BB30" s="260"/>
      <c r="BC30" s="260"/>
      <c r="BD30" s="260"/>
      <c r="BE30" s="260"/>
      <c r="BF30" s="260"/>
      <c r="BG30" s="260"/>
      <c r="BH30" s="260"/>
      <c r="BI30" s="260"/>
      <c r="BJ30" s="261"/>
      <c r="BK30" s="15"/>
    </row>
    <row r="31" spans="1:63" s="16" customFormat="1" ht="15" customHeight="1" x14ac:dyDescent="0.25">
      <c r="A31" s="11"/>
      <c r="B31" s="18"/>
      <c r="C31" s="173">
        <v>4</v>
      </c>
      <c r="D31" s="175"/>
      <c r="E31" s="167" t="s">
        <v>11</v>
      </c>
      <c r="F31" s="168"/>
      <c r="G31" s="168"/>
      <c r="H31" s="168"/>
      <c r="I31" s="168"/>
      <c r="J31" s="168"/>
      <c r="K31" s="169"/>
      <c r="L31" s="170" t="s">
        <v>6</v>
      </c>
      <c r="M31" s="171"/>
      <c r="N31" s="172"/>
      <c r="O31" s="173" t="s">
        <v>5</v>
      </c>
      <c r="P31" s="174"/>
      <c r="Q31" s="174"/>
      <c r="R31" s="175"/>
      <c r="S31" s="173" t="s">
        <v>6</v>
      </c>
      <c r="T31" s="174"/>
      <c r="U31" s="174"/>
      <c r="V31" s="174"/>
      <c r="W31" s="174"/>
      <c r="X31" s="174"/>
      <c r="Y31" s="175"/>
      <c r="Z31" s="167" t="s">
        <v>11</v>
      </c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9"/>
      <c r="AQ31" s="182" t="s">
        <v>12</v>
      </c>
      <c r="AR31" s="183"/>
      <c r="AS31" s="183"/>
      <c r="AT31" s="183"/>
      <c r="AU31" s="183"/>
      <c r="AV31" s="183"/>
      <c r="AW31" s="183"/>
      <c r="AX31" s="183"/>
      <c r="AY31" s="183"/>
      <c r="AZ31" s="183"/>
      <c r="BA31" s="183"/>
      <c r="BB31" s="183"/>
      <c r="BC31" s="183"/>
      <c r="BD31" s="183"/>
      <c r="BE31" s="183"/>
      <c r="BF31" s="183"/>
      <c r="BG31" s="183"/>
      <c r="BH31" s="183"/>
      <c r="BI31" s="183"/>
      <c r="BJ31" s="184"/>
      <c r="BK31" s="15"/>
    </row>
    <row r="32" spans="1:63" s="16" customFormat="1" ht="15" customHeight="1" x14ac:dyDescent="0.25">
      <c r="A32" s="11"/>
      <c r="B32" s="18"/>
      <c r="C32" s="188">
        <v>5</v>
      </c>
      <c r="D32" s="190"/>
      <c r="E32" s="194" t="s">
        <v>13</v>
      </c>
      <c r="F32" s="195"/>
      <c r="G32" s="195"/>
      <c r="H32" s="195"/>
      <c r="I32" s="195"/>
      <c r="J32" s="195"/>
      <c r="K32" s="196"/>
      <c r="L32" s="197" t="s">
        <v>6</v>
      </c>
      <c r="M32" s="198"/>
      <c r="N32" s="199"/>
      <c r="O32" s="188" t="s">
        <v>5</v>
      </c>
      <c r="P32" s="189"/>
      <c r="Q32" s="189"/>
      <c r="R32" s="190"/>
      <c r="S32" s="188" t="s">
        <v>6</v>
      </c>
      <c r="T32" s="189"/>
      <c r="U32" s="189"/>
      <c r="V32" s="189"/>
      <c r="W32" s="189"/>
      <c r="X32" s="189"/>
      <c r="Y32" s="190"/>
      <c r="Z32" s="194" t="s">
        <v>13</v>
      </c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6"/>
      <c r="AQ32" s="200" t="s">
        <v>163</v>
      </c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01"/>
      <c r="BC32" s="201"/>
      <c r="BD32" s="201"/>
      <c r="BE32" s="201"/>
      <c r="BF32" s="201"/>
      <c r="BG32" s="201"/>
      <c r="BH32" s="201"/>
      <c r="BI32" s="201"/>
      <c r="BJ32" s="202"/>
      <c r="BK32" s="15"/>
    </row>
    <row r="33" spans="1:63" s="16" customFormat="1" ht="15" customHeight="1" x14ac:dyDescent="0.25">
      <c r="A33" s="11"/>
      <c r="B33" s="18"/>
      <c r="C33" s="221"/>
      <c r="D33" s="222"/>
      <c r="E33" s="231"/>
      <c r="F33" s="232"/>
      <c r="G33" s="232"/>
      <c r="H33" s="232"/>
      <c r="I33" s="232"/>
      <c r="J33" s="232"/>
      <c r="K33" s="233"/>
      <c r="L33" s="271"/>
      <c r="M33" s="272"/>
      <c r="N33" s="273"/>
      <c r="O33" s="221"/>
      <c r="P33" s="254"/>
      <c r="Q33" s="254"/>
      <c r="R33" s="222"/>
      <c r="S33" s="221"/>
      <c r="T33" s="254"/>
      <c r="U33" s="254"/>
      <c r="V33" s="254"/>
      <c r="W33" s="254"/>
      <c r="X33" s="254"/>
      <c r="Y33" s="222"/>
      <c r="Z33" s="231"/>
      <c r="AA33" s="232"/>
      <c r="AB33" s="232"/>
      <c r="AC33" s="232"/>
      <c r="AD33" s="232"/>
      <c r="AE33" s="232"/>
      <c r="AF33" s="232"/>
      <c r="AG33" s="232"/>
      <c r="AH33" s="232"/>
      <c r="AI33" s="232"/>
      <c r="AJ33" s="232"/>
      <c r="AK33" s="232"/>
      <c r="AL33" s="232"/>
      <c r="AM33" s="232"/>
      <c r="AN33" s="232"/>
      <c r="AO33" s="232"/>
      <c r="AP33" s="233"/>
      <c r="AQ33" s="274"/>
      <c r="AR33" s="275"/>
      <c r="AS33" s="275"/>
      <c r="AT33" s="275"/>
      <c r="AU33" s="275"/>
      <c r="AV33" s="275"/>
      <c r="AW33" s="275"/>
      <c r="AX33" s="275"/>
      <c r="AY33" s="275"/>
      <c r="AZ33" s="275"/>
      <c r="BA33" s="275"/>
      <c r="BB33" s="275"/>
      <c r="BC33" s="275"/>
      <c r="BD33" s="275"/>
      <c r="BE33" s="275"/>
      <c r="BF33" s="275"/>
      <c r="BG33" s="275"/>
      <c r="BH33" s="275"/>
      <c r="BI33" s="275"/>
      <c r="BJ33" s="276"/>
      <c r="BK33" s="15"/>
    </row>
    <row r="34" spans="1:63" s="16" customFormat="1" ht="15" customHeight="1" x14ac:dyDescent="0.25">
      <c r="A34" s="11"/>
      <c r="B34" s="18"/>
      <c r="C34" s="18"/>
      <c r="D34" s="18"/>
      <c r="E34" s="77"/>
      <c r="F34" s="77"/>
      <c r="G34" s="77"/>
      <c r="H34" s="77"/>
      <c r="I34" s="18"/>
      <c r="J34" s="18"/>
      <c r="K34" s="18"/>
      <c r="L34" s="27"/>
      <c r="M34" s="77"/>
      <c r="N34" s="77"/>
      <c r="O34" s="77"/>
      <c r="P34" s="77"/>
      <c r="Q34" s="18"/>
      <c r="R34" s="18"/>
      <c r="S34" s="18"/>
      <c r="T34" s="18"/>
      <c r="U34" s="18"/>
      <c r="V34" s="18"/>
      <c r="W34" s="18"/>
      <c r="X34" s="18"/>
      <c r="Y34" s="18"/>
      <c r="Z34" s="25"/>
      <c r="AA34" s="18"/>
      <c r="AB34" s="18"/>
      <c r="AC34" s="18"/>
      <c r="AD34" s="18"/>
      <c r="AE34" s="18"/>
      <c r="AF34" s="18"/>
      <c r="AG34" s="77"/>
      <c r="AH34" s="77"/>
      <c r="AI34" s="77"/>
      <c r="AJ34" s="77"/>
      <c r="AK34" s="77"/>
      <c r="AL34" s="77"/>
      <c r="AM34" s="77"/>
      <c r="AN34" s="77"/>
      <c r="AO34" s="77"/>
      <c r="AP34" s="18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19"/>
      <c r="BI34" s="19"/>
      <c r="BJ34" s="19"/>
      <c r="BK34" s="15"/>
    </row>
    <row r="35" spans="1:63" s="16" customFormat="1" ht="15" customHeight="1" x14ac:dyDescent="0.25">
      <c r="A35" s="11"/>
      <c r="B35" s="18"/>
      <c r="C35" s="21" t="s">
        <v>164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9"/>
      <c r="BI35" s="19"/>
      <c r="BJ35" s="19"/>
      <c r="BK35" s="15"/>
    </row>
    <row r="36" spans="1:63" s="16" customFormat="1" ht="15" customHeight="1" x14ac:dyDescent="0.25">
      <c r="A36" s="11"/>
      <c r="B36" s="18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9"/>
      <c r="BI36" s="19"/>
      <c r="BJ36" s="19"/>
      <c r="BK36" s="15"/>
    </row>
    <row r="37" spans="1:63" s="16" customFormat="1" ht="15" customHeight="1" x14ac:dyDescent="0.25">
      <c r="A37" s="11"/>
      <c r="B37" s="18"/>
      <c r="C37" s="226" t="s">
        <v>14</v>
      </c>
      <c r="D37" s="227"/>
      <c r="E37" s="213" t="s">
        <v>165</v>
      </c>
      <c r="F37" s="217"/>
      <c r="G37" s="217"/>
      <c r="H37" s="217"/>
      <c r="I37" s="217"/>
      <c r="J37" s="217"/>
      <c r="K37" s="218"/>
      <c r="L37" s="210" t="s">
        <v>18</v>
      </c>
      <c r="M37" s="212"/>
      <c r="N37" s="211"/>
      <c r="O37" s="210" t="s">
        <v>19</v>
      </c>
      <c r="P37" s="212"/>
      <c r="Q37" s="212"/>
      <c r="R37" s="211"/>
      <c r="S37" s="210" t="s">
        <v>20</v>
      </c>
      <c r="T37" s="212"/>
      <c r="U37" s="212"/>
      <c r="V37" s="212"/>
      <c r="W37" s="212"/>
      <c r="X37" s="212"/>
      <c r="Y37" s="211"/>
      <c r="Z37" s="213" t="s">
        <v>160</v>
      </c>
      <c r="AA37" s="215"/>
      <c r="AB37" s="215"/>
      <c r="AC37" s="215"/>
      <c r="AD37" s="215"/>
      <c r="AE37" s="215"/>
      <c r="AF37" s="215"/>
      <c r="AG37" s="215"/>
      <c r="AH37" s="215"/>
      <c r="AI37" s="215"/>
      <c r="AJ37" s="215"/>
      <c r="AK37" s="215"/>
      <c r="AL37" s="215"/>
      <c r="AM37" s="215"/>
      <c r="AN37" s="215"/>
      <c r="AO37" s="215"/>
      <c r="AP37" s="214"/>
      <c r="AQ37" s="223" t="s">
        <v>17</v>
      </c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5"/>
      <c r="BK37" s="15"/>
    </row>
    <row r="38" spans="1:63" s="16" customFormat="1" ht="15" customHeight="1" x14ac:dyDescent="0.25">
      <c r="A38" s="11"/>
      <c r="B38" s="18"/>
      <c r="C38" s="170" t="s">
        <v>23</v>
      </c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1"/>
      <c r="BC38" s="171"/>
      <c r="BD38" s="171"/>
      <c r="BE38" s="171"/>
      <c r="BF38" s="171"/>
      <c r="BG38" s="171"/>
      <c r="BH38" s="171"/>
      <c r="BI38" s="171"/>
      <c r="BJ38" s="172"/>
      <c r="BK38" s="15"/>
    </row>
    <row r="39" spans="1:63" s="16" customFormat="1" ht="15" customHeight="1" x14ac:dyDescent="0.25">
      <c r="A39" s="11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9"/>
      <c r="BI39" s="19"/>
      <c r="BJ39" s="19"/>
      <c r="BK39" s="15"/>
    </row>
    <row r="40" spans="1:63" s="16" customFormat="1" ht="15" customHeight="1" x14ac:dyDescent="0.25">
      <c r="A40" s="11"/>
      <c r="B40" s="18"/>
      <c r="C40" s="21" t="s">
        <v>166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9"/>
      <c r="BJ40" s="19"/>
      <c r="BK40" s="15"/>
    </row>
    <row r="41" spans="1:63" s="16" customFormat="1" ht="15" customHeight="1" x14ac:dyDescent="0.25">
      <c r="A41" s="11"/>
      <c r="B41" s="18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9"/>
      <c r="BI41" s="19"/>
      <c r="BJ41" s="19"/>
      <c r="BK41" s="15"/>
    </row>
    <row r="42" spans="1:63" s="16" customFormat="1" ht="15" customHeight="1" x14ac:dyDescent="0.25">
      <c r="A42" s="11"/>
      <c r="B42" s="18"/>
      <c r="C42" s="226" t="s">
        <v>14</v>
      </c>
      <c r="D42" s="227"/>
      <c r="E42" s="216" t="s">
        <v>21</v>
      </c>
      <c r="F42" s="217"/>
      <c r="G42" s="217"/>
      <c r="H42" s="217"/>
      <c r="I42" s="217"/>
      <c r="J42" s="217"/>
      <c r="K42" s="218"/>
      <c r="L42" s="210" t="s">
        <v>18</v>
      </c>
      <c r="M42" s="212"/>
      <c r="N42" s="211"/>
      <c r="O42" s="210" t="s">
        <v>19</v>
      </c>
      <c r="P42" s="212"/>
      <c r="Q42" s="212"/>
      <c r="R42" s="211"/>
      <c r="S42" s="210" t="s">
        <v>20</v>
      </c>
      <c r="T42" s="212"/>
      <c r="U42" s="212"/>
      <c r="V42" s="212"/>
      <c r="W42" s="212"/>
      <c r="X42" s="212"/>
      <c r="Y42" s="211"/>
      <c r="Z42" s="213" t="s">
        <v>160</v>
      </c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4"/>
      <c r="AQ42" s="223" t="s">
        <v>17</v>
      </c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5"/>
      <c r="BK42" s="15"/>
    </row>
    <row r="43" spans="1:63" s="16" customFormat="1" ht="71.25" customHeight="1" x14ac:dyDescent="0.25">
      <c r="A43" s="11"/>
      <c r="B43" s="18"/>
      <c r="C43" s="173">
        <v>1</v>
      </c>
      <c r="D43" s="175"/>
      <c r="E43" s="167" t="s">
        <v>127</v>
      </c>
      <c r="F43" s="168"/>
      <c r="G43" s="168"/>
      <c r="H43" s="168"/>
      <c r="I43" s="168"/>
      <c r="J43" s="168"/>
      <c r="K43" s="169"/>
      <c r="L43" s="170" t="s">
        <v>4</v>
      </c>
      <c r="M43" s="171"/>
      <c r="N43" s="172"/>
      <c r="O43" s="173" t="s">
        <v>26</v>
      </c>
      <c r="P43" s="174"/>
      <c r="Q43" s="174"/>
      <c r="R43" s="175"/>
      <c r="S43" s="188" t="s">
        <v>6</v>
      </c>
      <c r="T43" s="189"/>
      <c r="U43" s="189"/>
      <c r="V43" s="189"/>
      <c r="W43" s="189"/>
      <c r="X43" s="189"/>
      <c r="Y43" s="190"/>
      <c r="Z43" s="167" t="s">
        <v>31</v>
      </c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9"/>
      <c r="AQ43" s="191" t="s">
        <v>167</v>
      </c>
      <c r="AR43" s="208"/>
      <c r="AS43" s="208"/>
      <c r="AT43" s="208"/>
      <c r="AU43" s="208"/>
      <c r="AV43" s="208"/>
      <c r="AW43" s="208"/>
      <c r="AX43" s="208"/>
      <c r="AY43" s="208"/>
      <c r="AZ43" s="208"/>
      <c r="BA43" s="208"/>
      <c r="BB43" s="208"/>
      <c r="BC43" s="208"/>
      <c r="BD43" s="208"/>
      <c r="BE43" s="208"/>
      <c r="BF43" s="208"/>
      <c r="BG43" s="208"/>
      <c r="BH43" s="208"/>
      <c r="BI43" s="208"/>
      <c r="BJ43" s="209"/>
      <c r="BK43" s="15"/>
    </row>
    <row r="44" spans="1:63" s="16" customFormat="1" ht="19.5" customHeight="1" x14ac:dyDescent="0.25">
      <c r="A44" s="11"/>
      <c r="B44" s="18"/>
      <c r="C44" s="173">
        <v>2</v>
      </c>
      <c r="D44" s="175"/>
      <c r="E44" s="167" t="s">
        <v>32</v>
      </c>
      <c r="F44" s="168"/>
      <c r="G44" s="168"/>
      <c r="H44" s="168"/>
      <c r="I44" s="168"/>
      <c r="J44" s="168"/>
      <c r="K44" s="169"/>
      <c r="L44" s="170" t="s">
        <v>6</v>
      </c>
      <c r="M44" s="171"/>
      <c r="N44" s="172"/>
      <c r="O44" s="173" t="s">
        <v>55</v>
      </c>
      <c r="P44" s="174"/>
      <c r="Q44" s="174"/>
      <c r="R44" s="175"/>
      <c r="S44" s="173" t="s">
        <v>6</v>
      </c>
      <c r="T44" s="174"/>
      <c r="U44" s="174"/>
      <c r="V44" s="174"/>
      <c r="W44" s="174"/>
      <c r="X44" s="174"/>
      <c r="Y44" s="175"/>
      <c r="Z44" s="167" t="s">
        <v>63</v>
      </c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9"/>
      <c r="AQ44" s="207" t="s">
        <v>168</v>
      </c>
      <c r="AR44" s="208"/>
      <c r="AS44" s="208"/>
      <c r="AT44" s="208"/>
      <c r="AU44" s="208"/>
      <c r="AV44" s="208"/>
      <c r="AW44" s="208"/>
      <c r="AX44" s="208"/>
      <c r="AY44" s="208"/>
      <c r="AZ44" s="208"/>
      <c r="BA44" s="208"/>
      <c r="BB44" s="208"/>
      <c r="BC44" s="208"/>
      <c r="BD44" s="208"/>
      <c r="BE44" s="208"/>
      <c r="BF44" s="208"/>
      <c r="BG44" s="208"/>
      <c r="BH44" s="208"/>
      <c r="BI44" s="208"/>
      <c r="BJ44" s="209"/>
      <c r="BK44" s="15"/>
    </row>
    <row r="45" spans="1:63" s="16" customFormat="1" ht="39.75" customHeight="1" x14ac:dyDescent="0.25">
      <c r="A45" s="11"/>
      <c r="B45" s="18"/>
      <c r="C45" s="173">
        <v>3</v>
      </c>
      <c r="D45" s="175"/>
      <c r="E45" s="194" t="s">
        <v>169</v>
      </c>
      <c r="F45" s="195"/>
      <c r="G45" s="195"/>
      <c r="H45" s="195"/>
      <c r="I45" s="195"/>
      <c r="J45" s="195"/>
      <c r="K45" s="196"/>
      <c r="L45" s="197" t="s">
        <v>6</v>
      </c>
      <c r="M45" s="198"/>
      <c r="N45" s="199"/>
      <c r="O45" s="188" t="s">
        <v>27</v>
      </c>
      <c r="P45" s="189"/>
      <c r="Q45" s="189"/>
      <c r="R45" s="190"/>
      <c r="S45" s="188" t="s">
        <v>6</v>
      </c>
      <c r="T45" s="189"/>
      <c r="U45" s="189"/>
      <c r="V45" s="189"/>
      <c r="W45" s="189"/>
      <c r="X45" s="189"/>
      <c r="Y45" s="190"/>
      <c r="Z45" s="194" t="s">
        <v>59</v>
      </c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6"/>
      <c r="AQ45" s="200" t="s">
        <v>170</v>
      </c>
      <c r="AR45" s="201"/>
      <c r="AS45" s="201"/>
      <c r="AT45" s="201"/>
      <c r="AU45" s="201"/>
      <c r="AV45" s="201"/>
      <c r="AW45" s="201"/>
      <c r="AX45" s="201"/>
      <c r="AY45" s="201"/>
      <c r="AZ45" s="201"/>
      <c r="BA45" s="201"/>
      <c r="BB45" s="201"/>
      <c r="BC45" s="201"/>
      <c r="BD45" s="201"/>
      <c r="BE45" s="201"/>
      <c r="BF45" s="201"/>
      <c r="BG45" s="201"/>
      <c r="BH45" s="201"/>
      <c r="BI45" s="201"/>
      <c r="BJ45" s="202"/>
      <c r="BK45" s="15"/>
    </row>
    <row r="46" spans="1:63" s="16" customFormat="1" ht="39.75" customHeight="1" x14ac:dyDescent="0.25">
      <c r="A46" s="11"/>
      <c r="B46" s="18"/>
      <c r="C46" s="173">
        <v>4</v>
      </c>
      <c r="D46" s="175"/>
      <c r="E46" s="167" t="s">
        <v>171</v>
      </c>
      <c r="F46" s="168"/>
      <c r="G46" s="168"/>
      <c r="H46" s="168"/>
      <c r="I46" s="168"/>
      <c r="J46" s="168"/>
      <c r="K46" s="169"/>
      <c r="L46" s="170" t="s">
        <v>4</v>
      </c>
      <c r="M46" s="171"/>
      <c r="N46" s="172"/>
      <c r="O46" s="173" t="s">
        <v>5</v>
      </c>
      <c r="P46" s="174"/>
      <c r="Q46" s="174"/>
      <c r="R46" s="175"/>
      <c r="S46" s="173" t="s">
        <v>6</v>
      </c>
      <c r="T46" s="174"/>
      <c r="U46" s="174"/>
      <c r="V46" s="174"/>
      <c r="W46" s="174"/>
      <c r="X46" s="174"/>
      <c r="Y46" s="175"/>
      <c r="Z46" s="167" t="s">
        <v>60</v>
      </c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9"/>
      <c r="AQ46" s="191" t="s">
        <v>172</v>
      </c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192"/>
      <c r="BG46" s="192"/>
      <c r="BH46" s="192"/>
      <c r="BI46" s="192"/>
      <c r="BJ46" s="193"/>
      <c r="BK46" s="15"/>
    </row>
    <row r="47" spans="1:63" s="16" customFormat="1" ht="71.25" customHeight="1" x14ac:dyDescent="0.25">
      <c r="A47" s="11"/>
      <c r="B47" s="18"/>
      <c r="C47" s="173">
        <v>5</v>
      </c>
      <c r="D47" s="175"/>
      <c r="E47" s="194" t="s">
        <v>173</v>
      </c>
      <c r="F47" s="195"/>
      <c r="G47" s="195"/>
      <c r="H47" s="195"/>
      <c r="I47" s="195"/>
      <c r="J47" s="195"/>
      <c r="K47" s="196"/>
      <c r="L47" s="197" t="s">
        <v>4</v>
      </c>
      <c r="M47" s="198"/>
      <c r="N47" s="199"/>
      <c r="O47" s="188" t="s">
        <v>5</v>
      </c>
      <c r="P47" s="189"/>
      <c r="Q47" s="189"/>
      <c r="R47" s="190"/>
      <c r="S47" s="188" t="s">
        <v>6</v>
      </c>
      <c r="T47" s="189"/>
      <c r="U47" s="189"/>
      <c r="V47" s="189"/>
      <c r="W47" s="189"/>
      <c r="X47" s="189"/>
      <c r="Y47" s="190"/>
      <c r="Z47" s="194" t="s">
        <v>129</v>
      </c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6"/>
      <c r="AQ47" s="200" t="s">
        <v>174</v>
      </c>
      <c r="AR47" s="201"/>
      <c r="AS47" s="201"/>
      <c r="AT47" s="201"/>
      <c r="AU47" s="201"/>
      <c r="AV47" s="201"/>
      <c r="AW47" s="201"/>
      <c r="AX47" s="201"/>
      <c r="AY47" s="201"/>
      <c r="AZ47" s="201"/>
      <c r="BA47" s="201"/>
      <c r="BB47" s="201"/>
      <c r="BC47" s="201"/>
      <c r="BD47" s="201"/>
      <c r="BE47" s="201"/>
      <c r="BF47" s="201"/>
      <c r="BG47" s="201"/>
      <c r="BH47" s="201"/>
      <c r="BI47" s="201"/>
      <c r="BJ47" s="202"/>
      <c r="BK47" s="15"/>
    </row>
    <row r="48" spans="1:63" s="16" customFormat="1" ht="39.75" customHeight="1" x14ac:dyDescent="0.25">
      <c r="A48" s="11"/>
      <c r="B48" s="18"/>
      <c r="C48" s="173">
        <v>6</v>
      </c>
      <c r="D48" s="175"/>
      <c r="E48" s="194" t="s">
        <v>175</v>
      </c>
      <c r="F48" s="195"/>
      <c r="G48" s="195"/>
      <c r="H48" s="195"/>
      <c r="I48" s="195"/>
      <c r="J48" s="195"/>
      <c r="K48" s="196"/>
      <c r="L48" s="197" t="s">
        <v>4</v>
      </c>
      <c r="M48" s="198"/>
      <c r="N48" s="199"/>
      <c r="O48" s="188" t="s">
        <v>5</v>
      </c>
      <c r="P48" s="189"/>
      <c r="Q48" s="189"/>
      <c r="R48" s="190"/>
      <c r="S48" s="188" t="s">
        <v>6</v>
      </c>
      <c r="T48" s="189"/>
      <c r="U48" s="189"/>
      <c r="V48" s="189"/>
      <c r="W48" s="189"/>
      <c r="X48" s="189"/>
      <c r="Y48" s="190"/>
      <c r="Z48" s="194" t="s">
        <v>130</v>
      </c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6"/>
      <c r="AQ48" s="200" t="s">
        <v>131</v>
      </c>
      <c r="AR48" s="201"/>
      <c r="AS48" s="201"/>
      <c r="AT48" s="201"/>
      <c r="AU48" s="201"/>
      <c r="AV48" s="201"/>
      <c r="AW48" s="201"/>
      <c r="AX48" s="201"/>
      <c r="AY48" s="201"/>
      <c r="AZ48" s="201"/>
      <c r="BA48" s="201"/>
      <c r="BB48" s="201"/>
      <c r="BC48" s="201"/>
      <c r="BD48" s="201"/>
      <c r="BE48" s="201"/>
      <c r="BF48" s="201"/>
      <c r="BG48" s="201"/>
      <c r="BH48" s="201"/>
      <c r="BI48" s="201"/>
      <c r="BJ48" s="202"/>
      <c r="BK48" s="15"/>
    </row>
    <row r="49" spans="1:63" s="16" customFormat="1" ht="39.75" customHeight="1" x14ac:dyDescent="0.25">
      <c r="A49" s="11"/>
      <c r="B49" s="18"/>
      <c r="C49" s="173">
        <v>7</v>
      </c>
      <c r="D49" s="175"/>
      <c r="E49" s="185" t="s">
        <v>34</v>
      </c>
      <c r="F49" s="186"/>
      <c r="G49" s="186"/>
      <c r="H49" s="186"/>
      <c r="I49" s="186"/>
      <c r="J49" s="186"/>
      <c r="K49" s="187"/>
      <c r="L49" s="197" t="s">
        <v>4</v>
      </c>
      <c r="M49" s="198"/>
      <c r="N49" s="199"/>
      <c r="O49" s="173" t="s">
        <v>33</v>
      </c>
      <c r="P49" s="174"/>
      <c r="Q49" s="174"/>
      <c r="R49" s="175"/>
      <c r="S49" s="173" t="s">
        <v>6</v>
      </c>
      <c r="T49" s="174"/>
      <c r="U49" s="174"/>
      <c r="V49" s="174"/>
      <c r="W49" s="174"/>
      <c r="X49" s="174"/>
      <c r="Y49" s="175"/>
      <c r="Z49" s="167" t="s">
        <v>61</v>
      </c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9"/>
      <c r="AQ49" s="200" t="s">
        <v>64</v>
      </c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1"/>
      <c r="BJ49" s="202"/>
      <c r="BK49" s="15"/>
    </row>
    <row r="50" spans="1:63" s="16" customFormat="1" ht="163.5" customHeight="1" x14ac:dyDescent="0.25">
      <c r="A50" s="11"/>
      <c r="B50" s="18"/>
      <c r="C50" s="173">
        <v>8</v>
      </c>
      <c r="D50" s="175"/>
      <c r="E50" s="179" t="s">
        <v>58</v>
      </c>
      <c r="F50" s="180"/>
      <c r="G50" s="180"/>
      <c r="H50" s="180"/>
      <c r="I50" s="180"/>
      <c r="J50" s="180"/>
      <c r="K50" s="181"/>
      <c r="L50" s="170" t="s">
        <v>4</v>
      </c>
      <c r="M50" s="171"/>
      <c r="N50" s="172"/>
      <c r="O50" s="173" t="s">
        <v>26</v>
      </c>
      <c r="P50" s="174"/>
      <c r="Q50" s="174"/>
      <c r="R50" s="175"/>
      <c r="S50" s="173">
        <v>15</v>
      </c>
      <c r="T50" s="174"/>
      <c r="U50" s="174"/>
      <c r="V50" s="174"/>
      <c r="W50" s="174"/>
      <c r="X50" s="174"/>
      <c r="Y50" s="175"/>
      <c r="Z50" s="167" t="s">
        <v>62</v>
      </c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68"/>
      <c r="AM50" s="168"/>
      <c r="AN50" s="168"/>
      <c r="AO50" s="168"/>
      <c r="AP50" s="169"/>
      <c r="AQ50" s="182" t="s">
        <v>176</v>
      </c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4"/>
      <c r="BK50" s="15"/>
    </row>
    <row r="51" spans="1:63" s="16" customFormat="1" ht="153" customHeight="1" x14ac:dyDescent="0.25">
      <c r="A51" s="11"/>
      <c r="B51" s="18"/>
      <c r="C51" s="173">
        <v>9</v>
      </c>
      <c r="D51" s="175"/>
      <c r="E51" s="185" t="s">
        <v>57</v>
      </c>
      <c r="F51" s="186"/>
      <c r="G51" s="186"/>
      <c r="H51" s="186"/>
      <c r="I51" s="186"/>
      <c r="J51" s="186"/>
      <c r="K51" s="187"/>
      <c r="L51" s="170" t="s">
        <v>4</v>
      </c>
      <c r="M51" s="171"/>
      <c r="N51" s="172"/>
      <c r="O51" s="173" t="s">
        <v>26</v>
      </c>
      <c r="P51" s="174"/>
      <c r="Q51" s="174"/>
      <c r="R51" s="175"/>
      <c r="S51" s="188" t="s">
        <v>6</v>
      </c>
      <c r="T51" s="189"/>
      <c r="U51" s="189"/>
      <c r="V51" s="189"/>
      <c r="W51" s="189"/>
      <c r="X51" s="189"/>
      <c r="Y51" s="190"/>
      <c r="Z51" s="203" t="s">
        <v>101</v>
      </c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9"/>
      <c r="AQ51" s="176" t="s">
        <v>210</v>
      </c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  <c r="BB51" s="177"/>
      <c r="BC51" s="177"/>
      <c r="BD51" s="177"/>
      <c r="BE51" s="177"/>
      <c r="BF51" s="177"/>
      <c r="BG51" s="177"/>
      <c r="BH51" s="177"/>
      <c r="BI51" s="177"/>
      <c r="BJ51" s="178"/>
      <c r="BK51" s="15"/>
    </row>
    <row r="52" spans="1:63" s="16" customFormat="1" ht="77.25" customHeight="1" x14ac:dyDescent="0.25">
      <c r="A52" s="11"/>
      <c r="B52" s="18"/>
      <c r="C52" s="173">
        <v>10</v>
      </c>
      <c r="D52" s="175"/>
      <c r="E52" s="167" t="s">
        <v>178</v>
      </c>
      <c r="F52" s="168"/>
      <c r="G52" s="168"/>
      <c r="H52" s="168"/>
      <c r="I52" s="168"/>
      <c r="J52" s="168"/>
      <c r="K52" s="169"/>
      <c r="L52" s="170" t="s">
        <v>6</v>
      </c>
      <c r="M52" s="171"/>
      <c r="N52" s="172"/>
      <c r="O52" s="173" t="s">
        <v>26</v>
      </c>
      <c r="P52" s="174"/>
      <c r="Q52" s="174"/>
      <c r="R52" s="175"/>
      <c r="S52" s="173">
        <v>1</v>
      </c>
      <c r="T52" s="174"/>
      <c r="U52" s="174"/>
      <c r="V52" s="174"/>
      <c r="W52" s="174"/>
      <c r="X52" s="174"/>
      <c r="Y52" s="175"/>
      <c r="Z52" s="167" t="s">
        <v>102</v>
      </c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9"/>
      <c r="AQ52" s="176" t="s">
        <v>211</v>
      </c>
      <c r="AR52" s="177"/>
      <c r="AS52" s="177"/>
      <c r="AT52" s="177"/>
      <c r="AU52" s="177"/>
      <c r="AV52" s="177"/>
      <c r="AW52" s="177"/>
      <c r="AX52" s="177"/>
      <c r="AY52" s="177"/>
      <c r="AZ52" s="177"/>
      <c r="BA52" s="177"/>
      <c r="BB52" s="177"/>
      <c r="BC52" s="177"/>
      <c r="BD52" s="177"/>
      <c r="BE52" s="177"/>
      <c r="BF52" s="177"/>
      <c r="BG52" s="177"/>
      <c r="BH52" s="177"/>
      <c r="BI52" s="177"/>
      <c r="BJ52" s="178"/>
      <c r="BK52" s="15"/>
    </row>
    <row r="53" spans="1:63" s="16" customFormat="1" ht="19.5" customHeight="1" x14ac:dyDescent="0.25">
      <c r="A53" s="11"/>
      <c r="B53" s="18"/>
      <c r="C53" s="173">
        <v>11</v>
      </c>
      <c r="D53" s="175"/>
      <c r="E53" s="185" t="s">
        <v>35</v>
      </c>
      <c r="F53" s="186"/>
      <c r="G53" s="186"/>
      <c r="H53" s="186"/>
      <c r="I53" s="186"/>
      <c r="J53" s="186"/>
      <c r="K53" s="187"/>
      <c r="L53" s="170" t="s">
        <v>6</v>
      </c>
      <c r="M53" s="171"/>
      <c r="N53" s="172"/>
      <c r="O53" s="173" t="s">
        <v>36</v>
      </c>
      <c r="P53" s="174"/>
      <c r="Q53" s="174"/>
      <c r="R53" s="175"/>
      <c r="S53" s="204" t="b">
        <v>0</v>
      </c>
      <c r="T53" s="174"/>
      <c r="U53" s="174"/>
      <c r="V53" s="174"/>
      <c r="W53" s="174"/>
      <c r="X53" s="174"/>
      <c r="Y53" s="175"/>
      <c r="Z53" s="203" t="s">
        <v>103</v>
      </c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9"/>
      <c r="AQ53" s="176" t="s">
        <v>37</v>
      </c>
      <c r="AR53" s="177"/>
      <c r="AS53" s="177"/>
      <c r="AT53" s="177"/>
      <c r="AU53" s="177"/>
      <c r="AV53" s="177"/>
      <c r="AW53" s="177"/>
      <c r="AX53" s="177"/>
      <c r="AY53" s="177"/>
      <c r="AZ53" s="177"/>
      <c r="BA53" s="177"/>
      <c r="BB53" s="177"/>
      <c r="BC53" s="177"/>
      <c r="BD53" s="177"/>
      <c r="BE53" s="177"/>
      <c r="BF53" s="177"/>
      <c r="BG53" s="177"/>
      <c r="BH53" s="177"/>
      <c r="BI53" s="177"/>
      <c r="BJ53" s="178"/>
      <c r="BK53" s="15"/>
    </row>
    <row r="54" spans="1:63" s="16" customFormat="1" ht="19.5" customHeight="1" x14ac:dyDescent="0.25">
      <c r="A54" s="11"/>
      <c r="B54" s="18"/>
      <c r="C54" s="173">
        <v>12</v>
      </c>
      <c r="D54" s="175"/>
      <c r="E54" s="185" t="s">
        <v>67</v>
      </c>
      <c r="F54" s="186"/>
      <c r="G54" s="186"/>
      <c r="H54" s="186"/>
      <c r="I54" s="186"/>
      <c r="J54" s="186"/>
      <c r="K54" s="187"/>
      <c r="L54" s="170" t="s">
        <v>6</v>
      </c>
      <c r="M54" s="171"/>
      <c r="N54" s="172"/>
      <c r="O54" s="173" t="s">
        <v>36</v>
      </c>
      <c r="P54" s="174"/>
      <c r="Q54" s="174"/>
      <c r="R54" s="175"/>
      <c r="S54" s="204" t="b">
        <v>1</v>
      </c>
      <c r="T54" s="174"/>
      <c r="U54" s="174"/>
      <c r="V54" s="174"/>
      <c r="W54" s="174"/>
      <c r="X54" s="174"/>
      <c r="Y54" s="175"/>
      <c r="Z54" s="203" t="s">
        <v>104</v>
      </c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9"/>
      <c r="AQ54" s="176" t="s">
        <v>38</v>
      </c>
      <c r="AR54" s="177"/>
      <c r="AS54" s="177"/>
      <c r="AT54" s="177"/>
      <c r="AU54" s="177"/>
      <c r="AV54" s="177"/>
      <c r="AW54" s="177"/>
      <c r="AX54" s="177"/>
      <c r="AY54" s="177"/>
      <c r="AZ54" s="177"/>
      <c r="BA54" s="177"/>
      <c r="BB54" s="177"/>
      <c r="BC54" s="177"/>
      <c r="BD54" s="177"/>
      <c r="BE54" s="177"/>
      <c r="BF54" s="177"/>
      <c r="BG54" s="177"/>
      <c r="BH54" s="177"/>
      <c r="BI54" s="177"/>
      <c r="BJ54" s="178"/>
      <c r="BK54" s="15"/>
    </row>
    <row r="55" spans="1:63" s="16" customFormat="1" ht="19.5" customHeight="1" x14ac:dyDescent="0.25">
      <c r="A55" s="11"/>
      <c r="B55" s="18"/>
      <c r="C55" s="173">
        <v>13</v>
      </c>
      <c r="D55" s="175"/>
      <c r="E55" s="185" t="s">
        <v>39</v>
      </c>
      <c r="F55" s="186"/>
      <c r="G55" s="186"/>
      <c r="H55" s="186"/>
      <c r="I55" s="186"/>
      <c r="J55" s="186"/>
      <c r="K55" s="187"/>
      <c r="L55" s="170" t="s">
        <v>6</v>
      </c>
      <c r="M55" s="171"/>
      <c r="N55" s="172"/>
      <c r="O55" s="173" t="s">
        <v>36</v>
      </c>
      <c r="P55" s="174"/>
      <c r="Q55" s="174"/>
      <c r="R55" s="175"/>
      <c r="S55" s="204" t="b">
        <v>0</v>
      </c>
      <c r="T55" s="174"/>
      <c r="U55" s="174"/>
      <c r="V55" s="174"/>
      <c r="W55" s="174"/>
      <c r="X55" s="174"/>
      <c r="Y55" s="175"/>
      <c r="Z55" s="203" t="s">
        <v>105</v>
      </c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9"/>
      <c r="AQ55" s="176" t="s">
        <v>40</v>
      </c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8"/>
      <c r="BK55" s="15"/>
    </row>
    <row r="56" spans="1:63" s="16" customFormat="1" ht="19.5" customHeight="1" x14ac:dyDescent="0.25">
      <c r="A56" s="11"/>
      <c r="B56" s="18"/>
      <c r="C56" s="173">
        <v>14</v>
      </c>
      <c r="D56" s="175"/>
      <c r="E56" s="185" t="s">
        <v>41</v>
      </c>
      <c r="F56" s="186"/>
      <c r="G56" s="186"/>
      <c r="H56" s="186"/>
      <c r="I56" s="186"/>
      <c r="J56" s="186"/>
      <c r="K56" s="187"/>
      <c r="L56" s="170" t="s">
        <v>6</v>
      </c>
      <c r="M56" s="171"/>
      <c r="N56" s="172"/>
      <c r="O56" s="173" t="s">
        <v>36</v>
      </c>
      <c r="P56" s="174"/>
      <c r="Q56" s="174"/>
      <c r="R56" s="175"/>
      <c r="S56" s="204" t="b">
        <v>0</v>
      </c>
      <c r="T56" s="174"/>
      <c r="U56" s="174"/>
      <c r="V56" s="174"/>
      <c r="W56" s="174"/>
      <c r="X56" s="174"/>
      <c r="Y56" s="175"/>
      <c r="Z56" s="203" t="s">
        <v>106</v>
      </c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9"/>
      <c r="AQ56" s="176" t="s">
        <v>42</v>
      </c>
      <c r="AR56" s="177"/>
      <c r="AS56" s="177"/>
      <c r="AT56" s="177"/>
      <c r="AU56" s="177"/>
      <c r="AV56" s="177"/>
      <c r="AW56" s="177"/>
      <c r="AX56" s="177"/>
      <c r="AY56" s="177"/>
      <c r="AZ56" s="177"/>
      <c r="BA56" s="177"/>
      <c r="BB56" s="177"/>
      <c r="BC56" s="177"/>
      <c r="BD56" s="177"/>
      <c r="BE56" s="177"/>
      <c r="BF56" s="177"/>
      <c r="BG56" s="177"/>
      <c r="BH56" s="177"/>
      <c r="BI56" s="177"/>
      <c r="BJ56" s="178"/>
      <c r="BK56" s="15"/>
    </row>
    <row r="57" spans="1:63" s="16" customFormat="1" ht="19.5" customHeight="1" x14ac:dyDescent="0.25">
      <c r="A57" s="11"/>
      <c r="B57" s="18"/>
      <c r="C57" s="173">
        <v>15</v>
      </c>
      <c r="D57" s="175"/>
      <c r="E57" s="185" t="s">
        <v>43</v>
      </c>
      <c r="F57" s="186"/>
      <c r="G57" s="186"/>
      <c r="H57" s="186"/>
      <c r="I57" s="186"/>
      <c r="J57" s="186"/>
      <c r="K57" s="187"/>
      <c r="L57" s="170" t="s">
        <v>6</v>
      </c>
      <c r="M57" s="171"/>
      <c r="N57" s="172"/>
      <c r="O57" s="173" t="s">
        <v>36</v>
      </c>
      <c r="P57" s="174"/>
      <c r="Q57" s="174"/>
      <c r="R57" s="175"/>
      <c r="S57" s="204" t="b">
        <v>1</v>
      </c>
      <c r="T57" s="174"/>
      <c r="U57" s="174"/>
      <c r="V57" s="174"/>
      <c r="W57" s="174"/>
      <c r="X57" s="174"/>
      <c r="Y57" s="175"/>
      <c r="Z57" s="203" t="s">
        <v>107</v>
      </c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9"/>
      <c r="AQ57" s="176" t="s">
        <v>44</v>
      </c>
      <c r="AR57" s="177"/>
      <c r="AS57" s="177"/>
      <c r="AT57" s="177"/>
      <c r="AU57" s="177"/>
      <c r="AV57" s="177"/>
      <c r="AW57" s="177"/>
      <c r="AX57" s="177"/>
      <c r="AY57" s="177"/>
      <c r="AZ57" s="177"/>
      <c r="BA57" s="177"/>
      <c r="BB57" s="177"/>
      <c r="BC57" s="177"/>
      <c r="BD57" s="177"/>
      <c r="BE57" s="177"/>
      <c r="BF57" s="177"/>
      <c r="BG57" s="177"/>
      <c r="BH57" s="177"/>
      <c r="BI57" s="177"/>
      <c r="BJ57" s="178"/>
      <c r="BK57" s="15"/>
    </row>
    <row r="58" spans="1:63" s="16" customFormat="1" ht="19.5" customHeight="1" x14ac:dyDescent="0.25">
      <c r="A58" s="11"/>
      <c r="B58" s="18"/>
      <c r="C58" s="173">
        <v>16</v>
      </c>
      <c r="D58" s="175"/>
      <c r="E58" s="185" t="s">
        <v>45</v>
      </c>
      <c r="F58" s="186"/>
      <c r="G58" s="186"/>
      <c r="H58" s="186"/>
      <c r="I58" s="186"/>
      <c r="J58" s="186"/>
      <c r="K58" s="187"/>
      <c r="L58" s="170" t="s">
        <v>6</v>
      </c>
      <c r="M58" s="171"/>
      <c r="N58" s="172"/>
      <c r="O58" s="173" t="s">
        <v>36</v>
      </c>
      <c r="P58" s="174"/>
      <c r="Q58" s="174"/>
      <c r="R58" s="175"/>
      <c r="S58" s="204" t="b">
        <v>1</v>
      </c>
      <c r="T58" s="174"/>
      <c r="U58" s="174"/>
      <c r="V58" s="174"/>
      <c r="W58" s="174"/>
      <c r="X58" s="174"/>
      <c r="Y58" s="175"/>
      <c r="Z58" s="203" t="s">
        <v>108</v>
      </c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9"/>
      <c r="AQ58" s="176" t="s">
        <v>46</v>
      </c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7"/>
      <c r="BF58" s="177"/>
      <c r="BG58" s="177"/>
      <c r="BH58" s="177"/>
      <c r="BI58" s="177"/>
      <c r="BJ58" s="178"/>
      <c r="BK58" s="15"/>
    </row>
    <row r="59" spans="1:63" s="16" customFormat="1" ht="19.5" customHeight="1" x14ac:dyDescent="0.25">
      <c r="A59" s="11"/>
      <c r="B59" s="18"/>
      <c r="C59" s="173">
        <v>17</v>
      </c>
      <c r="D59" s="175"/>
      <c r="E59" s="185" t="s">
        <v>47</v>
      </c>
      <c r="F59" s="186"/>
      <c r="G59" s="186"/>
      <c r="H59" s="186"/>
      <c r="I59" s="186"/>
      <c r="J59" s="186"/>
      <c r="K59" s="187"/>
      <c r="L59" s="170" t="s">
        <v>6</v>
      </c>
      <c r="M59" s="171"/>
      <c r="N59" s="172"/>
      <c r="O59" s="173" t="s">
        <v>36</v>
      </c>
      <c r="P59" s="174"/>
      <c r="Q59" s="174"/>
      <c r="R59" s="175"/>
      <c r="S59" s="204" t="b">
        <v>1</v>
      </c>
      <c r="T59" s="174"/>
      <c r="U59" s="174"/>
      <c r="V59" s="174"/>
      <c r="W59" s="174"/>
      <c r="X59" s="174"/>
      <c r="Y59" s="175"/>
      <c r="Z59" s="203" t="s">
        <v>109</v>
      </c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9"/>
      <c r="AQ59" s="176" t="s">
        <v>48</v>
      </c>
      <c r="AR59" s="177"/>
      <c r="AS59" s="177"/>
      <c r="AT59" s="177"/>
      <c r="AU59" s="177"/>
      <c r="AV59" s="177"/>
      <c r="AW59" s="177"/>
      <c r="AX59" s="177"/>
      <c r="AY59" s="177"/>
      <c r="AZ59" s="177"/>
      <c r="BA59" s="177"/>
      <c r="BB59" s="177"/>
      <c r="BC59" s="177"/>
      <c r="BD59" s="177"/>
      <c r="BE59" s="177"/>
      <c r="BF59" s="177"/>
      <c r="BG59" s="177"/>
      <c r="BH59" s="177"/>
      <c r="BI59" s="177"/>
      <c r="BJ59" s="178"/>
      <c r="BK59" s="15"/>
    </row>
    <row r="60" spans="1:63" s="16" customFormat="1" ht="19.5" customHeight="1" x14ac:dyDescent="0.25">
      <c r="A60" s="11"/>
      <c r="B60" s="18"/>
      <c r="C60" s="173">
        <v>18</v>
      </c>
      <c r="D60" s="175"/>
      <c r="E60" s="185" t="s">
        <v>49</v>
      </c>
      <c r="F60" s="186"/>
      <c r="G60" s="186"/>
      <c r="H60" s="186"/>
      <c r="I60" s="186"/>
      <c r="J60" s="186"/>
      <c r="K60" s="187"/>
      <c r="L60" s="170" t="s">
        <v>6</v>
      </c>
      <c r="M60" s="171"/>
      <c r="N60" s="172"/>
      <c r="O60" s="173" t="s">
        <v>36</v>
      </c>
      <c r="P60" s="174"/>
      <c r="Q60" s="174"/>
      <c r="R60" s="175"/>
      <c r="S60" s="204" t="b">
        <v>0</v>
      </c>
      <c r="T60" s="174"/>
      <c r="U60" s="174"/>
      <c r="V60" s="174"/>
      <c r="W60" s="174"/>
      <c r="X60" s="174"/>
      <c r="Y60" s="175"/>
      <c r="Z60" s="203" t="s">
        <v>110</v>
      </c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9"/>
      <c r="AQ60" s="176" t="s">
        <v>50</v>
      </c>
      <c r="AR60" s="177"/>
      <c r="AS60" s="177"/>
      <c r="AT60" s="177"/>
      <c r="AU60" s="177"/>
      <c r="AV60" s="177"/>
      <c r="AW60" s="177"/>
      <c r="AX60" s="177"/>
      <c r="AY60" s="177"/>
      <c r="AZ60" s="177"/>
      <c r="BA60" s="177"/>
      <c r="BB60" s="177"/>
      <c r="BC60" s="177"/>
      <c r="BD60" s="177"/>
      <c r="BE60" s="177"/>
      <c r="BF60" s="177"/>
      <c r="BG60" s="177"/>
      <c r="BH60" s="177"/>
      <c r="BI60" s="177"/>
      <c r="BJ60" s="178"/>
      <c r="BK60" s="15"/>
    </row>
    <row r="61" spans="1:63" s="16" customFormat="1" ht="19.5" customHeight="1" x14ac:dyDescent="0.25">
      <c r="A61" s="11"/>
      <c r="B61" s="18"/>
      <c r="C61" s="173">
        <v>19</v>
      </c>
      <c r="D61" s="175"/>
      <c r="E61" s="185" t="s">
        <v>51</v>
      </c>
      <c r="F61" s="186"/>
      <c r="G61" s="186"/>
      <c r="H61" s="186"/>
      <c r="I61" s="186"/>
      <c r="J61" s="186"/>
      <c r="K61" s="187"/>
      <c r="L61" s="170" t="s">
        <v>6</v>
      </c>
      <c r="M61" s="171"/>
      <c r="N61" s="172"/>
      <c r="O61" s="173" t="s">
        <v>36</v>
      </c>
      <c r="P61" s="174"/>
      <c r="Q61" s="174"/>
      <c r="R61" s="175"/>
      <c r="S61" s="204" t="b">
        <v>0</v>
      </c>
      <c r="T61" s="174"/>
      <c r="U61" s="174"/>
      <c r="V61" s="174"/>
      <c r="W61" s="174"/>
      <c r="X61" s="174"/>
      <c r="Y61" s="175"/>
      <c r="Z61" s="203" t="s">
        <v>111</v>
      </c>
      <c r="AA61" s="168"/>
      <c r="AB61" s="168"/>
      <c r="AC61" s="168"/>
      <c r="AD61" s="168"/>
      <c r="AE61" s="168"/>
      <c r="AF61" s="168"/>
      <c r="AG61" s="168"/>
      <c r="AH61" s="168"/>
      <c r="AI61" s="168"/>
      <c r="AJ61" s="168"/>
      <c r="AK61" s="168"/>
      <c r="AL61" s="168"/>
      <c r="AM61" s="168"/>
      <c r="AN61" s="168"/>
      <c r="AO61" s="168"/>
      <c r="AP61" s="169"/>
      <c r="AQ61" s="176" t="s">
        <v>52</v>
      </c>
      <c r="AR61" s="177"/>
      <c r="AS61" s="177"/>
      <c r="AT61" s="177"/>
      <c r="AU61" s="177"/>
      <c r="AV61" s="177"/>
      <c r="AW61" s="177"/>
      <c r="AX61" s="177"/>
      <c r="AY61" s="177"/>
      <c r="AZ61" s="177"/>
      <c r="BA61" s="177"/>
      <c r="BB61" s="177"/>
      <c r="BC61" s="177"/>
      <c r="BD61" s="177"/>
      <c r="BE61" s="177"/>
      <c r="BF61" s="177"/>
      <c r="BG61" s="177"/>
      <c r="BH61" s="177"/>
      <c r="BI61" s="177"/>
      <c r="BJ61" s="178"/>
      <c r="BK61" s="15"/>
    </row>
    <row r="62" spans="1:63" s="16" customFormat="1" ht="19.5" customHeight="1" x14ac:dyDescent="0.25">
      <c r="A62" s="11"/>
      <c r="B62" s="18"/>
      <c r="C62" s="173">
        <v>20</v>
      </c>
      <c r="D62" s="175"/>
      <c r="E62" s="185" t="s">
        <v>53</v>
      </c>
      <c r="F62" s="186"/>
      <c r="G62" s="186"/>
      <c r="H62" s="186"/>
      <c r="I62" s="186"/>
      <c r="J62" s="186"/>
      <c r="K62" s="187"/>
      <c r="L62" s="170" t="s">
        <v>6</v>
      </c>
      <c r="M62" s="171"/>
      <c r="N62" s="172"/>
      <c r="O62" s="173" t="s">
        <v>36</v>
      </c>
      <c r="P62" s="174"/>
      <c r="Q62" s="174"/>
      <c r="R62" s="175"/>
      <c r="S62" s="204" t="b">
        <v>0</v>
      </c>
      <c r="T62" s="174"/>
      <c r="U62" s="174"/>
      <c r="V62" s="174"/>
      <c r="W62" s="174"/>
      <c r="X62" s="174"/>
      <c r="Y62" s="175"/>
      <c r="Z62" s="203" t="s">
        <v>112</v>
      </c>
      <c r="AA62" s="168"/>
      <c r="AB62" s="168"/>
      <c r="AC62" s="168"/>
      <c r="AD62" s="168"/>
      <c r="AE62" s="168"/>
      <c r="AF62" s="168"/>
      <c r="AG62" s="168"/>
      <c r="AH62" s="168"/>
      <c r="AI62" s="168"/>
      <c r="AJ62" s="168"/>
      <c r="AK62" s="168"/>
      <c r="AL62" s="168"/>
      <c r="AM62" s="168"/>
      <c r="AN62" s="168"/>
      <c r="AO62" s="168"/>
      <c r="AP62" s="169"/>
      <c r="AQ62" s="176" t="s">
        <v>54</v>
      </c>
      <c r="AR62" s="177"/>
      <c r="AS62" s="177"/>
      <c r="AT62" s="177"/>
      <c r="AU62" s="177"/>
      <c r="AV62" s="177"/>
      <c r="AW62" s="177"/>
      <c r="AX62" s="177"/>
      <c r="AY62" s="177"/>
      <c r="AZ62" s="177"/>
      <c r="BA62" s="177"/>
      <c r="BB62" s="177"/>
      <c r="BC62" s="177"/>
      <c r="BD62" s="177"/>
      <c r="BE62" s="177"/>
      <c r="BF62" s="177"/>
      <c r="BG62" s="177"/>
      <c r="BH62" s="177"/>
      <c r="BI62" s="177"/>
      <c r="BJ62" s="178"/>
      <c r="BK62" s="15"/>
    </row>
    <row r="63" spans="1:63" s="16" customFormat="1" ht="19.5" customHeight="1" x14ac:dyDescent="0.25">
      <c r="A63" s="11"/>
      <c r="B63" s="18"/>
      <c r="C63" s="173">
        <v>21</v>
      </c>
      <c r="D63" s="175"/>
      <c r="E63" s="167" t="s">
        <v>56</v>
      </c>
      <c r="F63" s="168"/>
      <c r="G63" s="168"/>
      <c r="H63" s="168"/>
      <c r="I63" s="168"/>
      <c r="J63" s="168"/>
      <c r="K63" s="169"/>
      <c r="L63" s="170" t="s">
        <v>6</v>
      </c>
      <c r="M63" s="171"/>
      <c r="N63" s="172"/>
      <c r="O63" s="173" t="s">
        <v>55</v>
      </c>
      <c r="P63" s="174"/>
      <c r="Q63" s="174"/>
      <c r="R63" s="175"/>
      <c r="S63" s="173" t="s">
        <v>6</v>
      </c>
      <c r="T63" s="174"/>
      <c r="U63" s="174"/>
      <c r="V63" s="174"/>
      <c r="W63" s="174"/>
      <c r="X63" s="174"/>
      <c r="Y63" s="175"/>
      <c r="Z63" s="167" t="s">
        <v>63</v>
      </c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9"/>
      <c r="AQ63" s="207" t="s">
        <v>180</v>
      </c>
      <c r="AR63" s="208"/>
      <c r="AS63" s="208"/>
      <c r="AT63" s="208"/>
      <c r="AU63" s="208"/>
      <c r="AV63" s="208"/>
      <c r="AW63" s="208"/>
      <c r="AX63" s="208"/>
      <c r="AY63" s="208"/>
      <c r="AZ63" s="208"/>
      <c r="BA63" s="208"/>
      <c r="BB63" s="208"/>
      <c r="BC63" s="208"/>
      <c r="BD63" s="208"/>
      <c r="BE63" s="208"/>
      <c r="BF63" s="208"/>
      <c r="BG63" s="208"/>
      <c r="BH63" s="208"/>
      <c r="BI63" s="208"/>
      <c r="BJ63" s="209"/>
      <c r="BK63" s="15"/>
    </row>
    <row r="64" spans="1:63" s="16" customFormat="1" ht="39.75" customHeight="1" x14ac:dyDescent="0.25">
      <c r="A64" s="11"/>
      <c r="B64" s="18"/>
      <c r="C64" s="173">
        <v>22</v>
      </c>
      <c r="D64" s="175"/>
      <c r="E64" s="194" t="s">
        <v>169</v>
      </c>
      <c r="F64" s="195"/>
      <c r="G64" s="195"/>
      <c r="H64" s="195"/>
      <c r="I64" s="195"/>
      <c r="J64" s="195"/>
      <c r="K64" s="196"/>
      <c r="L64" s="197" t="s">
        <v>6</v>
      </c>
      <c r="M64" s="198"/>
      <c r="N64" s="199"/>
      <c r="O64" s="188" t="s">
        <v>27</v>
      </c>
      <c r="P64" s="189"/>
      <c r="Q64" s="189"/>
      <c r="R64" s="190"/>
      <c r="S64" s="188" t="s">
        <v>6</v>
      </c>
      <c r="T64" s="189"/>
      <c r="U64" s="189"/>
      <c r="V64" s="189"/>
      <c r="W64" s="189"/>
      <c r="X64" s="189"/>
      <c r="Y64" s="190"/>
      <c r="Z64" s="194" t="s">
        <v>59</v>
      </c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6"/>
      <c r="AQ64" s="200" t="s">
        <v>170</v>
      </c>
      <c r="AR64" s="201"/>
      <c r="AS64" s="201"/>
      <c r="AT64" s="201"/>
      <c r="AU64" s="201"/>
      <c r="AV64" s="201"/>
      <c r="AW64" s="201"/>
      <c r="AX64" s="201"/>
      <c r="AY64" s="201"/>
      <c r="AZ64" s="201"/>
      <c r="BA64" s="201"/>
      <c r="BB64" s="201"/>
      <c r="BC64" s="201"/>
      <c r="BD64" s="201"/>
      <c r="BE64" s="201"/>
      <c r="BF64" s="201"/>
      <c r="BG64" s="201"/>
      <c r="BH64" s="201"/>
      <c r="BI64" s="201"/>
      <c r="BJ64" s="202"/>
      <c r="BK64" s="15"/>
    </row>
    <row r="65" spans="1:63" s="16" customFormat="1" ht="39.75" customHeight="1" x14ac:dyDescent="0.25">
      <c r="A65" s="11"/>
      <c r="B65" s="18"/>
      <c r="C65" s="173">
        <v>23</v>
      </c>
      <c r="D65" s="175"/>
      <c r="E65" s="167" t="s">
        <v>171</v>
      </c>
      <c r="F65" s="168"/>
      <c r="G65" s="168"/>
      <c r="H65" s="168"/>
      <c r="I65" s="168"/>
      <c r="J65" s="168"/>
      <c r="K65" s="169"/>
      <c r="L65" s="170" t="s">
        <v>4</v>
      </c>
      <c r="M65" s="171"/>
      <c r="N65" s="172"/>
      <c r="O65" s="173" t="s">
        <v>5</v>
      </c>
      <c r="P65" s="174"/>
      <c r="Q65" s="174"/>
      <c r="R65" s="175"/>
      <c r="S65" s="173" t="s">
        <v>6</v>
      </c>
      <c r="T65" s="174"/>
      <c r="U65" s="174"/>
      <c r="V65" s="174"/>
      <c r="W65" s="174"/>
      <c r="X65" s="174"/>
      <c r="Y65" s="175"/>
      <c r="Z65" s="167" t="s">
        <v>60</v>
      </c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9"/>
      <c r="AQ65" s="191" t="s">
        <v>172</v>
      </c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  <c r="BD65" s="192"/>
      <c r="BE65" s="192"/>
      <c r="BF65" s="192"/>
      <c r="BG65" s="192"/>
      <c r="BH65" s="192"/>
      <c r="BI65" s="192"/>
      <c r="BJ65" s="193"/>
      <c r="BK65" s="15"/>
    </row>
    <row r="66" spans="1:63" s="16" customFormat="1" ht="66.75" customHeight="1" x14ac:dyDescent="0.25">
      <c r="A66" s="11"/>
      <c r="B66" s="18"/>
      <c r="C66" s="173">
        <v>24</v>
      </c>
      <c r="D66" s="175"/>
      <c r="E66" s="194" t="s">
        <v>173</v>
      </c>
      <c r="F66" s="195"/>
      <c r="G66" s="195"/>
      <c r="H66" s="195"/>
      <c r="I66" s="195"/>
      <c r="J66" s="195"/>
      <c r="K66" s="196"/>
      <c r="L66" s="197" t="s">
        <v>4</v>
      </c>
      <c r="M66" s="198"/>
      <c r="N66" s="199"/>
      <c r="O66" s="188" t="s">
        <v>5</v>
      </c>
      <c r="P66" s="189"/>
      <c r="Q66" s="189"/>
      <c r="R66" s="190"/>
      <c r="S66" s="188" t="s">
        <v>6</v>
      </c>
      <c r="T66" s="189"/>
      <c r="U66" s="189"/>
      <c r="V66" s="189"/>
      <c r="W66" s="189"/>
      <c r="X66" s="189"/>
      <c r="Y66" s="190"/>
      <c r="Z66" s="194" t="s">
        <v>129</v>
      </c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6"/>
      <c r="AQ66" s="200" t="s">
        <v>174</v>
      </c>
      <c r="AR66" s="201"/>
      <c r="AS66" s="201"/>
      <c r="AT66" s="201"/>
      <c r="AU66" s="201"/>
      <c r="AV66" s="201"/>
      <c r="AW66" s="201"/>
      <c r="AX66" s="201"/>
      <c r="AY66" s="201"/>
      <c r="AZ66" s="201"/>
      <c r="BA66" s="201"/>
      <c r="BB66" s="201"/>
      <c r="BC66" s="201"/>
      <c r="BD66" s="201"/>
      <c r="BE66" s="201"/>
      <c r="BF66" s="201"/>
      <c r="BG66" s="201"/>
      <c r="BH66" s="201"/>
      <c r="BI66" s="201"/>
      <c r="BJ66" s="202"/>
      <c r="BK66" s="15"/>
    </row>
    <row r="67" spans="1:63" s="16" customFormat="1" ht="39.75" customHeight="1" x14ac:dyDescent="0.25">
      <c r="A67" s="11"/>
      <c r="B67" s="18"/>
      <c r="C67" s="173">
        <v>25</v>
      </c>
      <c r="D67" s="175"/>
      <c r="E67" s="194" t="s">
        <v>175</v>
      </c>
      <c r="F67" s="195"/>
      <c r="G67" s="195"/>
      <c r="H67" s="195"/>
      <c r="I67" s="195"/>
      <c r="J67" s="195"/>
      <c r="K67" s="196"/>
      <c r="L67" s="197" t="s">
        <v>4</v>
      </c>
      <c r="M67" s="198"/>
      <c r="N67" s="199"/>
      <c r="O67" s="188" t="s">
        <v>5</v>
      </c>
      <c r="P67" s="189"/>
      <c r="Q67" s="189"/>
      <c r="R67" s="190"/>
      <c r="S67" s="188" t="s">
        <v>6</v>
      </c>
      <c r="T67" s="189"/>
      <c r="U67" s="189"/>
      <c r="V67" s="189"/>
      <c r="W67" s="189"/>
      <c r="X67" s="189"/>
      <c r="Y67" s="190"/>
      <c r="Z67" s="194" t="s">
        <v>130</v>
      </c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6"/>
      <c r="AQ67" s="200" t="s">
        <v>131</v>
      </c>
      <c r="AR67" s="201"/>
      <c r="AS67" s="201"/>
      <c r="AT67" s="201"/>
      <c r="AU67" s="201"/>
      <c r="AV67" s="201"/>
      <c r="AW67" s="201"/>
      <c r="AX67" s="201"/>
      <c r="AY67" s="201"/>
      <c r="AZ67" s="201"/>
      <c r="BA67" s="201"/>
      <c r="BB67" s="201"/>
      <c r="BC67" s="201"/>
      <c r="BD67" s="201"/>
      <c r="BE67" s="201"/>
      <c r="BF67" s="201"/>
      <c r="BG67" s="201"/>
      <c r="BH67" s="201"/>
      <c r="BI67" s="201"/>
      <c r="BJ67" s="202"/>
      <c r="BK67" s="15"/>
    </row>
    <row r="68" spans="1:63" s="16" customFormat="1" ht="39.75" customHeight="1" x14ac:dyDescent="0.25">
      <c r="A68" s="11"/>
      <c r="B68" s="18"/>
      <c r="C68" s="173">
        <v>26</v>
      </c>
      <c r="D68" s="175"/>
      <c r="E68" s="185" t="s">
        <v>34</v>
      </c>
      <c r="F68" s="186"/>
      <c r="G68" s="186"/>
      <c r="H68" s="186"/>
      <c r="I68" s="186"/>
      <c r="J68" s="186"/>
      <c r="K68" s="187"/>
      <c r="L68" s="197" t="s">
        <v>4</v>
      </c>
      <c r="M68" s="198"/>
      <c r="N68" s="199"/>
      <c r="O68" s="173" t="s">
        <v>33</v>
      </c>
      <c r="P68" s="174"/>
      <c r="Q68" s="174"/>
      <c r="R68" s="175"/>
      <c r="S68" s="173" t="s">
        <v>6</v>
      </c>
      <c r="T68" s="174"/>
      <c r="U68" s="174"/>
      <c r="V68" s="174"/>
      <c r="W68" s="174"/>
      <c r="X68" s="174"/>
      <c r="Y68" s="175"/>
      <c r="Z68" s="167" t="s">
        <v>61</v>
      </c>
      <c r="AA68" s="168"/>
      <c r="AB68" s="168"/>
      <c r="AC68" s="168"/>
      <c r="AD68" s="168"/>
      <c r="AE68" s="168"/>
      <c r="AF68" s="168"/>
      <c r="AG68" s="168"/>
      <c r="AH68" s="168"/>
      <c r="AI68" s="168"/>
      <c r="AJ68" s="168"/>
      <c r="AK68" s="168"/>
      <c r="AL68" s="168"/>
      <c r="AM68" s="168"/>
      <c r="AN68" s="168"/>
      <c r="AO68" s="168"/>
      <c r="AP68" s="169"/>
      <c r="AQ68" s="200" t="s">
        <v>64</v>
      </c>
      <c r="AR68" s="201"/>
      <c r="AS68" s="201"/>
      <c r="AT68" s="201"/>
      <c r="AU68" s="201"/>
      <c r="AV68" s="201"/>
      <c r="AW68" s="201"/>
      <c r="AX68" s="201"/>
      <c r="AY68" s="201"/>
      <c r="AZ68" s="201"/>
      <c r="BA68" s="201"/>
      <c r="BB68" s="201"/>
      <c r="BC68" s="201"/>
      <c r="BD68" s="201"/>
      <c r="BE68" s="201"/>
      <c r="BF68" s="201"/>
      <c r="BG68" s="201"/>
      <c r="BH68" s="201"/>
      <c r="BI68" s="201"/>
      <c r="BJ68" s="202"/>
      <c r="BK68" s="15"/>
    </row>
    <row r="69" spans="1:63" s="16" customFormat="1" ht="174" customHeight="1" x14ac:dyDescent="0.25">
      <c r="A69" s="11"/>
      <c r="B69" s="18"/>
      <c r="C69" s="173">
        <v>27</v>
      </c>
      <c r="D69" s="175"/>
      <c r="E69" s="179" t="s">
        <v>58</v>
      </c>
      <c r="F69" s="180"/>
      <c r="G69" s="180"/>
      <c r="H69" s="180"/>
      <c r="I69" s="180"/>
      <c r="J69" s="180"/>
      <c r="K69" s="181"/>
      <c r="L69" s="170" t="s">
        <v>4</v>
      </c>
      <c r="M69" s="171"/>
      <c r="N69" s="172"/>
      <c r="O69" s="173" t="s">
        <v>26</v>
      </c>
      <c r="P69" s="174"/>
      <c r="Q69" s="174"/>
      <c r="R69" s="175"/>
      <c r="S69" s="173">
        <v>15</v>
      </c>
      <c r="T69" s="174"/>
      <c r="U69" s="174"/>
      <c r="V69" s="174"/>
      <c r="W69" s="174"/>
      <c r="X69" s="174"/>
      <c r="Y69" s="175"/>
      <c r="Z69" s="167" t="s">
        <v>62</v>
      </c>
      <c r="AA69" s="168"/>
      <c r="AB69" s="168"/>
      <c r="AC69" s="168"/>
      <c r="AD69" s="168"/>
      <c r="AE69" s="168"/>
      <c r="AF69" s="168"/>
      <c r="AG69" s="168"/>
      <c r="AH69" s="168"/>
      <c r="AI69" s="168"/>
      <c r="AJ69" s="168"/>
      <c r="AK69" s="168"/>
      <c r="AL69" s="168"/>
      <c r="AM69" s="168"/>
      <c r="AN69" s="168"/>
      <c r="AO69" s="168"/>
      <c r="AP69" s="169"/>
      <c r="AQ69" s="182" t="s">
        <v>176</v>
      </c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4"/>
      <c r="BK69" s="15"/>
    </row>
    <row r="70" spans="1:63" s="16" customFormat="1" ht="155.25" customHeight="1" x14ac:dyDescent="0.25">
      <c r="A70" s="11"/>
      <c r="B70" s="18"/>
      <c r="C70" s="173">
        <v>28</v>
      </c>
      <c r="D70" s="175"/>
      <c r="E70" s="185" t="s">
        <v>57</v>
      </c>
      <c r="F70" s="186"/>
      <c r="G70" s="186"/>
      <c r="H70" s="186"/>
      <c r="I70" s="186"/>
      <c r="J70" s="186"/>
      <c r="K70" s="187"/>
      <c r="L70" s="170" t="s">
        <v>4</v>
      </c>
      <c r="M70" s="171"/>
      <c r="N70" s="172"/>
      <c r="O70" s="173" t="s">
        <v>26</v>
      </c>
      <c r="P70" s="174"/>
      <c r="Q70" s="174"/>
      <c r="R70" s="175"/>
      <c r="S70" s="188" t="s">
        <v>6</v>
      </c>
      <c r="T70" s="189"/>
      <c r="U70" s="189"/>
      <c r="V70" s="189"/>
      <c r="W70" s="189"/>
      <c r="X70" s="189"/>
      <c r="Y70" s="190"/>
      <c r="Z70" s="203" t="s">
        <v>101</v>
      </c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9"/>
      <c r="AQ70" s="176" t="s">
        <v>177</v>
      </c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  <c r="BB70" s="177"/>
      <c r="BC70" s="177"/>
      <c r="BD70" s="177"/>
      <c r="BE70" s="177"/>
      <c r="BF70" s="177"/>
      <c r="BG70" s="177"/>
      <c r="BH70" s="177"/>
      <c r="BI70" s="177"/>
      <c r="BJ70" s="178"/>
      <c r="BK70" s="15"/>
    </row>
    <row r="71" spans="1:63" s="16" customFormat="1" ht="79.5" customHeight="1" x14ac:dyDescent="0.25">
      <c r="A71" s="11"/>
      <c r="B71" s="18"/>
      <c r="C71" s="173">
        <v>29</v>
      </c>
      <c r="D71" s="175"/>
      <c r="E71" s="167" t="s">
        <v>178</v>
      </c>
      <c r="F71" s="168"/>
      <c r="G71" s="168"/>
      <c r="H71" s="168"/>
      <c r="I71" s="168"/>
      <c r="J71" s="168"/>
      <c r="K71" s="169"/>
      <c r="L71" s="170" t="s">
        <v>6</v>
      </c>
      <c r="M71" s="171"/>
      <c r="N71" s="172"/>
      <c r="O71" s="173" t="s">
        <v>26</v>
      </c>
      <c r="P71" s="174"/>
      <c r="Q71" s="174"/>
      <c r="R71" s="175"/>
      <c r="S71" s="173">
        <v>1</v>
      </c>
      <c r="T71" s="174"/>
      <c r="U71" s="174"/>
      <c r="V71" s="174"/>
      <c r="W71" s="174"/>
      <c r="X71" s="174"/>
      <c r="Y71" s="175"/>
      <c r="Z71" s="167" t="s">
        <v>102</v>
      </c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8"/>
      <c r="AL71" s="168"/>
      <c r="AM71" s="168"/>
      <c r="AN71" s="168"/>
      <c r="AO71" s="168"/>
      <c r="AP71" s="169"/>
      <c r="AQ71" s="176" t="s">
        <v>179</v>
      </c>
      <c r="AR71" s="177"/>
      <c r="AS71" s="177"/>
      <c r="AT71" s="177"/>
      <c r="AU71" s="177"/>
      <c r="AV71" s="177"/>
      <c r="AW71" s="177"/>
      <c r="AX71" s="177"/>
      <c r="AY71" s="177"/>
      <c r="AZ71" s="177"/>
      <c r="BA71" s="177"/>
      <c r="BB71" s="177"/>
      <c r="BC71" s="177"/>
      <c r="BD71" s="177"/>
      <c r="BE71" s="177"/>
      <c r="BF71" s="177"/>
      <c r="BG71" s="177"/>
      <c r="BH71" s="177"/>
      <c r="BI71" s="177"/>
      <c r="BJ71" s="178"/>
      <c r="BK71" s="15"/>
    </row>
    <row r="72" spans="1:63" s="16" customFormat="1" ht="54.75" customHeight="1" x14ac:dyDescent="0.25">
      <c r="A72" s="11"/>
      <c r="B72" s="18"/>
      <c r="C72" s="173">
        <v>30</v>
      </c>
      <c r="D72" s="175"/>
      <c r="E72" s="185" t="s">
        <v>65</v>
      </c>
      <c r="F72" s="186"/>
      <c r="G72" s="186"/>
      <c r="H72" s="186"/>
      <c r="I72" s="186"/>
      <c r="J72" s="186"/>
      <c r="K72" s="187"/>
      <c r="L72" s="170" t="s">
        <v>6</v>
      </c>
      <c r="M72" s="171"/>
      <c r="N72" s="172"/>
      <c r="O72" s="173" t="s">
        <v>26</v>
      </c>
      <c r="P72" s="174"/>
      <c r="Q72" s="174"/>
      <c r="R72" s="175"/>
      <c r="S72" s="188">
        <v>1</v>
      </c>
      <c r="T72" s="189"/>
      <c r="U72" s="189"/>
      <c r="V72" s="189"/>
      <c r="W72" s="189"/>
      <c r="X72" s="189"/>
      <c r="Y72" s="190"/>
      <c r="Z72" s="203" t="s">
        <v>113</v>
      </c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  <c r="AK72" s="168"/>
      <c r="AL72" s="168"/>
      <c r="AM72" s="168"/>
      <c r="AN72" s="168"/>
      <c r="AO72" s="168"/>
      <c r="AP72" s="169"/>
      <c r="AQ72" s="176" t="s">
        <v>181</v>
      </c>
      <c r="AR72" s="177"/>
      <c r="AS72" s="177"/>
      <c r="AT72" s="177"/>
      <c r="AU72" s="177"/>
      <c r="AV72" s="177"/>
      <c r="AW72" s="177"/>
      <c r="AX72" s="177"/>
      <c r="AY72" s="177"/>
      <c r="AZ72" s="177"/>
      <c r="BA72" s="177"/>
      <c r="BB72" s="177"/>
      <c r="BC72" s="177"/>
      <c r="BD72" s="177"/>
      <c r="BE72" s="177"/>
      <c r="BF72" s="177"/>
      <c r="BG72" s="177"/>
      <c r="BH72" s="177"/>
      <c r="BI72" s="177"/>
      <c r="BJ72" s="178"/>
      <c r="BK72" s="15"/>
    </row>
    <row r="73" spans="1:63" s="16" customFormat="1" ht="84.75" customHeight="1" x14ac:dyDescent="0.25">
      <c r="A73" s="11"/>
      <c r="B73" s="18"/>
      <c r="C73" s="173">
        <v>31</v>
      </c>
      <c r="D73" s="175"/>
      <c r="E73" s="179" t="s">
        <v>133</v>
      </c>
      <c r="F73" s="180"/>
      <c r="G73" s="180"/>
      <c r="H73" s="180"/>
      <c r="I73" s="180"/>
      <c r="J73" s="180"/>
      <c r="K73" s="181"/>
      <c r="L73" s="170" t="s">
        <v>4</v>
      </c>
      <c r="M73" s="171"/>
      <c r="N73" s="172"/>
      <c r="O73" s="173" t="s">
        <v>66</v>
      </c>
      <c r="P73" s="174"/>
      <c r="Q73" s="174"/>
      <c r="R73" s="175"/>
      <c r="S73" s="204" t="s">
        <v>6</v>
      </c>
      <c r="T73" s="174"/>
      <c r="U73" s="174"/>
      <c r="V73" s="174"/>
      <c r="W73" s="174"/>
      <c r="X73" s="174"/>
      <c r="Y73" s="175"/>
      <c r="Z73" s="203" t="s">
        <v>114</v>
      </c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9"/>
      <c r="AQ73" s="176" t="s">
        <v>182</v>
      </c>
      <c r="AR73" s="177"/>
      <c r="AS73" s="177"/>
      <c r="AT73" s="177"/>
      <c r="AU73" s="177"/>
      <c r="AV73" s="177"/>
      <c r="AW73" s="177"/>
      <c r="AX73" s="177"/>
      <c r="AY73" s="177"/>
      <c r="AZ73" s="177"/>
      <c r="BA73" s="177"/>
      <c r="BB73" s="177"/>
      <c r="BC73" s="177"/>
      <c r="BD73" s="177"/>
      <c r="BE73" s="177"/>
      <c r="BF73" s="177"/>
      <c r="BG73" s="177"/>
      <c r="BH73" s="177"/>
      <c r="BI73" s="177"/>
      <c r="BJ73" s="178"/>
      <c r="BK73" s="15"/>
    </row>
    <row r="74" spans="1:63" s="16" customFormat="1" ht="117.75" customHeight="1" x14ac:dyDescent="0.25">
      <c r="A74" s="11"/>
      <c r="B74" s="18"/>
      <c r="C74" s="173">
        <v>32</v>
      </c>
      <c r="D74" s="175"/>
      <c r="E74" s="179" t="s">
        <v>134</v>
      </c>
      <c r="F74" s="180"/>
      <c r="G74" s="180"/>
      <c r="H74" s="180"/>
      <c r="I74" s="180"/>
      <c r="J74" s="180"/>
      <c r="K74" s="181"/>
      <c r="L74" s="170" t="s">
        <v>4</v>
      </c>
      <c r="M74" s="171"/>
      <c r="N74" s="172"/>
      <c r="O74" s="173" t="s">
        <v>66</v>
      </c>
      <c r="P74" s="174"/>
      <c r="Q74" s="174"/>
      <c r="R74" s="175"/>
      <c r="S74" s="204" t="s">
        <v>6</v>
      </c>
      <c r="T74" s="174"/>
      <c r="U74" s="174"/>
      <c r="V74" s="174"/>
      <c r="W74" s="174"/>
      <c r="X74" s="174"/>
      <c r="Y74" s="175"/>
      <c r="Z74" s="203" t="s">
        <v>115</v>
      </c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9"/>
      <c r="AQ74" s="176" t="s">
        <v>212</v>
      </c>
      <c r="AR74" s="177"/>
      <c r="AS74" s="177"/>
      <c r="AT74" s="177"/>
      <c r="AU74" s="177"/>
      <c r="AV74" s="177"/>
      <c r="AW74" s="177"/>
      <c r="AX74" s="177"/>
      <c r="AY74" s="177"/>
      <c r="AZ74" s="177"/>
      <c r="BA74" s="177"/>
      <c r="BB74" s="177"/>
      <c r="BC74" s="177"/>
      <c r="BD74" s="177"/>
      <c r="BE74" s="177"/>
      <c r="BF74" s="177"/>
      <c r="BG74" s="177"/>
      <c r="BH74" s="177"/>
      <c r="BI74" s="177"/>
      <c r="BJ74" s="178"/>
      <c r="BK74" s="15"/>
    </row>
    <row r="75" spans="1:63" s="16" customFormat="1" ht="40.5" customHeight="1" x14ac:dyDescent="0.25">
      <c r="A75" s="11"/>
      <c r="B75" s="18"/>
      <c r="C75" s="173">
        <v>33</v>
      </c>
      <c r="D75" s="175"/>
      <c r="E75" s="179" t="s">
        <v>100</v>
      </c>
      <c r="F75" s="180"/>
      <c r="G75" s="180"/>
      <c r="H75" s="180"/>
      <c r="I75" s="180"/>
      <c r="J75" s="180"/>
      <c r="K75" s="181"/>
      <c r="L75" s="170" t="s">
        <v>6</v>
      </c>
      <c r="M75" s="171"/>
      <c r="N75" s="172"/>
      <c r="O75" s="173" t="s">
        <v>26</v>
      </c>
      <c r="P75" s="174"/>
      <c r="Q75" s="174"/>
      <c r="R75" s="175"/>
      <c r="S75" s="188">
        <v>1</v>
      </c>
      <c r="T75" s="189"/>
      <c r="U75" s="189"/>
      <c r="V75" s="189"/>
      <c r="W75" s="189"/>
      <c r="X75" s="189"/>
      <c r="Y75" s="190"/>
      <c r="Z75" s="182" t="s">
        <v>116</v>
      </c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6"/>
      <c r="AQ75" s="176" t="s">
        <v>183</v>
      </c>
      <c r="AR75" s="177"/>
      <c r="AS75" s="177"/>
      <c r="AT75" s="177"/>
      <c r="AU75" s="177"/>
      <c r="AV75" s="177"/>
      <c r="AW75" s="177"/>
      <c r="AX75" s="177"/>
      <c r="AY75" s="177"/>
      <c r="AZ75" s="177"/>
      <c r="BA75" s="177"/>
      <c r="BB75" s="177"/>
      <c r="BC75" s="177"/>
      <c r="BD75" s="177"/>
      <c r="BE75" s="177"/>
      <c r="BF75" s="177"/>
      <c r="BG75" s="177"/>
      <c r="BH75" s="177"/>
      <c r="BI75" s="177"/>
      <c r="BJ75" s="178"/>
      <c r="BK75" s="15"/>
    </row>
    <row r="76" spans="1:63" s="16" customFormat="1" ht="19.5" customHeight="1" x14ac:dyDescent="0.25">
      <c r="A76" s="11"/>
      <c r="B76" s="18"/>
      <c r="C76" s="173">
        <v>34</v>
      </c>
      <c r="D76" s="175"/>
      <c r="E76" s="185" t="s">
        <v>68</v>
      </c>
      <c r="F76" s="186"/>
      <c r="G76" s="186"/>
      <c r="H76" s="186"/>
      <c r="I76" s="186"/>
      <c r="J76" s="186"/>
      <c r="K76" s="187"/>
      <c r="L76" s="170" t="s">
        <v>6</v>
      </c>
      <c r="M76" s="171"/>
      <c r="N76" s="172"/>
      <c r="O76" s="173" t="s">
        <v>36</v>
      </c>
      <c r="P76" s="174"/>
      <c r="Q76" s="174"/>
      <c r="R76" s="175"/>
      <c r="S76" s="204" t="b">
        <v>1</v>
      </c>
      <c r="T76" s="174"/>
      <c r="U76" s="174"/>
      <c r="V76" s="174"/>
      <c r="W76" s="174"/>
      <c r="X76" s="174"/>
      <c r="Y76" s="175"/>
      <c r="Z76" s="203" t="s">
        <v>117</v>
      </c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9"/>
      <c r="AQ76" s="176" t="s">
        <v>6</v>
      </c>
      <c r="AR76" s="177"/>
      <c r="AS76" s="177"/>
      <c r="AT76" s="177"/>
      <c r="AU76" s="177"/>
      <c r="AV76" s="177"/>
      <c r="AW76" s="177"/>
      <c r="AX76" s="177"/>
      <c r="AY76" s="177"/>
      <c r="AZ76" s="177"/>
      <c r="BA76" s="177"/>
      <c r="BB76" s="177"/>
      <c r="BC76" s="177"/>
      <c r="BD76" s="177"/>
      <c r="BE76" s="177"/>
      <c r="BF76" s="177"/>
      <c r="BG76" s="177"/>
      <c r="BH76" s="177"/>
      <c r="BI76" s="177"/>
      <c r="BJ76" s="178"/>
      <c r="BK76" s="15"/>
    </row>
    <row r="77" spans="1:63" s="16" customFormat="1" ht="19.5" customHeight="1" x14ac:dyDescent="0.25">
      <c r="A77" s="11"/>
      <c r="B77" s="18"/>
      <c r="C77" s="173">
        <v>35</v>
      </c>
      <c r="D77" s="175"/>
      <c r="E77" s="185" t="s">
        <v>74</v>
      </c>
      <c r="F77" s="186"/>
      <c r="G77" s="186"/>
      <c r="H77" s="186"/>
      <c r="I77" s="186"/>
      <c r="J77" s="186"/>
      <c r="K77" s="187"/>
      <c r="L77" s="170" t="s">
        <v>6</v>
      </c>
      <c r="M77" s="171"/>
      <c r="N77" s="172"/>
      <c r="O77" s="173" t="s">
        <v>36</v>
      </c>
      <c r="P77" s="174"/>
      <c r="Q77" s="174"/>
      <c r="R77" s="175"/>
      <c r="S77" s="204" t="b">
        <v>1</v>
      </c>
      <c r="T77" s="174"/>
      <c r="U77" s="174"/>
      <c r="V77" s="174"/>
      <c r="W77" s="174"/>
      <c r="X77" s="174"/>
      <c r="Y77" s="175"/>
      <c r="Z77" s="203" t="s">
        <v>118</v>
      </c>
      <c r="AA77" s="168"/>
      <c r="AB77" s="168"/>
      <c r="AC77" s="168"/>
      <c r="AD77" s="168"/>
      <c r="AE77" s="168"/>
      <c r="AF77" s="168"/>
      <c r="AG77" s="168"/>
      <c r="AH77" s="168"/>
      <c r="AI77" s="168"/>
      <c r="AJ77" s="168"/>
      <c r="AK77" s="168"/>
      <c r="AL77" s="168"/>
      <c r="AM77" s="168"/>
      <c r="AN77" s="168"/>
      <c r="AO77" s="168"/>
      <c r="AP77" s="169"/>
      <c r="AQ77" s="176" t="s">
        <v>6</v>
      </c>
      <c r="AR77" s="177"/>
      <c r="AS77" s="177"/>
      <c r="AT77" s="177"/>
      <c r="AU77" s="177"/>
      <c r="AV77" s="177"/>
      <c r="AW77" s="177"/>
      <c r="AX77" s="177"/>
      <c r="AY77" s="177"/>
      <c r="AZ77" s="177"/>
      <c r="BA77" s="177"/>
      <c r="BB77" s="177"/>
      <c r="BC77" s="177"/>
      <c r="BD77" s="177"/>
      <c r="BE77" s="177"/>
      <c r="BF77" s="177"/>
      <c r="BG77" s="177"/>
      <c r="BH77" s="177"/>
      <c r="BI77" s="177"/>
      <c r="BJ77" s="178"/>
      <c r="BK77" s="15"/>
    </row>
    <row r="78" spans="1:63" s="16" customFormat="1" ht="19.5" customHeight="1" x14ac:dyDescent="0.25">
      <c r="A78" s="11"/>
      <c r="B78" s="18"/>
      <c r="C78" s="173">
        <v>36</v>
      </c>
      <c r="D78" s="175"/>
      <c r="E78" s="185" t="s">
        <v>69</v>
      </c>
      <c r="F78" s="186"/>
      <c r="G78" s="186"/>
      <c r="H78" s="186"/>
      <c r="I78" s="186"/>
      <c r="J78" s="186"/>
      <c r="K78" s="187"/>
      <c r="L78" s="170" t="s">
        <v>6</v>
      </c>
      <c r="M78" s="171"/>
      <c r="N78" s="172"/>
      <c r="O78" s="173" t="s">
        <v>36</v>
      </c>
      <c r="P78" s="174"/>
      <c r="Q78" s="174"/>
      <c r="R78" s="175"/>
      <c r="S78" s="204" t="b">
        <v>1</v>
      </c>
      <c r="T78" s="174"/>
      <c r="U78" s="174"/>
      <c r="V78" s="174"/>
      <c r="W78" s="174"/>
      <c r="X78" s="174"/>
      <c r="Y78" s="175"/>
      <c r="Z78" s="203" t="s">
        <v>119</v>
      </c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  <c r="AK78" s="168"/>
      <c r="AL78" s="168"/>
      <c r="AM78" s="168"/>
      <c r="AN78" s="168"/>
      <c r="AO78" s="168"/>
      <c r="AP78" s="169"/>
      <c r="AQ78" s="176" t="s">
        <v>6</v>
      </c>
      <c r="AR78" s="177"/>
      <c r="AS78" s="177"/>
      <c r="AT78" s="177"/>
      <c r="AU78" s="177"/>
      <c r="AV78" s="177"/>
      <c r="AW78" s="177"/>
      <c r="AX78" s="177"/>
      <c r="AY78" s="177"/>
      <c r="AZ78" s="177"/>
      <c r="BA78" s="177"/>
      <c r="BB78" s="177"/>
      <c r="BC78" s="177"/>
      <c r="BD78" s="177"/>
      <c r="BE78" s="177"/>
      <c r="BF78" s="177"/>
      <c r="BG78" s="177"/>
      <c r="BH78" s="177"/>
      <c r="BI78" s="177"/>
      <c r="BJ78" s="178"/>
      <c r="BK78" s="15"/>
    </row>
    <row r="79" spans="1:63" s="16" customFormat="1" ht="19.5" customHeight="1" x14ac:dyDescent="0.25">
      <c r="A79" s="11"/>
      <c r="B79" s="18"/>
      <c r="C79" s="173">
        <v>37</v>
      </c>
      <c r="D79" s="175"/>
      <c r="E79" s="185" t="s">
        <v>70</v>
      </c>
      <c r="F79" s="186"/>
      <c r="G79" s="186"/>
      <c r="H79" s="186"/>
      <c r="I79" s="186"/>
      <c r="J79" s="186"/>
      <c r="K79" s="187"/>
      <c r="L79" s="170" t="s">
        <v>6</v>
      </c>
      <c r="M79" s="171"/>
      <c r="N79" s="172"/>
      <c r="O79" s="173" t="s">
        <v>36</v>
      </c>
      <c r="P79" s="174"/>
      <c r="Q79" s="174"/>
      <c r="R79" s="175"/>
      <c r="S79" s="204" t="b">
        <v>1</v>
      </c>
      <c r="T79" s="174"/>
      <c r="U79" s="174"/>
      <c r="V79" s="174"/>
      <c r="W79" s="174"/>
      <c r="X79" s="174"/>
      <c r="Y79" s="175"/>
      <c r="Z79" s="203" t="s">
        <v>120</v>
      </c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9"/>
      <c r="AQ79" s="176" t="s">
        <v>6</v>
      </c>
      <c r="AR79" s="177"/>
      <c r="AS79" s="177"/>
      <c r="AT79" s="177"/>
      <c r="AU79" s="177"/>
      <c r="AV79" s="177"/>
      <c r="AW79" s="177"/>
      <c r="AX79" s="177"/>
      <c r="AY79" s="177"/>
      <c r="AZ79" s="177"/>
      <c r="BA79" s="177"/>
      <c r="BB79" s="177"/>
      <c r="BC79" s="177"/>
      <c r="BD79" s="177"/>
      <c r="BE79" s="177"/>
      <c r="BF79" s="177"/>
      <c r="BG79" s="177"/>
      <c r="BH79" s="177"/>
      <c r="BI79" s="177"/>
      <c r="BJ79" s="178"/>
      <c r="BK79" s="15"/>
    </row>
    <row r="80" spans="1:63" s="16" customFormat="1" ht="19.5" customHeight="1" x14ac:dyDescent="0.25">
      <c r="A80" s="11"/>
      <c r="B80" s="18"/>
      <c r="C80" s="173">
        <v>38</v>
      </c>
      <c r="D80" s="175"/>
      <c r="E80" s="185" t="s">
        <v>73</v>
      </c>
      <c r="F80" s="186"/>
      <c r="G80" s="186"/>
      <c r="H80" s="186"/>
      <c r="I80" s="186"/>
      <c r="J80" s="186"/>
      <c r="K80" s="187"/>
      <c r="L80" s="170" t="s">
        <v>6</v>
      </c>
      <c r="M80" s="171"/>
      <c r="N80" s="172"/>
      <c r="O80" s="173" t="s">
        <v>36</v>
      </c>
      <c r="P80" s="174"/>
      <c r="Q80" s="174"/>
      <c r="R80" s="175"/>
      <c r="S80" s="204" t="b">
        <v>1</v>
      </c>
      <c r="T80" s="174"/>
      <c r="U80" s="174"/>
      <c r="V80" s="174"/>
      <c r="W80" s="174"/>
      <c r="X80" s="174"/>
      <c r="Y80" s="175"/>
      <c r="Z80" s="203" t="s">
        <v>121</v>
      </c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9"/>
      <c r="AQ80" s="176" t="s">
        <v>6</v>
      </c>
      <c r="AR80" s="177"/>
      <c r="AS80" s="177"/>
      <c r="AT80" s="177"/>
      <c r="AU80" s="177"/>
      <c r="AV80" s="177"/>
      <c r="AW80" s="177"/>
      <c r="AX80" s="177"/>
      <c r="AY80" s="177"/>
      <c r="AZ80" s="177"/>
      <c r="BA80" s="177"/>
      <c r="BB80" s="177"/>
      <c r="BC80" s="177"/>
      <c r="BD80" s="177"/>
      <c r="BE80" s="177"/>
      <c r="BF80" s="177"/>
      <c r="BG80" s="177"/>
      <c r="BH80" s="177"/>
      <c r="BI80" s="177"/>
      <c r="BJ80" s="178"/>
      <c r="BK80" s="15"/>
    </row>
    <row r="81" spans="1:63" s="16" customFormat="1" ht="19.5" customHeight="1" x14ac:dyDescent="0.25">
      <c r="A81" s="11"/>
      <c r="B81" s="18"/>
      <c r="C81" s="173">
        <v>39</v>
      </c>
      <c r="D81" s="175"/>
      <c r="E81" s="185" t="s">
        <v>72</v>
      </c>
      <c r="F81" s="186"/>
      <c r="G81" s="186"/>
      <c r="H81" s="186"/>
      <c r="I81" s="186"/>
      <c r="J81" s="186"/>
      <c r="K81" s="187"/>
      <c r="L81" s="170" t="s">
        <v>6</v>
      </c>
      <c r="M81" s="171"/>
      <c r="N81" s="172"/>
      <c r="O81" s="173" t="s">
        <v>36</v>
      </c>
      <c r="P81" s="174"/>
      <c r="Q81" s="174"/>
      <c r="R81" s="175"/>
      <c r="S81" s="204" t="b">
        <v>1</v>
      </c>
      <c r="T81" s="174"/>
      <c r="U81" s="174"/>
      <c r="V81" s="174"/>
      <c r="W81" s="174"/>
      <c r="X81" s="174"/>
      <c r="Y81" s="175"/>
      <c r="Z81" s="203" t="s">
        <v>122</v>
      </c>
      <c r="AA81" s="168"/>
      <c r="AB81" s="168"/>
      <c r="AC81" s="168"/>
      <c r="AD81" s="168"/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  <c r="AP81" s="169"/>
      <c r="AQ81" s="176" t="s">
        <v>6</v>
      </c>
      <c r="AR81" s="177"/>
      <c r="AS81" s="177"/>
      <c r="AT81" s="177"/>
      <c r="AU81" s="177"/>
      <c r="AV81" s="177"/>
      <c r="AW81" s="177"/>
      <c r="AX81" s="177"/>
      <c r="AY81" s="177"/>
      <c r="AZ81" s="177"/>
      <c r="BA81" s="177"/>
      <c r="BB81" s="177"/>
      <c r="BC81" s="177"/>
      <c r="BD81" s="177"/>
      <c r="BE81" s="177"/>
      <c r="BF81" s="177"/>
      <c r="BG81" s="177"/>
      <c r="BH81" s="177"/>
      <c r="BI81" s="177"/>
      <c r="BJ81" s="178"/>
      <c r="BK81" s="15"/>
    </row>
    <row r="82" spans="1:63" s="16" customFormat="1" ht="19.5" customHeight="1" x14ac:dyDescent="0.25">
      <c r="A82" s="11"/>
      <c r="B82" s="18"/>
      <c r="C82" s="173">
        <v>40</v>
      </c>
      <c r="D82" s="175"/>
      <c r="E82" s="185" t="s">
        <v>71</v>
      </c>
      <c r="F82" s="186"/>
      <c r="G82" s="186"/>
      <c r="H82" s="186"/>
      <c r="I82" s="186"/>
      <c r="J82" s="186"/>
      <c r="K82" s="187"/>
      <c r="L82" s="170" t="s">
        <v>6</v>
      </c>
      <c r="M82" s="171"/>
      <c r="N82" s="172"/>
      <c r="O82" s="173" t="s">
        <v>36</v>
      </c>
      <c r="P82" s="174"/>
      <c r="Q82" s="174"/>
      <c r="R82" s="175"/>
      <c r="S82" s="204" t="b">
        <v>1</v>
      </c>
      <c r="T82" s="174"/>
      <c r="U82" s="174"/>
      <c r="V82" s="174"/>
      <c r="W82" s="174"/>
      <c r="X82" s="174"/>
      <c r="Y82" s="175"/>
      <c r="Z82" s="203" t="s">
        <v>123</v>
      </c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68"/>
      <c r="AP82" s="169"/>
      <c r="AQ82" s="176" t="s">
        <v>6</v>
      </c>
      <c r="AR82" s="177"/>
      <c r="AS82" s="177"/>
      <c r="AT82" s="177"/>
      <c r="AU82" s="177"/>
      <c r="AV82" s="177"/>
      <c r="AW82" s="177"/>
      <c r="AX82" s="177"/>
      <c r="AY82" s="177"/>
      <c r="AZ82" s="177"/>
      <c r="BA82" s="177"/>
      <c r="BB82" s="177"/>
      <c r="BC82" s="177"/>
      <c r="BD82" s="177"/>
      <c r="BE82" s="177"/>
      <c r="BF82" s="177"/>
      <c r="BG82" s="177"/>
      <c r="BH82" s="177"/>
      <c r="BI82" s="177"/>
      <c r="BJ82" s="178"/>
      <c r="BK82" s="15"/>
    </row>
    <row r="83" spans="1:63" s="16" customFormat="1" ht="36" customHeight="1" x14ac:dyDescent="0.25">
      <c r="A83" s="11"/>
      <c r="B83" s="18"/>
      <c r="C83" s="173">
        <v>41</v>
      </c>
      <c r="D83" s="175"/>
      <c r="E83" s="167" t="s">
        <v>97</v>
      </c>
      <c r="F83" s="168"/>
      <c r="G83" s="168"/>
      <c r="H83" s="168"/>
      <c r="I83" s="168"/>
      <c r="J83" s="168"/>
      <c r="K83" s="169"/>
      <c r="L83" s="170" t="s">
        <v>6</v>
      </c>
      <c r="M83" s="171"/>
      <c r="N83" s="172"/>
      <c r="O83" s="173" t="s">
        <v>98</v>
      </c>
      <c r="P83" s="174"/>
      <c r="Q83" s="174"/>
      <c r="R83" s="175"/>
      <c r="S83" s="204" t="s">
        <v>6</v>
      </c>
      <c r="T83" s="174"/>
      <c r="U83" s="174"/>
      <c r="V83" s="174"/>
      <c r="W83" s="174"/>
      <c r="X83" s="174"/>
      <c r="Y83" s="175"/>
      <c r="Z83" s="203" t="s">
        <v>124</v>
      </c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9"/>
      <c r="AQ83" s="176" t="s">
        <v>99</v>
      </c>
      <c r="AR83" s="177"/>
      <c r="AS83" s="177"/>
      <c r="AT83" s="177"/>
      <c r="AU83" s="177"/>
      <c r="AV83" s="177"/>
      <c r="AW83" s="177"/>
      <c r="AX83" s="177"/>
      <c r="AY83" s="177"/>
      <c r="AZ83" s="177"/>
      <c r="BA83" s="177"/>
      <c r="BB83" s="177"/>
      <c r="BC83" s="177"/>
      <c r="BD83" s="177"/>
      <c r="BE83" s="177"/>
      <c r="BF83" s="177"/>
      <c r="BG83" s="177"/>
      <c r="BH83" s="177"/>
      <c r="BI83" s="177"/>
      <c r="BJ83" s="178"/>
      <c r="BK83" s="15"/>
    </row>
    <row r="84" spans="1:63" s="16" customFormat="1" ht="19.5" customHeight="1" x14ac:dyDescent="0.25">
      <c r="A84" s="11"/>
      <c r="B84" s="18"/>
      <c r="C84" s="18"/>
      <c r="D84" s="18"/>
      <c r="E84" s="82"/>
      <c r="F84" s="82"/>
      <c r="G84" s="82"/>
      <c r="H84" s="82"/>
      <c r="I84" s="82"/>
      <c r="J84" s="82"/>
      <c r="K84" s="82"/>
      <c r="L84" s="40"/>
      <c r="M84" s="40"/>
      <c r="N84" s="40"/>
      <c r="O84" s="18"/>
      <c r="P84" s="18"/>
      <c r="Q84" s="18"/>
      <c r="R84" s="18"/>
      <c r="S84" s="25"/>
      <c r="T84" s="18"/>
      <c r="U84" s="18"/>
      <c r="V84" s="18"/>
      <c r="W84" s="18"/>
      <c r="X84" s="18"/>
      <c r="Y84" s="18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15"/>
    </row>
    <row r="85" spans="1:63" s="16" customFormat="1" ht="15" customHeight="1" x14ac:dyDescent="0.25">
      <c r="A85" s="11"/>
      <c r="B85" s="18"/>
      <c r="C85" s="21" t="s">
        <v>184</v>
      </c>
      <c r="D85" s="18"/>
      <c r="E85" s="77"/>
      <c r="F85" s="18"/>
      <c r="G85" s="77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15"/>
    </row>
    <row r="86" spans="1:63" s="16" customFormat="1" ht="15" customHeight="1" x14ac:dyDescent="0.25">
      <c r="A86" s="11"/>
      <c r="B86" s="18"/>
      <c r="C86" s="21"/>
      <c r="D86" s="77"/>
      <c r="E86" s="77"/>
      <c r="F86" s="18"/>
      <c r="G86" s="77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15"/>
    </row>
    <row r="87" spans="1:63" s="16" customFormat="1" ht="15" customHeight="1" x14ac:dyDescent="0.25">
      <c r="A87" s="11"/>
      <c r="B87" s="18"/>
      <c r="C87" s="42"/>
      <c r="D87" s="29" t="s">
        <v>95</v>
      </c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 t="s">
        <v>94</v>
      </c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 t="s">
        <v>94</v>
      </c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44"/>
      <c r="BG87" s="44"/>
      <c r="BH87" s="45"/>
      <c r="BI87" s="41"/>
      <c r="BJ87" s="41"/>
      <c r="BK87" s="15"/>
    </row>
    <row r="88" spans="1:63" s="16" customFormat="1" ht="15" customHeight="1" x14ac:dyDescent="0.25">
      <c r="A88" s="11"/>
      <c r="B88" s="18"/>
      <c r="C88" s="11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41"/>
      <c r="BG88" s="41"/>
      <c r="BH88" s="46"/>
      <c r="BI88" s="41"/>
      <c r="BJ88" s="41"/>
      <c r="BK88" s="15"/>
    </row>
    <row r="89" spans="1:63" s="16" customFormat="1" ht="15" customHeight="1" x14ac:dyDescent="0.25">
      <c r="A89" s="11"/>
      <c r="B89" s="18"/>
      <c r="C89" s="11"/>
      <c r="D89" s="18" t="s">
        <v>24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 t="s">
        <v>24</v>
      </c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 t="s">
        <v>24</v>
      </c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41"/>
      <c r="BG89" s="41"/>
      <c r="BH89" s="46"/>
      <c r="BI89" s="41"/>
      <c r="BJ89" s="41"/>
      <c r="BK89" s="15"/>
    </row>
    <row r="90" spans="1:63" s="16" customFormat="1" ht="15" customHeight="1" x14ac:dyDescent="0.25">
      <c r="A90" s="11"/>
      <c r="B90" s="18"/>
      <c r="C90" s="11"/>
      <c r="D90" s="18"/>
      <c r="E90" s="18" t="s">
        <v>185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 t="s">
        <v>186</v>
      </c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 t="s">
        <v>186</v>
      </c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41"/>
      <c r="BG90" s="41"/>
      <c r="BH90" s="46"/>
      <c r="BI90" s="41"/>
      <c r="BJ90" s="41"/>
      <c r="BK90" s="15"/>
    </row>
    <row r="91" spans="1:63" s="16" customFormat="1" ht="15" customHeight="1" x14ac:dyDescent="0.25">
      <c r="A91" s="11"/>
      <c r="B91" s="18"/>
      <c r="C91" s="11"/>
      <c r="D91" s="18"/>
      <c r="E91" s="18" t="s">
        <v>75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 t="s">
        <v>85</v>
      </c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 t="s">
        <v>85</v>
      </c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41"/>
      <c r="BG91" s="41"/>
      <c r="BH91" s="46"/>
      <c r="BI91" s="41"/>
      <c r="BJ91" s="41"/>
      <c r="BK91" s="15"/>
    </row>
    <row r="92" spans="1:63" s="16" customFormat="1" ht="15" customHeight="1" x14ac:dyDescent="0.25">
      <c r="A92" s="11"/>
      <c r="B92" s="18"/>
      <c r="C92" s="11"/>
      <c r="D92" s="18"/>
      <c r="E92" s="18"/>
      <c r="F92" s="18" t="s">
        <v>24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 t="s">
        <v>24</v>
      </c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 t="s">
        <v>24</v>
      </c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41"/>
      <c r="BG92" s="41"/>
      <c r="BH92" s="46"/>
      <c r="BI92" s="41"/>
      <c r="BJ92" s="41"/>
      <c r="BK92" s="15"/>
    </row>
    <row r="93" spans="1:63" s="16" customFormat="1" ht="15" customHeight="1" x14ac:dyDescent="0.25">
      <c r="A93" s="11"/>
      <c r="B93" s="18"/>
      <c r="C93" s="11"/>
      <c r="D93" s="18"/>
      <c r="E93" s="18"/>
      <c r="F93" s="18"/>
      <c r="G93" s="18" t="s">
        <v>187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 t="s">
        <v>188</v>
      </c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 t="s">
        <v>189</v>
      </c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41"/>
      <c r="BG93" s="41"/>
      <c r="BH93" s="46"/>
      <c r="BI93" s="41"/>
      <c r="BJ93" s="41"/>
      <c r="BK93" s="15"/>
    </row>
    <row r="94" spans="1:63" s="16" customFormat="1" ht="15" customHeight="1" x14ac:dyDescent="0.25">
      <c r="A94" s="11"/>
      <c r="B94" s="18"/>
      <c r="C94" s="11"/>
      <c r="D94" s="18"/>
      <c r="E94" s="18"/>
      <c r="F94" s="18"/>
      <c r="G94" s="18" t="s">
        <v>190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 t="s">
        <v>190</v>
      </c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 t="s">
        <v>190</v>
      </c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41"/>
      <c r="BG94" s="41"/>
      <c r="BH94" s="46"/>
      <c r="BI94" s="41"/>
      <c r="BJ94" s="41"/>
      <c r="BK94" s="15"/>
    </row>
    <row r="95" spans="1:63" s="16" customFormat="1" ht="15" customHeight="1" x14ac:dyDescent="0.25">
      <c r="A95" s="11"/>
      <c r="B95" s="18"/>
      <c r="C95" s="11"/>
      <c r="D95" s="18"/>
      <c r="E95" s="18"/>
      <c r="F95" s="18"/>
      <c r="G95" s="18" t="s">
        <v>191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 t="s">
        <v>191</v>
      </c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 t="s">
        <v>191</v>
      </c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41"/>
      <c r="BG95" s="41"/>
      <c r="BH95" s="46"/>
      <c r="BI95" s="41"/>
      <c r="BJ95" s="41"/>
      <c r="BK95" s="15"/>
    </row>
    <row r="96" spans="1:63" s="16" customFormat="1" ht="15" customHeight="1" x14ac:dyDescent="0.25">
      <c r="A96" s="11"/>
      <c r="B96" s="18"/>
      <c r="C96" s="11"/>
      <c r="D96" s="18"/>
      <c r="E96" s="18"/>
      <c r="F96" s="18"/>
      <c r="G96" s="18" t="s">
        <v>192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 t="s">
        <v>132</v>
      </c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 t="s">
        <v>192</v>
      </c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41"/>
      <c r="BG96" s="41"/>
      <c r="BH96" s="46"/>
      <c r="BI96" s="41"/>
      <c r="BJ96" s="41"/>
      <c r="BK96" s="15"/>
    </row>
    <row r="97" spans="1:63" s="16" customFormat="1" ht="15" customHeight="1" x14ac:dyDescent="0.25">
      <c r="A97" s="11"/>
      <c r="B97" s="18"/>
      <c r="C97" s="11"/>
      <c r="D97" s="18"/>
      <c r="E97" s="18"/>
      <c r="F97" s="18"/>
      <c r="G97" s="18" t="s">
        <v>193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 t="s">
        <v>194</v>
      </c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 t="s">
        <v>193</v>
      </c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41"/>
      <c r="BG97" s="41"/>
      <c r="BH97" s="46"/>
      <c r="BI97" s="41"/>
      <c r="BJ97" s="41"/>
      <c r="BK97" s="15"/>
    </row>
    <row r="98" spans="1:63" s="16" customFormat="1" ht="15" customHeight="1" x14ac:dyDescent="0.25">
      <c r="A98" s="11"/>
      <c r="B98" s="18"/>
      <c r="C98" s="11"/>
      <c r="D98" s="18"/>
      <c r="E98" s="18"/>
      <c r="F98" s="18"/>
      <c r="G98" s="18" t="s">
        <v>195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 t="s">
        <v>196</v>
      </c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 t="s">
        <v>197</v>
      </c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41"/>
      <c r="BG98" s="41"/>
      <c r="BH98" s="46"/>
      <c r="BI98" s="41"/>
      <c r="BJ98" s="41"/>
      <c r="BK98" s="15"/>
    </row>
    <row r="99" spans="1:63" s="16" customFormat="1" ht="15" customHeight="1" x14ac:dyDescent="0.25">
      <c r="A99" s="11"/>
      <c r="B99" s="18"/>
      <c r="C99" s="11"/>
      <c r="D99" s="18"/>
      <c r="E99" s="18"/>
      <c r="F99" s="18"/>
      <c r="G99" s="18" t="s">
        <v>198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 t="s">
        <v>199</v>
      </c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 t="s">
        <v>198</v>
      </c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41"/>
      <c r="BG99" s="41"/>
      <c r="BH99" s="46"/>
      <c r="BI99" s="41"/>
      <c r="BJ99" s="41"/>
      <c r="BK99" s="15"/>
    </row>
    <row r="100" spans="1:63" s="16" customFormat="1" ht="15" customHeight="1" x14ac:dyDescent="0.25">
      <c r="A100" s="11"/>
      <c r="B100" s="18"/>
      <c r="C100" s="11"/>
      <c r="D100" s="18"/>
      <c r="E100" s="18"/>
      <c r="F100" s="18"/>
      <c r="G100" s="18" t="s">
        <v>200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 t="s">
        <v>200</v>
      </c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 t="s">
        <v>200</v>
      </c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41"/>
      <c r="BG100" s="41"/>
      <c r="BH100" s="46"/>
      <c r="BI100" s="41"/>
      <c r="BJ100" s="41"/>
      <c r="BK100" s="15"/>
    </row>
    <row r="101" spans="1:63" s="16" customFormat="1" ht="15" customHeight="1" x14ac:dyDescent="0.25">
      <c r="A101" s="11"/>
      <c r="B101" s="18"/>
      <c r="C101" s="11"/>
      <c r="D101" s="18"/>
      <c r="E101" s="18"/>
      <c r="F101" s="18"/>
      <c r="G101" s="18" t="s">
        <v>86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 t="s">
        <v>201</v>
      </c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 t="s">
        <v>201</v>
      </c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41"/>
      <c r="BG101" s="41"/>
      <c r="BH101" s="46"/>
      <c r="BI101" s="41"/>
      <c r="BJ101" s="41"/>
      <c r="BK101" s="15"/>
    </row>
    <row r="102" spans="1:63" s="16" customFormat="1" ht="15" customHeight="1" x14ac:dyDescent="0.25">
      <c r="A102" s="11"/>
      <c r="B102" s="18"/>
      <c r="C102" s="11"/>
      <c r="D102" s="18"/>
      <c r="E102" s="18"/>
      <c r="F102" s="18"/>
      <c r="G102" s="18" t="s">
        <v>76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 t="s">
        <v>202</v>
      </c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 t="s">
        <v>202</v>
      </c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41"/>
      <c r="BG102" s="41"/>
      <c r="BH102" s="46"/>
      <c r="BI102" s="41"/>
      <c r="BJ102" s="41"/>
      <c r="BK102" s="15"/>
    </row>
    <row r="103" spans="1:63" s="16" customFormat="1" ht="15" customHeight="1" x14ac:dyDescent="0.25">
      <c r="A103" s="11"/>
      <c r="B103" s="18"/>
      <c r="C103" s="11"/>
      <c r="D103" s="18"/>
      <c r="E103" s="18"/>
      <c r="F103" s="18"/>
      <c r="G103" s="18" t="s">
        <v>77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 t="s">
        <v>203</v>
      </c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 t="s">
        <v>203</v>
      </c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41"/>
      <c r="BG103" s="41"/>
      <c r="BH103" s="46"/>
      <c r="BI103" s="41"/>
      <c r="BJ103" s="41"/>
      <c r="BK103" s="15"/>
    </row>
    <row r="104" spans="1:63" s="16" customFormat="1" ht="15" customHeight="1" x14ac:dyDescent="0.25">
      <c r="A104" s="11"/>
      <c r="B104" s="18"/>
      <c r="C104" s="11"/>
      <c r="D104" s="18"/>
      <c r="E104" s="18"/>
      <c r="F104" s="18"/>
      <c r="G104" s="18" t="s">
        <v>78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 t="s">
        <v>204</v>
      </c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 t="s">
        <v>205</v>
      </c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41"/>
      <c r="BG104" s="41"/>
      <c r="BH104" s="46"/>
      <c r="BI104" s="41"/>
      <c r="BJ104" s="41"/>
      <c r="BK104" s="15"/>
    </row>
    <row r="105" spans="1:63" s="16" customFormat="1" ht="15" customHeight="1" x14ac:dyDescent="0.25">
      <c r="A105" s="11"/>
      <c r="B105" s="18"/>
      <c r="C105" s="11"/>
      <c r="D105" s="18"/>
      <c r="E105" s="18"/>
      <c r="F105" s="18"/>
      <c r="G105" s="18" t="s">
        <v>79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 t="s">
        <v>25</v>
      </c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 t="s">
        <v>87</v>
      </c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41"/>
      <c r="BG105" s="41"/>
      <c r="BH105" s="46"/>
      <c r="BI105" s="41"/>
      <c r="BJ105" s="41"/>
      <c r="BK105" s="15"/>
    </row>
    <row r="106" spans="1:63" s="16" customFormat="1" ht="15" customHeight="1" x14ac:dyDescent="0.25">
      <c r="A106" s="11"/>
      <c r="B106" s="18"/>
      <c r="C106" s="11"/>
      <c r="D106" s="18"/>
      <c r="E106" s="18"/>
      <c r="F106" s="18"/>
      <c r="G106" s="18" t="s">
        <v>80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 t="s">
        <v>28</v>
      </c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25" t="s">
        <v>88</v>
      </c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41"/>
      <c r="BG106" s="41"/>
      <c r="BH106" s="46"/>
      <c r="BI106" s="41"/>
      <c r="BJ106" s="41"/>
      <c r="BK106" s="15"/>
    </row>
    <row r="107" spans="1:63" s="16" customFormat="1" ht="15" customHeight="1" x14ac:dyDescent="0.25">
      <c r="A107" s="11"/>
      <c r="B107" s="18"/>
      <c r="C107" s="11"/>
      <c r="D107" s="18"/>
      <c r="E107" s="18"/>
      <c r="F107" s="18"/>
      <c r="G107" s="18" t="s">
        <v>81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 t="s">
        <v>25</v>
      </c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 t="s">
        <v>89</v>
      </c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41"/>
      <c r="BG107" s="41"/>
      <c r="BH107" s="46"/>
      <c r="BI107" s="41"/>
      <c r="BJ107" s="41"/>
      <c r="BK107" s="15"/>
    </row>
    <row r="108" spans="1:63" s="16" customFormat="1" ht="15" customHeight="1" x14ac:dyDescent="0.25">
      <c r="A108" s="11"/>
      <c r="B108" s="18"/>
      <c r="C108" s="11"/>
      <c r="D108" s="18"/>
      <c r="E108" s="18"/>
      <c r="F108" s="18"/>
      <c r="G108" s="18" t="s">
        <v>82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 t="s">
        <v>90</v>
      </c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41"/>
      <c r="BG108" s="41"/>
      <c r="BH108" s="46"/>
      <c r="BI108" s="41"/>
      <c r="BJ108" s="41"/>
      <c r="BK108" s="15"/>
    </row>
    <row r="109" spans="1:63" s="16" customFormat="1" ht="15" customHeight="1" x14ac:dyDescent="0.25">
      <c r="A109" s="11"/>
      <c r="B109" s="18"/>
      <c r="C109" s="11"/>
      <c r="D109" s="18"/>
      <c r="E109" s="18"/>
      <c r="F109" s="18"/>
      <c r="G109" s="18" t="s">
        <v>83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 t="s">
        <v>91</v>
      </c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41"/>
      <c r="BG109" s="41"/>
      <c r="BH109" s="46"/>
      <c r="BI109" s="41"/>
      <c r="BJ109" s="41"/>
      <c r="BK109" s="15"/>
    </row>
    <row r="110" spans="1:63" s="16" customFormat="1" ht="15" customHeight="1" x14ac:dyDescent="0.25">
      <c r="A110" s="11"/>
      <c r="B110" s="18"/>
      <c r="C110" s="11"/>
      <c r="D110" s="18"/>
      <c r="E110" s="18"/>
      <c r="F110" s="18"/>
      <c r="G110" s="18" t="s">
        <v>84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 t="s">
        <v>92</v>
      </c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41"/>
      <c r="BG110" s="41"/>
      <c r="BH110" s="46"/>
      <c r="BI110" s="41"/>
      <c r="BJ110" s="41"/>
      <c r="BK110" s="15"/>
    </row>
    <row r="111" spans="1:63" s="16" customFormat="1" ht="15" customHeight="1" x14ac:dyDescent="0.25">
      <c r="A111" s="11"/>
      <c r="B111" s="18"/>
      <c r="C111" s="11"/>
      <c r="D111" s="18"/>
      <c r="E111" s="18"/>
      <c r="F111" s="18" t="s">
        <v>25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 t="s">
        <v>93</v>
      </c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41"/>
      <c r="BG111" s="41"/>
      <c r="BH111" s="46"/>
      <c r="BI111" s="41"/>
      <c r="BJ111" s="41"/>
      <c r="BK111" s="15"/>
    </row>
    <row r="112" spans="1:63" s="16" customFormat="1" ht="15" customHeight="1" x14ac:dyDescent="0.25">
      <c r="A112" s="11"/>
      <c r="B112" s="18"/>
      <c r="C112" s="11"/>
      <c r="D112" s="18"/>
      <c r="E112" s="18" t="s">
        <v>125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 t="s">
        <v>25</v>
      </c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41"/>
      <c r="BG112" s="41"/>
      <c r="BH112" s="46"/>
      <c r="BI112" s="41"/>
      <c r="BJ112" s="41"/>
      <c r="BK112" s="15"/>
    </row>
    <row r="113" spans="1:63" s="16" customFormat="1" ht="15" customHeight="1" x14ac:dyDescent="0.25">
      <c r="A113" s="11"/>
      <c r="B113" s="18"/>
      <c r="C113" s="11"/>
      <c r="D113" s="18"/>
      <c r="E113" s="18" t="s">
        <v>206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 t="s">
        <v>28</v>
      </c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41"/>
      <c r="BG113" s="41"/>
      <c r="BH113" s="46"/>
      <c r="BI113" s="41"/>
      <c r="BJ113" s="41"/>
      <c r="BK113" s="15"/>
    </row>
    <row r="114" spans="1:63" s="16" customFormat="1" ht="15" customHeight="1" x14ac:dyDescent="0.25">
      <c r="A114" s="11"/>
      <c r="B114" s="18"/>
      <c r="C114" s="11"/>
      <c r="D114" s="18" t="s">
        <v>25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 t="s">
        <v>25</v>
      </c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41"/>
      <c r="BG114" s="41"/>
      <c r="BH114" s="46"/>
      <c r="BI114" s="41"/>
      <c r="BJ114" s="41"/>
      <c r="BK114" s="15"/>
    </row>
    <row r="115" spans="1:63" s="16" customFormat="1" ht="15" customHeight="1" x14ac:dyDescent="0.25">
      <c r="A115" s="11"/>
      <c r="B115" s="18"/>
      <c r="C115" s="43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47"/>
      <c r="BG115" s="47"/>
      <c r="BH115" s="48"/>
      <c r="BI115" s="41"/>
      <c r="BJ115" s="41"/>
      <c r="BK115" s="15"/>
    </row>
    <row r="116" spans="1:63" s="16" customFormat="1" ht="15" customHeight="1" x14ac:dyDescent="0.25">
      <c r="A116" s="11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9"/>
      <c r="BI116" s="19"/>
      <c r="BJ116" s="19"/>
      <c r="BK116" s="15"/>
    </row>
    <row r="117" spans="1:63" s="16" customFormat="1" ht="15" customHeight="1" x14ac:dyDescent="0.25">
      <c r="A117" s="11"/>
      <c r="B117" s="20" t="s">
        <v>207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4"/>
      <c r="BI117" s="14"/>
      <c r="BJ117" s="14"/>
      <c r="BK117" s="15"/>
    </row>
    <row r="118" spans="1:63" s="16" customFormat="1" ht="15" customHeight="1" x14ac:dyDescent="0.25">
      <c r="A118" s="11"/>
      <c r="B118" s="17"/>
      <c r="C118" s="21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9"/>
      <c r="BI118" s="19"/>
      <c r="BJ118" s="19"/>
      <c r="BK118" s="15"/>
    </row>
    <row r="119" spans="1:63" s="16" customFormat="1" ht="15" customHeight="1" x14ac:dyDescent="0.25">
      <c r="A119" s="11"/>
      <c r="B119" s="17"/>
      <c r="C119" s="21" t="s">
        <v>208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9"/>
      <c r="BI119" s="19"/>
      <c r="BJ119" s="19"/>
      <c r="BK119" s="15"/>
    </row>
    <row r="120" spans="1:63" s="16" customFormat="1" ht="15" customHeight="1" x14ac:dyDescent="0.25">
      <c r="A120" s="11"/>
      <c r="B120" s="17"/>
      <c r="C120" s="21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9"/>
      <c r="BI120" s="19"/>
      <c r="BJ120" s="19"/>
      <c r="BK120" s="15"/>
    </row>
    <row r="121" spans="1:63" s="16" customFormat="1" ht="15" customHeight="1" x14ac:dyDescent="0.25">
      <c r="A121" s="11"/>
      <c r="B121" s="17"/>
      <c r="C121" s="21"/>
      <c r="D121" s="18" t="s">
        <v>96</v>
      </c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9"/>
      <c r="BI121" s="19"/>
      <c r="BJ121" s="19"/>
      <c r="BK121" s="15"/>
    </row>
    <row r="122" spans="1:63" s="16" customFormat="1" ht="15" customHeight="1" x14ac:dyDescent="0.25">
      <c r="A122" s="11"/>
      <c r="B122" s="18"/>
      <c r="C122" s="18"/>
      <c r="D122" s="18"/>
      <c r="E122" s="77"/>
      <c r="F122" s="77"/>
      <c r="G122" s="77"/>
      <c r="H122" s="77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77"/>
      <c r="T122" s="77"/>
      <c r="U122" s="77"/>
      <c r="V122" s="77"/>
      <c r="W122" s="77"/>
      <c r="X122" s="77"/>
      <c r="Y122" s="77"/>
      <c r="Z122" s="77"/>
      <c r="AA122" s="77"/>
      <c r="AB122" s="18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9"/>
      <c r="BI122" s="19"/>
      <c r="BJ122" s="19"/>
      <c r="BK122" s="15"/>
    </row>
    <row r="123" spans="1:63" s="16" customFormat="1" ht="15" customHeight="1" x14ac:dyDescent="0.25">
      <c r="A123" s="11"/>
      <c r="B123" s="18"/>
      <c r="C123" s="21" t="s">
        <v>184</v>
      </c>
      <c r="D123" s="18"/>
      <c r="E123" s="77"/>
      <c r="F123" s="18"/>
      <c r="G123" s="7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9"/>
      <c r="BI123" s="19"/>
      <c r="BJ123" s="19"/>
      <c r="BK123" s="15"/>
    </row>
    <row r="124" spans="1:63" s="16" customFormat="1" ht="15" customHeight="1" x14ac:dyDescent="0.25">
      <c r="A124" s="11"/>
      <c r="B124" s="18"/>
      <c r="C124" s="21"/>
      <c r="D124" s="77"/>
      <c r="E124" s="77"/>
      <c r="F124" s="18"/>
      <c r="G124" s="7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9"/>
      <c r="BI124" s="19"/>
      <c r="BJ124" s="19"/>
      <c r="BK124" s="15"/>
    </row>
    <row r="125" spans="1:63" s="16" customFormat="1" ht="15" customHeight="1" x14ac:dyDescent="0.25">
      <c r="A125" s="11"/>
      <c r="B125" s="18"/>
      <c r="C125" s="7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2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9"/>
      <c r="BI125" s="19"/>
      <c r="BJ125" s="19"/>
      <c r="BK125" s="15"/>
    </row>
    <row r="126" spans="1:63" s="16" customFormat="1" ht="15" customHeight="1" x14ac:dyDescent="0.25">
      <c r="A126" s="11"/>
      <c r="B126" s="18"/>
      <c r="C126" s="8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23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9"/>
      <c r="BI126" s="19"/>
      <c r="BJ126" s="19"/>
      <c r="BK126" s="15"/>
    </row>
    <row r="127" spans="1:63" s="16" customFormat="1" ht="15" customHeight="1" x14ac:dyDescent="0.25">
      <c r="A127" s="11"/>
      <c r="B127" s="18"/>
      <c r="C127" s="79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24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9"/>
      <c r="BI127" s="19"/>
      <c r="BJ127" s="19"/>
      <c r="BK127" s="15"/>
    </row>
    <row r="128" spans="1:63" s="16" customFormat="1" ht="15" customHeight="1" x14ac:dyDescent="0.25">
      <c r="A128" s="11"/>
      <c r="B128" s="18"/>
      <c r="C128" s="18"/>
      <c r="D128" s="77"/>
      <c r="E128" s="77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9"/>
      <c r="BI128" s="19"/>
      <c r="BJ128" s="19"/>
      <c r="BK128" s="15"/>
    </row>
    <row r="129" spans="1:63" s="16" customFormat="1" ht="15" customHeight="1" x14ac:dyDescent="0.25">
      <c r="A129" s="11"/>
      <c r="B129" s="18"/>
      <c r="C129" s="17" t="s">
        <v>209</v>
      </c>
      <c r="D129" s="18"/>
      <c r="E129" s="77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9"/>
      <c r="BI129" s="19"/>
      <c r="BJ129" s="19"/>
      <c r="BK129" s="15"/>
    </row>
    <row r="130" spans="1:63" s="16" customFormat="1" ht="15" customHeight="1" x14ac:dyDescent="0.25">
      <c r="A130" s="11"/>
      <c r="B130" s="18"/>
      <c r="C130" s="17"/>
      <c r="D130" s="18"/>
      <c r="E130" s="77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9"/>
      <c r="BI130" s="19"/>
      <c r="BJ130" s="19"/>
      <c r="BK130" s="15"/>
    </row>
    <row r="131" spans="1:63" s="16" customFormat="1" ht="15" customHeight="1" x14ac:dyDescent="0.25">
      <c r="A131" s="11"/>
      <c r="B131" s="18"/>
      <c r="C131" s="17"/>
      <c r="D131" s="18" t="s">
        <v>29</v>
      </c>
      <c r="E131" s="77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9"/>
      <c r="BI131" s="19"/>
      <c r="BJ131" s="19"/>
      <c r="BK131" s="15"/>
    </row>
    <row r="132" spans="1:63" s="38" customFormat="1" ht="15" customHeight="1" x14ac:dyDescent="0.25">
      <c r="A132" s="33"/>
      <c r="B132" s="34"/>
      <c r="C132" s="34"/>
      <c r="D132" s="34"/>
      <c r="E132" s="35"/>
      <c r="F132" s="35"/>
      <c r="G132" s="35"/>
      <c r="H132" s="35"/>
      <c r="I132" s="35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6"/>
      <c r="BI132" s="36"/>
      <c r="BJ132" s="36"/>
      <c r="BK132" s="37"/>
    </row>
  </sheetData>
  <mergeCells count="372">
    <mergeCell ref="L42:N42"/>
    <mergeCell ref="O42:R42"/>
    <mergeCell ref="Z42:AP42"/>
    <mergeCell ref="C32:D33"/>
    <mergeCell ref="E32:K33"/>
    <mergeCell ref="L32:N33"/>
    <mergeCell ref="Z23:AP23"/>
    <mergeCell ref="E37:K37"/>
    <mergeCell ref="AQ21:BJ22"/>
    <mergeCell ref="Z21:AP22"/>
    <mergeCell ref="S21:Y22"/>
    <mergeCell ref="Z32:AP33"/>
    <mergeCell ref="AQ32:BJ33"/>
    <mergeCell ref="O23:R23"/>
    <mergeCell ref="O31:R31"/>
    <mergeCell ref="O24:R30"/>
    <mergeCell ref="L23:N23"/>
    <mergeCell ref="L24:N30"/>
    <mergeCell ref="L31:N31"/>
    <mergeCell ref="E31:K31"/>
    <mergeCell ref="Z37:AP37"/>
    <mergeCell ref="O21:R22"/>
    <mergeCell ref="L21:N22"/>
    <mergeCell ref="E21:K22"/>
    <mergeCell ref="S37:Y37"/>
    <mergeCell ref="C38:BJ38"/>
    <mergeCell ref="E23:K23"/>
    <mergeCell ref="C21:D22"/>
    <mergeCell ref="C44:D44"/>
    <mergeCell ref="E24:K30"/>
    <mergeCell ref="AG15:AP15"/>
    <mergeCell ref="AQ15:BJ15"/>
    <mergeCell ref="E16:AF16"/>
    <mergeCell ref="AG16:AP16"/>
    <mergeCell ref="O20:R20"/>
    <mergeCell ref="L20:N20"/>
    <mergeCell ref="S23:Y23"/>
    <mergeCell ref="S24:Y30"/>
    <mergeCell ref="Z24:AP30"/>
    <mergeCell ref="E44:K44"/>
    <mergeCell ref="L44:N44"/>
    <mergeCell ref="O44:R44"/>
    <mergeCell ref="S44:Y44"/>
    <mergeCell ref="Z44:AP44"/>
    <mergeCell ref="AQ44:BJ44"/>
    <mergeCell ref="C37:D37"/>
    <mergeCell ref="O32:R33"/>
    <mergeCell ref="S32:Y33"/>
    <mergeCell ref="AQ16:BJ16"/>
    <mergeCell ref="AQ23:BJ23"/>
    <mergeCell ref="AQ24:BJ30"/>
    <mergeCell ref="C43:D43"/>
    <mergeCell ref="C45:D45"/>
    <mergeCell ref="C23:D23"/>
    <mergeCell ref="AQ20:BJ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4:D30"/>
    <mergeCell ref="AQ42:BJ42"/>
    <mergeCell ref="C42:D42"/>
    <mergeCell ref="AQ31:BJ31"/>
    <mergeCell ref="AQ37:BJ37"/>
    <mergeCell ref="S31:Y31"/>
    <mergeCell ref="E43:K43"/>
    <mergeCell ref="L43:N43"/>
    <mergeCell ref="O43:R43"/>
    <mergeCell ref="S43:Y43"/>
    <mergeCell ref="Z43:AP43"/>
    <mergeCell ref="AQ43:BJ43"/>
    <mergeCell ref="A4:G4"/>
    <mergeCell ref="H4:T4"/>
    <mergeCell ref="U4:Y4"/>
    <mergeCell ref="Z4:AO4"/>
    <mergeCell ref="AP4:BK4"/>
    <mergeCell ref="C15:D15"/>
    <mergeCell ref="C16:D16"/>
    <mergeCell ref="E15:AF15"/>
    <mergeCell ref="C20:D20"/>
    <mergeCell ref="S20:Y20"/>
    <mergeCell ref="Z20:AP20"/>
    <mergeCell ref="S42:Y42"/>
    <mergeCell ref="C31:D31"/>
    <mergeCell ref="Z31:AP31"/>
    <mergeCell ref="E42:K42"/>
    <mergeCell ref="L37:N37"/>
    <mergeCell ref="O37:R37"/>
    <mergeCell ref="E20:K20"/>
    <mergeCell ref="AQ53:BJ53"/>
    <mergeCell ref="Z53:AP53"/>
    <mergeCell ref="S53:Y53"/>
    <mergeCell ref="O53:R53"/>
    <mergeCell ref="L53:N53"/>
    <mergeCell ref="E53:K53"/>
    <mergeCell ref="C53:D53"/>
    <mergeCell ref="C54:D54"/>
    <mergeCell ref="E54:K54"/>
    <mergeCell ref="L54:N54"/>
    <mergeCell ref="O54:R54"/>
    <mergeCell ref="S54:Y54"/>
    <mergeCell ref="Z54:AP54"/>
    <mergeCell ref="AQ54:BJ54"/>
    <mergeCell ref="L55:N55"/>
    <mergeCell ref="O55:R55"/>
    <mergeCell ref="S55:Y55"/>
    <mergeCell ref="Z55:AP55"/>
    <mergeCell ref="AQ55:BJ55"/>
    <mergeCell ref="C56:D56"/>
    <mergeCell ref="E56:K56"/>
    <mergeCell ref="L56:N56"/>
    <mergeCell ref="O56:R56"/>
    <mergeCell ref="S56:Y56"/>
    <mergeCell ref="Z56:AP56"/>
    <mergeCell ref="AQ56:BJ56"/>
    <mergeCell ref="C55:D55"/>
    <mergeCell ref="E55:K55"/>
    <mergeCell ref="O57:R57"/>
    <mergeCell ref="S57:Y57"/>
    <mergeCell ref="Z57:AP57"/>
    <mergeCell ref="AQ57:BJ57"/>
    <mergeCell ref="C58:D58"/>
    <mergeCell ref="E58:K58"/>
    <mergeCell ref="L58:N58"/>
    <mergeCell ref="O58:R58"/>
    <mergeCell ref="S58:Y58"/>
    <mergeCell ref="Z58:AP58"/>
    <mergeCell ref="AQ58:BJ58"/>
    <mergeCell ref="O59:R59"/>
    <mergeCell ref="S59:Y59"/>
    <mergeCell ref="Z59:AP59"/>
    <mergeCell ref="AQ59:BJ59"/>
    <mergeCell ref="C60:D60"/>
    <mergeCell ref="E60:K60"/>
    <mergeCell ref="L60:N60"/>
    <mergeCell ref="O60:R60"/>
    <mergeCell ref="S60:Y60"/>
    <mergeCell ref="Z60:AP60"/>
    <mergeCell ref="AQ60:BJ60"/>
    <mergeCell ref="O61:R61"/>
    <mergeCell ref="S61:Y61"/>
    <mergeCell ref="Z61:AP61"/>
    <mergeCell ref="AQ61:BJ61"/>
    <mergeCell ref="C62:D62"/>
    <mergeCell ref="E62:K62"/>
    <mergeCell ref="L62:N62"/>
    <mergeCell ref="O62:R62"/>
    <mergeCell ref="S62:Y62"/>
    <mergeCell ref="Z62:AP62"/>
    <mergeCell ref="AQ62:BJ62"/>
    <mergeCell ref="C72:D72"/>
    <mergeCell ref="E72:K72"/>
    <mergeCell ref="L72:N72"/>
    <mergeCell ref="O72:R72"/>
    <mergeCell ref="S72:Y72"/>
    <mergeCell ref="Z72:AP72"/>
    <mergeCell ref="AQ72:BJ72"/>
    <mergeCell ref="C63:D63"/>
    <mergeCell ref="E63:K63"/>
    <mergeCell ref="L63:N63"/>
    <mergeCell ref="O63:R63"/>
    <mergeCell ref="S63:Y63"/>
    <mergeCell ref="Z63:AP63"/>
    <mergeCell ref="AQ63:BJ63"/>
    <mergeCell ref="C64:D64"/>
    <mergeCell ref="O64:R64"/>
    <mergeCell ref="S64:Y64"/>
    <mergeCell ref="Z64:AP64"/>
    <mergeCell ref="AQ64:BJ64"/>
    <mergeCell ref="E65:K65"/>
    <mergeCell ref="L65:N65"/>
    <mergeCell ref="O65:R65"/>
    <mergeCell ref="S65:Y65"/>
    <mergeCell ref="Z65:AP65"/>
    <mergeCell ref="C73:D73"/>
    <mergeCell ref="E73:K73"/>
    <mergeCell ref="L73:N73"/>
    <mergeCell ref="O73:R73"/>
    <mergeCell ref="S73:Y73"/>
    <mergeCell ref="Z73:AP73"/>
    <mergeCell ref="AQ73:BJ73"/>
    <mergeCell ref="C75:D75"/>
    <mergeCell ref="E75:K75"/>
    <mergeCell ref="L75:N75"/>
    <mergeCell ref="O75:R75"/>
    <mergeCell ref="S75:Y75"/>
    <mergeCell ref="Z75:AP75"/>
    <mergeCell ref="AQ75:BJ75"/>
    <mergeCell ref="C74:D74"/>
    <mergeCell ref="E74:K74"/>
    <mergeCell ref="L74:N74"/>
    <mergeCell ref="O74:R74"/>
    <mergeCell ref="S74:Y74"/>
    <mergeCell ref="Z74:AP74"/>
    <mergeCell ref="AQ74:BJ74"/>
    <mergeCell ref="C76:D76"/>
    <mergeCell ref="E76:K76"/>
    <mergeCell ref="L76:N76"/>
    <mergeCell ref="O76:R76"/>
    <mergeCell ref="S76:Y76"/>
    <mergeCell ref="Z76:AP76"/>
    <mergeCell ref="AQ76:BJ76"/>
    <mergeCell ref="C77:D77"/>
    <mergeCell ref="E77:K77"/>
    <mergeCell ref="L77:N77"/>
    <mergeCell ref="O77:R77"/>
    <mergeCell ref="S77:Y77"/>
    <mergeCell ref="Z77:AP77"/>
    <mergeCell ref="AQ77:BJ77"/>
    <mergeCell ref="C78:D78"/>
    <mergeCell ref="E78:K78"/>
    <mergeCell ref="L78:N78"/>
    <mergeCell ref="O78:R78"/>
    <mergeCell ref="S78:Y78"/>
    <mergeCell ref="Z78:AP78"/>
    <mergeCell ref="AQ78:BJ78"/>
    <mergeCell ref="C79:D79"/>
    <mergeCell ref="E79:K79"/>
    <mergeCell ref="L79:N79"/>
    <mergeCell ref="O79:R79"/>
    <mergeCell ref="S79:Y79"/>
    <mergeCell ref="Z79:AP79"/>
    <mergeCell ref="AQ79:BJ79"/>
    <mergeCell ref="C80:D80"/>
    <mergeCell ref="E80:K80"/>
    <mergeCell ref="L80:N80"/>
    <mergeCell ref="O80:R80"/>
    <mergeCell ref="S80:Y80"/>
    <mergeCell ref="Z80:AP80"/>
    <mergeCell ref="AQ80:BJ80"/>
    <mergeCell ref="C83:D83"/>
    <mergeCell ref="E83:K83"/>
    <mergeCell ref="L83:N83"/>
    <mergeCell ref="O83:R83"/>
    <mergeCell ref="S83:Y83"/>
    <mergeCell ref="Z83:AP83"/>
    <mergeCell ref="AQ83:BJ83"/>
    <mergeCell ref="C81:D81"/>
    <mergeCell ref="E81:K81"/>
    <mergeCell ref="L81:N81"/>
    <mergeCell ref="O81:R81"/>
    <mergeCell ref="S81:Y81"/>
    <mergeCell ref="Z81:AP81"/>
    <mergeCell ref="AQ81:BJ81"/>
    <mergeCell ref="C82:D82"/>
    <mergeCell ref="E82:K82"/>
    <mergeCell ref="L82:N82"/>
    <mergeCell ref="O82:R82"/>
    <mergeCell ref="S82:Y82"/>
    <mergeCell ref="Z82:AP82"/>
    <mergeCell ref="AQ82:BJ82"/>
    <mergeCell ref="E45:K45"/>
    <mergeCell ref="L45:N45"/>
    <mergeCell ref="O45:R45"/>
    <mergeCell ref="S45:Y45"/>
    <mergeCell ref="Z45:AP45"/>
    <mergeCell ref="AQ45:BJ45"/>
    <mergeCell ref="E46:K46"/>
    <mergeCell ref="L46:N46"/>
    <mergeCell ref="O46:R46"/>
    <mergeCell ref="S46:Y46"/>
    <mergeCell ref="Z46:AP46"/>
    <mergeCell ref="AQ46:BJ46"/>
    <mergeCell ref="O47:R47"/>
    <mergeCell ref="S47:Y47"/>
    <mergeCell ref="Z47:AP47"/>
    <mergeCell ref="AQ47:BJ47"/>
    <mergeCell ref="E48:K48"/>
    <mergeCell ref="L48:N48"/>
    <mergeCell ref="O48:R48"/>
    <mergeCell ref="S48:Y48"/>
    <mergeCell ref="Z48:AP48"/>
    <mergeCell ref="AQ48:BJ48"/>
    <mergeCell ref="O49:R49"/>
    <mergeCell ref="S49:Y49"/>
    <mergeCell ref="Z49:AP49"/>
    <mergeCell ref="AQ49:BJ49"/>
    <mergeCell ref="E50:K50"/>
    <mergeCell ref="L50:N50"/>
    <mergeCell ref="O50:R50"/>
    <mergeCell ref="S50:Y50"/>
    <mergeCell ref="Z50:AP50"/>
    <mergeCell ref="AQ50:BJ50"/>
    <mergeCell ref="O51:R51"/>
    <mergeCell ref="S51:Y51"/>
    <mergeCell ref="Z51:AP51"/>
    <mergeCell ref="AQ51:BJ51"/>
    <mergeCell ref="E52:K52"/>
    <mergeCell ref="L52:N52"/>
    <mergeCell ref="O52:R52"/>
    <mergeCell ref="S52:Y52"/>
    <mergeCell ref="Z52:AP52"/>
    <mergeCell ref="AQ52:BJ52"/>
    <mergeCell ref="C46:D46"/>
    <mergeCell ref="C47:D47"/>
    <mergeCell ref="C48:D48"/>
    <mergeCell ref="C49:D49"/>
    <mergeCell ref="C50:D50"/>
    <mergeCell ref="C51:D51"/>
    <mergeCell ref="C52:D52"/>
    <mergeCell ref="E64:K64"/>
    <mergeCell ref="L64:N64"/>
    <mergeCell ref="E51:K51"/>
    <mergeCell ref="L51:N51"/>
    <mergeCell ref="E49:K49"/>
    <mergeCell ref="L49:N49"/>
    <mergeCell ref="E47:K47"/>
    <mergeCell ref="L47:N47"/>
    <mergeCell ref="C61:D61"/>
    <mergeCell ref="E61:K61"/>
    <mergeCell ref="L61:N61"/>
    <mergeCell ref="C59:D59"/>
    <mergeCell ref="E59:K59"/>
    <mergeCell ref="L59:N59"/>
    <mergeCell ref="C57:D57"/>
    <mergeCell ref="E57:K57"/>
    <mergeCell ref="L57:N57"/>
    <mergeCell ref="E66:K66"/>
    <mergeCell ref="L66:N66"/>
    <mergeCell ref="O66:R66"/>
    <mergeCell ref="S66:Y66"/>
    <mergeCell ref="Z66:AP66"/>
    <mergeCell ref="AQ66:BJ66"/>
    <mergeCell ref="Z70:AP70"/>
    <mergeCell ref="AQ70:BJ70"/>
    <mergeCell ref="E67:K67"/>
    <mergeCell ref="L67:N67"/>
    <mergeCell ref="O67:R67"/>
    <mergeCell ref="S67:Y67"/>
    <mergeCell ref="Z67:AP67"/>
    <mergeCell ref="AQ67:BJ67"/>
    <mergeCell ref="E68:K68"/>
    <mergeCell ref="L68:N68"/>
    <mergeCell ref="O68:R68"/>
    <mergeCell ref="S68:Y68"/>
    <mergeCell ref="Z68:AP68"/>
    <mergeCell ref="AQ68:BJ68"/>
    <mergeCell ref="E71:K71"/>
    <mergeCell ref="L71:N71"/>
    <mergeCell ref="O71:R71"/>
    <mergeCell ref="S71:Y71"/>
    <mergeCell ref="Z71:AP71"/>
    <mergeCell ref="AQ71:BJ71"/>
    <mergeCell ref="C65:D65"/>
    <mergeCell ref="C66:D66"/>
    <mergeCell ref="C67:D67"/>
    <mergeCell ref="C68:D68"/>
    <mergeCell ref="C69:D69"/>
    <mergeCell ref="C70:D70"/>
    <mergeCell ref="C71:D71"/>
    <mergeCell ref="E69:K69"/>
    <mergeCell ref="L69:N69"/>
    <mergeCell ref="O69:R69"/>
    <mergeCell ref="S69:Y69"/>
    <mergeCell ref="Z69:AP69"/>
    <mergeCell ref="AQ69:BJ69"/>
    <mergeCell ref="E70:K70"/>
    <mergeCell ref="L70:N70"/>
    <mergeCell ref="O70:R70"/>
    <mergeCell ref="S70:Y70"/>
    <mergeCell ref="AQ65:BJ65"/>
  </mergeCells>
  <pageMargins left="0.7" right="0.7" top="0.75" bottom="0.75" header="0.3" footer="0.3"/>
  <pageSetup scale="2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14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5" t="s">
        <v>135</v>
      </c>
      <c r="B1" s="146"/>
      <c r="C1" s="146"/>
      <c r="D1" s="146"/>
      <c r="E1" s="146"/>
      <c r="F1" s="146"/>
      <c r="G1" s="146"/>
      <c r="H1" s="146"/>
      <c r="I1" s="146"/>
      <c r="J1" s="147"/>
      <c r="K1" s="145" t="s">
        <v>136</v>
      </c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  <c r="W1" s="158" t="str">
        <f>IF(表紙!W1="","",表紙!W1)</f>
        <v>詳細設計書</v>
      </c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60"/>
      <c r="AP1" s="85" t="s">
        <v>138</v>
      </c>
      <c r="AQ1" s="86"/>
      <c r="AR1" s="86"/>
      <c r="AS1" s="87"/>
      <c r="AT1" s="85" t="s">
        <v>139</v>
      </c>
      <c r="AU1" s="86"/>
      <c r="AV1" s="86"/>
      <c r="AW1" s="86"/>
      <c r="AX1" s="87"/>
      <c r="AY1" s="85" t="s">
        <v>140</v>
      </c>
      <c r="AZ1" s="86"/>
      <c r="BA1" s="86"/>
      <c r="BB1" s="87"/>
      <c r="BC1" s="85" t="s">
        <v>141</v>
      </c>
      <c r="BD1" s="86"/>
      <c r="BE1" s="86"/>
      <c r="BF1" s="86"/>
      <c r="BG1" s="87"/>
      <c r="BH1" s="85" t="s">
        <v>142</v>
      </c>
      <c r="BI1" s="86"/>
      <c r="BJ1" s="86"/>
      <c r="BK1" s="87"/>
    </row>
    <row r="2" spans="1:63" ht="15" customHeight="1" x14ac:dyDescent="0.25">
      <c r="A2" s="152" t="str">
        <f>IF(表紙!A2="","",表紙!A2)</f>
        <v>POSサーバー</v>
      </c>
      <c r="B2" s="153"/>
      <c r="C2" s="153"/>
      <c r="D2" s="153"/>
      <c r="E2" s="153"/>
      <c r="F2" s="153"/>
      <c r="G2" s="153"/>
      <c r="H2" s="153"/>
      <c r="I2" s="153"/>
      <c r="J2" s="154"/>
      <c r="K2" s="152" t="str">
        <f>IF(表紙!K2="","",表紙!K2)</f>
        <v>POSサーバー</v>
      </c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4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88" t="str">
        <f>IF(表紙!AP2="","",表紙!AP2)</f>
        <v>LoiLV</v>
      </c>
      <c r="AQ2" s="89"/>
      <c r="AR2" s="89"/>
      <c r="AS2" s="90"/>
      <c r="AT2" s="116">
        <f>IF(表紙!AT2="","",表紙!AT2)</f>
        <v>45469</v>
      </c>
      <c r="AU2" s="117"/>
      <c r="AV2" s="117"/>
      <c r="AW2" s="117"/>
      <c r="AX2" s="118"/>
      <c r="AY2" s="88" t="str">
        <f>IF(表紙!AY2="","",表紙!AY2)</f>
        <v>LoiLV</v>
      </c>
      <c r="AZ2" s="89"/>
      <c r="BA2" s="89"/>
      <c r="BB2" s="90"/>
      <c r="BC2" s="116">
        <f>IF(表紙!BC2="","",表紙!BC2)</f>
        <v>45469</v>
      </c>
      <c r="BD2" s="117"/>
      <c r="BE2" s="117"/>
      <c r="BF2" s="117"/>
      <c r="BG2" s="118"/>
      <c r="BH2" s="88">
        <f>IF(表紙!BH2="","",表紙!BH2)</f>
        <v>0.1</v>
      </c>
      <c r="BI2" s="89"/>
      <c r="BJ2" s="89"/>
      <c r="BK2" s="90"/>
    </row>
    <row r="3" spans="1:63" ht="1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7"/>
      <c r="K3" s="155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7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91"/>
      <c r="AQ3" s="92"/>
      <c r="AR3" s="92"/>
      <c r="AS3" s="93"/>
      <c r="AT3" s="119"/>
      <c r="AU3" s="120"/>
      <c r="AV3" s="120"/>
      <c r="AW3" s="120"/>
      <c r="AX3" s="121"/>
      <c r="AY3" s="91"/>
      <c r="AZ3" s="92"/>
      <c r="BA3" s="92"/>
      <c r="BB3" s="93"/>
      <c r="BC3" s="119"/>
      <c r="BD3" s="120"/>
      <c r="BE3" s="120"/>
      <c r="BF3" s="120"/>
      <c r="BG3" s="121"/>
      <c r="BH3" s="91"/>
      <c r="BI3" s="92"/>
      <c r="BJ3" s="92"/>
      <c r="BK3" s="93"/>
    </row>
    <row r="4" spans="1:63" ht="24.95" customHeight="1" x14ac:dyDescent="0.25">
      <c r="A4" s="145" t="s">
        <v>144</v>
      </c>
      <c r="B4" s="146"/>
      <c r="C4" s="146"/>
      <c r="D4" s="146"/>
      <c r="E4" s="146"/>
      <c r="F4" s="146"/>
      <c r="G4" s="147"/>
      <c r="H4" s="148" t="str">
        <f>IF(表紙!H4="","",表紙!H4)</f>
        <v>AP6603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45" t="s">
        <v>145</v>
      </c>
      <c r="V4" s="146"/>
      <c r="W4" s="146"/>
      <c r="X4" s="146"/>
      <c r="Y4" s="147"/>
      <c r="Z4" s="148" t="str">
        <f>IF(表紙!Z4="","",表紙!Z4)</f>
        <v>API設計書</v>
      </c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50"/>
      <c r="AP4" s="151" t="str">
        <f ca="1">MID(CELL("filename",A1),FIND("]",CELL("filename",A1))+1,255)</f>
        <v>処理フロー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5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5" customFormat="1" ht="15" customHeight="1" x14ac:dyDescent="0.25">
      <c r="B7" s="39"/>
      <c r="C7" s="19"/>
      <c r="D7" s="19"/>
      <c r="E7" s="19"/>
      <c r="F7" s="19"/>
      <c r="G7" s="19"/>
      <c r="AI7" s="83"/>
      <c r="BJ7" s="83"/>
      <c r="BK7" s="74"/>
    </row>
    <row r="8" spans="1:63" s="75" customFormat="1" ht="15" customHeight="1" x14ac:dyDescent="0.25">
      <c r="B8" s="39"/>
      <c r="C8" s="19"/>
      <c r="D8" s="19"/>
      <c r="E8" s="19"/>
      <c r="F8" s="19"/>
      <c r="G8" s="19"/>
      <c r="AI8" s="83"/>
      <c r="BJ8" s="83"/>
      <c r="BK8" s="74"/>
    </row>
    <row r="9" spans="1:63" s="75" customFormat="1" ht="15" customHeight="1" x14ac:dyDescent="0.25">
      <c r="B9" s="39"/>
      <c r="C9" s="19"/>
      <c r="D9" s="19"/>
      <c r="E9" s="19"/>
      <c r="F9" s="19"/>
      <c r="G9" s="19"/>
      <c r="AI9" s="83"/>
      <c r="BJ9" s="83"/>
      <c r="BK9" s="74"/>
    </row>
    <row r="10" spans="1:63" s="75" customFormat="1" ht="15" customHeight="1" x14ac:dyDescent="0.25">
      <c r="B10" s="39"/>
      <c r="C10" s="19"/>
      <c r="D10" s="19"/>
      <c r="E10" s="19"/>
      <c r="F10" s="19"/>
      <c r="G10" s="19"/>
      <c r="AI10" s="83"/>
      <c r="BJ10" s="83"/>
      <c r="BK10" s="74"/>
    </row>
    <row r="11" spans="1:63" s="75" customFormat="1" ht="15" customHeight="1" x14ac:dyDescent="0.25">
      <c r="B11" s="84"/>
      <c r="AI11" s="83"/>
      <c r="BJ11" s="83"/>
      <c r="BK11" s="74"/>
    </row>
    <row r="12" spans="1:63" s="75" customFormat="1" ht="15" customHeight="1" x14ac:dyDescent="0.25">
      <c r="B12" s="84"/>
      <c r="AI12" s="83"/>
      <c r="BJ12" s="83"/>
      <c r="BK12" s="74"/>
    </row>
    <row r="13" spans="1:63" s="75" customFormat="1" ht="15" customHeight="1" x14ac:dyDescent="0.25">
      <c r="B13" s="84"/>
      <c r="AI13" s="83"/>
      <c r="BJ13" s="83"/>
      <c r="BK13" s="74"/>
    </row>
    <row r="14" spans="1:63" s="75" customFormat="1" ht="15" customHeight="1" x14ac:dyDescent="0.25">
      <c r="B14" s="84"/>
      <c r="AI14" s="83"/>
      <c r="BJ14" s="83"/>
      <c r="BK14" s="74"/>
    </row>
    <row r="15" spans="1:63" s="75" customFormat="1" ht="15" customHeight="1" x14ac:dyDescent="0.25">
      <c r="B15" s="84"/>
      <c r="AI15" s="83"/>
      <c r="BJ15" s="83"/>
      <c r="BK15" s="74"/>
    </row>
    <row r="16" spans="1:63" s="75" customFormat="1" ht="15" customHeight="1" x14ac:dyDescent="0.25">
      <c r="B16" s="84"/>
      <c r="AI16" s="83"/>
      <c r="BJ16" s="83"/>
      <c r="BK16" s="74"/>
    </row>
    <row r="17" spans="2:63" s="75" customFormat="1" ht="15" customHeight="1" x14ac:dyDescent="0.25">
      <c r="B17" s="84"/>
      <c r="AI17" s="83"/>
      <c r="BJ17" s="83"/>
      <c r="BK17" s="74"/>
    </row>
    <row r="18" spans="2:63" s="75" customFormat="1" ht="15" customHeight="1" x14ac:dyDescent="0.25">
      <c r="B18" s="84"/>
      <c r="AI18" s="83"/>
      <c r="BJ18" s="83"/>
      <c r="BK18" s="74"/>
    </row>
    <row r="19" spans="2:63" s="75" customFormat="1" ht="15" customHeight="1" x14ac:dyDescent="0.25">
      <c r="B19" s="84"/>
      <c r="AI19" s="83"/>
      <c r="BJ19" s="83"/>
      <c r="BK19" s="74"/>
    </row>
    <row r="20" spans="2:63" s="75" customFormat="1" ht="15" customHeight="1" x14ac:dyDescent="0.25">
      <c r="B20" s="84"/>
      <c r="AI20" s="83"/>
      <c r="BJ20" s="83"/>
      <c r="BK20" s="74"/>
    </row>
    <row r="21" spans="2:63" s="75" customFormat="1" ht="15" customHeight="1" x14ac:dyDescent="0.25">
      <c r="B21" s="84"/>
      <c r="AI21" s="83"/>
      <c r="BJ21" s="83"/>
      <c r="BK21" s="74"/>
    </row>
    <row r="22" spans="2:63" s="75" customFormat="1" ht="15" customHeight="1" x14ac:dyDescent="0.25">
      <c r="B22" s="84"/>
      <c r="AI22" s="83"/>
      <c r="BJ22" s="83"/>
      <c r="BK22" s="74"/>
    </row>
    <row r="23" spans="2:63" s="75" customFormat="1" ht="15" customHeight="1" x14ac:dyDescent="0.25">
      <c r="B23" s="84"/>
      <c r="AI23" s="83"/>
      <c r="BJ23" s="83"/>
      <c r="BK23" s="74"/>
    </row>
    <row r="24" spans="2:63" s="75" customFormat="1" ht="15" customHeight="1" x14ac:dyDescent="0.25">
      <c r="B24" s="84"/>
      <c r="AI24" s="83"/>
      <c r="BJ24" s="83"/>
      <c r="BK24" s="74"/>
    </row>
    <row r="25" spans="2:63" s="75" customFormat="1" ht="15" customHeight="1" x14ac:dyDescent="0.25">
      <c r="B25" s="84"/>
      <c r="AI25" s="83"/>
      <c r="BJ25" s="83"/>
      <c r="BK25" s="74"/>
    </row>
    <row r="26" spans="2:63" s="75" customFormat="1" ht="15" customHeight="1" x14ac:dyDescent="0.25">
      <c r="B26" s="84"/>
      <c r="AI26" s="83"/>
      <c r="BJ26" s="83"/>
      <c r="BK26" s="74"/>
    </row>
    <row r="27" spans="2:63" s="75" customFormat="1" ht="15" customHeight="1" x14ac:dyDescent="0.25">
      <c r="B27" s="84"/>
      <c r="AI27" s="83"/>
      <c r="BJ27" s="83"/>
      <c r="BK27" s="74"/>
    </row>
    <row r="28" spans="2:63" s="75" customFormat="1" ht="15" customHeight="1" x14ac:dyDescent="0.25">
      <c r="B28" s="84"/>
      <c r="AI28" s="83"/>
      <c r="BJ28" s="83"/>
      <c r="BK28" s="74"/>
    </row>
    <row r="29" spans="2:63" s="75" customFormat="1" ht="15" customHeight="1" x14ac:dyDescent="0.25">
      <c r="B29" s="84"/>
      <c r="AI29" s="83"/>
      <c r="BJ29" s="83"/>
      <c r="BK29" s="74"/>
    </row>
    <row r="30" spans="2:63" s="75" customFormat="1" ht="15" customHeight="1" x14ac:dyDescent="0.25">
      <c r="B30" s="84"/>
      <c r="AI30" s="83"/>
      <c r="BJ30" s="83"/>
      <c r="BK30" s="74"/>
    </row>
    <row r="31" spans="2:63" s="75" customFormat="1" ht="15" customHeight="1" x14ac:dyDescent="0.25">
      <c r="B31" s="84"/>
      <c r="AI31" s="83"/>
      <c r="BJ31" s="83"/>
      <c r="BK31" s="74"/>
    </row>
    <row r="32" spans="2:63" s="75" customFormat="1" ht="15" customHeight="1" x14ac:dyDescent="0.25">
      <c r="B32" s="84"/>
      <c r="AI32" s="83"/>
      <c r="BJ32" s="83"/>
      <c r="BK32" s="74"/>
    </row>
    <row r="33" spans="2:63" s="75" customFormat="1" ht="15" customHeight="1" x14ac:dyDescent="0.25">
      <c r="B33" s="84"/>
      <c r="AI33" s="83"/>
      <c r="BJ33" s="83"/>
      <c r="BK33" s="74"/>
    </row>
    <row r="34" spans="2:63" s="75" customFormat="1" ht="15" customHeight="1" x14ac:dyDescent="0.25">
      <c r="B34" s="84"/>
      <c r="AI34" s="83"/>
      <c r="BJ34" s="83"/>
      <c r="BK34" s="74"/>
    </row>
    <row r="35" spans="2:63" s="75" customFormat="1" ht="15" customHeight="1" x14ac:dyDescent="0.25">
      <c r="B35" s="84"/>
      <c r="AI35" s="83"/>
      <c r="BJ35" s="83"/>
      <c r="BK35" s="74"/>
    </row>
    <row r="36" spans="2:63" s="75" customFormat="1" ht="15" customHeight="1" x14ac:dyDescent="0.25">
      <c r="B36" s="84"/>
      <c r="AI36" s="83"/>
      <c r="BJ36" s="83"/>
      <c r="BK36" s="74"/>
    </row>
    <row r="37" spans="2:63" s="75" customFormat="1" ht="15" customHeight="1" x14ac:dyDescent="0.25">
      <c r="B37" s="84"/>
      <c r="AI37" s="83"/>
      <c r="BJ37" s="83"/>
      <c r="BK37" s="74"/>
    </row>
    <row r="38" spans="2:63" s="75" customFormat="1" ht="15" customHeight="1" x14ac:dyDescent="0.25">
      <c r="B38" s="84"/>
      <c r="AI38" s="83"/>
      <c r="BJ38" s="83"/>
      <c r="BK38" s="74"/>
    </row>
    <row r="39" spans="2:63" s="75" customFormat="1" ht="15" customHeight="1" x14ac:dyDescent="0.25">
      <c r="B39" s="84"/>
      <c r="AI39" s="83"/>
      <c r="BJ39" s="83"/>
      <c r="BK39" s="74"/>
    </row>
    <row r="40" spans="2:63" s="75" customFormat="1" ht="15" customHeight="1" x14ac:dyDescent="0.25">
      <c r="B40" s="84"/>
      <c r="AI40" s="83"/>
      <c r="BJ40" s="83"/>
      <c r="BK40" s="74"/>
    </row>
    <row r="41" spans="2:63" s="75" customFormat="1" ht="15" customHeight="1" x14ac:dyDescent="0.25">
      <c r="B41" s="84"/>
      <c r="AI41" s="83"/>
      <c r="BJ41" s="83"/>
      <c r="BK41" s="74"/>
    </row>
    <row r="42" spans="2:63" s="75" customFormat="1" ht="15" customHeight="1" x14ac:dyDescent="0.25">
      <c r="B42" s="84"/>
      <c r="AI42" s="83"/>
      <c r="BJ42" s="83"/>
      <c r="BK42" s="74"/>
    </row>
    <row r="43" spans="2:63" s="75" customFormat="1" ht="15" customHeight="1" x14ac:dyDescent="0.25">
      <c r="B43" s="84"/>
      <c r="AI43" s="83"/>
      <c r="BJ43" s="83"/>
      <c r="BK43" s="74"/>
    </row>
    <row r="44" spans="2:63" s="75" customFormat="1" ht="15" customHeight="1" x14ac:dyDescent="0.25">
      <c r="B44" s="84"/>
      <c r="AI44" s="83"/>
      <c r="BJ44" s="83"/>
      <c r="BK44" s="74"/>
    </row>
    <row r="45" spans="2:63" s="75" customFormat="1" ht="15" customHeight="1" x14ac:dyDescent="0.25">
      <c r="B45" s="84"/>
      <c r="AI45" s="83"/>
      <c r="BJ45" s="83"/>
      <c r="BK45" s="74"/>
    </row>
    <row r="46" spans="2:63" s="75" customFormat="1" ht="15" customHeight="1" x14ac:dyDescent="0.25">
      <c r="B46" s="84"/>
      <c r="AI46" s="83"/>
      <c r="BJ46" s="83"/>
      <c r="BK46" s="74"/>
    </row>
    <row r="47" spans="2:63" s="75" customFormat="1" ht="15" customHeight="1" x14ac:dyDescent="0.25">
      <c r="B47" s="84"/>
      <c r="AI47" s="83"/>
      <c r="BJ47" s="83"/>
      <c r="BK47" s="74"/>
    </row>
    <row r="48" spans="2:63" s="75" customFormat="1" ht="15" customHeight="1" x14ac:dyDescent="0.25">
      <c r="B48" s="84"/>
      <c r="AI48" s="83"/>
      <c r="BJ48" s="83"/>
      <c r="BK48" s="74"/>
    </row>
    <row r="49" spans="2:63" s="75" customFormat="1" ht="15" customHeight="1" x14ac:dyDescent="0.25">
      <c r="B49" s="84"/>
      <c r="AI49" s="83"/>
      <c r="BJ49" s="83"/>
      <c r="BK49" s="74"/>
    </row>
    <row r="50" spans="2:63" s="75" customFormat="1" ht="15" customHeight="1" x14ac:dyDescent="0.25">
      <c r="B50" s="84"/>
      <c r="AI50" s="83"/>
      <c r="BJ50" s="83"/>
      <c r="BK50" s="74"/>
    </row>
    <row r="51" spans="2:63" s="75" customFormat="1" ht="15" customHeight="1" x14ac:dyDescent="0.25">
      <c r="B51" s="84"/>
      <c r="AI51" s="83"/>
      <c r="BJ51" s="83"/>
      <c r="BK51" s="74"/>
    </row>
    <row r="52" spans="2:63" s="75" customFormat="1" ht="15" customHeight="1" x14ac:dyDescent="0.25">
      <c r="B52" s="84"/>
      <c r="AI52" s="83"/>
      <c r="BJ52" s="83"/>
      <c r="BK52" s="74"/>
    </row>
    <row r="53" spans="2:63" s="75" customFormat="1" ht="15" customHeight="1" x14ac:dyDescent="0.25">
      <c r="B53" s="84"/>
      <c r="AI53" s="83"/>
      <c r="BJ53" s="83"/>
      <c r="BK53" s="74"/>
    </row>
    <row r="54" spans="2:63" s="75" customFormat="1" ht="15" customHeight="1" x14ac:dyDescent="0.25">
      <c r="B54" s="84"/>
      <c r="AI54" s="83"/>
      <c r="BJ54" s="83"/>
      <c r="BK54" s="74"/>
    </row>
    <row r="55" spans="2:63" s="75" customFormat="1" ht="15" customHeight="1" x14ac:dyDescent="0.25">
      <c r="B55" s="84"/>
      <c r="AI55" s="83"/>
      <c r="BJ55" s="83"/>
      <c r="BK55" s="74"/>
    </row>
    <row r="56" spans="2:63" s="75" customFormat="1" ht="15" customHeight="1" x14ac:dyDescent="0.25">
      <c r="B56" s="84"/>
      <c r="AI56" s="83"/>
      <c r="BJ56" s="83"/>
      <c r="BK56" s="74"/>
    </row>
    <row r="57" spans="2:63" s="75" customFormat="1" ht="15" customHeight="1" x14ac:dyDescent="0.25">
      <c r="B57" s="84"/>
      <c r="AI57" s="83"/>
      <c r="BJ57" s="83"/>
      <c r="BK57" s="74"/>
    </row>
    <row r="58" spans="2:63" s="75" customFormat="1" ht="15" customHeight="1" x14ac:dyDescent="0.25">
      <c r="B58" s="84"/>
      <c r="AI58" s="83"/>
      <c r="BJ58" s="83"/>
      <c r="BK58" s="74"/>
    </row>
    <row r="59" spans="2:63" s="75" customFormat="1" ht="15" customHeight="1" x14ac:dyDescent="0.25">
      <c r="B59" s="84"/>
      <c r="AI59" s="83"/>
      <c r="BJ59" s="83"/>
      <c r="BK59" s="74"/>
    </row>
    <row r="60" spans="2:63" s="75" customFormat="1" ht="15" customHeight="1" x14ac:dyDescent="0.25">
      <c r="B60" s="84"/>
      <c r="AI60" s="83"/>
      <c r="BJ60" s="83"/>
      <c r="BK60" s="74"/>
    </row>
    <row r="61" spans="2:63" s="75" customFormat="1" ht="15" customHeight="1" x14ac:dyDescent="0.25">
      <c r="B61" s="84"/>
      <c r="AI61" s="83"/>
      <c r="BJ61" s="83"/>
      <c r="BK61" s="74"/>
    </row>
    <row r="62" spans="2:63" s="75" customFormat="1" ht="15" customHeight="1" x14ac:dyDescent="0.25">
      <c r="B62" s="84"/>
      <c r="AI62" s="83"/>
      <c r="BJ62" s="83"/>
      <c r="BK62" s="74"/>
    </row>
    <row r="63" spans="2:63" s="75" customFormat="1" ht="15" customHeight="1" x14ac:dyDescent="0.25">
      <c r="B63" s="84"/>
      <c r="AI63" s="83"/>
      <c r="BJ63" s="83"/>
      <c r="BK63" s="74"/>
    </row>
    <row r="64" spans="2:63" s="75" customFormat="1" ht="15" customHeight="1" x14ac:dyDescent="0.25">
      <c r="B64" s="84"/>
      <c r="AI64" s="83"/>
      <c r="BJ64" s="83"/>
      <c r="BK64" s="74"/>
    </row>
    <row r="65" spans="2:63" s="75" customFormat="1" ht="15" customHeight="1" x14ac:dyDescent="0.25">
      <c r="B65" s="84"/>
      <c r="AI65" s="83"/>
      <c r="BJ65" s="83"/>
      <c r="BK65" s="74"/>
    </row>
    <row r="66" spans="2:63" s="75" customFormat="1" ht="15" customHeight="1" x14ac:dyDescent="0.25">
      <c r="B66" s="84"/>
      <c r="AI66" s="83"/>
      <c r="BJ66" s="83"/>
      <c r="BK66" s="74"/>
    </row>
    <row r="67" spans="2:63" s="75" customFormat="1" ht="15" customHeight="1" x14ac:dyDescent="0.25">
      <c r="B67" s="84"/>
      <c r="AI67" s="83"/>
      <c r="BJ67" s="83"/>
      <c r="BK67" s="74"/>
    </row>
    <row r="68" spans="2:63" s="75" customFormat="1" ht="15" customHeight="1" x14ac:dyDescent="0.25">
      <c r="B68" s="84"/>
      <c r="AI68" s="83"/>
      <c r="BJ68" s="83"/>
      <c r="BK68" s="74"/>
    </row>
    <row r="69" spans="2:63" s="75" customFormat="1" ht="15" customHeight="1" x14ac:dyDescent="0.25">
      <c r="B69" s="84"/>
      <c r="AI69" s="83"/>
      <c r="BJ69" s="83"/>
      <c r="BK69" s="74"/>
    </row>
    <row r="70" spans="2:63" s="75" customFormat="1" ht="15" customHeight="1" x14ac:dyDescent="0.25">
      <c r="B70" s="84"/>
      <c r="AI70" s="83"/>
      <c r="BJ70" s="83"/>
      <c r="BK70" s="74"/>
    </row>
    <row r="71" spans="2:63" s="75" customFormat="1" ht="15" customHeight="1" x14ac:dyDescent="0.25">
      <c r="B71" s="84"/>
      <c r="AI71" s="83"/>
      <c r="BJ71" s="83"/>
      <c r="BK71" s="74"/>
    </row>
    <row r="72" spans="2:63" ht="15" customHeight="1" x14ac:dyDescent="0.25">
      <c r="B72" s="9"/>
      <c r="AI72" s="10"/>
      <c r="BJ72" s="10"/>
      <c r="BK72" s="5"/>
    </row>
    <row r="73" spans="2:63" ht="15" customHeight="1" x14ac:dyDescent="0.25">
      <c r="B73" s="9"/>
      <c r="AI73" s="10"/>
      <c r="BJ73" s="10"/>
      <c r="BK73" s="5"/>
    </row>
    <row r="74" spans="2:63" ht="15" customHeight="1" x14ac:dyDescent="0.25">
      <c r="B74" s="9"/>
      <c r="AI74" s="10"/>
      <c r="BJ74" s="10"/>
      <c r="BK74" s="5"/>
    </row>
    <row r="75" spans="2:63" ht="15" customHeight="1" x14ac:dyDescent="0.25">
      <c r="B75" s="9"/>
      <c r="AI75" s="10"/>
      <c r="BJ75" s="10"/>
      <c r="BK75" s="5"/>
    </row>
    <row r="76" spans="2:63" ht="15" customHeight="1" x14ac:dyDescent="0.25">
      <c r="B76" s="9"/>
      <c r="AI76" s="10"/>
      <c r="BJ76" s="10"/>
      <c r="BK76" s="5"/>
    </row>
    <row r="77" spans="2:63" ht="15" customHeight="1" x14ac:dyDescent="0.25">
      <c r="B77" s="9"/>
      <c r="AI77" s="10"/>
      <c r="BJ77" s="10"/>
      <c r="BK77" s="5"/>
    </row>
    <row r="78" spans="2:63" ht="15" customHeight="1" x14ac:dyDescent="0.25">
      <c r="B78" s="9"/>
      <c r="AI78" s="10"/>
      <c r="BJ78" s="10"/>
      <c r="BK78" s="5"/>
    </row>
    <row r="79" spans="2:63" ht="15" customHeight="1" x14ac:dyDescent="0.25">
      <c r="B79" s="9"/>
      <c r="AI79" s="10"/>
      <c r="BJ79" s="10"/>
      <c r="BK79" s="5"/>
    </row>
    <row r="80" spans="2:63" ht="15" customHeight="1" x14ac:dyDescent="0.25">
      <c r="B80" s="9"/>
      <c r="AI80" s="10"/>
      <c r="BJ80" s="10"/>
      <c r="BK80" s="5"/>
    </row>
    <row r="81" spans="2:63" ht="15" customHeight="1" x14ac:dyDescent="0.25">
      <c r="B81" s="9"/>
      <c r="AI81" s="10"/>
      <c r="BJ81" s="10"/>
      <c r="BK81" s="5"/>
    </row>
    <row r="82" spans="2:63" ht="15" customHeight="1" x14ac:dyDescent="0.25">
      <c r="B82" s="9"/>
      <c r="AI82" s="10"/>
      <c r="BJ82" s="10"/>
      <c r="BK82" s="5"/>
    </row>
    <row r="83" spans="2:63" ht="15" customHeight="1" x14ac:dyDescent="0.25">
      <c r="B83" s="9"/>
      <c r="AI83" s="10"/>
      <c r="BJ83" s="10"/>
      <c r="BK83" s="5"/>
    </row>
    <row r="84" spans="2:63" ht="15" customHeight="1" x14ac:dyDescent="0.25">
      <c r="B84" s="9"/>
      <c r="AI84" s="10"/>
      <c r="BJ84" s="10"/>
      <c r="BK84" s="5"/>
    </row>
    <row r="85" spans="2:63" ht="15" customHeight="1" x14ac:dyDescent="0.25">
      <c r="B85" s="9"/>
      <c r="AI85" s="10"/>
      <c r="BJ85" s="10"/>
      <c r="BK85" s="5"/>
    </row>
    <row r="86" spans="2:63" ht="15" customHeight="1" x14ac:dyDescent="0.25">
      <c r="B86" s="9"/>
      <c r="AI86" s="10"/>
      <c r="BJ86" s="10"/>
      <c r="BK86" s="5"/>
    </row>
    <row r="87" spans="2:63" ht="15" customHeight="1" x14ac:dyDescent="0.25">
      <c r="B87" s="9"/>
      <c r="AI87" s="10"/>
      <c r="BJ87" s="10"/>
      <c r="BK87" s="5"/>
    </row>
    <row r="88" spans="2:63" ht="15" customHeight="1" x14ac:dyDescent="0.25">
      <c r="B88" s="9"/>
      <c r="AI88" s="10"/>
      <c r="BJ88" s="10"/>
      <c r="BK88" s="5"/>
    </row>
    <row r="89" spans="2:63" ht="15" customHeight="1" x14ac:dyDescent="0.25">
      <c r="B89" s="9"/>
      <c r="AI89" s="10"/>
      <c r="BJ89" s="10"/>
      <c r="BK89" s="5"/>
    </row>
    <row r="90" spans="2:63" ht="15" customHeight="1" x14ac:dyDescent="0.25">
      <c r="B90" s="9"/>
      <c r="AI90" s="10"/>
      <c r="BJ90" s="10"/>
      <c r="BK90" s="5"/>
    </row>
    <row r="91" spans="2:63" ht="15" customHeight="1" x14ac:dyDescent="0.25">
      <c r="B91" s="9"/>
      <c r="AI91" s="10"/>
      <c r="BJ91" s="10"/>
      <c r="BK91" s="5"/>
    </row>
    <row r="92" spans="2:63" ht="15" customHeight="1" x14ac:dyDescent="0.25">
      <c r="B92" s="9"/>
      <c r="AI92" s="10"/>
      <c r="BJ92" s="10"/>
      <c r="BK92" s="5"/>
    </row>
    <row r="93" spans="2:63" ht="15" customHeight="1" x14ac:dyDescent="0.25">
      <c r="B93" s="9"/>
      <c r="AI93" s="10"/>
      <c r="BJ93" s="10"/>
      <c r="BK93" s="5"/>
    </row>
    <row r="94" spans="2:63" ht="15" customHeight="1" x14ac:dyDescent="0.25">
      <c r="B94" s="9"/>
      <c r="AI94" s="10"/>
      <c r="BJ94" s="10"/>
      <c r="BK94" s="5"/>
    </row>
    <row r="95" spans="2:63" ht="15" customHeight="1" x14ac:dyDescent="0.25">
      <c r="B95" s="9"/>
      <c r="AI95" s="10"/>
      <c r="BJ95" s="10"/>
      <c r="BK95" s="5"/>
    </row>
    <row r="96" spans="2:63" ht="15" customHeight="1" x14ac:dyDescent="0.25">
      <c r="B96" s="9"/>
      <c r="AI96" s="10"/>
      <c r="BJ96" s="10"/>
      <c r="BK96" s="5"/>
    </row>
    <row r="97" spans="1:63" ht="15" customHeight="1" x14ac:dyDescent="0.25">
      <c r="B97" s="9"/>
      <c r="AI97" s="10"/>
      <c r="BJ97" s="10"/>
      <c r="BK97" s="5"/>
    </row>
    <row r="98" spans="1:63" ht="15" customHeight="1" x14ac:dyDescent="0.25">
      <c r="B98" s="9"/>
      <c r="AI98" s="10"/>
      <c r="BJ98" s="10"/>
      <c r="BK98" s="5"/>
    </row>
    <row r="99" spans="1:63" ht="15" customHeight="1" x14ac:dyDescent="0.25">
      <c r="B99" s="9"/>
      <c r="AI99" s="10"/>
      <c r="BJ99" s="10"/>
      <c r="BK99" s="5"/>
    </row>
    <row r="100" spans="1:63" ht="15" customHeight="1" x14ac:dyDescent="0.25">
      <c r="A100" s="10"/>
      <c r="B100" s="9"/>
      <c r="AI100" s="10"/>
      <c r="AJ100" s="9"/>
      <c r="BJ100" s="10"/>
      <c r="BK100" s="49"/>
    </row>
    <row r="101" spans="1:63" ht="15" customHeight="1" x14ac:dyDescent="0.25">
      <c r="A101" s="10"/>
      <c r="B101" s="9"/>
      <c r="AI101" s="10"/>
      <c r="AJ101" s="9"/>
      <c r="BJ101" s="10"/>
      <c r="BK101" s="49"/>
    </row>
    <row r="102" spans="1:63" x14ac:dyDescent="0.25">
      <c r="A102" s="10"/>
      <c r="B102" s="9"/>
      <c r="AI102" s="10"/>
      <c r="AJ102" s="9"/>
      <c r="BJ102" s="10"/>
      <c r="BK102" s="49"/>
    </row>
    <row r="103" spans="1:63" x14ac:dyDescent="0.25">
      <c r="A103" s="10"/>
      <c r="B103" s="9"/>
      <c r="AI103" s="10"/>
      <c r="AJ103" s="9"/>
      <c r="BJ103" s="10"/>
      <c r="BK103" s="49"/>
    </row>
    <row r="104" spans="1:63" x14ac:dyDescent="0.25">
      <c r="A104" s="10"/>
      <c r="B104" s="9"/>
      <c r="AI104" s="10"/>
      <c r="AJ104" s="9"/>
      <c r="BJ104" s="10"/>
      <c r="BK104" s="49"/>
    </row>
    <row r="105" spans="1:63" x14ac:dyDescent="0.25">
      <c r="A105" s="10"/>
      <c r="B105" s="9"/>
      <c r="AI105" s="10"/>
      <c r="AJ105" s="9"/>
      <c r="BJ105" s="10"/>
      <c r="BK105" s="49"/>
    </row>
    <row r="106" spans="1:63" x14ac:dyDescent="0.25">
      <c r="A106" s="10"/>
      <c r="B106" s="9"/>
      <c r="AI106" s="10"/>
      <c r="AJ106" s="9"/>
      <c r="BJ106" s="10"/>
      <c r="BK106" s="49"/>
    </row>
    <row r="107" spans="1:63" x14ac:dyDescent="0.25">
      <c r="A107" s="10"/>
      <c r="B107" s="9"/>
      <c r="AI107" s="10"/>
      <c r="AJ107" s="9"/>
      <c r="BJ107" s="10"/>
      <c r="BK107" s="49"/>
    </row>
    <row r="108" spans="1:63" x14ac:dyDescent="0.25">
      <c r="A108" s="10"/>
      <c r="B108" s="9"/>
      <c r="AI108" s="10"/>
      <c r="AJ108" s="9"/>
      <c r="BJ108" s="10"/>
      <c r="BK108" s="49"/>
    </row>
    <row r="109" spans="1:63" x14ac:dyDescent="0.25">
      <c r="A109" s="10"/>
      <c r="B109" s="9"/>
      <c r="AI109" s="10"/>
      <c r="AJ109" s="9"/>
      <c r="BJ109" s="10"/>
      <c r="BK109" s="49"/>
    </row>
    <row r="110" spans="1:63" x14ac:dyDescent="0.25">
      <c r="A110" s="10"/>
      <c r="B110" s="9"/>
      <c r="AI110" s="10"/>
      <c r="AJ110" s="9"/>
      <c r="BJ110" s="10"/>
      <c r="BK110" s="49"/>
    </row>
    <row r="111" spans="1:63" x14ac:dyDescent="0.25">
      <c r="A111" s="10"/>
      <c r="B111" s="9"/>
      <c r="AI111" s="10"/>
      <c r="AJ111" s="9"/>
      <c r="BJ111" s="10"/>
      <c r="BK111" s="49"/>
    </row>
    <row r="112" spans="1:63" x14ac:dyDescent="0.25">
      <c r="A112" s="10"/>
      <c r="B112" s="9"/>
      <c r="AI112" s="10"/>
      <c r="AJ112" s="9"/>
      <c r="BJ112" s="10"/>
      <c r="BK112" s="49"/>
    </row>
    <row r="113" spans="1:63" x14ac:dyDescent="0.25">
      <c r="A113" s="10"/>
      <c r="B113" s="9"/>
      <c r="AI113" s="10"/>
      <c r="AJ113" s="9"/>
      <c r="BJ113" s="10"/>
      <c r="BK113" s="49"/>
    </row>
    <row r="114" spans="1:63" x14ac:dyDescent="0.25">
      <c r="A114" s="10"/>
      <c r="B114" s="9"/>
      <c r="AI114" s="10"/>
      <c r="AJ114" s="9"/>
      <c r="BJ114" s="10"/>
      <c r="BK114" s="49"/>
    </row>
    <row r="115" spans="1:63" x14ac:dyDescent="0.25">
      <c r="A115" s="10"/>
      <c r="B115" s="9"/>
      <c r="AI115" s="10"/>
      <c r="AJ115" s="9"/>
      <c r="BJ115" s="10"/>
      <c r="BK115" s="49"/>
    </row>
    <row r="116" spans="1:63" x14ac:dyDescent="0.25">
      <c r="A116" s="10"/>
      <c r="B116" s="9"/>
      <c r="AI116" s="10"/>
      <c r="AJ116" s="9"/>
      <c r="BJ116" s="10"/>
      <c r="BK116" s="49"/>
    </row>
    <row r="117" spans="1:63" x14ac:dyDescent="0.25">
      <c r="A117" s="10"/>
      <c r="B117" s="9"/>
      <c r="AI117" s="10"/>
      <c r="AJ117" s="9"/>
      <c r="BJ117" s="10"/>
      <c r="BK117" s="49"/>
    </row>
    <row r="118" spans="1:63" x14ac:dyDescent="0.25">
      <c r="A118" s="10"/>
      <c r="B118" s="9"/>
      <c r="AI118" s="10"/>
      <c r="AJ118" s="9"/>
      <c r="BJ118" s="10"/>
      <c r="BK118" s="49"/>
    </row>
    <row r="119" spans="1:63" x14ac:dyDescent="0.25">
      <c r="A119" s="10"/>
      <c r="B119" s="9"/>
      <c r="AI119" s="10"/>
      <c r="AJ119" s="9"/>
      <c r="BJ119" s="10"/>
      <c r="BK119" s="49"/>
    </row>
    <row r="120" spans="1:63" x14ac:dyDescent="0.25">
      <c r="A120" s="10"/>
      <c r="B120" s="9"/>
      <c r="AI120" s="10"/>
      <c r="AJ120" s="9"/>
      <c r="BJ120" s="10"/>
      <c r="BK120" s="49"/>
    </row>
    <row r="121" spans="1:63" x14ac:dyDescent="0.25">
      <c r="A121" s="10"/>
      <c r="B121" s="9"/>
      <c r="AI121" s="10"/>
      <c r="AJ121" s="9"/>
      <c r="BJ121" s="10"/>
      <c r="BK121" s="49"/>
    </row>
    <row r="122" spans="1:63" x14ac:dyDescent="0.25">
      <c r="A122" s="10"/>
      <c r="B122" s="9"/>
      <c r="AI122" s="10"/>
      <c r="AJ122" s="9"/>
      <c r="BJ122" s="10"/>
      <c r="BK122" s="49"/>
    </row>
    <row r="123" spans="1:63" x14ac:dyDescent="0.25">
      <c r="A123" s="10"/>
      <c r="B123" s="9"/>
      <c r="AI123" s="10"/>
      <c r="AJ123" s="9"/>
      <c r="BJ123" s="10"/>
      <c r="BK123" s="49"/>
    </row>
    <row r="124" spans="1:63" x14ac:dyDescent="0.25">
      <c r="A124" s="10"/>
      <c r="B124" s="9"/>
      <c r="AI124" s="10"/>
      <c r="AJ124" s="9"/>
      <c r="BJ124" s="10"/>
      <c r="BK124" s="49"/>
    </row>
    <row r="125" spans="1:63" x14ac:dyDescent="0.25">
      <c r="A125" s="10"/>
      <c r="B125" s="9"/>
      <c r="AI125" s="10"/>
      <c r="AJ125" s="9"/>
      <c r="BJ125" s="10"/>
      <c r="BK125" s="49"/>
    </row>
    <row r="126" spans="1:63" x14ac:dyDescent="0.25">
      <c r="A126" s="10"/>
      <c r="B126" s="9"/>
      <c r="AI126" s="10"/>
      <c r="AJ126" s="9"/>
      <c r="BJ126" s="10"/>
      <c r="BK126" s="49"/>
    </row>
    <row r="127" spans="1:63" x14ac:dyDescent="0.25">
      <c r="A127" s="10"/>
      <c r="B127" s="9"/>
      <c r="AI127" s="10"/>
      <c r="AJ127" s="9"/>
      <c r="BJ127" s="10"/>
      <c r="BK127" s="49"/>
    </row>
    <row r="128" spans="1:63" x14ac:dyDescent="0.25">
      <c r="A128" s="10"/>
      <c r="B128" s="9"/>
      <c r="AI128" s="10"/>
      <c r="AJ128" s="9"/>
      <c r="BJ128" s="10"/>
      <c r="BK128" s="49"/>
    </row>
    <row r="129" spans="1:63" x14ac:dyDescent="0.25">
      <c r="A129" s="10"/>
      <c r="B129" s="9"/>
      <c r="AI129" s="10"/>
      <c r="AJ129" s="9"/>
      <c r="BJ129" s="10"/>
      <c r="BK129" s="49"/>
    </row>
    <row r="130" spans="1:63" x14ac:dyDescent="0.25">
      <c r="A130" s="10"/>
      <c r="B130" s="9"/>
      <c r="AI130" s="10"/>
      <c r="AJ130" s="9"/>
      <c r="BJ130" s="10"/>
      <c r="BK130" s="49"/>
    </row>
    <row r="131" spans="1:63" x14ac:dyDescent="0.25">
      <c r="A131" s="10"/>
      <c r="B131" s="9"/>
      <c r="AI131" s="10"/>
      <c r="AJ131" s="9"/>
      <c r="BJ131" s="10"/>
      <c r="BK131" s="49"/>
    </row>
    <row r="132" spans="1:63" x14ac:dyDescent="0.25">
      <c r="A132" s="10"/>
      <c r="B132" s="9"/>
      <c r="AI132" s="10"/>
      <c r="AJ132" s="9"/>
      <c r="BJ132" s="10"/>
      <c r="BK132" s="49"/>
    </row>
    <row r="133" spans="1:63" x14ac:dyDescent="0.25">
      <c r="A133" s="10"/>
      <c r="B133" s="9"/>
      <c r="AI133" s="10"/>
      <c r="AJ133" s="9"/>
      <c r="BJ133" s="10"/>
      <c r="BK133" s="49"/>
    </row>
    <row r="134" spans="1:63" x14ac:dyDescent="0.25">
      <c r="A134" s="10"/>
      <c r="B134" s="9"/>
      <c r="AI134" s="10"/>
      <c r="AJ134" s="9"/>
      <c r="BJ134" s="10"/>
      <c r="BK134" s="49"/>
    </row>
    <row r="135" spans="1:63" x14ac:dyDescent="0.25">
      <c r="A135" s="10"/>
      <c r="B135" s="9"/>
      <c r="AI135" s="10"/>
      <c r="AJ135" s="9"/>
      <c r="BJ135" s="10"/>
      <c r="BK135" s="49"/>
    </row>
    <row r="136" spans="1:63" x14ac:dyDescent="0.25">
      <c r="A136" s="10"/>
      <c r="B136" s="9"/>
      <c r="AI136" s="10"/>
      <c r="AJ136" s="9"/>
      <c r="BJ136" s="10"/>
      <c r="BK136" s="49"/>
    </row>
    <row r="137" spans="1:63" x14ac:dyDescent="0.25">
      <c r="A137" s="10"/>
      <c r="B137" s="9"/>
      <c r="AI137" s="10"/>
      <c r="AJ137" s="9"/>
      <c r="BJ137" s="10"/>
      <c r="BK137" s="49"/>
    </row>
    <row r="138" spans="1:63" x14ac:dyDescent="0.25">
      <c r="A138" s="10"/>
      <c r="B138" s="9"/>
      <c r="AI138" s="10"/>
      <c r="AJ138" s="9"/>
      <c r="BJ138" s="10"/>
      <c r="BK138" s="49"/>
    </row>
    <row r="139" spans="1:63" x14ac:dyDescent="0.25">
      <c r="A139" s="10"/>
      <c r="B139" s="9"/>
      <c r="AI139" s="10"/>
      <c r="AJ139" s="9"/>
      <c r="BJ139" s="10"/>
      <c r="BK139" s="49"/>
    </row>
    <row r="140" spans="1:63" x14ac:dyDescent="0.25">
      <c r="A140" s="10"/>
      <c r="B140" s="9"/>
      <c r="AI140" s="10"/>
      <c r="AJ140" s="9"/>
      <c r="BJ140" s="10"/>
      <c r="BK140" s="49"/>
    </row>
    <row r="141" spans="1:63" x14ac:dyDescent="0.25">
      <c r="A141" s="10"/>
      <c r="B141" s="9"/>
      <c r="AI141" s="10"/>
      <c r="AJ141" s="9"/>
      <c r="BJ141" s="10"/>
      <c r="BK141" s="49"/>
    </row>
    <row r="142" spans="1:63" x14ac:dyDescent="0.25">
      <c r="A142" s="50"/>
      <c r="B142" s="5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50"/>
      <c r="AJ142" s="51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50"/>
      <c r="BK142" s="52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3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5" t="s">
        <v>135</v>
      </c>
      <c r="B1" s="146"/>
      <c r="C1" s="146"/>
      <c r="D1" s="146"/>
      <c r="E1" s="146"/>
      <c r="F1" s="146"/>
      <c r="G1" s="146"/>
      <c r="H1" s="146"/>
      <c r="I1" s="146"/>
      <c r="J1" s="147"/>
      <c r="K1" s="145" t="s">
        <v>136</v>
      </c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  <c r="W1" s="158" t="str">
        <f>IF(表紙!W1="","",表紙!W1)</f>
        <v>詳細設計書</v>
      </c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60"/>
      <c r="AP1" s="85" t="s">
        <v>138</v>
      </c>
      <c r="AQ1" s="86"/>
      <c r="AR1" s="86"/>
      <c r="AS1" s="87"/>
      <c r="AT1" s="85" t="s">
        <v>139</v>
      </c>
      <c r="AU1" s="86"/>
      <c r="AV1" s="86"/>
      <c r="AW1" s="86"/>
      <c r="AX1" s="87"/>
      <c r="AY1" s="85" t="s">
        <v>140</v>
      </c>
      <c r="AZ1" s="86"/>
      <c r="BA1" s="86"/>
      <c r="BB1" s="87"/>
      <c r="BC1" s="85" t="s">
        <v>141</v>
      </c>
      <c r="BD1" s="86"/>
      <c r="BE1" s="86"/>
      <c r="BF1" s="86"/>
      <c r="BG1" s="87"/>
      <c r="BH1" s="85" t="s">
        <v>142</v>
      </c>
      <c r="BI1" s="86"/>
      <c r="BJ1" s="86"/>
      <c r="BK1" s="87"/>
    </row>
    <row r="2" spans="1:63" ht="15" customHeight="1" x14ac:dyDescent="0.25">
      <c r="A2" s="152" t="str">
        <f>IF(表紙!A2="","",表紙!A2)</f>
        <v>POSサーバー</v>
      </c>
      <c r="B2" s="153"/>
      <c r="C2" s="153"/>
      <c r="D2" s="153"/>
      <c r="E2" s="153"/>
      <c r="F2" s="153"/>
      <c r="G2" s="153"/>
      <c r="H2" s="153"/>
      <c r="I2" s="153"/>
      <c r="J2" s="154"/>
      <c r="K2" s="152" t="str">
        <f>IF(表紙!K2="","",表紙!K2)</f>
        <v>POSサーバー</v>
      </c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4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88" t="str">
        <f>IF(表紙!AP2="","",表紙!AP2)</f>
        <v>LoiLV</v>
      </c>
      <c r="AQ2" s="89"/>
      <c r="AR2" s="89"/>
      <c r="AS2" s="90"/>
      <c r="AT2" s="116">
        <f>IF(表紙!AT2="","",表紙!AT2)</f>
        <v>45469</v>
      </c>
      <c r="AU2" s="117"/>
      <c r="AV2" s="117"/>
      <c r="AW2" s="117"/>
      <c r="AX2" s="118"/>
      <c r="AY2" s="88" t="str">
        <f>IF(表紙!AY2="","",表紙!AY2)</f>
        <v>LoiLV</v>
      </c>
      <c r="AZ2" s="89"/>
      <c r="BA2" s="89"/>
      <c r="BB2" s="90"/>
      <c r="BC2" s="116">
        <f>IF(表紙!BC2="","",表紙!BC2)</f>
        <v>45469</v>
      </c>
      <c r="BD2" s="117"/>
      <c r="BE2" s="117"/>
      <c r="BF2" s="117"/>
      <c r="BG2" s="118"/>
      <c r="BH2" s="88">
        <f>IF(表紙!BH2="","",表紙!BH2)</f>
        <v>0.1</v>
      </c>
      <c r="BI2" s="89"/>
      <c r="BJ2" s="89"/>
      <c r="BK2" s="90"/>
    </row>
    <row r="3" spans="1:63" ht="1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7"/>
      <c r="K3" s="155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7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91"/>
      <c r="AQ3" s="92"/>
      <c r="AR3" s="92"/>
      <c r="AS3" s="93"/>
      <c r="AT3" s="119"/>
      <c r="AU3" s="120"/>
      <c r="AV3" s="120"/>
      <c r="AW3" s="120"/>
      <c r="AX3" s="121"/>
      <c r="AY3" s="91"/>
      <c r="AZ3" s="92"/>
      <c r="BA3" s="92"/>
      <c r="BB3" s="93"/>
      <c r="BC3" s="119"/>
      <c r="BD3" s="120"/>
      <c r="BE3" s="120"/>
      <c r="BF3" s="120"/>
      <c r="BG3" s="121"/>
      <c r="BH3" s="91"/>
      <c r="BI3" s="92"/>
      <c r="BJ3" s="92"/>
      <c r="BK3" s="93"/>
    </row>
    <row r="4" spans="1:63" ht="24.95" customHeight="1" x14ac:dyDescent="0.25">
      <c r="A4" s="145" t="s">
        <v>144</v>
      </c>
      <c r="B4" s="146"/>
      <c r="C4" s="146"/>
      <c r="D4" s="146"/>
      <c r="E4" s="146"/>
      <c r="F4" s="146"/>
      <c r="G4" s="147"/>
      <c r="H4" s="148" t="str">
        <f>IF(表紙!H4="","",表紙!H4)</f>
        <v>AP6603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45" t="s">
        <v>145</v>
      </c>
      <c r="V4" s="146"/>
      <c r="W4" s="146"/>
      <c r="X4" s="146"/>
      <c r="Y4" s="147"/>
      <c r="Z4" s="148" t="str">
        <f>IF(表紙!Z4="","",表紙!Z4)</f>
        <v>API設計書</v>
      </c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50"/>
      <c r="AP4" s="151" t="str">
        <f ca="1">MID(CELL("filename",A1),FIND("]",CELL("filename",A1))+1,255)</f>
        <v>テンプレート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5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5" customFormat="1" ht="15" customHeight="1" x14ac:dyDescent="0.25">
      <c r="BK7" s="74"/>
    </row>
    <row r="8" spans="1:63" s="75" customFormat="1" ht="15" customHeight="1" x14ac:dyDescent="0.25">
      <c r="BK8" s="74"/>
    </row>
    <row r="9" spans="1:63" s="75" customFormat="1" ht="15" customHeight="1" x14ac:dyDescent="0.25">
      <c r="BK9" s="74"/>
    </row>
    <row r="10" spans="1:63" s="75" customFormat="1" ht="15" customHeight="1" x14ac:dyDescent="0.25">
      <c r="BK10" s="74"/>
    </row>
    <row r="11" spans="1:63" s="75" customFormat="1" ht="15" customHeight="1" x14ac:dyDescent="0.25">
      <c r="BK11" s="74"/>
    </row>
    <row r="12" spans="1:63" s="75" customFormat="1" ht="15" customHeight="1" x14ac:dyDescent="0.25">
      <c r="BK12" s="74"/>
    </row>
    <row r="13" spans="1:63" s="75" customFormat="1" ht="15" customHeight="1" x14ac:dyDescent="0.25">
      <c r="BK13" s="74"/>
    </row>
    <row r="14" spans="1:63" s="75" customFormat="1" ht="15" customHeight="1" x14ac:dyDescent="0.25">
      <c r="BK14" s="74"/>
    </row>
    <row r="15" spans="1:63" s="75" customFormat="1" ht="15" customHeight="1" x14ac:dyDescent="0.25">
      <c r="BK15" s="74"/>
    </row>
    <row r="16" spans="1:63" s="75" customFormat="1" ht="15" customHeight="1" x14ac:dyDescent="0.25">
      <c r="BK16" s="74"/>
    </row>
    <row r="17" spans="63:63" s="75" customFormat="1" ht="15" customHeight="1" x14ac:dyDescent="0.25">
      <c r="BK17" s="74"/>
    </row>
    <row r="18" spans="63:63" s="75" customFormat="1" ht="15" customHeight="1" x14ac:dyDescent="0.25">
      <c r="BK18" s="74"/>
    </row>
    <row r="19" spans="63:63" s="75" customFormat="1" ht="15" customHeight="1" x14ac:dyDescent="0.25">
      <c r="BK19" s="74"/>
    </row>
    <row r="20" spans="63:63" s="75" customFormat="1" ht="15" customHeight="1" x14ac:dyDescent="0.25">
      <c r="BK20" s="74"/>
    </row>
    <row r="21" spans="63:63" s="75" customFormat="1" ht="15" customHeight="1" x14ac:dyDescent="0.25">
      <c r="BK21" s="74"/>
    </row>
    <row r="22" spans="63:63" s="75" customFormat="1" ht="15" customHeight="1" x14ac:dyDescent="0.25">
      <c r="BK22" s="74"/>
    </row>
    <row r="23" spans="63:63" s="75" customFormat="1" ht="15" customHeight="1" x14ac:dyDescent="0.25">
      <c r="BK23" s="74"/>
    </row>
    <row r="24" spans="63:63" s="75" customFormat="1" ht="15" customHeight="1" x14ac:dyDescent="0.25">
      <c r="BK24" s="74"/>
    </row>
    <row r="25" spans="63:63" s="75" customFormat="1" ht="15" customHeight="1" x14ac:dyDescent="0.25">
      <c r="BK25" s="74"/>
    </row>
    <row r="26" spans="63:63" s="75" customFormat="1" ht="15" customHeight="1" x14ac:dyDescent="0.25">
      <c r="BK26" s="74"/>
    </row>
    <row r="27" spans="63:63" s="75" customFormat="1" ht="15" customHeight="1" x14ac:dyDescent="0.25">
      <c r="BK27" s="74"/>
    </row>
    <row r="28" spans="63:63" s="75" customFormat="1" ht="15" customHeight="1" x14ac:dyDescent="0.25">
      <c r="BK28" s="74"/>
    </row>
    <row r="29" spans="63:63" s="75" customFormat="1" ht="15" customHeight="1" x14ac:dyDescent="0.25">
      <c r="BK29" s="74"/>
    </row>
    <row r="30" spans="63:63" s="75" customFormat="1" ht="15" customHeight="1" x14ac:dyDescent="0.25">
      <c r="BK30" s="74"/>
    </row>
    <row r="31" spans="63:63" s="75" customFormat="1" ht="15" customHeight="1" x14ac:dyDescent="0.25">
      <c r="BK31" s="74"/>
    </row>
    <row r="32" spans="63:63" s="75" customFormat="1" ht="15" customHeight="1" x14ac:dyDescent="0.25">
      <c r="BK32" s="74"/>
    </row>
    <row r="33" spans="63:63" s="75" customFormat="1" ht="15" customHeight="1" x14ac:dyDescent="0.25">
      <c r="BK33" s="74"/>
    </row>
    <row r="34" spans="63:63" s="75" customFormat="1" ht="15" customHeight="1" x14ac:dyDescent="0.25">
      <c r="BK34" s="74"/>
    </row>
    <row r="35" spans="63:63" s="75" customFormat="1" ht="15" customHeight="1" x14ac:dyDescent="0.25">
      <c r="BK35" s="74"/>
    </row>
    <row r="36" spans="63:63" s="75" customFormat="1" ht="15" customHeight="1" x14ac:dyDescent="0.25">
      <c r="BK36" s="74"/>
    </row>
    <row r="37" spans="63:63" s="75" customFormat="1" ht="15" customHeight="1" x14ac:dyDescent="0.25">
      <c r="BK37" s="74"/>
    </row>
    <row r="38" spans="63:63" s="75" customFormat="1" ht="15" customHeight="1" x14ac:dyDescent="0.25">
      <c r="BK38" s="74"/>
    </row>
    <row r="39" spans="63:63" s="75" customFormat="1" ht="15" customHeight="1" x14ac:dyDescent="0.25">
      <c r="BK39" s="74"/>
    </row>
    <row r="40" spans="63:63" s="75" customFormat="1" ht="15" customHeight="1" x14ac:dyDescent="0.25">
      <c r="BK40" s="74"/>
    </row>
    <row r="41" spans="63:63" s="75" customFormat="1" ht="15" customHeight="1" x14ac:dyDescent="0.25">
      <c r="BK41" s="74"/>
    </row>
    <row r="42" spans="63:63" s="75" customFormat="1" ht="15" customHeight="1" x14ac:dyDescent="0.25">
      <c r="BK42" s="74"/>
    </row>
    <row r="43" spans="63:63" s="75" customFormat="1" ht="15" customHeight="1" x14ac:dyDescent="0.25">
      <c r="BK43" s="74"/>
    </row>
    <row r="44" spans="63:63" s="75" customFormat="1" ht="15" customHeight="1" x14ac:dyDescent="0.25">
      <c r="BK44" s="74"/>
    </row>
    <row r="45" spans="63:63" s="75" customFormat="1" ht="15" customHeight="1" x14ac:dyDescent="0.25">
      <c r="BK45" s="74"/>
    </row>
    <row r="46" spans="63:63" s="75" customFormat="1" ht="15" customHeight="1" x14ac:dyDescent="0.25">
      <c r="BK46" s="7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AP6603</vt:lpstr>
      <vt:lpstr>処理フロー</vt:lpstr>
      <vt:lpstr>テンプレート</vt:lpstr>
      <vt:lpstr>'AP6603'!Print_Area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2024-07-11T08:46:40Z</dcterms:modified>
  <cp:category/>
  <cp:contentStatus/>
</cp:coreProperties>
</file>