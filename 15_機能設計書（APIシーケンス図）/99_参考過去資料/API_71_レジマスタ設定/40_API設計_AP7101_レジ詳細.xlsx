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os system\40_API設計\API_71_レジマスタ設定\"/>
    </mc:Choice>
  </mc:AlternateContent>
  <xr:revisionPtr revIDLastSave="0" documentId="13_ncr:1_{34EA5E35-4026-48F5-9759-2A994C04C18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7101" sheetId="8" r:id="rId4"/>
    <sheet name="処理フロー" sheetId="9" r:id="rId5"/>
    <sheet name="テンプレート" sheetId="7" r:id="rId6"/>
  </sheets>
  <definedNames>
    <definedName name="_xlnm.Print_Area" localSheetId="3">'AP7101'!$A$1:$BK$108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T2" i="3" l="1"/>
  <c r="AT2" i="10"/>
  <c r="AY2" i="8"/>
  <c r="BC2" i="9"/>
  <c r="AP2" i="7"/>
  <c r="BH2" i="7"/>
  <c r="BH2" i="3"/>
  <c r="AY2" i="3"/>
  <c r="AY2" i="10"/>
  <c r="BC2" i="8"/>
  <c r="AP2" i="9"/>
  <c r="BH2" i="9"/>
  <c r="AT2" i="7"/>
  <c r="BC2" i="3"/>
  <c r="BC2" i="10"/>
  <c r="AP2" i="8"/>
  <c r="BH2" i="8"/>
  <c r="AT2" i="9"/>
  <c r="AY2" i="7"/>
</calcChain>
</file>

<file path=xl/sharedStrings.xml><?xml version="1.0" encoding="utf-8"?>
<sst xmlns="http://schemas.openxmlformats.org/spreadsheetml/2006/main" count="290" uniqueCount="182">
  <si>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</si>
  <si>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</si>
  <si>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</si>
  <si>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</si>
  <si>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</si>
  <si>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</si>
  <si>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</si>
  <si>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</si>
  <si>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</si>
  <si>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</si>
  <si>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</si>
  <si>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</si>
  <si>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</si>
  <si>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</si>
  <si>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</si>
  <si>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</si>
  <si>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</si>
  <si>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</si>
  <si>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</si>
  <si>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</si>
  <si>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AP7101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</si>
  <si>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</si>
  <si>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レジ詳細情報を取得する。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</si>
  <si>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</si>
  <si>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</si>
  <si>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</si>
  <si>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</si>
  <si>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StoreMaster.Name</t>
    </r>
  </si>
  <si>
    <r>
      <rPr>
        <sz val="11"/>
        <color rgb="FF000000"/>
        <rFont val="Meiryo UI"/>
        <family val="2"/>
      </rPr>
      <t>store_name</t>
    </r>
  </si>
  <si>
    <r>
      <rPr>
        <sz val="11"/>
        <color rgb="FF000000"/>
        <rFont val="Meiryo UI"/>
        <family val="2"/>
      </rPr>
      <t>StoreMaster.Code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</si>
  <si>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</si>
  <si>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CashRegisterMaster.Code</t>
    </r>
  </si>
  <si>
    <r>
      <rPr>
        <sz val="11"/>
        <color rgb="FF000000"/>
        <rFont val="Meiryo UI"/>
        <family val="2"/>
      </rPr>
      <t>type_code</t>
    </r>
  </si>
  <si>
    <r>
      <rPr>
        <sz val="11"/>
        <color rgb="FF000000"/>
        <rFont val="Meiryo UI"/>
        <family val="2"/>
      </rPr>
      <t>CashRegisterMaster.TypeCode</t>
    </r>
  </si>
  <si>
    <r>
      <rPr>
        <sz val="11"/>
        <color rgb="FF000000"/>
        <rFont val="Meiryo UI"/>
        <family val="2"/>
      </rPr>
      <t>レジ種別</t>
    </r>
  </si>
  <si>
    <r>
      <rPr>
        <sz val="11"/>
        <color rgb="FF000000"/>
        <rFont val="Meiryo UI"/>
        <family val="2"/>
      </rPr>
      <t>type_node</t>
    </r>
  </si>
  <si>
    <r>
      <rPr>
        <sz val="11"/>
        <color rgb="FF000000"/>
        <rFont val="Meiryo UI"/>
        <family val="2"/>
      </rPr>
      <t>CashRegisterMaster.TypeNode</t>
    </r>
  </si>
  <si>
    <r>
      <rPr>
        <sz val="11"/>
        <color rgb="FF000000"/>
        <rFont val="Meiryo UI"/>
        <family val="2"/>
      </rPr>
      <t>ノード種別</t>
    </r>
  </si>
  <si>
    <r>
      <rPr>
        <sz val="11"/>
        <color rgb="FF000000"/>
        <rFont val="Meiryo UI"/>
        <family val="2"/>
      </rPr>
      <t>button_layout_code</t>
    </r>
  </si>
  <si>
    <r>
      <rPr>
        <sz val="11"/>
        <color rgb="FF000000"/>
        <rFont val="Meiryo UI"/>
        <family val="2"/>
      </rPr>
      <t>CashRegisterMaster.ButtonLayoutCode</t>
    </r>
  </si>
  <si>
    <r>
      <rPr>
        <sz val="11"/>
        <color rgb="FF000000"/>
        <rFont val="Meiryo UI"/>
        <family val="2"/>
      </rPr>
      <t>プリセットレイアウトコード</t>
    </r>
  </si>
  <si>
    <r>
      <rPr>
        <sz val="11"/>
        <color rgb="FF000000"/>
        <rFont val="Meiryo UI"/>
        <family val="2"/>
      </rPr>
      <t>keyboard_layout_code</t>
    </r>
  </si>
  <si>
    <r>
      <rPr>
        <sz val="11"/>
        <color rgb="FF000000"/>
        <rFont val="Meiryo UI"/>
        <family val="2"/>
      </rPr>
      <t>CashRegisterMaster.KeyboardLayoutCode</t>
    </r>
  </si>
  <si>
    <r>
      <rPr>
        <sz val="11"/>
        <color rgb="FF000000"/>
        <rFont val="Meiryo UI"/>
        <family val="2"/>
      </rPr>
      <t>キーボードレイアウトコード</t>
    </r>
  </si>
  <si>
    <r>
      <rPr>
        <sz val="11"/>
        <color rgb="FF000000"/>
        <rFont val="Meiryo UI"/>
        <family val="2"/>
      </rPr>
      <t>function_layout_code</t>
    </r>
  </si>
  <si>
    <r>
      <rPr>
        <sz val="11"/>
        <color rgb="FF000000"/>
        <rFont val="Meiryo UI"/>
        <family val="2"/>
      </rPr>
      <t>CashRegisterMaster.FunctionLayoutCode</t>
    </r>
  </si>
  <si>
    <r>
      <rPr>
        <sz val="11"/>
        <color rgb="FF000000"/>
        <rFont val="Meiryo UI"/>
        <family val="2"/>
      </rPr>
      <t>ファンクションレイアウトコード</t>
    </r>
  </si>
  <si>
    <r>
      <rPr>
        <sz val="11"/>
        <color rgb="FF000000"/>
        <rFont val="Meiryo UI"/>
        <family val="2"/>
      </rPr>
      <t>receipt_message_code</t>
    </r>
  </si>
  <si>
    <r>
      <rPr>
        <sz val="11"/>
        <color rgb="FF000000"/>
        <rFont val="Meiryo UI"/>
        <family val="2"/>
      </rPr>
      <t>CashRegisterMaster.ReceiptMessageCode</t>
    </r>
  </si>
  <si>
    <r>
      <rPr>
        <sz val="11"/>
        <color rgb="FF000000"/>
        <rFont val="Meiryo UI"/>
        <family val="2"/>
      </rPr>
      <t>レシートメッセージコード</t>
    </r>
  </si>
  <si>
    <r>
      <rPr>
        <sz val="11"/>
        <color rgb="FF000000"/>
        <rFont val="Meiryo UI"/>
        <family val="2"/>
      </rPr>
      <t>ip_address</t>
    </r>
  </si>
  <si>
    <r>
      <rPr>
        <sz val="11"/>
        <color rgb="FF000000"/>
        <rFont val="Meiryo UI"/>
        <family val="2"/>
      </rPr>
      <t>CashRegisterMaster.IpAddress</t>
    </r>
  </si>
  <si>
    <r>
      <rPr>
        <sz val="11"/>
        <color rgb="FF000000"/>
        <rFont val="Meiryo UI"/>
        <family val="2"/>
      </rPr>
      <t>IPアドレス</t>
    </r>
  </si>
  <si>
    <r>
      <rPr>
        <sz val="11"/>
        <color rgb="FF000000"/>
        <rFont val="Meiryo UI"/>
        <family val="2"/>
      </rPr>
      <t>mac_address</t>
    </r>
  </si>
  <si>
    <r>
      <rPr>
        <sz val="11"/>
        <color rgb="FF000000"/>
        <rFont val="Meiryo UI"/>
        <family val="2"/>
      </rPr>
      <t>MACアドレス</t>
    </r>
  </si>
  <si>
    <r>
      <rPr>
        <sz val="11"/>
        <color rgb="FF000000"/>
        <rFont val="Meiryo UI"/>
        <family val="2"/>
      </rPr>
      <t>start_up_time</t>
    </r>
  </si>
  <si>
    <r>
      <rPr>
        <sz val="11"/>
        <color rgb="FF000000"/>
        <rFont val="Meiryo UI"/>
        <family val="2"/>
      </rPr>
      <t>Time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</si>
  <si>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</si>
  <si>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朝割除外</t>
    </r>
  </si>
  <si>
    <r>
      <rPr>
        <sz val="11"/>
        <color rgb="FF000000"/>
        <rFont val="Meiryo UI"/>
        <family val="2"/>
      </rPr>
      <t>メガ割除外</t>
    </r>
  </si>
  <si>
    <r>
      <rPr>
        <sz val="11"/>
        <color rgb="FF000000"/>
        <rFont val="Meiryo UI"/>
        <family val="2"/>
      </rPr>
      <t>客数集計除外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</si>
  <si>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</si>
  <si>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{</t>
  </si>
  <si>
    <r>
      <rPr>
        <sz val="11"/>
        <color rgb="FF000000"/>
        <rFont val="Meiryo UI"/>
        <family val="2"/>
      </rPr>
      <t>morning_discount_excluded</t>
    </r>
  </si>
  <si>
    <r>
      <rPr>
        <sz val="11"/>
        <color rgb="FF000000"/>
        <rFont val="Meiryo UI"/>
        <family val="2"/>
      </rPr>
      <t>mega_discount_excluded</t>
    </r>
  </si>
  <si>
    <r>
      <rPr>
        <sz val="11"/>
        <color rgb="FF000000"/>
        <rFont val="Meiryo UI"/>
        <family val="2"/>
      </rPr>
      <t>customer_count_excluded</t>
    </r>
  </si>
  <si>
    <r>
      <rPr>
        <sz val="11"/>
        <color rgb="FF000000"/>
        <rFont val="Meiryo UI"/>
        <family val="2"/>
      </rPr>
      <t>pos_model</t>
    </r>
  </si>
  <si>
    <r>
      <rPr>
        <sz val="11"/>
        <color rgb="FF000000"/>
        <rFont val="Meiryo UI"/>
        <family val="2"/>
      </rPr>
      <t>POS機種</t>
    </r>
  </si>
  <si>
    <r>
      <rPr>
        <sz val="11"/>
        <color rgb="FF000000"/>
        <rFont val="Meiryo UI"/>
        <family val="2"/>
      </rPr>
      <t>cash_machine_model</t>
    </r>
  </si>
  <si>
    <r>
      <rPr>
        <sz val="11"/>
        <color rgb="FF000000"/>
        <rFont val="Meiryo UI"/>
        <family val="2"/>
      </rPr>
      <t>scanner_model</t>
    </r>
  </si>
  <si>
    <r>
      <rPr>
        <sz val="11"/>
        <color rgb="FF000000"/>
        <rFont val="Meiryo UI"/>
        <family val="2"/>
      </rPr>
      <t>スキャンナ機種</t>
    </r>
  </si>
  <si>
    <r>
      <rPr>
        <sz val="11"/>
        <color rgb="FF000000"/>
        <rFont val="Meiryo UI"/>
        <family val="2"/>
      </rPr>
      <t>釣銭機機種</t>
    </r>
  </si>
  <si>
    <r>
      <rPr>
        <sz val="11"/>
        <color rgb="FF000000"/>
        <rFont val="Meiryo UI"/>
        <family val="2"/>
      </rPr>
      <t>updated_date</t>
    </r>
  </si>
  <si>
    <r>
      <rPr>
        <sz val="11"/>
        <color rgb="FF000000"/>
        <rFont val="Meiryo UI"/>
        <family val="2"/>
      </rPr>
      <t>updated_employee</t>
    </r>
  </si>
  <si>
    <r>
      <rPr>
        <sz val="11"/>
        <color rgb="FF000000"/>
        <rFont val="Meiryo UI"/>
        <family val="2"/>
      </rPr>
      <t>note_1</t>
    </r>
  </si>
  <si>
    <r>
      <rPr>
        <sz val="11"/>
        <color rgb="FF000000"/>
        <rFont val="Meiryo UI"/>
        <family val="2"/>
      </rPr>
      <t>note_2</t>
    </r>
  </si>
  <si>
    <r>
      <rPr>
        <sz val="11"/>
        <color rgb="FF000000"/>
        <rFont val="Meiryo UI"/>
        <family val="2"/>
      </rPr>
      <t>note_3</t>
    </r>
  </si>
  <si>
    <r>
      <rPr>
        <sz val="11"/>
        <color rgb="FF000000"/>
        <rFont val="Meiryo UI"/>
        <family val="2"/>
      </rPr>
      <t>Date</t>
    </r>
  </si>
  <si>
    <r>
      <rPr>
        <sz val="11"/>
        <color rgb="FF000000"/>
        <rFont val="Meiryo UI"/>
        <family val="2"/>
      </rPr>
      <t>起動時間</t>
    </r>
  </si>
  <si>
    <r>
      <rPr>
        <sz val="11"/>
        <color rgb="FF000000"/>
        <rFont val="Meiryo UI"/>
        <family val="2"/>
      </rPr>
      <t>CashRegisterMaster.Note1</t>
    </r>
  </si>
  <si>
    <r>
      <rPr>
        <sz val="11"/>
        <color rgb="FF000000"/>
        <rFont val="Meiryo UI"/>
        <family val="2"/>
      </rPr>
      <t>CashRegisterMaster.Note2</t>
    </r>
  </si>
  <si>
    <r>
      <rPr>
        <sz val="11"/>
        <color rgb="FF000000"/>
        <rFont val="Meiryo UI"/>
        <family val="2"/>
      </rPr>
      <t>CashRegisterMaster.Note3</t>
    </r>
  </si>
  <si>
    <t>}</t>
  </si>
  <si>
    <r>
      <rPr>
        <sz val="11"/>
        <color rgb="FF000000"/>
        <rFont val="Meiryo UI"/>
        <family val="2"/>
      </rPr>
      <t>api/v1/cash-registers/{code}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</si>
  <si>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</si>
  <si>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</si>
  <si>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</si>
  <si>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</si>
  <si>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</si>
  <si>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</si>
  <si>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</si>
  <si>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</si>
  <si>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</si>
  <si>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</si>
  <si>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</si>
  <si>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</si>
  <si>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</si>
  <si>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</si>
  <si>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</si>
  <si>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</si>
  <si>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</si>
  <si>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</si>
  <si>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</si>
  <si>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</si>
  <si>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</si>
  <si>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</si>
  <si>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</si>
  <si>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</si>
  <si>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</si>
  <si>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</si>
  <si>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フォーマット："Bearer {api_key}"</t>
    </r>
  </si>
  <si>
    <t>2.3 Query Parameter/ path parameter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</si>
  <si>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</si>
  <si>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</si>
  <si>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</si>
  <si>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</si>
  <si>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</si>
  <si>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</si>
  <si>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Users.Name</t>
  </si>
  <si>
    <t>レジコード</t>
  </si>
  <si>
    <t>store_code</t>
  </si>
  <si>
    <t>String</t>
  </si>
  <si>
    <t>店舗コード</t>
  </si>
  <si>
    <t>code</t>
  </si>
  <si>
    <t>シート：AP7101、処理フロー</t>
  </si>
  <si>
    <t>record_id</t>
  </si>
  <si>
    <t>BigInt</t>
  </si>
  <si>
    <t>レスポンスにrecord_idを追加する。
リクエストにstore_codeを追加し、更新者情報と店舗情報の取得処理を補足する。</t>
  </si>
  <si>
    <t>CashRegisterMaster.RECORD_ID</t>
  </si>
  <si>
    <t>CashRegisterMaster.MacAddress</t>
  </si>
  <si>
    <t>CashRegisterMaster.StartupTime</t>
  </si>
  <si>
    <t>CashRegisterMaster.MorningDiscount</t>
  </si>
  <si>
    <t xml:space="preserve">CashRegisterMaster.MegaDiscount </t>
  </si>
  <si>
    <t>CashRegisterMaster.CustomerDiscount</t>
  </si>
  <si>
    <t>CashRegisterMaster.PosModel</t>
  </si>
  <si>
    <t>CashRegisterMaster.CashMachineModel</t>
  </si>
  <si>
    <t>CashRegisterMaster.ScannerModel</t>
  </si>
  <si>
    <t>CashRegisterMaster.RECORD_UPDATE_DATE</t>
  </si>
  <si>
    <t>AP7101</t>
  </si>
  <si>
    <t>tenant_hierarchy_code</t>
  </si>
  <si>
    <t>tenant_hierarchy_codeを追加する。</t>
  </si>
  <si>
    <t>CashRegisterMaster.TenantHierachyCode</t>
  </si>
  <si>
    <t>テナントレジ部門コード</t>
  </si>
  <si>
    <t>"tenant_hierarchy_code": null,</t>
  </si>
  <si>
    <t>name、payment_type_codeを削除する。</t>
  </si>
  <si>
    <t>"store_code": "0002",</t>
  </si>
  <si>
    <t>"store_name": "並木",</t>
  </si>
  <si>
    <t>"code": 301,</t>
  </si>
  <si>
    <t>"type_code": "01",</t>
  </si>
  <si>
    <t>"type_node": "02",</t>
  </si>
  <si>
    <t>"button_layout_code": "01",</t>
  </si>
  <si>
    <t>"keyboard_layout_code": "01",</t>
  </si>
  <si>
    <t>"function_layout_code": "01",</t>
  </si>
  <si>
    <t>"receipt_message_code": "01",</t>
  </si>
  <si>
    <t>"ip_address": "10.3.10.111",</t>
  </si>
  <si>
    <t>"mac_address": "F4:B5:20:1F:A0:F2"</t>
  </si>
  <si>
    <t>"payment_type_code": "01",</t>
  </si>
  <si>
    <t>"start_up_time": "05:10",</t>
  </si>
  <si>
    <t>"morning_discount_excluded": false,</t>
  </si>
  <si>
    <t>"mega_discount_excluded": false,</t>
  </si>
  <si>
    <t>"customer_count_excluded": false,</t>
  </si>
  <si>
    <t>"pos_model": "01",</t>
  </si>
  <si>
    <t>"cash_machine_model": "ECS777",</t>
  </si>
  <si>
    <t>"scanner_model": "CTS-257",</t>
  </si>
  <si>
    <t>"update_date": "2024/07/19",</t>
  </si>
  <si>
    <t>"update_employee": "ozaka",</t>
  </si>
  <si>
    <t>"note_1": null,</t>
  </si>
  <si>
    <t>"note_2": null,</t>
  </si>
  <si>
    <t>"note_3": null</t>
  </si>
  <si>
    <t>TinNH</t>
  </si>
  <si>
    <t>16-1</t>
  </si>
  <si>
    <t>rate_customer_excluded</t>
  </si>
  <si>
    <t>Boolean</t>
  </si>
  <si>
    <t>CashRegisterMaster.RateCustomerExcluded</t>
  </si>
  <si>
    <t>16-2</t>
  </si>
  <si>
    <t>attendant_monitor_excluded</t>
  </si>
  <si>
    <t>CashRegisterMaster.AttendantMonitorExclude</t>
  </si>
  <si>
    <t>"rate_customer_excluded":false,</t>
  </si>
  <si>
    <t>"attendant_monitor_excluded":false,</t>
  </si>
  <si>
    <t>構成比除外</t>
  </si>
  <si>
    <t>380アテンダントモニタ除外</t>
  </si>
  <si>
    <t>以下の項目を追加する。
・380アテンダントモニタ除外
・構成比除外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</si>
</sst>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3"/>
      <charset val="128"/>
    </font>
    <font>
      <sz val="11"/>
      <color rgb="FF0000FF"/>
      <name val="Meiryo UI"/>
      <family val="2"/>
    </font>
    <font>
      <sz val="11"/>
      <color theme="1"/>
      <name val="Meiryo UI"/>
      <family val="3"/>
      <charset val="128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69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17" fillId="0" borderId="0" xfId="0" applyFont="1"/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1" xfId="0" applyFont="1" applyBorder="1" applyAlignment="1">
      <alignment horizontal="left" vertical="center" indent="2"/>
    </xf>
    <xf numFmtId="0" fontId="17" fillId="3" borderId="0" xfId="0" applyFont="1" applyFill="1" applyAlignment="1">
      <alignment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applyFont="1"/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vertical="center"/>
    </xf>
    <xf numFmtId="0" fontId="21" fillId="3" borderId="0" xfId="0" applyFont="1" applyFill="1" applyAlignment="1">
      <alignment vertical="center"/>
    </xf>
    <xf numFmtId="0" fontId="3" fillId="0" borderId="1" xfId="0" applyFont="1" applyBorder="1" applyAlignment="1">
      <alignment horizontal="left" vertical="center" indent="2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4" xfId="0" applyFont="1" applyBorder="1" applyAlignment="1">
      <alignment vertical="center"/>
    </xf>
    <xf numFmtId="0" fontId="23" fillId="3" borderId="0" xfId="0" applyFont="1" applyFill="1" applyAlignment="1">
      <alignment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13" fillId="4" borderId="0" xfId="0" applyFont="1" applyFill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2" fillId="0" borderId="29" xfId="0" applyFont="1" applyBorder="1" applyAlignment="1">
      <alignment vertical="top" wrapText="1"/>
    </xf>
    <xf numFmtId="0" fontId="22" fillId="0" borderId="30" xfId="0" applyFont="1" applyBorder="1" applyAlignment="1">
      <alignment vertical="top"/>
    </xf>
    <xf numFmtId="0" fontId="22" fillId="0" borderId="31" xfId="0" applyFont="1" applyBorder="1" applyAlignment="1">
      <alignment vertical="top"/>
    </xf>
    <xf numFmtId="14" fontId="22" fillId="0" borderId="16" xfId="0" applyNumberFormat="1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26" xfId="0" applyFont="1" applyBorder="1"/>
    <xf numFmtId="0" fontId="22" fillId="0" borderId="27" xfId="0" applyFont="1" applyBorder="1"/>
    <xf numFmtId="0" fontId="22" fillId="0" borderId="28" xfId="0" applyFont="1" applyBorder="1"/>
    <xf numFmtId="0" fontId="22" fillId="0" borderId="29" xfId="0" applyFont="1" applyBorder="1"/>
    <xf numFmtId="0" fontId="22" fillId="0" borderId="30" xfId="0" applyFont="1" applyBorder="1"/>
    <xf numFmtId="0" fontId="22" fillId="0" borderId="31" xfId="0" applyFont="1" applyBorder="1"/>
    <xf numFmtId="0" fontId="16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quotePrefix="1" applyFont="1" applyBorder="1" applyAlignment="1">
      <alignment horizontal="center" vertical="center"/>
    </xf>
    <xf numFmtId="0" fontId="3" fillId="0" borderId="25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20" fillId="0" borderId="29" xfId="0" applyFont="1" applyBorder="1" applyAlignment="1">
      <alignment vertical="top" wrapText="1"/>
    </xf>
    <xf numFmtId="0" fontId="20" fillId="0" borderId="30" xfId="0" applyFont="1" applyBorder="1" applyAlignment="1">
      <alignment vertical="top" wrapText="1"/>
    </xf>
    <xf numFmtId="0" fontId="20" fillId="0" borderId="31" xfId="0" applyFont="1" applyBorder="1" applyAlignment="1">
      <alignment vertical="top" wrapText="1"/>
    </xf>
    <xf numFmtId="0" fontId="21" fillId="0" borderId="1" xfId="0" applyFont="1" applyBorder="1" applyAlignment="1">
      <alignment horizontal="left" vertical="center" indent="2"/>
    </xf>
    <xf numFmtId="0" fontId="21" fillId="0" borderId="4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3" xfId="0" applyFont="1" applyBorder="1" applyAlignment="1">
      <alignment vertical="center"/>
    </xf>
    <xf numFmtId="0" fontId="21" fillId="0" borderId="24" xfId="0" applyFont="1" applyBorder="1" applyAlignment="1">
      <alignment vertical="center"/>
    </xf>
    <xf numFmtId="0" fontId="21" fillId="0" borderId="25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8</xdr:col>
      <xdr:colOff>0</xdr:colOff>
      <xdr:row>9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638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12</xdr:row>
      <xdr:rowOff>11206</xdr:rowOff>
    </xdr:from>
    <xdr:to>
      <xdr:col>9</xdr:col>
      <xdr:colOff>0</xdr:colOff>
      <xdr:row>16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24098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対象レジ情報詳細を取得する。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9</xdr:row>
      <xdr:rowOff>179294</xdr:rowOff>
    </xdr:from>
    <xdr:to>
      <xdr:col>6</xdr:col>
      <xdr:colOff>1</xdr:colOff>
      <xdr:row>12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4" idx="0"/>
        </xdr:cNvCxnSpPr>
      </xdr:nvCxnSpPr>
      <xdr:spPr>
        <a:xfrm>
          <a:off x="1600200" y="2009775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10</xdr:row>
      <xdr:rowOff>179293</xdr:rowOff>
    </xdr:from>
    <xdr:to>
      <xdr:col>62</xdr:col>
      <xdr:colOff>0</xdr:colOff>
      <xdr:row>18</xdr:row>
      <xdr:rowOff>0</xdr:rowOff>
    </xdr:to>
    <xdr:sp macro="" textlink="" fLocksText="0">
      <xdr:nvSpPr>
        <xdr:cNvPr id="6" name="吹き出し: 線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8236324" y="2196352"/>
          <a:ext cx="6353735" cy="1344707"/>
        </a:xfrm>
        <a:prstGeom prst="borderCallout1">
          <a:avLst>
            <a:gd name="adj1" fmla="val 51887"/>
            <a:gd name="adj2" fmla="val 470"/>
            <a:gd name="adj3" fmla="val 40720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以下の条件を満たすCashRegisterMasterテーブルのレコードを取得する。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▪INNER JOIN StoreMaster ON StoreMaster.Code = CashRegisterMaster.StoreCode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▪INNER JOIN Users ON Users.Id = CashRegisterMaster.UserUpdate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▪CashRegisterMaster.CompanyCode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▪CashRegisterMaster.StoreCode = params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▪CashRegisterMaster.Code = params {code}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8</xdr:col>
      <xdr:colOff>0</xdr:colOff>
      <xdr:row>32</xdr:row>
      <xdr:rowOff>190499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066800" y="6019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20</xdr:row>
      <xdr:rowOff>0</xdr:rowOff>
    </xdr:from>
    <xdr:to>
      <xdr:col>9</xdr:col>
      <xdr:colOff>0</xdr:colOff>
      <xdr:row>24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924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179294</xdr:rowOff>
    </xdr:from>
    <xdr:to>
      <xdr:col>7</xdr:col>
      <xdr:colOff>0</xdr:colOff>
      <xdr:row>25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4867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179294</xdr:rowOff>
    </xdr:from>
    <xdr:to>
      <xdr:col>11</xdr:col>
      <xdr:colOff>0</xdr:colOff>
      <xdr:row>22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295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22</xdr:row>
      <xdr:rowOff>84044</xdr:rowOff>
    </xdr:from>
    <xdr:to>
      <xdr:col>11</xdr:col>
      <xdr:colOff>0</xdr:colOff>
      <xdr:row>31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7" idx="0"/>
        </xdr:cNvCxnSpPr>
      </xdr:nvCxnSpPr>
      <xdr:spPr>
        <a:xfrm flipH="1">
          <a:off x="1600200" y="43910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16</xdr:row>
      <xdr:rowOff>0</xdr:rowOff>
    </xdr:from>
    <xdr:to>
      <xdr:col>6</xdr:col>
      <xdr:colOff>1</xdr:colOff>
      <xdr:row>20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endCxn id="8" idx="0"/>
        </xdr:cNvCxnSpPr>
      </xdr:nvCxnSpPr>
      <xdr:spPr>
        <a:xfrm>
          <a:off x="1600200" y="3162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179294</xdr:rowOff>
    </xdr:from>
    <xdr:to>
      <xdr:col>6</xdr:col>
      <xdr:colOff>1</xdr:colOff>
      <xdr:row>31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9" idx="2"/>
          <a:endCxn id="7" idx="0"/>
        </xdr:cNvCxnSpPr>
      </xdr:nvCxnSpPr>
      <xdr:spPr>
        <a:xfrm flipH="1">
          <a:off x="1600200" y="5057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</xdr:row>
      <xdr:rowOff>11206</xdr:rowOff>
    </xdr:from>
    <xdr:to>
      <xdr:col>61</xdr:col>
      <xdr:colOff>235323</xdr:colOff>
      <xdr:row>30</xdr:row>
      <xdr:rowOff>11206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9334500" y="4124325"/>
          <a:ext cx="7172325" cy="1714500"/>
        </a:xfrm>
        <a:prstGeom prst="borderCallout1">
          <a:avLst>
            <a:gd name="adj1" fmla="val 51887"/>
            <a:gd name="adj2" fmla="val 470"/>
            <a:gd name="adj3" fmla="val 21196"/>
            <a:gd name="adj4" fmla="val -10147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レコードが存在している場合、以下のレスポンスが正常に返される。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ボディ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で記載される。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404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 code = 90010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・message = MSG_ERR_001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103" t="s">
        <v>84</v>
      </c>
      <c r="B1" s="104"/>
      <c r="C1" s="104"/>
      <c r="D1" s="104"/>
      <c r="E1" s="104"/>
      <c r="F1" s="104"/>
      <c r="G1" s="104"/>
      <c r="H1" s="104"/>
      <c r="I1" s="104"/>
      <c r="J1" s="105"/>
      <c r="K1" s="103" t="s">
        <v>85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5"/>
      <c r="W1" s="125" t="s">
        <v>86</v>
      </c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7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124" t="s">
        <v>92</v>
      </c>
      <c r="B2" s="89"/>
      <c r="C2" s="89"/>
      <c r="D2" s="89"/>
      <c r="E2" s="89"/>
      <c r="F2" s="89"/>
      <c r="G2" s="89"/>
      <c r="H2" s="89"/>
      <c r="I2" s="89"/>
      <c r="J2" s="90"/>
      <c r="K2" s="88" t="s">
        <v>1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128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30"/>
      <c r="AP2" s="88" t="str">
        <f>改訂履歴!$H$11</f>
        <v>DuNT</v>
      </c>
      <c r="AQ2" s="89"/>
      <c r="AR2" s="89"/>
      <c r="AS2" s="90"/>
      <c r="AT2" s="118">
        <f>改訂履歴!$B$11</f>
        <v>45490</v>
      </c>
      <c r="AU2" s="119"/>
      <c r="AV2" s="119"/>
      <c r="AW2" s="119"/>
      <c r="AX2" s="120"/>
      <c r="AY2" s="88" t="str">
        <f>LOOKUP(2,1/(改訂履歴!H11:H30000&lt;&gt;""),改訂履歴!H11:H30000)</f>
        <v>TinNH</v>
      </c>
      <c r="AZ2" s="89"/>
      <c r="BA2" s="89"/>
      <c r="BB2" s="90"/>
      <c r="BC2" s="118">
        <f>LOOKUP(2,1/(改訂履歴!B11:B30000&lt;&gt;""),改訂履歴!B11:B30000)</f>
        <v>45596</v>
      </c>
      <c r="BD2" s="119"/>
      <c r="BE2" s="119"/>
      <c r="BF2" s="119"/>
      <c r="BG2" s="120"/>
      <c r="BH2" s="112">
        <f>LOOKUP(2,1/(改訂履歴!O11:O30000&lt;&gt;""),改訂履歴!O11:O30000)</f>
        <v>0.5</v>
      </c>
      <c r="BI2" s="113"/>
      <c r="BJ2" s="113"/>
      <c r="BK2" s="114"/>
    </row>
    <row r="3" spans="1:63" ht="15" customHeight="1" x14ac:dyDescent="0.25">
      <c r="A3" s="94"/>
      <c r="B3" s="95"/>
      <c r="C3" s="95"/>
      <c r="D3" s="95"/>
      <c r="E3" s="95"/>
      <c r="F3" s="95"/>
      <c r="G3" s="95"/>
      <c r="H3" s="95"/>
      <c r="I3" s="95"/>
      <c r="J3" s="96"/>
      <c r="K3" s="94"/>
      <c r="L3" s="95"/>
      <c r="M3" s="95"/>
      <c r="N3" s="95"/>
      <c r="O3" s="95"/>
      <c r="P3" s="95"/>
      <c r="Q3" s="95"/>
      <c r="R3" s="95"/>
      <c r="S3" s="95"/>
      <c r="T3" s="95"/>
      <c r="U3" s="95"/>
      <c r="V3" s="96"/>
      <c r="W3" s="131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3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115"/>
      <c r="BI3" s="116"/>
      <c r="BJ3" s="116"/>
      <c r="BK3" s="117"/>
    </row>
    <row r="4" spans="1:63" ht="24.95" customHeight="1" x14ac:dyDescent="0.25">
      <c r="A4" s="103" t="s">
        <v>93</v>
      </c>
      <c r="B4" s="104"/>
      <c r="C4" s="104"/>
      <c r="D4" s="104"/>
      <c r="E4" s="104"/>
      <c r="F4" s="104"/>
      <c r="G4" s="105"/>
      <c r="H4" s="108" t="s">
        <v>20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10"/>
      <c r="U4" s="103" t="s">
        <v>94</v>
      </c>
      <c r="V4" s="104"/>
      <c r="W4" s="104"/>
      <c r="X4" s="104"/>
      <c r="Y4" s="105"/>
      <c r="Z4" s="111" t="s">
        <v>95</v>
      </c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10"/>
      <c r="AP4" s="108" t="str">
        <f t="array" aca="1" ref="AP4" ca="1">RIGHT(CELL("filename",$A$1),LEN(CELL("filename",$A$1))-FIND("]",CELL("filename",$A$1)))</f>
        <v>表紙</v>
      </c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10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K10" s="47"/>
    </row>
    <row r="11" spans="1:63" ht="15" customHeight="1" x14ac:dyDescent="0.25">
      <c r="A11" s="46"/>
      <c r="BK11" s="47"/>
    </row>
    <row r="12" spans="1:63" ht="15" customHeight="1" x14ac:dyDescent="0.25">
      <c r="A12" s="46"/>
      <c r="BK12" s="47"/>
    </row>
    <row r="13" spans="1:63" ht="15" customHeight="1" x14ac:dyDescent="0.25">
      <c r="A13" s="46"/>
      <c r="BK13" s="47"/>
    </row>
    <row r="14" spans="1:63" ht="15" customHeight="1" thickBot="1" x14ac:dyDescent="0.3">
      <c r="A14" s="46"/>
      <c r="BK14" s="47"/>
    </row>
    <row r="15" spans="1:63" ht="15" customHeight="1" thickTop="1" x14ac:dyDescent="0.25">
      <c r="A15" s="46"/>
      <c r="K15" s="48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50"/>
      <c r="BK15" s="47"/>
    </row>
    <row r="16" spans="1:63" ht="15" customHeight="1" x14ac:dyDescent="0.25">
      <c r="A16" s="46"/>
      <c r="K16" s="51"/>
      <c r="L16" s="106" t="s">
        <v>96</v>
      </c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52"/>
      <c r="BK16" s="47"/>
    </row>
    <row r="17" spans="1:63" ht="15" customHeight="1" x14ac:dyDescent="0.25">
      <c r="A17" s="46"/>
      <c r="K17" s="51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52"/>
      <c r="BK17" s="47"/>
    </row>
    <row r="18" spans="1:63" ht="15" customHeight="1" x14ac:dyDescent="0.25">
      <c r="A18" s="46"/>
      <c r="K18" s="51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  <c r="AY18" s="107"/>
      <c r="AZ18" s="107"/>
      <c r="BA18" s="52"/>
      <c r="BK18" s="47"/>
    </row>
    <row r="19" spans="1:63" ht="15" customHeight="1" x14ac:dyDescent="0.25">
      <c r="A19" s="46"/>
      <c r="K19" s="51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7"/>
      <c r="AZ19" s="107"/>
      <c r="BA19" s="52"/>
      <c r="BK19" s="47"/>
    </row>
    <row r="20" spans="1:63" ht="15" customHeight="1" x14ac:dyDescent="0.25">
      <c r="A20" s="46"/>
      <c r="K20" s="51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52"/>
      <c r="BK20" s="47"/>
    </row>
    <row r="21" spans="1:63" ht="15" customHeight="1" x14ac:dyDescent="0.25">
      <c r="A21" s="46"/>
      <c r="K21" s="51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52"/>
      <c r="BK21" s="47"/>
    </row>
    <row r="22" spans="1:63" ht="15" customHeight="1" thickBot="1" x14ac:dyDescent="0.3">
      <c r="A22" s="46"/>
      <c r="K22" s="51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2"/>
      <c r="BK22" s="47"/>
    </row>
    <row r="23" spans="1:63" ht="15" customHeight="1" x14ac:dyDescent="0.25">
      <c r="A23" s="46"/>
      <c r="K23" s="51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2"/>
      <c r="BK23" s="47"/>
    </row>
    <row r="24" spans="1:63" ht="15" customHeight="1" x14ac:dyDescent="0.25">
      <c r="A24" s="46"/>
      <c r="K24" s="51"/>
      <c r="L24" s="107" t="str">
        <f>K2&amp;"/"&amp;H4&amp;"/"&amp;Z4</f>
        <v>POSサーバー/AP7101/API設計書</v>
      </c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52"/>
      <c r="BK24" s="47"/>
    </row>
    <row r="25" spans="1:63" ht="15" customHeight="1" x14ac:dyDescent="0.25">
      <c r="A25" s="46"/>
      <c r="K25" s="51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52"/>
      <c r="BK25" s="47"/>
    </row>
    <row r="26" spans="1:63" ht="15" customHeight="1" x14ac:dyDescent="0.25">
      <c r="A26" s="46"/>
      <c r="K26" s="51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52"/>
      <c r="BK26" s="47"/>
    </row>
    <row r="27" spans="1:63" ht="15" customHeight="1" x14ac:dyDescent="0.25">
      <c r="A27" s="46"/>
      <c r="K27" s="51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52"/>
      <c r="BK27" s="47"/>
    </row>
    <row r="28" spans="1:63" ht="15" customHeight="1" x14ac:dyDescent="0.25">
      <c r="A28" s="46"/>
      <c r="K28" s="51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52"/>
      <c r="BK28" s="47"/>
    </row>
    <row r="29" spans="1:63" ht="15" customHeight="1" x14ac:dyDescent="0.25">
      <c r="A29" s="46"/>
      <c r="K29" s="51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52"/>
      <c r="BK29" s="47"/>
    </row>
    <row r="30" spans="1:63" ht="15" customHeight="1" x14ac:dyDescent="0.25">
      <c r="A30" s="46"/>
      <c r="K30" s="51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  <c r="AZ30" s="107"/>
      <c r="BA30" s="52"/>
      <c r="BK30" s="47"/>
    </row>
    <row r="31" spans="1:63" ht="15" customHeight="1" x14ac:dyDescent="0.25">
      <c r="A31" s="46"/>
      <c r="K31" s="51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  <c r="AZ31" s="107"/>
      <c r="BA31" s="52"/>
      <c r="BK31" s="47"/>
    </row>
    <row r="32" spans="1:63" ht="15" customHeight="1" x14ac:dyDescent="0.25">
      <c r="A32" s="46"/>
      <c r="K32" s="51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52"/>
      <c r="BK32" s="47"/>
    </row>
    <row r="33" spans="1:63" ht="15" customHeight="1" x14ac:dyDescent="0.25">
      <c r="A33" s="46"/>
      <c r="K33" s="51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  <c r="AY33" s="107"/>
      <c r="AZ33" s="107"/>
      <c r="BA33" s="52"/>
      <c r="BK33" s="47"/>
    </row>
    <row r="34" spans="1:63" ht="15" customHeight="1" x14ac:dyDescent="0.25">
      <c r="A34" s="46"/>
      <c r="K34" s="51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  <c r="AY34" s="107"/>
      <c r="AZ34" s="107"/>
      <c r="BA34" s="52"/>
      <c r="BK34" s="47"/>
    </row>
    <row r="35" spans="1:63" ht="15" customHeight="1" x14ac:dyDescent="0.25">
      <c r="A35" s="46"/>
      <c r="K35" s="51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52"/>
      <c r="BK35" s="47"/>
    </row>
    <row r="36" spans="1:63" ht="15" customHeight="1" x14ac:dyDescent="0.25">
      <c r="A36" s="46"/>
      <c r="K36" s="51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  <c r="AY36" s="107"/>
      <c r="AZ36" s="107"/>
      <c r="BA36" s="52"/>
      <c r="BK36" s="47"/>
    </row>
    <row r="37" spans="1:63" ht="15" customHeight="1" thickBot="1" x14ac:dyDescent="0.3">
      <c r="A37" s="46"/>
      <c r="K37" s="55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7"/>
      <c r="BK37" s="47"/>
    </row>
    <row r="38" spans="1:63" ht="15" customHeight="1" thickTop="1" x14ac:dyDescent="0.25">
      <c r="A38" s="46"/>
      <c r="BK38" s="47"/>
    </row>
    <row r="39" spans="1:63" ht="15" customHeight="1" x14ac:dyDescent="0.25">
      <c r="A39" s="46"/>
      <c r="BK39" s="47"/>
    </row>
    <row r="40" spans="1:63" ht="15" customHeight="1" x14ac:dyDescent="0.25">
      <c r="A40" s="46"/>
      <c r="BK40" s="47"/>
    </row>
    <row r="41" spans="1:63" ht="15" customHeight="1" x14ac:dyDescent="0.25">
      <c r="A41" s="46"/>
      <c r="BK41" s="47"/>
    </row>
    <row r="42" spans="1:63" ht="15" customHeight="1" x14ac:dyDescent="0.25">
      <c r="A42" s="46"/>
      <c r="BK42" s="47"/>
    </row>
    <row r="43" spans="1:63" ht="15" customHeight="1" x14ac:dyDescent="0.25">
      <c r="A43" s="4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BK43" s="47"/>
    </row>
    <row r="44" spans="1:63" ht="15" customHeight="1" x14ac:dyDescent="0.25">
      <c r="A44" s="46"/>
      <c r="Q44" s="97" t="s">
        <v>97</v>
      </c>
      <c r="R44" s="98"/>
      <c r="S44" s="98"/>
      <c r="T44" s="98"/>
      <c r="U44" s="98"/>
      <c r="V44" s="98"/>
      <c r="W44" s="98"/>
      <c r="X44" s="98"/>
      <c r="Y44" s="98"/>
      <c r="Z44" s="99"/>
      <c r="AA44" s="97" t="s">
        <v>98</v>
      </c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9"/>
      <c r="AQ44" s="97" t="s">
        <v>91</v>
      </c>
      <c r="AR44" s="98"/>
      <c r="AS44" s="98"/>
      <c r="AT44" s="98"/>
      <c r="AU44" s="99"/>
      <c r="BK44" s="47"/>
    </row>
    <row r="45" spans="1:63" ht="15" customHeight="1" x14ac:dyDescent="0.25">
      <c r="A45" s="46"/>
      <c r="Q45" s="100"/>
      <c r="R45" s="101"/>
      <c r="S45" s="101"/>
      <c r="T45" s="101"/>
      <c r="U45" s="101"/>
      <c r="V45" s="101"/>
      <c r="W45" s="101"/>
      <c r="X45" s="101"/>
      <c r="Y45" s="101"/>
      <c r="Z45" s="102"/>
      <c r="AA45" s="100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  <c r="AM45" s="101"/>
      <c r="AN45" s="101"/>
      <c r="AO45" s="101"/>
      <c r="AP45" s="102"/>
      <c r="AQ45" s="100"/>
      <c r="AR45" s="101"/>
      <c r="AS45" s="101"/>
      <c r="AT45" s="101"/>
      <c r="AU45" s="102"/>
      <c r="BK45" s="47"/>
    </row>
    <row r="46" spans="1:63" ht="15" customHeight="1" x14ac:dyDescent="0.25">
      <c r="A46" s="46"/>
      <c r="Q46" s="88"/>
      <c r="R46" s="89"/>
      <c r="S46" s="89"/>
      <c r="T46" s="89"/>
      <c r="U46" s="89"/>
      <c r="V46" s="89"/>
      <c r="W46" s="89"/>
      <c r="X46" s="89"/>
      <c r="Y46" s="89"/>
      <c r="Z46" s="90"/>
      <c r="AA46" s="88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90"/>
      <c r="AQ46" s="88"/>
      <c r="AR46" s="89"/>
      <c r="AS46" s="89"/>
      <c r="AT46" s="89"/>
      <c r="AU46" s="90"/>
      <c r="BK46" s="47"/>
    </row>
    <row r="47" spans="1:63" ht="15" customHeight="1" x14ac:dyDescent="0.25">
      <c r="A47" s="46"/>
      <c r="Q47" s="91"/>
      <c r="R47" s="92"/>
      <c r="S47" s="92"/>
      <c r="T47" s="92"/>
      <c r="U47" s="92"/>
      <c r="V47" s="92"/>
      <c r="W47" s="92"/>
      <c r="X47" s="92"/>
      <c r="Y47" s="92"/>
      <c r="Z47" s="93"/>
      <c r="AA47" s="91"/>
      <c r="AB47" s="92"/>
      <c r="AC47" s="92"/>
      <c r="AD47" s="92"/>
      <c r="AE47" s="92"/>
      <c r="AF47" s="92"/>
      <c r="AG47" s="92"/>
      <c r="AH47" s="92"/>
      <c r="AI47" s="92"/>
      <c r="AJ47" s="92"/>
      <c r="AK47" s="92"/>
      <c r="AL47" s="92"/>
      <c r="AM47" s="92"/>
      <c r="AN47" s="92"/>
      <c r="AO47" s="92"/>
      <c r="AP47" s="93"/>
      <c r="AQ47" s="91"/>
      <c r="AR47" s="92"/>
      <c r="AS47" s="92"/>
      <c r="AT47" s="92"/>
      <c r="AU47" s="93"/>
      <c r="BK47" s="47"/>
    </row>
    <row r="48" spans="1:63" ht="15" customHeight="1" x14ac:dyDescent="0.25">
      <c r="A48" s="46"/>
      <c r="Q48" s="91"/>
      <c r="R48" s="92"/>
      <c r="S48" s="92"/>
      <c r="T48" s="92"/>
      <c r="U48" s="92"/>
      <c r="V48" s="92"/>
      <c r="W48" s="92"/>
      <c r="X48" s="92"/>
      <c r="Y48" s="92"/>
      <c r="Z48" s="93"/>
      <c r="AA48" s="91"/>
      <c r="AB48" s="92"/>
      <c r="AC48" s="92"/>
      <c r="AD48" s="92"/>
      <c r="AE48" s="92"/>
      <c r="AF48" s="92"/>
      <c r="AG48" s="92"/>
      <c r="AH48" s="92"/>
      <c r="AI48" s="92"/>
      <c r="AJ48" s="92"/>
      <c r="AK48" s="92"/>
      <c r="AL48" s="92"/>
      <c r="AM48" s="92"/>
      <c r="AN48" s="92"/>
      <c r="AO48" s="92"/>
      <c r="AP48" s="93"/>
      <c r="AQ48" s="91"/>
      <c r="AR48" s="92"/>
      <c r="AS48" s="92"/>
      <c r="AT48" s="92"/>
      <c r="AU48" s="93"/>
      <c r="BK48" s="47"/>
    </row>
    <row r="49" spans="1:63" ht="15" customHeight="1" x14ac:dyDescent="0.25">
      <c r="A49" s="46"/>
      <c r="Q49" s="94"/>
      <c r="R49" s="95"/>
      <c r="S49" s="95"/>
      <c r="T49" s="95"/>
      <c r="U49" s="95"/>
      <c r="V49" s="95"/>
      <c r="W49" s="95"/>
      <c r="X49" s="95"/>
      <c r="Y49" s="95"/>
      <c r="Z49" s="96"/>
      <c r="AA49" s="94"/>
      <c r="AB49" s="95"/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6"/>
      <c r="AQ49" s="94"/>
      <c r="AR49" s="95"/>
      <c r="AS49" s="95"/>
      <c r="AT49" s="95"/>
      <c r="AU49" s="96"/>
      <c r="BK49" s="47"/>
    </row>
    <row r="50" spans="1:63" ht="15" customHeight="1" x14ac:dyDescent="0.25">
      <c r="A50" s="46"/>
      <c r="BK50" s="47"/>
    </row>
    <row r="51" spans="1:63" ht="15" customHeight="1" x14ac:dyDescent="0.25">
      <c r="A51" s="46"/>
      <c r="BK51" s="47"/>
    </row>
    <row r="52" spans="1:63" ht="15" customHeight="1" x14ac:dyDescent="0.25">
      <c r="A52" s="46"/>
      <c r="BK52" s="47"/>
    </row>
    <row r="53" spans="1:63" ht="15" customHeight="1" x14ac:dyDescent="0.25">
      <c r="A53" s="46"/>
      <c r="BK53" s="47"/>
    </row>
    <row r="54" spans="1:63" ht="15" customHeight="1" x14ac:dyDescent="0.25">
      <c r="A54" s="46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103" t="s">
        <v>84</v>
      </c>
      <c r="B1" s="104"/>
      <c r="C1" s="104"/>
      <c r="D1" s="104"/>
      <c r="E1" s="104"/>
      <c r="F1" s="104"/>
      <c r="G1" s="104"/>
      <c r="H1" s="104"/>
      <c r="I1" s="104"/>
      <c r="J1" s="105"/>
      <c r="K1" s="103" t="s">
        <v>85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5"/>
      <c r="W1" s="178" t="str">
        <f>IF(表紙!W1="","",表紙!W1)</f>
        <v>詳細設計書</v>
      </c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7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88" t="str">
        <f>IF(表紙!A2="","",表紙!A2)</f>
        <v>POSサーバー</v>
      </c>
      <c r="B2" s="89"/>
      <c r="C2" s="89"/>
      <c r="D2" s="89"/>
      <c r="E2" s="89"/>
      <c r="F2" s="89"/>
      <c r="G2" s="89"/>
      <c r="H2" s="89"/>
      <c r="I2" s="89"/>
      <c r="J2" s="90"/>
      <c r="K2" s="88" t="str">
        <f>IF(表紙!K2="","",表紙!K2)</f>
        <v>POSサーバー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128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30"/>
      <c r="AP2" s="88" t="str">
        <f>IF(表紙!AP2="","",表紙!AP2)</f>
        <v>DuNT</v>
      </c>
      <c r="AQ2" s="89"/>
      <c r="AR2" s="89"/>
      <c r="AS2" s="90"/>
      <c r="AT2" s="118">
        <f>IF(表紙!AT2="","",表紙!AT2)</f>
        <v>45490</v>
      </c>
      <c r="AU2" s="119"/>
      <c r="AV2" s="119"/>
      <c r="AW2" s="119"/>
      <c r="AX2" s="120"/>
      <c r="AY2" s="88" t="str">
        <f>IF(表紙!AY2="","",表紙!AY2)</f>
        <v>TinNH</v>
      </c>
      <c r="AZ2" s="89"/>
      <c r="BA2" s="89"/>
      <c r="BB2" s="90"/>
      <c r="BC2" s="118">
        <f>IF(表紙!BC2="","",表紙!BC2)</f>
        <v>45596</v>
      </c>
      <c r="BD2" s="119"/>
      <c r="BE2" s="119"/>
      <c r="BF2" s="119"/>
      <c r="BG2" s="120"/>
      <c r="BH2" s="88">
        <f>IF(表紙!BH2="","",表紙!BH2)</f>
        <v>0.5</v>
      </c>
      <c r="BI2" s="89"/>
      <c r="BJ2" s="89"/>
      <c r="BK2" s="90"/>
    </row>
    <row r="3" spans="1:63" ht="15" customHeight="1" x14ac:dyDescent="0.25">
      <c r="A3" s="94"/>
      <c r="B3" s="95"/>
      <c r="C3" s="95"/>
      <c r="D3" s="95"/>
      <c r="E3" s="95"/>
      <c r="F3" s="95"/>
      <c r="G3" s="95"/>
      <c r="H3" s="95"/>
      <c r="I3" s="95"/>
      <c r="J3" s="96"/>
      <c r="K3" s="94"/>
      <c r="L3" s="95"/>
      <c r="M3" s="95"/>
      <c r="N3" s="95"/>
      <c r="O3" s="95"/>
      <c r="P3" s="95"/>
      <c r="Q3" s="95"/>
      <c r="R3" s="95"/>
      <c r="S3" s="95"/>
      <c r="T3" s="95"/>
      <c r="U3" s="95"/>
      <c r="V3" s="96"/>
      <c r="W3" s="131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3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94"/>
      <c r="BI3" s="95"/>
      <c r="BJ3" s="95"/>
      <c r="BK3" s="96"/>
    </row>
    <row r="4" spans="1:63" ht="24.95" customHeight="1" x14ac:dyDescent="0.25">
      <c r="A4" s="103" t="s">
        <v>99</v>
      </c>
      <c r="B4" s="104"/>
      <c r="C4" s="104"/>
      <c r="D4" s="104"/>
      <c r="E4" s="104"/>
      <c r="F4" s="104"/>
      <c r="G4" s="105"/>
      <c r="H4" s="108" t="str">
        <f>IF(表紙!H4="","",表紙!H4)</f>
        <v>AP7101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10"/>
      <c r="U4" s="103" t="s">
        <v>94</v>
      </c>
      <c r="V4" s="104"/>
      <c r="W4" s="104"/>
      <c r="X4" s="104"/>
      <c r="Y4" s="105"/>
      <c r="Z4" s="108" t="str">
        <f>IF(表紙!Z4="","",表紙!Z4)</f>
        <v>API設計書</v>
      </c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10"/>
      <c r="AP4" s="108" t="str">
        <f t="array" aca="1" ref="AP4" ca="1">RIGHT(CELL("filename",$A$1),LEN(CELL("filename",$A$1))-FIND("]",CELL("filename",$A$1)))</f>
        <v>改訂履歴</v>
      </c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10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8" s="42" t="s">
        <v>0</v>
      </c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10" s="151" t="s">
        <v>90</v>
      </c>
      <c r="C10" s="151"/>
      <c r="D10" s="151"/>
      <c r="E10" s="151"/>
      <c r="F10" s="151"/>
      <c r="G10" s="151"/>
      <c r="H10" s="151" t="s">
        <v>89</v>
      </c>
      <c r="I10" s="151"/>
      <c r="J10" s="151"/>
      <c r="K10" s="151"/>
      <c r="L10" s="151"/>
      <c r="M10" s="151"/>
      <c r="N10" s="151"/>
      <c r="O10" s="151" t="s">
        <v>91</v>
      </c>
      <c r="P10" s="151"/>
      <c r="Q10" s="151"/>
      <c r="R10" s="151"/>
      <c r="S10" s="151" t="s">
        <v>100</v>
      </c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  <c r="AM10" s="151"/>
      <c r="AN10" s="151"/>
      <c r="AO10" s="151"/>
      <c r="AP10" s="151"/>
      <c r="AQ10" s="151"/>
      <c r="AR10" s="151"/>
      <c r="AS10" s="151"/>
      <c r="AT10" s="151"/>
      <c r="AU10" s="151"/>
      <c r="AV10" s="151"/>
      <c r="AW10" s="151"/>
      <c r="AX10" s="151" t="s">
        <v>97</v>
      </c>
      <c r="AY10" s="151"/>
      <c r="AZ10" s="151"/>
      <c r="BA10" s="151"/>
      <c r="BB10" s="151"/>
      <c r="BC10" s="151"/>
      <c r="BD10" s="151" t="s">
        <v>98</v>
      </c>
      <c r="BE10" s="151"/>
      <c r="BF10" s="151"/>
      <c r="BG10" s="151"/>
      <c r="BH10" s="151"/>
      <c r="BI10" s="151"/>
      <c r="BJ10" s="151"/>
      <c r="BK10" s="47"/>
    </row>
    <row r="11" spans="1:63" ht="15" customHeight="1" x14ac:dyDescent="0.25">
      <c r="A11" s="46"/>
      <c r="B11" s="118">
        <v>45490</v>
      </c>
      <c r="C11" s="89"/>
      <c r="D11" s="89"/>
      <c r="E11" s="89"/>
      <c r="F11" s="89"/>
      <c r="G11" s="90"/>
      <c r="H11" s="124" t="s">
        <v>101</v>
      </c>
      <c r="I11" s="89"/>
      <c r="J11" s="89"/>
      <c r="K11" s="89"/>
      <c r="L11" s="89"/>
      <c r="M11" s="89"/>
      <c r="N11" s="90"/>
      <c r="O11" s="88">
        <v>0.1</v>
      </c>
      <c r="P11" s="89"/>
      <c r="Q11" s="89"/>
      <c r="R11" s="89"/>
      <c r="S11" s="134" t="s">
        <v>2</v>
      </c>
      <c r="T11" s="135"/>
      <c r="U11" s="135"/>
      <c r="V11" s="135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  <c r="AH11" s="135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  <c r="AS11" s="135"/>
      <c r="AT11" s="135"/>
      <c r="AU11" s="135"/>
      <c r="AV11" s="135"/>
      <c r="AW11" s="136"/>
      <c r="AX11" s="137"/>
      <c r="AY11" s="137"/>
      <c r="AZ11" s="137"/>
      <c r="BA11" s="137"/>
      <c r="BB11" s="137"/>
      <c r="BC11" s="138"/>
      <c r="BD11" s="141"/>
      <c r="BE11" s="137"/>
      <c r="BF11" s="137"/>
      <c r="BG11" s="137"/>
      <c r="BH11" s="137"/>
      <c r="BI11" s="137"/>
      <c r="BJ11" s="138"/>
      <c r="BK11" s="47"/>
    </row>
    <row r="12" spans="1:63" ht="15" customHeight="1" x14ac:dyDescent="0.25">
      <c r="A12" s="46"/>
      <c r="B12" s="94"/>
      <c r="C12" s="95"/>
      <c r="D12" s="95"/>
      <c r="E12" s="95"/>
      <c r="F12" s="95"/>
      <c r="G12" s="96"/>
      <c r="H12" s="94"/>
      <c r="I12" s="95"/>
      <c r="J12" s="95"/>
      <c r="K12" s="95"/>
      <c r="L12" s="95"/>
      <c r="M12" s="95"/>
      <c r="N12" s="96"/>
      <c r="O12" s="94"/>
      <c r="P12" s="95"/>
      <c r="Q12" s="95"/>
      <c r="R12" s="95"/>
      <c r="S12" s="143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M12" s="144"/>
      <c r="AN12" s="144"/>
      <c r="AO12" s="144"/>
      <c r="AP12" s="144"/>
      <c r="AQ12" s="144"/>
      <c r="AR12" s="144"/>
      <c r="AS12" s="144"/>
      <c r="AT12" s="144"/>
      <c r="AU12" s="144"/>
      <c r="AV12" s="144"/>
      <c r="AW12" s="145"/>
      <c r="AX12" s="139"/>
      <c r="AY12" s="139"/>
      <c r="AZ12" s="139"/>
      <c r="BA12" s="139"/>
      <c r="BB12" s="139"/>
      <c r="BC12" s="140"/>
      <c r="BD12" s="142"/>
      <c r="BE12" s="139"/>
      <c r="BF12" s="139"/>
      <c r="BG12" s="139"/>
      <c r="BH12" s="139"/>
      <c r="BI12" s="139"/>
      <c r="BJ12" s="140"/>
      <c r="BK12" s="47"/>
    </row>
    <row r="13" spans="1:63" ht="15" customHeight="1" x14ac:dyDescent="0.25">
      <c r="A13" s="46"/>
      <c r="B13" s="165">
        <v>45512</v>
      </c>
      <c r="C13" s="166"/>
      <c r="D13" s="166"/>
      <c r="E13" s="166"/>
      <c r="F13" s="166"/>
      <c r="G13" s="167"/>
      <c r="H13" s="171" t="s">
        <v>101</v>
      </c>
      <c r="I13" s="166"/>
      <c r="J13" s="166"/>
      <c r="K13" s="166"/>
      <c r="L13" s="166"/>
      <c r="M13" s="166"/>
      <c r="N13" s="167"/>
      <c r="O13" s="171">
        <v>0.2</v>
      </c>
      <c r="P13" s="166"/>
      <c r="Q13" s="166"/>
      <c r="R13" s="166"/>
      <c r="S13" s="172" t="s">
        <v>124</v>
      </c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  <c r="AK13" s="173"/>
      <c r="AL13" s="173"/>
      <c r="AM13" s="173"/>
      <c r="AN13" s="173"/>
      <c r="AO13" s="173"/>
      <c r="AP13" s="173"/>
      <c r="AQ13" s="173"/>
      <c r="AR13" s="173"/>
      <c r="AS13" s="173"/>
      <c r="AT13" s="173"/>
      <c r="AU13" s="173"/>
      <c r="AV13" s="173"/>
      <c r="AW13" s="174"/>
      <c r="AX13" s="137"/>
      <c r="AY13" s="137"/>
      <c r="AZ13" s="137"/>
      <c r="BA13" s="137"/>
      <c r="BB13" s="137"/>
      <c r="BC13" s="138"/>
      <c r="BD13" s="141"/>
      <c r="BE13" s="137"/>
      <c r="BF13" s="137"/>
      <c r="BG13" s="137"/>
      <c r="BH13" s="137"/>
      <c r="BI13" s="137"/>
      <c r="BJ13" s="138"/>
      <c r="BK13" s="47"/>
    </row>
    <row r="14" spans="1:63" ht="40.5" customHeight="1" x14ac:dyDescent="0.25">
      <c r="A14" s="46"/>
      <c r="B14" s="168"/>
      <c r="C14" s="169"/>
      <c r="D14" s="169"/>
      <c r="E14" s="169"/>
      <c r="F14" s="169"/>
      <c r="G14" s="170"/>
      <c r="H14" s="168"/>
      <c r="I14" s="169"/>
      <c r="J14" s="169"/>
      <c r="K14" s="169"/>
      <c r="L14" s="169"/>
      <c r="M14" s="169"/>
      <c r="N14" s="170"/>
      <c r="O14" s="168"/>
      <c r="P14" s="169"/>
      <c r="Q14" s="169"/>
      <c r="R14" s="169"/>
      <c r="S14" s="162" t="s">
        <v>127</v>
      </c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  <c r="AK14" s="163"/>
      <c r="AL14" s="163"/>
      <c r="AM14" s="163"/>
      <c r="AN14" s="163"/>
      <c r="AO14" s="163"/>
      <c r="AP14" s="163"/>
      <c r="AQ14" s="163"/>
      <c r="AR14" s="163"/>
      <c r="AS14" s="163"/>
      <c r="AT14" s="163"/>
      <c r="AU14" s="163"/>
      <c r="AV14" s="163"/>
      <c r="AW14" s="164"/>
      <c r="AX14" s="139"/>
      <c r="AY14" s="139"/>
      <c r="AZ14" s="139"/>
      <c r="BA14" s="139"/>
      <c r="BB14" s="139"/>
      <c r="BC14" s="140"/>
      <c r="BD14" s="142"/>
      <c r="BE14" s="139"/>
      <c r="BF14" s="139"/>
      <c r="BG14" s="139"/>
      <c r="BH14" s="139"/>
      <c r="BI14" s="139"/>
      <c r="BJ14" s="140"/>
      <c r="BK14" s="47"/>
    </row>
    <row r="15" spans="1:63" ht="15" customHeight="1" x14ac:dyDescent="0.25">
      <c r="A15" s="46"/>
      <c r="B15" s="165">
        <v>45525</v>
      </c>
      <c r="C15" s="166"/>
      <c r="D15" s="166"/>
      <c r="E15" s="166"/>
      <c r="F15" s="166"/>
      <c r="G15" s="167"/>
      <c r="H15" s="171" t="s">
        <v>101</v>
      </c>
      <c r="I15" s="166"/>
      <c r="J15" s="166"/>
      <c r="K15" s="166"/>
      <c r="L15" s="166"/>
      <c r="M15" s="166"/>
      <c r="N15" s="167"/>
      <c r="O15" s="171">
        <v>0.3</v>
      </c>
      <c r="P15" s="166"/>
      <c r="Q15" s="166"/>
      <c r="R15" s="166"/>
      <c r="S15" s="172" t="s">
        <v>138</v>
      </c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173"/>
      <c r="AH15" s="173"/>
      <c r="AI15" s="173"/>
      <c r="AJ15" s="173"/>
      <c r="AK15" s="173"/>
      <c r="AL15" s="173"/>
      <c r="AM15" s="173"/>
      <c r="AN15" s="173"/>
      <c r="AO15" s="173"/>
      <c r="AP15" s="173"/>
      <c r="AQ15" s="173"/>
      <c r="AR15" s="173"/>
      <c r="AS15" s="173"/>
      <c r="AT15" s="173"/>
      <c r="AU15" s="173"/>
      <c r="AV15" s="173"/>
      <c r="AW15" s="174"/>
      <c r="AX15" s="137"/>
      <c r="AY15" s="137"/>
      <c r="AZ15" s="137"/>
      <c r="BA15" s="137"/>
      <c r="BB15" s="137"/>
      <c r="BC15" s="138"/>
      <c r="BD15" s="141"/>
      <c r="BE15" s="137"/>
      <c r="BF15" s="137"/>
      <c r="BG15" s="137"/>
      <c r="BH15" s="137"/>
      <c r="BI15" s="137"/>
      <c r="BJ15" s="138"/>
      <c r="BK15" s="47"/>
    </row>
    <row r="16" spans="1:63" ht="15" customHeight="1" x14ac:dyDescent="0.25">
      <c r="A16" s="46"/>
      <c r="B16" s="168"/>
      <c r="C16" s="169"/>
      <c r="D16" s="169"/>
      <c r="E16" s="169"/>
      <c r="F16" s="169"/>
      <c r="G16" s="170"/>
      <c r="H16" s="168"/>
      <c r="I16" s="169"/>
      <c r="J16" s="169"/>
      <c r="K16" s="169"/>
      <c r="L16" s="169"/>
      <c r="M16" s="169"/>
      <c r="N16" s="170"/>
      <c r="O16" s="168"/>
      <c r="P16" s="169"/>
      <c r="Q16" s="169"/>
      <c r="R16" s="169"/>
      <c r="S16" s="175" t="s">
        <v>140</v>
      </c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7"/>
      <c r="AX16" s="139"/>
      <c r="AY16" s="139"/>
      <c r="AZ16" s="139"/>
      <c r="BA16" s="139"/>
      <c r="BB16" s="139"/>
      <c r="BC16" s="140"/>
      <c r="BD16" s="142"/>
      <c r="BE16" s="139"/>
      <c r="BF16" s="139"/>
      <c r="BG16" s="139"/>
      <c r="BH16" s="139"/>
      <c r="BI16" s="139"/>
      <c r="BJ16" s="140"/>
      <c r="BK16" s="47"/>
    </row>
    <row r="17" spans="1:63" ht="15" customHeight="1" x14ac:dyDescent="0.25">
      <c r="A17" s="46"/>
      <c r="B17" s="165">
        <v>45547</v>
      </c>
      <c r="C17" s="166"/>
      <c r="D17" s="166"/>
      <c r="E17" s="166"/>
      <c r="F17" s="166"/>
      <c r="G17" s="167"/>
      <c r="H17" s="171" t="s">
        <v>101</v>
      </c>
      <c r="I17" s="166"/>
      <c r="J17" s="166"/>
      <c r="K17" s="166"/>
      <c r="L17" s="166"/>
      <c r="M17" s="166"/>
      <c r="N17" s="167"/>
      <c r="O17" s="171">
        <v>0.4</v>
      </c>
      <c r="P17" s="166"/>
      <c r="Q17" s="166"/>
      <c r="R17" s="166"/>
      <c r="S17" s="172" t="s">
        <v>138</v>
      </c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4"/>
      <c r="AX17" s="137"/>
      <c r="AY17" s="137"/>
      <c r="AZ17" s="137"/>
      <c r="BA17" s="137"/>
      <c r="BB17" s="137"/>
      <c r="BC17" s="138"/>
      <c r="BD17" s="141"/>
      <c r="BE17" s="137"/>
      <c r="BF17" s="137"/>
      <c r="BG17" s="137"/>
      <c r="BH17" s="137"/>
      <c r="BI17" s="137"/>
      <c r="BJ17" s="138"/>
      <c r="BK17" s="47"/>
    </row>
    <row r="18" spans="1:63" ht="15" customHeight="1" x14ac:dyDescent="0.25">
      <c r="A18" s="46"/>
      <c r="B18" s="168"/>
      <c r="C18" s="169"/>
      <c r="D18" s="169"/>
      <c r="E18" s="169"/>
      <c r="F18" s="169"/>
      <c r="G18" s="170"/>
      <c r="H18" s="168"/>
      <c r="I18" s="169"/>
      <c r="J18" s="169"/>
      <c r="K18" s="169"/>
      <c r="L18" s="169"/>
      <c r="M18" s="169"/>
      <c r="N18" s="170"/>
      <c r="O18" s="168"/>
      <c r="P18" s="169"/>
      <c r="Q18" s="169"/>
      <c r="R18" s="169"/>
      <c r="S18" s="175" t="s">
        <v>144</v>
      </c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7"/>
      <c r="AX18" s="139"/>
      <c r="AY18" s="139"/>
      <c r="AZ18" s="139"/>
      <c r="BA18" s="139"/>
      <c r="BB18" s="139"/>
      <c r="BC18" s="140"/>
      <c r="BD18" s="142"/>
      <c r="BE18" s="139"/>
      <c r="BF18" s="139"/>
      <c r="BG18" s="139"/>
      <c r="BH18" s="139"/>
      <c r="BI18" s="139"/>
      <c r="BJ18" s="140"/>
      <c r="BK18" s="47"/>
    </row>
    <row r="19" spans="1:63" ht="15" customHeight="1" x14ac:dyDescent="0.25">
      <c r="A19" s="46"/>
      <c r="B19" s="152">
        <v>45596</v>
      </c>
      <c r="C19" s="153"/>
      <c r="D19" s="153"/>
      <c r="E19" s="153"/>
      <c r="F19" s="153"/>
      <c r="G19" s="154"/>
      <c r="H19" s="158" t="s">
        <v>169</v>
      </c>
      <c r="I19" s="153"/>
      <c r="J19" s="153"/>
      <c r="K19" s="153"/>
      <c r="L19" s="153"/>
      <c r="M19" s="153"/>
      <c r="N19" s="154"/>
      <c r="O19" s="158">
        <v>0.5</v>
      </c>
      <c r="P19" s="153"/>
      <c r="Q19" s="153"/>
      <c r="R19" s="153"/>
      <c r="S19" s="159" t="s">
        <v>138</v>
      </c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1"/>
      <c r="AX19" s="137"/>
      <c r="AY19" s="137"/>
      <c r="AZ19" s="137"/>
      <c r="BA19" s="137"/>
      <c r="BB19" s="137"/>
      <c r="BC19" s="138"/>
      <c r="BD19" s="141"/>
      <c r="BE19" s="137"/>
      <c r="BF19" s="137"/>
      <c r="BG19" s="137"/>
      <c r="BH19" s="137"/>
      <c r="BI19" s="137"/>
      <c r="BJ19" s="138"/>
      <c r="BK19" s="47"/>
    </row>
    <row r="20" spans="1:63" ht="59.25" customHeight="1" x14ac:dyDescent="0.25">
      <c r="A20" s="46"/>
      <c r="B20" s="155"/>
      <c r="C20" s="156"/>
      <c r="D20" s="156"/>
      <c r="E20" s="156"/>
      <c r="F20" s="156"/>
      <c r="G20" s="157"/>
      <c r="H20" s="155"/>
      <c r="I20" s="156"/>
      <c r="J20" s="156"/>
      <c r="K20" s="156"/>
      <c r="L20" s="156"/>
      <c r="M20" s="156"/>
      <c r="N20" s="157"/>
      <c r="O20" s="155"/>
      <c r="P20" s="156"/>
      <c r="Q20" s="156"/>
      <c r="R20" s="156"/>
      <c r="S20" s="258" t="s">
        <v>181</v>
      </c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60"/>
      <c r="AX20" s="139"/>
      <c r="AY20" s="139"/>
      <c r="AZ20" s="139"/>
      <c r="BA20" s="139"/>
      <c r="BB20" s="139"/>
      <c r="BC20" s="140"/>
      <c r="BD20" s="142"/>
      <c r="BE20" s="139"/>
      <c r="BF20" s="139"/>
      <c r="BG20" s="139"/>
      <c r="BH20" s="139"/>
      <c r="BI20" s="139"/>
      <c r="BJ20" s="140"/>
      <c r="BK20" s="47"/>
    </row>
    <row r="21" spans="1:63" ht="15" customHeight="1" x14ac:dyDescent="0.25">
      <c r="A21" s="46"/>
      <c r="B21" s="88"/>
      <c r="C21" s="89"/>
      <c r="D21" s="89"/>
      <c r="E21" s="89"/>
      <c r="F21" s="89"/>
      <c r="G21" s="90"/>
      <c r="H21" s="88"/>
      <c r="I21" s="89"/>
      <c r="J21" s="89"/>
      <c r="K21" s="89"/>
      <c r="L21" s="89"/>
      <c r="M21" s="89"/>
      <c r="N21" s="90"/>
      <c r="O21" s="88"/>
      <c r="P21" s="89"/>
      <c r="Q21" s="89"/>
      <c r="R21" s="89"/>
      <c r="S21" s="134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6"/>
      <c r="AX21" s="137"/>
      <c r="AY21" s="137"/>
      <c r="AZ21" s="137"/>
      <c r="BA21" s="137"/>
      <c r="BB21" s="137"/>
      <c r="BC21" s="138"/>
      <c r="BD21" s="141"/>
      <c r="BE21" s="137"/>
      <c r="BF21" s="137"/>
      <c r="BG21" s="137"/>
      <c r="BH21" s="137"/>
      <c r="BI21" s="137"/>
      <c r="BJ21" s="138"/>
      <c r="BK21" s="47"/>
    </row>
    <row r="22" spans="1:63" ht="15" customHeight="1" x14ac:dyDescent="0.25">
      <c r="A22" s="46"/>
      <c r="B22" s="94"/>
      <c r="C22" s="95"/>
      <c r="D22" s="95"/>
      <c r="E22" s="95"/>
      <c r="F22" s="95"/>
      <c r="G22" s="96"/>
      <c r="H22" s="94"/>
      <c r="I22" s="95"/>
      <c r="J22" s="95"/>
      <c r="K22" s="95"/>
      <c r="L22" s="95"/>
      <c r="M22" s="95"/>
      <c r="N22" s="96"/>
      <c r="O22" s="94"/>
      <c r="P22" s="95"/>
      <c r="Q22" s="95"/>
      <c r="R22" s="95"/>
      <c r="S22" s="143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5"/>
      <c r="AX22" s="139"/>
      <c r="AY22" s="139"/>
      <c r="AZ22" s="139"/>
      <c r="BA22" s="139"/>
      <c r="BB22" s="139"/>
      <c r="BC22" s="140"/>
      <c r="BD22" s="142"/>
      <c r="BE22" s="139"/>
      <c r="BF22" s="139"/>
      <c r="BG22" s="139"/>
      <c r="BH22" s="139"/>
      <c r="BI22" s="139"/>
      <c r="BJ22" s="140"/>
      <c r="BK22" s="47"/>
    </row>
    <row r="23" spans="1:63" ht="15" customHeight="1" x14ac:dyDescent="0.25">
      <c r="A23" s="46"/>
      <c r="B23" s="88"/>
      <c r="C23" s="89"/>
      <c r="D23" s="89"/>
      <c r="E23" s="89"/>
      <c r="F23" s="89"/>
      <c r="G23" s="90"/>
      <c r="H23" s="88"/>
      <c r="I23" s="89"/>
      <c r="J23" s="89"/>
      <c r="K23" s="89"/>
      <c r="L23" s="89"/>
      <c r="M23" s="89"/>
      <c r="N23" s="90"/>
      <c r="O23" s="88"/>
      <c r="P23" s="89"/>
      <c r="Q23" s="89"/>
      <c r="R23" s="89"/>
      <c r="S23" s="134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  <c r="AH23" s="135"/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  <c r="AS23" s="135"/>
      <c r="AT23" s="135"/>
      <c r="AU23" s="135"/>
      <c r="AV23" s="135"/>
      <c r="AW23" s="136"/>
      <c r="AX23" s="137"/>
      <c r="AY23" s="137"/>
      <c r="AZ23" s="137"/>
      <c r="BA23" s="137"/>
      <c r="BB23" s="137"/>
      <c r="BC23" s="138"/>
      <c r="BD23" s="141"/>
      <c r="BE23" s="137"/>
      <c r="BF23" s="137"/>
      <c r="BG23" s="137"/>
      <c r="BH23" s="137"/>
      <c r="BI23" s="137"/>
      <c r="BJ23" s="138"/>
      <c r="BK23" s="47"/>
    </row>
    <row r="24" spans="1:63" ht="15" customHeight="1" x14ac:dyDescent="0.25">
      <c r="A24" s="46"/>
      <c r="B24" s="94"/>
      <c r="C24" s="95"/>
      <c r="D24" s="95"/>
      <c r="E24" s="95"/>
      <c r="F24" s="95"/>
      <c r="G24" s="96"/>
      <c r="H24" s="94"/>
      <c r="I24" s="95"/>
      <c r="J24" s="95"/>
      <c r="K24" s="95"/>
      <c r="L24" s="95"/>
      <c r="M24" s="95"/>
      <c r="N24" s="96"/>
      <c r="O24" s="94"/>
      <c r="P24" s="95"/>
      <c r="Q24" s="95"/>
      <c r="R24" s="95"/>
      <c r="S24" s="143"/>
      <c r="T24" s="144"/>
      <c r="U24" s="144"/>
      <c r="V24" s="144"/>
      <c r="W24" s="144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4"/>
      <c r="AM24" s="144"/>
      <c r="AN24" s="144"/>
      <c r="AO24" s="144"/>
      <c r="AP24" s="144"/>
      <c r="AQ24" s="144"/>
      <c r="AR24" s="144"/>
      <c r="AS24" s="144"/>
      <c r="AT24" s="144"/>
      <c r="AU24" s="144"/>
      <c r="AV24" s="144"/>
      <c r="AW24" s="145"/>
      <c r="AX24" s="139"/>
      <c r="AY24" s="139"/>
      <c r="AZ24" s="139"/>
      <c r="BA24" s="139"/>
      <c r="BB24" s="139"/>
      <c r="BC24" s="140"/>
      <c r="BD24" s="142"/>
      <c r="BE24" s="139"/>
      <c r="BF24" s="139"/>
      <c r="BG24" s="139"/>
      <c r="BH24" s="139"/>
      <c r="BI24" s="139"/>
      <c r="BJ24" s="140"/>
      <c r="BK24" s="47"/>
    </row>
    <row r="25" spans="1:63" ht="15" customHeight="1" x14ac:dyDescent="0.25">
      <c r="A25" s="46"/>
      <c r="B25" s="88"/>
      <c r="C25" s="89"/>
      <c r="D25" s="89"/>
      <c r="E25" s="89"/>
      <c r="F25" s="89"/>
      <c r="G25" s="90"/>
      <c r="H25" s="88"/>
      <c r="I25" s="89"/>
      <c r="J25" s="89"/>
      <c r="K25" s="89"/>
      <c r="L25" s="89"/>
      <c r="M25" s="89"/>
      <c r="N25" s="90"/>
      <c r="O25" s="88"/>
      <c r="P25" s="89"/>
      <c r="Q25" s="89"/>
      <c r="R25" s="89"/>
      <c r="S25" s="134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  <c r="AS25" s="135"/>
      <c r="AT25" s="135"/>
      <c r="AU25" s="135"/>
      <c r="AV25" s="135"/>
      <c r="AW25" s="136"/>
      <c r="AX25" s="137"/>
      <c r="AY25" s="137"/>
      <c r="AZ25" s="137"/>
      <c r="BA25" s="137"/>
      <c r="BB25" s="137"/>
      <c r="BC25" s="138"/>
      <c r="BD25" s="141"/>
      <c r="BE25" s="137"/>
      <c r="BF25" s="137"/>
      <c r="BG25" s="137"/>
      <c r="BH25" s="137"/>
      <c r="BI25" s="137"/>
      <c r="BJ25" s="138"/>
      <c r="BK25" s="47"/>
    </row>
    <row r="26" spans="1:63" ht="15" customHeight="1" x14ac:dyDescent="0.25">
      <c r="A26" s="46"/>
      <c r="B26" s="94"/>
      <c r="C26" s="95"/>
      <c r="D26" s="95"/>
      <c r="E26" s="95"/>
      <c r="F26" s="95"/>
      <c r="G26" s="96"/>
      <c r="H26" s="94"/>
      <c r="I26" s="95"/>
      <c r="J26" s="95"/>
      <c r="K26" s="95"/>
      <c r="L26" s="95"/>
      <c r="M26" s="95"/>
      <c r="N26" s="96"/>
      <c r="O26" s="94"/>
      <c r="P26" s="95"/>
      <c r="Q26" s="95"/>
      <c r="R26" s="95"/>
      <c r="S26" s="143"/>
      <c r="T26" s="144"/>
      <c r="U26" s="144"/>
      <c r="V26" s="144"/>
      <c r="W26" s="144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5"/>
      <c r="AX26" s="139"/>
      <c r="AY26" s="139"/>
      <c r="AZ26" s="139"/>
      <c r="BA26" s="139"/>
      <c r="BB26" s="139"/>
      <c r="BC26" s="140"/>
      <c r="BD26" s="142"/>
      <c r="BE26" s="139"/>
      <c r="BF26" s="139"/>
      <c r="BG26" s="139"/>
      <c r="BH26" s="139"/>
      <c r="BI26" s="139"/>
      <c r="BJ26" s="140"/>
      <c r="BK26" s="47"/>
    </row>
    <row r="27" spans="1:63" ht="15" customHeight="1" x14ac:dyDescent="0.25">
      <c r="A27" s="46"/>
      <c r="B27" s="88"/>
      <c r="C27" s="89"/>
      <c r="D27" s="89"/>
      <c r="E27" s="89"/>
      <c r="F27" s="89"/>
      <c r="G27" s="90"/>
      <c r="H27" s="88"/>
      <c r="I27" s="89"/>
      <c r="J27" s="89"/>
      <c r="K27" s="89"/>
      <c r="L27" s="89"/>
      <c r="M27" s="89"/>
      <c r="N27" s="90"/>
      <c r="O27" s="88"/>
      <c r="P27" s="89"/>
      <c r="Q27" s="89"/>
      <c r="R27" s="89"/>
      <c r="S27" s="134"/>
      <c r="T27" s="135"/>
      <c r="U27" s="135"/>
      <c r="V27" s="135"/>
      <c r="W27" s="135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  <c r="AH27" s="135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  <c r="AS27" s="135"/>
      <c r="AT27" s="135"/>
      <c r="AU27" s="135"/>
      <c r="AV27" s="135"/>
      <c r="AW27" s="136"/>
      <c r="AX27" s="137"/>
      <c r="AY27" s="137"/>
      <c r="AZ27" s="137"/>
      <c r="BA27" s="137"/>
      <c r="BB27" s="137"/>
      <c r="BC27" s="138"/>
      <c r="BD27" s="141"/>
      <c r="BE27" s="137"/>
      <c r="BF27" s="137"/>
      <c r="BG27" s="137"/>
      <c r="BH27" s="137"/>
      <c r="BI27" s="137"/>
      <c r="BJ27" s="138"/>
      <c r="BK27" s="47"/>
    </row>
    <row r="28" spans="1:63" ht="15" customHeight="1" x14ac:dyDescent="0.25">
      <c r="A28" s="46"/>
      <c r="B28" s="94"/>
      <c r="C28" s="95"/>
      <c r="D28" s="95"/>
      <c r="E28" s="95"/>
      <c r="F28" s="95"/>
      <c r="G28" s="96"/>
      <c r="H28" s="94"/>
      <c r="I28" s="95"/>
      <c r="J28" s="95"/>
      <c r="K28" s="95"/>
      <c r="L28" s="95"/>
      <c r="M28" s="95"/>
      <c r="N28" s="96"/>
      <c r="O28" s="94"/>
      <c r="P28" s="95"/>
      <c r="Q28" s="95"/>
      <c r="R28" s="95"/>
      <c r="S28" s="143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5"/>
      <c r="AX28" s="139"/>
      <c r="AY28" s="139"/>
      <c r="AZ28" s="139"/>
      <c r="BA28" s="139"/>
      <c r="BB28" s="139"/>
      <c r="BC28" s="140"/>
      <c r="BD28" s="142"/>
      <c r="BE28" s="139"/>
      <c r="BF28" s="139"/>
      <c r="BG28" s="139"/>
      <c r="BH28" s="139"/>
      <c r="BI28" s="139"/>
      <c r="BJ28" s="140"/>
      <c r="BK28" s="47"/>
    </row>
    <row r="29" spans="1:63" ht="15" customHeight="1" x14ac:dyDescent="0.25">
      <c r="A29" s="46"/>
      <c r="B29" s="88"/>
      <c r="C29" s="89"/>
      <c r="D29" s="89"/>
      <c r="E29" s="89"/>
      <c r="F29" s="89"/>
      <c r="G29" s="90"/>
      <c r="H29" s="88"/>
      <c r="I29" s="89"/>
      <c r="J29" s="89"/>
      <c r="K29" s="89"/>
      <c r="L29" s="89"/>
      <c r="M29" s="89"/>
      <c r="N29" s="90"/>
      <c r="O29" s="88"/>
      <c r="P29" s="89"/>
      <c r="Q29" s="89"/>
      <c r="R29" s="89"/>
      <c r="S29" s="134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  <c r="AH29" s="135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  <c r="AS29" s="135"/>
      <c r="AT29" s="135"/>
      <c r="AU29" s="135"/>
      <c r="AV29" s="135"/>
      <c r="AW29" s="136"/>
      <c r="AX29" s="137"/>
      <c r="AY29" s="137"/>
      <c r="AZ29" s="137"/>
      <c r="BA29" s="137"/>
      <c r="BB29" s="137"/>
      <c r="BC29" s="138"/>
      <c r="BD29" s="141"/>
      <c r="BE29" s="137"/>
      <c r="BF29" s="137"/>
      <c r="BG29" s="137"/>
      <c r="BH29" s="137"/>
      <c r="BI29" s="137"/>
      <c r="BJ29" s="138"/>
      <c r="BK29" s="47"/>
    </row>
    <row r="30" spans="1:63" ht="15" customHeight="1" x14ac:dyDescent="0.25">
      <c r="A30" s="46"/>
      <c r="B30" s="94"/>
      <c r="C30" s="95"/>
      <c r="D30" s="95"/>
      <c r="E30" s="95"/>
      <c r="F30" s="95"/>
      <c r="G30" s="96"/>
      <c r="H30" s="94"/>
      <c r="I30" s="95"/>
      <c r="J30" s="95"/>
      <c r="K30" s="95"/>
      <c r="L30" s="95"/>
      <c r="M30" s="95"/>
      <c r="N30" s="96"/>
      <c r="O30" s="94"/>
      <c r="P30" s="95"/>
      <c r="Q30" s="95"/>
      <c r="R30" s="95"/>
      <c r="S30" s="143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5"/>
      <c r="AX30" s="139"/>
      <c r="AY30" s="139"/>
      <c r="AZ30" s="139"/>
      <c r="BA30" s="139"/>
      <c r="BB30" s="139"/>
      <c r="BC30" s="140"/>
      <c r="BD30" s="142"/>
      <c r="BE30" s="139"/>
      <c r="BF30" s="139"/>
      <c r="BG30" s="139"/>
      <c r="BH30" s="139"/>
      <c r="BI30" s="139"/>
      <c r="BJ30" s="140"/>
      <c r="BK30" s="47"/>
    </row>
    <row r="31" spans="1:63" ht="15" customHeight="1" x14ac:dyDescent="0.25">
      <c r="A31" s="46"/>
      <c r="B31" s="88"/>
      <c r="C31" s="89"/>
      <c r="D31" s="89"/>
      <c r="E31" s="89"/>
      <c r="F31" s="89"/>
      <c r="G31" s="90"/>
      <c r="H31" s="88"/>
      <c r="I31" s="89"/>
      <c r="J31" s="89"/>
      <c r="K31" s="89"/>
      <c r="L31" s="89"/>
      <c r="M31" s="89"/>
      <c r="N31" s="90"/>
      <c r="O31" s="88"/>
      <c r="P31" s="89"/>
      <c r="Q31" s="89"/>
      <c r="R31" s="89"/>
      <c r="S31" s="134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135"/>
      <c r="AG31" s="135"/>
      <c r="AH31" s="135"/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  <c r="AS31" s="135"/>
      <c r="AT31" s="135"/>
      <c r="AU31" s="135"/>
      <c r="AV31" s="135"/>
      <c r="AW31" s="136"/>
      <c r="AX31" s="137"/>
      <c r="AY31" s="137"/>
      <c r="AZ31" s="137"/>
      <c r="BA31" s="137"/>
      <c r="BB31" s="137"/>
      <c r="BC31" s="138"/>
      <c r="BD31" s="141"/>
      <c r="BE31" s="137"/>
      <c r="BF31" s="137"/>
      <c r="BG31" s="137"/>
      <c r="BH31" s="137"/>
      <c r="BI31" s="137"/>
      <c r="BJ31" s="138"/>
      <c r="BK31" s="47"/>
    </row>
    <row r="32" spans="1:63" ht="15" customHeight="1" x14ac:dyDescent="0.25">
      <c r="A32" s="46"/>
      <c r="B32" s="94"/>
      <c r="C32" s="95"/>
      <c r="D32" s="95"/>
      <c r="E32" s="95"/>
      <c r="F32" s="95"/>
      <c r="G32" s="96"/>
      <c r="H32" s="94"/>
      <c r="I32" s="95"/>
      <c r="J32" s="95"/>
      <c r="K32" s="95"/>
      <c r="L32" s="95"/>
      <c r="M32" s="95"/>
      <c r="N32" s="96"/>
      <c r="O32" s="94"/>
      <c r="P32" s="95"/>
      <c r="Q32" s="95"/>
      <c r="R32" s="95"/>
      <c r="S32" s="143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5"/>
      <c r="AX32" s="139"/>
      <c r="AY32" s="139"/>
      <c r="AZ32" s="139"/>
      <c r="BA32" s="139"/>
      <c r="BB32" s="139"/>
      <c r="BC32" s="140"/>
      <c r="BD32" s="142"/>
      <c r="BE32" s="139"/>
      <c r="BF32" s="139"/>
      <c r="BG32" s="139"/>
      <c r="BH32" s="139"/>
      <c r="BI32" s="139"/>
      <c r="BJ32" s="140"/>
      <c r="BK32" s="47"/>
    </row>
    <row r="33" spans="1:63" ht="15" customHeight="1" x14ac:dyDescent="0.25">
      <c r="A33" s="46"/>
      <c r="B33" s="88"/>
      <c r="C33" s="89"/>
      <c r="D33" s="89"/>
      <c r="E33" s="89"/>
      <c r="F33" s="89"/>
      <c r="G33" s="90"/>
      <c r="H33" s="88"/>
      <c r="I33" s="89"/>
      <c r="J33" s="89"/>
      <c r="K33" s="89"/>
      <c r="L33" s="89"/>
      <c r="M33" s="89"/>
      <c r="N33" s="90"/>
      <c r="O33" s="88"/>
      <c r="P33" s="89"/>
      <c r="Q33" s="89"/>
      <c r="R33" s="89"/>
      <c r="S33" s="134"/>
      <c r="T33" s="135"/>
      <c r="U33" s="135"/>
      <c r="V33" s="135"/>
      <c r="W33" s="135"/>
      <c r="X33" s="135"/>
      <c r="Y33" s="135"/>
      <c r="Z33" s="135"/>
      <c r="AA33" s="135"/>
      <c r="AB33" s="135"/>
      <c r="AC33" s="135"/>
      <c r="AD33" s="135"/>
      <c r="AE33" s="135"/>
      <c r="AF33" s="135"/>
      <c r="AG33" s="135"/>
      <c r="AH33" s="135"/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  <c r="AS33" s="135"/>
      <c r="AT33" s="135"/>
      <c r="AU33" s="135"/>
      <c r="AV33" s="135"/>
      <c r="AW33" s="136"/>
      <c r="AX33" s="137"/>
      <c r="AY33" s="137"/>
      <c r="AZ33" s="137"/>
      <c r="BA33" s="137"/>
      <c r="BB33" s="137"/>
      <c r="BC33" s="138"/>
      <c r="BD33" s="141"/>
      <c r="BE33" s="137"/>
      <c r="BF33" s="137"/>
      <c r="BG33" s="137"/>
      <c r="BH33" s="137"/>
      <c r="BI33" s="137"/>
      <c r="BJ33" s="138"/>
      <c r="BK33" s="47"/>
    </row>
    <row r="34" spans="1:63" ht="15" customHeight="1" x14ac:dyDescent="0.25">
      <c r="A34" s="46"/>
      <c r="B34" s="94"/>
      <c r="C34" s="95"/>
      <c r="D34" s="95"/>
      <c r="E34" s="95"/>
      <c r="F34" s="95"/>
      <c r="G34" s="96"/>
      <c r="H34" s="94"/>
      <c r="I34" s="95"/>
      <c r="J34" s="95"/>
      <c r="K34" s="95"/>
      <c r="L34" s="95"/>
      <c r="M34" s="95"/>
      <c r="N34" s="96"/>
      <c r="O34" s="94"/>
      <c r="P34" s="95"/>
      <c r="Q34" s="95"/>
      <c r="R34" s="95"/>
      <c r="S34" s="143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4"/>
      <c r="AM34" s="144"/>
      <c r="AN34" s="144"/>
      <c r="AO34" s="144"/>
      <c r="AP34" s="144"/>
      <c r="AQ34" s="144"/>
      <c r="AR34" s="144"/>
      <c r="AS34" s="144"/>
      <c r="AT34" s="144"/>
      <c r="AU34" s="144"/>
      <c r="AV34" s="144"/>
      <c r="AW34" s="145"/>
      <c r="AX34" s="139"/>
      <c r="AY34" s="139"/>
      <c r="AZ34" s="139"/>
      <c r="BA34" s="139"/>
      <c r="BB34" s="139"/>
      <c r="BC34" s="140"/>
      <c r="BD34" s="142"/>
      <c r="BE34" s="139"/>
      <c r="BF34" s="139"/>
      <c r="BG34" s="139"/>
      <c r="BH34" s="139"/>
      <c r="BI34" s="139"/>
      <c r="BJ34" s="140"/>
      <c r="BK34" s="47"/>
    </row>
    <row r="35" spans="1:63" ht="15" customHeight="1" x14ac:dyDescent="0.25">
      <c r="A35" s="46"/>
      <c r="B35" s="88"/>
      <c r="C35" s="89"/>
      <c r="D35" s="89"/>
      <c r="E35" s="89"/>
      <c r="F35" s="89"/>
      <c r="G35" s="90"/>
      <c r="H35" s="88"/>
      <c r="I35" s="89"/>
      <c r="J35" s="89"/>
      <c r="K35" s="89"/>
      <c r="L35" s="89"/>
      <c r="M35" s="89"/>
      <c r="N35" s="90"/>
      <c r="O35" s="88"/>
      <c r="P35" s="89"/>
      <c r="Q35" s="89"/>
      <c r="R35" s="89"/>
      <c r="S35" s="134"/>
      <c r="T35" s="135"/>
      <c r="U35" s="135"/>
      <c r="V35" s="135"/>
      <c r="W35" s="135"/>
      <c r="X35" s="135"/>
      <c r="Y35" s="135"/>
      <c r="Z35" s="135"/>
      <c r="AA35" s="135"/>
      <c r="AB35" s="135"/>
      <c r="AC35" s="135"/>
      <c r="AD35" s="135"/>
      <c r="AE35" s="135"/>
      <c r="AF35" s="135"/>
      <c r="AG35" s="135"/>
      <c r="AH35" s="135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  <c r="AS35" s="135"/>
      <c r="AT35" s="135"/>
      <c r="AU35" s="135"/>
      <c r="AV35" s="135"/>
      <c r="AW35" s="136"/>
      <c r="AX35" s="137"/>
      <c r="AY35" s="137"/>
      <c r="AZ35" s="137"/>
      <c r="BA35" s="137"/>
      <c r="BB35" s="137"/>
      <c r="BC35" s="138"/>
      <c r="BD35" s="141"/>
      <c r="BE35" s="137"/>
      <c r="BF35" s="137"/>
      <c r="BG35" s="137"/>
      <c r="BH35" s="137"/>
      <c r="BI35" s="137"/>
      <c r="BJ35" s="138"/>
      <c r="BK35" s="47"/>
    </row>
    <row r="36" spans="1:63" ht="15" customHeight="1" x14ac:dyDescent="0.25">
      <c r="A36" s="46"/>
      <c r="B36" s="94"/>
      <c r="C36" s="95"/>
      <c r="D36" s="95"/>
      <c r="E36" s="95"/>
      <c r="F36" s="95"/>
      <c r="G36" s="96"/>
      <c r="H36" s="94"/>
      <c r="I36" s="95"/>
      <c r="J36" s="95"/>
      <c r="K36" s="95"/>
      <c r="L36" s="95"/>
      <c r="M36" s="95"/>
      <c r="N36" s="96"/>
      <c r="O36" s="94"/>
      <c r="P36" s="95"/>
      <c r="Q36" s="95"/>
      <c r="R36" s="95"/>
      <c r="S36" s="143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4"/>
      <c r="AM36" s="144"/>
      <c r="AN36" s="144"/>
      <c r="AO36" s="144"/>
      <c r="AP36" s="144"/>
      <c r="AQ36" s="144"/>
      <c r="AR36" s="144"/>
      <c r="AS36" s="144"/>
      <c r="AT36" s="144"/>
      <c r="AU36" s="144"/>
      <c r="AV36" s="144"/>
      <c r="AW36" s="145"/>
      <c r="AX36" s="139"/>
      <c r="AY36" s="139"/>
      <c r="AZ36" s="139"/>
      <c r="BA36" s="139"/>
      <c r="BB36" s="139"/>
      <c r="BC36" s="140"/>
      <c r="BD36" s="142"/>
      <c r="BE36" s="139"/>
      <c r="BF36" s="139"/>
      <c r="BG36" s="139"/>
      <c r="BH36" s="139"/>
      <c r="BI36" s="139"/>
      <c r="BJ36" s="140"/>
      <c r="BK36" s="47"/>
    </row>
    <row r="37" spans="1:63" ht="15" customHeight="1" x14ac:dyDescent="0.25">
      <c r="A37" s="46"/>
      <c r="B37" s="88"/>
      <c r="C37" s="89"/>
      <c r="D37" s="89"/>
      <c r="E37" s="89"/>
      <c r="F37" s="89"/>
      <c r="G37" s="90"/>
      <c r="H37" s="88"/>
      <c r="I37" s="89"/>
      <c r="J37" s="89"/>
      <c r="K37" s="89"/>
      <c r="L37" s="89"/>
      <c r="M37" s="89"/>
      <c r="N37" s="90"/>
      <c r="O37" s="88"/>
      <c r="P37" s="89"/>
      <c r="Q37" s="89"/>
      <c r="R37" s="89"/>
      <c r="S37" s="134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135"/>
      <c r="AU37" s="135"/>
      <c r="AV37" s="135"/>
      <c r="AW37" s="136"/>
      <c r="AX37" s="137"/>
      <c r="AY37" s="137"/>
      <c r="AZ37" s="137"/>
      <c r="BA37" s="137"/>
      <c r="BB37" s="137"/>
      <c r="BC37" s="138"/>
      <c r="BD37" s="141"/>
      <c r="BE37" s="137"/>
      <c r="BF37" s="137"/>
      <c r="BG37" s="137"/>
      <c r="BH37" s="137"/>
      <c r="BI37" s="137"/>
      <c r="BJ37" s="138"/>
      <c r="BK37" s="47"/>
    </row>
    <row r="38" spans="1:63" ht="15" customHeight="1" x14ac:dyDescent="0.25">
      <c r="A38" s="46"/>
      <c r="B38" s="94"/>
      <c r="C38" s="95"/>
      <c r="D38" s="95"/>
      <c r="E38" s="95"/>
      <c r="F38" s="95"/>
      <c r="G38" s="96"/>
      <c r="H38" s="94"/>
      <c r="I38" s="95"/>
      <c r="J38" s="95"/>
      <c r="K38" s="95"/>
      <c r="L38" s="95"/>
      <c r="M38" s="95"/>
      <c r="N38" s="96"/>
      <c r="O38" s="94"/>
      <c r="P38" s="95"/>
      <c r="Q38" s="95"/>
      <c r="R38" s="95"/>
      <c r="S38" s="143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144"/>
      <c r="AG38" s="144"/>
      <c r="AH38" s="144"/>
      <c r="AI38" s="144"/>
      <c r="AJ38" s="144"/>
      <c r="AK38" s="144"/>
      <c r="AL38" s="144"/>
      <c r="AM38" s="144"/>
      <c r="AN38" s="144"/>
      <c r="AO38" s="144"/>
      <c r="AP38" s="144"/>
      <c r="AQ38" s="144"/>
      <c r="AR38" s="144"/>
      <c r="AS38" s="144"/>
      <c r="AT38" s="144"/>
      <c r="AU38" s="144"/>
      <c r="AV38" s="144"/>
      <c r="AW38" s="145"/>
      <c r="AX38" s="139"/>
      <c r="AY38" s="139"/>
      <c r="AZ38" s="139"/>
      <c r="BA38" s="139"/>
      <c r="BB38" s="139"/>
      <c r="BC38" s="140"/>
      <c r="BD38" s="142"/>
      <c r="BE38" s="139"/>
      <c r="BF38" s="139"/>
      <c r="BG38" s="139"/>
      <c r="BH38" s="139"/>
      <c r="BI38" s="139"/>
      <c r="BJ38" s="140"/>
      <c r="BK38" s="47"/>
    </row>
    <row r="39" spans="1:63" ht="15" customHeight="1" x14ac:dyDescent="0.25">
      <c r="A39" s="46"/>
      <c r="B39" s="88"/>
      <c r="C39" s="89"/>
      <c r="D39" s="89"/>
      <c r="E39" s="89"/>
      <c r="F39" s="89"/>
      <c r="G39" s="90"/>
      <c r="H39" s="88"/>
      <c r="I39" s="89"/>
      <c r="J39" s="89"/>
      <c r="K39" s="89"/>
      <c r="L39" s="89"/>
      <c r="M39" s="89"/>
      <c r="N39" s="90"/>
      <c r="O39" s="88"/>
      <c r="P39" s="89"/>
      <c r="Q39" s="89"/>
      <c r="R39" s="89"/>
      <c r="S39" s="134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  <c r="AH39" s="135"/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  <c r="AS39" s="135"/>
      <c r="AT39" s="135"/>
      <c r="AU39" s="135"/>
      <c r="AV39" s="135"/>
      <c r="AW39" s="136"/>
      <c r="AX39" s="137"/>
      <c r="AY39" s="137"/>
      <c r="AZ39" s="137"/>
      <c r="BA39" s="137"/>
      <c r="BB39" s="137"/>
      <c r="BC39" s="138"/>
      <c r="BD39" s="141"/>
      <c r="BE39" s="137"/>
      <c r="BF39" s="137"/>
      <c r="BG39" s="137"/>
      <c r="BH39" s="137"/>
      <c r="BI39" s="137"/>
      <c r="BJ39" s="138"/>
      <c r="BK39" s="47"/>
    </row>
    <row r="40" spans="1:63" ht="15" customHeight="1" x14ac:dyDescent="0.25">
      <c r="A40" s="46"/>
      <c r="B40" s="94"/>
      <c r="C40" s="95"/>
      <c r="D40" s="95"/>
      <c r="E40" s="95"/>
      <c r="F40" s="95"/>
      <c r="G40" s="96"/>
      <c r="H40" s="94"/>
      <c r="I40" s="95"/>
      <c r="J40" s="95"/>
      <c r="K40" s="95"/>
      <c r="L40" s="95"/>
      <c r="M40" s="95"/>
      <c r="N40" s="96"/>
      <c r="O40" s="94"/>
      <c r="P40" s="95"/>
      <c r="Q40" s="95"/>
      <c r="R40" s="95"/>
      <c r="S40" s="143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144"/>
      <c r="AG40" s="144"/>
      <c r="AH40" s="144"/>
      <c r="AI40" s="144"/>
      <c r="AJ40" s="144"/>
      <c r="AK40" s="144"/>
      <c r="AL40" s="144"/>
      <c r="AM40" s="144"/>
      <c r="AN40" s="144"/>
      <c r="AO40" s="144"/>
      <c r="AP40" s="144"/>
      <c r="AQ40" s="144"/>
      <c r="AR40" s="144"/>
      <c r="AS40" s="144"/>
      <c r="AT40" s="144"/>
      <c r="AU40" s="144"/>
      <c r="AV40" s="144"/>
      <c r="AW40" s="145"/>
      <c r="AX40" s="139"/>
      <c r="AY40" s="139"/>
      <c r="AZ40" s="139"/>
      <c r="BA40" s="139"/>
      <c r="BB40" s="139"/>
      <c r="BC40" s="140"/>
      <c r="BD40" s="142"/>
      <c r="BE40" s="139"/>
      <c r="BF40" s="139"/>
      <c r="BG40" s="139"/>
      <c r="BH40" s="139"/>
      <c r="BI40" s="139"/>
      <c r="BJ40" s="140"/>
      <c r="BK40" s="47"/>
    </row>
    <row r="41" spans="1:63" ht="15" customHeight="1" x14ac:dyDescent="0.25">
      <c r="A41" s="46"/>
      <c r="B41" s="88"/>
      <c r="C41" s="89"/>
      <c r="D41" s="89"/>
      <c r="E41" s="89"/>
      <c r="F41" s="89"/>
      <c r="G41" s="90"/>
      <c r="H41" s="88"/>
      <c r="I41" s="89"/>
      <c r="J41" s="89"/>
      <c r="K41" s="89"/>
      <c r="L41" s="89"/>
      <c r="M41" s="89"/>
      <c r="N41" s="90"/>
      <c r="O41" s="88"/>
      <c r="P41" s="89"/>
      <c r="Q41" s="89"/>
      <c r="R41" s="89"/>
      <c r="S41" s="134"/>
      <c r="T41" s="135"/>
      <c r="U41" s="135"/>
      <c r="V41" s="135"/>
      <c r="W41" s="135"/>
      <c r="X41" s="135"/>
      <c r="Y41" s="135"/>
      <c r="Z41" s="135"/>
      <c r="AA41" s="135"/>
      <c r="AB41" s="135"/>
      <c r="AC41" s="135"/>
      <c r="AD41" s="135"/>
      <c r="AE41" s="135"/>
      <c r="AF41" s="135"/>
      <c r="AG41" s="135"/>
      <c r="AH41" s="135"/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  <c r="AS41" s="135"/>
      <c r="AT41" s="135"/>
      <c r="AU41" s="135"/>
      <c r="AV41" s="135"/>
      <c r="AW41" s="136"/>
      <c r="AX41" s="137"/>
      <c r="AY41" s="137"/>
      <c r="AZ41" s="137"/>
      <c r="BA41" s="137"/>
      <c r="BB41" s="137"/>
      <c r="BC41" s="138"/>
      <c r="BD41" s="141"/>
      <c r="BE41" s="137"/>
      <c r="BF41" s="137"/>
      <c r="BG41" s="137"/>
      <c r="BH41" s="137"/>
      <c r="BI41" s="137"/>
      <c r="BJ41" s="138"/>
      <c r="BK41" s="47"/>
    </row>
    <row r="42" spans="1:63" ht="15" customHeight="1" x14ac:dyDescent="0.25">
      <c r="A42" s="46"/>
      <c r="B42" s="94"/>
      <c r="C42" s="95"/>
      <c r="D42" s="95"/>
      <c r="E42" s="95"/>
      <c r="F42" s="95"/>
      <c r="G42" s="96"/>
      <c r="H42" s="94"/>
      <c r="I42" s="95"/>
      <c r="J42" s="95"/>
      <c r="K42" s="95"/>
      <c r="L42" s="95"/>
      <c r="M42" s="95"/>
      <c r="N42" s="96"/>
      <c r="O42" s="94"/>
      <c r="P42" s="95"/>
      <c r="Q42" s="95"/>
      <c r="R42" s="95"/>
      <c r="S42" s="143"/>
      <c r="T42" s="144"/>
      <c r="U42" s="144"/>
      <c r="V42" s="144"/>
      <c r="W42" s="144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5"/>
      <c r="AX42" s="139"/>
      <c r="AY42" s="139"/>
      <c r="AZ42" s="139"/>
      <c r="BA42" s="139"/>
      <c r="BB42" s="139"/>
      <c r="BC42" s="140"/>
      <c r="BD42" s="142"/>
      <c r="BE42" s="139"/>
      <c r="BF42" s="139"/>
      <c r="BG42" s="139"/>
      <c r="BH42" s="139"/>
      <c r="BI42" s="139"/>
      <c r="BJ42" s="140"/>
      <c r="BK42" s="47"/>
    </row>
    <row r="43" spans="1:63" ht="15" customHeight="1" x14ac:dyDescent="0.25">
      <c r="A43" s="46"/>
      <c r="B43" s="88"/>
      <c r="C43" s="146"/>
      <c r="D43" s="146"/>
      <c r="E43" s="146"/>
      <c r="F43" s="146"/>
      <c r="G43" s="147"/>
      <c r="H43" s="148"/>
      <c r="I43" s="146"/>
      <c r="J43" s="146"/>
      <c r="K43" s="146"/>
      <c r="L43" s="146"/>
      <c r="M43" s="146"/>
      <c r="N43" s="147"/>
      <c r="O43" s="148"/>
      <c r="P43" s="146"/>
      <c r="Q43" s="146"/>
      <c r="R43" s="146"/>
      <c r="S43" s="149"/>
      <c r="T43" s="150"/>
      <c r="U43" s="150"/>
      <c r="V43" s="150"/>
      <c r="W43" s="150"/>
      <c r="X43" s="150"/>
      <c r="Y43" s="150"/>
      <c r="Z43" s="150"/>
      <c r="AA43" s="150"/>
      <c r="AB43" s="150"/>
      <c r="AC43" s="135"/>
      <c r="AD43" s="135"/>
      <c r="AE43" s="135"/>
      <c r="AF43" s="135"/>
      <c r="AG43" s="135"/>
      <c r="AH43" s="135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  <c r="AS43" s="135"/>
      <c r="AT43" s="135"/>
      <c r="AU43" s="135"/>
      <c r="AV43" s="135"/>
      <c r="AW43" s="136"/>
      <c r="AX43" s="137"/>
      <c r="AY43" s="137"/>
      <c r="AZ43" s="137"/>
      <c r="BA43" s="137"/>
      <c r="BB43" s="137"/>
      <c r="BC43" s="138"/>
      <c r="BD43" s="141"/>
      <c r="BE43" s="137"/>
      <c r="BF43" s="137"/>
      <c r="BG43" s="137"/>
      <c r="BH43" s="137"/>
      <c r="BI43" s="137"/>
      <c r="BJ43" s="138"/>
      <c r="BK43" s="47"/>
    </row>
    <row r="44" spans="1:63" ht="15" customHeight="1" x14ac:dyDescent="0.25">
      <c r="A44" s="46"/>
      <c r="B44" s="94"/>
      <c r="C44" s="95"/>
      <c r="D44" s="95"/>
      <c r="E44" s="95"/>
      <c r="F44" s="95"/>
      <c r="G44" s="96"/>
      <c r="H44" s="94"/>
      <c r="I44" s="95"/>
      <c r="J44" s="95"/>
      <c r="K44" s="95"/>
      <c r="L44" s="95"/>
      <c r="M44" s="95"/>
      <c r="N44" s="96"/>
      <c r="O44" s="94"/>
      <c r="P44" s="95"/>
      <c r="Q44" s="95"/>
      <c r="R44" s="95"/>
      <c r="S44" s="143"/>
      <c r="T44" s="144"/>
      <c r="U44" s="144"/>
      <c r="V44" s="144"/>
      <c r="W44" s="144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4"/>
      <c r="AM44" s="144"/>
      <c r="AN44" s="144"/>
      <c r="AO44" s="144"/>
      <c r="AP44" s="144"/>
      <c r="AQ44" s="144"/>
      <c r="AR44" s="144"/>
      <c r="AS44" s="144"/>
      <c r="AT44" s="144"/>
      <c r="AU44" s="144"/>
      <c r="AV44" s="144"/>
      <c r="AW44" s="145"/>
      <c r="AX44" s="139"/>
      <c r="AY44" s="139"/>
      <c r="AZ44" s="139"/>
      <c r="BA44" s="139"/>
      <c r="BB44" s="139"/>
      <c r="BC44" s="140"/>
      <c r="BD44" s="142"/>
      <c r="BE44" s="139"/>
      <c r="BF44" s="139"/>
      <c r="BG44" s="139"/>
      <c r="BH44" s="139"/>
      <c r="BI44" s="139"/>
      <c r="BJ44" s="140"/>
      <c r="BK44" s="47"/>
    </row>
    <row r="45" spans="1:63" ht="15" customHeight="1" x14ac:dyDescent="0.25">
      <c r="A45" s="46"/>
      <c r="B45" s="88"/>
      <c r="C45" s="89"/>
      <c r="D45" s="89"/>
      <c r="E45" s="89"/>
      <c r="F45" s="89"/>
      <c r="G45" s="90"/>
      <c r="H45" s="88"/>
      <c r="I45" s="89"/>
      <c r="J45" s="89"/>
      <c r="K45" s="89"/>
      <c r="L45" s="89"/>
      <c r="M45" s="89"/>
      <c r="N45" s="90"/>
      <c r="O45" s="88"/>
      <c r="P45" s="89"/>
      <c r="Q45" s="89"/>
      <c r="R45" s="89"/>
      <c r="S45" s="134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  <c r="AS45" s="135"/>
      <c r="AT45" s="135"/>
      <c r="AU45" s="135"/>
      <c r="AV45" s="135"/>
      <c r="AW45" s="136"/>
      <c r="AX45" s="137"/>
      <c r="AY45" s="137"/>
      <c r="AZ45" s="137"/>
      <c r="BA45" s="137"/>
      <c r="BB45" s="137"/>
      <c r="BC45" s="138"/>
      <c r="BD45" s="141"/>
      <c r="BE45" s="137"/>
      <c r="BF45" s="137"/>
      <c r="BG45" s="137"/>
      <c r="BH45" s="137"/>
      <c r="BI45" s="137"/>
      <c r="BJ45" s="138"/>
      <c r="BK45" s="47"/>
    </row>
    <row r="46" spans="1:63" ht="15" customHeight="1" x14ac:dyDescent="0.25">
      <c r="A46" s="46"/>
      <c r="B46" s="94"/>
      <c r="C46" s="95"/>
      <c r="D46" s="95"/>
      <c r="E46" s="95"/>
      <c r="F46" s="95"/>
      <c r="G46" s="96"/>
      <c r="H46" s="94"/>
      <c r="I46" s="95"/>
      <c r="J46" s="95"/>
      <c r="K46" s="95"/>
      <c r="L46" s="95"/>
      <c r="M46" s="95"/>
      <c r="N46" s="96"/>
      <c r="O46" s="94"/>
      <c r="P46" s="95"/>
      <c r="Q46" s="95"/>
      <c r="R46" s="95"/>
      <c r="S46" s="143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4"/>
      <c r="AM46" s="144"/>
      <c r="AN46" s="144"/>
      <c r="AO46" s="144"/>
      <c r="AP46" s="144"/>
      <c r="AQ46" s="144"/>
      <c r="AR46" s="144"/>
      <c r="AS46" s="144"/>
      <c r="AT46" s="144"/>
      <c r="AU46" s="144"/>
      <c r="AV46" s="144"/>
      <c r="AW46" s="145"/>
      <c r="AX46" s="139"/>
      <c r="AY46" s="139"/>
      <c r="AZ46" s="139"/>
      <c r="BA46" s="139"/>
      <c r="BB46" s="139"/>
      <c r="BC46" s="140"/>
      <c r="BD46" s="142"/>
      <c r="BE46" s="139"/>
      <c r="BF46" s="139"/>
      <c r="BG46" s="139"/>
      <c r="BH46" s="139"/>
      <c r="BI46" s="139"/>
      <c r="BJ46" s="140"/>
      <c r="BK46" s="47"/>
    </row>
    <row r="47" spans="1:63" ht="15" customHeight="1" x14ac:dyDescent="0.25">
      <c r="A47" s="46"/>
      <c r="B47" s="88"/>
      <c r="C47" s="89"/>
      <c r="D47" s="89"/>
      <c r="E47" s="89"/>
      <c r="F47" s="89"/>
      <c r="G47" s="90"/>
      <c r="H47" s="88"/>
      <c r="I47" s="89"/>
      <c r="J47" s="89"/>
      <c r="K47" s="89"/>
      <c r="L47" s="89"/>
      <c r="M47" s="89"/>
      <c r="N47" s="90"/>
      <c r="O47" s="88"/>
      <c r="P47" s="89"/>
      <c r="Q47" s="89"/>
      <c r="R47" s="89"/>
      <c r="S47" s="134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  <c r="AS47" s="135"/>
      <c r="AT47" s="135"/>
      <c r="AU47" s="135"/>
      <c r="AV47" s="135"/>
      <c r="AW47" s="136"/>
      <c r="AX47" s="137"/>
      <c r="AY47" s="137"/>
      <c r="AZ47" s="137"/>
      <c r="BA47" s="137"/>
      <c r="BB47" s="137"/>
      <c r="BC47" s="138"/>
      <c r="BD47" s="141"/>
      <c r="BE47" s="137"/>
      <c r="BF47" s="137"/>
      <c r="BG47" s="137"/>
      <c r="BH47" s="137"/>
      <c r="BI47" s="137"/>
      <c r="BJ47" s="138"/>
      <c r="BK47" s="47"/>
    </row>
    <row r="48" spans="1:63" ht="15" customHeight="1" x14ac:dyDescent="0.25">
      <c r="A48" s="46"/>
      <c r="B48" s="94"/>
      <c r="C48" s="95"/>
      <c r="D48" s="95"/>
      <c r="E48" s="95"/>
      <c r="F48" s="95"/>
      <c r="G48" s="96"/>
      <c r="H48" s="94"/>
      <c r="I48" s="95"/>
      <c r="J48" s="95"/>
      <c r="K48" s="95"/>
      <c r="L48" s="95"/>
      <c r="M48" s="95"/>
      <c r="N48" s="96"/>
      <c r="O48" s="94"/>
      <c r="P48" s="95"/>
      <c r="Q48" s="95"/>
      <c r="R48" s="95"/>
      <c r="S48" s="143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5"/>
      <c r="AX48" s="139"/>
      <c r="AY48" s="139"/>
      <c r="AZ48" s="139"/>
      <c r="BA48" s="139"/>
      <c r="BB48" s="139"/>
      <c r="BC48" s="140"/>
      <c r="BD48" s="142"/>
      <c r="BE48" s="139"/>
      <c r="BF48" s="139"/>
      <c r="BG48" s="139"/>
      <c r="BH48" s="139"/>
      <c r="BI48" s="139"/>
      <c r="BJ48" s="140"/>
      <c r="BK48" s="47"/>
    </row>
    <row r="49" spans="1:63" ht="15" customHeight="1" x14ac:dyDescent="0.25">
      <c r="A49" s="46"/>
      <c r="B49" s="88"/>
      <c r="C49" s="89"/>
      <c r="D49" s="89"/>
      <c r="E49" s="89"/>
      <c r="F49" s="89"/>
      <c r="G49" s="90"/>
      <c r="H49" s="88"/>
      <c r="I49" s="89"/>
      <c r="J49" s="89"/>
      <c r="K49" s="89"/>
      <c r="L49" s="89"/>
      <c r="M49" s="89"/>
      <c r="N49" s="90"/>
      <c r="O49" s="88"/>
      <c r="P49" s="89"/>
      <c r="Q49" s="89"/>
      <c r="R49" s="89"/>
      <c r="S49" s="134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  <c r="AS49" s="135"/>
      <c r="AT49" s="135"/>
      <c r="AU49" s="135"/>
      <c r="AV49" s="135"/>
      <c r="AW49" s="136"/>
      <c r="AX49" s="137"/>
      <c r="AY49" s="137"/>
      <c r="AZ49" s="137"/>
      <c r="BA49" s="137"/>
      <c r="BB49" s="137"/>
      <c r="BC49" s="138"/>
      <c r="BD49" s="141"/>
      <c r="BE49" s="137"/>
      <c r="BF49" s="137"/>
      <c r="BG49" s="137"/>
      <c r="BH49" s="137"/>
      <c r="BI49" s="137"/>
      <c r="BJ49" s="138"/>
      <c r="BK49" s="47"/>
    </row>
    <row r="50" spans="1:63" ht="15" customHeight="1" x14ac:dyDescent="0.25">
      <c r="A50" s="46"/>
      <c r="B50" s="94"/>
      <c r="C50" s="95"/>
      <c r="D50" s="95"/>
      <c r="E50" s="95"/>
      <c r="F50" s="95"/>
      <c r="G50" s="96"/>
      <c r="H50" s="94"/>
      <c r="I50" s="95"/>
      <c r="J50" s="95"/>
      <c r="K50" s="95"/>
      <c r="L50" s="95"/>
      <c r="M50" s="95"/>
      <c r="N50" s="96"/>
      <c r="O50" s="94"/>
      <c r="P50" s="95"/>
      <c r="Q50" s="95"/>
      <c r="R50" s="95"/>
      <c r="S50" s="143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5"/>
      <c r="AX50" s="139"/>
      <c r="AY50" s="139"/>
      <c r="AZ50" s="139"/>
      <c r="BA50" s="139"/>
      <c r="BB50" s="139"/>
      <c r="BC50" s="140"/>
      <c r="BD50" s="142"/>
      <c r="BE50" s="139"/>
      <c r="BF50" s="139"/>
      <c r="BG50" s="139"/>
      <c r="BH50" s="139"/>
      <c r="BI50" s="139"/>
      <c r="BJ50" s="140"/>
      <c r="BK50" s="47"/>
    </row>
    <row r="51" spans="1:63" ht="15" customHeight="1" x14ac:dyDescent="0.25">
      <c r="A51" s="46"/>
      <c r="B51" s="88"/>
      <c r="C51" s="89"/>
      <c r="D51" s="89"/>
      <c r="E51" s="89"/>
      <c r="F51" s="89"/>
      <c r="G51" s="90"/>
      <c r="H51" s="88"/>
      <c r="I51" s="89"/>
      <c r="J51" s="89"/>
      <c r="K51" s="89"/>
      <c r="L51" s="89"/>
      <c r="M51" s="89"/>
      <c r="N51" s="90"/>
      <c r="O51" s="88"/>
      <c r="P51" s="89"/>
      <c r="Q51" s="89"/>
      <c r="R51" s="89"/>
      <c r="S51" s="134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135"/>
      <c r="AW51" s="136"/>
      <c r="AX51" s="137"/>
      <c r="AY51" s="137"/>
      <c r="AZ51" s="137"/>
      <c r="BA51" s="137"/>
      <c r="BB51" s="137"/>
      <c r="BC51" s="138"/>
      <c r="BD51" s="141"/>
      <c r="BE51" s="137"/>
      <c r="BF51" s="137"/>
      <c r="BG51" s="137"/>
      <c r="BH51" s="137"/>
      <c r="BI51" s="137"/>
      <c r="BJ51" s="138"/>
      <c r="BK51" s="47"/>
    </row>
    <row r="52" spans="1:63" ht="15" customHeight="1" x14ac:dyDescent="0.25">
      <c r="A52" s="46"/>
      <c r="B52" s="94"/>
      <c r="C52" s="95"/>
      <c r="D52" s="95"/>
      <c r="E52" s="95"/>
      <c r="F52" s="95"/>
      <c r="G52" s="96"/>
      <c r="H52" s="94"/>
      <c r="I52" s="95"/>
      <c r="J52" s="95"/>
      <c r="K52" s="95"/>
      <c r="L52" s="95"/>
      <c r="M52" s="95"/>
      <c r="N52" s="96"/>
      <c r="O52" s="94"/>
      <c r="P52" s="95"/>
      <c r="Q52" s="95"/>
      <c r="R52" s="95"/>
      <c r="S52" s="143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144"/>
      <c r="AR52" s="144"/>
      <c r="AS52" s="144"/>
      <c r="AT52" s="144"/>
      <c r="AU52" s="144"/>
      <c r="AV52" s="144"/>
      <c r="AW52" s="145"/>
      <c r="AX52" s="139"/>
      <c r="AY52" s="139"/>
      <c r="AZ52" s="139"/>
      <c r="BA52" s="139"/>
      <c r="BB52" s="139"/>
      <c r="BC52" s="140"/>
      <c r="BD52" s="142"/>
      <c r="BE52" s="139"/>
      <c r="BF52" s="139"/>
      <c r="BG52" s="139"/>
      <c r="BH52" s="139"/>
      <c r="BI52" s="139"/>
      <c r="BJ52" s="140"/>
      <c r="BK52" s="47"/>
    </row>
    <row r="53" spans="1:63" ht="15" customHeight="1" x14ac:dyDescent="0.25">
      <c r="A53" s="46"/>
      <c r="B53" s="88"/>
      <c r="C53" s="89"/>
      <c r="D53" s="89"/>
      <c r="E53" s="89"/>
      <c r="F53" s="89"/>
      <c r="G53" s="90"/>
      <c r="H53" s="88"/>
      <c r="I53" s="89"/>
      <c r="J53" s="89"/>
      <c r="K53" s="89"/>
      <c r="L53" s="89"/>
      <c r="M53" s="89"/>
      <c r="N53" s="90"/>
      <c r="O53" s="88"/>
      <c r="P53" s="89"/>
      <c r="Q53" s="89"/>
      <c r="R53" s="89"/>
      <c r="S53" s="134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  <c r="AS53" s="135"/>
      <c r="AT53" s="135"/>
      <c r="AU53" s="135"/>
      <c r="AV53" s="135"/>
      <c r="AW53" s="136"/>
      <c r="AX53" s="137"/>
      <c r="AY53" s="137"/>
      <c r="AZ53" s="137"/>
      <c r="BA53" s="137"/>
      <c r="BB53" s="137"/>
      <c r="BC53" s="138"/>
      <c r="BD53" s="141"/>
      <c r="BE53" s="137"/>
      <c r="BF53" s="137"/>
      <c r="BG53" s="137"/>
      <c r="BH53" s="137"/>
      <c r="BI53" s="137"/>
      <c r="BJ53" s="138"/>
      <c r="BK53" s="47"/>
    </row>
    <row r="54" spans="1:63" ht="15" customHeight="1" x14ac:dyDescent="0.25">
      <c r="A54" s="46"/>
      <c r="B54" s="94"/>
      <c r="C54" s="95"/>
      <c r="D54" s="95"/>
      <c r="E54" s="95"/>
      <c r="F54" s="95"/>
      <c r="G54" s="96"/>
      <c r="H54" s="94"/>
      <c r="I54" s="95"/>
      <c r="J54" s="95"/>
      <c r="K54" s="95"/>
      <c r="L54" s="95"/>
      <c r="M54" s="95"/>
      <c r="N54" s="96"/>
      <c r="O54" s="94"/>
      <c r="P54" s="95"/>
      <c r="Q54" s="95"/>
      <c r="R54" s="95"/>
      <c r="S54" s="143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4"/>
      <c r="AS54" s="144"/>
      <c r="AT54" s="144"/>
      <c r="AU54" s="144"/>
      <c r="AV54" s="144"/>
      <c r="AW54" s="145"/>
      <c r="AX54" s="139"/>
      <c r="AY54" s="139"/>
      <c r="AZ54" s="139"/>
      <c r="BA54" s="139"/>
      <c r="BB54" s="139"/>
      <c r="BC54" s="140"/>
      <c r="BD54" s="142"/>
      <c r="BE54" s="139"/>
      <c r="BF54" s="139"/>
      <c r="BG54" s="139"/>
      <c r="BH54" s="139"/>
      <c r="BI54" s="139"/>
      <c r="BJ54" s="140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85" t="s">
        <v>84</v>
      </c>
      <c r="B1" s="186"/>
      <c r="C1" s="186"/>
      <c r="D1" s="186"/>
      <c r="E1" s="186"/>
      <c r="F1" s="186"/>
      <c r="G1" s="186"/>
      <c r="H1" s="186"/>
      <c r="I1" s="186"/>
      <c r="J1" s="187"/>
      <c r="K1" s="185" t="s">
        <v>85</v>
      </c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  <c r="W1" s="188" t="str">
        <f>IF(表紙!W1="","",表紙!W1)</f>
        <v>詳細設計書</v>
      </c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90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179" t="str">
        <f>IF(表紙!A2="","",表紙!A2)</f>
        <v>POSサーバー</v>
      </c>
      <c r="B2" s="180"/>
      <c r="C2" s="180"/>
      <c r="D2" s="180"/>
      <c r="E2" s="180"/>
      <c r="F2" s="180"/>
      <c r="G2" s="180"/>
      <c r="H2" s="180"/>
      <c r="I2" s="180"/>
      <c r="J2" s="181"/>
      <c r="K2" s="179" t="str">
        <f>IF(表紙!K2="","",表紙!K2)</f>
        <v>POSサーバー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91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  <c r="AL2" s="192"/>
      <c r="AM2" s="192"/>
      <c r="AN2" s="192"/>
      <c r="AO2" s="193"/>
      <c r="AP2" s="88" t="str">
        <f>IF(表紙!AP2="","",表紙!AP2)</f>
        <v>DuNT</v>
      </c>
      <c r="AQ2" s="89"/>
      <c r="AR2" s="89"/>
      <c r="AS2" s="90"/>
      <c r="AT2" s="118">
        <f>IF(表紙!AT2="","",表紙!AT2)</f>
        <v>45490</v>
      </c>
      <c r="AU2" s="119"/>
      <c r="AV2" s="119"/>
      <c r="AW2" s="119"/>
      <c r="AX2" s="120"/>
      <c r="AY2" s="88" t="str">
        <f>IF(表紙!AY2="","",表紙!AY2)</f>
        <v>TinNH</v>
      </c>
      <c r="AZ2" s="89"/>
      <c r="BA2" s="89"/>
      <c r="BB2" s="90"/>
      <c r="BC2" s="118">
        <f>IF(表紙!BC2="","",表紙!BC2)</f>
        <v>45596</v>
      </c>
      <c r="BD2" s="119"/>
      <c r="BE2" s="119"/>
      <c r="BF2" s="119"/>
      <c r="BG2" s="120"/>
      <c r="BH2" s="88">
        <f>IF(表紙!BH2="","",表紙!BH2)</f>
        <v>0.5</v>
      </c>
      <c r="BI2" s="89"/>
      <c r="BJ2" s="89"/>
      <c r="BK2" s="90"/>
    </row>
    <row r="3" spans="1:63" ht="15" customHeight="1" x14ac:dyDescent="0.25">
      <c r="A3" s="182"/>
      <c r="B3" s="183"/>
      <c r="C3" s="183"/>
      <c r="D3" s="183"/>
      <c r="E3" s="183"/>
      <c r="F3" s="183"/>
      <c r="G3" s="183"/>
      <c r="H3" s="183"/>
      <c r="I3" s="183"/>
      <c r="J3" s="184"/>
      <c r="K3" s="182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4"/>
      <c r="W3" s="194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6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94"/>
      <c r="BI3" s="95"/>
      <c r="BJ3" s="95"/>
      <c r="BK3" s="96"/>
    </row>
    <row r="4" spans="1:63" ht="24.95" customHeight="1" x14ac:dyDescent="0.25">
      <c r="A4" s="185" t="s">
        <v>93</v>
      </c>
      <c r="B4" s="186"/>
      <c r="C4" s="186"/>
      <c r="D4" s="186"/>
      <c r="E4" s="186"/>
      <c r="F4" s="186"/>
      <c r="G4" s="187"/>
      <c r="H4" s="197" t="str">
        <f>IF(表紙!H4="","",表紙!H4)</f>
        <v>AP7101</v>
      </c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9"/>
      <c r="U4" s="185" t="s">
        <v>94</v>
      </c>
      <c r="V4" s="186"/>
      <c r="W4" s="186"/>
      <c r="X4" s="186"/>
      <c r="Y4" s="187"/>
      <c r="Z4" s="197" t="str">
        <f>IF(表紙!Z4="","",表紙!Z4)</f>
        <v>API設計書</v>
      </c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9"/>
      <c r="AP4" s="200" t="str">
        <f ca="1">MID(CELL("filename",A1),FIND("]",CELL("filename",A1))+1,255)</f>
        <v>処理フロー凡例</v>
      </c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2" customFormat="1" ht="15" customHeight="1" x14ac:dyDescent="0.25">
      <c r="A7" s="58"/>
      <c r="B7" s="59" t="s">
        <v>102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1"/>
      <c r="AF7" s="62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3:63" s="64" customFormat="1" ht="15" customHeight="1" x14ac:dyDescent="0.25">
      <c r="BK33" s="63"/>
    </row>
    <row r="34" spans="3:63" s="64" customFormat="1" ht="15" customHeight="1" x14ac:dyDescent="0.25">
      <c r="BK34" s="63"/>
    </row>
    <row r="35" spans="3:63" s="64" customFormat="1" ht="15" customHeight="1" x14ac:dyDescent="0.25">
      <c r="BK35" s="63"/>
    </row>
    <row r="36" spans="3:63" s="64" customFormat="1" ht="15" customHeight="1" x14ac:dyDescent="0.25">
      <c r="BK36" s="63"/>
    </row>
    <row r="37" spans="3:63" s="64" customFormat="1" ht="15" customHeight="1" x14ac:dyDescent="0.25">
      <c r="BK37" s="63"/>
    </row>
    <row r="38" spans="3:63" s="64" customFormat="1" ht="15" customHeight="1" x14ac:dyDescent="0.25">
      <c r="BK38" s="63"/>
    </row>
    <row r="39" spans="3:63" s="64" customFormat="1" ht="15" customHeight="1" x14ac:dyDescent="0.25">
      <c r="BK39" s="63"/>
    </row>
    <row r="40" spans="3:63" s="64" customFormat="1" ht="15" customHeight="1" x14ac:dyDescent="0.25">
      <c r="BK40" s="63"/>
    </row>
    <row r="41" spans="3:63" s="64" customFormat="1" ht="15" customHeight="1" x14ac:dyDescent="0.25">
      <c r="BK41" s="63"/>
    </row>
    <row r="42" spans="3:63" s="64" customFormat="1" ht="15" customHeight="1" x14ac:dyDescent="0.25">
      <c r="BK42" s="63"/>
    </row>
    <row r="43" spans="3:63" s="64" customFormat="1" ht="15" customHeight="1" x14ac:dyDescent="0.25"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BK43" s="63"/>
    </row>
    <row r="44" spans="3:63" s="64" customFormat="1" ht="15" customHeight="1" x14ac:dyDescent="0.25">
      <c r="BK44" s="63"/>
    </row>
    <row r="45" spans="3:63" s="64" customFormat="1" ht="15" customHeight="1" x14ac:dyDescent="0.25">
      <c r="BK45" s="63"/>
    </row>
    <row r="46" spans="3:63" s="64" customFormat="1" ht="15" customHeight="1" x14ac:dyDescent="0.25">
      <c r="BK46" s="63"/>
    </row>
    <row r="47" spans="3:63" ht="15" customHeight="1" x14ac:dyDescent="0.25">
      <c r="BK47" s="5"/>
    </row>
    <row r="48" spans="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10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85" t="s">
        <v>84</v>
      </c>
      <c r="B1" s="186"/>
      <c r="C1" s="186"/>
      <c r="D1" s="186"/>
      <c r="E1" s="186"/>
      <c r="F1" s="186"/>
      <c r="G1" s="186"/>
      <c r="H1" s="186"/>
      <c r="I1" s="186"/>
      <c r="J1" s="187"/>
      <c r="K1" s="185" t="s">
        <v>85</v>
      </c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  <c r="W1" s="188" t="str">
        <f>IF(表紙!W1="","",表紙!W1)</f>
        <v>詳細設計書</v>
      </c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90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179" t="str">
        <f>IF(表紙!A2="","",表紙!A2)</f>
        <v>POSサーバー</v>
      </c>
      <c r="B2" s="180"/>
      <c r="C2" s="180"/>
      <c r="D2" s="180"/>
      <c r="E2" s="180"/>
      <c r="F2" s="180"/>
      <c r="G2" s="180"/>
      <c r="H2" s="180"/>
      <c r="I2" s="180"/>
      <c r="J2" s="181"/>
      <c r="K2" s="179" t="str">
        <f>IF(表紙!K2="","",表紙!K2)</f>
        <v>POSサーバー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91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  <c r="AL2" s="192"/>
      <c r="AM2" s="192"/>
      <c r="AN2" s="192"/>
      <c r="AO2" s="193"/>
      <c r="AP2" s="88" t="str">
        <f>IF(表紙!AP2="","",表紙!AP2)</f>
        <v>DuNT</v>
      </c>
      <c r="AQ2" s="89"/>
      <c r="AR2" s="89"/>
      <c r="AS2" s="90"/>
      <c r="AT2" s="118">
        <f>IF(表紙!AT2="","",表紙!AT2)</f>
        <v>45490</v>
      </c>
      <c r="AU2" s="119"/>
      <c r="AV2" s="119"/>
      <c r="AW2" s="119"/>
      <c r="AX2" s="120"/>
      <c r="AY2" s="88" t="str">
        <f>IF(表紙!AY2="","",表紙!AY2)</f>
        <v>TinNH</v>
      </c>
      <c r="AZ2" s="89"/>
      <c r="BA2" s="89"/>
      <c r="BB2" s="90"/>
      <c r="BC2" s="118">
        <f>IF(表紙!BC2="","",表紙!BC2)</f>
        <v>45596</v>
      </c>
      <c r="BD2" s="119"/>
      <c r="BE2" s="119"/>
      <c r="BF2" s="119"/>
      <c r="BG2" s="120"/>
      <c r="BH2" s="88">
        <f>IF(表紙!BH2="","",表紙!BH2)</f>
        <v>0.5</v>
      </c>
      <c r="BI2" s="89"/>
      <c r="BJ2" s="89"/>
      <c r="BK2" s="90"/>
    </row>
    <row r="3" spans="1:63" ht="15" customHeight="1" x14ac:dyDescent="0.25">
      <c r="A3" s="182"/>
      <c r="B3" s="183"/>
      <c r="C3" s="183"/>
      <c r="D3" s="183"/>
      <c r="E3" s="183"/>
      <c r="F3" s="183"/>
      <c r="G3" s="183"/>
      <c r="H3" s="183"/>
      <c r="I3" s="183"/>
      <c r="J3" s="184"/>
      <c r="K3" s="182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4"/>
      <c r="W3" s="194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6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94"/>
      <c r="BI3" s="95"/>
      <c r="BJ3" s="95"/>
      <c r="BK3" s="96"/>
    </row>
    <row r="4" spans="1:63" ht="24.95" customHeight="1" x14ac:dyDescent="0.25">
      <c r="A4" s="185" t="s">
        <v>93</v>
      </c>
      <c r="B4" s="186"/>
      <c r="C4" s="186"/>
      <c r="D4" s="186"/>
      <c r="E4" s="186"/>
      <c r="F4" s="186"/>
      <c r="G4" s="187"/>
      <c r="H4" s="197" t="str">
        <f>IF(表紙!H4="","",表紙!H4)</f>
        <v>AP7101</v>
      </c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9"/>
      <c r="U4" s="185" t="s">
        <v>94</v>
      </c>
      <c r="V4" s="186"/>
      <c r="W4" s="186"/>
      <c r="X4" s="186"/>
      <c r="Y4" s="187"/>
      <c r="Z4" s="197" t="str">
        <f>IF(表紙!Z4="","",表紙!Z4)</f>
        <v>API設計書</v>
      </c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9"/>
      <c r="AP4" s="200" t="str">
        <f ca="1">MID(CELL("filename",A1),FIND("]",CELL("filename",A1))+1,255)</f>
        <v>AP7101</v>
      </c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103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65"/>
      <c r="AQ7" s="65"/>
      <c r="AR7" s="65"/>
      <c r="AS7" s="6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66"/>
      <c r="AQ8" s="66"/>
      <c r="AR8" s="66"/>
      <c r="AS8" s="66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22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66"/>
      <c r="AQ9" s="66"/>
      <c r="AR9" s="66"/>
      <c r="AS9" s="66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66"/>
      <c r="AQ10" s="66"/>
      <c r="AR10" s="66"/>
      <c r="AS10" s="66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1"/>
      <c r="BI11" s="21"/>
      <c r="BJ11" s="21"/>
      <c r="BK11" s="17"/>
    </row>
    <row r="12" spans="1:63" s="18" customFormat="1" ht="15" customHeight="1" x14ac:dyDescent="0.25">
      <c r="A12" s="13"/>
      <c r="B12" s="22" t="s">
        <v>104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6"/>
      <c r="BI12" s="16"/>
      <c r="BJ12" s="16"/>
      <c r="BK12" s="17"/>
    </row>
    <row r="13" spans="1:63" s="18" customFormat="1" ht="15" customHeight="1" x14ac:dyDescent="0.25">
      <c r="A13" s="13"/>
      <c r="B13" s="20"/>
      <c r="C13" s="23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23" t="s">
        <v>105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9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1"/>
      <c r="BI15" s="21"/>
      <c r="BJ15" s="21"/>
      <c r="BK15" s="17"/>
    </row>
    <row r="16" spans="1:63" s="18" customFormat="1" ht="15" customHeight="1" x14ac:dyDescent="0.25">
      <c r="A16" s="13"/>
      <c r="B16" s="20"/>
      <c r="C16" s="214" t="s">
        <v>12</v>
      </c>
      <c r="D16" s="216"/>
      <c r="E16" s="214" t="s">
        <v>13</v>
      </c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6"/>
      <c r="AG16" s="214" t="s">
        <v>14</v>
      </c>
      <c r="AH16" s="215"/>
      <c r="AI16" s="215"/>
      <c r="AJ16" s="215"/>
      <c r="AK16" s="215"/>
      <c r="AL16" s="215"/>
      <c r="AM16" s="215"/>
      <c r="AN16" s="215"/>
      <c r="AO16" s="215"/>
      <c r="AP16" s="216"/>
      <c r="AQ16" s="214" t="s">
        <v>15</v>
      </c>
      <c r="AR16" s="215"/>
      <c r="AS16" s="215"/>
      <c r="AT16" s="215"/>
      <c r="AU16" s="215"/>
      <c r="AV16" s="215"/>
      <c r="AW16" s="215"/>
      <c r="AX16" s="215"/>
      <c r="AY16" s="215"/>
      <c r="AZ16" s="215"/>
      <c r="BA16" s="215"/>
      <c r="BB16" s="215"/>
      <c r="BC16" s="215"/>
      <c r="BD16" s="215"/>
      <c r="BE16" s="215"/>
      <c r="BF16" s="215"/>
      <c r="BG16" s="215"/>
      <c r="BH16" s="215"/>
      <c r="BI16" s="215"/>
      <c r="BJ16" s="216"/>
      <c r="BK16" s="17"/>
    </row>
    <row r="17" spans="1:63" s="18" customFormat="1" ht="15" customHeight="1" x14ac:dyDescent="0.25">
      <c r="A17" s="13"/>
      <c r="B17" s="20"/>
      <c r="C17" s="201">
        <v>1</v>
      </c>
      <c r="D17" s="202"/>
      <c r="E17" s="207" t="s">
        <v>83</v>
      </c>
      <c r="F17" s="256"/>
      <c r="G17" s="256"/>
      <c r="H17" s="256"/>
      <c r="I17" s="256"/>
      <c r="J17" s="256"/>
      <c r="K17" s="256"/>
      <c r="L17" s="256"/>
      <c r="M17" s="256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  <c r="Y17" s="256"/>
      <c r="Z17" s="256"/>
      <c r="AA17" s="256"/>
      <c r="AB17" s="256"/>
      <c r="AC17" s="256"/>
      <c r="AD17" s="256"/>
      <c r="AE17" s="256"/>
      <c r="AF17" s="257"/>
      <c r="AG17" s="201" t="s">
        <v>23</v>
      </c>
      <c r="AH17" s="203"/>
      <c r="AI17" s="203"/>
      <c r="AJ17" s="203"/>
      <c r="AK17" s="203"/>
      <c r="AL17" s="203"/>
      <c r="AM17" s="203"/>
      <c r="AN17" s="203"/>
      <c r="AO17" s="203"/>
      <c r="AP17" s="202"/>
      <c r="AQ17" s="208"/>
      <c r="AR17" s="209"/>
      <c r="AS17" s="209"/>
      <c r="AT17" s="209"/>
      <c r="AU17" s="209"/>
      <c r="AV17" s="209"/>
      <c r="AW17" s="209"/>
      <c r="AX17" s="209"/>
      <c r="AY17" s="209"/>
      <c r="AZ17" s="209"/>
      <c r="BA17" s="209"/>
      <c r="BB17" s="209"/>
      <c r="BC17" s="209"/>
      <c r="BD17" s="209"/>
      <c r="BE17" s="209"/>
      <c r="BF17" s="209"/>
      <c r="BG17" s="209"/>
      <c r="BH17" s="209"/>
      <c r="BI17" s="209"/>
      <c r="BJ17" s="210"/>
      <c r="BK17" s="17"/>
    </row>
    <row r="18" spans="1:63" s="18" customFormat="1" ht="15" customHeight="1" x14ac:dyDescent="0.25">
      <c r="A18" s="13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 t="s">
        <v>106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23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1"/>
      <c r="BI20" s="21"/>
      <c r="BJ20" s="21"/>
      <c r="BK20" s="17"/>
    </row>
    <row r="21" spans="1:63" s="18" customFormat="1" ht="15" customHeight="1" x14ac:dyDescent="0.25">
      <c r="A21" s="13"/>
      <c r="B21" s="20"/>
      <c r="C21" s="217" t="s">
        <v>107</v>
      </c>
      <c r="D21" s="218"/>
      <c r="E21" s="217" t="s">
        <v>108</v>
      </c>
      <c r="F21" s="219"/>
      <c r="G21" s="219"/>
      <c r="H21" s="219"/>
      <c r="I21" s="219"/>
      <c r="J21" s="219"/>
      <c r="K21" s="218"/>
      <c r="L21" s="214" t="s">
        <v>16</v>
      </c>
      <c r="M21" s="215"/>
      <c r="N21" s="216"/>
      <c r="O21" s="214" t="s">
        <v>17</v>
      </c>
      <c r="P21" s="215"/>
      <c r="Q21" s="215"/>
      <c r="R21" s="216"/>
      <c r="S21" s="214" t="s">
        <v>18</v>
      </c>
      <c r="T21" s="215"/>
      <c r="U21" s="215"/>
      <c r="V21" s="215"/>
      <c r="W21" s="215"/>
      <c r="X21" s="215"/>
      <c r="Y21" s="216"/>
      <c r="Z21" s="217" t="s">
        <v>109</v>
      </c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8"/>
      <c r="AQ21" s="214" t="s">
        <v>15</v>
      </c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/>
      <c r="BC21" s="215"/>
      <c r="BD21" s="215"/>
      <c r="BE21" s="215"/>
      <c r="BF21" s="215"/>
      <c r="BG21" s="215"/>
      <c r="BH21" s="215"/>
      <c r="BI21" s="215"/>
      <c r="BJ21" s="216"/>
      <c r="BK21" s="17"/>
    </row>
    <row r="22" spans="1:63" s="18" customFormat="1" ht="15" customHeight="1" x14ac:dyDescent="0.25">
      <c r="A22" s="13"/>
      <c r="B22" s="20"/>
      <c r="C22" s="201">
        <v>1</v>
      </c>
      <c r="D22" s="202"/>
      <c r="E22" s="242" t="s">
        <v>3</v>
      </c>
      <c r="F22" s="243"/>
      <c r="G22" s="243"/>
      <c r="H22" s="243"/>
      <c r="I22" s="243"/>
      <c r="J22" s="243"/>
      <c r="K22" s="244"/>
      <c r="L22" s="245" t="s">
        <v>4</v>
      </c>
      <c r="M22" s="246"/>
      <c r="N22" s="247"/>
      <c r="O22" s="201" t="s">
        <v>5</v>
      </c>
      <c r="P22" s="203"/>
      <c r="Q22" s="203"/>
      <c r="R22" s="202"/>
      <c r="S22" s="201" t="s">
        <v>6</v>
      </c>
      <c r="T22" s="203"/>
      <c r="U22" s="203"/>
      <c r="V22" s="203"/>
      <c r="W22" s="203"/>
      <c r="X22" s="203"/>
      <c r="Y22" s="202"/>
      <c r="Z22" s="242" t="s">
        <v>7</v>
      </c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4"/>
      <c r="AQ22" s="234" t="s">
        <v>110</v>
      </c>
      <c r="AR22" s="235"/>
      <c r="AS22" s="235"/>
      <c r="AT22" s="235"/>
      <c r="AU22" s="235"/>
      <c r="AV22" s="235"/>
      <c r="AW22" s="235"/>
      <c r="AX22" s="235"/>
      <c r="AY22" s="235"/>
      <c r="AZ22" s="235"/>
      <c r="BA22" s="235"/>
      <c r="BB22" s="235"/>
      <c r="BC22" s="235"/>
      <c r="BD22" s="235"/>
      <c r="BE22" s="235"/>
      <c r="BF22" s="235"/>
      <c r="BG22" s="235"/>
      <c r="BH22" s="235"/>
      <c r="BI22" s="235"/>
      <c r="BJ22" s="236"/>
      <c r="BK22" s="17"/>
    </row>
    <row r="23" spans="1:63" s="18" customFormat="1" ht="15" customHeight="1" x14ac:dyDescent="0.25">
      <c r="A23" s="13"/>
      <c r="B23" s="20"/>
      <c r="C23" s="201">
        <v>2</v>
      </c>
      <c r="D23" s="202"/>
      <c r="E23" s="242" t="s">
        <v>8</v>
      </c>
      <c r="F23" s="243"/>
      <c r="G23" s="243"/>
      <c r="H23" s="243"/>
      <c r="I23" s="243"/>
      <c r="J23" s="243"/>
      <c r="K23" s="244"/>
      <c r="L23" s="245" t="s">
        <v>6</v>
      </c>
      <c r="M23" s="246"/>
      <c r="N23" s="247"/>
      <c r="O23" s="201" t="s">
        <v>5</v>
      </c>
      <c r="P23" s="203"/>
      <c r="Q23" s="203"/>
      <c r="R23" s="202"/>
      <c r="S23" s="201" t="s">
        <v>6</v>
      </c>
      <c r="T23" s="203"/>
      <c r="U23" s="203"/>
      <c r="V23" s="203"/>
      <c r="W23" s="203"/>
      <c r="X23" s="203"/>
      <c r="Y23" s="202"/>
      <c r="Z23" s="242" t="s">
        <v>8</v>
      </c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  <c r="AP23" s="244"/>
      <c r="AQ23" s="234"/>
      <c r="AR23" s="235"/>
      <c r="AS23" s="235"/>
      <c r="AT23" s="235"/>
      <c r="AU23" s="235"/>
      <c r="AV23" s="235"/>
      <c r="AW23" s="235"/>
      <c r="AX23" s="235"/>
      <c r="AY23" s="235"/>
      <c r="AZ23" s="235"/>
      <c r="BA23" s="235"/>
      <c r="BB23" s="235"/>
      <c r="BC23" s="235"/>
      <c r="BD23" s="235"/>
      <c r="BE23" s="235"/>
      <c r="BF23" s="235"/>
      <c r="BG23" s="235"/>
      <c r="BH23" s="235"/>
      <c r="BI23" s="235"/>
      <c r="BJ23" s="236"/>
      <c r="BK23" s="17"/>
    </row>
    <row r="24" spans="1:63" s="18" customFormat="1" ht="15" customHeight="1" x14ac:dyDescent="0.25">
      <c r="A24" s="13"/>
      <c r="B24" s="20"/>
      <c r="C24" s="220">
        <v>3</v>
      </c>
      <c r="D24" s="221"/>
      <c r="E24" s="222" t="s">
        <v>9</v>
      </c>
      <c r="F24" s="223"/>
      <c r="G24" s="223"/>
      <c r="H24" s="223"/>
      <c r="I24" s="223"/>
      <c r="J24" s="223"/>
      <c r="K24" s="224"/>
      <c r="L24" s="225" t="s">
        <v>4</v>
      </c>
      <c r="M24" s="226"/>
      <c r="N24" s="227"/>
      <c r="O24" s="228" t="s">
        <v>5</v>
      </c>
      <c r="P24" s="229"/>
      <c r="Q24" s="229"/>
      <c r="R24" s="230"/>
      <c r="S24" s="228" t="s">
        <v>21</v>
      </c>
      <c r="T24" s="229"/>
      <c r="U24" s="229"/>
      <c r="V24" s="229"/>
      <c r="W24" s="229"/>
      <c r="X24" s="229"/>
      <c r="Y24" s="230"/>
      <c r="Z24" s="231" t="s">
        <v>21</v>
      </c>
      <c r="AA24" s="232"/>
      <c r="AB24" s="232"/>
      <c r="AC24" s="232"/>
      <c r="AD24" s="232"/>
      <c r="AE24" s="232"/>
      <c r="AF24" s="232"/>
      <c r="AG24" s="232"/>
      <c r="AH24" s="232"/>
      <c r="AI24" s="232"/>
      <c r="AJ24" s="232"/>
      <c r="AK24" s="232"/>
      <c r="AL24" s="232"/>
      <c r="AM24" s="232"/>
      <c r="AN24" s="232"/>
      <c r="AO24" s="232"/>
      <c r="AP24" s="233"/>
      <c r="AQ24" s="237"/>
      <c r="AR24" s="237"/>
      <c r="AS24" s="237"/>
      <c r="AT24" s="237"/>
      <c r="AU24" s="237"/>
      <c r="AV24" s="237"/>
      <c r="AW24" s="237"/>
      <c r="AX24" s="237"/>
      <c r="AY24" s="237"/>
      <c r="AZ24" s="237"/>
      <c r="BA24" s="237"/>
      <c r="BB24" s="237"/>
      <c r="BC24" s="237"/>
      <c r="BD24" s="237"/>
      <c r="BE24" s="237"/>
      <c r="BF24" s="237"/>
      <c r="BG24" s="237"/>
      <c r="BH24" s="237"/>
      <c r="BI24" s="237"/>
      <c r="BJ24" s="238"/>
      <c r="BK24" s="17"/>
    </row>
    <row r="25" spans="1:63" s="18" customFormat="1" ht="15" customHeight="1" x14ac:dyDescent="0.25">
      <c r="A25" s="13"/>
      <c r="B25" s="20"/>
      <c r="C25" s="201">
        <v>4</v>
      </c>
      <c r="D25" s="202"/>
      <c r="E25" s="242" t="s">
        <v>10</v>
      </c>
      <c r="F25" s="243"/>
      <c r="G25" s="243"/>
      <c r="H25" s="243"/>
      <c r="I25" s="243"/>
      <c r="J25" s="243"/>
      <c r="K25" s="244"/>
      <c r="L25" s="245" t="s">
        <v>6</v>
      </c>
      <c r="M25" s="246"/>
      <c r="N25" s="247"/>
      <c r="O25" s="201" t="s">
        <v>5</v>
      </c>
      <c r="P25" s="203"/>
      <c r="Q25" s="203"/>
      <c r="R25" s="202"/>
      <c r="S25" s="201" t="s">
        <v>6</v>
      </c>
      <c r="T25" s="203"/>
      <c r="U25" s="203"/>
      <c r="V25" s="203"/>
      <c r="W25" s="203"/>
      <c r="X25" s="203"/>
      <c r="Y25" s="202"/>
      <c r="Z25" s="242" t="s">
        <v>10</v>
      </c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4"/>
      <c r="AQ25" s="234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5"/>
      <c r="BJ25" s="236"/>
      <c r="BK25" s="17"/>
    </row>
    <row r="26" spans="1:63" s="18" customFormat="1" ht="15" customHeight="1" x14ac:dyDescent="0.25">
      <c r="A26" s="13"/>
      <c r="B26" s="20"/>
      <c r="C26" s="201">
        <v>5</v>
      </c>
      <c r="D26" s="202"/>
      <c r="E26" s="242" t="s">
        <v>11</v>
      </c>
      <c r="F26" s="243"/>
      <c r="G26" s="243"/>
      <c r="H26" s="243"/>
      <c r="I26" s="243"/>
      <c r="J26" s="243"/>
      <c r="K26" s="244"/>
      <c r="L26" s="245" t="s">
        <v>6</v>
      </c>
      <c r="M26" s="246"/>
      <c r="N26" s="247"/>
      <c r="O26" s="201" t="s">
        <v>5</v>
      </c>
      <c r="P26" s="203"/>
      <c r="Q26" s="203"/>
      <c r="R26" s="202"/>
      <c r="S26" s="201" t="s">
        <v>6</v>
      </c>
      <c r="T26" s="203"/>
      <c r="U26" s="203"/>
      <c r="V26" s="203"/>
      <c r="W26" s="203"/>
      <c r="X26" s="203"/>
      <c r="Y26" s="202"/>
      <c r="Z26" s="242" t="s">
        <v>11</v>
      </c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4"/>
      <c r="AQ26" s="234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  <c r="BI26" s="235"/>
      <c r="BJ26" s="236"/>
      <c r="BK26" s="17"/>
    </row>
    <row r="27" spans="1:63" s="18" customFormat="1" ht="15" customHeight="1" x14ac:dyDescent="0.25">
      <c r="A27" s="13"/>
      <c r="B27" s="20"/>
      <c r="C27" s="20"/>
      <c r="D27" s="20"/>
      <c r="E27" s="66"/>
      <c r="F27" s="66"/>
      <c r="G27" s="66"/>
      <c r="H27" s="66"/>
      <c r="I27" s="20"/>
      <c r="J27" s="20"/>
      <c r="K27" s="20"/>
      <c r="L27" s="68"/>
      <c r="M27" s="66"/>
      <c r="N27" s="66"/>
      <c r="O27" s="66"/>
      <c r="P27" s="66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66"/>
      <c r="AH27" s="66"/>
      <c r="AI27" s="66"/>
      <c r="AJ27" s="66"/>
      <c r="AK27" s="66"/>
      <c r="AL27" s="66"/>
      <c r="AM27" s="66"/>
      <c r="AN27" s="66"/>
      <c r="AO27" s="66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0"/>
      <c r="D28" s="20"/>
      <c r="E28" s="66"/>
      <c r="F28" s="66"/>
      <c r="G28" s="66"/>
      <c r="H28" s="66"/>
      <c r="I28" s="20"/>
      <c r="J28" s="20"/>
      <c r="K28" s="20"/>
      <c r="L28" s="29"/>
      <c r="M28" s="66"/>
      <c r="N28" s="66"/>
      <c r="O28" s="66"/>
      <c r="P28" s="66"/>
      <c r="Q28" s="20"/>
      <c r="R28" s="20"/>
      <c r="S28" s="20"/>
      <c r="T28" s="20"/>
      <c r="U28" s="20"/>
      <c r="V28" s="20"/>
      <c r="W28" s="20"/>
      <c r="X28" s="20"/>
      <c r="Y28" s="20"/>
      <c r="Z28" s="27"/>
      <c r="AA28" s="20"/>
      <c r="AB28" s="20"/>
      <c r="AC28" s="20"/>
      <c r="AD28" s="20"/>
      <c r="AE28" s="20"/>
      <c r="AF28" s="20"/>
      <c r="AG28" s="66"/>
      <c r="AH28" s="66"/>
      <c r="AI28" s="66"/>
      <c r="AJ28" s="66"/>
      <c r="AK28" s="66"/>
      <c r="AL28" s="66"/>
      <c r="AM28" s="66"/>
      <c r="AN28" s="66"/>
      <c r="AO28" s="66"/>
      <c r="AP28" s="20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23" t="s">
        <v>111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19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1"/>
      <c r="BI30" s="21"/>
      <c r="BJ30" s="21"/>
      <c r="BK30" s="17"/>
    </row>
    <row r="31" spans="1:63" s="18" customFormat="1" ht="15" customHeight="1" x14ac:dyDescent="0.25">
      <c r="A31" s="13"/>
      <c r="B31" s="20"/>
      <c r="C31" s="248" t="s">
        <v>12</v>
      </c>
      <c r="D31" s="249"/>
      <c r="E31" s="250" t="s">
        <v>19</v>
      </c>
      <c r="F31" s="251"/>
      <c r="G31" s="251"/>
      <c r="H31" s="251"/>
      <c r="I31" s="251"/>
      <c r="J31" s="251"/>
      <c r="K31" s="252"/>
      <c r="L31" s="214" t="s">
        <v>16</v>
      </c>
      <c r="M31" s="215"/>
      <c r="N31" s="216"/>
      <c r="O31" s="214" t="s">
        <v>17</v>
      </c>
      <c r="P31" s="215"/>
      <c r="Q31" s="215"/>
      <c r="R31" s="216"/>
      <c r="S31" s="214" t="s">
        <v>18</v>
      </c>
      <c r="T31" s="215"/>
      <c r="U31" s="215"/>
      <c r="V31" s="215"/>
      <c r="W31" s="215"/>
      <c r="X31" s="215"/>
      <c r="Y31" s="216"/>
      <c r="Z31" s="217" t="s">
        <v>109</v>
      </c>
      <c r="AA31" s="219"/>
      <c r="AB31" s="219"/>
      <c r="AC31" s="219"/>
      <c r="AD31" s="219"/>
      <c r="AE31" s="219"/>
      <c r="AF31" s="219"/>
      <c r="AG31" s="219"/>
      <c r="AH31" s="219"/>
      <c r="AI31" s="219"/>
      <c r="AJ31" s="219"/>
      <c r="AK31" s="219"/>
      <c r="AL31" s="219"/>
      <c r="AM31" s="219"/>
      <c r="AN31" s="219"/>
      <c r="AO31" s="219"/>
      <c r="AP31" s="218"/>
      <c r="AQ31" s="253" t="s">
        <v>15</v>
      </c>
      <c r="AR31" s="254"/>
      <c r="AS31" s="254"/>
      <c r="AT31" s="254"/>
      <c r="AU31" s="254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4"/>
      <c r="BG31" s="254"/>
      <c r="BH31" s="254"/>
      <c r="BI31" s="254"/>
      <c r="BJ31" s="255"/>
      <c r="BK31" s="17"/>
    </row>
    <row r="32" spans="1:63" s="18" customFormat="1" ht="15" customHeight="1" x14ac:dyDescent="0.25">
      <c r="A32" s="13"/>
      <c r="B32" s="20"/>
      <c r="C32" s="201">
        <v>1</v>
      </c>
      <c r="D32" s="202"/>
      <c r="E32" s="201" t="s">
        <v>120</v>
      </c>
      <c r="F32" s="203"/>
      <c r="G32" s="203"/>
      <c r="H32" s="203"/>
      <c r="I32" s="203"/>
      <c r="J32" s="203"/>
      <c r="K32" s="202"/>
      <c r="L32" s="204" t="s">
        <v>4</v>
      </c>
      <c r="M32" s="205"/>
      <c r="N32" s="206"/>
      <c r="O32" s="201" t="s">
        <v>121</v>
      </c>
      <c r="P32" s="203"/>
      <c r="Q32" s="203"/>
      <c r="R32" s="202"/>
      <c r="S32" s="207" t="s">
        <v>6</v>
      </c>
      <c r="T32" s="203"/>
      <c r="U32" s="203"/>
      <c r="V32" s="203"/>
      <c r="W32" s="203"/>
      <c r="X32" s="203"/>
      <c r="Y32" s="202"/>
      <c r="Z32" s="201" t="s">
        <v>122</v>
      </c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2"/>
      <c r="AQ32" s="208"/>
      <c r="AR32" s="209"/>
      <c r="AS32" s="209"/>
      <c r="AT32" s="209"/>
      <c r="AU32" s="209"/>
      <c r="AV32" s="209"/>
      <c r="AW32" s="209"/>
      <c r="AX32" s="209"/>
      <c r="AY32" s="209"/>
      <c r="AZ32" s="209"/>
      <c r="BA32" s="209"/>
      <c r="BB32" s="209"/>
      <c r="BC32" s="209"/>
      <c r="BD32" s="209"/>
      <c r="BE32" s="209"/>
      <c r="BF32" s="209"/>
      <c r="BG32" s="209"/>
      <c r="BH32" s="209"/>
      <c r="BI32" s="209"/>
      <c r="BJ32" s="210"/>
      <c r="BK32" s="17"/>
    </row>
    <row r="33" spans="1:63" s="18" customFormat="1" ht="15" customHeight="1" x14ac:dyDescent="0.25">
      <c r="A33" s="13"/>
      <c r="B33" s="20"/>
      <c r="C33" s="201">
        <v>2</v>
      </c>
      <c r="D33" s="202"/>
      <c r="E33" s="201" t="s">
        <v>123</v>
      </c>
      <c r="F33" s="203"/>
      <c r="G33" s="203"/>
      <c r="H33" s="203"/>
      <c r="I33" s="203"/>
      <c r="J33" s="203"/>
      <c r="K33" s="202"/>
      <c r="L33" s="204" t="s">
        <v>4</v>
      </c>
      <c r="M33" s="205"/>
      <c r="N33" s="206"/>
      <c r="O33" s="201" t="s">
        <v>121</v>
      </c>
      <c r="P33" s="203"/>
      <c r="Q33" s="203"/>
      <c r="R33" s="202"/>
      <c r="S33" s="207" t="s">
        <v>6</v>
      </c>
      <c r="T33" s="203"/>
      <c r="U33" s="203"/>
      <c r="V33" s="203"/>
      <c r="W33" s="203"/>
      <c r="X33" s="203"/>
      <c r="Y33" s="202"/>
      <c r="Z33" s="201" t="s">
        <v>119</v>
      </c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2"/>
      <c r="AQ33" s="208"/>
      <c r="AR33" s="209"/>
      <c r="AS33" s="209"/>
      <c r="AT33" s="209"/>
      <c r="AU33" s="209"/>
      <c r="AV33" s="209"/>
      <c r="AW33" s="209"/>
      <c r="AX33" s="209"/>
      <c r="AY33" s="209"/>
      <c r="AZ33" s="209"/>
      <c r="BA33" s="209"/>
      <c r="BB33" s="209"/>
      <c r="BC33" s="209"/>
      <c r="BD33" s="209"/>
      <c r="BE33" s="209"/>
      <c r="BF33" s="209"/>
      <c r="BG33" s="209"/>
      <c r="BH33" s="209"/>
      <c r="BI33" s="209"/>
      <c r="BJ33" s="210"/>
      <c r="BK33" s="17"/>
    </row>
    <row r="34" spans="1:63" s="18" customFormat="1" ht="15" customHeight="1" x14ac:dyDescent="0.25">
      <c r="A34" s="13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23" t="s">
        <v>112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1"/>
      <c r="BI35" s="21"/>
      <c r="BJ35" s="21"/>
      <c r="BK35" s="17"/>
    </row>
    <row r="36" spans="1:63" s="18" customFormat="1" ht="15" customHeight="1" x14ac:dyDescent="0.25">
      <c r="A36" s="13"/>
      <c r="B36" s="20"/>
      <c r="C36" s="19"/>
      <c r="D36" s="20" t="s">
        <v>25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1"/>
      <c r="BI36" s="21"/>
      <c r="BJ36" s="21"/>
      <c r="BK36" s="17"/>
    </row>
    <row r="37" spans="1:63" s="18" customFormat="1" ht="15" customHeight="1" x14ac:dyDescent="0.25">
      <c r="A37" s="13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1"/>
      <c r="BK37" s="17"/>
    </row>
    <row r="38" spans="1:63" s="18" customFormat="1" ht="15" customHeight="1" x14ac:dyDescent="0.25">
      <c r="A38" s="13"/>
      <c r="B38" s="14" t="s">
        <v>113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6"/>
      <c r="BI38" s="16"/>
      <c r="BJ38" s="16"/>
      <c r="BK38" s="17"/>
    </row>
    <row r="39" spans="1:63" s="18" customFormat="1" ht="15" customHeight="1" x14ac:dyDescent="0.25">
      <c r="A39" s="13"/>
      <c r="B39" s="19"/>
      <c r="C39" s="23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1"/>
      <c r="BK39" s="17"/>
    </row>
    <row r="40" spans="1:63" s="18" customFormat="1" ht="15" customHeight="1" x14ac:dyDescent="0.25">
      <c r="A40" s="13"/>
      <c r="B40" s="19"/>
      <c r="C40" s="23" t="s">
        <v>114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 x14ac:dyDescent="0.25">
      <c r="A41" s="13"/>
      <c r="B41" s="19"/>
      <c r="C41" s="23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1"/>
      <c r="BK41" s="17"/>
    </row>
    <row r="42" spans="1:63" s="18" customFormat="1" ht="15" customHeight="1" x14ac:dyDescent="0.25">
      <c r="A42" s="13"/>
      <c r="B42" s="20"/>
      <c r="C42" s="214" t="s">
        <v>12</v>
      </c>
      <c r="D42" s="216"/>
      <c r="E42" s="217" t="s">
        <v>115</v>
      </c>
      <c r="F42" s="215"/>
      <c r="G42" s="215"/>
      <c r="H42" s="215"/>
      <c r="I42" s="215"/>
      <c r="J42" s="215"/>
      <c r="K42" s="216"/>
      <c r="L42" s="214" t="s">
        <v>17</v>
      </c>
      <c r="M42" s="215"/>
      <c r="N42" s="215"/>
      <c r="O42" s="215"/>
      <c r="P42" s="215"/>
      <c r="Q42" s="215"/>
      <c r="R42" s="216"/>
      <c r="S42" s="239" t="s">
        <v>109</v>
      </c>
      <c r="T42" s="240"/>
      <c r="U42" s="240"/>
      <c r="V42" s="240"/>
      <c r="W42" s="240"/>
      <c r="X42" s="240"/>
      <c r="Y42" s="240"/>
      <c r="Z42" s="240"/>
      <c r="AA42" s="240"/>
      <c r="AB42" s="241"/>
      <c r="AC42" s="214" t="s">
        <v>15</v>
      </c>
      <c r="AD42" s="215"/>
      <c r="AE42" s="215"/>
      <c r="AF42" s="215"/>
      <c r="AG42" s="215"/>
      <c r="AH42" s="215"/>
      <c r="AI42" s="215"/>
      <c r="AJ42" s="215"/>
      <c r="AK42" s="215"/>
      <c r="AL42" s="215"/>
      <c r="AM42" s="215"/>
      <c r="AN42" s="215"/>
      <c r="AO42" s="215"/>
      <c r="AP42" s="215"/>
      <c r="AQ42" s="215"/>
      <c r="AR42" s="215"/>
      <c r="AS42" s="215"/>
      <c r="AT42" s="215"/>
      <c r="AU42" s="216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1"/>
      <c r="BK42" s="17"/>
    </row>
    <row r="43" spans="1:63" s="18" customFormat="1" ht="15" customHeight="1" x14ac:dyDescent="0.25">
      <c r="A43" s="13"/>
      <c r="B43" s="20"/>
      <c r="C43" s="201">
        <v>1</v>
      </c>
      <c r="D43" s="202"/>
      <c r="E43" s="201" t="s">
        <v>125</v>
      </c>
      <c r="F43" s="203"/>
      <c r="G43" s="203"/>
      <c r="H43" s="203"/>
      <c r="I43" s="203"/>
      <c r="J43" s="203"/>
      <c r="K43" s="202"/>
      <c r="L43" s="201" t="s">
        <v>126</v>
      </c>
      <c r="M43" s="203"/>
      <c r="N43" s="203"/>
      <c r="O43" s="203"/>
      <c r="P43" s="203"/>
      <c r="Q43" s="203"/>
      <c r="R43" s="202"/>
      <c r="S43" s="211" t="s">
        <v>128</v>
      </c>
      <c r="T43" s="212"/>
      <c r="U43" s="212"/>
      <c r="V43" s="212"/>
      <c r="W43" s="212"/>
      <c r="X43" s="212"/>
      <c r="Y43" s="212"/>
      <c r="Z43" s="212"/>
      <c r="AA43" s="212"/>
      <c r="AB43" s="213"/>
      <c r="AC43" s="201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2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1"/>
      <c r="BK43" s="17"/>
    </row>
    <row r="44" spans="1:63" s="18" customFormat="1" ht="15" customHeight="1" x14ac:dyDescent="0.25">
      <c r="A44" s="13"/>
      <c r="B44" s="20"/>
      <c r="C44" s="201">
        <v>2</v>
      </c>
      <c r="D44" s="202"/>
      <c r="E44" s="201" t="s">
        <v>26</v>
      </c>
      <c r="F44" s="203"/>
      <c r="G44" s="203"/>
      <c r="H44" s="203"/>
      <c r="I44" s="203"/>
      <c r="J44" s="203"/>
      <c r="K44" s="202"/>
      <c r="L44" s="201" t="s">
        <v>5</v>
      </c>
      <c r="M44" s="203"/>
      <c r="N44" s="203"/>
      <c r="O44" s="203"/>
      <c r="P44" s="203"/>
      <c r="Q44" s="203"/>
      <c r="R44" s="202"/>
      <c r="S44" s="211" t="s">
        <v>29</v>
      </c>
      <c r="T44" s="212"/>
      <c r="U44" s="212"/>
      <c r="V44" s="212"/>
      <c r="W44" s="212"/>
      <c r="X44" s="212"/>
      <c r="Y44" s="212"/>
      <c r="Z44" s="212"/>
      <c r="AA44" s="212"/>
      <c r="AB44" s="213"/>
      <c r="AC44" s="201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3"/>
      <c r="AQ44" s="203"/>
      <c r="AR44" s="203"/>
      <c r="AS44" s="203"/>
      <c r="AT44" s="203"/>
      <c r="AU44" s="202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1"/>
      <c r="BK44" s="17"/>
    </row>
    <row r="45" spans="1:63" s="18" customFormat="1" ht="15" customHeight="1" x14ac:dyDescent="0.25">
      <c r="A45" s="13"/>
      <c r="B45" s="20"/>
      <c r="C45" s="201">
        <v>3</v>
      </c>
      <c r="D45" s="202"/>
      <c r="E45" s="201" t="s">
        <v>28</v>
      </c>
      <c r="F45" s="203"/>
      <c r="G45" s="203"/>
      <c r="H45" s="203"/>
      <c r="I45" s="203"/>
      <c r="J45" s="203"/>
      <c r="K45" s="202"/>
      <c r="L45" s="201" t="s">
        <v>5</v>
      </c>
      <c r="M45" s="203"/>
      <c r="N45" s="203"/>
      <c r="O45" s="203"/>
      <c r="P45" s="203"/>
      <c r="Q45" s="203"/>
      <c r="R45" s="202"/>
      <c r="S45" s="211" t="s">
        <v>27</v>
      </c>
      <c r="T45" s="212"/>
      <c r="U45" s="212"/>
      <c r="V45" s="212"/>
      <c r="W45" s="212"/>
      <c r="X45" s="212"/>
      <c r="Y45" s="212"/>
      <c r="Z45" s="212"/>
      <c r="AA45" s="212"/>
      <c r="AB45" s="213"/>
      <c r="AC45" s="201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2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15" customHeight="1" x14ac:dyDescent="0.25">
      <c r="A46" s="13"/>
      <c r="B46" s="20"/>
      <c r="C46" s="201">
        <v>4</v>
      </c>
      <c r="D46" s="202"/>
      <c r="E46" s="201" t="s">
        <v>24</v>
      </c>
      <c r="F46" s="203"/>
      <c r="G46" s="203"/>
      <c r="H46" s="203"/>
      <c r="I46" s="203"/>
      <c r="J46" s="203"/>
      <c r="K46" s="202"/>
      <c r="L46" s="201" t="s">
        <v>30</v>
      </c>
      <c r="M46" s="203"/>
      <c r="N46" s="203"/>
      <c r="O46" s="203"/>
      <c r="P46" s="203"/>
      <c r="Q46" s="203"/>
      <c r="R46" s="202"/>
      <c r="S46" s="211" t="s">
        <v>31</v>
      </c>
      <c r="T46" s="212"/>
      <c r="U46" s="212"/>
      <c r="V46" s="212"/>
      <c r="W46" s="212"/>
      <c r="X46" s="212"/>
      <c r="Y46" s="212"/>
      <c r="Z46" s="212"/>
      <c r="AA46" s="212"/>
      <c r="AB46" s="213"/>
      <c r="AC46" s="208" t="s">
        <v>119</v>
      </c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  <c r="AO46" s="203"/>
      <c r="AP46" s="203"/>
      <c r="AQ46" s="203"/>
      <c r="AR46" s="203"/>
      <c r="AS46" s="203"/>
      <c r="AT46" s="203"/>
      <c r="AU46" s="202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1"/>
      <c r="BK46" s="17"/>
    </row>
    <row r="47" spans="1:63" s="18" customFormat="1" ht="15" customHeight="1" x14ac:dyDescent="0.25">
      <c r="A47" s="13"/>
      <c r="B47" s="20"/>
      <c r="C47" s="201">
        <v>5</v>
      </c>
      <c r="D47" s="202"/>
      <c r="E47" s="201" t="s">
        <v>32</v>
      </c>
      <c r="F47" s="203"/>
      <c r="G47" s="203"/>
      <c r="H47" s="203"/>
      <c r="I47" s="203"/>
      <c r="J47" s="203"/>
      <c r="K47" s="202"/>
      <c r="L47" s="201" t="s">
        <v>5</v>
      </c>
      <c r="M47" s="203"/>
      <c r="N47" s="203"/>
      <c r="O47" s="203"/>
      <c r="P47" s="203"/>
      <c r="Q47" s="203"/>
      <c r="R47" s="202"/>
      <c r="S47" s="211" t="s">
        <v>33</v>
      </c>
      <c r="T47" s="212"/>
      <c r="U47" s="212"/>
      <c r="V47" s="212"/>
      <c r="W47" s="212"/>
      <c r="X47" s="212"/>
      <c r="Y47" s="212"/>
      <c r="Z47" s="212"/>
      <c r="AA47" s="212"/>
      <c r="AB47" s="213"/>
      <c r="AC47" s="201" t="s">
        <v>34</v>
      </c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2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1"/>
      <c r="BK47" s="17"/>
    </row>
    <row r="48" spans="1:63" s="18" customFormat="1" ht="15" customHeight="1" x14ac:dyDescent="0.25">
      <c r="A48" s="13"/>
      <c r="B48" s="20"/>
      <c r="C48" s="201">
        <v>6</v>
      </c>
      <c r="D48" s="202"/>
      <c r="E48" s="201" t="s">
        <v>35</v>
      </c>
      <c r="F48" s="203"/>
      <c r="G48" s="203"/>
      <c r="H48" s="203"/>
      <c r="I48" s="203"/>
      <c r="J48" s="203"/>
      <c r="K48" s="202"/>
      <c r="L48" s="201" t="s">
        <v>5</v>
      </c>
      <c r="M48" s="203"/>
      <c r="N48" s="203"/>
      <c r="O48" s="203"/>
      <c r="P48" s="203"/>
      <c r="Q48" s="203"/>
      <c r="R48" s="202"/>
      <c r="S48" s="211" t="s">
        <v>36</v>
      </c>
      <c r="T48" s="212"/>
      <c r="U48" s="212"/>
      <c r="V48" s="212"/>
      <c r="W48" s="212"/>
      <c r="X48" s="212"/>
      <c r="Y48" s="212"/>
      <c r="Z48" s="212"/>
      <c r="AA48" s="212"/>
      <c r="AB48" s="213"/>
      <c r="AC48" s="201" t="s">
        <v>37</v>
      </c>
      <c r="AD48" s="203"/>
      <c r="AE48" s="203"/>
      <c r="AF48" s="203"/>
      <c r="AG48" s="203"/>
      <c r="AH48" s="203"/>
      <c r="AI48" s="203"/>
      <c r="AJ48" s="203"/>
      <c r="AK48" s="203"/>
      <c r="AL48" s="203"/>
      <c r="AM48" s="203"/>
      <c r="AN48" s="203"/>
      <c r="AO48" s="203"/>
      <c r="AP48" s="203"/>
      <c r="AQ48" s="203"/>
      <c r="AR48" s="203"/>
      <c r="AS48" s="203"/>
      <c r="AT48" s="203"/>
      <c r="AU48" s="202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1"/>
      <c r="BK48" s="17"/>
    </row>
    <row r="49" spans="1:63" s="18" customFormat="1" ht="15" customHeight="1" x14ac:dyDescent="0.25">
      <c r="A49" s="13"/>
      <c r="B49" s="20"/>
      <c r="C49" s="201">
        <v>7</v>
      </c>
      <c r="D49" s="202"/>
      <c r="E49" s="201" t="s">
        <v>38</v>
      </c>
      <c r="F49" s="203"/>
      <c r="G49" s="203"/>
      <c r="H49" s="203"/>
      <c r="I49" s="203"/>
      <c r="J49" s="203"/>
      <c r="K49" s="202"/>
      <c r="L49" s="201" t="s">
        <v>5</v>
      </c>
      <c r="M49" s="203"/>
      <c r="N49" s="203"/>
      <c r="O49" s="203"/>
      <c r="P49" s="203"/>
      <c r="Q49" s="203"/>
      <c r="R49" s="202"/>
      <c r="S49" s="211" t="s">
        <v>39</v>
      </c>
      <c r="T49" s="212"/>
      <c r="U49" s="212"/>
      <c r="V49" s="212"/>
      <c r="W49" s="212"/>
      <c r="X49" s="212"/>
      <c r="Y49" s="212"/>
      <c r="Z49" s="212"/>
      <c r="AA49" s="212"/>
      <c r="AB49" s="213"/>
      <c r="AC49" s="201" t="s">
        <v>40</v>
      </c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  <c r="AU49" s="202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1"/>
      <c r="BK49" s="17"/>
    </row>
    <row r="50" spans="1:63" s="18" customFormat="1" ht="15" customHeight="1" x14ac:dyDescent="0.25">
      <c r="A50" s="13"/>
      <c r="B50" s="20"/>
      <c r="C50" s="201">
        <v>8</v>
      </c>
      <c r="D50" s="202"/>
      <c r="E50" s="201" t="s">
        <v>41</v>
      </c>
      <c r="F50" s="203"/>
      <c r="G50" s="203"/>
      <c r="H50" s="203"/>
      <c r="I50" s="203"/>
      <c r="J50" s="203"/>
      <c r="K50" s="202"/>
      <c r="L50" s="201" t="s">
        <v>5</v>
      </c>
      <c r="M50" s="203"/>
      <c r="N50" s="203"/>
      <c r="O50" s="203"/>
      <c r="P50" s="203"/>
      <c r="Q50" s="203"/>
      <c r="R50" s="202"/>
      <c r="S50" s="211" t="s">
        <v>42</v>
      </c>
      <c r="T50" s="212"/>
      <c r="U50" s="212"/>
      <c r="V50" s="212"/>
      <c r="W50" s="212"/>
      <c r="X50" s="212"/>
      <c r="Y50" s="212"/>
      <c r="Z50" s="212"/>
      <c r="AA50" s="212"/>
      <c r="AB50" s="213"/>
      <c r="AC50" s="201" t="s">
        <v>43</v>
      </c>
      <c r="AD50" s="203"/>
      <c r="AE50" s="203"/>
      <c r="AF50" s="203"/>
      <c r="AG50" s="203"/>
      <c r="AH50" s="203"/>
      <c r="AI50" s="203"/>
      <c r="AJ50" s="203"/>
      <c r="AK50" s="203"/>
      <c r="AL50" s="203"/>
      <c r="AM50" s="203"/>
      <c r="AN50" s="203"/>
      <c r="AO50" s="203"/>
      <c r="AP50" s="203"/>
      <c r="AQ50" s="203"/>
      <c r="AR50" s="203"/>
      <c r="AS50" s="203"/>
      <c r="AT50" s="203"/>
      <c r="AU50" s="202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1"/>
      <c r="BK50" s="17"/>
    </row>
    <row r="51" spans="1:63" s="18" customFormat="1" ht="15" customHeight="1" x14ac:dyDescent="0.25">
      <c r="A51" s="13"/>
      <c r="B51" s="20"/>
      <c r="C51" s="201">
        <v>9</v>
      </c>
      <c r="D51" s="202"/>
      <c r="E51" s="201" t="s">
        <v>44</v>
      </c>
      <c r="F51" s="203"/>
      <c r="G51" s="203"/>
      <c r="H51" s="203"/>
      <c r="I51" s="203"/>
      <c r="J51" s="203"/>
      <c r="K51" s="202"/>
      <c r="L51" s="201" t="s">
        <v>5</v>
      </c>
      <c r="M51" s="203"/>
      <c r="N51" s="203"/>
      <c r="O51" s="203"/>
      <c r="P51" s="203"/>
      <c r="Q51" s="203"/>
      <c r="R51" s="202"/>
      <c r="S51" s="211" t="s">
        <v>45</v>
      </c>
      <c r="T51" s="212"/>
      <c r="U51" s="212"/>
      <c r="V51" s="212"/>
      <c r="W51" s="212"/>
      <c r="X51" s="212"/>
      <c r="Y51" s="212"/>
      <c r="Z51" s="212"/>
      <c r="AA51" s="212"/>
      <c r="AB51" s="213"/>
      <c r="AC51" s="201" t="s">
        <v>46</v>
      </c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2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1"/>
      <c r="BK51" s="17"/>
    </row>
    <row r="52" spans="1:63" s="18" customFormat="1" ht="15" customHeight="1" x14ac:dyDescent="0.25">
      <c r="A52" s="13"/>
      <c r="B52" s="20"/>
      <c r="C52" s="201">
        <v>10</v>
      </c>
      <c r="D52" s="202"/>
      <c r="E52" s="201" t="s">
        <v>47</v>
      </c>
      <c r="F52" s="203"/>
      <c r="G52" s="203"/>
      <c r="H52" s="203"/>
      <c r="I52" s="203"/>
      <c r="J52" s="203"/>
      <c r="K52" s="202"/>
      <c r="L52" s="201" t="s">
        <v>5</v>
      </c>
      <c r="M52" s="203"/>
      <c r="N52" s="203"/>
      <c r="O52" s="203"/>
      <c r="P52" s="203"/>
      <c r="Q52" s="203"/>
      <c r="R52" s="202"/>
      <c r="S52" s="211" t="s">
        <v>48</v>
      </c>
      <c r="T52" s="212"/>
      <c r="U52" s="212"/>
      <c r="V52" s="212"/>
      <c r="W52" s="212"/>
      <c r="X52" s="212"/>
      <c r="Y52" s="212"/>
      <c r="Z52" s="212"/>
      <c r="AA52" s="212"/>
      <c r="AB52" s="213"/>
      <c r="AC52" s="201" t="s">
        <v>49</v>
      </c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  <c r="AT52" s="203"/>
      <c r="AU52" s="202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1"/>
      <c r="BK52" s="17"/>
    </row>
    <row r="53" spans="1:63" s="18" customFormat="1" ht="15" customHeight="1" x14ac:dyDescent="0.25">
      <c r="A53" s="13"/>
      <c r="B53" s="20"/>
      <c r="C53" s="201">
        <v>11</v>
      </c>
      <c r="D53" s="202"/>
      <c r="E53" s="201" t="s">
        <v>50</v>
      </c>
      <c r="F53" s="203"/>
      <c r="G53" s="203"/>
      <c r="H53" s="203"/>
      <c r="I53" s="203"/>
      <c r="J53" s="203"/>
      <c r="K53" s="202"/>
      <c r="L53" s="201" t="s">
        <v>5</v>
      </c>
      <c r="M53" s="203"/>
      <c r="N53" s="203"/>
      <c r="O53" s="203"/>
      <c r="P53" s="203"/>
      <c r="Q53" s="203"/>
      <c r="R53" s="202"/>
      <c r="S53" s="211" t="s">
        <v>51</v>
      </c>
      <c r="T53" s="212"/>
      <c r="U53" s="212"/>
      <c r="V53" s="212"/>
      <c r="W53" s="212"/>
      <c r="X53" s="212"/>
      <c r="Y53" s="212"/>
      <c r="Z53" s="212"/>
      <c r="AA53" s="212"/>
      <c r="AB53" s="213"/>
      <c r="AC53" s="201" t="s">
        <v>52</v>
      </c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2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1"/>
      <c r="BK53" s="17"/>
    </row>
    <row r="54" spans="1:63" s="18" customFormat="1" ht="15" customHeight="1" x14ac:dyDescent="0.25">
      <c r="A54" s="13"/>
      <c r="B54" s="20"/>
      <c r="C54" s="201">
        <v>12</v>
      </c>
      <c r="D54" s="202"/>
      <c r="E54" s="201" t="s">
        <v>53</v>
      </c>
      <c r="F54" s="203"/>
      <c r="G54" s="203"/>
      <c r="H54" s="203"/>
      <c r="I54" s="203"/>
      <c r="J54" s="203"/>
      <c r="K54" s="202"/>
      <c r="L54" s="201" t="s">
        <v>5</v>
      </c>
      <c r="M54" s="203"/>
      <c r="N54" s="203"/>
      <c r="O54" s="203"/>
      <c r="P54" s="203"/>
      <c r="Q54" s="203"/>
      <c r="R54" s="202"/>
      <c r="S54" s="211" t="s">
        <v>129</v>
      </c>
      <c r="T54" s="212"/>
      <c r="U54" s="212"/>
      <c r="V54" s="212"/>
      <c r="W54" s="212"/>
      <c r="X54" s="212"/>
      <c r="Y54" s="212"/>
      <c r="Z54" s="212"/>
      <c r="AA54" s="212"/>
      <c r="AB54" s="213"/>
      <c r="AC54" s="201" t="s">
        <v>54</v>
      </c>
      <c r="AD54" s="203"/>
      <c r="AE54" s="203"/>
      <c r="AF54" s="203"/>
      <c r="AG54" s="203"/>
      <c r="AH54" s="203"/>
      <c r="AI54" s="203"/>
      <c r="AJ54" s="203"/>
      <c r="AK54" s="203"/>
      <c r="AL54" s="203"/>
      <c r="AM54" s="203"/>
      <c r="AN54" s="203"/>
      <c r="AO54" s="203"/>
      <c r="AP54" s="203"/>
      <c r="AQ54" s="203"/>
      <c r="AR54" s="203"/>
      <c r="AS54" s="203"/>
      <c r="AT54" s="203"/>
      <c r="AU54" s="202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1"/>
      <c r="BK54" s="17"/>
    </row>
    <row r="55" spans="1:63" s="18" customFormat="1" ht="15" customHeight="1" x14ac:dyDescent="0.25">
      <c r="A55" s="13"/>
      <c r="B55" s="20"/>
      <c r="C55" s="201">
        <v>13</v>
      </c>
      <c r="D55" s="202"/>
      <c r="E55" s="201" t="s">
        <v>55</v>
      </c>
      <c r="F55" s="203"/>
      <c r="G55" s="203"/>
      <c r="H55" s="203"/>
      <c r="I55" s="203"/>
      <c r="J55" s="203"/>
      <c r="K55" s="202"/>
      <c r="L55" s="201" t="s">
        <v>56</v>
      </c>
      <c r="M55" s="203"/>
      <c r="N55" s="203"/>
      <c r="O55" s="203"/>
      <c r="P55" s="203"/>
      <c r="Q55" s="203"/>
      <c r="R55" s="202"/>
      <c r="S55" s="211" t="s">
        <v>130</v>
      </c>
      <c r="T55" s="212"/>
      <c r="U55" s="212"/>
      <c r="V55" s="212"/>
      <c r="W55" s="212"/>
      <c r="X55" s="212"/>
      <c r="Y55" s="212"/>
      <c r="Z55" s="212"/>
      <c r="AA55" s="212"/>
      <c r="AB55" s="213"/>
      <c r="AC55" s="201" t="s">
        <v>78</v>
      </c>
      <c r="AD55" s="203"/>
      <c r="AE55" s="203"/>
      <c r="AF55" s="203"/>
      <c r="AG55" s="203"/>
      <c r="AH55" s="203"/>
      <c r="AI55" s="203"/>
      <c r="AJ55" s="203"/>
      <c r="AK55" s="203"/>
      <c r="AL55" s="203"/>
      <c r="AM55" s="203"/>
      <c r="AN55" s="203"/>
      <c r="AO55" s="203"/>
      <c r="AP55" s="203"/>
      <c r="AQ55" s="203"/>
      <c r="AR55" s="203"/>
      <c r="AS55" s="203"/>
      <c r="AT55" s="203"/>
      <c r="AU55" s="202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1"/>
      <c r="BK55" s="17"/>
    </row>
    <row r="56" spans="1:63" s="18" customFormat="1" ht="15" customHeight="1" x14ac:dyDescent="0.25">
      <c r="A56" s="13"/>
      <c r="B56" s="20"/>
      <c r="C56" s="201">
        <v>14</v>
      </c>
      <c r="D56" s="202"/>
      <c r="E56" s="201" t="s">
        <v>63</v>
      </c>
      <c r="F56" s="203"/>
      <c r="G56" s="203"/>
      <c r="H56" s="203"/>
      <c r="I56" s="203"/>
      <c r="J56" s="203"/>
      <c r="K56" s="202"/>
      <c r="L56" s="201" t="s">
        <v>57</v>
      </c>
      <c r="M56" s="203"/>
      <c r="N56" s="203"/>
      <c r="O56" s="203"/>
      <c r="P56" s="203"/>
      <c r="Q56" s="203"/>
      <c r="R56" s="202"/>
      <c r="S56" s="211" t="s">
        <v>131</v>
      </c>
      <c r="T56" s="212"/>
      <c r="U56" s="212"/>
      <c r="V56" s="212"/>
      <c r="W56" s="212"/>
      <c r="X56" s="212"/>
      <c r="Y56" s="212"/>
      <c r="Z56" s="212"/>
      <c r="AA56" s="212"/>
      <c r="AB56" s="213"/>
      <c r="AC56" s="201" t="s">
        <v>58</v>
      </c>
      <c r="AD56" s="203"/>
      <c r="AE56" s="203"/>
      <c r="AF56" s="203"/>
      <c r="AG56" s="203"/>
      <c r="AH56" s="203"/>
      <c r="AI56" s="203"/>
      <c r="AJ56" s="203"/>
      <c r="AK56" s="203"/>
      <c r="AL56" s="203"/>
      <c r="AM56" s="203"/>
      <c r="AN56" s="203"/>
      <c r="AO56" s="203"/>
      <c r="AP56" s="203"/>
      <c r="AQ56" s="203"/>
      <c r="AR56" s="203"/>
      <c r="AS56" s="203"/>
      <c r="AT56" s="203"/>
      <c r="AU56" s="202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1"/>
      <c r="BK56" s="17"/>
    </row>
    <row r="57" spans="1:63" s="18" customFormat="1" ht="15" customHeight="1" x14ac:dyDescent="0.25">
      <c r="A57" s="13"/>
      <c r="B57" s="20"/>
      <c r="C57" s="201">
        <v>15</v>
      </c>
      <c r="D57" s="202"/>
      <c r="E57" s="201" t="s">
        <v>64</v>
      </c>
      <c r="F57" s="203"/>
      <c r="G57" s="203"/>
      <c r="H57" s="203"/>
      <c r="I57" s="203"/>
      <c r="J57" s="203"/>
      <c r="K57" s="202"/>
      <c r="L57" s="201" t="s">
        <v>57</v>
      </c>
      <c r="M57" s="203"/>
      <c r="N57" s="203"/>
      <c r="O57" s="203"/>
      <c r="P57" s="203"/>
      <c r="Q57" s="203"/>
      <c r="R57" s="202"/>
      <c r="S57" s="211" t="s">
        <v>132</v>
      </c>
      <c r="T57" s="212"/>
      <c r="U57" s="212"/>
      <c r="V57" s="212"/>
      <c r="W57" s="212"/>
      <c r="X57" s="212"/>
      <c r="Y57" s="212"/>
      <c r="Z57" s="212"/>
      <c r="AA57" s="212"/>
      <c r="AB57" s="213"/>
      <c r="AC57" s="201" t="s">
        <v>59</v>
      </c>
      <c r="AD57" s="203"/>
      <c r="AE57" s="203"/>
      <c r="AF57" s="203"/>
      <c r="AG57" s="203"/>
      <c r="AH57" s="203"/>
      <c r="AI57" s="203"/>
      <c r="AJ57" s="203"/>
      <c r="AK57" s="203"/>
      <c r="AL57" s="203"/>
      <c r="AM57" s="203"/>
      <c r="AN57" s="203"/>
      <c r="AO57" s="203"/>
      <c r="AP57" s="203"/>
      <c r="AQ57" s="203"/>
      <c r="AR57" s="203"/>
      <c r="AS57" s="203"/>
      <c r="AT57" s="203"/>
      <c r="AU57" s="202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1"/>
      <c r="BK57" s="17"/>
    </row>
    <row r="58" spans="1:63" s="18" customFormat="1" ht="15" customHeight="1" x14ac:dyDescent="0.25">
      <c r="A58" s="13"/>
      <c r="B58" s="20"/>
      <c r="C58" s="201">
        <v>16</v>
      </c>
      <c r="D58" s="202"/>
      <c r="E58" s="201" t="s">
        <v>65</v>
      </c>
      <c r="F58" s="203"/>
      <c r="G58" s="203"/>
      <c r="H58" s="203"/>
      <c r="I58" s="203"/>
      <c r="J58" s="203"/>
      <c r="K58" s="202"/>
      <c r="L58" s="201" t="s">
        <v>57</v>
      </c>
      <c r="M58" s="203"/>
      <c r="N58" s="203"/>
      <c r="O58" s="203"/>
      <c r="P58" s="203"/>
      <c r="Q58" s="203"/>
      <c r="R58" s="202"/>
      <c r="S58" s="211" t="s">
        <v>133</v>
      </c>
      <c r="T58" s="212"/>
      <c r="U58" s="212"/>
      <c r="V58" s="212"/>
      <c r="W58" s="212"/>
      <c r="X58" s="212"/>
      <c r="Y58" s="212"/>
      <c r="Z58" s="212"/>
      <c r="AA58" s="212"/>
      <c r="AB58" s="213"/>
      <c r="AC58" s="201" t="s">
        <v>60</v>
      </c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203"/>
      <c r="AR58" s="203"/>
      <c r="AS58" s="203"/>
      <c r="AT58" s="203"/>
      <c r="AU58" s="202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</row>
    <row r="59" spans="1:63" s="80" customFormat="1" ht="15" customHeight="1" x14ac:dyDescent="0.25">
      <c r="A59" s="77"/>
      <c r="B59" s="78"/>
      <c r="C59" s="263" t="s">
        <v>170</v>
      </c>
      <c r="D59" s="264"/>
      <c r="E59" s="263" t="s">
        <v>171</v>
      </c>
      <c r="F59" s="265"/>
      <c r="G59" s="265"/>
      <c r="H59" s="265"/>
      <c r="I59" s="265"/>
      <c r="J59" s="265"/>
      <c r="K59" s="264"/>
      <c r="L59" s="263" t="s">
        <v>172</v>
      </c>
      <c r="M59" s="265"/>
      <c r="N59" s="265"/>
      <c r="O59" s="265"/>
      <c r="P59" s="265"/>
      <c r="Q59" s="265"/>
      <c r="R59" s="264"/>
      <c r="S59" s="266" t="s">
        <v>173</v>
      </c>
      <c r="T59" s="267"/>
      <c r="U59" s="267"/>
      <c r="V59" s="267"/>
      <c r="W59" s="267"/>
      <c r="X59" s="267"/>
      <c r="Y59" s="267"/>
      <c r="Z59" s="267"/>
      <c r="AA59" s="267"/>
      <c r="AB59" s="268"/>
      <c r="AC59" s="263" t="s">
        <v>179</v>
      </c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4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5"/>
      <c r="BI59" s="75"/>
      <c r="BJ59" s="75"/>
      <c r="BK59" s="79"/>
    </row>
    <row r="60" spans="1:63" s="80" customFormat="1" ht="15" customHeight="1" x14ac:dyDescent="0.25">
      <c r="A60" s="77"/>
      <c r="B60" s="78"/>
      <c r="C60" s="263" t="s">
        <v>174</v>
      </c>
      <c r="D60" s="264"/>
      <c r="E60" s="263" t="s">
        <v>175</v>
      </c>
      <c r="F60" s="265"/>
      <c r="G60" s="265"/>
      <c r="H60" s="265"/>
      <c r="I60" s="265"/>
      <c r="J60" s="265"/>
      <c r="K60" s="264"/>
      <c r="L60" s="263" t="s">
        <v>172</v>
      </c>
      <c r="M60" s="265"/>
      <c r="N60" s="265"/>
      <c r="O60" s="265"/>
      <c r="P60" s="265"/>
      <c r="Q60" s="265"/>
      <c r="R60" s="264"/>
      <c r="S60" s="266" t="s">
        <v>176</v>
      </c>
      <c r="T60" s="267"/>
      <c r="U60" s="267"/>
      <c r="V60" s="267"/>
      <c r="W60" s="267"/>
      <c r="X60" s="267"/>
      <c r="Y60" s="267"/>
      <c r="Z60" s="267"/>
      <c r="AA60" s="267"/>
      <c r="AB60" s="268"/>
      <c r="AC60" s="263" t="s">
        <v>180</v>
      </c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4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5"/>
      <c r="BI60" s="75"/>
      <c r="BJ60" s="75"/>
      <c r="BK60" s="79"/>
    </row>
    <row r="61" spans="1:63" s="18" customFormat="1" ht="15" customHeight="1" x14ac:dyDescent="0.25">
      <c r="A61" s="13"/>
      <c r="B61" s="20"/>
      <c r="C61" s="201">
        <v>17</v>
      </c>
      <c r="D61" s="202"/>
      <c r="E61" s="201" t="s">
        <v>66</v>
      </c>
      <c r="F61" s="203"/>
      <c r="G61" s="203"/>
      <c r="H61" s="203"/>
      <c r="I61" s="203"/>
      <c r="J61" s="203"/>
      <c r="K61" s="202"/>
      <c r="L61" s="201" t="s">
        <v>5</v>
      </c>
      <c r="M61" s="203"/>
      <c r="N61" s="203"/>
      <c r="O61" s="203"/>
      <c r="P61" s="203"/>
      <c r="Q61" s="203"/>
      <c r="R61" s="202"/>
      <c r="S61" s="211" t="s">
        <v>134</v>
      </c>
      <c r="T61" s="212"/>
      <c r="U61" s="212"/>
      <c r="V61" s="212"/>
      <c r="W61" s="212"/>
      <c r="X61" s="212"/>
      <c r="Y61" s="212"/>
      <c r="Z61" s="212"/>
      <c r="AA61" s="212"/>
      <c r="AB61" s="213"/>
      <c r="AC61" s="201" t="s">
        <v>67</v>
      </c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203"/>
      <c r="AP61" s="203"/>
      <c r="AQ61" s="203"/>
      <c r="AR61" s="203"/>
      <c r="AS61" s="203"/>
      <c r="AT61" s="203"/>
      <c r="AU61" s="202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1"/>
      <c r="BK61" s="17"/>
    </row>
    <row r="62" spans="1:63" s="18" customFormat="1" ht="15" customHeight="1" x14ac:dyDescent="0.25">
      <c r="A62" s="13"/>
      <c r="B62" s="20"/>
      <c r="C62" s="201">
        <v>18</v>
      </c>
      <c r="D62" s="202"/>
      <c r="E62" s="201" t="s">
        <v>68</v>
      </c>
      <c r="F62" s="203"/>
      <c r="G62" s="203"/>
      <c r="H62" s="203"/>
      <c r="I62" s="203"/>
      <c r="J62" s="203"/>
      <c r="K62" s="202"/>
      <c r="L62" s="201" t="s">
        <v>5</v>
      </c>
      <c r="M62" s="203"/>
      <c r="N62" s="203"/>
      <c r="O62" s="203"/>
      <c r="P62" s="203"/>
      <c r="Q62" s="203"/>
      <c r="R62" s="202"/>
      <c r="S62" s="211" t="s">
        <v>135</v>
      </c>
      <c r="T62" s="212"/>
      <c r="U62" s="212"/>
      <c r="V62" s="212"/>
      <c r="W62" s="212"/>
      <c r="X62" s="212"/>
      <c r="Y62" s="212"/>
      <c r="Z62" s="212"/>
      <c r="AA62" s="212"/>
      <c r="AB62" s="213"/>
      <c r="AC62" s="201" t="s">
        <v>71</v>
      </c>
      <c r="AD62" s="203"/>
      <c r="AE62" s="203"/>
      <c r="AF62" s="203"/>
      <c r="AG62" s="203"/>
      <c r="AH62" s="203"/>
      <c r="AI62" s="203"/>
      <c r="AJ62" s="203"/>
      <c r="AK62" s="203"/>
      <c r="AL62" s="203"/>
      <c r="AM62" s="203"/>
      <c r="AN62" s="203"/>
      <c r="AO62" s="203"/>
      <c r="AP62" s="203"/>
      <c r="AQ62" s="203"/>
      <c r="AR62" s="203"/>
      <c r="AS62" s="203"/>
      <c r="AT62" s="203"/>
      <c r="AU62" s="202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3" s="18" customFormat="1" ht="15" customHeight="1" x14ac:dyDescent="0.25">
      <c r="A63" s="13"/>
      <c r="B63" s="20"/>
      <c r="C63" s="201">
        <v>19</v>
      </c>
      <c r="D63" s="202"/>
      <c r="E63" s="201" t="s">
        <v>69</v>
      </c>
      <c r="F63" s="203"/>
      <c r="G63" s="203"/>
      <c r="H63" s="203"/>
      <c r="I63" s="203"/>
      <c r="J63" s="203"/>
      <c r="K63" s="202"/>
      <c r="L63" s="201" t="s">
        <v>5</v>
      </c>
      <c r="M63" s="203"/>
      <c r="N63" s="203"/>
      <c r="O63" s="203"/>
      <c r="P63" s="203"/>
      <c r="Q63" s="203"/>
      <c r="R63" s="202"/>
      <c r="S63" s="211" t="s">
        <v>136</v>
      </c>
      <c r="T63" s="212"/>
      <c r="U63" s="212"/>
      <c r="V63" s="212"/>
      <c r="W63" s="212"/>
      <c r="X63" s="212"/>
      <c r="Y63" s="212"/>
      <c r="Z63" s="212"/>
      <c r="AA63" s="212"/>
      <c r="AB63" s="213"/>
      <c r="AC63" s="201" t="s">
        <v>70</v>
      </c>
      <c r="AD63" s="203"/>
      <c r="AE63" s="203"/>
      <c r="AF63" s="203"/>
      <c r="AG63" s="203"/>
      <c r="AH63" s="203"/>
      <c r="AI63" s="203"/>
      <c r="AJ63" s="203"/>
      <c r="AK63" s="203"/>
      <c r="AL63" s="203"/>
      <c r="AM63" s="203"/>
      <c r="AN63" s="203"/>
      <c r="AO63" s="203"/>
      <c r="AP63" s="203"/>
      <c r="AQ63" s="203"/>
      <c r="AR63" s="203"/>
      <c r="AS63" s="203"/>
      <c r="AT63" s="203"/>
      <c r="AU63" s="202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3" s="80" customFormat="1" ht="15" customHeight="1" x14ac:dyDescent="0.25">
      <c r="A64" s="77"/>
      <c r="B64" s="78"/>
      <c r="C64" s="201">
        <v>20</v>
      </c>
      <c r="D64" s="202"/>
      <c r="E64" s="201" t="s">
        <v>139</v>
      </c>
      <c r="F64" s="203"/>
      <c r="G64" s="203"/>
      <c r="H64" s="203"/>
      <c r="I64" s="203"/>
      <c r="J64" s="203"/>
      <c r="K64" s="202"/>
      <c r="L64" s="201" t="s">
        <v>121</v>
      </c>
      <c r="M64" s="203"/>
      <c r="N64" s="203"/>
      <c r="O64" s="203"/>
      <c r="P64" s="203"/>
      <c r="Q64" s="203"/>
      <c r="R64" s="202"/>
      <c r="S64" s="211" t="s">
        <v>141</v>
      </c>
      <c r="T64" s="212"/>
      <c r="U64" s="212"/>
      <c r="V64" s="212"/>
      <c r="W64" s="212"/>
      <c r="X64" s="212"/>
      <c r="Y64" s="212"/>
      <c r="Z64" s="212"/>
      <c r="AA64" s="212"/>
      <c r="AB64" s="213"/>
      <c r="AC64" s="201" t="s">
        <v>142</v>
      </c>
      <c r="AD64" s="203"/>
      <c r="AE64" s="203"/>
      <c r="AF64" s="203"/>
      <c r="AG64" s="203"/>
      <c r="AH64" s="203"/>
      <c r="AI64" s="203"/>
      <c r="AJ64" s="203"/>
      <c r="AK64" s="203"/>
      <c r="AL64" s="203"/>
      <c r="AM64" s="203"/>
      <c r="AN64" s="203"/>
      <c r="AO64" s="203"/>
      <c r="AP64" s="203"/>
      <c r="AQ64" s="203"/>
      <c r="AR64" s="203"/>
      <c r="AS64" s="203"/>
      <c r="AT64" s="203"/>
      <c r="AU64" s="202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5"/>
      <c r="BI64" s="75"/>
      <c r="BJ64" s="75"/>
      <c r="BK64" s="79"/>
    </row>
    <row r="65" spans="1:63" s="18" customFormat="1" ht="15" customHeight="1" x14ac:dyDescent="0.25">
      <c r="A65" s="13"/>
      <c r="B65" s="20"/>
      <c r="C65" s="201">
        <v>21</v>
      </c>
      <c r="D65" s="202"/>
      <c r="E65" s="201" t="s">
        <v>72</v>
      </c>
      <c r="F65" s="203"/>
      <c r="G65" s="203"/>
      <c r="H65" s="203"/>
      <c r="I65" s="203"/>
      <c r="J65" s="203"/>
      <c r="K65" s="202"/>
      <c r="L65" s="201" t="s">
        <v>77</v>
      </c>
      <c r="M65" s="203"/>
      <c r="N65" s="203"/>
      <c r="O65" s="203"/>
      <c r="P65" s="203"/>
      <c r="Q65" s="203"/>
      <c r="R65" s="202"/>
      <c r="S65" s="211" t="s">
        <v>137</v>
      </c>
      <c r="T65" s="212"/>
      <c r="U65" s="212"/>
      <c r="V65" s="212"/>
      <c r="W65" s="212"/>
      <c r="X65" s="212"/>
      <c r="Y65" s="212"/>
      <c r="Z65" s="212"/>
      <c r="AA65" s="212"/>
      <c r="AB65" s="213"/>
      <c r="AC65" s="201"/>
      <c r="AD65" s="203"/>
      <c r="AE65" s="203"/>
      <c r="AF65" s="203"/>
      <c r="AG65" s="203"/>
      <c r="AH65" s="203"/>
      <c r="AI65" s="203"/>
      <c r="AJ65" s="203"/>
      <c r="AK65" s="203"/>
      <c r="AL65" s="203"/>
      <c r="AM65" s="203"/>
      <c r="AN65" s="203"/>
      <c r="AO65" s="203"/>
      <c r="AP65" s="203"/>
      <c r="AQ65" s="203"/>
      <c r="AR65" s="203"/>
      <c r="AS65" s="203"/>
      <c r="AT65" s="203"/>
      <c r="AU65" s="202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</row>
    <row r="66" spans="1:63" s="18" customFormat="1" ht="15" customHeight="1" x14ac:dyDescent="0.25">
      <c r="A66" s="13"/>
      <c r="B66" s="20"/>
      <c r="C66" s="201">
        <v>22</v>
      </c>
      <c r="D66" s="202"/>
      <c r="E66" s="201" t="s">
        <v>73</v>
      </c>
      <c r="F66" s="203"/>
      <c r="G66" s="203"/>
      <c r="H66" s="203"/>
      <c r="I66" s="203"/>
      <c r="J66" s="203"/>
      <c r="K66" s="202"/>
      <c r="L66" s="201" t="s">
        <v>5</v>
      </c>
      <c r="M66" s="203"/>
      <c r="N66" s="203"/>
      <c r="O66" s="203"/>
      <c r="P66" s="203"/>
      <c r="Q66" s="203"/>
      <c r="R66" s="202"/>
      <c r="S66" s="211" t="s">
        <v>118</v>
      </c>
      <c r="T66" s="212"/>
      <c r="U66" s="212"/>
      <c r="V66" s="212"/>
      <c r="W66" s="212"/>
      <c r="X66" s="212"/>
      <c r="Y66" s="212"/>
      <c r="Z66" s="212"/>
      <c r="AA66" s="212"/>
      <c r="AB66" s="213"/>
      <c r="AC66" s="201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203"/>
      <c r="AQ66" s="203"/>
      <c r="AR66" s="203"/>
      <c r="AS66" s="203"/>
      <c r="AT66" s="203"/>
      <c r="AU66" s="202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</row>
    <row r="67" spans="1:63" s="18" customFormat="1" ht="15" customHeight="1" x14ac:dyDescent="0.25">
      <c r="A67" s="13"/>
      <c r="B67" s="20"/>
      <c r="C67" s="201">
        <v>23</v>
      </c>
      <c r="D67" s="202"/>
      <c r="E67" s="201" t="s">
        <v>74</v>
      </c>
      <c r="F67" s="203"/>
      <c r="G67" s="203"/>
      <c r="H67" s="203"/>
      <c r="I67" s="203"/>
      <c r="J67" s="203"/>
      <c r="K67" s="202"/>
      <c r="L67" s="201" t="s">
        <v>5</v>
      </c>
      <c r="M67" s="203"/>
      <c r="N67" s="203"/>
      <c r="O67" s="203"/>
      <c r="P67" s="203"/>
      <c r="Q67" s="203"/>
      <c r="R67" s="202"/>
      <c r="S67" s="211" t="s">
        <v>79</v>
      </c>
      <c r="T67" s="212"/>
      <c r="U67" s="212"/>
      <c r="V67" s="212"/>
      <c r="W67" s="212"/>
      <c r="X67" s="212"/>
      <c r="Y67" s="212"/>
      <c r="Z67" s="212"/>
      <c r="AA67" s="212"/>
      <c r="AB67" s="213"/>
      <c r="AC67" s="201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  <c r="AS67" s="203"/>
      <c r="AT67" s="203"/>
      <c r="AU67" s="202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1"/>
      <c r="BK67" s="17"/>
    </row>
    <row r="68" spans="1:63" s="18" customFormat="1" ht="15" customHeight="1" x14ac:dyDescent="0.25">
      <c r="A68" s="13"/>
      <c r="B68" s="20"/>
      <c r="C68" s="201">
        <v>24</v>
      </c>
      <c r="D68" s="202"/>
      <c r="E68" s="201" t="s">
        <v>75</v>
      </c>
      <c r="F68" s="203"/>
      <c r="G68" s="203"/>
      <c r="H68" s="203"/>
      <c r="I68" s="203"/>
      <c r="J68" s="203"/>
      <c r="K68" s="202"/>
      <c r="L68" s="201" t="s">
        <v>5</v>
      </c>
      <c r="M68" s="203"/>
      <c r="N68" s="203"/>
      <c r="O68" s="203"/>
      <c r="P68" s="203"/>
      <c r="Q68" s="203"/>
      <c r="R68" s="202"/>
      <c r="S68" s="211" t="s">
        <v>80</v>
      </c>
      <c r="T68" s="212"/>
      <c r="U68" s="212"/>
      <c r="V68" s="212"/>
      <c r="W68" s="212"/>
      <c r="X68" s="212"/>
      <c r="Y68" s="212"/>
      <c r="Z68" s="212"/>
      <c r="AA68" s="212"/>
      <c r="AB68" s="213"/>
      <c r="AC68" s="201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203"/>
      <c r="AQ68" s="203"/>
      <c r="AR68" s="203"/>
      <c r="AS68" s="203"/>
      <c r="AT68" s="203"/>
      <c r="AU68" s="202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1"/>
      <c r="BK68" s="17"/>
    </row>
    <row r="69" spans="1:63" s="18" customFormat="1" ht="15" customHeight="1" x14ac:dyDescent="0.25">
      <c r="A69" s="13"/>
      <c r="B69" s="20"/>
      <c r="C69" s="201">
        <v>25</v>
      </c>
      <c r="D69" s="202"/>
      <c r="E69" s="201" t="s">
        <v>76</v>
      </c>
      <c r="F69" s="203"/>
      <c r="G69" s="203"/>
      <c r="H69" s="203"/>
      <c r="I69" s="203"/>
      <c r="J69" s="203"/>
      <c r="K69" s="202"/>
      <c r="L69" s="201" t="s">
        <v>5</v>
      </c>
      <c r="M69" s="203"/>
      <c r="N69" s="203"/>
      <c r="O69" s="203"/>
      <c r="P69" s="203"/>
      <c r="Q69" s="203"/>
      <c r="R69" s="202"/>
      <c r="S69" s="211" t="s">
        <v>81</v>
      </c>
      <c r="T69" s="212"/>
      <c r="U69" s="212"/>
      <c r="V69" s="212"/>
      <c r="W69" s="212"/>
      <c r="X69" s="212"/>
      <c r="Y69" s="212"/>
      <c r="Z69" s="212"/>
      <c r="AA69" s="212"/>
      <c r="AB69" s="213"/>
      <c r="AC69" s="201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  <c r="AS69" s="203"/>
      <c r="AT69" s="203"/>
      <c r="AU69" s="202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</row>
    <row r="70" spans="1:63" s="18" customFormat="1" ht="15" customHeight="1" x14ac:dyDescent="0.25">
      <c r="A70" s="13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</row>
    <row r="71" spans="1:63" s="18" customFormat="1" ht="15" customHeight="1" x14ac:dyDescent="0.25">
      <c r="A71" s="13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20"/>
      <c r="C72" s="23" t="s">
        <v>116</v>
      </c>
      <c r="D72" s="20"/>
      <c r="E72" s="66"/>
      <c r="F72" s="20"/>
      <c r="G72" s="66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15" customHeight="1" x14ac:dyDescent="0.25">
      <c r="A73" s="13"/>
      <c r="B73" s="20"/>
      <c r="C73" s="23"/>
      <c r="D73" s="66"/>
      <c r="E73" s="66"/>
      <c r="F73" s="20"/>
      <c r="G73" s="66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20"/>
      <c r="C74" s="67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24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20"/>
      <c r="C75" s="69" t="s">
        <v>62</v>
      </c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5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20"/>
      <c r="C76" s="70" t="s">
        <v>145</v>
      </c>
      <c r="D76" s="71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5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20"/>
      <c r="C77" s="70" t="s">
        <v>146</v>
      </c>
      <c r="D77" s="71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5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18" customFormat="1" ht="15" customHeight="1" x14ac:dyDescent="0.25">
      <c r="A78" s="13"/>
      <c r="B78" s="20"/>
      <c r="C78" s="70" t="s">
        <v>147</v>
      </c>
      <c r="D78" s="71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5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3" s="18" customFormat="1" ht="15" customHeight="1" x14ac:dyDescent="0.25">
      <c r="A79" s="13"/>
      <c r="B79" s="20"/>
      <c r="C79" s="70" t="s">
        <v>148</v>
      </c>
      <c r="D79" s="71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5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1"/>
      <c r="BK79" s="17"/>
    </row>
    <row r="80" spans="1:63" s="18" customFormat="1" ht="15" customHeight="1" x14ac:dyDescent="0.25">
      <c r="A80" s="13"/>
      <c r="B80" s="20"/>
      <c r="C80" s="70" t="s">
        <v>149</v>
      </c>
      <c r="D80" s="71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5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1"/>
      <c r="BK80" s="17"/>
    </row>
    <row r="81" spans="1:63" s="18" customFormat="1" ht="15" customHeight="1" x14ac:dyDescent="0.25">
      <c r="A81" s="13"/>
      <c r="B81" s="20"/>
      <c r="C81" s="70" t="s">
        <v>150</v>
      </c>
      <c r="D81" s="71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5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1"/>
      <c r="BK81" s="17"/>
    </row>
    <row r="82" spans="1:63" s="18" customFormat="1" ht="15" customHeight="1" x14ac:dyDescent="0.25">
      <c r="A82" s="13"/>
      <c r="B82" s="20"/>
      <c r="C82" s="70" t="s">
        <v>151</v>
      </c>
      <c r="D82" s="71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5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1"/>
      <c r="BK82" s="17"/>
    </row>
    <row r="83" spans="1:63" s="18" customFormat="1" ht="15" customHeight="1" x14ac:dyDescent="0.25">
      <c r="A83" s="13"/>
      <c r="B83" s="20"/>
      <c r="C83" s="70" t="s">
        <v>152</v>
      </c>
      <c r="D83" s="71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5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1"/>
      <c r="BK83" s="17"/>
    </row>
    <row r="84" spans="1:63" s="18" customFormat="1" ht="15" customHeight="1" x14ac:dyDescent="0.25">
      <c r="A84" s="13"/>
      <c r="B84" s="20"/>
      <c r="C84" s="70" t="s">
        <v>153</v>
      </c>
      <c r="D84" s="71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5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1"/>
      <c r="BK84" s="17"/>
    </row>
    <row r="85" spans="1:63" s="18" customFormat="1" ht="15" customHeight="1" x14ac:dyDescent="0.25">
      <c r="A85" s="13"/>
      <c r="B85" s="20"/>
      <c r="C85" s="70" t="s">
        <v>154</v>
      </c>
      <c r="D85" s="71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5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1"/>
      <c r="BK85" s="17"/>
    </row>
    <row r="86" spans="1:63" s="18" customFormat="1" ht="15" customHeight="1" x14ac:dyDescent="0.25">
      <c r="A86" s="13"/>
      <c r="B86" s="20"/>
      <c r="C86" s="70" t="s">
        <v>155</v>
      </c>
      <c r="D86" s="71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5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1"/>
      <c r="BK86" s="17"/>
    </row>
    <row r="87" spans="1:63" s="18" customFormat="1" ht="15" customHeight="1" x14ac:dyDescent="0.25">
      <c r="A87" s="13"/>
      <c r="B87" s="20"/>
      <c r="C87" s="70" t="s">
        <v>156</v>
      </c>
      <c r="D87" s="66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5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1"/>
      <c r="BK87" s="17"/>
    </row>
    <row r="88" spans="1:63" s="18" customFormat="1" ht="15" customHeight="1" x14ac:dyDescent="0.25">
      <c r="A88" s="13"/>
      <c r="B88" s="20"/>
      <c r="C88" s="70" t="s">
        <v>157</v>
      </c>
      <c r="D88" s="66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5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1"/>
      <c r="BK88" s="17"/>
    </row>
    <row r="89" spans="1:63" s="18" customFormat="1" ht="15" customHeight="1" x14ac:dyDescent="0.25">
      <c r="A89" s="13"/>
      <c r="B89" s="20"/>
      <c r="C89" s="70" t="s">
        <v>158</v>
      </c>
      <c r="D89" s="66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5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1"/>
      <c r="BK89" s="17"/>
    </row>
    <row r="90" spans="1:63" s="18" customFormat="1" ht="15" customHeight="1" x14ac:dyDescent="0.25">
      <c r="A90" s="13"/>
      <c r="B90" s="20"/>
      <c r="C90" s="70" t="s">
        <v>159</v>
      </c>
      <c r="D90" s="66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5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1"/>
      <c r="BK90" s="17"/>
    </row>
    <row r="91" spans="1:63" s="18" customFormat="1" ht="15" customHeight="1" x14ac:dyDescent="0.25">
      <c r="A91" s="13"/>
      <c r="B91" s="20"/>
      <c r="C91" s="70" t="s">
        <v>160</v>
      </c>
      <c r="D91" s="66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5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1"/>
      <c r="BK91" s="17"/>
    </row>
    <row r="92" spans="1:63" s="80" customFormat="1" ht="15" customHeight="1" x14ac:dyDescent="0.25">
      <c r="A92" s="77"/>
      <c r="B92" s="78"/>
      <c r="C92" s="261" t="s">
        <v>177</v>
      </c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262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5"/>
      <c r="BI92" s="75"/>
      <c r="BJ92" s="75"/>
      <c r="BK92" s="79"/>
    </row>
    <row r="93" spans="1:63" s="80" customFormat="1" ht="15" customHeight="1" x14ac:dyDescent="0.25">
      <c r="A93" s="77"/>
      <c r="B93" s="78"/>
      <c r="C93" s="261" t="s">
        <v>178</v>
      </c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262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5"/>
      <c r="BI93" s="75"/>
      <c r="BJ93" s="75"/>
      <c r="BK93" s="79"/>
    </row>
    <row r="94" spans="1:63" s="18" customFormat="1" ht="15" customHeight="1" x14ac:dyDescent="0.25">
      <c r="A94" s="13"/>
      <c r="B94" s="20"/>
      <c r="C94" s="70" t="s">
        <v>161</v>
      </c>
      <c r="D94" s="66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5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1"/>
      <c r="BK94" s="17"/>
    </row>
    <row r="95" spans="1:63" s="18" customFormat="1" ht="15" customHeight="1" x14ac:dyDescent="0.25">
      <c r="A95" s="13"/>
      <c r="B95" s="20"/>
      <c r="C95" s="70" t="s">
        <v>162</v>
      </c>
      <c r="D95" s="66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5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1"/>
      <c r="BK95" s="17"/>
    </row>
    <row r="96" spans="1:63" s="18" customFormat="1" ht="15" customHeight="1" x14ac:dyDescent="0.25">
      <c r="A96" s="13"/>
      <c r="B96" s="20"/>
      <c r="C96" s="70" t="s">
        <v>163</v>
      </c>
      <c r="D96" s="66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5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1"/>
      <c r="BK96" s="17"/>
    </row>
    <row r="97" spans="1:63" s="87" customFormat="1" ht="15" customHeight="1" x14ac:dyDescent="0.25">
      <c r="A97" s="82"/>
      <c r="B97" s="83"/>
      <c r="C97" s="81" t="s">
        <v>143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  <c r="AI97" s="83"/>
      <c r="AJ97" s="83"/>
      <c r="AK97" s="83"/>
      <c r="AL97" s="83"/>
      <c r="AM97" s="83"/>
      <c r="AN97" s="83"/>
      <c r="AO97" s="83"/>
      <c r="AP97" s="83"/>
      <c r="AQ97" s="83"/>
      <c r="AR97" s="83"/>
      <c r="AS97" s="83"/>
      <c r="AT97" s="83"/>
      <c r="AU97" s="84"/>
      <c r="AV97" s="83"/>
      <c r="AW97" s="83"/>
      <c r="AX97" s="83"/>
      <c r="AY97" s="83"/>
      <c r="AZ97" s="83"/>
      <c r="BA97" s="83"/>
      <c r="BB97" s="83"/>
      <c r="BC97" s="83"/>
      <c r="BD97" s="83"/>
      <c r="BE97" s="83"/>
      <c r="BF97" s="83"/>
      <c r="BG97" s="83"/>
      <c r="BH97" s="85"/>
      <c r="BI97" s="85"/>
      <c r="BJ97" s="85"/>
      <c r="BK97" s="86"/>
    </row>
    <row r="98" spans="1:63" s="18" customFormat="1" ht="15" customHeight="1" x14ac:dyDescent="0.25">
      <c r="A98" s="13"/>
      <c r="B98" s="20"/>
      <c r="C98" s="70" t="s">
        <v>164</v>
      </c>
      <c r="D98" s="66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5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1"/>
      <c r="BK98" s="17"/>
    </row>
    <row r="99" spans="1:63" s="18" customFormat="1" ht="15" customHeight="1" x14ac:dyDescent="0.25">
      <c r="A99" s="13"/>
      <c r="B99" s="20"/>
      <c r="C99" s="70" t="s">
        <v>165</v>
      </c>
      <c r="D99" s="66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5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1"/>
      <c r="BK99" s="17"/>
    </row>
    <row r="100" spans="1:63" s="18" customFormat="1" ht="15" customHeight="1" x14ac:dyDescent="0.25">
      <c r="A100" s="13"/>
      <c r="B100" s="20"/>
      <c r="C100" s="70" t="s">
        <v>166</v>
      </c>
      <c r="D100" s="66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5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1"/>
      <c r="BK100" s="17"/>
    </row>
    <row r="101" spans="1:63" s="18" customFormat="1" ht="15" customHeight="1" x14ac:dyDescent="0.25">
      <c r="A101" s="13"/>
      <c r="B101" s="20"/>
      <c r="C101" s="70" t="s">
        <v>167</v>
      </c>
      <c r="D101" s="66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5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1"/>
      <c r="BK101" s="17"/>
    </row>
    <row r="102" spans="1:63" s="18" customFormat="1" ht="15" customHeight="1" x14ac:dyDescent="0.25">
      <c r="A102" s="13"/>
      <c r="B102" s="20"/>
      <c r="C102" s="70" t="s">
        <v>168</v>
      </c>
      <c r="D102" s="66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5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1"/>
      <c r="BK102" s="17"/>
    </row>
    <row r="103" spans="1:63" s="18" customFormat="1" ht="15" customHeight="1" x14ac:dyDescent="0.25">
      <c r="A103" s="13"/>
      <c r="B103" s="20"/>
      <c r="C103" s="72" t="s">
        <v>82</v>
      </c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26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1"/>
      <c r="BK103" s="17"/>
    </row>
    <row r="104" spans="1:63" s="18" customFormat="1" ht="15" customHeight="1" x14ac:dyDescent="0.25">
      <c r="A104" s="13"/>
      <c r="B104" s="20"/>
      <c r="C104" s="20"/>
      <c r="D104" s="66"/>
      <c r="E104" s="66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1"/>
      <c r="BK104" s="17"/>
    </row>
    <row r="105" spans="1:63" s="18" customFormat="1" ht="15" customHeight="1" x14ac:dyDescent="0.25">
      <c r="A105" s="13"/>
      <c r="B105" s="20"/>
      <c r="C105" s="19" t="s">
        <v>117</v>
      </c>
      <c r="D105" s="20"/>
      <c r="E105" s="66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1"/>
      <c r="BK105" s="17"/>
    </row>
    <row r="106" spans="1:63" s="18" customFormat="1" ht="15" customHeight="1" x14ac:dyDescent="0.25">
      <c r="A106" s="13"/>
      <c r="B106" s="20"/>
      <c r="C106" s="19"/>
      <c r="D106" s="20"/>
      <c r="E106" s="66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1"/>
      <c r="BK106" s="17"/>
    </row>
    <row r="107" spans="1:63" s="18" customFormat="1" ht="15" customHeight="1" x14ac:dyDescent="0.25">
      <c r="A107" s="13"/>
      <c r="B107" s="20"/>
      <c r="C107" s="19" t="s">
        <v>61</v>
      </c>
      <c r="D107" s="20"/>
      <c r="E107" s="66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1"/>
      <c r="BK107" s="17"/>
    </row>
    <row r="108" spans="1:63" s="40" customFormat="1" ht="15" customHeight="1" x14ac:dyDescent="0.25">
      <c r="A108" s="35"/>
      <c r="B108" s="36"/>
      <c r="C108" s="36"/>
      <c r="D108" s="36"/>
      <c r="E108" s="37"/>
      <c r="F108" s="37"/>
      <c r="G108" s="37"/>
      <c r="H108" s="37"/>
      <c r="I108" s="37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8"/>
      <c r="BI108" s="38"/>
      <c r="BJ108" s="38"/>
      <c r="BK108" s="39"/>
    </row>
  </sheetData>
  <mergeCells count="231">
    <mergeCell ref="E60:K60"/>
    <mergeCell ref="L60:R60"/>
    <mergeCell ref="S60:AB60"/>
    <mergeCell ref="AC60:AU60"/>
    <mergeCell ref="C64:D64"/>
    <mergeCell ref="E64:K64"/>
    <mergeCell ref="L64:R64"/>
    <mergeCell ref="S64:AB64"/>
    <mergeCell ref="AC64:AU64"/>
    <mergeCell ref="C43:D43"/>
    <mergeCell ref="E43:K43"/>
    <mergeCell ref="L43:R43"/>
    <mergeCell ref="S43:AB43"/>
    <mergeCell ref="AC43:AU43"/>
    <mergeCell ref="C46:D46"/>
    <mergeCell ref="C44:D44"/>
    <mergeCell ref="S46:AB46"/>
    <mergeCell ref="E46:K46"/>
    <mergeCell ref="E47:K47"/>
    <mergeCell ref="E48:K48"/>
    <mergeCell ref="E49:K49"/>
    <mergeCell ref="AC51:AU51"/>
    <mergeCell ref="L50:R50"/>
    <mergeCell ref="C59:D59"/>
    <mergeCell ref="E59:K59"/>
    <mergeCell ref="L59:R59"/>
    <mergeCell ref="S59:AB59"/>
    <mergeCell ref="AC59:AU59"/>
    <mergeCell ref="AG17:AP17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  <mergeCell ref="AQ33:BJ33"/>
    <mergeCell ref="AQ31:BJ31"/>
    <mergeCell ref="S25:Y25"/>
    <mergeCell ref="S26:Y26"/>
    <mergeCell ref="C26:D26"/>
    <mergeCell ref="C25:D25"/>
    <mergeCell ref="Z25:AP25"/>
    <mergeCell ref="E33:K33"/>
    <mergeCell ref="AG16:AP16"/>
    <mergeCell ref="AQ16:BJ16"/>
    <mergeCell ref="E17:AF17"/>
    <mergeCell ref="AQ17:BJ17"/>
    <mergeCell ref="E22:K22"/>
    <mergeCell ref="E23:K23"/>
    <mergeCell ref="C22:D22"/>
    <mergeCell ref="E25:K25"/>
    <mergeCell ref="E26:K26"/>
    <mergeCell ref="O23:R23"/>
    <mergeCell ref="O25:R25"/>
    <mergeCell ref="O26:R26"/>
    <mergeCell ref="L22:N22"/>
    <mergeCell ref="L23:N23"/>
    <mergeCell ref="O33:R33"/>
    <mergeCell ref="Z33:AP33"/>
    <mergeCell ref="E42:K42"/>
    <mergeCell ref="L51:R51"/>
    <mergeCell ref="C42:D42"/>
    <mergeCell ref="C45:D45"/>
    <mergeCell ref="E44:K44"/>
    <mergeCell ref="E45:K45"/>
    <mergeCell ref="Z22:AP22"/>
    <mergeCell ref="Z23:AP23"/>
    <mergeCell ref="L25:N25"/>
    <mergeCell ref="L26:N26"/>
    <mergeCell ref="C31:D31"/>
    <mergeCell ref="E31:K31"/>
    <mergeCell ref="C23:D23"/>
    <mergeCell ref="L33:N33"/>
    <mergeCell ref="C33:D33"/>
    <mergeCell ref="Z26:AP26"/>
    <mergeCell ref="S33:Y33"/>
    <mergeCell ref="L42:R42"/>
    <mergeCell ref="L44:R44"/>
    <mergeCell ref="L45:R45"/>
    <mergeCell ref="L46:R46"/>
    <mergeCell ref="L47:R47"/>
    <mergeCell ref="L48:R48"/>
    <mergeCell ref="L49:R49"/>
    <mergeCell ref="AC46:AU46"/>
    <mergeCell ref="AC47:AU47"/>
    <mergeCell ref="AC48:AU48"/>
    <mergeCell ref="S49:AB49"/>
    <mergeCell ref="S50:AB50"/>
    <mergeCell ref="S42:AB42"/>
    <mergeCell ref="S44:AB44"/>
    <mergeCell ref="S45:AB45"/>
    <mergeCell ref="AC49:AU49"/>
    <mergeCell ref="AC50:AU50"/>
    <mergeCell ref="C21:D21"/>
    <mergeCell ref="S21:Y21"/>
    <mergeCell ref="Z21:AP21"/>
    <mergeCell ref="O22:R22"/>
    <mergeCell ref="C24:D24"/>
    <mergeCell ref="E24:K24"/>
    <mergeCell ref="L24:N24"/>
    <mergeCell ref="O24:R24"/>
    <mergeCell ref="S24:Y24"/>
    <mergeCell ref="Z24:AP24"/>
    <mergeCell ref="O21:R21"/>
    <mergeCell ref="L21:N21"/>
    <mergeCell ref="S23:Y23"/>
    <mergeCell ref="S22:Y22"/>
    <mergeCell ref="E21:K21"/>
    <mergeCell ref="S51:AB51"/>
    <mergeCell ref="AQ21:BJ21"/>
    <mergeCell ref="AC52:AU52"/>
    <mergeCell ref="AC53:AU53"/>
    <mergeCell ref="E50:K50"/>
    <mergeCell ref="E51:K51"/>
    <mergeCell ref="S52:AB52"/>
    <mergeCell ref="S53:AB53"/>
    <mergeCell ref="L52:R52"/>
    <mergeCell ref="L53:R53"/>
    <mergeCell ref="S47:AB47"/>
    <mergeCell ref="S48:AB48"/>
    <mergeCell ref="L31:N31"/>
    <mergeCell ref="O31:R31"/>
    <mergeCell ref="Z31:AP31"/>
    <mergeCell ref="AQ23:BJ23"/>
    <mergeCell ref="AQ22:BJ22"/>
    <mergeCell ref="AQ24:BJ24"/>
    <mergeCell ref="AQ25:BJ25"/>
    <mergeCell ref="AQ26:BJ26"/>
    <mergeCell ref="S31:Y31"/>
    <mergeCell ref="AC42:AU42"/>
    <mergeCell ref="AC44:AU44"/>
    <mergeCell ref="AC45:AU45"/>
    <mergeCell ref="C47:D47"/>
    <mergeCell ref="C48:D48"/>
    <mergeCell ref="C49:D49"/>
    <mergeCell ref="C50:D50"/>
    <mergeCell ref="C51:D51"/>
    <mergeCell ref="C52:D52"/>
    <mergeCell ref="C53:D53"/>
    <mergeCell ref="E52:K52"/>
    <mergeCell ref="E53:K53"/>
    <mergeCell ref="L54:R54"/>
    <mergeCell ref="S54:AB54"/>
    <mergeCell ref="AC54:AU54"/>
    <mergeCell ref="C55:D55"/>
    <mergeCell ref="E55:K55"/>
    <mergeCell ref="L55:R55"/>
    <mergeCell ref="S55:AB55"/>
    <mergeCell ref="AC55:AU55"/>
    <mergeCell ref="C54:D54"/>
    <mergeCell ref="E54:K54"/>
    <mergeCell ref="L61:R61"/>
    <mergeCell ref="S61:AB61"/>
    <mergeCell ref="AC61:AU61"/>
    <mergeCell ref="C62:D62"/>
    <mergeCell ref="E62:K62"/>
    <mergeCell ref="L62:R62"/>
    <mergeCell ref="S62:AB62"/>
    <mergeCell ref="AC62:AU62"/>
    <mergeCell ref="L56:R56"/>
    <mergeCell ref="S56:AB56"/>
    <mergeCell ref="AC56:AU56"/>
    <mergeCell ref="C57:D57"/>
    <mergeCell ref="E57:K57"/>
    <mergeCell ref="L57:R57"/>
    <mergeCell ref="S57:AB57"/>
    <mergeCell ref="AC57:AU57"/>
    <mergeCell ref="C58:D58"/>
    <mergeCell ref="E58:K58"/>
    <mergeCell ref="L58:R58"/>
    <mergeCell ref="S58:AB58"/>
    <mergeCell ref="AC58:AU58"/>
    <mergeCell ref="C56:D56"/>
    <mergeCell ref="E56:K56"/>
    <mergeCell ref="C60:D60"/>
    <mergeCell ref="C69:D69"/>
    <mergeCell ref="E69:K69"/>
    <mergeCell ref="L69:R69"/>
    <mergeCell ref="S69:AB69"/>
    <mergeCell ref="AC69:AU69"/>
    <mergeCell ref="C66:D66"/>
    <mergeCell ref="E66:K66"/>
    <mergeCell ref="L66:R66"/>
    <mergeCell ref="S66:AB66"/>
    <mergeCell ref="AC66:AU66"/>
    <mergeCell ref="C67:D67"/>
    <mergeCell ref="E67:K67"/>
    <mergeCell ref="L67:R67"/>
    <mergeCell ref="S67:AB67"/>
    <mergeCell ref="AC67:AU67"/>
    <mergeCell ref="C32:D32"/>
    <mergeCell ref="E32:K32"/>
    <mergeCell ref="L32:N32"/>
    <mergeCell ref="O32:R32"/>
    <mergeCell ref="S32:Y32"/>
    <mergeCell ref="Z32:AP32"/>
    <mergeCell ref="AQ32:BJ32"/>
    <mergeCell ref="C68:D68"/>
    <mergeCell ref="E68:K68"/>
    <mergeCell ref="L68:R68"/>
    <mergeCell ref="S68:AB68"/>
    <mergeCell ref="AC68:AU68"/>
    <mergeCell ref="C63:D63"/>
    <mergeCell ref="E63:K63"/>
    <mergeCell ref="L63:R63"/>
    <mergeCell ref="S63:AB63"/>
    <mergeCell ref="AC63:AU63"/>
    <mergeCell ref="C65:D65"/>
    <mergeCell ref="E65:K65"/>
    <mergeCell ref="L65:R65"/>
    <mergeCell ref="S65:AB65"/>
    <mergeCell ref="AC65:AU65"/>
    <mergeCell ref="C61:D61"/>
    <mergeCell ref="E61:K6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85" t="s">
        <v>84</v>
      </c>
      <c r="B1" s="186"/>
      <c r="C1" s="186"/>
      <c r="D1" s="186"/>
      <c r="E1" s="186"/>
      <c r="F1" s="186"/>
      <c r="G1" s="186"/>
      <c r="H1" s="186"/>
      <c r="I1" s="186"/>
      <c r="J1" s="187"/>
      <c r="K1" s="185" t="s">
        <v>85</v>
      </c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  <c r="W1" s="188" t="str">
        <f>IF(表紙!W1="","",表紙!W1)</f>
        <v>詳細設計書</v>
      </c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90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179" t="str">
        <f>IF(表紙!A2="","",表紙!A2)</f>
        <v>POSサーバー</v>
      </c>
      <c r="B2" s="180"/>
      <c r="C2" s="180"/>
      <c r="D2" s="180"/>
      <c r="E2" s="180"/>
      <c r="F2" s="180"/>
      <c r="G2" s="180"/>
      <c r="H2" s="180"/>
      <c r="I2" s="180"/>
      <c r="J2" s="181"/>
      <c r="K2" s="179" t="str">
        <f>IF(表紙!K2="","",表紙!K2)</f>
        <v>POSサーバー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91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  <c r="AL2" s="192"/>
      <c r="AM2" s="192"/>
      <c r="AN2" s="192"/>
      <c r="AO2" s="193"/>
      <c r="AP2" s="88" t="str">
        <f>IF(表紙!AP2="","",表紙!AP2)</f>
        <v>DuNT</v>
      </c>
      <c r="AQ2" s="89"/>
      <c r="AR2" s="89"/>
      <c r="AS2" s="90"/>
      <c r="AT2" s="118">
        <f>IF(表紙!AT2="","",表紙!AT2)</f>
        <v>45490</v>
      </c>
      <c r="AU2" s="119"/>
      <c r="AV2" s="119"/>
      <c r="AW2" s="119"/>
      <c r="AX2" s="120"/>
      <c r="AY2" s="88" t="str">
        <f>IF(表紙!AY2="","",表紙!AY2)</f>
        <v>TinNH</v>
      </c>
      <c r="AZ2" s="89"/>
      <c r="BA2" s="89"/>
      <c r="BB2" s="90"/>
      <c r="BC2" s="118">
        <f>IF(表紙!BC2="","",表紙!BC2)</f>
        <v>45596</v>
      </c>
      <c r="BD2" s="119"/>
      <c r="BE2" s="119"/>
      <c r="BF2" s="119"/>
      <c r="BG2" s="120"/>
      <c r="BH2" s="88">
        <f>IF(表紙!BH2="","",表紙!BH2)</f>
        <v>0.5</v>
      </c>
      <c r="BI2" s="89"/>
      <c r="BJ2" s="89"/>
      <c r="BK2" s="90"/>
    </row>
    <row r="3" spans="1:63" ht="15" customHeight="1" x14ac:dyDescent="0.25">
      <c r="A3" s="182"/>
      <c r="B3" s="183"/>
      <c r="C3" s="183"/>
      <c r="D3" s="183"/>
      <c r="E3" s="183"/>
      <c r="F3" s="183"/>
      <c r="G3" s="183"/>
      <c r="H3" s="183"/>
      <c r="I3" s="183"/>
      <c r="J3" s="184"/>
      <c r="K3" s="182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4"/>
      <c r="W3" s="194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6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94"/>
      <c r="BI3" s="95"/>
      <c r="BJ3" s="95"/>
      <c r="BK3" s="96"/>
    </row>
    <row r="4" spans="1:63" ht="24.95" customHeight="1" x14ac:dyDescent="0.25">
      <c r="A4" s="185" t="s">
        <v>93</v>
      </c>
      <c r="B4" s="186"/>
      <c r="C4" s="186"/>
      <c r="D4" s="186"/>
      <c r="E4" s="186"/>
      <c r="F4" s="186"/>
      <c r="G4" s="187"/>
      <c r="H4" s="197" t="str">
        <f>IF(表紙!H4="","",表紙!H4)</f>
        <v>AP7101</v>
      </c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9"/>
      <c r="U4" s="185" t="s">
        <v>94</v>
      </c>
      <c r="V4" s="186"/>
      <c r="W4" s="186"/>
      <c r="X4" s="186"/>
      <c r="Y4" s="187"/>
      <c r="Z4" s="197" t="str">
        <f>IF(表紙!Z4="","",表紙!Z4)</f>
        <v>API設計書</v>
      </c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9"/>
      <c r="AP4" s="200" t="str">
        <f ca="1">MID(CELL("filename",A1),FIND("]",CELL("filename",A1))+1,255)</f>
        <v>処理フロー</v>
      </c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7" s="41"/>
      <c r="C7" s="21"/>
      <c r="D7" s="21"/>
      <c r="E7" s="21"/>
      <c r="F7" s="21"/>
      <c r="G7" s="21"/>
      <c r="AI7" s="73"/>
      <c r="BJ7" s="73"/>
      <c r="BK7" s="63"/>
    </row>
    <row r="8" spans="1:63" s="64" customFormat="1" ht="15" customHeight="1" x14ac:dyDescent="0.25">
      <c r="B8" s="41"/>
      <c r="C8" s="21"/>
      <c r="D8" s="21"/>
      <c r="E8" s="21"/>
      <c r="F8" s="21"/>
      <c r="G8" s="21"/>
      <c r="AI8" s="73"/>
      <c r="BJ8" s="73"/>
      <c r="BK8" s="63"/>
    </row>
    <row r="9" spans="1:63" s="64" customFormat="1" ht="15" customHeight="1" x14ac:dyDescent="0.25">
      <c r="B9" s="41"/>
      <c r="C9" s="21"/>
      <c r="D9" s="21"/>
      <c r="E9" s="21"/>
      <c r="F9" s="21"/>
      <c r="G9" s="21"/>
      <c r="AI9" s="73"/>
      <c r="BJ9" s="73"/>
      <c r="BK9" s="63"/>
    </row>
    <row r="10" spans="1:63" s="64" customFormat="1" ht="15" customHeight="1" x14ac:dyDescent="0.25">
      <c r="B10" s="41"/>
      <c r="C10" s="21"/>
      <c r="D10" s="21"/>
      <c r="E10" s="21"/>
      <c r="F10" s="21"/>
      <c r="G10" s="21"/>
      <c r="AI10" s="73"/>
      <c r="BJ10" s="73"/>
      <c r="BK10" s="63"/>
    </row>
    <row r="11" spans="1:63" s="64" customFormat="1" ht="15" customHeight="1" x14ac:dyDescent="0.25">
      <c r="B11" s="74"/>
      <c r="AI11" s="73"/>
      <c r="BJ11" s="73"/>
      <c r="BK11" s="63"/>
    </row>
    <row r="12" spans="1:63" s="64" customFormat="1" ht="15" customHeight="1" x14ac:dyDescent="0.25">
      <c r="B12" s="74"/>
      <c r="AI12" s="73"/>
      <c r="BJ12" s="73"/>
      <c r="BK12" s="63"/>
    </row>
    <row r="13" spans="1:63" s="64" customFormat="1" ht="15" customHeight="1" x14ac:dyDescent="0.25">
      <c r="B13" s="74"/>
      <c r="AI13" s="73"/>
      <c r="BJ13" s="73"/>
      <c r="BK13" s="63"/>
    </row>
    <row r="14" spans="1:63" s="64" customFormat="1" ht="15" customHeight="1" x14ac:dyDescent="0.25">
      <c r="B14" s="74"/>
      <c r="AI14" s="73"/>
      <c r="BJ14" s="73"/>
      <c r="BK14" s="63"/>
    </row>
    <row r="15" spans="1:63" s="64" customFormat="1" ht="15" customHeight="1" x14ac:dyDescent="0.25">
      <c r="B15" s="74"/>
      <c r="AI15" s="73"/>
      <c r="BJ15" s="73"/>
      <c r="BK15" s="63"/>
    </row>
    <row r="16" spans="1:63" s="64" customFormat="1" ht="15" customHeight="1" x14ac:dyDescent="0.25">
      <c r="B16" s="74"/>
      <c r="AI16" s="73"/>
      <c r="BJ16" s="73"/>
      <c r="BK16" s="63"/>
    </row>
    <row r="17" spans="2:63" s="64" customFormat="1" ht="15" customHeight="1" x14ac:dyDescent="0.25">
      <c r="B17" s="74"/>
      <c r="AI17" s="73"/>
      <c r="BJ17" s="73"/>
      <c r="BK17" s="63"/>
    </row>
    <row r="18" spans="2:63" s="64" customFormat="1" ht="15" customHeight="1" x14ac:dyDescent="0.25">
      <c r="B18" s="74"/>
      <c r="AI18" s="73"/>
      <c r="BJ18" s="73"/>
      <c r="BK18" s="63"/>
    </row>
    <row r="19" spans="2:63" s="64" customFormat="1" ht="15" customHeight="1" x14ac:dyDescent="0.25">
      <c r="B19" s="74"/>
      <c r="AI19" s="73"/>
      <c r="BJ19" s="73"/>
      <c r="BK19" s="63"/>
    </row>
    <row r="20" spans="2:63" s="64" customFormat="1" ht="15" customHeight="1" x14ac:dyDescent="0.25">
      <c r="B20" s="74"/>
      <c r="AI20" s="73"/>
      <c r="BJ20" s="73"/>
      <c r="BK20" s="63"/>
    </row>
    <row r="21" spans="2:63" s="64" customFormat="1" ht="15" customHeight="1" x14ac:dyDescent="0.25">
      <c r="B21" s="74"/>
      <c r="AI21" s="73"/>
      <c r="BJ21" s="73"/>
      <c r="BK21" s="63"/>
    </row>
    <row r="22" spans="2:63" s="64" customFormat="1" ht="15" customHeight="1" x14ac:dyDescent="0.25">
      <c r="B22" s="74"/>
      <c r="AI22" s="73"/>
      <c r="BJ22" s="73"/>
      <c r="BK22" s="63"/>
    </row>
    <row r="23" spans="2:63" s="64" customFormat="1" ht="15" customHeight="1" x14ac:dyDescent="0.25">
      <c r="B23" s="74"/>
      <c r="AI23" s="73"/>
      <c r="BJ23" s="73"/>
      <c r="BK23" s="63"/>
    </row>
    <row r="24" spans="2:63" s="64" customFormat="1" ht="15" customHeight="1" x14ac:dyDescent="0.25">
      <c r="B24" s="74"/>
      <c r="AI24" s="73"/>
      <c r="BJ24" s="73"/>
      <c r="BK24" s="63"/>
    </row>
    <row r="25" spans="2:63" s="64" customFormat="1" ht="15" customHeight="1" x14ac:dyDescent="0.25">
      <c r="B25" s="74"/>
      <c r="AI25" s="73"/>
      <c r="BJ25" s="73"/>
      <c r="BK25" s="63"/>
    </row>
    <row r="26" spans="2:63" s="64" customFormat="1" ht="15" customHeight="1" x14ac:dyDescent="0.25">
      <c r="B26" s="74"/>
      <c r="AI26" s="73"/>
      <c r="BJ26" s="73"/>
      <c r="BK26" s="63"/>
    </row>
    <row r="27" spans="2:63" s="64" customFormat="1" ht="15" customHeight="1" x14ac:dyDescent="0.25">
      <c r="B27" s="74"/>
      <c r="AI27" s="73"/>
      <c r="BJ27" s="73"/>
      <c r="BK27" s="63"/>
    </row>
    <row r="28" spans="2:63" s="64" customFormat="1" ht="15" customHeight="1" x14ac:dyDescent="0.25">
      <c r="B28" s="74"/>
      <c r="AI28" s="73"/>
      <c r="BJ28" s="73"/>
      <c r="BK28" s="63"/>
    </row>
    <row r="29" spans="2:63" s="64" customFormat="1" ht="15" customHeight="1" x14ac:dyDescent="0.25">
      <c r="B29" s="74"/>
      <c r="AI29" s="73"/>
      <c r="BJ29" s="73"/>
      <c r="BK29" s="63"/>
    </row>
    <row r="30" spans="2:63" s="64" customFormat="1" ht="15" customHeight="1" x14ac:dyDescent="0.25">
      <c r="B30" s="74"/>
      <c r="AI30" s="73"/>
      <c r="BJ30" s="73"/>
      <c r="BK30" s="63"/>
    </row>
    <row r="31" spans="2:63" s="64" customFormat="1" ht="15" customHeight="1" x14ac:dyDescent="0.25">
      <c r="B31" s="74"/>
      <c r="AI31" s="73"/>
      <c r="BJ31" s="73"/>
      <c r="BK31" s="63"/>
    </row>
    <row r="32" spans="2:63" s="64" customFormat="1" ht="15" customHeight="1" x14ac:dyDescent="0.25">
      <c r="B32" s="74"/>
      <c r="AI32" s="73"/>
      <c r="BJ32" s="73"/>
      <c r="BK32" s="63"/>
    </row>
    <row r="33" spans="2:63" s="64" customFormat="1" ht="15" customHeight="1" x14ac:dyDescent="0.25">
      <c r="B33" s="74"/>
      <c r="AI33" s="73"/>
      <c r="BJ33" s="73"/>
      <c r="BK33" s="63"/>
    </row>
    <row r="34" spans="2:63" s="64" customFormat="1" ht="15" customHeight="1" x14ac:dyDescent="0.25">
      <c r="B34" s="74"/>
      <c r="AI34" s="73"/>
      <c r="BJ34" s="73"/>
      <c r="BK34" s="63"/>
    </row>
    <row r="35" spans="2:63" s="64" customFormat="1" ht="15" customHeight="1" x14ac:dyDescent="0.25">
      <c r="B35" s="74"/>
      <c r="AI35" s="73"/>
      <c r="BJ35" s="73"/>
      <c r="BK35" s="63"/>
    </row>
    <row r="36" spans="2:63" s="64" customFormat="1" ht="15" customHeight="1" x14ac:dyDescent="0.25">
      <c r="B36" s="74"/>
      <c r="AI36" s="73"/>
      <c r="BJ36" s="73"/>
      <c r="BK36" s="63"/>
    </row>
    <row r="37" spans="2:63" s="64" customFormat="1" ht="15" customHeight="1" x14ac:dyDescent="0.25">
      <c r="B37" s="74"/>
      <c r="AI37" s="73"/>
      <c r="BJ37" s="73"/>
      <c r="BK37" s="63"/>
    </row>
    <row r="38" spans="2:63" s="64" customFormat="1" ht="15" customHeight="1" x14ac:dyDescent="0.25">
      <c r="B38" s="74"/>
      <c r="AI38" s="73"/>
      <c r="BJ38" s="73"/>
      <c r="BK38" s="63"/>
    </row>
    <row r="39" spans="2:63" s="64" customFormat="1" ht="15" customHeight="1" x14ac:dyDescent="0.25">
      <c r="B39" s="74"/>
      <c r="AI39" s="73"/>
      <c r="BJ39" s="73"/>
      <c r="BK39" s="63"/>
    </row>
    <row r="40" spans="2:63" s="64" customFormat="1" ht="15" customHeight="1" x14ac:dyDescent="0.25">
      <c r="B40" s="74"/>
      <c r="AI40" s="73"/>
      <c r="BJ40" s="73"/>
      <c r="BK40" s="63"/>
    </row>
    <row r="41" spans="2:63" s="64" customFormat="1" ht="15" customHeight="1" x14ac:dyDescent="0.25">
      <c r="B41" s="74"/>
      <c r="AI41" s="73"/>
      <c r="BJ41" s="73"/>
      <c r="BK41" s="63"/>
    </row>
    <row r="42" spans="2:63" s="64" customFormat="1" ht="15" customHeight="1" x14ac:dyDescent="0.25">
      <c r="B42" s="74"/>
      <c r="AI42" s="73"/>
      <c r="BJ42" s="73"/>
      <c r="BK42" s="63"/>
    </row>
    <row r="43" spans="2:63" s="64" customFormat="1" ht="15" customHeight="1" x14ac:dyDescent="0.25">
      <c r="B43" s="74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I43" s="73"/>
      <c r="BJ43" s="73"/>
      <c r="BK43" s="63"/>
    </row>
    <row r="44" spans="2:63" s="64" customFormat="1" ht="15" customHeight="1" x14ac:dyDescent="0.25">
      <c r="B44" s="74"/>
      <c r="AI44" s="73"/>
      <c r="BJ44" s="73"/>
      <c r="BK44" s="63"/>
    </row>
    <row r="45" spans="2:63" s="64" customFormat="1" ht="15" customHeight="1" x14ac:dyDescent="0.25">
      <c r="B45" s="74"/>
      <c r="AI45" s="73"/>
      <c r="BJ45" s="73"/>
      <c r="BK45" s="63"/>
    </row>
    <row r="46" spans="2:63" s="64" customFormat="1" ht="15" customHeight="1" x14ac:dyDescent="0.25">
      <c r="B46" s="74"/>
      <c r="AI46" s="73"/>
      <c r="BJ46" s="73"/>
      <c r="BK46" s="63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1:63" ht="15" customHeight="1" x14ac:dyDescent="0.25">
      <c r="B49" s="9"/>
      <c r="AI49" s="11"/>
      <c r="BJ49" s="11"/>
      <c r="BK49" s="5"/>
    </row>
    <row r="50" spans="1:63" ht="15" customHeight="1" x14ac:dyDescent="0.25">
      <c r="B50" s="9"/>
      <c r="AI50" s="11"/>
      <c r="BJ50" s="11"/>
      <c r="BK50" s="5"/>
    </row>
    <row r="51" spans="1:63" ht="15" customHeight="1" x14ac:dyDescent="0.25">
      <c r="B51" s="9"/>
      <c r="AI51" s="11"/>
      <c r="BJ51" s="11"/>
      <c r="BK51" s="5"/>
    </row>
    <row r="52" spans="1:63" ht="15" customHeight="1" x14ac:dyDescent="0.25">
      <c r="B52" s="9"/>
      <c r="AI52" s="11"/>
      <c r="BJ52" s="11"/>
      <c r="BK52" s="5"/>
    </row>
    <row r="53" spans="1:63" ht="15" customHeight="1" x14ac:dyDescent="0.25">
      <c r="B53" s="9"/>
      <c r="AI53" s="11"/>
      <c r="BJ53" s="11"/>
      <c r="BK53" s="5"/>
    </row>
    <row r="54" spans="1:63" ht="15" customHeight="1" x14ac:dyDescent="0.25">
      <c r="A54" s="3"/>
      <c r="B54" s="10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2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2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85" t="s">
        <v>84</v>
      </c>
      <c r="B1" s="186"/>
      <c r="C1" s="186"/>
      <c r="D1" s="186"/>
      <c r="E1" s="186"/>
      <c r="F1" s="186"/>
      <c r="G1" s="186"/>
      <c r="H1" s="186"/>
      <c r="I1" s="186"/>
      <c r="J1" s="187"/>
      <c r="K1" s="185" t="s">
        <v>85</v>
      </c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  <c r="W1" s="188" t="str">
        <f>IF(表紙!W1="","",表紙!W1)</f>
        <v>詳細設計書</v>
      </c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90"/>
      <c r="AP1" s="103" t="s">
        <v>87</v>
      </c>
      <c r="AQ1" s="104"/>
      <c r="AR1" s="104"/>
      <c r="AS1" s="105"/>
      <c r="AT1" s="103" t="s">
        <v>88</v>
      </c>
      <c r="AU1" s="104"/>
      <c r="AV1" s="104"/>
      <c r="AW1" s="104"/>
      <c r="AX1" s="105"/>
      <c r="AY1" s="103" t="s">
        <v>89</v>
      </c>
      <c r="AZ1" s="104"/>
      <c r="BA1" s="104"/>
      <c r="BB1" s="105"/>
      <c r="BC1" s="103" t="s">
        <v>90</v>
      </c>
      <c r="BD1" s="104"/>
      <c r="BE1" s="104"/>
      <c r="BF1" s="104"/>
      <c r="BG1" s="105"/>
      <c r="BH1" s="103" t="s">
        <v>91</v>
      </c>
      <c r="BI1" s="104"/>
      <c r="BJ1" s="104"/>
      <c r="BK1" s="105"/>
    </row>
    <row r="2" spans="1:63" ht="15" customHeight="1" x14ac:dyDescent="0.25">
      <c r="A2" s="179" t="str">
        <f>IF(表紙!A2="","",表紙!A2)</f>
        <v>POSサーバー</v>
      </c>
      <c r="B2" s="180"/>
      <c r="C2" s="180"/>
      <c r="D2" s="180"/>
      <c r="E2" s="180"/>
      <c r="F2" s="180"/>
      <c r="G2" s="180"/>
      <c r="H2" s="180"/>
      <c r="I2" s="180"/>
      <c r="J2" s="181"/>
      <c r="K2" s="179" t="str">
        <f>IF(表紙!K2="","",表紙!K2)</f>
        <v>POSサーバー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91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  <c r="AL2" s="192"/>
      <c r="AM2" s="192"/>
      <c r="AN2" s="192"/>
      <c r="AO2" s="193"/>
      <c r="AP2" s="88" t="str">
        <f>IF(表紙!AP2="","",表紙!AP2)</f>
        <v>DuNT</v>
      </c>
      <c r="AQ2" s="89"/>
      <c r="AR2" s="89"/>
      <c r="AS2" s="90"/>
      <c r="AT2" s="118">
        <f>IF(表紙!AT2="","",表紙!AT2)</f>
        <v>45490</v>
      </c>
      <c r="AU2" s="119"/>
      <c r="AV2" s="119"/>
      <c r="AW2" s="119"/>
      <c r="AX2" s="120"/>
      <c r="AY2" s="88" t="str">
        <f>IF(表紙!AY2="","",表紙!AY2)</f>
        <v>TinNH</v>
      </c>
      <c r="AZ2" s="89"/>
      <c r="BA2" s="89"/>
      <c r="BB2" s="90"/>
      <c r="BC2" s="118">
        <f>IF(表紙!BC2="","",表紙!BC2)</f>
        <v>45596</v>
      </c>
      <c r="BD2" s="119"/>
      <c r="BE2" s="119"/>
      <c r="BF2" s="119"/>
      <c r="BG2" s="120"/>
      <c r="BH2" s="88">
        <f>IF(表紙!BH2="","",表紙!BH2)</f>
        <v>0.5</v>
      </c>
      <c r="BI2" s="89"/>
      <c r="BJ2" s="89"/>
      <c r="BK2" s="90"/>
    </row>
    <row r="3" spans="1:63" ht="15" customHeight="1" x14ac:dyDescent="0.25">
      <c r="A3" s="182"/>
      <c r="B3" s="183"/>
      <c r="C3" s="183"/>
      <c r="D3" s="183"/>
      <c r="E3" s="183"/>
      <c r="F3" s="183"/>
      <c r="G3" s="183"/>
      <c r="H3" s="183"/>
      <c r="I3" s="183"/>
      <c r="J3" s="184"/>
      <c r="K3" s="182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4"/>
      <c r="W3" s="194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6"/>
      <c r="AP3" s="94"/>
      <c r="AQ3" s="95"/>
      <c r="AR3" s="95"/>
      <c r="AS3" s="96"/>
      <c r="AT3" s="121"/>
      <c r="AU3" s="122"/>
      <c r="AV3" s="122"/>
      <c r="AW3" s="122"/>
      <c r="AX3" s="123"/>
      <c r="AY3" s="94"/>
      <c r="AZ3" s="95"/>
      <c r="BA3" s="95"/>
      <c r="BB3" s="96"/>
      <c r="BC3" s="121"/>
      <c r="BD3" s="122"/>
      <c r="BE3" s="122"/>
      <c r="BF3" s="122"/>
      <c r="BG3" s="123"/>
      <c r="BH3" s="94"/>
      <c r="BI3" s="95"/>
      <c r="BJ3" s="95"/>
      <c r="BK3" s="96"/>
    </row>
    <row r="4" spans="1:63" ht="24.95" customHeight="1" x14ac:dyDescent="0.25">
      <c r="A4" s="185" t="s">
        <v>93</v>
      </c>
      <c r="B4" s="186"/>
      <c r="C4" s="186"/>
      <c r="D4" s="186"/>
      <c r="E4" s="186"/>
      <c r="F4" s="186"/>
      <c r="G4" s="187"/>
      <c r="H4" s="197" t="str">
        <f>IF(表紙!H4="","",表紙!H4)</f>
        <v>AP7101</v>
      </c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9"/>
      <c r="U4" s="185" t="s">
        <v>94</v>
      </c>
      <c r="V4" s="186"/>
      <c r="W4" s="186"/>
      <c r="X4" s="186"/>
      <c r="Y4" s="187"/>
      <c r="Z4" s="197" t="str">
        <f>IF(表紙!Z4="","",表紙!Z4)</f>
        <v>API設計書</v>
      </c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9"/>
      <c r="AP4" s="200" t="str">
        <f ca="1">MID(CELL("filename",A1),FIND("]",CELL("filename",A1))+1,255)</f>
        <v>テンプレート</v>
      </c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3:63" s="64" customFormat="1" ht="15" customHeight="1" x14ac:dyDescent="0.25">
      <c r="BK33" s="63"/>
    </row>
    <row r="34" spans="3:63" s="64" customFormat="1" ht="15" customHeight="1" x14ac:dyDescent="0.25">
      <c r="BK34" s="63"/>
    </row>
    <row r="35" spans="3:63" s="64" customFormat="1" ht="15" customHeight="1" x14ac:dyDescent="0.25">
      <c r="BK35" s="63"/>
    </row>
    <row r="36" spans="3:63" s="64" customFormat="1" ht="15" customHeight="1" x14ac:dyDescent="0.25">
      <c r="BK36" s="63"/>
    </row>
    <row r="37" spans="3:63" s="64" customFormat="1" ht="15" customHeight="1" x14ac:dyDescent="0.25">
      <c r="BK37" s="63"/>
    </row>
    <row r="38" spans="3:63" s="64" customFormat="1" ht="15" customHeight="1" x14ac:dyDescent="0.25">
      <c r="BK38" s="63"/>
    </row>
    <row r="39" spans="3:63" s="64" customFormat="1" ht="15" customHeight="1" x14ac:dyDescent="0.25">
      <c r="BK39" s="63"/>
    </row>
    <row r="40" spans="3:63" s="64" customFormat="1" ht="15" customHeight="1" x14ac:dyDescent="0.25">
      <c r="BK40" s="63"/>
    </row>
    <row r="41" spans="3:63" s="64" customFormat="1" ht="15" customHeight="1" x14ac:dyDescent="0.25">
      <c r="BK41" s="63"/>
    </row>
    <row r="42" spans="3:63" s="64" customFormat="1" ht="15" customHeight="1" x14ac:dyDescent="0.25">
      <c r="BK42" s="63"/>
    </row>
    <row r="43" spans="3:63" s="64" customFormat="1" ht="15" customHeight="1" x14ac:dyDescent="0.25"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BK43" s="63"/>
    </row>
    <row r="44" spans="3:63" s="64" customFormat="1" ht="15" customHeight="1" x14ac:dyDescent="0.25">
      <c r="BK44" s="63"/>
    </row>
    <row r="45" spans="3:63" s="64" customFormat="1" ht="15" customHeight="1" x14ac:dyDescent="0.25">
      <c r="BK45" s="63"/>
    </row>
    <row r="46" spans="3:63" s="64" customFormat="1" ht="15" customHeight="1" x14ac:dyDescent="0.25">
      <c r="BK46" s="63"/>
    </row>
    <row r="47" spans="3:63" ht="15" customHeight="1" x14ac:dyDescent="0.25">
      <c r="BK47" s="5"/>
    </row>
    <row r="48" spans="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AP7101</vt:lpstr>
      <vt:lpstr>処理フロー</vt:lpstr>
      <vt:lpstr>テンプレート</vt:lpstr>
      <vt:lpstr>'AP7101'!Print_Area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2024-11-01T07:03:02Z</dcterms:modified>
  <cp:category/>
  <cp:contentStatus/>
</cp:coreProperties>
</file>