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E774F33C-8ED4-48BA-9A23-FCFA2C8EF946}"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7102" sheetId="8" r:id="rId4"/>
    <sheet name="処理フロー" sheetId="9" r:id="rId5"/>
    <sheet name="テンプレート" sheetId="7" r:id="rId6"/>
  </sheets>
  <definedNames>
    <definedName name="_xlnm.Print_Area" localSheetId="3">'AP7102'!$A$1:$BK$126</definedName>
    <definedName name="_xlnm.Print_Area" localSheetId="5">テンプレート!$A$1:$BK$54</definedName>
    <definedName name="_xlnm.Print_Area" localSheetId="4">処理フロー!$A$1:$BK$54</definedName>
    <definedName name="_xlnm.Print_Area" localSheetId="2">処理フロー凡例!$A$1:$BK$54</definedName>
    <definedName name="_xlnm.Print_Area" localSheetId="1">改訂履歴!$A$1:$BK$57</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Z4" i="7"/>
  <c r="H4" i="7"/>
  <c r="K2" i="7"/>
  <c r="A2" i="7"/>
  <c r="W1" i="7"/>
  <c r="AP4" i="9"/>
  <c r="Z4" i="9"/>
  <c r="H4" i="9"/>
  <c r="K2" i="9"/>
  <c r="A2" i="9"/>
  <c r="W1" i="9"/>
  <c r="C33" i="8"/>
  <c r="C34" i="8" s="1"/>
  <c r="C35" i="8" s="1"/>
  <c r="C36" i="8" s="1"/>
  <c r="C37" i="8" s="1"/>
  <c r="C32" i="8"/>
  <c r="AP4" i="8"/>
  <c r="Z4" i="8"/>
  <c r="H4" i="8"/>
  <c r="K2" i="8"/>
  <c r="A2" i="8"/>
  <c r="W1" i="8"/>
  <c r="AP4" i="10"/>
  <c r="Z4" i="10"/>
  <c r="H4" i="10"/>
  <c r="K2" i="10"/>
  <c r="A2" i="10"/>
  <c r="W1" i="10"/>
  <c r="AP4" i="3" a="1"/>
  <c r="AP4" i="3" s="1"/>
  <c r="Z4" i="3"/>
  <c r="H4" i="3"/>
  <c r="K2" i="3"/>
  <c r="A2" i="3"/>
  <c r="W1" i="3"/>
  <c r="L24" i="4"/>
  <c r="AP4" i="4" a="1"/>
  <c r="AP4" i="4" s="1"/>
  <c r="BH2" i="4"/>
  <c r="BH2" i="9" s="1"/>
  <c r="BC2" i="4"/>
  <c r="BC2" i="7" s="1"/>
  <c r="AY2" i="4"/>
  <c r="AY2" i="9" s="1"/>
  <c r="AT2" i="4"/>
  <c r="AT2" i="9" s="1"/>
  <c r="AP2" i="4"/>
  <c r="AP2" i="7" s="1"/>
  <c r="AP2" i="10" l="1"/>
  <c r="AP2" i="9"/>
  <c r="AP2" i="3"/>
  <c r="AT2" i="8"/>
  <c r="BC2" i="3"/>
  <c r="BC2" i="10"/>
  <c r="AP2" i="8"/>
  <c r="BH2" i="8"/>
  <c r="BC2" i="9"/>
  <c r="BH2" i="7"/>
  <c r="AT2" i="7"/>
  <c r="AT2" i="3"/>
  <c r="AT2" i="10"/>
  <c r="AY2" i="8"/>
  <c r="AY2" i="7"/>
  <c r="BH2" i="3"/>
  <c r="BH2" i="10"/>
  <c r="AY2" i="3"/>
  <c r="AY2" i="10"/>
  <c r="BC2" i="8"/>
</calcChain>
</file>

<file path=xl/sharedStrings.xml><?xml version="1.0" encoding="utf-8"?>
<sst xmlns="http://schemas.openxmlformats.org/spreadsheetml/2006/main" count="360" uniqueCount="245">
  <si>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</si>
  <si>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</si>
  <si>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</si>
  <si>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</si>
  <si>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</si>
  <si>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</si>
  <si>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</si>
  <si>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</si>
  <si>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</si>
  <si>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</si>
  <si>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</si>
  <si>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</si>
  <si>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</si>
  <si>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POSサーバー</t>
    </r>
  </si>
  <si>
    <r>
      <rPr>
        <sz val="11"/>
        <color rgb="FF0000FF"/>
        <rFont val="Meiryo UI"/>
        <family val="3"/>
        <charset val="128"/>
      </rPr>
      <t>DuNT</t>
    </r>
  </si>
  <si>
    <r>
      <rPr>
        <sz val="11"/>
        <color rgb="FF000000"/>
        <rFont val="Meiryo UI"/>
        <family val="2"/>
      </rPr>
      <t>POSサーバー</t>
    </r>
  </si>
  <si>
    <r>
      <rPr>
        <sz val="11"/>
        <color rgb="FF000000"/>
        <rFont val="Meiryo UI"/>
        <family val="2"/>
      </rPr>
      <t>API設計書</t>
    </r>
  </si>
  <si>
    <r>
      <rPr>
        <sz val="18"/>
        <color rgb="FF000000"/>
        <rFont val="Meiryo UI"/>
        <family val="3"/>
      </rPr>
      <t>詳細設計書</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</si>
  <si>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</si>
  <si>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</si>
  <si>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</si>
  <si>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</si>
  <si>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</si>
  <si>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</si>
  <si>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</si>
  <si>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</si>
  <si>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</si>
  <si>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</si>
  <si>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</si>
  <si>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</si>
  <si>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</si>
  <si>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</si>
  <si>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</si>
  <si>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</si>
  <si>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</si>
  <si>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</si>
  <si>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</si>
  <si>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</si>
  <si>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</si>
  <si>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</si>
  <si>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</si>
  <si>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</si>
  <si>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</si>
  <si>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</si>
  <si>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24"/>
        <color rgb="FF000000"/>
        <rFont val="Meiryo UI"/>
        <family val="3"/>
      </rPr>
      <t>POSサーバーの詳細設計書</t>
    </r>
  </si>
  <si>
    <r>
      <rPr>
        <sz val="11"/>
        <color rgb="FF000000"/>
        <rFont val="Meiryo UI"/>
        <family val="2"/>
      </rPr>
      <t>GET</t>
    </r>
  </si>
  <si>
    <r>
      <rPr>
        <sz val="11"/>
        <color rgb="FF000000"/>
        <rFont val="Meiryo UI"/>
        <family val="2"/>
      </rPr>
      <t>application/json</t>
    </r>
  </si>
  <si>
    <r>
      <rPr>
        <sz val="11"/>
        <color rgb="FF000000"/>
        <rFont val="Meiryo UI"/>
        <family val="2"/>
      </rPr>
      <t>対象店舗のレジ一覧を取得する。</t>
    </r>
  </si>
  <si>
    <r>
      <rPr>
        <sz val="11"/>
        <color rgb="FF000000"/>
        <rFont val="Meiryo UI"/>
        <family val="2"/>
      </rPr>
      <t>selected_store</t>
    </r>
  </si>
  <si>
    <r>
      <rPr>
        <sz val="11"/>
        <color rgb="FF000000"/>
        <rFont val="Meiryo UI"/>
        <family val="2"/>
      </rPr>
      <t>cash_machine_no</t>
    </r>
  </si>
  <si>
    <r>
      <rPr>
        <sz val="11"/>
        <color rgb="FF000000"/>
        <rFont val="Meiryo UI"/>
        <family val="2"/>
      </rPr>
      <t>cash_machine_type</t>
    </r>
  </si>
  <si>
    <r>
      <rPr>
        <sz val="11"/>
        <color rgb="FF000000"/>
        <rFont val="Meiryo UI"/>
        <family val="2"/>
      </rPr>
      <t>node_type</t>
    </r>
  </si>
  <si>
    <r>
      <rPr>
        <sz val="11"/>
        <color rgb="FF000000"/>
        <rFont val="Meiryo UI"/>
        <family val="2"/>
      </rPr>
      <t>preset_layout_id</t>
    </r>
  </si>
  <si>
    <r>
      <rPr>
        <sz val="11"/>
        <color rgb="FF000000"/>
        <rFont val="Meiryo UI"/>
        <family val="2"/>
      </rPr>
      <t>function_layout_id</t>
    </r>
  </si>
  <si>
    <r>
      <rPr>
        <sz val="11"/>
        <color rgb="FF000000"/>
        <rFont val="Meiryo UI"/>
        <family val="2"/>
      </rPr>
      <t>keyboard_layout_id</t>
    </r>
  </si>
  <si>
    <r>
      <rPr>
        <sz val="11"/>
        <color rgb="FF000000"/>
        <rFont val="Meiryo UI"/>
        <family val="2"/>
      </rPr>
      <t>BigInt</t>
    </r>
  </si>
  <si>
    <r>
      <rPr>
        <sz val="11"/>
        <color rgb="FF000000"/>
        <rFont val="Meiryo UI"/>
        <family val="2"/>
      </rPr>
      <t>プリセットレイアウトコード</t>
    </r>
  </si>
  <si>
    <r>
      <rPr>
        <sz val="11"/>
        <color rgb="FF000000"/>
        <rFont val="Meiryo UI"/>
        <family val="2"/>
      </rPr>
      <t>キーボードレイアウトコード</t>
    </r>
  </si>
  <si>
    <r>
      <rPr>
        <sz val="11"/>
        <color rgb="FF000000"/>
        <rFont val="Meiryo UI"/>
        <family val="2"/>
      </rPr>
      <t>NA</t>
    </r>
  </si>
  <si>
    <r>
      <rPr>
        <sz val="11"/>
        <color rgb="FF000000"/>
        <rFont val="Meiryo UI"/>
        <family val="2"/>
      </rPr>
      <t>store_code</t>
    </r>
  </si>
  <si>
    <r>
      <rPr>
        <sz val="11"/>
        <color rgb="FF000000"/>
        <rFont val="Meiryo UI"/>
        <family val="2"/>
      </rPr>
      <t>store_name</t>
    </r>
  </si>
  <si>
    <r>
      <rPr>
        <sz val="11"/>
        <color rgb="FF000000"/>
        <rFont val="Meiryo UI"/>
        <family val="2"/>
      </rPr>
      <t>StoreMaster.Code</t>
    </r>
  </si>
  <si>
    <r>
      <rPr>
        <sz val="11"/>
        <color rgb="FF000000"/>
        <rFont val="Meiryo UI"/>
        <family val="2"/>
      </rPr>
      <t>StoreMaster.Name</t>
    </r>
  </si>
  <si>
    <r>
      <rPr>
        <sz val="11"/>
        <color rgb="FF000000"/>
        <rFont val="Meiryo UI"/>
        <family val="2"/>
      </rPr>
      <t>Array&lt;CashMachine&gt;</t>
    </r>
  </si>
  <si>
    <r>
      <rPr>
        <sz val="11"/>
        <color rgb="FF000000"/>
        <rFont val="Meiryo UI"/>
        <family val="2"/>
      </rPr>
      <t>type_node</t>
    </r>
  </si>
  <si>
    <r>
      <rPr>
        <sz val="11"/>
        <color rgb="FF000000"/>
        <rFont val="Meiryo UI"/>
        <family val="2"/>
      </rPr>
      <t>CashRegisterMaster.TypeNode</t>
    </r>
  </si>
  <si>
    <r>
      <rPr>
        <sz val="11"/>
        <color rgb="FF000000"/>
        <rFont val="Meiryo UI"/>
        <family val="2"/>
      </rPr>
      <t>code</t>
    </r>
  </si>
  <si>
    <r>
      <rPr>
        <sz val="11"/>
        <color rgb="FF000000"/>
        <rFont val="Meiryo UI"/>
        <family val="2"/>
      </rPr>
      <t>CashRegisterMaster.Code</t>
    </r>
  </si>
  <si>
    <r>
      <rPr>
        <sz val="11"/>
        <color rgb="FF000000"/>
        <rFont val="Meiryo UI"/>
        <family val="2"/>
      </rPr>
      <t>ノード種別</t>
    </r>
  </si>
  <si>
    <r>
      <rPr>
        <sz val="11"/>
        <color rgb="FF000000"/>
        <rFont val="Meiryo UI"/>
        <family val="2"/>
      </rPr>
      <t>button_layout_code</t>
    </r>
  </si>
  <si>
    <r>
      <rPr>
        <sz val="11"/>
        <color rgb="FF000000"/>
        <rFont val="Meiryo UI"/>
        <family val="2"/>
      </rPr>
      <t>CashRegisterMaster.ButtonLayoutCode</t>
    </r>
  </si>
  <si>
    <r>
      <rPr>
        <sz val="11"/>
        <color rgb="FF000000"/>
        <rFont val="Meiryo UI"/>
        <family val="2"/>
      </rPr>
      <t>CashRegisterMaster.FunctionLayoutCode</t>
    </r>
  </si>
  <si>
    <r>
      <rPr>
        <sz val="11"/>
        <color rgb="FF000000"/>
        <rFont val="Meiryo UI"/>
        <family val="2"/>
      </rPr>
      <t>CashRegisterMaster.KeyboardLayoutCode</t>
    </r>
  </si>
  <si>
    <r>
      <rPr>
        <sz val="11"/>
        <color rgb="FF000000"/>
        <rFont val="Meiryo UI"/>
        <family val="2"/>
      </rPr>
      <t>keyboard_layout_code</t>
    </r>
  </si>
  <si>
    <r>
      <rPr>
        <sz val="11"/>
        <color rgb="FF000000"/>
        <rFont val="Meiryo UI"/>
        <family val="2"/>
      </rPr>
      <t>function_layout_code</t>
    </r>
  </si>
  <si>
    <r>
      <rPr>
        <sz val="11"/>
        <color rgb="FF000000"/>
        <rFont val="Meiryo UI"/>
        <family val="2"/>
      </rPr>
      <t>receipt_message_code</t>
    </r>
  </si>
  <si>
    <r>
      <rPr>
        <sz val="11"/>
        <color rgb="FF000000"/>
        <rFont val="Meiryo UI"/>
        <family val="2"/>
      </rPr>
      <t>CashRegisterMaster.ReceiptMessageCode</t>
    </r>
  </si>
  <si>
    <r>
      <rPr>
        <sz val="11"/>
        <color rgb="FF000000"/>
        <rFont val="Meiryo UI"/>
        <family val="2"/>
      </rPr>
      <t>ip_address</t>
    </r>
  </si>
  <si>
    <r>
      <rPr>
        <sz val="11"/>
        <color rgb="FF000000"/>
        <rFont val="Meiryo UI"/>
        <family val="2"/>
      </rPr>
      <t>mac_address</t>
    </r>
  </si>
  <si>
    <r>
      <rPr>
        <sz val="11"/>
        <color rgb="FF000000"/>
        <rFont val="Meiryo UI"/>
        <family val="2"/>
      </rPr>
      <t>CashRegisterMaster.IpAddress</t>
    </r>
  </si>
  <si>
    <r>
      <rPr>
        <sz val="11"/>
        <color rgb="FF000000"/>
        <rFont val="Meiryo UI"/>
        <family val="2"/>
      </rPr>
      <t>List&lt;String&gt;</t>
    </r>
  </si>
  <si>
    <r>
      <rPr>
        <sz val="11"/>
        <color rgb="FF000000"/>
        <rFont val="Meiryo UI"/>
        <family val="2"/>
      </rPr>
      <t>IPアドレス</t>
    </r>
  </si>
  <si>
    <r>
      <rPr>
        <sz val="11"/>
        <color rgb="FF000000"/>
        <rFont val="Meiryo UI"/>
        <family val="2"/>
      </rPr>
      <t>MACアドレス</t>
    </r>
  </si>
  <si>
    <t>{</t>
  </si>
  <si>
    <t>},</t>
  </si>
  <si>
    <t>]</t>
  </si>
  <si>
    <r>
      <rPr>
        <sz val="11"/>
        <color rgb="FF000000"/>
        <rFont val="Meiryo UI"/>
        <family val="2"/>
      </rPr>
      <t>"store_name": "並木",</t>
    </r>
  </si>
  <si>
    <r>
      <rPr>
        <b/>
        <sz val="11"/>
        <color rgb="FF000000"/>
        <rFont val="Meiryo UI"/>
        <family val="2"/>
      </rPr>
      <t>「30_機能設計_00_共通.xlsx」ファイルの「共通APIレスポンス」シートをご参照ください。</t>
    </r>
  </si>
  <si>
    <r>
      <rPr>
        <sz val="11"/>
        <color rgb="FF000000"/>
        <rFont val="Meiryo UI"/>
        <family val="2"/>
      </rPr>
      <t>Querry parameter: レジ番号</t>
    </r>
  </si>
  <si>
    <r>
      <rPr>
        <sz val="11"/>
        <color rgb="FF000000"/>
        <rFont val="Meiryo UI"/>
        <family val="2"/>
      </rPr>
      <t>Querry parameter: レジ種別</t>
    </r>
  </si>
  <si>
    <r>
      <rPr>
        <sz val="11"/>
        <color rgb="FF000000"/>
        <rFont val="Meiryo UI"/>
        <family val="2"/>
      </rPr>
      <t>Querry parameter: ノード種別</t>
    </r>
  </si>
  <si>
    <r>
      <rPr>
        <sz val="11"/>
        <color rgb="FF000000"/>
        <rFont val="Meiryo UI"/>
        <family val="2"/>
      </rPr>
      <t>Querry parameter: プリセットレイアウトコード</t>
    </r>
  </si>
  <si>
    <r>
      <rPr>
        <sz val="11"/>
        <color rgb="FF000000"/>
        <rFont val="Meiryo UI"/>
        <family val="2"/>
      </rPr>
      <t>Querry parameter: ファンクションレイアウトコード</t>
    </r>
  </si>
  <si>
    <r>
      <rPr>
        <sz val="11"/>
        <color rgb="FF000000"/>
        <rFont val="Meiryo UI"/>
        <family val="2"/>
      </rPr>
      <t>Querry parameter: キーボードレイアウトコード</t>
    </r>
  </si>
  <si>
    <r>
      <rPr>
        <sz val="11"/>
        <color rgb="FF000000"/>
        <rFont val="Meiryo UI"/>
        <family val="2"/>
      </rPr>
      <t>レジコード</t>
    </r>
  </si>
  <si>
    <r>
      <rPr>
        <sz val="11"/>
        <color rgb="FF000000"/>
        <rFont val="Meiryo UI"/>
        <family val="2"/>
      </rPr>
      <t>AP7102</t>
    </r>
  </si>
  <si>
    <r>
      <rPr>
        <sz val="11"/>
        <color rgb="FF000000"/>
        <rFont val="Meiryo UI"/>
        <family val="2"/>
      </rPr>
      <t>start_up_time</t>
    </r>
  </si>
  <si>
    <r>
      <rPr>
        <sz val="11"/>
        <color rgb="FF000000"/>
        <rFont val="Meiryo UI"/>
        <family val="2"/>
      </rPr>
      <t>Time</t>
    </r>
  </si>
  <si>
    <r>
      <rPr>
        <sz val="11"/>
        <color rgb="FF000000"/>
        <rFont val="Meiryo UI"/>
        <family val="2"/>
      </rPr>
      <t>CashRegisterMaster.StartupTime</t>
    </r>
  </si>
  <si>
    <r>
      <rPr>
        <sz val="11"/>
        <color rgb="FF000000"/>
        <rFont val="Meiryo UI"/>
        <family val="2"/>
      </rPr>
      <t>起動時間</t>
    </r>
  </si>
  <si>
    <r>
      <rPr>
        <sz val="11"/>
        <color rgb="FF000000"/>
        <rFont val="Meiryo UI"/>
        <family val="2"/>
      </rPr>
      <t>morning_discount_excluded</t>
    </r>
  </si>
  <si>
    <r>
      <rPr>
        <sz val="11"/>
        <color rgb="FF000000"/>
        <rFont val="Meiryo UI"/>
        <family val="2"/>
      </rPr>
      <t>Boolean</t>
    </r>
  </si>
  <si>
    <r>
      <rPr>
        <sz val="11"/>
        <color rgb="FF000000"/>
        <rFont val="Meiryo UI"/>
        <family val="2"/>
      </rPr>
      <t>CashRegisterMaster.MorningDiscount</t>
    </r>
  </si>
  <si>
    <r>
      <rPr>
        <sz val="11"/>
        <color rgb="FF000000"/>
        <rFont val="Meiryo UI"/>
        <family val="2"/>
      </rPr>
      <t>朝割除外</t>
    </r>
  </si>
  <si>
    <r>
      <rPr>
        <sz val="11"/>
        <color rgb="FF000000"/>
        <rFont val="Meiryo UI"/>
        <family val="2"/>
      </rPr>
      <t>mega_discount_excluded</t>
    </r>
  </si>
  <si>
    <r>
      <rPr>
        <sz val="11"/>
        <color rgb="FF000000"/>
        <rFont val="Meiryo UI"/>
        <family val="2"/>
      </rPr>
      <t>メガ割除外</t>
    </r>
  </si>
  <si>
    <r>
      <rPr>
        <sz val="11"/>
        <color rgb="FF000000"/>
        <rFont val="Meiryo UI"/>
        <family val="2"/>
      </rPr>
      <t>customer_count_excluded</t>
    </r>
  </si>
  <si>
    <r>
      <rPr>
        <sz val="11"/>
        <color rgb="FF000000"/>
        <rFont val="Meiryo UI"/>
        <family val="2"/>
      </rPr>
      <t>CashRegisterMaster.CustomerDiscount</t>
    </r>
  </si>
  <si>
    <r>
      <rPr>
        <sz val="11"/>
        <color rgb="FF000000"/>
        <rFont val="Meiryo UI"/>
        <family val="2"/>
      </rPr>
      <t>客数集計除外</t>
    </r>
  </si>
  <si>
    <r>
      <rPr>
        <sz val="11"/>
        <color rgb="FF000000"/>
        <rFont val="Meiryo UI"/>
        <family val="2"/>
      </rPr>
      <t>pos_model</t>
    </r>
  </si>
  <si>
    <r>
      <rPr>
        <sz val="11"/>
        <color rgb="FF000000"/>
        <rFont val="Meiryo UI"/>
        <family val="2"/>
      </rPr>
      <t>CashRegisterMaster.PosModel</t>
    </r>
  </si>
  <si>
    <r>
      <rPr>
        <sz val="11"/>
        <color rgb="FF000000"/>
        <rFont val="Meiryo UI"/>
        <family val="2"/>
      </rPr>
      <t>POS機種</t>
    </r>
  </si>
  <si>
    <r>
      <rPr>
        <sz val="11"/>
        <color rgb="FF000000"/>
        <rFont val="Meiryo UI"/>
        <family val="2"/>
      </rPr>
      <t>cash_machine_model</t>
    </r>
  </si>
  <si>
    <r>
      <rPr>
        <sz val="11"/>
        <color rgb="FF000000"/>
        <rFont val="Meiryo UI"/>
        <family val="2"/>
      </rPr>
      <t>CashRegisterMaster.CashMachineModel</t>
    </r>
  </si>
  <si>
    <r>
      <rPr>
        <sz val="11"/>
        <color rgb="FF000000"/>
        <rFont val="Meiryo UI"/>
        <family val="2"/>
      </rPr>
      <t>釣銭機機種</t>
    </r>
  </si>
  <si>
    <r>
      <rPr>
        <sz val="11"/>
        <color rgb="FF000000"/>
        <rFont val="Meiryo UI"/>
        <family val="2"/>
      </rPr>
      <t>scanner_model</t>
    </r>
  </si>
  <si>
    <r>
      <rPr>
        <sz val="11"/>
        <color rgb="FF000000"/>
        <rFont val="Meiryo UI"/>
        <family val="2"/>
      </rPr>
      <t>CashRegisterMaster.ScannerModel</t>
    </r>
  </si>
  <si>
    <r>
      <rPr>
        <sz val="11"/>
        <color rgb="FF000000"/>
        <rFont val="Meiryo UI"/>
        <family val="2"/>
      </rPr>
      <t>スキャンナ機種</t>
    </r>
  </si>
  <si>
    <r>
      <rPr>
        <sz val="11"/>
        <color rgb="FF000000"/>
        <rFont val="Meiryo UI"/>
        <family val="2"/>
      </rPr>
      <t>updated_date</t>
    </r>
  </si>
  <si>
    <r>
      <rPr>
        <sz val="11"/>
        <color rgb="FF000000"/>
        <rFont val="Meiryo UI"/>
        <family val="2"/>
      </rPr>
      <t>Date</t>
    </r>
  </si>
  <si>
    <r>
      <rPr>
        <sz val="11"/>
        <color rgb="FF000000"/>
        <rFont val="Meiryo UI"/>
        <family val="2"/>
      </rPr>
      <t>CashRegisterMaster.RECORD_UPDATE_DATE</t>
    </r>
  </si>
  <si>
    <r>
      <rPr>
        <sz val="11"/>
        <color rgb="FF000000"/>
        <rFont val="Meiryo UI"/>
        <family val="2"/>
      </rPr>
      <t>updated_employee</t>
    </r>
  </si>
  <si>
    <r>
      <rPr>
        <sz val="11"/>
        <color rgb="FF000000"/>
        <rFont val="Meiryo UI"/>
        <family val="2"/>
      </rPr>
      <t>note_1</t>
    </r>
  </si>
  <si>
    <r>
      <rPr>
        <sz val="11"/>
        <color rgb="FF000000"/>
        <rFont val="Meiryo UI"/>
        <family val="2"/>
      </rPr>
      <t>CashRegisterMaster.Note1</t>
    </r>
  </si>
  <si>
    <r>
      <rPr>
        <sz val="11"/>
        <color rgb="FF000000"/>
        <rFont val="Meiryo UI"/>
        <family val="2"/>
      </rPr>
      <t>note_2</t>
    </r>
  </si>
  <si>
    <r>
      <rPr>
        <sz val="11"/>
        <color rgb="FF000000"/>
        <rFont val="Meiryo UI"/>
        <family val="2"/>
      </rPr>
      <t>CashRegisterMaster.Note2</t>
    </r>
  </si>
  <si>
    <r>
      <rPr>
        <sz val="11"/>
        <color rgb="FF000000"/>
        <rFont val="Meiryo UI"/>
        <family val="2"/>
      </rPr>
      <t>note_3</t>
    </r>
  </si>
  <si>
    <r>
      <rPr>
        <sz val="11"/>
        <color rgb="FF000000"/>
        <rFont val="Meiryo UI"/>
        <family val="2"/>
      </rPr>
      <t>CashRegisterMaster.Note3</t>
    </r>
  </si>
  <si>
    <r>
      <rPr>
        <sz val="11"/>
        <color rgb="FF000000"/>
        <rFont val="Meiryo UI"/>
        <family val="2"/>
      </rPr>
      <t>"morning_discount_excluded": false,</t>
    </r>
  </si>
  <si>
    <r>
      <rPr>
        <sz val="11"/>
        <color rgb="FF000000"/>
        <rFont val="Meiryo UI"/>
        <family val="2"/>
      </rPr>
      <t>"mega_discount_excluded": false,</t>
    </r>
  </si>
  <si>
    <r>
      <rPr>
        <sz val="11"/>
        <color rgb="FF000000"/>
        <rFont val="Meiryo UI"/>
        <family val="2"/>
      </rPr>
      <t>"customer_count_excluded": false,</t>
    </r>
  </si>
  <si>
    <r>
      <rPr>
        <sz val="11"/>
        <color rgb="FF000000"/>
        <rFont val="Meiryo UI"/>
        <family val="2"/>
      </rPr>
      <t>"update_employee": "ozaka",</t>
    </r>
  </si>
  <si>
    <r>
      <rPr>
        <sz val="11"/>
        <color rgb="FF000000"/>
        <rFont val="Meiryo UI"/>
        <family val="2"/>
      </rPr>
      <t>"note_1": null,</t>
    </r>
  </si>
  <si>
    <r>
      <rPr>
        <sz val="11"/>
        <color rgb="FF000000"/>
        <rFont val="Meiryo UI"/>
        <family val="2"/>
      </rPr>
      <t>"note_2": null,</t>
    </r>
  </si>
  <si>
    <r>
      <rPr>
        <sz val="11"/>
        <color rgb="FF000000"/>
        <rFont val="Meiryo UI"/>
        <family val="2"/>
      </rPr>
      <t>"note_3": null</t>
    </r>
  </si>
  <si>
    <r>
      <rPr>
        <sz val="11"/>
        <color rgb="FF000000"/>
        <rFont val="Meiryo UI"/>
        <family val="2"/>
      </rPr>
      <t>CashRegisterMaster.UserUpdate</t>
    </r>
  </si>
  <si>
    <r>
      <rPr>
        <sz val="11"/>
        <color rgb="FF000000"/>
        <rFont val="Meiryo UI"/>
        <family val="2"/>
      </rPr>
      <t>CashRegisterMaster.MacAddress</t>
    </r>
  </si>
  <si>
    <r>
      <rPr>
        <sz val="11"/>
        <color rgb="FF000000"/>
        <rFont val="Meiryo UI"/>
        <family val="2"/>
      </rPr>
      <t>api/v1/cash-registers</t>
    </r>
  </si>
  <si>
    <r>
      <rPr>
        <sz val="11"/>
        <color rgb="FF000000"/>
        <rFont val="Meiryo UI"/>
        <family val="2"/>
      </rPr>
      <t>record_id</t>
    </r>
  </si>
  <si>
    <r>
      <rPr>
        <sz val="11"/>
        <color rgb="FF000000"/>
        <rFont val="Meiryo UI"/>
        <family val="2"/>
      </rPr>
      <t>items</t>
    </r>
  </si>
  <si>
    <r>
      <rPr>
        <sz val="11"/>
        <color rgb="FF0000FF"/>
        <rFont val="Meiryo UI"/>
        <family val="3"/>
        <charset val="128"/>
      </rPr>
      <t>AnhDD</t>
    </r>
  </si>
  <si>
    <r>
      <rPr>
        <sz val="11"/>
        <color rgb="FF000000"/>
        <rFont val="Meiryo UI"/>
        <family val="2"/>
      </rPr>
      <t>tenant_hierarchy_code</t>
    </r>
  </si>
  <si>
    <r>
      <rPr>
        <sz val="11"/>
        <color rgb="FF000000"/>
        <rFont val="Meiryo UI"/>
        <family val="2"/>
      </rPr>
      <t>CashRegisterMaster.TenantHierachyCode</t>
    </r>
  </si>
  <si>
    <r>
      <rPr>
        <sz val="11"/>
        <color rgb="FF000000"/>
        <rFont val="Meiryo UI"/>
        <family val="2"/>
      </rPr>
      <t>テナントレジ部門</t>
    </r>
  </si>
  <si>
    <r>
      <rPr>
        <sz val="11"/>
        <color rgb="FF000000"/>
        <rFont val="Meiryo UI"/>
        <family val="2"/>
      </rPr>
      <t>"tenant_hierarchy_code": null,</t>
    </r>
  </si>
  <si>
    <r>
      <rPr>
        <sz val="11"/>
        <color rgb="FF000000"/>
        <rFont val="Meiryo UI"/>
        <family val="2"/>
      </rPr>
      <t>CashRegisterMaster.RECORD_ID</t>
    </r>
  </si>
  <si>
    <r>
      <rPr>
        <sz val="11"/>
        <color rgb="FF000000"/>
        <rFont val="Meiryo UI"/>
        <family val="2"/>
      </rPr>
      <t>total_count</t>
    </r>
  </si>
  <si>
    <r>
      <rPr>
        <sz val="11"/>
        <color rgb="FF000000"/>
        <rFont val="Meiryo UI"/>
        <family val="2"/>
      </rPr>
      <t>Long</t>
    </r>
  </si>
  <si>
    <t>}</t>
  </si>
  <si>
    <r>
      <rPr>
        <sz val="11"/>
        <color rgb="FF000000"/>
        <rFont val="Meiryo UI"/>
        <family val="2"/>
      </rPr>
      <t>"item":</t>
    </r>
  </si>
  <si>
    <t xml:space="preserve"> [</t>
  </si>
  <si>
    <r>
      <rPr>
        <sz val="11"/>
        <color rgb="FF000000"/>
        <rFont val="Meiryo UI"/>
        <family val="2"/>
      </rPr>
      <t>検索できた総件数</t>
    </r>
  </si>
  <si>
    <r>
      <rPr>
        <sz val="11"/>
        <color rgb="FF0000FF"/>
        <rFont val="Meiryo UI"/>
        <family val="3"/>
        <charset val="128"/>
      </rPr>
      <t>23094_AP7102:</t>
    </r>
    <r>
      <rPr>
        <sz val="11"/>
        <color rgb="FF0000FF"/>
        <rFont val="Meiryo UI"/>
        <family val="3"/>
        <charset val="128"/>
      </rPr>
      <t xml:space="preserve"> </t>
    </r>
    <r>
      <rPr>
        <sz val="11"/>
        <color rgb="FF0000FF"/>
        <rFont val="Meiryo UI"/>
        <family val="3"/>
        <charset val="128"/>
      </rPr>
      <t>type_codeを削除する。</t>
    </r>
  </si>
  <si>
    <r>
      <rPr>
        <sz val="11"/>
        <color rgb="FF000000"/>
        <rFont val="Meiryo UI"/>
        <family val="2"/>
      </rPr>
      <t>AnhDD</t>
    </r>
  </si>
  <si>
    <r>
      <rPr>
        <sz val="11"/>
        <color rgb="FF0000FF"/>
        <rFont val="Meiryo UI"/>
        <family val="3"/>
        <charset val="128"/>
      </rPr>
      <t>DuNT</t>
    </r>
  </si>
  <si>
    <r>
      <rPr>
        <sz val="11"/>
        <color rgb="FF000000"/>
        <rFont val="Meiryo UI"/>
        <family val="2"/>
      </rPr>
      <t>ファンクションレイアウトコード</t>
    </r>
  </si>
  <si>
    <r>
      <rPr>
        <sz val="11"/>
        <color rgb="FF000000"/>
        <rFont val="Meiryo UI"/>
        <family val="2"/>
      </rPr>
      <t>レシートメッセージコード</t>
    </r>
  </si>
  <si>
    <t>DuNT</t>
  </si>
  <si>
    <t>AP7102シート</t>
  </si>
  <si>
    <t>・url、MACアドレスのマッピングを更新する。
・record_idを追加する。</t>
  </si>
  <si>
    <t>AnhDD</t>
  </si>
  <si>
    <t>シート：AP7102、処理フロー</t>
  </si>
  <si>
    <t>満たすリストが見つからないフィールドは空のリストを返す。</t>
  </si>
  <si>
    <t>AP7102</t>
  </si>
  <si>
    <t>tenant_hierarchy_codeを追加する。</t>
  </si>
  <si>
    <t>total_countを追加し、payment_type_codeを削除する。</t>
  </si>
  <si>
    <t>新規</t>
  </si>
  <si>
    <t>TypeNodeのデータ型をIntからstringに変更する。</t>
  </si>
  <si>
    <t>レジ一覧のアイテム情報詳細を追加する。</t>
  </si>
  <si>
    <t>23094_処理フロー：cash_machine_noの検索タイプをあいまい検索から正確な検索に変更する。</t>
  </si>
  <si>
    <t>ドロップダウンプリセットレイアウト内のアイテムの重複を処理する。</t>
  </si>
  <si>
    <t>処理フロー</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</si>
  <si>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</si>
  <si>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</si>
  <si>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</si>
  <si>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</si>
  <si>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</si>
  <si>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</si>
  <si>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</si>
  <si>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</si>
  <si>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</si>
  <si>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●API処理フロー</t>
  </si>
  <si>
    <r>
      <rPr>
        <b/>
        <sz val="11"/>
        <color rgb="FF000000"/>
        <rFont val="Meiryo UI"/>
        <family val="2"/>
      </rPr>
      <t>1. 概要</t>
    </r>
  </si>
  <si>
    <t>2. リクエスト</t>
  </si>
  <si>
    <t>2.1 Request URL</t>
  </si>
  <si>
    <t>2. 2 Request Header</t>
  </si>
  <si>
    <r>
      <t xml:space="preserve">No. </t>
    </r>
    <r>
      <rPr>
        <sz val="11"/>
        <color rgb="FF000000"/>
        <rFont val="Meiryo UI"/>
        <family val="2"/>
      </rPr>
      <t xml:space="preserve"> </t>
    </r>
  </si>
  <si>
    <t>ヘッダー</t>
  </si>
  <si>
    <t>項目説明</t>
  </si>
  <si>
    <r>
      <rPr>
        <sz val="11"/>
        <color rgb="FF000000"/>
        <rFont val="Meiryo UI"/>
        <family val="2"/>
      </rPr>
      <t>形式："Bearer {api_key}"</t>
    </r>
  </si>
  <si>
    <t>2.3 Query Parameter/ path parameter</t>
  </si>
  <si>
    <r>
      <rPr>
        <sz val="11"/>
        <color rgb="FF000000"/>
        <rFont val="Meiryo UI"/>
        <family val="2"/>
      </rPr>
      <t>Querry parameter: 対象店舗</t>
    </r>
  </si>
  <si>
    <t>店舗コード：4桁。4桁以外の場合、エラーメッセージ = MSG_VAL_002</t>
  </si>
  <si>
    <t>最大15桁。桁数 &gt; 15の場合、 エラーメッセージ = MSG_VAL_002</t>
  </si>
  <si>
    <t>nullの場合、全て検索する。</t>
  </si>
  <si>
    <t>String</t>
  </si>
  <si>
    <t>2.4 Request Body</t>
  </si>
  <si>
    <r>
      <rPr>
        <b/>
        <sz val="11"/>
        <color rgb="FF000000"/>
        <rFont val="Meiryo UI"/>
        <family val="2"/>
      </rPr>
      <t>3. レスポンス</t>
    </r>
  </si>
  <si>
    <t>3.1. 正常の場合のレスポンスフォーマット</t>
  </si>
  <si>
    <t>JSON name</t>
  </si>
  <si>
    <t>type_name</t>
  </si>
  <si>
    <t>CashRegisterType.Name</t>
  </si>
  <si>
    <t>レジ種別名称</t>
  </si>
  <si>
    <t>type_node_name</t>
  </si>
  <si>
    <t xml:space="preserve">CodeMaster.PropertyName
MC7101 </t>
  </si>
  <si>
    <t>ノード種別名称</t>
  </si>
  <si>
    <t>button_layout_name</t>
  </si>
  <si>
    <t>PresetMenuMaster.ButtonLayoutName</t>
  </si>
  <si>
    <t>プリセットレイアウト名称</t>
  </si>
  <si>
    <t>keyboard_layout_name</t>
  </si>
  <si>
    <t>CodeMaster.PropertyName
MC7103</t>
  </si>
  <si>
    <t>キーボードレイアウト名称</t>
  </si>
  <si>
    <t>function_layout_name</t>
  </si>
  <si>
    <t>CodeMaster.PropertyName
MC7102</t>
  </si>
  <si>
    <t>ファンクションレイアウトコード</t>
  </si>
  <si>
    <t>receipt_message</t>
  </si>
  <si>
    <t>CodeMaster.PropertyName
MC8301</t>
  </si>
  <si>
    <t>レシートメッセージコード</t>
  </si>
  <si>
    <r>
      <rPr>
        <sz val="11"/>
        <color rgb="FF000000"/>
        <rFont val="Meiryo UI"/>
        <family val="2"/>
      </rPr>
      <t xml:space="preserve">CashRegisterMaster.MegaDiscount </t>
    </r>
  </si>
  <si>
    <t>※サンプル</t>
  </si>
  <si>
    <r>
      <rPr>
        <sz val="11"/>
        <color rgb="FF000000"/>
        <rFont val="Meiryo UI"/>
        <family val="2"/>
      </rPr>
      <t>"total_count": 1,</t>
    </r>
  </si>
  <si>
    <r>
      <rPr>
        <sz val="11"/>
        <color rgb="FF000000"/>
        <rFont val="Meiryo UI"/>
        <family val="2"/>
      </rPr>
      <t>"record_id": 1,</t>
    </r>
  </si>
  <si>
    <r>
      <rPr>
        <sz val="11"/>
        <color rgb="FF000000"/>
        <rFont val="Meiryo UI"/>
        <family val="2"/>
      </rPr>
      <t>"store_code": "0002",</t>
    </r>
  </si>
  <si>
    <r>
      <rPr>
        <sz val="11"/>
        <color rgb="FF000000"/>
        <rFont val="Meiryo UI"/>
        <family val="2"/>
      </rPr>
      <t>"code": 301,</t>
    </r>
  </si>
  <si>
    <r>
      <rPr>
        <sz val="11"/>
        <color rgb="FF000000"/>
        <rFont val="Meiryo UI"/>
        <family val="2"/>
      </rPr>
      <t>"type_code": "01",</t>
    </r>
  </si>
  <si>
    <t>"type_code_name": "type1",</t>
  </si>
  <si>
    <r>
      <rPr>
        <sz val="11"/>
        <color rgb="FF000000"/>
        <rFont val="Meiryo UI"/>
        <family val="2"/>
      </rPr>
      <t>"type_node": "02",</t>
    </r>
  </si>
  <si>
    <t>"type_node_name": "node2",</t>
  </si>
  <si>
    <r>
      <rPr>
        <sz val="11"/>
        <color rgb="FF000000"/>
        <rFont val="Meiryo UI"/>
        <family val="2"/>
      </rPr>
      <t>"button_layout_code": "01",</t>
    </r>
  </si>
  <si>
    <t>"button_layout_name": "preset name",</t>
  </si>
  <si>
    <r>
      <rPr>
        <sz val="11"/>
        <color rgb="FF000000"/>
        <rFont val="Meiryo UI"/>
        <family val="2"/>
      </rPr>
      <t>"keyboard_layout_code": "01",</t>
    </r>
  </si>
  <si>
    <t>"keyboard_layout_name": "keyboard01",</t>
  </si>
  <si>
    <r>
      <rPr>
        <sz val="11"/>
        <color rgb="FF000000"/>
        <rFont val="Meiryo UI"/>
        <family val="2"/>
      </rPr>
      <t>"function_layout_code": "01",</t>
    </r>
  </si>
  <si>
    <t>"function_layout_name": "function01",</t>
  </si>
  <si>
    <r>
      <rPr>
        <sz val="11"/>
        <color rgb="FF000000"/>
        <rFont val="Meiryo UI"/>
        <family val="2"/>
      </rPr>
      <t>"receipt_message_code": "01",</t>
    </r>
  </si>
  <si>
    <t>"receipt_message": "01",</t>
  </si>
  <si>
    <r>
      <rPr>
        <sz val="11"/>
        <color rgb="FF000000"/>
        <rFont val="Meiryo UI"/>
        <family val="2"/>
      </rPr>
      <t>"ip_address": "10.3.10.111",</t>
    </r>
  </si>
  <si>
    <r>
      <rPr>
        <sz val="11"/>
        <color rgb="FF000000"/>
        <rFont val="Meiryo UI"/>
        <family val="2"/>
      </rPr>
      <t>"mac_address": "F4:B5:20:1F:A0:F2"</t>
    </r>
  </si>
  <si>
    <r>
      <rPr>
        <sz val="11"/>
        <color rgb="FF000000"/>
        <rFont val="Meiryo UI"/>
        <family val="2"/>
      </rPr>
      <t>"payment_type_code": "01",</t>
    </r>
  </si>
  <si>
    <r>
      <rPr>
        <sz val="11"/>
        <color rgb="FF000000"/>
        <rFont val="Meiryo UI"/>
        <family val="2"/>
      </rPr>
      <t>"start_up_time": "05:10",</t>
    </r>
  </si>
  <si>
    <r>
      <rPr>
        <sz val="11"/>
        <color rgb="FF000000"/>
        <rFont val="Meiryo UI"/>
        <family val="2"/>
      </rPr>
      <t>"pos_model": "01",</t>
    </r>
  </si>
  <si>
    <r>
      <rPr>
        <sz val="11"/>
        <color rgb="FF000000"/>
        <rFont val="Meiryo UI"/>
        <family val="2"/>
      </rPr>
      <t>"cash_machine_model": "ECS777",</t>
    </r>
  </si>
  <si>
    <r>
      <rPr>
        <sz val="11"/>
        <color rgb="FF000000"/>
        <rFont val="Meiryo UI"/>
        <family val="2"/>
      </rPr>
      <t>"scanner_model": "CTS-257",</t>
    </r>
  </si>
  <si>
    <r>
      <rPr>
        <sz val="11"/>
        <color rgb="FF000000"/>
        <rFont val="Meiryo UI"/>
        <family val="2"/>
      </rPr>
      <t>"update_date": "2024/07/19",</t>
    </r>
  </si>
  <si>
    <r>
      <rPr>
        <b/>
        <sz val="11"/>
        <color rgb="FF000000"/>
        <rFont val="Meiryo UI"/>
        <family val="2"/>
      </rPr>
      <t>3.2. エラーの場合のレスポンスフォーマット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</si>
</sst>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5"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z val="18"/>
      <color rgb="FF000000"/>
      <name val="Meiryo UI"/>
      <family val="3"/>
    </font>
    <font>
      <sz val="24"/>
      <color rgb="FF000000"/>
      <name val="Meiryo UI"/>
      <family val="3"/>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sz val="11"/>
      <color rgb="FF0000FF"/>
      <name val="Meiryo UI"/>
      <family val="3"/>
      <charset val="128"/>
    </font>
    <font>
      <sz val="11"/>
      <name val="Meiryo UI"/>
      <family val="3"/>
      <charset val="128"/>
    </font>
    <font>
      <sz val="11"/>
      <name val="Meiryo UI"/>
      <family val="2"/>
    </font>
    <font>
      <sz val="11"/>
      <color theme="0"/>
      <name val="Meiryo UI"/>
      <family val="2"/>
    </font>
    <font>
      <sz val="11"/>
      <color rgb="FFFFFFFF"/>
      <name val="Meiryo UI"/>
      <family val="2"/>
    </font>
    <font>
      <sz val="18"/>
      <name val="Meiryo UI"/>
      <family val="2"/>
    </font>
    <font>
      <sz val="11"/>
      <color rgb="FF0000FF"/>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style="hair">
        <color auto="1"/>
      </left>
      <right/>
      <top/>
      <bottom style="thin">
        <color auto="1"/>
      </bottom>
      <diagonal/>
    </border>
    <border>
      <left/>
      <right style="hair">
        <color auto="1"/>
      </right>
      <top/>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19" fillId="0" borderId="0">
      <alignment vertical="center"/>
    </xf>
    <xf numFmtId="0" fontId="6" fillId="0" borderId="0">
      <alignment vertical="center"/>
    </xf>
  </cellStyleXfs>
  <cellXfs count="314">
    <xf numFmtId="0" fontId="0" fillId="0" borderId="0" xfId="0"/>
    <xf numFmtId="0" fontId="2" fillId="4" borderId="3"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18"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6" xfId="0" applyFont="1" applyFill="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4" xfId="6" applyFont="1" applyBorder="1" applyAlignment="1">
      <alignment vertical="center"/>
    </xf>
    <xf numFmtId="0" fontId="0" fillId="0" borderId="0" xfId="0" applyAlignment="1">
      <alignment vertical="center"/>
    </xf>
    <xf numFmtId="0" fontId="7" fillId="0" borderId="16" xfId="6" applyFont="1" applyBorder="1" applyAlignment="1">
      <alignment vertical="center"/>
    </xf>
    <xf numFmtId="0" fontId="7" fillId="0" borderId="17" xfId="6" applyFont="1" applyBorder="1" applyAlignment="1">
      <alignment vertical="center"/>
    </xf>
    <xf numFmtId="0" fontId="7" fillId="0" borderId="18" xfId="6" applyFont="1" applyBorder="1" applyAlignment="1">
      <alignment vertical="center"/>
    </xf>
    <xf numFmtId="0" fontId="0" fillId="0" borderId="4" xfId="0" applyBorder="1" applyAlignment="1">
      <alignment vertical="center"/>
    </xf>
    <xf numFmtId="0" fontId="0" fillId="0" borderId="19" xfId="0" applyBorder="1" applyAlignment="1">
      <alignment vertical="center"/>
    </xf>
    <xf numFmtId="0" fontId="7" fillId="0" borderId="19" xfId="6" applyFont="1" applyBorder="1" applyAlignment="1">
      <alignment vertical="center"/>
    </xf>
    <xf numFmtId="0" fontId="7" fillId="0" borderId="20" xfId="6" applyFont="1" applyBorder="1" applyAlignment="1">
      <alignment vertical="center"/>
    </xf>
    <xf numFmtId="0" fontId="0" fillId="0" borderId="21" xfId="0" applyBorder="1" applyAlignment="1">
      <alignment vertical="center"/>
    </xf>
    <xf numFmtId="0" fontId="7" fillId="0" borderId="21" xfId="6" applyFont="1" applyBorder="1" applyAlignment="1">
      <alignment vertical="center"/>
    </xf>
    <xf numFmtId="0" fontId="7" fillId="0" borderId="22" xfId="6" applyFont="1" applyBorder="1" applyAlignment="1">
      <alignment vertical="center"/>
    </xf>
    <xf numFmtId="0" fontId="7" fillId="0" borderId="1" xfId="0" applyFont="1" applyBorder="1" applyAlignment="1">
      <alignment horizontal="left" vertical="center"/>
    </xf>
    <xf numFmtId="0" fontId="11" fillId="2" borderId="0" xfId="0" applyFont="1" applyFill="1" applyAlignment="1">
      <alignment horizontal="left" vertical="center"/>
    </xf>
    <xf numFmtId="0" fontId="7" fillId="2" borderId="0" xfId="0" applyFont="1" applyFill="1" applyAlignment="1">
      <alignment horizontal="left" vertical="center"/>
    </xf>
    <xf numFmtId="0" fontId="7" fillId="2" borderId="0" xfId="0" applyFont="1" applyFill="1" applyAlignment="1">
      <alignment vertical="center"/>
    </xf>
    <xf numFmtId="0" fontId="7" fillId="0" borderId="4" xfId="0" applyFont="1" applyBorder="1" applyAlignment="1">
      <alignment vertical="center"/>
    </xf>
    <xf numFmtId="0" fontId="7" fillId="3" borderId="0" xfId="0" applyFont="1" applyFill="1" applyAlignment="1">
      <alignment vertical="center"/>
    </xf>
    <xf numFmtId="0" fontId="11" fillId="0" borderId="0" xfId="0" applyFont="1" applyAlignment="1">
      <alignment horizontal="left" vertical="center"/>
    </xf>
    <xf numFmtId="0" fontId="7" fillId="0" borderId="0" xfId="0" applyFont="1" applyAlignment="1">
      <alignment horizontal="left" vertical="center"/>
    </xf>
    <xf numFmtId="0" fontId="7" fillId="0" borderId="0" xfId="0" applyFont="1" applyAlignment="1">
      <alignment vertical="center"/>
    </xf>
    <xf numFmtId="0" fontId="12" fillId="2" borderId="0" xfId="0" applyFont="1" applyFill="1" applyAlignment="1">
      <alignment horizontal="left" vertical="center"/>
    </xf>
    <xf numFmtId="0" fontId="12" fillId="0" borderId="0" xfId="0" applyFont="1" applyAlignment="1">
      <alignment horizontal="left" vertical="center"/>
    </xf>
    <xf numFmtId="0" fontId="7" fillId="0" borderId="18"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0" xfId="0" quotePrefix="1" applyFont="1" applyAlignment="1">
      <alignment horizontal="left" vertical="center"/>
    </xf>
    <xf numFmtId="0" fontId="13" fillId="0" borderId="0" xfId="0" quotePrefix="1" applyFont="1" applyAlignment="1">
      <alignment horizontal="left" vertical="center" wrapText="1"/>
    </xf>
    <xf numFmtId="0" fontId="14" fillId="0" borderId="0" xfId="0" quotePrefix="1" applyFont="1" applyAlignment="1">
      <alignment horizontal="left" vertical="center"/>
    </xf>
    <xf numFmtId="0" fontId="15" fillId="0" borderId="17" xfId="0" applyFont="1" applyBorder="1" applyAlignment="1">
      <alignment horizontal="left" vertical="center"/>
    </xf>
    <xf numFmtId="0" fontId="7" fillId="0" borderId="17" xfId="0" applyFont="1" applyBorder="1" applyAlignment="1">
      <alignment horizontal="left" vertical="center"/>
    </xf>
    <xf numFmtId="0" fontId="15" fillId="0" borderId="0" xfId="0" applyFont="1" applyAlignment="1">
      <alignment horizontal="left" vertical="center"/>
    </xf>
    <xf numFmtId="0" fontId="15" fillId="0" borderId="3" xfId="0" applyFont="1" applyBorder="1" applyAlignment="1">
      <alignment horizontal="left" vertical="center"/>
    </xf>
    <xf numFmtId="0" fontId="7" fillId="0" borderId="3" xfId="0" applyFont="1" applyBorder="1" applyAlignment="1">
      <alignment horizontal="left"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7" fillId="0" borderId="3" xfId="0" applyFont="1" applyBorder="1" applyAlignment="1">
      <alignment horizontal="left" vertical="center"/>
    </xf>
    <xf numFmtId="0" fontId="16" fillId="0" borderId="3" xfId="0" applyFont="1" applyBorder="1" applyAlignment="1">
      <alignment vertical="center"/>
    </xf>
    <xf numFmtId="0" fontId="16" fillId="0" borderId="5" xfId="0" applyFont="1" applyBorder="1" applyAlignment="1">
      <alignment vertical="center"/>
    </xf>
    <xf numFmtId="0" fontId="16" fillId="3" borderId="0" xfId="0" applyFont="1" applyFill="1" applyAlignment="1">
      <alignment vertical="center"/>
    </xf>
    <xf numFmtId="0" fontId="7" fillId="0" borderId="19" xfId="0" applyFont="1" applyBorder="1" applyAlignment="1">
      <alignment vertical="center"/>
    </xf>
    <xf numFmtId="0" fontId="15" fillId="0" borderId="0" xfId="0" applyFont="1" applyAlignment="1">
      <alignment horizontal="left" vertical="center" indent="1"/>
    </xf>
    <xf numFmtId="0" fontId="15" fillId="0" borderId="3" xfId="0" applyFont="1" applyBorder="1" applyAlignment="1">
      <alignment horizontal="left" vertical="center" indent="1"/>
    </xf>
    <xf numFmtId="0" fontId="7" fillId="0" borderId="1" xfId="0" applyFont="1" applyBorder="1" applyAlignment="1">
      <alignment horizontal="left" vertical="center" indent="3"/>
    </xf>
    <xf numFmtId="0" fontId="7" fillId="3" borderId="0" xfId="0" applyFont="1" applyFill="1" applyAlignment="1">
      <alignment horizontal="left" vertical="center" indent="1"/>
    </xf>
    <xf numFmtId="0" fontId="7" fillId="0" borderId="0" xfId="0" applyFont="1" applyAlignment="1">
      <alignment horizontal="left" vertical="center" indent="1"/>
    </xf>
    <xf numFmtId="0" fontId="13" fillId="0" borderId="1" xfId="0" applyFont="1" applyBorder="1" applyAlignment="1">
      <alignment horizontal="left" vertical="center"/>
    </xf>
    <xf numFmtId="0" fontId="13" fillId="0" borderId="0" xfId="0" applyFont="1" applyAlignment="1">
      <alignment horizontal="left" vertical="center"/>
    </xf>
    <xf numFmtId="0" fontId="13" fillId="0" borderId="0" xfId="0" applyFont="1" applyAlignment="1">
      <alignment vertical="center"/>
    </xf>
    <xf numFmtId="0" fontId="13" fillId="0" borderId="4" xfId="0" applyFont="1" applyBorder="1" applyAlignment="1">
      <alignment vertical="center"/>
    </xf>
    <xf numFmtId="0" fontId="13" fillId="3" borderId="0" xfId="0" applyFont="1" applyFill="1" applyAlignment="1">
      <alignment vertical="center"/>
    </xf>
    <xf numFmtId="0" fontId="13" fillId="3" borderId="0" xfId="0" applyFont="1" applyFill="1" applyAlignment="1">
      <alignment horizontal="left" vertical="center" indent="1"/>
    </xf>
    <xf numFmtId="0" fontId="13" fillId="0" borderId="0" xfId="0" applyFont="1" applyAlignment="1">
      <alignment horizontal="left" vertical="center" indent="1"/>
    </xf>
    <xf numFmtId="0" fontId="13" fillId="0" borderId="4" xfId="0" applyFont="1" applyBorder="1" applyAlignment="1">
      <alignment horizontal="left" vertical="center"/>
    </xf>
    <xf numFmtId="0" fontId="2" fillId="4" borderId="5" xfId="0" applyFont="1" applyFill="1" applyBorder="1" applyAlignment="1">
      <alignment horizontal="center" vertical="center"/>
    </xf>
    <xf numFmtId="0" fontId="2" fillId="4" borderId="23"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10" fillId="0" borderId="0" xfId="0" applyFont="1" applyAlignment="1">
      <alignment horizontal="center" vertical="center"/>
    </xf>
    <xf numFmtId="0" fontId="4" fillId="0" borderId="0" xfId="0" applyFont="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8" fillId="0" borderId="23" xfId="0" applyFont="1" applyBorder="1" applyAlignment="1">
      <alignment horizontal="center" vertical="center"/>
    </xf>
    <xf numFmtId="2" fontId="0" fillId="0" borderId="16" xfId="0" applyNumberFormat="1" applyBorder="1" applyAlignment="1">
      <alignment horizontal="center" vertical="center"/>
    </xf>
    <xf numFmtId="2" fontId="0" fillId="0" borderId="17" xfId="0" applyNumberFormat="1" applyBorder="1" applyAlignment="1">
      <alignment horizontal="center" vertical="center"/>
    </xf>
    <xf numFmtId="2" fontId="0" fillId="0" borderId="18"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8" fillId="0" borderId="16" xfId="0" applyFont="1" applyBorder="1" applyAlignment="1">
      <alignment horizontal="center" vertical="center"/>
    </xf>
    <xf numFmtId="0" fontId="9"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26" xfId="0" applyBorder="1"/>
    <xf numFmtId="0" fontId="0" fillId="0" borderId="27" xfId="0" applyBorder="1"/>
    <xf numFmtId="0" fontId="0" fillId="0" borderId="28" xfId="0" applyBorder="1"/>
    <xf numFmtId="0" fontId="0" fillId="0" borderId="17" xfId="0" applyBorder="1"/>
    <xf numFmtId="0" fontId="0" fillId="0" borderId="18" xfId="0" applyBorder="1"/>
    <xf numFmtId="0" fontId="0" fillId="0" borderId="3" xfId="0" applyBorder="1"/>
    <xf numFmtId="0" fontId="0" fillId="0" borderId="5" xfId="0" applyBorder="1"/>
    <xf numFmtId="0" fontId="0" fillId="0" borderId="16" xfId="0" applyBorder="1"/>
    <xf numFmtId="0" fontId="0" fillId="0" borderId="2" xfId="0" applyBorder="1"/>
    <xf numFmtId="0" fontId="0" fillId="0" borderId="29" xfId="0" applyBorder="1"/>
    <xf numFmtId="0" fontId="0" fillId="0" borderId="30" xfId="0" applyBorder="1"/>
    <xf numFmtId="0" fontId="0" fillId="0" borderId="31" xfId="0" applyBorder="1"/>
    <xf numFmtId="14" fontId="18" fillId="0" borderId="16" xfId="0" applyNumberFormat="1" applyFont="1" applyBorder="1" applyAlignment="1">
      <alignment horizontal="center" vertical="center"/>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18" fillId="0" borderId="16" xfId="0" applyFont="1" applyBorder="1" applyAlignment="1">
      <alignment horizontal="center" vertical="center"/>
    </xf>
    <xf numFmtId="0" fontId="18" fillId="0" borderId="26" xfId="0" applyFont="1" applyBorder="1"/>
    <xf numFmtId="0" fontId="18" fillId="0" borderId="27" xfId="0" applyFont="1" applyBorder="1"/>
    <xf numFmtId="0" fontId="18" fillId="0" borderId="28" xfId="0" applyFont="1" applyBorder="1"/>
    <xf numFmtId="0" fontId="18" fillId="0" borderId="29" xfId="0" applyFont="1" applyBorder="1"/>
    <xf numFmtId="0" fontId="18" fillId="0" borderId="30" xfId="0" applyFont="1" applyBorder="1"/>
    <xf numFmtId="0" fontId="18" fillId="0" borderId="31" xfId="0" applyFont="1" applyBorder="1"/>
    <xf numFmtId="0" fontId="2" fillId="4" borderId="0" xfId="0" applyFont="1" applyFill="1"/>
    <xf numFmtId="0" fontId="3" fillId="0" borderId="16" xfId="0" applyFont="1" applyBorder="1" applyAlignment="1">
      <alignment horizontal="center" vertical="center"/>
    </xf>
    <xf numFmtId="0" fontId="7" fillId="0" borderId="16" xfId="6" applyFont="1" applyBorder="1" applyAlignment="1">
      <alignment horizontal="center" vertical="center"/>
    </xf>
    <xf numFmtId="0" fontId="7" fillId="0" borderId="17" xfId="6" applyFont="1" applyBorder="1" applyAlignment="1">
      <alignment horizontal="center" vertical="center"/>
    </xf>
    <xf numFmtId="0" fontId="7" fillId="0" borderId="18"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2" fillId="4" borderId="23" xfId="6" applyFont="1" applyFill="1" applyBorder="1" applyAlignment="1">
      <alignment horizontal="center" vertical="center"/>
    </xf>
    <xf numFmtId="0" fontId="2" fillId="4" borderId="24" xfId="6" applyFont="1" applyFill="1" applyBorder="1" applyAlignment="1">
      <alignment horizontal="center" vertical="center"/>
    </xf>
    <xf numFmtId="0" fontId="2" fillId="4" borderId="25" xfId="6" applyFont="1" applyFill="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7" fillId="0" borderId="23" xfId="6" applyFont="1" applyBorder="1" applyAlignment="1">
      <alignment horizontal="center" vertical="center"/>
    </xf>
    <xf numFmtId="0" fontId="7" fillId="0" borderId="24" xfId="6" applyFont="1" applyBorder="1" applyAlignment="1">
      <alignment horizontal="center" vertical="center"/>
    </xf>
    <xf numFmtId="0" fontId="7" fillId="0" borderId="25" xfId="6" applyFont="1" applyBorder="1" applyAlignment="1">
      <alignment horizontal="center" vertical="center"/>
    </xf>
    <xf numFmtId="0" fontId="8" fillId="0" borderId="23" xfId="6" applyFont="1" applyBorder="1" applyAlignment="1">
      <alignment horizontal="center" vertical="center"/>
    </xf>
    <xf numFmtId="0" fontId="7" fillId="0" borderId="23" xfId="0" applyFont="1" applyBorder="1" applyAlignment="1">
      <alignment horizontal="left" vertical="center"/>
    </xf>
    <xf numFmtId="0" fontId="7" fillId="0" borderId="25" xfId="0" applyFont="1" applyBorder="1" applyAlignment="1">
      <alignment horizontal="left" vertical="center"/>
    </xf>
    <xf numFmtId="0" fontId="7" fillId="0" borderId="23" xfId="0" applyFont="1" applyBorder="1" applyAlignment="1">
      <alignment horizontal="left" vertical="center" indent="1"/>
    </xf>
    <xf numFmtId="0" fontId="7" fillId="0" borderId="24" xfId="0" applyFont="1" applyBorder="1" applyAlignment="1">
      <alignment horizontal="left" vertical="center" indent="1"/>
    </xf>
    <xf numFmtId="0" fontId="7" fillId="0" borderId="25" xfId="0" applyFont="1" applyBorder="1" applyAlignment="1">
      <alignment horizontal="left" vertical="center" indent="1"/>
    </xf>
    <xf numFmtId="0" fontId="7" fillId="0" borderId="24" xfId="0" applyFont="1" applyBorder="1" applyAlignment="1">
      <alignment horizontal="left" vertical="center"/>
    </xf>
    <xf numFmtId="0" fontId="7" fillId="0" borderId="23" xfId="0" applyFont="1" applyBorder="1" applyAlignment="1">
      <alignment vertical="center"/>
    </xf>
    <xf numFmtId="0" fontId="7" fillId="0" borderId="24" xfId="0" applyFont="1" applyBorder="1" applyAlignment="1">
      <alignment vertical="center"/>
    </xf>
    <xf numFmtId="0" fontId="7" fillId="0" borderId="25" xfId="0" applyFont="1" applyBorder="1" applyAlignment="1">
      <alignment vertical="center"/>
    </xf>
    <xf numFmtId="0" fontId="11" fillId="5" borderId="23" xfId="0" applyFont="1" applyFill="1" applyBorder="1" applyAlignment="1">
      <alignment horizontal="left" vertical="center"/>
    </xf>
    <xf numFmtId="0" fontId="11" fillId="5" borderId="24" xfId="0" applyFont="1" applyFill="1" applyBorder="1" applyAlignment="1">
      <alignment horizontal="left" vertical="center"/>
    </xf>
    <xf numFmtId="0" fontId="11" fillId="5" borderId="25" xfId="0" applyFont="1" applyFill="1" applyBorder="1" applyAlignment="1">
      <alignment horizontal="left" vertical="center"/>
    </xf>
    <xf numFmtId="0" fontId="12" fillId="5" borderId="23" xfId="0" applyFont="1" applyFill="1" applyBorder="1" applyAlignment="1">
      <alignment horizontal="left" vertical="center"/>
    </xf>
    <xf numFmtId="0" fontId="12" fillId="5" borderId="24" xfId="0" applyFont="1" applyFill="1" applyBorder="1" applyAlignment="1">
      <alignment horizontal="left" vertical="center"/>
    </xf>
    <xf numFmtId="0" fontId="12" fillId="5" borderId="25" xfId="0" applyFont="1" applyFill="1" applyBorder="1" applyAlignment="1">
      <alignment horizontal="left" vertical="center"/>
    </xf>
    <xf numFmtId="0" fontId="12" fillId="5" borderId="23" xfId="0" applyFont="1" applyFill="1" applyBorder="1" applyAlignment="1">
      <alignment vertical="center"/>
    </xf>
    <xf numFmtId="0" fontId="11" fillId="5" borderId="24" xfId="0" applyFont="1" applyFill="1" applyBorder="1" applyAlignment="1">
      <alignment vertical="center"/>
    </xf>
    <xf numFmtId="0" fontId="11" fillId="5" borderId="25" xfId="0" applyFont="1" applyFill="1" applyBorder="1" applyAlignment="1">
      <alignment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16" xfId="0" applyFont="1" applyBorder="1" applyAlignment="1">
      <alignment horizontal="left" vertical="center"/>
    </xf>
    <xf numFmtId="0" fontId="7" fillId="0" borderId="18" xfId="0" applyFont="1" applyBorder="1" applyAlignment="1">
      <alignment horizontal="left" vertical="center"/>
    </xf>
    <xf numFmtId="0" fontId="8" fillId="0" borderId="23" xfId="0" applyFont="1" applyBorder="1" applyAlignment="1">
      <alignment horizontal="left"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5" borderId="23" xfId="0" applyFont="1" applyFill="1" applyBorder="1" applyAlignment="1">
      <alignment horizontal="left" vertical="center"/>
    </xf>
    <xf numFmtId="0" fontId="7" fillId="5" borderId="25" xfId="0" applyFont="1" applyFill="1" applyBorder="1" applyAlignment="1">
      <alignment horizontal="left" vertical="center"/>
    </xf>
    <xf numFmtId="0" fontId="7" fillId="0" borderId="23" xfId="0" quotePrefix="1" applyFont="1" applyBorder="1" applyAlignment="1">
      <alignment horizontal="left" vertical="center"/>
    </xf>
    <xf numFmtId="0" fontId="7" fillId="0" borderId="24" xfId="0" quotePrefix="1" applyFont="1" applyBorder="1" applyAlignment="1">
      <alignment horizontal="left" vertical="center"/>
    </xf>
    <xf numFmtId="0" fontId="7" fillId="0" borderId="25" xfId="0" quotePrefix="1" applyFont="1" applyBorder="1" applyAlignment="1">
      <alignment horizontal="left" vertical="center"/>
    </xf>
    <xf numFmtId="0" fontId="8" fillId="5" borderId="23" xfId="0" applyFont="1" applyFill="1" applyBorder="1" applyAlignment="1">
      <alignment horizontal="left" vertical="center"/>
    </xf>
    <xf numFmtId="0" fontId="8" fillId="5" borderId="24" xfId="0" applyFont="1" applyFill="1" applyBorder="1" applyAlignment="1">
      <alignment horizontal="left" vertical="center"/>
    </xf>
    <xf numFmtId="0" fontId="8" fillId="5" borderId="25" xfId="0" applyFont="1" applyFill="1" applyBorder="1" applyAlignment="1">
      <alignment horizontal="left" vertical="center"/>
    </xf>
    <xf numFmtId="14" fontId="20" fillId="0" borderId="16" xfId="0" applyNumberFormat="1"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16"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14" fontId="7" fillId="0" borderId="16" xfId="0" applyNumberFormat="1"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6" xfId="0" applyFont="1" applyBorder="1" applyAlignment="1">
      <alignment horizontal="center" vertical="center"/>
    </xf>
    <xf numFmtId="0" fontId="7" fillId="0" borderId="26" xfId="0" applyFont="1" applyBorder="1"/>
    <xf numFmtId="0" fontId="7" fillId="0" borderId="27" xfId="0" applyFont="1" applyBorder="1"/>
    <xf numFmtId="0" fontId="7" fillId="0" borderId="28" xfId="0" applyFont="1" applyBorder="1"/>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7" fillId="0" borderId="29" xfId="0" applyFont="1" applyBorder="1"/>
    <xf numFmtId="0" fontId="7" fillId="0" borderId="30" xfId="0" applyFont="1" applyBorder="1"/>
    <xf numFmtId="0" fontId="7" fillId="0" borderId="31" xfId="0" applyFont="1" applyBorder="1"/>
    <xf numFmtId="0" fontId="7" fillId="0" borderId="29" xfId="0" applyFont="1" applyBorder="1" applyAlignment="1">
      <alignment vertical="top" wrapText="1"/>
    </xf>
    <xf numFmtId="0" fontId="7" fillId="0" borderId="30" xfId="0" applyFont="1" applyBorder="1" applyAlignment="1">
      <alignment vertical="top"/>
    </xf>
    <xf numFmtId="0" fontId="7" fillId="0" borderId="31" xfId="0" applyFont="1" applyBorder="1" applyAlignment="1">
      <alignment vertical="top"/>
    </xf>
    <xf numFmtId="0" fontId="8" fillId="0" borderId="26" xfId="0" applyFont="1" applyBorder="1"/>
    <xf numFmtId="0" fontId="21" fillId="4" borderId="23" xfId="6" applyFont="1" applyFill="1" applyBorder="1" applyAlignment="1">
      <alignment horizontal="center" vertical="center"/>
    </xf>
    <xf numFmtId="0" fontId="21" fillId="4" borderId="24" xfId="6" applyFont="1" applyFill="1" applyBorder="1" applyAlignment="1">
      <alignment horizontal="center" vertical="center"/>
    </xf>
    <xf numFmtId="0" fontId="21" fillId="4" borderId="25" xfId="6" applyFont="1" applyFill="1" applyBorder="1" applyAlignment="1">
      <alignment horizontal="center" vertical="center"/>
    </xf>
    <xf numFmtId="0" fontId="23" fillId="0" borderId="16" xfId="6" applyFont="1" applyBorder="1" applyAlignment="1">
      <alignment horizontal="center" vertical="center"/>
    </xf>
    <xf numFmtId="0" fontId="23" fillId="0" borderId="17" xfId="6" applyFont="1" applyBorder="1" applyAlignment="1">
      <alignment horizontal="center" vertical="center"/>
    </xf>
    <xf numFmtId="0" fontId="23" fillId="0" borderId="18" xfId="6" applyFont="1" applyBorder="1" applyAlignment="1">
      <alignment horizontal="center" vertical="center"/>
    </xf>
    <xf numFmtId="0" fontId="21" fillId="4" borderId="23" xfId="0" applyFont="1" applyFill="1" applyBorder="1" applyAlignment="1">
      <alignment horizontal="center" vertical="center"/>
    </xf>
    <xf numFmtId="0" fontId="21" fillId="4" borderId="24" xfId="0" applyFont="1" applyFill="1" applyBorder="1" applyAlignment="1">
      <alignment horizontal="center" vertical="center"/>
    </xf>
    <xf numFmtId="0" fontId="21" fillId="4" borderId="25" xfId="0" applyFont="1" applyFill="1" applyBorder="1" applyAlignment="1">
      <alignment horizontal="center" vertical="center"/>
    </xf>
    <xf numFmtId="0" fontId="23" fillId="0" borderId="1" xfId="6" applyFont="1" applyBorder="1" applyAlignment="1">
      <alignment horizontal="center" vertical="center"/>
    </xf>
    <xf numFmtId="0" fontId="23" fillId="0" borderId="0" xfId="6" applyFont="1" applyAlignment="1">
      <alignment horizontal="center" vertical="center"/>
    </xf>
    <xf numFmtId="0" fontId="23" fillId="0" borderId="4" xfId="6" applyFont="1" applyBorder="1" applyAlignment="1">
      <alignment horizontal="center" vertical="center"/>
    </xf>
    <xf numFmtId="14" fontId="20" fillId="0" borderId="17" xfId="0" applyNumberFormat="1" applyFont="1" applyBorder="1" applyAlignment="1">
      <alignment horizontal="center" vertical="center"/>
    </xf>
    <xf numFmtId="14" fontId="20" fillId="0" borderId="18" xfId="0" applyNumberFormat="1" applyFont="1" applyBorder="1" applyAlignment="1">
      <alignment horizontal="center" vertical="center"/>
    </xf>
    <xf numFmtId="0" fontId="23" fillId="0" borderId="2" xfId="6" applyFont="1" applyBorder="1" applyAlignment="1">
      <alignment horizontal="center" vertical="center"/>
    </xf>
    <xf numFmtId="0" fontId="23" fillId="0" borderId="3" xfId="6" applyFont="1" applyBorder="1" applyAlignment="1">
      <alignment horizontal="center" vertical="center"/>
    </xf>
    <xf numFmtId="0" fontId="23" fillId="0" borderId="5" xfId="6" applyFont="1" applyBorder="1" applyAlignment="1">
      <alignment horizontal="center" vertical="center"/>
    </xf>
    <xf numFmtId="14" fontId="20" fillId="0" borderId="2" xfId="0" applyNumberFormat="1" applyFont="1" applyBorder="1" applyAlignment="1">
      <alignment horizontal="center" vertical="center"/>
    </xf>
    <xf numFmtId="14" fontId="20" fillId="0" borderId="3" xfId="0" applyNumberFormat="1" applyFont="1" applyBorder="1" applyAlignment="1">
      <alignment horizontal="center" vertical="center"/>
    </xf>
    <xf numFmtId="14" fontId="20" fillId="0" borderId="5" xfId="0" applyNumberFormat="1" applyFont="1" applyBorder="1" applyAlignment="1">
      <alignment horizontal="center" vertical="center"/>
    </xf>
    <xf numFmtId="0" fontId="20" fillId="0" borderId="1" xfId="0" applyFont="1" applyBorder="1" applyAlignment="1">
      <alignment vertical="center"/>
    </xf>
    <xf numFmtId="0" fontId="22" fillId="4" borderId="19" xfId="0" applyFont="1" applyFill="1" applyBorder="1" applyAlignment="1">
      <alignment vertical="center"/>
    </xf>
    <xf numFmtId="0" fontId="21" fillId="4" borderId="0" xfId="0" applyFont="1" applyFill="1" applyAlignment="1">
      <alignment vertical="center"/>
    </xf>
    <xf numFmtId="0" fontId="21" fillId="4" borderId="21" xfId="0" applyFont="1" applyFill="1" applyBorder="1" applyAlignment="1">
      <alignment vertical="center"/>
    </xf>
    <xf numFmtId="0" fontId="21" fillId="4" borderId="19" xfId="0" applyFont="1" applyFill="1" applyBorder="1" applyAlignment="1">
      <alignment vertical="center"/>
    </xf>
    <xf numFmtId="0" fontId="20" fillId="0" borderId="4" xfId="0" applyFont="1" applyBorder="1" applyAlignment="1">
      <alignment vertical="center"/>
    </xf>
    <xf numFmtId="0" fontId="20" fillId="0" borderId="0" xfId="0" applyFont="1"/>
    <xf numFmtId="0" fontId="20" fillId="0" borderId="0" xfId="0" applyFont="1" applyAlignment="1">
      <alignment vertical="center"/>
    </xf>
    <xf numFmtId="0" fontId="20" fillId="2" borderId="0" xfId="0" applyFont="1" applyFill="1" applyAlignment="1">
      <alignment horizontal="left" vertical="center"/>
    </xf>
    <xf numFmtId="0" fontId="20" fillId="0" borderId="0" xfId="0" applyFont="1" applyAlignment="1">
      <alignment horizontal="left" vertical="center"/>
    </xf>
    <xf numFmtId="0" fontId="20" fillId="0" borderId="23" xfId="0" quotePrefix="1" applyFont="1" applyBorder="1" applyAlignment="1">
      <alignment horizontal="left" vertical="center" wrapText="1"/>
    </xf>
    <xf numFmtId="0" fontId="20" fillId="0" borderId="24" xfId="0" quotePrefix="1" applyFont="1" applyBorder="1" applyAlignment="1">
      <alignment horizontal="left" vertical="center"/>
    </xf>
    <xf numFmtId="0" fontId="20" fillId="0" borderId="25" xfId="0" quotePrefix="1" applyFont="1" applyBorder="1" applyAlignment="1">
      <alignment horizontal="left" vertical="center"/>
    </xf>
    <xf numFmtId="0" fontId="20" fillId="0" borderId="23" xfId="0" applyFont="1" applyBorder="1" applyAlignment="1">
      <alignment horizontal="left" vertical="center"/>
    </xf>
    <xf numFmtId="0" fontId="20" fillId="0" borderId="24" xfId="0" applyFont="1" applyBorder="1" applyAlignment="1">
      <alignment horizontal="left" vertical="center"/>
    </xf>
    <xf numFmtId="0" fontId="20" fillId="0" borderId="25" xfId="0" applyFont="1" applyBorder="1" applyAlignment="1">
      <alignment horizontal="left" vertical="center"/>
    </xf>
    <xf numFmtId="0" fontId="20" fillId="0" borderId="23" xfId="0" quotePrefix="1" applyFont="1" applyBorder="1" applyAlignment="1">
      <alignment horizontal="left" vertical="center"/>
    </xf>
    <xf numFmtId="0" fontId="20" fillId="0" borderId="16" xfId="0" applyFont="1" applyBorder="1" applyAlignment="1">
      <alignment horizontal="left" vertical="center"/>
    </xf>
    <xf numFmtId="0" fontId="20" fillId="0" borderId="17" xfId="0" applyFont="1" applyBorder="1" applyAlignment="1">
      <alignment horizontal="left" vertical="center"/>
    </xf>
    <xf numFmtId="0" fontId="20" fillId="0" borderId="18" xfId="0" applyFont="1" applyBorder="1" applyAlignment="1">
      <alignment horizontal="left" vertical="center"/>
    </xf>
    <xf numFmtId="0" fontId="20" fillId="0" borderId="16" xfId="0" quotePrefix="1" applyFont="1" applyBorder="1" applyAlignment="1">
      <alignment horizontal="center" vertical="center"/>
    </xf>
    <xf numFmtId="0" fontId="20" fillId="0" borderId="17" xfId="0" quotePrefix="1" applyFont="1" applyBorder="1" applyAlignment="1">
      <alignment horizontal="center" vertical="center"/>
    </xf>
    <xf numFmtId="0" fontId="20" fillId="0" borderId="18" xfId="0" quotePrefix="1" applyFont="1" applyBorder="1" applyAlignment="1">
      <alignment horizontal="center" vertical="center"/>
    </xf>
    <xf numFmtId="0" fontId="20" fillId="0" borderId="16" xfId="0" quotePrefix="1" applyFont="1" applyBorder="1" applyAlignment="1">
      <alignment horizontal="left" vertical="center"/>
    </xf>
    <xf numFmtId="0" fontId="20" fillId="0" borderId="17" xfId="0" quotePrefix="1" applyFont="1" applyBorder="1" applyAlignment="1">
      <alignment horizontal="left" vertical="center"/>
    </xf>
    <xf numFmtId="0" fontId="20" fillId="0" borderId="18" xfId="0" quotePrefix="1" applyFont="1" applyBorder="1" applyAlignment="1">
      <alignment horizontal="left" vertical="center"/>
    </xf>
    <xf numFmtId="0" fontId="20" fillId="0" borderId="16" xfId="0" applyFont="1" applyBorder="1" applyAlignment="1">
      <alignment horizontal="left" vertical="top"/>
    </xf>
    <xf numFmtId="0" fontId="20" fillId="0" borderId="17" xfId="0" applyFont="1" applyBorder="1" applyAlignment="1">
      <alignment horizontal="left" vertical="top"/>
    </xf>
    <xf numFmtId="0" fontId="20" fillId="0" borderId="18" xfId="0" applyFont="1" applyBorder="1" applyAlignment="1">
      <alignment horizontal="left" vertical="top"/>
    </xf>
    <xf numFmtId="0" fontId="20" fillId="0" borderId="17" xfId="0" quotePrefix="1" applyFont="1" applyBorder="1" applyAlignment="1">
      <alignment horizontal="left" vertical="top" wrapText="1"/>
    </xf>
    <xf numFmtId="0" fontId="20" fillId="0" borderId="18" xfId="0" quotePrefix="1" applyFont="1" applyBorder="1" applyAlignment="1">
      <alignment horizontal="left" vertical="top" wrapText="1"/>
    </xf>
    <xf numFmtId="0" fontId="20" fillId="0" borderId="0" xfId="0" quotePrefix="1" applyFont="1" applyAlignment="1">
      <alignment horizontal="left" vertical="center"/>
    </xf>
    <xf numFmtId="0" fontId="20" fillId="5" borderId="23" xfId="0" applyFont="1" applyFill="1" applyBorder="1" applyAlignment="1">
      <alignment horizontal="left" vertical="center"/>
    </xf>
    <xf numFmtId="0" fontId="20" fillId="5" borderId="24" xfId="0" applyFont="1" applyFill="1" applyBorder="1" applyAlignment="1">
      <alignment horizontal="left" vertical="center"/>
    </xf>
    <xf numFmtId="0" fontId="20" fillId="5" borderId="25" xfId="0" applyFont="1" applyFill="1" applyBorder="1" applyAlignment="1">
      <alignment horizontal="left" vertical="center"/>
    </xf>
    <xf numFmtId="0" fontId="24" fillId="0" borderId="23" xfId="0" applyFont="1" applyBorder="1" applyAlignment="1">
      <alignment horizontal="left" vertical="center"/>
    </xf>
    <xf numFmtId="0" fontId="24" fillId="0" borderId="24" xfId="0" applyFont="1" applyBorder="1" applyAlignment="1">
      <alignment horizontal="left" vertical="center"/>
    </xf>
    <xf numFmtId="0" fontId="24" fillId="0" borderId="25" xfId="0" applyFont="1" applyBorder="1" applyAlignment="1">
      <alignment horizontal="left" vertical="center"/>
    </xf>
    <xf numFmtId="0" fontId="20" fillId="0" borderId="1" xfId="0" applyFont="1" applyBorder="1" applyAlignment="1">
      <alignment horizontal="left" vertical="center"/>
    </xf>
    <xf numFmtId="0" fontId="20" fillId="0" borderId="23" xfId="0" applyFont="1" applyBorder="1" applyAlignment="1">
      <alignment vertical="center"/>
    </xf>
    <xf numFmtId="0" fontId="20" fillId="0" borderId="24" xfId="0" applyFont="1" applyBorder="1" applyAlignment="1">
      <alignment vertical="center"/>
    </xf>
    <xf numFmtId="0" fontId="20" fillId="0" borderId="25" xfId="0" applyFont="1" applyBorder="1" applyAlignment="1">
      <alignment vertical="center"/>
    </xf>
    <xf numFmtId="0" fontId="20" fillId="3" borderId="0" xfId="0" applyFont="1" applyFill="1" applyAlignment="1">
      <alignment vertical="center"/>
    </xf>
    <xf numFmtId="0" fontId="20" fillId="0" borderId="23" xfId="0" applyFont="1" applyBorder="1" applyAlignment="1">
      <alignment horizontal="left" vertical="center" indent="1"/>
    </xf>
    <xf numFmtId="0" fontId="20" fillId="0" borderId="24" xfId="0" applyFont="1" applyBorder="1" applyAlignment="1">
      <alignment horizontal="left" vertical="center" indent="1"/>
    </xf>
    <xf numFmtId="0" fontId="20" fillId="0" borderId="25" xfId="0" applyFont="1" applyBorder="1" applyAlignment="1">
      <alignment horizontal="left" vertical="center" indent="1"/>
    </xf>
    <xf numFmtId="0" fontId="24" fillId="0" borderId="23" xfId="0" applyFont="1" applyBorder="1" applyAlignment="1">
      <alignment horizontal="left" vertical="center" indent="1"/>
    </xf>
    <xf numFmtId="0" fontId="24" fillId="0" borderId="24" xfId="0" applyFont="1" applyBorder="1" applyAlignment="1">
      <alignment horizontal="left" vertical="center" indent="1"/>
    </xf>
    <xf numFmtId="0" fontId="24" fillId="0" borderId="25" xfId="0" applyFont="1" applyBorder="1" applyAlignment="1">
      <alignment horizontal="left" vertical="center" indent="1"/>
    </xf>
    <xf numFmtId="0" fontId="24" fillId="0" borderId="23" xfId="0" applyFont="1" applyBorder="1" applyAlignment="1">
      <alignment vertical="center"/>
    </xf>
    <xf numFmtId="0" fontId="24" fillId="0" borderId="24" xfId="0" applyFont="1" applyBorder="1" applyAlignment="1">
      <alignment vertical="center"/>
    </xf>
    <xf numFmtId="0" fontId="24" fillId="0" borderId="25" xfId="0" applyFont="1" applyBorder="1" applyAlignment="1">
      <alignment vertical="center"/>
    </xf>
    <xf numFmtId="0" fontId="24" fillId="0" borderId="23" xfId="0" applyFont="1" applyBorder="1" applyAlignment="1">
      <alignment vertical="center" wrapText="1"/>
    </xf>
    <xf numFmtId="0" fontId="24" fillId="0" borderId="23" xfId="0" applyFont="1" applyBorder="1" applyAlignment="1">
      <alignment horizontal="left" vertical="center" wrapText="1" indent="1"/>
    </xf>
    <xf numFmtId="0" fontId="24" fillId="0" borderId="24" xfId="0" applyFont="1" applyBorder="1" applyAlignment="1">
      <alignment horizontal="left" vertical="center" wrapText="1" indent="1"/>
    </xf>
    <xf numFmtId="0" fontId="24" fillId="0" borderId="25" xfId="0" applyFont="1" applyBorder="1" applyAlignment="1">
      <alignment horizontal="left" vertical="center" wrapText="1" indent="1"/>
    </xf>
    <xf numFmtId="0" fontId="20" fillId="0" borderId="16" xfId="0" applyFont="1" applyBorder="1" applyAlignment="1">
      <alignment horizontal="left" vertical="center"/>
    </xf>
    <xf numFmtId="0" fontId="20" fillId="0" borderId="1" xfId="0" applyFont="1" applyBorder="1" applyAlignment="1">
      <alignment horizontal="left" vertical="center" indent="1"/>
    </xf>
    <xf numFmtId="0" fontId="20" fillId="0" borderId="0" xfId="0" applyFont="1" applyAlignment="1">
      <alignment horizontal="left" vertical="center" indent="1"/>
    </xf>
    <xf numFmtId="0" fontId="20" fillId="0" borderId="4" xfId="0" applyFont="1" applyBorder="1" applyAlignment="1">
      <alignment horizontal="left" vertical="center"/>
    </xf>
    <xf numFmtId="0" fontId="20" fillId="0" borderId="1" xfId="0" applyFont="1" applyBorder="1" applyAlignment="1">
      <alignment horizontal="left" vertical="center" indent="2"/>
    </xf>
    <xf numFmtId="0" fontId="20" fillId="0" borderId="1" xfId="0" applyFont="1" applyBorder="1" applyAlignment="1">
      <alignment horizontal="left" vertical="center" indent="3"/>
    </xf>
    <xf numFmtId="0" fontId="20" fillId="3" borderId="0" xfId="0" applyFont="1" applyFill="1" applyAlignment="1">
      <alignment horizontal="left" vertical="center" indent="1"/>
    </xf>
    <xf numFmtId="0" fontId="24" fillId="0" borderId="1" xfId="0" applyFont="1" applyBorder="1" applyAlignment="1">
      <alignment horizontal="left" vertical="center" indent="3"/>
    </xf>
    <xf numFmtId="0" fontId="24" fillId="0" borderId="0" xfId="0" applyFont="1" applyAlignment="1">
      <alignment horizontal="left" vertical="center" indent="1"/>
    </xf>
    <xf numFmtId="0" fontId="24" fillId="0" borderId="0" xfId="0" applyFont="1" applyAlignment="1">
      <alignment horizontal="left" vertical="center"/>
    </xf>
    <xf numFmtId="0" fontId="20" fillId="0" borderId="2" xfId="0" applyFont="1" applyBorder="1" applyAlignment="1">
      <alignment horizontal="lef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処理方法・方式の説明</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panose="020B0604030504040204" pitchFamily="34" charset="-128"/>
              <a:ea typeface="Meiryo UI" panose="020B0604030504040204" pitchFamily="34" charset="-128"/>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API処理フロー開始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API処理フロー終了</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印刷帳票書類作成</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分岐ロジック</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システム規定のフォーマットに従ってログを記録する。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8</xdr:row>
      <xdr:rowOff>0</xdr:rowOff>
    </xdr:from>
    <xdr:to>
      <xdr:col>8</xdr:col>
      <xdr:colOff>0</xdr:colOff>
      <xdr:row>9</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638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3</xdr:col>
      <xdr:colOff>0</xdr:colOff>
      <xdr:row>12</xdr:row>
      <xdr:rowOff>11206</xdr:rowOff>
    </xdr:from>
    <xdr:to>
      <xdr:col>9</xdr:col>
      <xdr:colOff>0</xdr:colOff>
      <xdr:row>16</xdr:row>
      <xdr:rowOff>11206</xdr:rowOff>
    </xdr:to>
    <xdr:sp macro="" textlink="" fLocksText="0">
      <xdr:nvSpPr>
        <xdr:cNvPr id="4" name="Rectangle 3">
          <a:extLst>
            <a:ext uri="{FF2B5EF4-FFF2-40B4-BE49-F238E27FC236}">
              <a16:creationId xmlns:a16="http://schemas.microsoft.com/office/drawing/2014/main" id="{00000000-0008-0000-0400-000004000000}"/>
            </a:ext>
          </a:extLst>
        </xdr:cNvPr>
        <xdr:cNvSpPr/>
      </xdr:nvSpPr>
      <xdr:spPr>
        <a:xfrm>
          <a:off x="800100" y="2409825"/>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a:ea typeface="Meiryo UI"/>
            </a:rPr>
            <a:t>1. 対象レジ一覧を取得する。</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9</xdr:row>
      <xdr:rowOff>179294</xdr:rowOff>
    </xdr:from>
    <xdr:to>
      <xdr:col>6</xdr:col>
      <xdr:colOff>1</xdr:colOff>
      <xdr:row>12</xdr:row>
      <xdr:rowOff>11206</xdr:rowOff>
    </xdr:to>
    <xdr:cxnSp macro="">
      <xdr:nvCxnSpPr>
        <xdr:cNvPr id="5" name="Straight Arrow Connector 4">
          <a:extLst>
            <a:ext uri="{FF2B5EF4-FFF2-40B4-BE49-F238E27FC236}">
              <a16:creationId xmlns:a16="http://schemas.microsoft.com/office/drawing/2014/main" id="{00000000-0008-0000-0400-000005000000}"/>
            </a:ext>
          </a:extLst>
        </xdr:cNvPr>
        <xdr:cNvCxnSpPr>
          <a:stCxn id="3" idx="4"/>
          <a:endCxn id="4" idx="0"/>
        </xdr:cNvCxnSpPr>
      </xdr:nvCxnSpPr>
      <xdr:spPr>
        <a:xfrm>
          <a:off x="1600200" y="2009775"/>
          <a:ext cx="0" cy="4000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6</xdr:row>
      <xdr:rowOff>11207</xdr:rowOff>
    </xdr:from>
    <xdr:to>
      <xdr:col>62</xdr:col>
      <xdr:colOff>0</xdr:colOff>
      <xdr:row>44</xdr:row>
      <xdr:rowOff>0</xdr:rowOff>
    </xdr:to>
    <xdr:sp macro="" textlink="" fLocksText="0">
      <xdr:nvSpPr>
        <xdr:cNvPr id="8" name="吹き出し: 線 2">
          <a:extLst>
            <a:ext uri="{FF2B5EF4-FFF2-40B4-BE49-F238E27FC236}">
              <a16:creationId xmlns:a16="http://schemas.microsoft.com/office/drawing/2014/main" id="{00000000-0008-0000-0400-000008000000}"/>
            </a:ext>
          </a:extLst>
        </xdr:cNvPr>
        <xdr:cNvSpPr/>
      </xdr:nvSpPr>
      <xdr:spPr>
        <a:xfrm>
          <a:off x="9334500" y="1266825"/>
          <a:ext cx="7200900" cy="7229475"/>
        </a:xfrm>
        <a:prstGeom prst="borderCallout1">
          <a:avLst>
            <a:gd name="adj1" fmla="val 51887"/>
            <a:gd name="adj2" fmla="val 470"/>
            <a:gd name="adj3" fmla="val 22449"/>
            <a:gd name="adj4" fmla="val -9848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1. 以下の条件を満たすCashRegisterMasterテーブルのレコード一覧を取得する。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SELECT  FROM cash_register_master c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LEFT JOIN store_master s ON c.company_code = s.company_code AND c.store_code = s.code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LEFT JOIN code_master c1 ON c.company_code = c1.company_code AND c.type_node = c1.code_value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LEFT JOIN code_master c2 ON c.company_code = c2.company_code AND c.function_layout_code = c2.code_value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LEFT JOIN code_master c3 ON c.company_code = c3.company_code AND c.keyboard_layout_code = c3.code_value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LEFT JOIN code_master c4 ON c.company_code = c4.company_code AND c.receipt_message_code = c4.code_value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LEFT JOIN cash_register_type c5 ON c.company_code = c5.company_code AND c.type_code = c5.</a:t>
          </a:r>
          <a:r>
            <a:rPr lang="en-US" altLang="ja-JP" sz="1000" b="0" i="0" u="none" baseline="0">
              <a:solidFill>
                <a:srgbClr val="0000FF"/>
              </a:solidFill>
              <a:latin typeface="Meiryo UI"/>
              <a:ea typeface="Meiryo UI"/>
            </a:rPr>
            <a:t>code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LEFT JOIN (</a:t>
          </a:r>
          <a:r>
            <a:rPr lang="en-US" altLang="ja-JP" sz="1000" b="0" i="0" u="none" baseline="0">
              <a:solidFill>
                <a:srgbClr val="0000FF"/>
              </a:solidFill>
              <a:latin typeface="Meiryo UI"/>
              <a:ea typeface="Meiryo UI"/>
            </a:rPr>
            <a:t>SELECT company_code as company_code_as, store_code AS store_code_as, button_layout_code AS button_layout_code_as, button_layout_name AS button_layout_name_as FROM pos_server_master.preset_menu_master where company_code = "100" and store_code = "0001" and apply_date &lt;= now()  and apply_date = ( SELECT max(apply_date) FROM pos_server_master.preset_menu_master AS sub WHERE sub.button_layout_code = p.button_layout_code AND sub.apply_date &lt; NOW()) group by company_code, store_code, button_layout_code, button_layout_name</a:t>
          </a:r>
          <a:r>
            <a:rPr lang="en-US" altLang="ja-JP" sz="1000" b="0" i="0" u="none" baseline="0">
              <a:solidFill>
                <a:srgbClr val="000000"/>
              </a:solidFill>
              <a:latin typeface="Meiryo UI"/>
              <a:ea typeface="Meiryo UI"/>
            </a:rPr>
            <a:t>) pm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ON c.company_code = pm.company_code_as AND c.store_code = pm.store_code_as AND c.button_layout_code = pm.button_layout_code_as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WHERE c.company_code = {user.companyCode} AND c.store_code IN {param.selected_stores} AND CAST(c.code AS VARCHAR</a:t>
          </a:r>
          <a:r>
            <a:rPr lang="en-US" altLang="ja-JP" sz="1000" b="0" i="0" u="none" baseline="0">
              <a:solidFill>
                <a:srgbClr val="0000FF"/>
              </a:solidFill>
              <a:latin typeface="Meiryo UI"/>
              <a:ea typeface="Meiryo UI"/>
            </a:rPr>
            <a:t>) = param.cash_machine_no AND c5.code </a:t>
          </a:r>
          <a:r>
            <a:rPr lang="en-US" altLang="ja-JP" sz="1000" b="0" i="0" u="none" baseline="0">
              <a:solidFill>
                <a:srgbClr val="000000"/>
              </a:solidFill>
              <a:latin typeface="Meiryo UI"/>
              <a:ea typeface="Meiryo UI"/>
            </a:rPr>
            <a:t>= {param</a:t>
          </a:r>
          <a:r>
            <a:rPr lang="en-US" altLang="ja-JP" sz="1000" b="0" i="0" u="none" baseline="0">
              <a:solidFill>
                <a:srgbClr val="00B050"/>
              </a:solidFill>
              <a:latin typeface="Meiryo UI"/>
              <a:ea typeface="Meiryo UI"/>
            </a:rPr>
            <a:t>.</a:t>
          </a:r>
          <a:r>
            <a:rPr lang="en-US" altLang="ja-JP" sz="1000" b="0" i="0" u="none" baseline="0">
              <a:solidFill>
                <a:srgbClr val="0000FF"/>
              </a:solidFill>
              <a:latin typeface="Meiryo UI"/>
              <a:ea typeface="Meiryo UI"/>
            </a:rPr>
            <a:t>cash_machine_type</a:t>
          </a:r>
          <a:r>
            <a:rPr lang="en-US" altLang="ja-JP" sz="1000" b="0" i="0" u="none" baseline="0">
              <a:solidFill>
                <a:srgbClr val="000000"/>
              </a:solidFill>
              <a:latin typeface="Meiryo UI"/>
              <a:ea typeface="Meiryo UI"/>
            </a:rPr>
            <a:t>}</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AND c.type_node = {param.typeNode}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AND c.button_layout_code = {param.buttonLayoutId}</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AND c.function_layout_code = {param.functionLayoutId}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AND c.keyboard_layout_code = {param.keyboardLayoutId}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AND c1.master_code = 'MC7101'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AND c2.master_code = 'MC7102'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AND c3.master_code = 'MC7103'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AND c4.master_code = 'MC8301' ORDER BY c.store_code ASC, c.code ASC</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LIMIT 1000</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p>
      </xdr:txBody>
    </xdr:sp>
    <xdr:clientData/>
  </xdr:twoCellAnchor>
  <xdr:twoCellAnchor>
    <xdr:from>
      <xdr:col>4</xdr:col>
      <xdr:colOff>0</xdr:colOff>
      <xdr:row>31</xdr:row>
      <xdr:rowOff>0</xdr:rowOff>
    </xdr:from>
    <xdr:to>
      <xdr:col>8</xdr:col>
      <xdr:colOff>0</xdr:colOff>
      <xdr:row>32</xdr:row>
      <xdr:rowOff>190499</xdr:rowOff>
    </xdr:to>
    <xdr:sp macro="" textlink="" fLocksText="0">
      <xdr:nvSpPr>
        <xdr:cNvPr id="9" name="Oval 8">
          <a:extLst>
            <a:ext uri="{FF2B5EF4-FFF2-40B4-BE49-F238E27FC236}">
              <a16:creationId xmlns:a16="http://schemas.microsoft.com/office/drawing/2014/main" id="{00000000-0008-0000-0400-000009000000}"/>
            </a:ext>
          </a:extLst>
        </xdr:cNvPr>
        <xdr:cNvSpPr/>
      </xdr:nvSpPr>
      <xdr:spPr>
        <a:xfrm>
          <a:off x="1066800" y="6019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3</xdr:col>
      <xdr:colOff>0</xdr:colOff>
      <xdr:row>20</xdr:row>
      <xdr:rowOff>0</xdr:rowOff>
    </xdr:from>
    <xdr:to>
      <xdr:col>9</xdr:col>
      <xdr:colOff>0</xdr:colOff>
      <xdr:row>24</xdr:row>
      <xdr:rowOff>179294</xdr:rowOff>
    </xdr:to>
    <xdr:sp macro="" textlink="" fLocksText="0">
      <xdr:nvSpPr>
        <xdr:cNvPr id="10" name="Flowchart: Decision 9">
          <a:extLst>
            <a:ext uri="{FF2B5EF4-FFF2-40B4-BE49-F238E27FC236}">
              <a16:creationId xmlns:a16="http://schemas.microsoft.com/office/drawing/2014/main" id="{00000000-0008-0000-0400-00000A000000}"/>
            </a:ext>
          </a:extLst>
        </xdr:cNvPr>
        <xdr:cNvSpPr/>
      </xdr:nvSpPr>
      <xdr:spPr>
        <a:xfrm>
          <a:off x="800100" y="39243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24</xdr:row>
      <xdr:rowOff>179294</xdr:rowOff>
    </xdr:from>
    <xdr:to>
      <xdr:col>7</xdr:col>
      <xdr:colOff>0</xdr:colOff>
      <xdr:row>25</xdr:row>
      <xdr:rowOff>179294</xdr:rowOff>
    </xdr:to>
    <xdr:sp macro="" textlink="" fLocksText="0">
      <xdr:nvSpPr>
        <xdr:cNvPr id="11" name="Flowchart: Process 10">
          <a:extLst>
            <a:ext uri="{FF2B5EF4-FFF2-40B4-BE49-F238E27FC236}">
              <a16:creationId xmlns:a16="http://schemas.microsoft.com/office/drawing/2014/main" id="{00000000-0008-0000-0400-00000B000000}"/>
            </a:ext>
          </a:extLst>
        </xdr:cNvPr>
        <xdr:cNvSpPr/>
      </xdr:nvSpPr>
      <xdr:spPr>
        <a:xfrm>
          <a:off x="1333500" y="4867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はい</a:t>
          </a:r>
        </a:p>
      </xdr:txBody>
    </xdr:sp>
    <xdr:clientData/>
  </xdr:twoCellAnchor>
  <xdr:twoCellAnchor>
    <xdr:from>
      <xdr:col>9</xdr:col>
      <xdr:colOff>0</xdr:colOff>
      <xdr:row>21</xdr:row>
      <xdr:rowOff>179294</xdr:rowOff>
    </xdr:from>
    <xdr:to>
      <xdr:col>11</xdr:col>
      <xdr:colOff>0</xdr:colOff>
      <xdr:row>22</xdr:row>
      <xdr:rowOff>179294</xdr:rowOff>
    </xdr:to>
    <xdr:sp macro="" textlink="" fLocksText="0">
      <xdr:nvSpPr>
        <xdr:cNvPr id="12" name="Flowchart: Process 11">
          <a:extLst>
            <a:ext uri="{FF2B5EF4-FFF2-40B4-BE49-F238E27FC236}">
              <a16:creationId xmlns:a16="http://schemas.microsoft.com/office/drawing/2014/main" id="{00000000-0008-0000-0400-00000C000000}"/>
            </a:ext>
          </a:extLst>
        </xdr:cNvPr>
        <xdr:cNvSpPr/>
      </xdr:nvSpPr>
      <xdr:spPr>
        <a:xfrm>
          <a:off x="2400300" y="4295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800" b="0" i="0" u="none" baseline="0">
              <a:solidFill>
                <a:srgbClr val="FFFFFF"/>
              </a:solidFill>
              <a:latin typeface="Meiryo UI"/>
              <a:ea typeface="Meiryo UI"/>
            </a:rPr>
            <a:t>いいえ</a:t>
          </a:r>
        </a:p>
      </xdr:txBody>
    </xdr:sp>
    <xdr:clientData/>
  </xdr:twoCellAnchor>
  <xdr:twoCellAnchor>
    <xdr:from>
      <xdr:col>6</xdr:col>
      <xdr:colOff>0</xdr:colOff>
      <xdr:row>22</xdr:row>
      <xdr:rowOff>84044</xdr:rowOff>
    </xdr:from>
    <xdr:to>
      <xdr:col>11</xdr:col>
      <xdr:colOff>0</xdr:colOff>
      <xdr:row>31</xdr:row>
      <xdr:rowOff>0</xdr:rowOff>
    </xdr:to>
    <xdr:cxnSp macro="">
      <xdr:nvCxnSpPr>
        <xdr:cNvPr id="13" name="Connector: Elbow 12">
          <a:extLst>
            <a:ext uri="{FF2B5EF4-FFF2-40B4-BE49-F238E27FC236}">
              <a16:creationId xmlns:a16="http://schemas.microsoft.com/office/drawing/2014/main" id="{00000000-0008-0000-0400-00000D000000}"/>
            </a:ext>
          </a:extLst>
        </xdr:cNvPr>
        <xdr:cNvCxnSpPr>
          <a:stCxn id="12" idx="3"/>
          <a:endCxn id="9" idx="0"/>
        </xdr:cNvCxnSpPr>
      </xdr:nvCxnSpPr>
      <xdr:spPr>
        <a:xfrm flipH="1">
          <a:off x="1600200" y="4391025"/>
          <a:ext cx="1333500" cy="1628775"/>
        </a:xfrm>
        <a:prstGeom prst="bentConnector4">
          <a:avLst>
            <a:gd name="adj1" fmla="val -19429"/>
            <a:gd name="adj2" fmla="val 5292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16</xdr:row>
      <xdr:rowOff>0</xdr:rowOff>
    </xdr:from>
    <xdr:to>
      <xdr:col>6</xdr:col>
      <xdr:colOff>1</xdr:colOff>
      <xdr:row>20</xdr:row>
      <xdr:rowOff>0</xdr:rowOff>
    </xdr:to>
    <xdr:cxnSp macro="">
      <xdr:nvCxnSpPr>
        <xdr:cNvPr id="14" name="Straight Arrow Connector 13">
          <a:extLst>
            <a:ext uri="{FF2B5EF4-FFF2-40B4-BE49-F238E27FC236}">
              <a16:creationId xmlns:a16="http://schemas.microsoft.com/office/drawing/2014/main" id="{00000000-0008-0000-0400-00000E000000}"/>
            </a:ext>
          </a:extLst>
        </xdr:cNvPr>
        <xdr:cNvCxnSpPr>
          <a:endCxn id="10" idx="0"/>
        </xdr:cNvCxnSpPr>
      </xdr:nvCxnSpPr>
      <xdr:spPr>
        <a:xfrm>
          <a:off x="1600200" y="3162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25</xdr:row>
      <xdr:rowOff>179294</xdr:rowOff>
    </xdr:from>
    <xdr:to>
      <xdr:col>6</xdr:col>
      <xdr:colOff>1</xdr:colOff>
      <xdr:row>31</xdr:row>
      <xdr:rowOff>0</xdr:rowOff>
    </xdr:to>
    <xdr:cxnSp macro="">
      <xdr:nvCxnSpPr>
        <xdr:cNvPr id="15" name="Straight Arrow Connector 14">
          <a:extLst>
            <a:ext uri="{FF2B5EF4-FFF2-40B4-BE49-F238E27FC236}">
              <a16:creationId xmlns:a16="http://schemas.microsoft.com/office/drawing/2014/main" id="{00000000-0008-0000-0400-00000F000000}"/>
            </a:ext>
          </a:extLst>
        </xdr:cNvPr>
        <xdr:cNvCxnSpPr>
          <a:stCxn id="11" idx="2"/>
          <a:endCxn id="9" idx="0"/>
        </xdr:cNvCxnSpPr>
      </xdr:nvCxnSpPr>
      <xdr:spPr>
        <a:xfrm flipH="1">
          <a:off x="1600200" y="50577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34</xdr:col>
      <xdr:colOff>235322</xdr:colOff>
      <xdr:row>45</xdr:row>
      <xdr:rowOff>11207</xdr:rowOff>
    </xdr:from>
    <xdr:to>
      <xdr:col>61</xdr:col>
      <xdr:colOff>235322</xdr:colOff>
      <xdr:row>53</xdr:row>
      <xdr:rowOff>0</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9305925" y="8696325"/>
          <a:ext cx="7200900" cy="1514475"/>
        </a:xfrm>
        <a:prstGeom prst="borderCallout1">
          <a:avLst>
            <a:gd name="adj1" fmla="val 51887"/>
            <a:gd name="adj2" fmla="val 470"/>
            <a:gd name="adj3" fmla="val -263858"/>
            <a:gd name="adj4" fmla="val -10517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2. ステップ1から返されたデータを確認する。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レコードが存在している場合、以下のレスポンスが正常に返される。: response code = 200、本文が「</a:t>
          </a:r>
          <a:r>
            <a:rPr lang="en-US" altLang="ja-JP" sz="1000" b="1" i="0" u="none" baseline="0">
              <a:solidFill>
                <a:srgbClr val="000000"/>
              </a:solidFill>
              <a:latin typeface="Meiryo UI"/>
              <a:ea typeface="Meiryo UI"/>
            </a:rPr>
            <a:t>正常の場合のレスポンスフォーマット」</a:t>
          </a:r>
          <a:r>
            <a:rPr lang="en-US" altLang="ja-JP" sz="1000" b="0" i="0" u="none" baseline="0">
              <a:solidFill>
                <a:srgbClr val="000000"/>
              </a:solidFill>
              <a:latin typeface="Meiryo UI"/>
              <a:ea typeface="Meiryo UI"/>
            </a:rPr>
            <a:t>で記載される。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レコードが存在していない場合、以下のレスポンスが返される。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・status_code = 200</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 message = Success</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・items = 空のリスト</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89" t="s">
        <v>0</v>
      </c>
      <c r="B1" s="90"/>
      <c r="C1" s="90"/>
      <c r="D1" s="90"/>
      <c r="E1" s="90"/>
      <c r="F1" s="90"/>
      <c r="G1" s="90"/>
      <c r="H1" s="90"/>
      <c r="I1" s="90"/>
      <c r="J1" s="91"/>
      <c r="K1" s="89" t="s">
        <v>2</v>
      </c>
      <c r="L1" s="90"/>
      <c r="M1" s="90"/>
      <c r="N1" s="90"/>
      <c r="O1" s="90"/>
      <c r="P1" s="90"/>
      <c r="Q1" s="90"/>
      <c r="R1" s="90"/>
      <c r="S1" s="90"/>
      <c r="T1" s="90"/>
      <c r="U1" s="90"/>
      <c r="V1" s="91"/>
      <c r="W1" s="111" t="s">
        <v>17</v>
      </c>
      <c r="X1" s="112"/>
      <c r="Y1" s="112"/>
      <c r="Z1" s="112"/>
      <c r="AA1" s="112"/>
      <c r="AB1" s="112"/>
      <c r="AC1" s="112"/>
      <c r="AD1" s="112"/>
      <c r="AE1" s="112"/>
      <c r="AF1" s="112"/>
      <c r="AG1" s="112"/>
      <c r="AH1" s="112"/>
      <c r="AI1" s="112"/>
      <c r="AJ1" s="112"/>
      <c r="AK1" s="112"/>
      <c r="AL1" s="112"/>
      <c r="AM1" s="112"/>
      <c r="AN1" s="112"/>
      <c r="AO1" s="113"/>
      <c r="AP1" s="89" t="s">
        <v>3</v>
      </c>
      <c r="AQ1" s="90"/>
      <c r="AR1" s="90"/>
      <c r="AS1" s="91"/>
      <c r="AT1" s="89" t="s">
        <v>4</v>
      </c>
      <c r="AU1" s="90"/>
      <c r="AV1" s="90"/>
      <c r="AW1" s="90"/>
      <c r="AX1" s="91"/>
      <c r="AY1" s="89" t="s">
        <v>5</v>
      </c>
      <c r="AZ1" s="90"/>
      <c r="BA1" s="90"/>
      <c r="BB1" s="91"/>
      <c r="BC1" s="89" t="s">
        <v>6</v>
      </c>
      <c r="BD1" s="90"/>
      <c r="BE1" s="90"/>
      <c r="BF1" s="90"/>
      <c r="BG1" s="91"/>
      <c r="BH1" s="89" t="s">
        <v>7</v>
      </c>
      <c r="BI1" s="90"/>
      <c r="BJ1" s="90"/>
      <c r="BK1" s="91"/>
    </row>
    <row r="2" spans="1:63" ht="15" customHeight="1" x14ac:dyDescent="0.25">
      <c r="A2" s="110" t="s">
        <v>15</v>
      </c>
      <c r="B2" s="13"/>
      <c r="C2" s="13"/>
      <c r="D2" s="13"/>
      <c r="E2" s="13"/>
      <c r="F2" s="13"/>
      <c r="G2" s="13"/>
      <c r="H2" s="13"/>
      <c r="I2" s="13"/>
      <c r="J2" s="12"/>
      <c r="K2" s="14" t="s">
        <v>13</v>
      </c>
      <c r="L2" s="13"/>
      <c r="M2" s="13"/>
      <c r="N2" s="13"/>
      <c r="O2" s="13"/>
      <c r="P2" s="13"/>
      <c r="Q2" s="13"/>
      <c r="R2" s="13"/>
      <c r="S2" s="13"/>
      <c r="T2" s="13"/>
      <c r="U2" s="13"/>
      <c r="V2" s="12"/>
      <c r="W2" s="114"/>
      <c r="X2" s="115"/>
      <c r="Y2" s="115"/>
      <c r="Z2" s="115"/>
      <c r="AA2" s="115"/>
      <c r="AB2" s="115"/>
      <c r="AC2" s="115"/>
      <c r="AD2" s="115"/>
      <c r="AE2" s="115"/>
      <c r="AF2" s="115"/>
      <c r="AG2" s="115"/>
      <c r="AH2" s="115"/>
      <c r="AI2" s="115"/>
      <c r="AJ2" s="115"/>
      <c r="AK2" s="115"/>
      <c r="AL2" s="115"/>
      <c r="AM2" s="115"/>
      <c r="AN2" s="115"/>
      <c r="AO2" s="116"/>
      <c r="AP2" s="14" t="str">
        <f>改訂履歴!$H$11</f>
        <v>DuNT</v>
      </c>
      <c r="AQ2" s="13"/>
      <c r="AR2" s="13"/>
      <c r="AS2" s="12"/>
      <c r="AT2" s="104">
        <f>改訂履歴!$B$11</f>
        <v>45490</v>
      </c>
      <c r="AU2" s="105"/>
      <c r="AV2" s="105"/>
      <c r="AW2" s="105"/>
      <c r="AX2" s="106"/>
      <c r="AY2" s="14" t="str">
        <f>LOOKUP(2,1/(改訂履歴!H11:H30002&lt;&gt;""),改訂履歴!H11:H30002)</f>
        <v>DuNT</v>
      </c>
      <c r="AZ2" s="13"/>
      <c r="BA2" s="13"/>
      <c r="BB2" s="12"/>
      <c r="BC2" s="104">
        <f>LOOKUP(2,1/(改訂履歴!B11:B30002&lt;&gt;""),改訂履歴!B11:B30002)</f>
        <v>45567</v>
      </c>
      <c r="BD2" s="105"/>
      <c r="BE2" s="105"/>
      <c r="BF2" s="105"/>
      <c r="BG2" s="106"/>
      <c r="BH2" s="98">
        <f>LOOKUP(2,1/(改訂履歴!O11:O30002&lt;&gt;""),改訂履歴!O11:O30002)</f>
        <v>0.71</v>
      </c>
      <c r="BI2" s="99"/>
      <c r="BJ2" s="99"/>
      <c r="BK2" s="100"/>
    </row>
    <row r="3" spans="1:63" ht="15" customHeight="1" x14ac:dyDescent="0.25">
      <c r="A3" s="8"/>
      <c r="B3" s="7"/>
      <c r="C3" s="7"/>
      <c r="D3" s="7"/>
      <c r="E3" s="7"/>
      <c r="F3" s="7"/>
      <c r="G3" s="7"/>
      <c r="H3" s="7"/>
      <c r="I3" s="7"/>
      <c r="J3" s="6"/>
      <c r="K3" s="8"/>
      <c r="L3" s="7"/>
      <c r="M3" s="7"/>
      <c r="N3" s="7"/>
      <c r="O3" s="7"/>
      <c r="P3" s="7"/>
      <c r="Q3" s="7"/>
      <c r="R3" s="7"/>
      <c r="S3" s="7"/>
      <c r="T3" s="7"/>
      <c r="U3" s="7"/>
      <c r="V3" s="6"/>
      <c r="W3" s="117"/>
      <c r="X3" s="118"/>
      <c r="Y3" s="118"/>
      <c r="Z3" s="118"/>
      <c r="AA3" s="118"/>
      <c r="AB3" s="118"/>
      <c r="AC3" s="118"/>
      <c r="AD3" s="118"/>
      <c r="AE3" s="118"/>
      <c r="AF3" s="118"/>
      <c r="AG3" s="118"/>
      <c r="AH3" s="118"/>
      <c r="AI3" s="118"/>
      <c r="AJ3" s="118"/>
      <c r="AK3" s="118"/>
      <c r="AL3" s="118"/>
      <c r="AM3" s="118"/>
      <c r="AN3" s="118"/>
      <c r="AO3" s="119"/>
      <c r="AP3" s="8"/>
      <c r="AQ3" s="7"/>
      <c r="AR3" s="7"/>
      <c r="AS3" s="6"/>
      <c r="AT3" s="107"/>
      <c r="AU3" s="108"/>
      <c r="AV3" s="108"/>
      <c r="AW3" s="108"/>
      <c r="AX3" s="109"/>
      <c r="AY3" s="8"/>
      <c r="AZ3" s="7"/>
      <c r="BA3" s="7"/>
      <c r="BB3" s="6"/>
      <c r="BC3" s="107"/>
      <c r="BD3" s="108"/>
      <c r="BE3" s="108"/>
      <c r="BF3" s="108"/>
      <c r="BG3" s="109"/>
      <c r="BH3" s="101"/>
      <c r="BI3" s="102"/>
      <c r="BJ3" s="102"/>
      <c r="BK3" s="103"/>
    </row>
    <row r="4" spans="1:63" ht="24.95" customHeight="1" x14ac:dyDescent="0.25">
      <c r="A4" s="89" t="s">
        <v>1</v>
      </c>
      <c r="B4" s="90"/>
      <c r="C4" s="90"/>
      <c r="D4" s="90"/>
      <c r="E4" s="90"/>
      <c r="F4" s="90"/>
      <c r="G4" s="91"/>
      <c r="H4" s="94" t="s">
        <v>95</v>
      </c>
      <c r="I4" s="95"/>
      <c r="J4" s="95"/>
      <c r="K4" s="95"/>
      <c r="L4" s="95"/>
      <c r="M4" s="95"/>
      <c r="N4" s="95"/>
      <c r="O4" s="95"/>
      <c r="P4" s="95"/>
      <c r="Q4" s="95"/>
      <c r="R4" s="95"/>
      <c r="S4" s="95"/>
      <c r="T4" s="96"/>
      <c r="U4" s="89" t="s">
        <v>8</v>
      </c>
      <c r="V4" s="90"/>
      <c r="W4" s="90"/>
      <c r="X4" s="90"/>
      <c r="Y4" s="91"/>
      <c r="Z4" s="97" t="s">
        <v>16</v>
      </c>
      <c r="AA4" s="95"/>
      <c r="AB4" s="95"/>
      <c r="AC4" s="95"/>
      <c r="AD4" s="95"/>
      <c r="AE4" s="95"/>
      <c r="AF4" s="95"/>
      <c r="AG4" s="95"/>
      <c r="AH4" s="95"/>
      <c r="AI4" s="95"/>
      <c r="AJ4" s="95"/>
      <c r="AK4" s="95"/>
      <c r="AL4" s="95"/>
      <c r="AM4" s="95"/>
      <c r="AN4" s="95"/>
      <c r="AO4" s="96"/>
      <c r="AP4" s="94" t="str">
        <f t="array" aca="1" ref="AP4" ca="1">RIGHT(CELL("filename",$A$1),LEN(CELL("filename",$A$1))-FIND("]",CELL("filename",$A$1)))</f>
        <v>表紙</v>
      </c>
      <c r="AQ4" s="95"/>
      <c r="AR4" s="95"/>
      <c r="AS4" s="95"/>
      <c r="AT4" s="95"/>
      <c r="AU4" s="95"/>
      <c r="AV4" s="95"/>
      <c r="AW4" s="95"/>
      <c r="AX4" s="95"/>
      <c r="AY4" s="95"/>
      <c r="AZ4" s="95"/>
      <c r="BA4" s="95"/>
      <c r="BB4" s="95"/>
      <c r="BC4" s="95"/>
      <c r="BD4" s="95"/>
      <c r="BE4" s="95"/>
      <c r="BF4" s="95"/>
      <c r="BG4" s="95"/>
      <c r="BH4" s="95"/>
      <c r="BI4" s="95"/>
      <c r="BJ4" s="95"/>
      <c r="BK4" s="96"/>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3" ht="15" customHeight="1" x14ac:dyDescent="0.25">
      <c r="A6" s="15"/>
      <c r="BK6" s="18"/>
    </row>
    <row r="7" spans="1:63" ht="15" customHeight="1" x14ac:dyDescent="0.25">
      <c r="A7" s="15"/>
      <c r="BK7" s="18"/>
    </row>
    <row r="8" spans="1:63" ht="15" customHeight="1" x14ac:dyDescent="0.25">
      <c r="A8" s="15"/>
      <c r="BK8" s="18"/>
    </row>
    <row r="9" spans="1:63" ht="15" customHeight="1" x14ac:dyDescent="0.25">
      <c r="A9" s="15"/>
      <c r="BK9" s="18"/>
    </row>
    <row r="10" spans="1:63" ht="15" customHeight="1" x14ac:dyDescent="0.25">
      <c r="A10" s="15"/>
      <c r="BK10" s="18"/>
    </row>
    <row r="11" spans="1:63" ht="15" customHeight="1" x14ac:dyDescent="0.25">
      <c r="A11" s="15"/>
      <c r="BK11" s="18"/>
    </row>
    <row r="12" spans="1:63" ht="15" customHeight="1" x14ac:dyDescent="0.25">
      <c r="A12" s="15"/>
      <c r="BK12" s="18"/>
    </row>
    <row r="13" spans="1:63" ht="15" customHeight="1" x14ac:dyDescent="0.25">
      <c r="A13" s="15"/>
      <c r="BK13" s="18"/>
    </row>
    <row r="14" spans="1:63" ht="15" customHeight="1" thickBot="1" x14ac:dyDescent="0.3">
      <c r="A14" s="15"/>
      <c r="BK14" s="18"/>
    </row>
    <row r="15" spans="1:63" ht="15" customHeight="1" thickTop="1" x14ac:dyDescent="0.25">
      <c r="A15" s="15"/>
      <c r="K15" s="21"/>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5"/>
      <c r="BK15" s="18"/>
    </row>
    <row r="16" spans="1:63" ht="15" customHeight="1" x14ac:dyDescent="0.25">
      <c r="A16" s="15"/>
      <c r="K16" s="20"/>
      <c r="L16" s="92" t="s">
        <v>44</v>
      </c>
      <c r="M16" s="93"/>
      <c r="N16" s="93"/>
      <c r="O16" s="93"/>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26"/>
      <c r="BK16" s="18"/>
    </row>
    <row r="17" spans="1:63" ht="15" customHeight="1" x14ac:dyDescent="0.25">
      <c r="A17" s="15"/>
      <c r="K17" s="20"/>
      <c r="L17" s="93"/>
      <c r="M17" s="93"/>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26"/>
      <c r="BK17" s="18"/>
    </row>
    <row r="18" spans="1:63" ht="15" customHeight="1" x14ac:dyDescent="0.25">
      <c r="A18" s="15"/>
      <c r="K18" s="20"/>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26"/>
      <c r="BK18" s="18"/>
    </row>
    <row r="19" spans="1:63" ht="15" customHeight="1" x14ac:dyDescent="0.25">
      <c r="A19" s="15"/>
      <c r="K19" s="20"/>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26"/>
      <c r="BK19" s="18"/>
    </row>
    <row r="20" spans="1:63" ht="15" customHeight="1" x14ac:dyDescent="0.25">
      <c r="A20" s="15"/>
      <c r="K20" s="20"/>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26"/>
      <c r="BK20" s="18"/>
    </row>
    <row r="21" spans="1:63" ht="15" customHeight="1" x14ac:dyDescent="0.25">
      <c r="A21" s="15"/>
      <c r="K21" s="20"/>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26"/>
      <c r="BK21" s="18"/>
    </row>
    <row r="22" spans="1:63" ht="15" customHeight="1" thickBot="1" x14ac:dyDescent="0.3">
      <c r="A22" s="15"/>
      <c r="K22" s="20"/>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6"/>
      <c r="BK22" s="18"/>
    </row>
    <row r="23" spans="1:63" ht="15" customHeight="1" x14ac:dyDescent="0.25">
      <c r="A23" s="15"/>
      <c r="K23" s="20"/>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6"/>
      <c r="BK23" s="18"/>
    </row>
    <row r="24" spans="1:63" ht="15" customHeight="1" x14ac:dyDescent="0.25">
      <c r="A24" s="15"/>
      <c r="K24" s="20"/>
      <c r="L24" s="93" t="str">
        <f>K2&amp;"/"&amp;H4&amp;"/"&amp;Z4</f>
        <v>POSサーバー/AP7102/API設計書</v>
      </c>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26"/>
      <c r="BK24" s="18"/>
    </row>
    <row r="25" spans="1:63" ht="15" customHeight="1" x14ac:dyDescent="0.25">
      <c r="A25" s="15"/>
      <c r="K25" s="20"/>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26"/>
      <c r="BK25" s="18"/>
    </row>
    <row r="26" spans="1:63" ht="15" customHeight="1" x14ac:dyDescent="0.25">
      <c r="A26" s="15"/>
      <c r="K26" s="20"/>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26"/>
      <c r="BK26" s="18"/>
    </row>
    <row r="27" spans="1:63" ht="15" customHeight="1" x14ac:dyDescent="0.25">
      <c r="A27" s="15"/>
      <c r="K27" s="20"/>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26"/>
      <c r="BK27" s="18"/>
    </row>
    <row r="28" spans="1:63" ht="15" customHeight="1" x14ac:dyDescent="0.25">
      <c r="A28" s="15"/>
      <c r="K28" s="20"/>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26"/>
      <c r="BK28" s="18"/>
    </row>
    <row r="29" spans="1:63" ht="15" customHeight="1" x14ac:dyDescent="0.25">
      <c r="A29" s="15"/>
      <c r="K29" s="20"/>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26"/>
      <c r="BK29" s="18"/>
    </row>
    <row r="30" spans="1:63" ht="15" customHeight="1" x14ac:dyDescent="0.25">
      <c r="A30" s="15"/>
      <c r="K30" s="20"/>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26"/>
      <c r="BK30" s="18"/>
    </row>
    <row r="31" spans="1:63" ht="15" customHeight="1" x14ac:dyDescent="0.25">
      <c r="A31" s="15"/>
      <c r="K31" s="20"/>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26"/>
      <c r="BK31" s="18"/>
    </row>
    <row r="32" spans="1:63" ht="15" customHeight="1" x14ac:dyDescent="0.25">
      <c r="A32" s="15"/>
      <c r="K32" s="20"/>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26"/>
      <c r="BK32" s="18"/>
    </row>
    <row r="33" spans="1:63" ht="15" customHeight="1" x14ac:dyDescent="0.25">
      <c r="A33" s="15"/>
      <c r="K33" s="20"/>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26"/>
      <c r="BK33" s="18"/>
    </row>
    <row r="34" spans="1:63" ht="15" customHeight="1" x14ac:dyDescent="0.25">
      <c r="A34" s="15"/>
      <c r="K34" s="20"/>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26"/>
      <c r="BK34" s="18"/>
    </row>
    <row r="35" spans="1:63" ht="15" customHeight="1" x14ac:dyDescent="0.25">
      <c r="A35" s="15"/>
      <c r="K35" s="20"/>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26"/>
      <c r="BK35" s="18"/>
    </row>
    <row r="36" spans="1:63" ht="15" customHeight="1" x14ac:dyDescent="0.25">
      <c r="A36" s="15"/>
      <c r="K36" s="20"/>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26"/>
      <c r="BK36" s="18"/>
    </row>
    <row r="37" spans="1:63" ht="15" customHeight="1" thickBot="1" x14ac:dyDescent="0.3">
      <c r="A37" s="15"/>
      <c r="K37" s="23"/>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7"/>
      <c r="BK37" s="18"/>
    </row>
    <row r="38" spans="1:63" ht="15" customHeight="1" thickTop="1" x14ac:dyDescent="0.25">
      <c r="A38" s="15"/>
      <c r="BK38" s="18"/>
    </row>
    <row r="39" spans="1:63" ht="15" customHeight="1" x14ac:dyDescent="0.25">
      <c r="A39" s="15"/>
      <c r="BK39" s="18"/>
    </row>
    <row r="40" spans="1:63" ht="15" customHeight="1" x14ac:dyDescent="0.25">
      <c r="A40" s="15"/>
      <c r="BK40" s="18"/>
    </row>
    <row r="41" spans="1:63" ht="15" customHeight="1" x14ac:dyDescent="0.25">
      <c r="A41" s="15"/>
      <c r="BK41" s="18"/>
    </row>
    <row r="42" spans="1:63" ht="15" customHeight="1" x14ac:dyDescent="0.25">
      <c r="A42" s="15"/>
      <c r="BK42" s="18"/>
    </row>
    <row r="43" spans="1:63" ht="15" customHeight="1" x14ac:dyDescent="0.25">
      <c r="A43" s="15"/>
      <c r="BK43" s="18"/>
    </row>
    <row r="44" spans="1:63" ht="15" customHeight="1" x14ac:dyDescent="0.25">
      <c r="A44" s="15"/>
      <c r="Q44" s="5" t="s">
        <v>11</v>
      </c>
      <c r="R44" s="4"/>
      <c r="S44" s="4"/>
      <c r="T44" s="4"/>
      <c r="U44" s="4"/>
      <c r="V44" s="4"/>
      <c r="W44" s="4"/>
      <c r="X44" s="4"/>
      <c r="Y44" s="4"/>
      <c r="Z44" s="3"/>
      <c r="AA44" s="5" t="s">
        <v>12</v>
      </c>
      <c r="AB44" s="4"/>
      <c r="AC44" s="4"/>
      <c r="AD44" s="4"/>
      <c r="AE44" s="4"/>
      <c r="AF44" s="4"/>
      <c r="AG44" s="4"/>
      <c r="AH44" s="4"/>
      <c r="AI44" s="4"/>
      <c r="AJ44" s="4"/>
      <c r="AK44" s="4"/>
      <c r="AL44" s="4"/>
      <c r="AM44" s="4"/>
      <c r="AN44" s="4"/>
      <c r="AO44" s="4"/>
      <c r="AP44" s="3"/>
      <c r="AQ44" s="5" t="s">
        <v>7</v>
      </c>
      <c r="AR44" s="4"/>
      <c r="AS44" s="4"/>
      <c r="AT44" s="4"/>
      <c r="AU44" s="3"/>
      <c r="BK44" s="18"/>
    </row>
    <row r="45" spans="1:63" ht="15" customHeight="1" x14ac:dyDescent="0.25">
      <c r="A45" s="15"/>
      <c r="Q45" s="2"/>
      <c r="R45" s="1"/>
      <c r="S45" s="1"/>
      <c r="T45" s="1"/>
      <c r="U45" s="1"/>
      <c r="V45" s="1"/>
      <c r="W45" s="1"/>
      <c r="X45" s="1"/>
      <c r="Y45" s="1"/>
      <c r="Z45" s="88"/>
      <c r="AA45" s="2"/>
      <c r="AB45" s="1"/>
      <c r="AC45" s="1"/>
      <c r="AD45" s="1"/>
      <c r="AE45" s="1"/>
      <c r="AF45" s="1"/>
      <c r="AG45" s="1"/>
      <c r="AH45" s="1"/>
      <c r="AI45" s="1"/>
      <c r="AJ45" s="1"/>
      <c r="AK45" s="1"/>
      <c r="AL45" s="1"/>
      <c r="AM45" s="1"/>
      <c r="AN45" s="1"/>
      <c r="AO45" s="1"/>
      <c r="AP45" s="88"/>
      <c r="AQ45" s="2"/>
      <c r="AR45" s="1"/>
      <c r="AS45" s="1"/>
      <c r="AT45" s="1"/>
      <c r="AU45" s="88"/>
      <c r="BK45" s="18"/>
    </row>
    <row r="46" spans="1:63" ht="15" customHeight="1" x14ac:dyDescent="0.25">
      <c r="A46" s="15"/>
      <c r="Q46" s="14"/>
      <c r="R46" s="13"/>
      <c r="S46" s="13"/>
      <c r="T46" s="13"/>
      <c r="U46" s="13"/>
      <c r="V46" s="13"/>
      <c r="W46" s="13"/>
      <c r="X46" s="13"/>
      <c r="Y46" s="13"/>
      <c r="Z46" s="12"/>
      <c r="AA46" s="14"/>
      <c r="AB46" s="13"/>
      <c r="AC46" s="13"/>
      <c r="AD46" s="13"/>
      <c r="AE46" s="13"/>
      <c r="AF46" s="13"/>
      <c r="AG46" s="13"/>
      <c r="AH46" s="13"/>
      <c r="AI46" s="13"/>
      <c r="AJ46" s="13"/>
      <c r="AK46" s="13"/>
      <c r="AL46" s="13"/>
      <c r="AM46" s="13"/>
      <c r="AN46" s="13"/>
      <c r="AO46" s="13"/>
      <c r="AP46" s="12"/>
      <c r="AQ46" s="14"/>
      <c r="AR46" s="13"/>
      <c r="AS46" s="13"/>
      <c r="AT46" s="13"/>
      <c r="AU46" s="12"/>
      <c r="BK46" s="18"/>
    </row>
    <row r="47" spans="1:63" ht="15" customHeight="1" x14ac:dyDescent="0.25">
      <c r="A47" s="15"/>
      <c r="Q47" s="11"/>
      <c r="R47" s="10"/>
      <c r="S47" s="10"/>
      <c r="T47" s="10"/>
      <c r="U47" s="10"/>
      <c r="V47" s="10"/>
      <c r="W47" s="10"/>
      <c r="X47" s="10"/>
      <c r="Y47" s="10"/>
      <c r="Z47" s="9"/>
      <c r="AA47" s="11"/>
      <c r="AB47" s="10"/>
      <c r="AC47" s="10"/>
      <c r="AD47" s="10"/>
      <c r="AE47" s="10"/>
      <c r="AF47" s="10"/>
      <c r="AG47" s="10"/>
      <c r="AH47" s="10"/>
      <c r="AI47" s="10"/>
      <c r="AJ47" s="10"/>
      <c r="AK47" s="10"/>
      <c r="AL47" s="10"/>
      <c r="AM47" s="10"/>
      <c r="AN47" s="10"/>
      <c r="AO47" s="10"/>
      <c r="AP47" s="9"/>
      <c r="AQ47" s="11"/>
      <c r="AR47" s="10"/>
      <c r="AS47" s="10"/>
      <c r="AT47" s="10"/>
      <c r="AU47" s="9"/>
      <c r="BK47" s="18"/>
    </row>
    <row r="48" spans="1:63" ht="15" customHeight="1" x14ac:dyDescent="0.25">
      <c r="A48" s="15"/>
      <c r="Q48" s="11"/>
      <c r="R48" s="10"/>
      <c r="S48" s="10"/>
      <c r="T48" s="10"/>
      <c r="U48" s="10"/>
      <c r="V48" s="10"/>
      <c r="W48" s="10"/>
      <c r="X48" s="10"/>
      <c r="Y48" s="10"/>
      <c r="Z48" s="9"/>
      <c r="AA48" s="11"/>
      <c r="AB48" s="10"/>
      <c r="AC48" s="10"/>
      <c r="AD48" s="10"/>
      <c r="AE48" s="10"/>
      <c r="AF48" s="10"/>
      <c r="AG48" s="10"/>
      <c r="AH48" s="10"/>
      <c r="AI48" s="10"/>
      <c r="AJ48" s="10"/>
      <c r="AK48" s="10"/>
      <c r="AL48" s="10"/>
      <c r="AM48" s="10"/>
      <c r="AN48" s="10"/>
      <c r="AO48" s="10"/>
      <c r="AP48" s="9"/>
      <c r="AQ48" s="11"/>
      <c r="AR48" s="10"/>
      <c r="AS48" s="10"/>
      <c r="AT48" s="10"/>
      <c r="AU48" s="9"/>
      <c r="BK48" s="18"/>
    </row>
    <row r="49" spans="1:63" ht="15" customHeight="1" x14ac:dyDescent="0.25">
      <c r="A49" s="15"/>
      <c r="Q49" s="8"/>
      <c r="R49" s="7"/>
      <c r="S49" s="7"/>
      <c r="T49" s="7"/>
      <c r="U49" s="7"/>
      <c r="V49" s="7"/>
      <c r="W49" s="7"/>
      <c r="X49" s="7"/>
      <c r="Y49" s="7"/>
      <c r="Z49" s="6"/>
      <c r="AA49" s="8"/>
      <c r="AB49" s="7"/>
      <c r="AC49" s="7"/>
      <c r="AD49" s="7"/>
      <c r="AE49" s="7"/>
      <c r="AF49" s="7"/>
      <c r="AG49" s="7"/>
      <c r="AH49" s="7"/>
      <c r="AI49" s="7"/>
      <c r="AJ49" s="7"/>
      <c r="AK49" s="7"/>
      <c r="AL49" s="7"/>
      <c r="AM49" s="7"/>
      <c r="AN49" s="7"/>
      <c r="AO49" s="7"/>
      <c r="AP49" s="6"/>
      <c r="AQ49" s="8"/>
      <c r="AR49" s="7"/>
      <c r="AS49" s="7"/>
      <c r="AT49" s="7"/>
      <c r="AU49" s="6"/>
      <c r="BK49" s="18"/>
    </row>
    <row r="50" spans="1:63" ht="15" customHeight="1" x14ac:dyDescent="0.25">
      <c r="A50" s="15"/>
      <c r="BK50" s="18"/>
    </row>
    <row r="51" spans="1:63" ht="15" customHeight="1" x14ac:dyDescent="0.25">
      <c r="A51" s="15"/>
      <c r="BK51" s="18"/>
    </row>
    <row r="52" spans="1:63" ht="15" customHeight="1" x14ac:dyDescent="0.25">
      <c r="A52" s="15"/>
      <c r="BK52" s="18"/>
    </row>
    <row r="53" spans="1:63" ht="15" customHeight="1" x14ac:dyDescent="0.25">
      <c r="A53" s="15"/>
      <c r="BK53" s="18"/>
    </row>
    <row r="54" spans="1:63" ht="15" customHeight="1" x14ac:dyDescent="0.25">
      <c r="A54" s="15"/>
      <c r="BK54" s="18"/>
    </row>
    <row r="55" spans="1:63" ht="15" customHeight="1" x14ac:dyDescent="0.25">
      <c r="A55" s="16"/>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9"/>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7"/>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89" t="s">
        <v>0</v>
      </c>
      <c r="B1" s="90"/>
      <c r="C1" s="90"/>
      <c r="D1" s="90"/>
      <c r="E1" s="90"/>
      <c r="F1" s="90"/>
      <c r="G1" s="90"/>
      <c r="H1" s="90"/>
      <c r="I1" s="90"/>
      <c r="J1" s="91"/>
      <c r="K1" s="89" t="s">
        <v>2</v>
      </c>
      <c r="L1" s="90"/>
      <c r="M1" s="90"/>
      <c r="N1" s="90"/>
      <c r="O1" s="90"/>
      <c r="P1" s="90"/>
      <c r="Q1" s="90"/>
      <c r="R1" s="90"/>
      <c r="S1" s="90"/>
      <c r="T1" s="90"/>
      <c r="U1" s="90"/>
      <c r="V1" s="91"/>
      <c r="W1" s="146" t="str">
        <f>IF(表紙!W1="","",表紙!W1)</f>
        <v>詳細設計書</v>
      </c>
      <c r="X1" s="112"/>
      <c r="Y1" s="112"/>
      <c r="Z1" s="112"/>
      <c r="AA1" s="112"/>
      <c r="AB1" s="112"/>
      <c r="AC1" s="112"/>
      <c r="AD1" s="112"/>
      <c r="AE1" s="112"/>
      <c r="AF1" s="112"/>
      <c r="AG1" s="112"/>
      <c r="AH1" s="112"/>
      <c r="AI1" s="112"/>
      <c r="AJ1" s="112"/>
      <c r="AK1" s="112"/>
      <c r="AL1" s="112"/>
      <c r="AM1" s="112"/>
      <c r="AN1" s="112"/>
      <c r="AO1" s="113"/>
      <c r="AP1" s="89" t="s">
        <v>3</v>
      </c>
      <c r="AQ1" s="90"/>
      <c r="AR1" s="90"/>
      <c r="AS1" s="91"/>
      <c r="AT1" s="89" t="s">
        <v>4</v>
      </c>
      <c r="AU1" s="90"/>
      <c r="AV1" s="90"/>
      <c r="AW1" s="90"/>
      <c r="AX1" s="91"/>
      <c r="AY1" s="89" t="s">
        <v>5</v>
      </c>
      <c r="AZ1" s="90"/>
      <c r="BA1" s="90"/>
      <c r="BB1" s="91"/>
      <c r="BC1" s="89" t="s">
        <v>6</v>
      </c>
      <c r="BD1" s="90"/>
      <c r="BE1" s="90"/>
      <c r="BF1" s="90"/>
      <c r="BG1" s="91"/>
      <c r="BH1" s="89" t="s">
        <v>7</v>
      </c>
      <c r="BI1" s="90"/>
      <c r="BJ1" s="90"/>
      <c r="BK1" s="91"/>
    </row>
    <row r="2" spans="1:63" ht="15" customHeight="1" x14ac:dyDescent="0.25">
      <c r="A2" s="14" t="str">
        <f>IF(表紙!A2="","",表紙!A2)</f>
        <v>POSサーバー</v>
      </c>
      <c r="B2" s="13"/>
      <c r="C2" s="13"/>
      <c r="D2" s="13"/>
      <c r="E2" s="13"/>
      <c r="F2" s="13"/>
      <c r="G2" s="13"/>
      <c r="H2" s="13"/>
      <c r="I2" s="13"/>
      <c r="J2" s="12"/>
      <c r="K2" s="14" t="str">
        <f>IF(表紙!K2="","",表紙!K2)</f>
        <v>POSサーバー</v>
      </c>
      <c r="L2" s="13"/>
      <c r="M2" s="13"/>
      <c r="N2" s="13"/>
      <c r="O2" s="13"/>
      <c r="P2" s="13"/>
      <c r="Q2" s="13"/>
      <c r="R2" s="13"/>
      <c r="S2" s="13"/>
      <c r="T2" s="13"/>
      <c r="U2" s="13"/>
      <c r="V2" s="12"/>
      <c r="W2" s="114"/>
      <c r="X2" s="115"/>
      <c r="Y2" s="115"/>
      <c r="Z2" s="115"/>
      <c r="AA2" s="115"/>
      <c r="AB2" s="115"/>
      <c r="AC2" s="115"/>
      <c r="AD2" s="115"/>
      <c r="AE2" s="115"/>
      <c r="AF2" s="115"/>
      <c r="AG2" s="115"/>
      <c r="AH2" s="115"/>
      <c r="AI2" s="115"/>
      <c r="AJ2" s="115"/>
      <c r="AK2" s="115"/>
      <c r="AL2" s="115"/>
      <c r="AM2" s="115"/>
      <c r="AN2" s="115"/>
      <c r="AO2" s="116"/>
      <c r="AP2" s="14" t="str">
        <f>IF(表紙!AP2="","",表紙!AP2)</f>
        <v>DuNT</v>
      </c>
      <c r="AQ2" s="13"/>
      <c r="AR2" s="13"/>
      <c r="AS2" s="12"/>
      <c r="AT2" s="104">
        <f>IF(表紙!AT2="","",表紙!AT2)</f>
        <v>45490</v>
      </c>
      <c r="AU2" s="105"/>
      <c r="AV2" s="105"/>
      <c r="AW2" s="105"/>
      <c r="AX2" s="106"/>
      <c r="AY2" s="14" t="str">
        <f>IF(表紙!AY2="","",表紙!AY2)</f>
        <v>DuNT</v>
      </c>
      <c r="AZ2" s="13"/>
      <c r="BA2" s="13"/>
      <c r="BB2" s="12"/>
      <c r="BC2" s="104">
        <f>IF(表紙!BC2="","",表紙!BC2)</f>
        <v>45567</v>
      </c>
      <c r="BD2" s="105"/>
      <c r="BE2" s="105"/>
      <c r="BF2" s="105"/>
      <c r="BG2" s="106"/>
      <c r="BH2" s="14">
        <f>IF(表紙!BH2="","",表紙!BH2)</f>
        <v>0.71</v>
      </c>
      <c r="BI2" s="13"/>
      <c r="BJ2" s="13"/>
      <c r="BK2" s="12"/>
    </row>
    <row r="3" spans="1:63" ht="15" customHeight="1" x14ac:dyDescent="0.25">
      <c r="A3" s="8"/>
      <c r="B3" s="7"/>
      <c r="C3" s="7"/>
      <c r="D3" s="7"/>
      <c r="E3" s="7"/>
      <c r="F3" s="7"/>
      <c r="G3" s="7"/>
      <c r="H3" s="7"/>
      <c r="I3" s="7"/>
      <c r="J3" s="6"/>
      <c r="K3" s="8"/>
      <c r="L3" s="7"/>
      <c r="M3" s="7"/>
      <c r="N3" s="7"/>
      <c r="O3" s="7"/>
      <c r="P3" s="7"/>
      <c r="Q3" s="7"/>
      <c r="R3" s="7"/>
      <c r="S3" s="7"/>
      <c r="T3" s="7"/>
      <c r="U3" s="7"/>
      <c r="V3" s="6"/>
      <c r="W3" s="117"/>
      <c r="X3" s="118"/>
      <c r="Y3" s="118"/>
      <c r="Z3" s="118"/>
      <c r="AA3" s="118"/>
      <c r="AB3" s="118"/>
      <c r="AC3" s="118"/>
      <c r="AD3" s="118"/>
      <c r="AE3" s="118"/>
      <c r="AF3" s="118"/>
      <c r="AG3" s="118"/>
      <c r="AH3" s="118"/>
      <c r="AI3" s="118"/>
      <c r="AJ3" s="118"/>
      <c r="AK3" s="118"/>
      <c r="AL3" s="118"/>
      <c r="AM3" s="118"/>
      <c r="AN3" s="118"/>
      <c r="AO3" s="119"/>
      <c r="AP3" s="8"/>
      <c r="AQ3" s="7"/>
      <c r="AR3" s="7"/>
      <c r="AS3" s="6"/>
      <c r="AT3" s="107"/>
      <c r="AU3" s="108"/>
      <c r="AV3" s="108"/>
      <c r="AW3" s="108"/>
      <c r="AX3" s="109"/>
      <c r="AY3" s="8"/>
      <c r="AZ3" s="7"/>
      <c r="BA3" s="7"/>
      <c r="BB3" s="6"/>
      <c r="BC3" s="107"/>
      <c r="BD3" s="108"/>
      <c r="BE3" s="108"/>
      <c r="BF3" s="108"/>
      <c r="BG3" s="109"/>
      <c r="BH3" s="8"/>
      <c r="BI3" s="7"/>
      <c r="BJ3" s="7"/>
      <c r="BK3" s="6"/>
    </row>
    <row r="4" spans="1:63" ht="24.95" customHeight="1" x14ac:dyDescent="0.25">
      <c r="A4" s="89" t="s">
        <v>1</v>
      </c>
      <c r="B4" s="90"/>
      <c r="C4" s="90"/>
      <c r="D4" s="90"/>
      <c r="E4" s="90"/>
      <c r="F4" s="90"/>
      <c r="G4" s="91"/>
      <c r="H4" s="94" t="str">
        <f>IF(表紙!H4="","",表紙!H4)</f>
        <v>AP7102</v>
      </c>
      <c r="I4" s="95"/>
      <c r="J4" s="95"/>
      <c r="K4" s="95"/>
      <c r="L4" s="95"/>
      <c r="M4" s="95"/>
      <c r="N4" s="95"/>
      <c r="O4" s="95"/>
      <c r="P4" s="95"/>
      <c r="Q4" s="95"/>
      <c r="R4" s="95"/>
      <c r="S4" s="95"/>
      <c r="T4" s="96"/>
      <c r="U4" s="89" t="s">
        <v>8</v>
      </c>
      <c r="V4" s="90"/>
      <c r="W4" s="90"/>
      <c r="X4" s="90"/>
      <c r="Y4" s="91"/>
      <c r="Z4" s="94" t="str">
        <f>IF(表紙!Z4="","",表紙!Z4)</f>
        <v>API設計書</v>
      </c>
      <c r="AA4" s="95"/>
      <c r="AB4" s="95"/>
      <c r="AC4" s="95"/>
      <c r="AD4" s="95"/>
      <c r="AE4" s="95"/>
      <c r="AF4" s="95"/>
      <c r="AG4" s="95"/>
      <c r="AH4" s="95"/>
      <c r="AI4" s="95"/>
      <c r="AJ4" s="95"/>
      <c r="AK4" s="95"/>
      <c r="AL4" s="95"/>
      <c r="AM4" s="95"/>
      <c r="AN4" s="95"/>
      <c r="AO4" s="96"/>
      <c r="AP4" s="94" t="str">
        <f t="array" aca="1" ref="AP4" ca="1">RIGHT(CELL("filename",$A$1),LEN(CELL("filename",$A$1))-FIND("]",CELL("filename",$A$1)))</f>
        <v>改訂履歴</v>
      </c>
      <c r="AQ4" s="95"/>
      <c r="AR4" s="95"/>
      <c r="AS4" s="95"/>
      <c r="AT4" s="95"/>
      <c r="AU4" s="95"/>
      <c r="AV4" s="95"/>
      <c r="AW4" s="95"/>
      <c r="AX4" s="95"/>
      <c r="AY4" s="95"/>
      <c r="AZ4" s="95"/>
      <c r="BA4" s="95"/>
      <c r="BB4" s="95"/>
      <c r="BC4" s="95"/>
      <c r="BD4" s="95"/>
      <c r="BE4" s="95"/>
      <c r="BF4" s="95"/>
      <c r="BG4" s="95"/>
      <c r="BH4" s="95"/>
      <c r="BI4" s="95"/>
      <c r="BJ4" s="95"/>
      <c r="BK4" s="96"/>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3" ht="15" customHeight="1" x14ac:dyDescent="0.25">
      <c r="A6" s="15"/>
      <c r="BK6" s="18"/>
    </row>
    <row r="7" spans="1:63" ht="15" customHeight="1" x14ac:dyDescent="0.25">
      <c r="A7" s="15"/>
      <c r="BK7" s="18"/>
    </row>
    <row r="8" spans="1:63" ht="15" customHeight="1" x14ac:dyDescent="0.25">
      <c r="A8" s="15"/>
      <c r="B8" t="s">
        <v>9</v>
      </c>
      <c r="BK8" s="18"/>
    </row>
    <row r="9" spans="1:63" ht="15" customHeight="1" x14ac:dyDescent="0.25">
      <c r="A9" s="15"/>
      <c r="BK9" s="18"/>
    </row>
    <row r="10" spans="1:63" ht="15" customHeight="1" x14ac:dyDescent="0.25">
      <c r="A10" s="15"/>
      <c r="B10" s="145" t="s">
        <v>6</v>
      </c>
      <c r="C10" s="145"/>
      <c r="D10" s="145"/>
      <c r="E10" s="145"/>
      <c r="F10" s="145"/>
      <c r="G10" s="145"/>
      <c r="H10" s="145" t="s">
        <v>5</v>
      </c>
      <c r="I10" s="145"/>
      <c r="J10" s="145"/>
      <c r="K10" s="145"/>
      <c r="L10" s="145"/>
      <c r="M10" s="145"/>
      <c r="N10" s="145"/>
      <c r="O10" s="145" t="s">
        <v>7</v>
      </c>
      <c r="P10" s="145"/>
      <c r="Q10" s="145"/>
      <c r="R10" s="145"/>
      <c r="S10" s="145" t="s">
        <v>10</v>
      </c>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t="s">
        <v>11</v>
      </c>
      <c r="AY10" s="145"/>
      <c r="AZ10" s="145"/>
      <c r="BA10" s="145"/>
      <c r="BB10" s="145"/>
      <c r="BC10" s="145"/>
      <c r="BD10" s="145" t="s">
        <v>12</v>
      </c>
      <c r="BE10" s="145"/>
      <c r="BF10" s="145"/>
      <c r="BG10" s="145"/>
      <c r="BH10" s="145"/>
      <c r="BI10" s="145"/>
      <c r="BJ10" s="145"/>
      <c r="BK10" s="18"/>
    </row>
    <row r="11" spans="1:63" ht="15" customHeight="1" x14ac:dyDescent="0.25">
      <c r="A11" s="15"/>
      <c r="B11" s="210">
        <v>45490</v>
      </c>
      <c r="C11" s="211"/>
      <c r="D11" s="211"/>
      <c r="E11" s="211"/>
      <c r="F11" s="211"/>
      <c r="G11" s="212"/>
      <c r="H11" s="213" t="s">
        <v>157</v>
      </c>
      <c r="I11" s="211"/>
      <c r="J11" s="211"/>
      <c r="K11" s="211"/>
      <c r="L11" s="211"/>
      <c r="M11" s="211"/>
      <c r="N11" s="212"/>
      <c r="O11" s="213">
        <v>0.1</v>
      </c>
      <c r="P11" s="211"/>
      <c r="Q11" s="211"/>
      <c r="R11" s="211"/>
      <c r="S11" s="214" t="s">
        <v>166</v>
      </c>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6"/>
      <c r="AX11" s="123"/>
      <c r="AY11" s="123"/>
      <c r="AZ11" s="123"/>
      <c r="BA11" s="123"/>
      <c r="BB11" s="123"/>
      <c r="BC11" s="124"/>
      <c r="BD11" s="127"/>
      <c r="BE11" s="123"/>
      <c r="BF11" s="123"/>
      <c r="BG11" s="123"/>
      <c r="BH11" s="123"/>
      <c r="BI11" s="123"/>
      <c r="BJ11" s="124"/>
      <c r="BK11" s="18"/>
    </row>
    <row r="12" spans="1:63" ht="15" customHeight="1" x14ac:dyDescent="0.25">
      <c r="A12" s="15"/>
      <c r="B12" s="217"/>
      <c r="C12" s="218"/>
      <c r="D12" s="218"/>
      <c r="E12" s="218"/>
      <c r="F12" s="218"/>
      <c r="G12" s="219"/>
      <c r="H12" s="217"/>
      <c r="I12" s="218"/>
      <c r="J12" s="218"/>
      <c r="K12" s="218"/>
      <c r="L12" s="218"/>
      <c r="M12" s="218"/>
      <c r="N12" s="219"/>
      <c r="O12" s="217"/>
      <c r="P12" s="218"/>
      <c r="Q12" s="218"/>
      <c r="R12" s="218"/>
      <c r="S12" s="220"/>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AP12" s="221"/>
      <c r="AQ12" s="221"/>
      <c r="AR12" s="221"/>
      <c r="AS12" s="221"/>
      <c r="AT12" s="221"/>
      <c r="AU12" s="221"/>
      <c r="AV12" s="221"/>
      <c r="AW12" s="222"/>
      <c r="AX12" s="125"/>
      <c r="AY12" s="125"/>
      <c r="AZ12" s="125"/>
      <c r="BA12" s="125"/>
      <c r="BB12" s="125"/>
      <c r="BC12" s="126"/>
      <c r="BD12" s="128"/>
      <c r="BE12" s="125"/>
      <c r="BF12" s="125"/>
      <c r="BG12" s="125"/>
      <c r="BH12" s="125"/>
      <c r="BI12" s="125"/>
      <c r="BJ12" s="126"/>
      <c r="BK12" s="18"/>
    </row>
    <row r="13" spans="1:63" ht="15" customHeight="1" x14ac:dyDescent="0.25">
      <c r="A13" s="15"/>
      <c r="B13" s="210">
        <v>45512</v>
      </c>
      <c r="C13" s="211"/>
      <c r="D13" s="211"/>
      <c r="E13" s="211"/>
      <c r="F13" s="211"/>
      <c r="G13" s="212"/>
      <c r="H13" s="213" t="s">
        <v>157</v>
      </c>
      <c r="I13" s="211"/>
      <c r="J13" s="211"/>
      <c r="K13" s="211"/>
      <c r="L13" s="211"/>
      <c r="M13" s="211"/>
      <c r="N13" s="212"/>
      <c r="O13" s="213">
        <v>0.2</v>
      </c>
      <c r="P13" s="211"/>
      <c r="Q13" s="211"/>
      <c r="R13" s="211"/>
      <c r="S13" s="214" t="s">
        <v>158</v>
      </c>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6"/>
      <c r="AX13" s="123"/>
      <c r="AY13" s="123"/>
      <c r="AZ13" s="123"/>
      <c r="BA13" s="123"/>
      <c r="BB13" s="123"/>
      <c r="BC13" s="124"/>
      <c r="BD13" s="127"/>
      <c r="BE13" s="123"/>
      <c r="BF13" s="123"/>
      <c r="BG13" s="123"/>
      <c r="BH13" s="123"/>
      <c r="BI13" s="123"/>
      <c r="BJ13" s="124"/>
      <c r="BK13" s="18"/>
    </row>
    <row r="14" spans="1:63" ht="15" customHeight="1" x14ac:dyDescent="0.25">
      <c r="A14" s="15"/>
      <c r="B14" s="217"/>
      <c r="C14" s="218"/>
      <c r="D14" s="218"/>
      <c r="E14" s="218"/>
      <c r="F14" s="218"/>
      <c r="G14" s="219"/>
      <c r="H14" s="217"/>
      <c r="I14" s="218"/>
      <c r="J14" s="218"/>
      <c r="K14" s="218"/>
      <c r="L14" s="218"/>
      <c r="M14" s="218"/>
      <c r="N14" s="219"/>
      <c r="O14" s="217"/>
      <c r="P14" s="218"/>
      <c r="Q14" s="218"/>
      <c r="R14" s="218"/>
      <c r="S14" s="223" t="s">
        <v>159</v>
      </c>
      <c r="T14" s="224"/>
      <c r="U14" s="224"/>
      <c r="V14" s="224"/>
      <c r="W14" s="224"/>
      <c r="X14" s="224"/>
      <c r="Y14" s="224"/>
      <c r="Z14" s="224"/>
      <c r="AA14" s="224"/>
      <c r="AB14" s="224"/>
      <c r="AC14" s="224"/>
      <c r="AD14" s="224"/>
      <c r="AE14" s="224"/>
      <c r="AF14" s="224"/>
      <c r="AG14" s="224"/>
      <c r="AH14" s="224"/>
      <c r="AI14" s="224"/>
      <c r="AJ14" s="224"/>
      <c r="AK14" s="224"/>
      <c r="AL14" s="224"/>
      <c r="AM14" s="224"/>
      <c r="AN14" s="224"/>
      <c r="AO14" s="224"/>
      <c r="AP14" s="224"/>
      <c r="AQ14" s="224"/>
      <c r="AR14" s="224"/>
      <c r="AS14" s="224"/>
      <c r="AT14" s="224"/>
      <c r="AU14" s="224"/>
      <c r="AV14" s="224"/>
      <c r="AW14" s="225"/>
      <c r="AX14" s="125"/>
      <c r="AY14" s="125"/>
      <c r="AZ14" s="125"/>
      <c r="BA14" s="125"/>
      <c r="BB14" s="125"/>
      <c r="BC14" s="126"/>
      <c r="BD14" s="128"/>
      <c r="BE14" s="125"/>
      <c r="BF14" s="125"/>
      <c r="BG14" s="125"/>
      <c r="BH14" s="125"/>
      <c r="BI14" s="125"/>
      <c r="BJ14" s="126"/>
      <c r="BK14" s="18"/>
    </row>
    <row r="15" spans="1:63" ht="15" customHeight="1" x14ac:dyDescent="0.25">
      <c r="A15" s="15"/>
      <c r="B15" s="210">
        <v>45519</v>
      </c>
      <c r="C15" s="211"/>
      <c r="D15" s="211"/>
      <c r="E15" s="211"/>
      <c r="F15" s="211"/>
      <c r="G15" s="212"/>
      <c r="H15" s="213" t="s">
        <v>160</v>
      </c>
      <c r="I15" s="211"/>
      <c r="J15" s="211"/>
      <c r="K15" s="211"/>
      <c r="L15" s="211"/>
      <c r="M15" s="211"/>
      <c r="N15" s="212"/>
      <c r="O15" s="213">
        <v>0.3</v>
      </c>
      <c r="P15" s="211"/>
      <c r="Q15" s="211"/>
      <c r="R15" s="211"/>
      <c r="S15" s="214" t="s">
        <v>161</v>
      </c>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6"/>
      <c r="AX15" s="123"/>
      <c r="AY15" s="123"/>
      <c r="AZ15" s="123"/>
      <c r="BA15" s="123"/>
      <c r="BB15" s="123"/>
      <c r="BC15" s="124"/>
      <c r="BD15" s="127"/>
      <c r="BE15" s="123"/>
      <c r="BF15" s="123"/>
      <c r="BG15" s="123"/>
      <c r="BH15" s="123"/>
      <c r="BI15" s="123"/>
      <c r="BJ15" s="124"/>
      <c r="BK15" s="18"/>
    </row>
    <row r="16" spans="1:63" ht="15" customHeight="1" x14ac:dyDescent="0.25">
      <c r="A16" s="15"/>
      <c r="B16" s="217"/>
      <c r="C16" s="218"/>
      <c r="D16" s="218"/>
      <c r="E16" s="218"/>
      <c r="F16" s="218"/>
      <c r="G16" s="219"/>
      <c r="H16" s="217"/>
      <c r="I16" s="218"/>
      <c r="J16" s="218"/>
      <c r="K16" s="218"/>
      <c r="L16" s="218"/>
      <c r="M16" s="218"/>
      <c r="N16" s="219"/>
      <c r="O16" s="217"/>
      <c r="P16" s="218"/>
      <c r="Q16" s="218"/>
      <c r="R16" s="218"/>
      <c r="S16" s="220" t="s">
        <v>162</v>
      </c>
      <c r="T16" s="221"/>
      <c r="U16" s="221"/>
      <c r="V16" s="221"/>
      <c r="W16" s="221"/>
      <c r="X16" s="221"/>
      <c r="Y16" s="221"/>
      <c r="Z16" s="221"/>
      <c r="AA16" s="221"/>
      <c r="AB16" s="221"/>
      <c r="AC16" s="221"/>
      <c r="AD16" s="221"/>
      <c r="AE16" s="221"/>
      <c r="AF16" s="221"/>
      <c r="AG16" s="221"/>
      <c r="AH16" s="221"/>
      <c r="AI16" s="221"/>
      <c r="AJ16" s="221"/>
      <c r="AK16" s="221"/>
      <c r="AL16" s="221"/>
      <c r="AM16" s="221"/>
      <c r="AN16" s="221"/>
      <c r="AO16" s="221"/>
      <c r="AP16" s="221"/>
      <c r="AQ16" s="221"/>
      <c r="AR16" s="221"/>
      <c r="AS16" s="221"/>
      <c r="AT16" s="221"/>
      <c r="AU16" s="221"/>
      <c r="AV16" s="221"/>
      <c r="AW16" s="222"/>
      <c r="AX16" s="125"/>
      <c r="AY16" s="125"/>
      <c r="AZ16" s="125"/>
      <c r="BA16" s="125"/>
      <c r="BB16" s="125"/>
      <c r="BC16" s="126"/>
      <c r="BD16" s="128"/>
      <c r="BE16" s="125"/>
      <c r="BF16" s="125"/>
      <c r="BG16" s="125"/>
      <c r="BH16" s="125"/>
      <c r="BI16" s="125"/>
      <c r="BJ16" s="126"/>
      <c r="BK16" s="18"/>
    </row>
    <row r="17" spans="1:63" ht="15" customHeight="1" x14ac:dyDescent="0.25">
      <c r="A17" s="15"/>
      <c r="B17" s="210">
        <v>45525</v>
      </c>
      <c r="C17" s="211"/>
      <c r="D17" s="211"/>
      <c r="E17" s="211"/>
      <c r="F17" s="211"/>
      <c r="G17" s="212"/>
      <c r="H17" s="213" t="s">
        <v>157</v>
      </c>
      <c r="I17" s="211"/>
      <c r="J17" s="211"/>
      <c r="K17" s="211"/>
      <c r="L17" s="211"/>
      <c r="M17" s="211"/>
      <c r="N17" s="212"/>
      <c r="O17" s="213">
        <v>0.4</v>
      </c>
      <c r="P17" s="211"/>
      <c r="Q17" s="211"/>
      <c r="R17" s="211"/>
      <c r="S17" s="214" t="s">
        <v>163</v>
      </c>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6"/>
      <c r="AX17" s="123"/>
      <c r="AY17" s="123"/>
      <c r="AZ17" s="123"/>
      <c r="BA17" s="123"/>
      <c r="BB17" s="123"/>
      <c r="BC17" s="124"/>
      <c r="BD17" s="127"/>
      <c r="BE17" s="123"/>
      <c r="BF17" s="123"/>
      <c r="BG17" s="123"/>
      <c r="BH17" s="123"/>
      <c r="BI17" s="123"/>
      <c r="BJ17" s="124"/>
      <c r="BK17" s="18"/>
    </row>
    <row r="18" spans="1:63" ht="15" customHeight="1" x14ac:dyDescent="0.25">
      <c r="A18" s="15"/>
      <c r="B18" s="217"/>
      <c r="C18" s="218"/>
      <c r="D18" s="218"/>
      <c r="E18" s="218"/>
      <c r="F18" s="218"/>
      <c r="G18" s="219"/>
      <c r="H18" s="217"/>
      <c r="I18" s="218"/>
      <c r="J18" s="218"/>
      <c r="K18" s="218"/>
      <c r="L18" s="218"/>
      <c r="M18" s="218"/>
      <c r="N18" s="219"/>
      <c r="O18" s="217"/>
      <c r="P18" s="218"/>
      <c r="Q18" s="218"/>
      <c r="R18" s="218"/>
      <c r="S18" s="220" t="s">
        <v>164</v>
      </c>
      <c r="T18" s="221"/>
      <c r="U18" s="221"/>
      <c r="V18" s="221"/>
      <c r="W18" s="221"/>
      <c r="X18" s="221"/>
      <c r="Y18" s="221"/>
      <c r="Z18" s="221"/>
      <c r="AA18" s="221"/>
      <c r="AB18" s="221"/>
      <c r="AC18" s="221"/>
      <c r="AD18" s="221"/>
      <c r="AE18" s="221"/>
      <c r="AF18" s="221"/>
      <c r="AG18" s="221"/>
      <c r="AH18" s="221"/>
      <c r="AI18" s="221"/>
      <c r="AJ18" s="221"/>
      <c r="AK18" s="221"/>
      <c r="AL18" s="221"/>
      <c r="AM18" s="221"/>
      <c r="AN18" s="221"/>
      <c r="AO18" s="221"/>
      <c r="AP18" s="221"/>
      <c r="AQ18" s="221"/>
      <c r="AR18" s="221"/>
      <c r="AS18" s="221"/>
      <c r="AT18" s="221"/>
      <c r="AU18" s="221"/>
      <c r="AV18" s="221"/>
      <c r="AW18" s="222"/>
      <c r="AX18" s="125"/>
      <c r="AY18" s="125"/>
      <c r="AZ18" s="125"/>
      <c r="BA18" s="125"/>
      <c r="BB18" s="125"/>
      <c r="BC18" s="126"/>
      <c r="BD18" s="128"/>
      <c r="BE18" s="125"/>
      <c r="BF18" s="125"/>
      <c r="BG18" s="125"/>
      <c r="BH18" s="125"/>
      <c r="BI18" s="125"/>
      <c r="BJ18" s="126"/>
      <c r="BK18" s="18"/>
    </row>
    <row r="19" spans="1:63" ht="15" customHeight="1" x14ac:dyDescent="0.25">
      <c r="A19" s="15"/>
      <c r="B19" s="210">
        <v>45547</v>
      </c>
      <c r="C19" s="211"/>
      <c r="D19" s="211"/>
      <c r="E19" s="211"/>
      <c r="F19" s="211"/>
      <c r="G19" s="212"/>
      <c r="H19" s="213" t="s">
        <v>157</v>
      </c>
      <c r="I19" s="211"/>
      <c r="J19" s="211"/>
      <c r="K19" s="211"/>
      <c r="L19" s="211"/>
      <c r="M19" s="211"/>
      <c r="N19" s="212"/>
      <c r="O19" s="213">
        <v>0.5</v>
      </c>
      <c r="P19" s="211"/>
      <c r="Q19" s="211"/>
      <c r="R19" s="211"/>
      <c r="S19" s="214" t="s">
        <v>163</v>
      </c>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6"/>
      <c r="AX19" s="123"/>
      <c r="AY19" s="123"/>
      <c r="AZ19" s="123"/>
      <c r="BA19" s="123"/>
      <c r="BB19" s="123"/>
      <c r="BC19" s="124"/>
      <c r="BD19" s="127"/>
      <c r="BE19" s="123"/>
      <c r="BF19" s="123"/>
      <c r="BG19" s="123"/>
      <c r="BH19" s="123"/>
      <c r="BI19" s="123"/>
      <c r="BJ19" s="124"/>
      <c r="BK19" s="18"/>
    </row>
    <row r="20" spans="1:63" ht="15" customHeight="1" x14ac:dyDescent="0.25">
      <c r="A20" s="15"/>
      <c r="B20" s="217"/>
      <c r="C20" s="218"/>
      <c r="D20" s="218"/>
      <c r="E20" s="218"/>
      <c r="F20" s="218"/>
      <c r="G20" s="219"/>
      <c r="H20" s="217"/>
      <c r="I20" s="218"/>
      <c r="J20" s="218"/>
      <c r="K20" s="218"/>
      <c r="L20" s="218"/>
      <c r="M20" s="218"/>
      <c r="N20" s="219"/>
      <c r="O20" s="217"/>
      <c r="P20" s="218"/>
      <c r="Q20" s="218"/>
      <c r="R20" s="218"/>
      <c r="S20" s="220" t="s">
        <v>165</v>
      </c>
      <c r="T20" s="221"/>
      <c r="U20" s="221"/>
      <c r="V20" s="221"/>
      <c r="W20" s="221"/>
      <c r="X20" s="221"/>
      <c r="Y20" s="221"/>
      <c r="Z20" s="221"/>
      <c r="AA20" s="221"/>
      <c r="AB20" s="221"/>
      <c r="AC20" s="221"/>
      <c r="AD20" s="221"/>
      <c r="AE20" s="221"/>
      <c r="AF20" s="221"/>
      <c r="AG20" s="221"/>
      <c r="AH20" s="221"/>
      <c r="AI20" s="221"/>
      <c r="AJ20" s="221"/>
      <c r="AK20" s="221"/>
      <c r="AL20" s="221"/>
      <c r="AM20" s="221"/>
      <c r="AN20" s="221"/>
      <c r="AO20" s="221"/>
      <c r="AP20" s="221"/>
      <c r="AQ20" s="221"/>
      <c r="AR20" s="221"/>
      <c r="AS20" s="221"/>
      <c r="AT20" s="221"/>
      <c r="AU20" s="221"/>
      <c r="AV20" s="221"/>
      <c r="AW20" s="222"/>
      <c r="AX20" s="125"/>
      <c r="AY20" s="125"/>
      <c r="AZ20" s="125"/>
      <c r="BA20" s="125"/>
      <c r="BB20" s="125"/>
      <c r="BC20" s="126"/>
      <c r="BD20" s="128"/>
      <c r="BE20" s="125"/>
      <c r="BF20" s="125"/>
      <c r="BG20" s="125"/>
      <c r="BH20" s="125"/>
      <c r="BI20" s="125"/>
      <c r="BJ20" s="126"/>
      <c r="BK20" s="18"/>
    </row>
    <row r="21" spans="1:63" ht="15" customHeight="1" x14ac:dyDescent="0.25">
      <c r="A21" s="15"/>
      <c r="B21" s="104">
        <v>45560</v>
      </c>
      <c r="C21" s="13"/>
      <c r="D21" s="13"/>
      <c r="E21" s="13"/>
      <c r="F21" s="13"/>
      <c r="G21" s="12"/>
      <c r="H21" s="14" t="s">
        <v>153</v>
      </c>
      <c r="I21" s="13"/>
      <c r="J21" s="13"/>
      <c r="K21" s="13"/>
      <c r="L21" s="13"/>
      <c r="M21" s="13"/>
      <c r="N21" s="12"/>
      <c r="O21" s="14">
        <v>0.6</v>
      </c>
      <c r="P21" s="13"/>
      <c r="Q21" s="13"/>
      <c r="R21" s="13"/>
      <c r="S21" s="226" t="s">
        <v>163</v>
      </c>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2"/>
      <c r="AX21" s="123"/>
      <c r="AY21" s="123"/>
      <c r="AZ21" s="123"/>
      <c r="BA21" s="123"/>
      <c r="BB21" s="123"/>
      <c r="BC21" s="124"/>
      <c r="BD21" s="127"/>
      <c r="BE21" s="123"/>
      <c r="BF21" s="123"/>
      <c r="BG21" s="123"/>
      <c r="BH21" s="123"/>
      <c r="BI21" s="123"/>
      <c r="BJ21" s="124"/>
      <c r="BK21" s="18"/>
    </row>
    <row r="22" spans="1:63" ht="15" customHeight="1" x14ac:dyDescent="0.25">
      <c r="A22" s="15"/>
      <c r="B22" s="8"/>
      <c r="C22" s="7"/>
      <c r="D22" s="7"/>
      <c r="E22" s="7"/>
      <c r="F22" s="7"/>
      <c r="G22" s="6"/>
      <c r="H22" s="8"/>
      <c r="I22" s="7"/>
      <c r="J22" s="7"/>
      <c r="K22" s="7"/>
      <c r="L22" s="7"/>
      <c r="M22" s="7"/>
      <c r="N22" s="6"/>
      <c r="O22" s="8"/>
      <c r="P22" s="7"/>
      <c r="Q22" s="7"/>
      <c r="R22" s="7"/>
      <c r="S22" s="129" t="s">
        <v>167</v>
      </c>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1"/>
      <c r="AX22" s="125"/>
      <c r="AY22" s="125"/>
      <c r="AZ22" s="125"/>
      <c r="BA22" s="125"/>
      <c r="BB22" s="125"/>
      <c r="BC22" s="126"/>
      <c r="BD22" s="128"/>
      <c r="BE22" s="125"/>
      <c r="BF22" s="125"/>
      <c r="BG22" s="125"/>
      <c r="BH22" s="125"/>
      <c r="BI22" s="125"/>
      <c r="BJ22" s="126"/>
      <c r="BK22" s="18"/>
    </row>
    <row r="23" spans="1:63" ht="15" customHeight="1" x14ac:dyDescent="0.25">
      <c r="A23" s="15"/>
      <c r="B23" s="132">
        <v>45562</v>
      </c>
      <c r="C23" s="133"/>
      <c r="D23" s="133"/>
      <c r="E23" s="133"/>
      <c r="F23" s="133"/>
      <c r="G23" s="134"/>
      <c r="H23" s="138" t="s">
        <v>154</v>
      </c>
      <c r="I23" s="133"/>
      <c r="J23" s="133"/>
      <c r="K23" s="133"/>
      <c r="L23" s="133"/>
      <c r="M23" s="133"/>
      <c r="N23" s="134"/>
      <c r="O23" s="138">
        <v>0.61</v>
      </c>
      <c r="P23" s="133"/>
      <c r="Q23" s="133"/>
      <c r="R23" s="133"/>
      <c r="S23" s="139" t="s">
        <v>163</v>
      </c>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1"/>
      <c r="AX23" s="123"/>
      <c r="AY23" s="123"/>
      <c r="AZ23" s="123"/>
      <c r="BA23" s="123"/>
      <c r="BB23" s="123"/>
      <c r="BC23" s="124"/>
      <c r="BD23" s="127"/>
      <c r="BE23" s="123"/>
      <c r="BF23" s="123"/>
      <c r="BG23" s="123"/>
      <c r="BH23" s="123"/>
      <c r="BI23" s="123"/>
      <c r="BJ23" s="124"/>
      <c r="BK23" s="18"/>
    </row>
    <row r="24" spans="1:63" ht="15" customHeight="1" x14ac:dyDescent="0.25">
      <c r="A24" s="15"/>
      <c r="B24" s="135"/>
      <c r="C24" s="136"/>
      <c r="D24" s="136"/>
      <c r="E24" s="136"/>
      <c r="F24" s="136"/>
      <c r="G24" s="137"/>
      <c r="H24" s="135"/>
      <c r="I24" s="136"/>
      <c r="J24" s="136"/>
      <c r="K24" s="136"/>
      <c r="L24" s="136"/>
      <c r="M24" s="136"/>
      <c r="N24" s="137"/>
      <c r="O24" s="135"/>
      <c r="P24" s="136"/>
      <c r="Q24" s="136"/>
      <c r="R24" s="136"/>
      <c r="S24" s="142" t="s">
        <v>168</v>
      </c>
      <c r="T24" s="143"/>
      <c r="U24" s="143"/>
      <c r="V24" s="143"/>
      <c r="W24" s="143"/>
      <c r="X24" s="143"/>
      <c r="Y24" s="143"/>
      <c r="Z24" s="143"/>
      <c r="AA24" s="143"/>
      <c r="AB24" s="143"/>
      <c r="AC24" s="143"/>
      <c r="AD24" s="143"/>
      <c r="AE24" s="143"/>
      <c r="AF24" s="143"/>
      <c r="AG24" s="143"/>
      <c r="AH24" s="143"/>
      <c r="AI24" s="143"/>
      <c r="AJ24" s="143"/>
      <c r="AK24" s="143"/>
      <c r="AL24" s="143"/>
      <c r="AM24" s="143"/>
      <c r="AN24" s="143"/>
      <c r="AO24" s="143"/>
      <c r="AP24" s="143"/>
      <c r="AQ24" s="143"/>
      <c r="AR24" s="143"/>
      <c r="AS24" s="143"/>
      <c r="AT24" s="143"/>
      <c r="AU24" s="143"/>
      <c r="AV24" s="143"/>
      <c r="AW24" s="144"/>
      <c r="AX24" s="125"/>
      <c r="AY24" s="125"/>
      <c r="AZ24" s="125"/>
      <c r="BA24" s="125"/>
      <c r="BB24" s="125"/>
      <c r="BC24" s="126"/>
      <c r="BD24" s="128"/>
      <c r="BE24" s="125"/>
      <c r="BF24" s="125"/>
      <c r="BG24" s="125"/>
      <c r="BH24" s="125"/>
      <c r="BI24" s="125"/>
      <c r="BJ24" s="126"/>
      <c r="BK24" s="18"/>
    </row>
    <row r="25" spans="1:63" ht="15" customHeight="1" x14ac:dyDescent="0.25">
      <c r="A25" s="15"/>
      <c r="B25" s="132">
        <v>45567</v>
      </c>
      <c r="C25" s="133"/>
      <c r="D25" s="133"/>
      <c r="E25" s="133"/>
      <c r="F25" s="133"/>
      <c r="G25" s="134"/>
      <c r="H25" s="138" t="s">
        <v>140</v>
      </c>
      <c r="I25" s="133"/>
      <c r="J25" s="133"/>
      <c r="K25" s="133"/>
      <c r="L25" s="133"/>
      <c r="M25" s="133"/>
      <c r="N25" s="134"/>
      <c r="O25" s="138">
        <v>0.7</v>
      </c>
      <c r="P25" s="133"/>
      <c r="Q25" s="133"/>
      <c r="R25" s="133"/>
      <c r="S25" s="139" t="s">
        <v>169</v>
      </c>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1"/>
      <c r="AX25" s="123"/>
      <c r="AY25" s="123"/>
      <c r="AZ25" s="123"/>
      <c r="BA25" s="123"/>
      <c r="BB25" s="123"/>
      <c r="BC25" s="124"/>
      <c r="BD25" s="127"/>
      <c r="BE25" s="123"/>
      <c r="BF25" s="123"/>
      <c r="BG25" s="123"/>
      <c r="BH25" s="123"/>
      <c r="BI25" s="123"/>
      <c r="BJ25" s="124"/>
      <c r="BK25" s="18"/>
    </row>
    <row r="26" spans="1:63" ht="15" customHeight="1" x14ac:dyDescent="0.25">
      <c r="A26" s="15"/>
      <c r="B26" s="135"/>
      <c r="C26" s="136"/>
      <c r="D26" s="136"/>
      <c r="E26" s="136"/>
      <c r="F26" s="136"/>
      <c r="G26" s="137"/>
      <c r="H26" s="135"/>
      <c r="I26" s="136"/>
      <c r="J26" s="136"/>
      <c r="K26" s="136"/>
      <c r="L26" s="136"/>
      <c r="M26" s="136"/>
      <c r="N26" s="137"/>
      <c r="O26" s="135"/>
      <c r="P26" s="136"/>
      <c r="Q26" s="136"/>
      <c r="R26" s="136"/>
      <c r="S26" s="142" t="s">
        <v>152</v>
      </c>
      <c r="T26" s="143"/>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44"/>
      <c r="AX26" s="125"/>
      <c r="AY26" s="125"/>
      <c r="AZ26" s="125"/>
      <c r="BA26" s="125"/>
      <c r="BB26" s="125"/>
      <c r="BC26" s="126"/>
      <c r="BD26" s="128"/>
      <c r="BE26" s="125"/>
      <c r="BF26" s="125"/>
      <c r="BG26" s="125"/>
      <c r="BH26" s="125"/>
      <c r="BI26" s="125"/>
      <c r="BJ26" s="126"/>
      <c r="BK26" s="18"/>
    </row>
    <row r="27" spans="1:63" ht="15" customHeight="1" x14ac:dyDescent="0.25">
      <c r="A27" s="15"/>
      <c r="B27" s="132">
        <v>45567</v>
      </c>
      <c r="C27" s="133"/>
      <c r="D27" s="133"/>
      <c r="E27" s="133"/>
      <c r="F27" s="133"/>
      <c r="G27" s="134"/>
      <c r="H27" s="138" t="s">
        <v>14</v>
      </c>
      <c r="I27" s="133"/>
      <c r="J27" s="133"/>
      <c r="K27" s="133"/>
      <c r="L27" s="133"/>
      <c r="M27" s="133"/>
      <c r="N27" s="134"/>
      <c r="O27" s="138">
        <v>0.71</v>
      </c>
      <c r="P27" s="133"/>
      <c r="Q27" s="133"/>
      <c r="R27" s="133"/>
      <c r="S27" s="139" t="s">
        <v>171</v>
      </c>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1"/>
      <c r="AX27" s="123"/>
      <c r="AY27" s="123"/>
      <c r="AZ27" s="123"/>
      <c r="BA27" s="123"/>
      <c r="BB27" s="123"/>
      <c r="BC27" s="124"/>
      <c r="BD27" s="127"/>
      <c r="BE27" s="123"/>
      <c r="BF27" s="123"/>
      <c r="BG27" s="123"/>
      <c r="BH27" s="123"/>
      <c r="BI27" s="123"/>
      <c r="BJ27" s="124"/>
      <c r="BK27" s="18"/>
    </row>
    <row r="28" spans="1:63" ht="15" customHeight="1" x14ac:dyDescent="0.25">
      <c r="A28" s="15"/>
      <c r="B28" s="135"/>
      <c r="C28" s="136"/>
      <c r="D28" s="136"/>
      <c r="E28" s="136"/>
      <c r="F28" s="136"/>
      <c r="G28" s="137"/>
      <c r="H28" s="135"/>
      <c r="I28" s="136"/>
      <c r="J28" s="136"/>
      <c r="K28" s="136"/>
      <c r="L28" s="136"/>
      <c r="M28" s="136"/>
      <c r="N28" s="137"/>
      <c r="O28" s="135"/>
      <c r="P28" s="136"/>
      <c r="Q28" s="136"/>
      <c r="R28" s="136"/>
      <c r="S28" s="142" t="s">
        <v>170</v>
      </c>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4"/>
      <c r="AX28" s="125"/>
      <c r="AY28" s="125"/>
      <c r="AZ28" s="125"/>
      <c r="BA28" s="125"/>
      <c r="BB28" s="125"/>
      <c r="BC28" s="126"/>
      <c r="BD28" s="128"/>
      <c r="BE28" s="125"/>
      <c r="BF28" s="125"/>
      <c r="BG28" s="125"/>
      <c r="BH28" s="125"/>
      <c r="BI28" s="125"/>
      <c r="BJ28" s="126"/>
      <c r="BK28" s="18"/>
    </row>
    <row r="29" spans="1:63" ht="15" customHeight="1" x14ac:dyDescent="0.25">
      <c r="A29" s="15"/>
      <c r="B29" s="14"/>
      <c r="C29" s="13"/>
      <c r="D29" s="13"/>
      <c r="E29" s="13"/>
      <c r="F29" s="13"/>
      <c r="G29" s="12"/>
      <c r="H29" s="14"/>
      <c r="I29" s="13"/>
      <c r="J29" s="13"/>
      <c r="K29" s="13"/>
      <c r="L29" s="13"/>
      <c r="M29" s="13"/>
      <c r="N29" s="12"/>
      <c r="O29" s="14"/>
      <c r="P29" s="13"/>
      <c r="Q29" s="13"/>
      <c r="R29" s="13"/>
      <c r="S29" s="120"/>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2"/>
      <c r="AX29" s="123"/>
      <c r="AY29" s="123"/>
      <c r="AZ29" s="123"/>
      <c r="BA29" s="123"/>
      <c r="BB29" s="123"/>
      <c r="BC29" s="124"/>
      <c r="BD29" s="127"/>
      <c r="BE29" s="123"/>
      <c r="BF29" s="123"/>
      <c r="BG29" s="123"/>
      <c r="BH29" s="123"/>
      <c r="BI29" s="123"/>
      <c r="BJ29" s="124"/>
      <c r="BK29" s="18"/>
    </row>
    <row r="30" spans="1:63" ht="15" customHeight="1" x14ac:dyDescent="0.25">
      <c r="A30" s="15"/>
      <c r="B30" s="8"/>
      <c r="C30" s="7"/>
      <c r="D30" s="7"/>
      <c r="E30" s="7"/>
      <c r="F30" s="7"/>
      <c r="G30" s="6"/>
      <c r="H30" s="8"/>
      <c r="I30" s="7"/>
      <c r="J30" s="7"/>
      <c r="K30" s="7"/>
      <c r="L30" s="7"/>
      <c r="M30" s="7"/>
      <c r="N30" s="6"/>
      <c r="O30" s="8"/>
      <c r="P30" s="7"/>
      <c r="Q30" s="7"/>
      <c r="R30" s="7"/>
      <c r="S30" s="129"/>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1"/>
      <c r="AX30" s="125"/>
      <c r="AY30" s="125"/>
      <c r="AZ30" s="125"/>
      <c r="BA30" s="125"/>
      <c r="BB30" s="125"/>
      <c r="BC30" s="126"/>
      <c r="BD30" s="128"/>
      <c r="BE30" s="125"/>
      <c r="BF30" s="125"/>
      <c r="BG30" s="125"/>
      <c r="BH30" s="125"/>
      <c r="BI30" s="125"/>
      <c r="BJ30" s="126"/>
      <c r="BK30" s="18"/>
    </row>
    <row r="31" spans="1:63" ht="15" customHeight="1" x14ac:dyDescent="0.25">
      <c r="A31" s="15"/>
      <c r="B31" s="14"/>
      <c r="C31" s="13"/>
      <c r="D31" s="13"/>
      <c r="E31" s="13"/>
      <c r="F31" s="13"/>
      <c r="G31" s="12"/>
      <c r="H31" s="14"/>
      <c r="I31" s="13"/>
      <c r="J31" s="13"/>
      <c r="K31" s="13"/>
      <c r="L31" s="13"/>
      <c r="M31" s="13"/>
      <c r="N31" s="12"/>
      <c r="O31" s="14"/>
      <c r="P31" s="13"/>
      <c r="Q31" s="13"/>
      <c r="R31" s="13"/>
      <c r="S31" s="120"/>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2"/>
      <c r="AX31" s="123"/>
      <c r="AY31" s="123"/>
      <c r="AZ31" s="123"/>
      <c r="BA31" s="123"/>
      <c r="BB31" s="123"/>
      <c r="BC31" s="124"/>
      <c r="BD31" s="127"/>
      <c r="BE31" s="123"/>
      <c r="BF31" s="123"/>
      <c r="BG31" s="123"/>
      <c r="BH31" s="123"/>
      <c r="BI31" s="123"/>
      <c r="BJ31" s="124"/>
      <c r="BK31" s="18"/>
    </row>
    <row r="32" spans="1:63" ht="15" customHeight="1" x14ac:dyDescent="0.25">
      <c r="A32" s="15"/>
      <c r="B32" s="8"/>
      <c r="C32" s="7"/>
      <c r="D32" s="7"/>
      <c r="E32" s="7"/>
      <c r="F32" s="7"/>
      <c r="G32" s="6"/>
      <c r="H32" s="8"/>
      <c r="I32" s="7"/>
      <c r="J32" s="7"/>
      <c r="K32" s="7"/>
      <c r="L32" s="7"/>
      <c r="M32" s="7"/>
      <c r="N32" s="6"/>
      <c r="O32" s="8"/>
      <c r="P32" s="7"/>
      <c r="Q32" s="7"/>
      <c r="R32" s="7"/>
      <c r="S32" s="129"/>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1"/>
      <c r="AX32" s="125"/>
      <c r="AY32" s="125"/>
      <c r="AZ32" s="125"/>
      <c r="BA32" s="125"/>
      <c r="BB32" s="125"/>
      <c r="BC32" s="126"/>
      <c r="BD32" s="128"/>
      <c r="BE32" s="125"/>
      <c r="BF32" s="125"/>
      <c r="BG32" s="125"/>
      <c r="BH32" s="125"/>
      <c r="BI32" s="125"/>
      <c r="BJ32" s="126"/>
      <c r="BK32" s="18"/>
    </row>
    <row r="33" spans="1:63" ht="15" customHeight="1" x14ac:dyDescent="0.25">
      <c r="A33" s="15"/>
      <c r="B33" s="14"/>
      <c r="C33" s="13"/>
      <c r="D33" s="13"/>
      <c r="E33" s="13"/>
      <c r="F33" s="13"/>
      <c r="G33" s="12"/>
      <c r="H33" s="14"/>
      <c r="I33" s="13"/>
      <c r="J33" s="13"/>
      <c r="K33" s="13"/>
      <c r="L33" s="13"/>
      <c r="M33" s="13"/>
      <c r="N33" s="12"/>
      <c r="O33" s="14"/>
      <c r="P33" s="13"/>
      <c r="Q33" s="13"/>
      <c r="R33" s="13"/>
      <c r="S33" s="120"/>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2"/>
      <c r="AX33" s="123"/>
      <c r="AY33" s="123"/>
      <c r="AZ33" s="123"/>
      <c r="BA33" s="123"/>
      <c r="BB33" s="123"/>
      <c r="BC33" s="124"/>
      <c r="BD33" s="127"/>
      <c r="BE33" s="123"/>
      <c r="BF33" s="123"/>
      <c r="BG33" s="123"/>
      <c r="BH33" s="123"/>
      <c r="BI33" s="123"/>
      <c r="BJ33" s="124"/>
      <c r="BK33" s="18"/>
    </row>
    <row r="34" spans="1:63" ht="15" customHeight="1" x14ac:dyDescent="0.25">
      <c r="A34" s="15"/>
      <c r="B34" s="8"/>
      <c r="C34" s="7"/>
      <c r="D34" s="7"/>
      <c r="E34" s="7"/>
      <c r="F34" s="7"/>
      <c r="G34" s="6"/>
      <c r="H34" s="8"/>
      <c r="I34" s="7"/>
      <c r="J34" s="7"/>
      <c r="K34" s="7"/>
      <c r="L34" s="7"/>
      <c r="M34" s="7"/>
      <c r="N34" s="6"/>
      <c r="O34" s="8"/>
      <c r="P34" s="7"/>
      <c r="Q34" s="7"/>
      <c r="R34" s="7"/>
      <c r="S34" s="129"/>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1"/>
      <c r="AX34" s="125"/>
      <c r="AY34" s="125"/>
      <c r="AZ34" s="125"/>
      <c r="BA34" s="125"/>
      <c r="BB34" s="125"/>
      <c r="BC34" s="126"/>
      <c r="BD34" s="128"/>
      <c r="BE34" s="125"/>
      <c r="BF34" s="125"/>
      <c r="BG34" s="125"/>
      <c r="BH34" s="125"/>
      <c r="BI34" s="125"/>
      <c r="BJ34" s="126"/>
      <c r="BK34" s="18"/>
    </row>
    <row r="35" spans="1:63" ht="15" customHeight="1" x14ac:dyDescent="0.25">
      <c r="A35" s="15"/>
      <c r="B35" s="14"/>
      <c r="C35" s="13"/>
      <c r="D35" s="13"/>
      <c r="E35" s="13"/>
      <c r="F35" s="13"/>
      <c r="G35" s="12"/>
      <c r="H35" s="14"/>
      <c r="I35" s="13"/>
      <c r="J35" s="13"/>
      <c r="K35" s="13"/>
      <c r="L35" s="13"/>
      <c r="M35" s="13"/>
      <c r="N35" s="12"/>
      <c r="O35" s="14"/>
      <c r="P35" s="13"/>
      <c r="Q35" s="13"/>
      <c r="R35" s="13"/>
      <c r="S35" s="120"/>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2"/>
      <c r="AX35" s="123"/>
      <c r="AY35" s="123"/>
      <c r="AZ35" s="123"/>
      <c r="BA35" s="123"/>
      <c r="BB35" s="123"/>
      <c r="BC35" s="124"/>
      <c r="BD35" s="127"/>
      <c r="BE35" s="123"/>
      <c r="BF35" s="123"/>
      <c r="BG35" s="123"/>
      <c r="BH35" s="123"/>
      <c r="BI35" s="123"/>
      <c r="BJ35" s="124"/>
      <c r="BK35" s="18"/>
    </row>
    <row r="36" spans="1:63" ht="15" customHeight="1" x14ac:dyDescent="0.25">
      <c r="A36" s="15"/>
      <c r="B36" s="8"/>
      <c r="C36" s="7"/>
      <c r="D36" s="7"/>
      <c r="E36" s="7"/>
      <c r="F36" s="7"/>
      <c r="G36" s="6"/>
      <c r="H36" s="8"/>
      <c r="I36" s="7"/>
      <c r="J36" s="7"/>
      <c r="K36" s="7"/>
      <c r="L36" s="7"/>
      <c r="M36" s="7"/>
      <c r="N36" s="6"/>
      <c r="O36" s="8"/>
      <c r="P36" s="7"/>
      <c r="Q36" s="7"/>
      <c r="R36" s="7"/>
      <c r="S36" s="129"/>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1"/>
      <c r="AX36" s="125"/>
      <c r="AY36" s="125"/>
      <c r="AZ36" s="125"/>
      <c r="BA36" s="125"/>
      <c r="BB36" s="125"/>
      <c r="BC36" s="126"/>
      <c r="BD36" s="128"/>
      <c r="BE36" s="125"/>
      <c r="BF36" s="125"/>
      <c r="BG36" s="125"/>
      <c r="BH36" s="125"/>
      <c r="BI36" s="125"/>
      <c r="BJ36" s="126"/>
      <c r="BK36" s="18"/>
    </row>
    <row r="37" spans="1:63" ht="15" customHeight="1" x14ac:dyDescent="0.25">
      <c r="A37" s="15"/>
      <c r="B37" s="14"/>
      <c r="C37" s="13"/>
      <c r="D37" s="13"/>
      <c r="E37" s="13"/>
      <c r="F37" s="13"/>
      <c r="G37" s="12"/>
      <c r="H37" s="14"/>
      <c r="I37" s="13"/>
      <c r="J37" s="13"/>
      <c r="K37" s="13"/>
      <c r="L37" s="13"/>
      <c r="M37" s="13"/>
      <c r="N37" s="12"/>
      <c r="O37" s="14"/>
      <c r="P37" s="13"/>
      <c r="Q37" s="13"/>
      <c r="R37" s="13"/>
      <c r="S37" s="120"/>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2"/>
      <c r="AX37" s="123"/>
      <c r="AY37" s="123"/>
      <c r="AZ37" s="123"/>
      <c r="BA37" s="123"/>
      <c r="BB37" s="123"/>
      <c r="BC37" s="124"/>
      <c r="BD37" s="127"/>
      <c r="BE37" s="123"/>
      <c r="BF37" s="123"/>
      <c r="BG37" s="123"/>
      <c r="BH37" s="123"/>
      <c r="BI37" s="123"/>
      <c r="BJ37" s="124"/>
      <c r="BK37" s="18"/>
    </row>
    <row r="38" spans="1:63" ht="15" customHeight="1" x14ac:dyDescent="0.25">
      <c r="A38" s="15"/>
      <c r="B38" s="8"/>
      <c r="C38" s="7"/>
      <c r="D38" s="7"/>
      <c r="E38" s="7"/>
      <c r="F38" s="7"/>
      <c r="G38" s="6"/>
      <c r="H38" s="8"/>
      <c r="I38" s="7"/>
      <c r="J38" s="7"/>
      <c r="K38" s="7"/>
      <c r="L38" s="7"/>
      <c r="M38" s="7"/>
      <c r="N38" s="6"/>
      <c r="O38" s="8"/>
      <c r="P38" s="7"/>
      <c r="Q38" s="7"/>
      <c r="R38" s="7"/>
      <c r="S38" s="129"/>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1"/>
      <c r="AX38" s="125"/>
      <c r="AY38" s="125"/>
      <c r="AZ38" s="125"/>
      <c r="BA38" s="125"/>
      <c r="BB38" s="125"/>
      <c r="BC38" s="126"/>
      <c r="BD38" s="128"/>
      <c r="BE38" s="125"/>
      <c r="BF38" s="125"/>
      <c r="BG38" s="125"/>
      <c r="BH38" s="125"/>
      <c r="BI38" s="125"/>
      <c r="BJ38" s="126"/>
      <c r="BK38" s="18"/>
    </row>
    <row r="39" spans="1:63" ht="15" customHeight="1" x14ac:dyDescent="0.25">
      <c r="A39" s="15"/>
      <c r="B39" s="14"/>
      <c r="C39" s="13"/>
      <c r="D39" s="13"/>
      <c r="E39" s="13"/>
      <c r="F39" s="13"/>
      <c r="G39" s="12"/>
      <c r="H39" s="14"/>
      <c r="I39" s="13"/>
      <c r="J39" s="13"/>
      <c r="K39" s="13"/>
      <c r="L39" s="13"/>
      <c r="M39" s="13"/>
      <c r="N39" s="12"/>
      <c r="O39" s="14"/>
      <c r="P39" s="13"/>
      <c r="Q39" s="13"/>
      <c r="R39" s="13"/>
      <c r="S39" s="120"/>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2"/>
      <c r="AX39" s="123"/>
      <c r="AY39" s="123"/>
      <c r="AZ39" s="123"/>
      <c r="BA39" s="123"/>
      <c r="BB39" s="123"/>
      <c r="BC39" s="124"/>
      <c r="BD39" s="127"/>
      <c r="BE39" s="123"/>
      <c r="BF39" s="123"/>
      <c r="BG39" s="123"/>
      <c r="BH39" s="123"/>
      <c r="BI39" s="123"/>
      <c r="BJ39" s="124"/>
      <c r="BK39" s="18"/>
    </row>
    <row r="40" spans="1:63" ht="15" customHeight="1" x14ac:dyDescent="0.25">
      <c r="A40" s="15"/>
      <c r="B40" s="8"/>
      <c r="C40" s="7"/>
      <c r="D40" s="7"/>
      <c r="E40" s="7"/>
      <c r="F40" s="7"/>
      <c r="G40" s="6"/>
      <c r="H40" s="8"/>
      <c r="I40" s="7"/>
      <c r="J40" s="7"/>
      <c r="K40" s="7"/>
      <c r="L40" s="7"/>
      <c r="M40" s="7"/>
      <c r="N40" s="6"/>
      <c r="O40" s="8"/>
      <c r="P40" s="7"/>
      <c r="Q40" s="7"/>
      <c r="R40" s="7"/>
      <c r="S40" s="129"/>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1"/>
      <c r="AX40" s="125"/>
      <c r="AY40" s="125"/>
      <c r="AZ40" s="125"/>
      <c r="BA40" s="125"/>
      <c r="BB40" s="125"/>
      <c r="BC40" s="126"/>
      <c r="BD40" s="128"/>
      <c r="BE40" s="125"/>
      <c r="BF40" s="125"/>
      <c r="BG40" s="125"/>
      <c r="BH40" s="125"/>
      <c r="BI40" s="125"/>
      <c r="BJ40" s="126"/>
      <c r="BK40" s="18"/>
    </row>
    <row r="41" spans="1:63" ht="15" customHeight="1" x14ac:dyDescent="0.25">
      <c r="A41" s="15"/>
      <c r="B41" s="14"/>
      <c r="C41" s="13"/>
      <c r="D41" s="13"/>
      <c r="E41" s="13"/>
      <c r="F41" s="13"/>
      <c r="G41" s="12"/>
      <c r="H41" s="14"/>
      <c r="I41" s="13"/>
      <c r="J41" s="13"/>
      <c r="K41" s="13"/>
      <c r="L41" s="13"/>
      <c r="M41" s="13"/>
      <c r="N41" s="12"/>
      <c r="O41" s="14"/>
      <c r="P41" s="13"/>
      <c r="Q41" s="13"/>
      <c r="R41" s="13"/>
      <c r="S41" s="120"/>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2"/>
      <c r="AX41" s="123"/>
      <c r="AY41" s="123"/>
      <c r="AZ41" s="123"/>
      <c r="BA41" s="123"/>
      <c r="BB41" s="123"/>
      <c r="BC41" s="124"/>
      <c r="BD41" s="127"/>
      <c r="BE41" s="123"/>
      <c r="BF41" s="123"/>
      <c r="BG41" s="123"/>
      <c r="BH41" s="123"/>
      <c r="BI41" s="123"/>
      <c r="BJ41" s="124"/>
      <c r="BK41" s="18"/>
    </row>
    <row r="42" spans="1:63" ht="15" customHeight="1" x14ac:dyDescent="0.25">
      <c r="A42" s="15"/>
      <c r="B42" s="8"/>
      <c r="C42" s="7"/>
      <c r="D42" s="7"/>
      <c r="E42" s="7"/>
      <c r="F42" s="7"/>
      <c r="G42" s="6"/>
      <c r="H42" s="8"/>
      <c r="I42" s="7"/>
      <c r="J42" s="7"/>
      <c r="K42" s="7"/>
      <c r="L42" s="7"/>
      <c r="M42" s="7"/>
      <c r="N42" s="6"/>
      <c r="O42" s="8"/>
      <c r="P42" s="7"/>
      <c r="Q42" s="7"/>
      <c r="R42" s="7"/>
      <c r="S42" s="129"/>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1"/>
      <c r="AX42" s="125"/>
      <c r="AY42" s="125"/>
      <c r="AZ42" s="125"/>
      <c r="BA42" s="125"/>
      <c r="BB42" s="125"/>
      <c r="BC42" s="126"/>
      <c r="BD42" s="128"/>
      <c r="BE42" s="125"/>
      <c r="BF42" s="125"/>
      <c r="BG42" s="125"/>
      <c r="BH42" s="125"/>
      <c r="BI42" s="125"/>
      <c r="BJ42" s="126"/>
      <c r="BK42" s="18"/>
    </row>
    <row r="43" spans="1:63" ht="15" customHeight="1" x14ac:dyDescent="0.25">
      <c r="A43" s="15"/>
      <c r="B43" s="14"/>
      <c r="C43" s="13"/>
      <c r="D43" s="13"/>
      <c r="E43" s="13"/>
      <c r="F43" s="13"/>
      <c r="G43" s="12"/>
      <c r="H43" s="14"/>
      <c r="I43" s="13"/>
      <c r="J43" s="13"/>
      <c r="K43" s="13"/>
      <c r="L43" s="13"/>
      <c r="M43" s="13"/>
      <c r="N43" s="12"/>
      <c r="O43" s="14"/>
      <c r="P43" s="13"/>
      <c r="Q43" s="13"/>
      <c r="R43" s="13"/>
      <c r="S43" s="120"/>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2"/>
      <c r="AX43" s="123"/>
      <c r="AY43" s="123"/>
      <c r="AZ43" s="123"/>
      <c r="BA43" s="123"/>
      <c r="BB43" s="123"/>
      <c r="BC43" s="124"/>
      <c r="BD43" s="127"/>
      <c r="BE43" s="123"/>
      <c r="BF43" s="123"/>
      <c r="BG43" s="123"/>
      <c r="BH43" s="123"/>
      <c r="BI43" s="123"/>
      <c r="BJ43" s="124"/>
      <c r="BK43" s="18"/>
    </row>
    <row r="44" spans="1:63" ht="15" customHeight="1" x14ac:dyDescent="0.25">
      <c r="A44" s="15"/>
      <c r="B44" s="8"/>
      <c r="C44" s="7"/>
      <c r="D44" s="7"/>
      <c r="E44" s="7"/>
      <c r="F44" s="7"/>
      <c r="G44" s="6"/>
      <c r="H44" s="8"/>
      <c r="I44" s="7"/>
      <c r="J44" s="7"/>
      <c r="K44" s="7"/>
      <c r="L44" s="7"/>
      <c r="M44" s="7"/>
      <c r="N44" s="6"/>
      <c r="O44" s="8"/>
      <c r="P44" s="7"/>
      <c r="Q44" s="7"/>
      <c r="R44" s="7"/>
      <c r="S44" s="129"/>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1"/>
      <c r="AX44" s="125"/>
      <c r="AY44" s="125"/>
      <c r="AZ44" s="125"/>
      <c r="BA44" s="125"/>
      <c r="BB44" s="125"/>
      <c r="BC44" s="126"/>
      <c r="BD44" s="128"/>
      <c r="BE44" s="125"/>
      <c r="BF44" s="125"/>
      <c r="BG44" s="125"/>
      <c r="BH44" s="125"/>
      <c r="BI44" s="125"/>
      <c r="BJ44" s="126"/>
      <c r="BK44" s="18"/>
    </row>
    <row r="45" spans="1:63" ht="15" customHeight="1" x14ac:dyDescent="0.25">
      <c r="A45" s="15"/>
      <c r="B45" s="14"/>
      <c r="C45" s="13"/>
      <c r="D45" s="13"/>
      <c r="E45" s="13"/>
      <c r="F45" s="13"/>
      <c r="G45" s="12"/>
      <c r="H45" s="14"/>
      <c r="I45" s="13"/>
      <c r="J45" s="13"/>
      <c r="K45" s="13"/>
      <c r="L45" s="13"/>
      <c r="M45" s="13"/>
      <c r="N45" s="12"/>
      <c r="O45" s="14"/>
      <c r="P45" s="13"/>
      <c r="Q45" s="13"/>
      <c r="R45" s="13"/>
      <c r="S45" s="120"/>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2"/>
      <c r="AX45" s="123"/>
      <c r="AY45" s="123"/>
      <c r="AZ45" s="123"/>
      <c r="BA45" s="123"/>
      <c r="BB45" s="123"/>
      <c r="BC45" s="124"/>
      <c r="BD45" s="127"/>
      <c r="BE45" s="123"/>
      <c r="BF45" s="123"/>
      <c r="BG45" s="123"/>
      <c r="BH45" s="123"/>
      <c r="BI45" s="123"/>
      <c r="BJ45" s="124"/>
      <c r="BK45" s="18"/>
    </row>
    <row r="46" spans="1:63" ht="15" customHeight="1" x14ac:dyDescent="0.25">
      <c r="A46" s="15"/>
      <c r="B46" s="8"/>
      <c r="C46" s="7"/>
      <c r="D46" s="7"/>
      <c r="E46" s="7"/>
      <c r="F46" s="7"/>
      <c r="G46" s="6"/>
      <c r="H46" s="8"/>
      <c r="I46" s="7"/>
      <c r="J46" s="7"/>
      <c r="K46" s="7"/>
      <c r="L46" s="7"/>
      <c r="M46" s="7"/>
      <c r="N46" s="6"/>
      <c r="O46" s="8"/>
      <c r="P46" s="7"/>
      <c r="Q46" s="7"/>
      <c r="R46" s="7"/>
      <c r="S46" s="129"/>
      <c r="T46" s="130"/>
      <c r="U46" s="130"/>
      <c r="V46" s="130"/>
      <c r="W46" s="130"/>
      <c r="X46" s="130"/>
      <c r="Y46" s="130"/>
      <c r="Z46" s="130"/>
      <c r="AA46" s="130"/>
      <c r="AB46" s="130"/>
      <c r="AC46" s="130"/>
      <c r="AD46" s="130"/>
      <c r="AE46" s="130"/>
      <c r="AF46" s="130"/>
      <c r="AG46" s="130"/>
      <c r="AH46" s="130"/>
      <c r="AI46" s="130"/>
      <c r="AJ46" s="130"/>
      <c r="AK46" s="130"/>
      <c r="AL46" s="130"/>
      <c r="AM46" s="130"/>
      <c r="AN46" s="130"/>
      <c r="AO46" s="130"/>
      <c r="AP46" s="130"/>
      <c r="AQ46" s="130"/>
      <c r="AR46" s="130"/>
      <c r="AS46" s="130"/>
      <c r="AT46" s="130"/>
      <c r="AU46" s="130"/>
      <c r="AV46" s="130"/>
      <c r="AW46" s="131"/>
      <c r="AX46" s="125"/>
      <c r="AY46" s="125"/>
      <c r="AZ46" s="125"/>
      <c r="BA46" s="125"/>
      <c r="BB46" s="125"/>
      <c r="BC46" s="126"/>
      <c r="BD46" s="128"/>
      <c r="BE46" s="125"/>
      <c r="BF46" s="125"/>
      <c r="BG46" s="125"/>
      <c r="BH46" s="125"/>
      <c r="BI46" s="125"/>
      <c r="BJ46" s="126"/>
      <c r="BK46" s="18"/>
    </row>
    <row r="47" spans="1:63" ht="15" customHeight="1" x14ac:dyDescent="0.25">
      <c r="A47" s="15"/>
      <c r="B47" s="14"/>
      <c r="C47" s="13"/>
      <c r="D47" s="13"/>
      <c r="E47" s="13"/>
      <c r="F47" s="13"/>
      <c r="G47" s="12"/>
      <c r="H47" s="14"/>
      <c r="I47" s="13"/>
      <c r="J47" s="13"/>
      <c r="K47" s="13"/>
      <c r="L47" s="13"/>
      <c r="M47" s="13"/>
      <c r="N47" s="12"/>
      <c r="O47" s="14"/>
      <c r="P47" s="13"/>
      <c r="Q47" s="13"/>
      <c r="R47" s="13"/>
      <c r="S47" s="120"/>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2"/>
      <c r="AX47" s="123"/>
      <c r="AY47" s="123"/>
      <c r="AZ47" s="123"/>
      <c r="BA47" s="123"/>
      <c r="BB47" s="123"/>
      <c r="BC47" s="124"/>
      <c r="BD47" s="127"/>
      <c r="BE47" s="123"/>
      <c r="BF47" s="123"/>
      <c r="BG47" s="123"/>
      <c r="BH47" s="123"/>
      <c r="BI47" s="123"/>
      <c r="BJ47" s="124"/>
      <c r="BK47" s="18"/>
    </row>
    <row r="48" spans="1:63" ht="15" customHeight="1" x14ac:dyDescent="0.25">
      <c r="A48" s="15"/>
      <c r="B48" s="8"/>
      <c r="C48" s="7"/>
      <c r="D48" s="7"/>
      <c r="E48" s="7"/>
      <c r="F48" s="7"/>
      <c r="G48" s="6"/>
      <c r="H48" s="8"/>
      <c r="I48" s="7"/>
      <c r="J48" s="7"/>
      <c r="K48" s="7"/>
      <c r="L48" s="7"/>
      <c r="M48" s="7"/>
      <c r="N48" s="6"/>
      <c r="O48" s="8"/>
      <c r="P48" s="7"/>
      <c r="Q48" s="7"/>
      <c r="R48" s="7"/>
      <c r="S48" s="129"/>
      <c r="T48" s="130"/>
      <c r="U48" s="130"/>
      <c r="V48" s="130"/>
      <c r="W48" s="130"/>
      <c r="X48" s="130"/>
      <c r="Y48" s="130"/>
      <c r="Z48" s="130"/>
      <c r="AA48" s="130"/>
      <c r="AB48" s="130"/>
      <c r="AC48" s="130"/>
      <c r="AD48" s="130"/>
      <c r="AE48" s="130"/>
      <c r="AF48" s="130"/>
      <c r="AG48" s="130"/>
      <c r="AH48" s="130"/>
      <c r="AI48" s="130"/>
      <c r="AJ48" s="130"/>
      <c r="AK48" s="130"/>
      <c r="AL48" s="130"/>
      <c r="AM48" s="130"/>
      <c r="AN48" s="130"/>
      <c r="AO48" s="130"/>
      <c r="AP48" s="130"/>
      <c r="AQ48" s="130"/>
      <c r="AR48" s="130"/>
      <c r="AS48" s="130"/>
      <c r="AT48" s="130"/>
      <c r="AU48" s="130"/>
      <c r="AV48" s="130"/>
      <c r="AW48" s="131"/>
      <c r="AX48" s="125"/>
      <c r="AY48" s="125"/>
      <c r="AZ48" s="125"/>
      <c r="BA48" s="125"/>
      <c r="BB48" s="125"/>
      <c r="BC48" s="126"/>
      <c r="BD48" s="128"/>
      <c r="BE48" s="125"/>
      <c r="BF48" s="125"/>
      <c r="BG48" s="125"/>
      <c r="BH48" s="125"/>
      <c r="BI48" s="125"/>
      <c r="BJ48" s="126"/>
      <c r="BK48" s="18"/>
    </row>
    <row r="49" spans="1:63" ht="15" customHeight="1" x14ac:dyDescent="0.25">
      <c r="A49" s="15"/>
      <c r="B49" s="14"/>
      <c r="C49" s="13"/>
      <c r="D49" s="13"/>
      <c r="E49" s="13"/>
      <c r="F49" s="13"/>
      <c r="G49" s="12"/>
      <c r="H49" s="14"/>
      <c r="I49" s="13"/>
      <c r="J49" s="13"/>
      <c r="K49" s="13"/>
      <c r="L49" s="13"/>
      <c r="M49" s="13"/>
      <c r="N49" s="12"/>
      <c r="O49" s="14"/>
      <c r="P49" s="13"/>
      <c r="Q49" s="13"/>
      <c r="R49" s="13"/>
      <c r="S49" s="120"/>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1"/>
      <c r="AS49" s="121"/>
      <c r="AT49" s="121"/>
      <c r="AU49" s="121"/>
      <c r="AV49" s="121"/>
      <c r="AW49" s="122"/>
      <c r="AX49" s="123"/>
      <c r="AY49" s="123"/>
      <c r="AZ49" s="123"/>
      <c r="BA49" s="123"/>
      <c r="BB49" s="123"/>
      <c r="BC49" s="124"/>
      <c r="BD49" s="127"/>
      <c r="BE49" s="123"/>
      <c r="BF49" s="123"/>
      <c r="BG49" s="123"/>
      <c r="BH49" s="123"/>
      <c r="BI49" s="123"/>
      <c r="BJ49" s="124"/>
      <c r="BK49" s="18"/>
    </row>
    <row r="50" spans="1:63" ht="15" customHeight="1" x14ac:dyDescent="0.25">
      <c r="A50" s="15"/>
      <c r="B50" s="8"/>
      <c r="C50" s="7"/>
      <c r="D50" s="7"/>
      <c r="E50" s="7"/>
      <c r="F50" s="7"/>
      <c r="G50" s="6"/>
      <c r="H50" s="8"/>
      <c r="I50" s="7"/>
      <c r="J50" s="7"/>
      <c r="K50" s="7"/>
      <c r="L50" s="7"/>
      <c r="M50" s="7"/>
      <c r="N50" s="6"/>
      <c r="O50" s="8"/>
      <c r="P50" s="7"/>
      <c r="Q50" s="7"/>
      <c r="R50" s="7"/>
      <c r="S50" s="129"/>
      <c r="T50" s="130"/>
      <c r="U50" s="130"/>
      <c r="V50" s="130"/>
      <c r="W50" s="130"/>
      <c r="X50" s="130"/>
      <c r="Y50" s="130"/>
      <c r="Z50" s="130"/>
      <c r="AA50" s="130"/>
      <c r="AB50" s="130"/>
      <c r="AC50" s="130"/>
      <c r="AD50" s="130"/>
      <c r="AE50" s="130"/>
      <c r="AF50" s="130"/>
      <c r="AG50" s="130"/>
      <c r="AH50" s="130"/>
      <c r="AI50" s="130"/>
      <c r="AJ50" s="130"/>
      <c r="AK50" s="130"/>
      <c r="AL50" s="130"/>
      <c r="AM50" s="130"/>
      <c r="AN50" s="130"/>
      <c r="AO50" s="130"/>
      <c r="AP50" s="130"/>
      <c r="AQ50" s="130"/>
      <c r="AR50" s="130"/>
      <c r="AS50" s="130"/>
      <c r="AT50" s="130"/>
      <c r="AU50" s="130"/>
      <c r="AV50" s="130"/>
      <c r="AW50" s="131"/>
      <c r="AX50" s="125"/>
      <c r="AY50" s="125"/>
      <c r="AZ50" s="125"/>
      <c r="BA50" s="125"/>
      <c r="BB50" s="125"/>
      <c r="BC50" s="126"/>
      <c r="BD50" s="128"/>
      <c r="BE50" s="125"/>
      <c r="BF50" s="125"/>
      <c r="BG50" s="125"/>
      <c r="BH50" s="125"/>
      <c r="BI50" s="125"/>
      <c r="BJ50" s="126"/>
      <c r="BK50" s="18"/>
    </row>
    <row r="51" spans="1:63" ht="15" customHeight="1" x14ac:dyDescent="0.25">
      <c r="A51" s="15"/>
      <c r="B51" s="14"/>
      <c r="C51" s="13"/>
      <c r="D51" s="13"/>
      <c r="E51" s="13"/>
      <c r="F51" s="13"/>
      <c r="G51" s="12"/>
      <c r="H51" s="14"/>
      <c r="I51" s="13"/>
      <c r="J51" s="13"/>
      <c r="K51" s="13"/>
      <c r="L51" s="13"/>
      <c r="M51" s="13"/>
      <c r="N51" s="12"/>
      <c r="O51" s="14"/>
      <c r="P51" s="13"/>
      <c r="Q51" s="13"/>
      <c r="R51" s="13"/>
      <c r="S51" s="120"/>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1"/>
      <c r="AS51" s="121"/>
      <c r="AT51" s="121"/>
      <c r="AU51" s="121"/>
      <c r="AV51" s="121"/>
      <c r="AW51" s="122"/>
      <c r="AX51" s="123"/>
      <c r="AY51" s="123"/>
      <c r="AZ51" s="123"/>
      <c r="BA51" s="123"/>
      <c r="BB51" s="123"/>
      <c r="BC51" s="124"/>
      <c r="BD51" s="127"/>
      <c r="BE51" s="123"/>
      <c r="BF51" s="123"/>
      <c r="BG51" s="123"/>
      <c r="BH51" s="123"/>
      <c r="BI51" s="123"/>
      <c r="BJ51" s="124"/>
      <c r="BK51" s="18"/>
    </row>
    <row r="52" spans="1:63" ht="15" customHeight="1" x14ac:dyDescent="0.25">
      <c r="A52" s="15"/>
      <c r="B52" s="8"/>
      <c r="C52" s="7"/>
      <c r="D52" s="7"/>
      <c r="E52" s="7"/>
      <c r="F52" s="7"/>
      <c r="G52" s="6"/>
      <c r="H52" s="8"/>
      <c r="I52" s="7"/>
      <c r="J52" s="7"/>
      <c r="K52" s="7"/>
      <c r="L52" s="7"/>
      <c r="M52" s="7"/>
      <c r="N52" s="6"/>
      <c r="O52" s="8"/>
      <c r="P52" s="7"/>
      <c r="Q52" s="7"/>
      <c r="R52" s="7"/>
      <c r="S52" s="129"/>
      <c r="T52" s="130"/>
      <c r="U52" s="130"/>
      <c r="V52" s="130"/>
      <c r="W52" s="130"/>
      <c r="X52" s="130"/>
      <c r="Y52" s="130"/>
      <c r="Z52" s="130"/>
      <c r="AA52" s="130"/>
      <c r="AB52" s="130"/>
      <c r="AC52" s="130"/>
      <c r="AD52" s="130"/>
      <c r="AE52" s="130"/>
      <c r="AF52" s="130"/>
      <c r="AG52" s="130"/>
      <c r="AH52" s="130"/>
      <c r="AI52" s="130"/>
      <c r="AJ52" s="130"/>
      <c r="AK52" s="130"/>
      <c r="AL52" s="130"/>
      <c r="AM52" s="130"/>
      <c r="AN52" s="130"/>
      <c r="AO52" s="130"/>
      <c r="AP52" s="130"/>
      <c r="AQ52" s="130"/>
      <c r="AR52" s="130"/>
      <c r="AS52" s="130"/>
      <c r="AT52" s="130"/>
      <c r="AU52" s="130"/>
      <c r="AV52" s="130"/>
      <c r="AW52" s="131"/>
      <c r="AX52" s="125"/>
      <c r="AY52" s="125"/>
      <c r="AZ52" s="125"/>
      <c r="BA52" s="125"/>
      <c r="BB52" s="125"/>
      <c r="BC52" s="126"/>
      <c r="BD52" s="128"/>
      <c r="BE52" s="125"/>
      <c r="BF52" s="125"/>
      <c r="BG52" s="125"/>
      <c r="BH52" s="125"/>
      <c r="BI52" s="125"/>
      <c r="BJ52" s="126"/>
      <c r="BK52" s="18"/>
    </row>
    <row r="53" spans="1:63" ht="15" customHeight="1" x14ac:dyDescent="0.25">
      <c r="A53" s="15"/>
      <c r="B53" s="14"/>
      <c r="C53" s="13"/>
      <c r="D53" s="13"/>
      <c r="E53" s="13"/>
      <c r="F53" s="13"/>
      <c r="G53" s="12"/>
      <c r="H53" s="14"/>
      <c r="I53" s="13"/>
      <c r="J53" s="13"/>
      <c r="K53" s="13"/>
      <c r="L53" s="13"/>
      <c r="M53" s="13"/>
      <c r="N53" s="12"/>
      <c r="O53" s="14"/>
      <c r="P53" s="13"/>
      <c r="Q53" s="13"/>
      <c r="R53" s="13"/>
      <c r="S53" s="120"/>
      <c r="T53" s="121"/>
      <c r="U53" s="121"/>
      <c r="V53" s="121"/>
      <c r="W53" s="121"/>
      <c r="X53" s="121"/>
      <c r="Y53" s="121"/>
      <c r="Z53" s="121"/>
      <c r="AA53" s="121"/>
      <c r="AB53" s="121"/>
      <c r="AC53" s="121"/>
      <c r="AD53" s="121"/>
      <c r="AE53" s="121"/>
      <c r="AF53" s="121"/>
      <c r="AG53" s="121"/>
      <c r="AH53" s="121"/>
      <c r="AI53" s="121"/>
      <c r="AJ53" s="121"/>
      <c r="AK53" s="121"/>
      <c r="AL53" s="121"/>
      <c r="AM53" s="121"/>
      <c r="AN53" s="121"/>
      <c r="AO53" s="121"/>
      <c r="AP53" s="121"/>
      <c r="AQ53" s="121"/>
      <c r="AR53" s="121"/>
      <c r="AS53" s="121"/>
      <c r="AT53" s="121"/>
      <c r="AU53" s="121"/>
      <c r="AV53" s="121"/>
      <c r="AW53" s="122"/>
      <c r="AX53" s="123"/>
      <c r="AY53" s="123"/>
      <c r="AZ53" s="123"/>
      <c r="BA53" s="123"/>
      <c r="BB53" s="123"/>
      <c r="BC53" s="124"/>
      <c r="BD53" s="127"/>
      <c r="BE53" s="123"/>
      <c r="BF53" s="123"/>
      <c r="BG53" s="123"/>
      <c r="BH53" s="123"/>
      <c r="BI53" s="123"/>
      <c r="BJ53" s="124"/>
      <c r="BK53" s="18"/>
    </row>
    <row r="54" spans="1:63" ht="15" customHeight="1" x14ac:dyDescent="0.25">
      <c r="A54" s="15"/>
      <c r="B54" s="8"/>
      <c r="C54" s="7"/>
      <c r="D54" s="7"/>
      <c r="E54" s="7"/>
      <c r="F54" s="7"/>
      <c r="G54" s="6"/>
      <c r="H54" s="8"/>
      <c r="I54" s="7"/>
      <c r="J54" s="7"/>
      <c r="K54" s="7"/>
      <c r="L54" s="7"/>
      <c r="M54" s="7"/>
      <c r="N54" s="6"/>
      <c r="O54" s="8"/>
      <c r="P54" s="7"/>
      <c r="Q54" s="7"/>
      <c r="R54" s="7"/>
      <c r="S54" s="129"/>
      <c r="T54" s="130"/>
      <c r="U54" s="130"/>
      <c r="V54" s="130"/>
      <c r="W54" s="130"/>
      <c r="X54" s="130"/>
      <c r="Y54" s="130"/>
      <c r="Z54" s="130"/>
      <c r="AA54" s="130"/>
      <c r="AB54" s="130"/>
      <c r="AC54" s="130"/>
      <c r="AD54" s="130"/>
      <c r="AE54" s="130"/>
      <c r="AF54" s="130"/>
      <c r="AG54" s="130"/>
      <c r="AH54" s="130"/>
      <c r="AI54" s="130"/>
      <c r="AJ54" s="130"/>
      <c r="AK54" s="130"/>
      <c r="AL54" s="130"/>
      <c r="AM54" s="130"/>
      <c r="AN54" s="130"/>
      <c r="AO54" s="130"/>
      <c r="AP54" s="130"/>
      <c r="AQ54" s="130"/>
      <c r="AR54" s="130"/>
      <c r="AS54" s="130"/>
      <c r="AT54" s="130"/>
      <c r="AU54" s="130"/>
      <c r="AV54" s="130"/>
      <c r="AW54" s="131"/>
      <c r="AX54" s="125"/>
      <c r="AY54" s="125"/>
      <c r="AZ54" s="125"/>
      <c r="BA54" s="125"/>
      <c r="BB54" s="125"/>
      <c r="BC54" s="126"/>
      <c r="BD54" s="128"/>
      <c r="BE54" s="125"/>
      <c r="BF54" s="125"/>
      <c r="BG54" s="125"/>
      <c r="BH54" s="125"/>
      <c r="BI54" s="125"/>
      <c r="BJ54" s="126"/>
      <c r="BK54" s="18"/>
    </row>
    <row r="55" spans="1:63" ht="15" customHeight="1" x14ac:dyDescent="0.25">
      <c r="A55" s="15"/>
      <c r="B55" s="14"/>
      <c r="C55" s="13"/>
      <c r="D55" s="13"/>
      <c r="E55" s="13"/>
      <c r="F55" s="13"/>
      <c r="G55" s="12"/>
      <c r="H55" s="14"/>
      <c r="I55" s="13"/>
      <c r="J55" s="13"/>
      <c r="K55" s="13"/>
      <c r="L55" s="13"/>
      <c r="M55" s="13"/>
      <c r="N55" s="12"/>
      <c r="O55" s="14"/>
      <c r="P55" s="13"/>
      <c r="Q55" s="13"/>
      <c r="R55" s="13"/>
      <c r="S55" s="120"/>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2"/>
      <c r="AX55" s="123"/>
      <c r="AY55" s="123"/>
      <c r="AZ55" s="123"/>
      <c r="BA55" s="123"/>
      <c r="BB55" s="123"/>
      <c r="BC55" s="124"/>
      <c r="BD55" s="127"/>
      <c r="BE55" s="123"/>
      <c r="BF55" s="123"/>
      <c r="BG55" s="123"/>
      <c r="BH55" s="123"/>
      <c r="BI55" s="123"/>
      <c r="BJ55" s="124"/>
      <c r="BK55" s="18"/>
    </row>
    <row r="56" spans="1:63" ht="15" customHeight="1" x14ac:dyDescent="0.25">
      <c r="A56" s="15"/>
      <c r="B56" s="8"/>
      <c r="C56" s="7"/>
      <c r="D56" s="7"/>
      <c r="E56" s="7"/>
      <c r="F56" s="7"/>
      <c r="G56" s="6"/>
      <c r="H56" s="8"/>
      <c r="I56" s="7"/>
      <c r="J56" s="7"/>
      <c r="K56" s="7"/>
      <c r="L56" s="7"/>
      <c r="M56" s="7"/>
      <c r="N56" s="6"/>
      <c r="O56" s="8"/>
      <c r="P56" s="7"/>
      <c r="Q56" s="7"/>
      <c r="R56" s="7"/>
      <c r="S56" s="129"/>
      <c r="T56" s="130"/>
      <c r="U56" s="130"/>
      <c r="V56" s="130"/>
      <c r="W56" s="130"/>
      <c r="X56" s="130"/>
      <c r="Y56" s="130"/>
      <c r="Z56" s="130"/>
      <c r="AA56" s="130"/>
      <c r="AB56" s="130"/>
      <c r="AC56" s="130"/>
      <c r="AD56" s="130"/>
      <c r="AE56" s="130"/>
      <c r="AF56" s="130"/>
      <c r="AG56" s="130"/>
      <c r="AH56" s="130"/>
      <c r="AI56" s="130"/>
      <c r="AJ56" s="130"/>
      <c r="AK56" s="130"/>
      <c r="AL56" s="130"/>
      <c r="AM56" s="130"/>
      <c r="AN56" s="130"/>
      <c r="AO56" s="130"/>
      <c r="AP56" s="130"/>
      <c r="AQ56" s="130"/>
      <c r="AR56" s="130"/>
      <c r="AS56" s="130"/>
      <c r="AT56" s="130"/>
      <c r="AU56" s="130"/>
      <c r="AV56" s="130"/>
      <c r="AW56" s="131"/>
      <c r="AX56" s="125"/>
      <c r="AY56" s="125"/>
      <c r="AZ56" s="125"/>
      <c r="BA56" s="125"/>
      <c r="BB56" s="125"/>
      <c r="BC56" s="126"/>
      <c r="BD56" s="128"/>
      <c r="BE56" s="125"/>
      <c r="BF56" s="125"/>
      <c r="BG56" s="125"/>
      <c r="BH56" s="125"/>
      <c r="BI56" s="125"/>
      <c r="BJ56" s="126"/>
      <c r="BK56" s="18"/>
    </row>
    <row r="57" spans="1:63" ht="15" customHeight="1" x14ac:dyDescent="0.25">
      <c r="A57" s="16"/>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9"/>
    </row>
  </sheetData>
  <mergeCells count="187">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3:G24"/>
    <mergeCell ref="H23:N24"/>
    <mergeCell ref="O23:R24"/>
    <mergeCell ref="S23:AW23"/>
    <mergeCell ref="AX23:BC24"/>
    <mergeCell ref="BD23:BJ24"/>
    <mergeCell ref="S24:AW24"/>
    <mergeCell ref="B19:G20"/>
    <mergeCell ref="H19:N20"/>
    <mergeCell ref="O19:R20"/>
    <mergeCell ref="S19:AW19"/>
    <mergeCell ref="AX19:BC20"/>
    <mergeCell ref="BD19:BJ20"/>
    <mergeCell ref="S20:AW20"/>
    <mergeCell ref="B21:G22"/>
    <mergeCell ref="H21:N22"/>
    <mergeCell ref="O21:R22"/>
    <mergeCell ref="S21:AW21"/>
    <mergeCell ref="AX21:BC22"/>
    <mergeCell ref="BD21:BJ22"/>
    <mergeCell ref="S22:AW22"/>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55:G56"/>
    <mergeCell ref="H55:N56"/>
    <mergeCell ref="O55:R56"/>
    <mergeCell ref="S55:AW55"/>
    <mergeCell ref="AX55:BC56"/>
    <mergeCell ref="BD55:BJ56"/>
    <mergeCell ref="S56:AW56"/>
    <mergeCell ref="B53:G54"/>
    <mergeCell ref="H53:N54"/>
    <mergeCell ref="O53:R54"/>
    <mergeCell ref="S53:AW53"/>
    <mergeCell ref="AX53:BC54"/>
    <mergeCell ref="BD53:BJ54"/>
    <mergeCell ref="S54:AW5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30" customWidth="1"/>
    <col min="64" max="16384" width="10.109375" style="30"/>
  </cols>
  <sheetData>
    <row r="1" spans="1:63" ht="24.95" customHeight="1" x14ac:dyDescent="0.25">
      <c r="A1" s="227" t="s">
        <v>172</v>
      </c>
      <c r="B1" s="228"/>
      <c r="C1" s="228"/>
      <c r="D1" s="228"/>
      <c r="E1" s="228"/>
      <c r="F1" s="228"/>
      <c r="G1" s="228"/>
      <c r="H1" s="228"/>
      <c r="I1" s="228"/>
      <c r="J1" s="229"/>
      <c r="K1" s="227" t="s">
        <v>173</v>
      </c>
      <c r="L1" s="228"/>
      <c r="M1" s="228"/>
      <c r="N1" s="228"/>
      <c r="O1" s="228"/>
      <c r="P1" s="228"/>
      <c r="Q1" s="228"/>
      <c r="R1" s="228"/>
      <c r="S1" s="228"/>
      <c r="T1" s="228"/>
      <c r="U1" s="228"/>
      <c r="V1" s="229"/>
      <c r="W1" s="230" t="str">
        <f>IF(表紙!W1="","",表紙!W1)</f>
        <v>詳細設計書</v>
      </c>
      <c r="X1" s="231"/>
      <c r="Y1" s="231"/>
      <c r="Z1" s="231"/>
      <c r="AA1" s="231"/>
      <c r="AB1" s="231"/>
      <c r="AC1" s="231"/>
      <c r="AD1" s="231"/>
      <c r="AE1" s="231"/>
      <c r="AF1" s="231"/>
      <c r="AG1" s="231"/>
      <c r="AH1" s="231"/>
      <c r="AI1" s="231"/>
      <c r="AJ1" s="231"/>
      <c r="AK1" s="231"/>
      <c r="AL1" s="231"/>
      <c r="AM1" s="231"/>
      <c r="AN1" s="231"/>
      <c r="AO1" s="232"/>
      <c r="AP1" s="233" t="s">
        <v>174</v>
      </c>
      <c r="AQ1" s="234"/>
      <c r="AR1" s="234"/>
      <c r="AS1" s="235"/>
      <c r="AT1" s="233" t="s">
        <v>175</v>
      </c>
      <c r="AU1" s="234"/>
      <c r="AV1" s="234"/>
      <c r="AW1" s="234"/>
      <c r="AX1" s="235"/>
      <c r="AY1" s="233" t="s">
        <v>176</v>
      </c>
      <c r="AZ1" s="234"/>
      <c r="BA1" s="234"/>
      <c r="BB1" s="235"/>
      <c r="BC1" s="233" t="s">
        <v>177</v>
      </c>
      <c r="BD1" s="234"/>
      <c r="BE1" s="234"/>
      <c r="BF1" s="234"/>
      <c r="BG1" s="235"/>
      <c r="BH1" s="233" t="s">
        <v>178</v>
      </c>
      <c r="BI1" s="234"/>
      <c r="BJ1" s="234"/>
      <c r="BK1" s="235"/>
    </row>
    <row r="2" spans="1:63" ht="15" customHeight="1" x14ac:dyDescent="0.25">
      <c r="A2" s="147" t="str">
        <f>IF(表紙!A2="","",表紙!A2)</f>
        <v>POSサーバー</v>
      </c>
      <c r="B2" s="148"/>
      <c r="C2" s="148"/>
      <c r="D2" s="148"/>
      <c r="E2" s="148"/>
      <c r="F2" s="148"/>
      <c r="G2" s="148"/>
      <c r="H2" s="148"/>
      <c r="I2" s="148"/>
      <c r="J2" s="149"/>
      <c r="K2" s="147" t="str">
        <f>IF(表紙!K2="","",表紙!K2)</f>
        <v>POSサーバー</v>
      </c>
      <c r="L2" s="148"/>
      <c r="M2" s="148"/>
      <c r="N2" s="148"/>
      <c r="O2" s="148"/>
      <c r="P2" s="148"/>
      <c r="Q2" s="148"/>
      <c r="R2" s="148"/>
      <c r="S2" s="148"/>
      <c r="T2" s="148"/>
      <c r="U2" s="148"/>
      <c r="V2" s="149"/>
      <c r="W2" s="236"/>
      <c r="X2" s="237"/>
      <c r="Y2" s="237"/>
      <c r="Z2" s="237"/>
      <c r="AA2" s="237"/>
      <c r="AB2" s="237"/>
      <c r="AC2" s="237"/>
      <c r="AD2" s="237"/>
      <c r="AE2" s="237"/>
      <c r="AF2" s="237"/>
      <c r="AG2" s="237"/>
      <c r="AH2" s="237"/>
      <c r="AI2" s="237"/>
      <c r="AJ2" s="237"/>
      <c r="AK2" s="237"/>
      <c r="AL2" s="237"/>
      <c r="AM2" s="237"/>
      <c r="AN2" s="237"/>
      <c r="AO2" s="238"/>
      <c r="AP2" s="206" t="str">
        <f>IF(表紙!AP2="","",表紙!AP2)</f>
        <v>DuNT</v>
      </c>
      <c r="AQ2" s="204"/>
      <c r="AR2" s="204"/>
      <c r="AS2" s="205"/>
      <c r="AT2" s="203">
        <f>IF(表紙!AT2="","",表紙!AT2)</f>
        <v>45490</v>
      </c>
      <c r="AU2" s="239"/>
      <c r="AV2" s="239"/>
      <c r="AW2" s="239"/>
      <c r="AX2" s="240"/>
      <c r="AY2" s="206" t="str">
        <f>IF(表紙!AY2="","",表紙!AY2)</f>
        <v>DuNT</v>
      </c>
      <c r="AZ2" s="204"/>
      <c r="BA2" s="204"/>
      <c r="BB2" s="205"/>
      <c r="BC2" s="203">
        <f>IF(表紙!BC2="","",表紙!BC2)</f>
        <v>45567</v>
      </c>
      <c r="BD2" s="239"/>
      <c r="BE2" s="239"/>
      <c r="BF2" s="239"/>
      <c r="BG2" s="240"/>
      <c r="BH2" s="206">
        <f>IF(表紙!BH2="","",表紙!BH2)</f>
        <v>0.71</v>
      </c>
      <c r="BI2" s="204"/>
      <c r="BJ2" s="204"/>
      <c r="BK2" s="205"/>
    </row>
    <row r="3" spans="1:63" ht="15" customHeight="1" x14ac:dyDescent="0.25">
      <c r="A3" s="150"/>
      <c r="B3" s="151"/>
      <c r="C3" s="151"/>
      <c r="D3" s="151"/>
      <c r="E3" s="151"/>
      <c r="F3" s="151"/>
      <c r="G3" s="151"/>
      <c r="H3" s="151"/>
      <c r="I3" s="151"/>
      <c r="J3" s="152"/>
      <c r="K3" s="150"/>
      <c r="L3" s="151"/>
      <c r="M3" s="151"/>
      <c r="N3" s="151"/>
      <c r="O3" s="151"/>
      <c r="P3" s="151"/>
      <c r="Q3" s="151"/>
      <c r="R3" s="151"/>
      <c r="S3" s="151"/>
      <c r="T3" s="151"/>
      <c r="U3" s="151"/>
      <c r="V3" s="152"/>
      <c r="W3" s="241"/>
      <c r="X3" s="242"/>
      <c r="Y3" s="242"/>
      <c r="Z3" s="242"/>
      <c r="AA3" s="242"/>
      <c r="AB3" s="242"/>
      <c r="AC3" s="242"/>
      <c r="AD3" s="242"/>
      <c r="AE3" s="242"/>
      <c r="AF3" s="242"/>
      <c r="AG3" s="242"/>
      <c r="AH3" s="242"/>
      <c r="AI3" s="242"/>
      <c r="AJ3" s="242"/>
      <c r="AK3" s="242"/>
      <c r="AL3" s="242"/>
      <c r="AM3" s="242"/>
      <c r="AN3" s="242"/>
      <c r="AO3" s="243"/>
      <c r="AP3" s="207"/>
      <c r="AQ3" s="208"/>
      <c r="AR3" s="208"/>
      <c r="AS3" s="209"/>
      <c r="AT3" s="244"/>
      <c r="AU3" s="245"/>
      <c r="AV3" s="245"/>
      <c r="AW3" s="245"/>
      <c r="AX3" s="246"/>
      <c r="AY3" s="207"/>
      <c r="AZ3" s="208"/>
      <c r="BA3" s="208"/>
      <c r="BB3" s="209"/>
      <c r="BC3" s="244"/>
      <c r="BD3" s="245"/>
      <c r="BE3" s="245"/>
      <c r="BF3" s="245"/>
      <c r="BG3" s="246"/>
      <c r="BH3" s="207"/>
      <c r="BI3" s="208"/>
      <c r="BJ3" s="208"/>
      <c r="BK3" s="209"/>
    </row>
    <row r="4" spans="1:63" ht="24.95" customHeight="1" x14ac:dyDescent="0.25">
      <c r="A4" s="227" t="s">
        <v>179</v>
      </c>
      <c r="B4" s="228"/>
      <c r="C4" s="228"/>
      <c r="D4" s="228"/>
      <c r="E4" s="228"/>
      <c r="F4" s="228"/>
      <c r="G4" s="229"/>
      <c r="H4" s="165" t="str">
        <f>IF(表紙!H4="","",表紙!H4)</f>
        <v>AP7102</v>
      </c>
      <c r="I4" s="166"/>
      <c r="J4" s="166"/>
      <c r="K4" s="166"/>
      <c r="L4" s="166"/>
      <c r="M4" s="166"/>
      <c r="N4" s="166"/>
      <c r="O4" s="166"/>
      <c r="P4" s="166"/>
      <c r="Q4" s="166"/>
      <c r="R4" s="166"/>
      <c r="S4" s="166"/>
      <c r="T4" s="167"/>
      <c r="U4" s="227" t="s">
        <v>180</v>
      </c>
      <c r="V4" s="228"/>
      <c r="W4" s="228"/>
      <c r="X4" s="228"/>
      <c r="Y4" s="229"/>
      <c r="Z4" s="165" t="str">
        <f>IF(表紙!Z4="","",表紙!Z4)</f>
        <v>API設計書</v>
      </c>
      <c r="AA4" s="166"/>
      <c r="AB4" s="166"/>
      <c r="AC4" s="166"/>
      <c r="AD4" s="166"/>
      <c r="AE4" s="166"/>
      <c r="AF4" s="166"/>
      <c r="AG4" s="166"/>
      <c r="AH4" s="166"/>
      <c r="AI4" s="166"/>
      <c r="AJ4" s="166"/>
      <c r="AK4" s="166"/>
      <c r="AL4" s="166"/>
      <c r="AM4" s="166"/>
      <c r="AN4" s="166"/>
      <c r="AO4" s="167"/>
      <c r="AP4" s="168" t="str">
        <f ca="1">MID(CELL("filename",A1),FIND("]",CELL("filename",A1))+1,255)</f>
        <v>処理フロー凡例</v>
      </c>
      <c r="AQ4" s="166"/>
      <c r="AR4" s="166"/>
      <c r="AS4" s="166"/>
      <c r="AT4" s="166"/>
      <c r="AU4" s="166"/>
      <c r="AV4" s="166"/>
      <c r="AW4" s="166"/>
      <c r="AX4" s="166"/>
      <c r="AY4" s="166"/>
      <c r="AZ4" s="166"/>
      <c r="BA4" s="166"/>
      <c r="BB4" s="166"/>
      <c r="BC4" s="166"/>
      <c r="BD4" s="166"/>
      <c r="BE4" s="166"/>
      <c r="BF4" s="166"/>
      <c r="BG4" s="166"/>
      <c r="BH4" s="166"/>
      <c r="BI4" s="166"/>
      <c r="BJ4" s="166"/>
      <c r="BK4" s="167"/>
    </row>
    <row r="5" spans="1:63" ht="5.0999999999999996" customHeight="1" x14ac:dyDescent="0.25">
      <c r="A5" s="31"/>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3"/>
    </row>
    <row r="6" spans="1:63" ht="15" customHeight="1" x14ac:dyDescent="0.25">
      <c r="A6" s="36"/>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8"/>
    </row>
    <row r="7" spans="1:63" s="253" customFormat="1" ht="15" customHeight="1" x14ac:dyDescent="0.25">
      <c r="A7" s="247"/>
      <c r="B7" s="248" t="s">
        <v>181</v>
      </c>
      <c r="C7" s="249"/>
      <c r="D7" s="249"/>
      <c r="E7" s="249"/>
      <c r="F7" s="249"/>
      <c r="G7" s="249"/>
      <c r="H7" s="249"/>
      <c r="I7" s="249"/>
      <c r="J7" s="249"/>
      <c r="K7" s="249"/>
      <c r="L7" s="249"/>
      <c r="M7" s="249"/>
      <c r="N7" s="249"/>
      <c r="O7" s="249"/>
      <c r="P7" s="249"/>
      <c r="Q7" s="249"/>
      <c r="R7" s="249"/>
      <c r="S7" s="249"/>
      <c r="T7" s="249"/>
      <c r="U7" s="249"/>
      <c r="V7" s="249"/>
      <c r="W7" s="249"/>
      <c r="X7" s="249"/>
      <c r="Y7" s="249"/>
      <c r="Z7" s="249"/>
      <c r="AA7" s="249"/>
      <c r="AB7" s="249"/>
      <c r="AC7" s="249"/>
      <c r="AD7" s="249"/>
      <c r="AE7" s="250"/>
      <c r="AF7" s="251"/>
      <c r="AG7" s="249"/>
      <c r="AH7" s="249"/>
      <c r="AI7" s="249"/>
      <c r="AJ7" s="249"/>
      <c r="AK7" s="249"/>
      <c r="AL7" s="249"/>
      <c r="AM7" s="249"/>
      <c r="AN7" s="249"/>
      <c r="AO7" s="249"/>
      <c r="AP7" s="249"/>
      <c r="AQ7" s="249"/>
      <c r="AR7" s="249"/>
      <c r="AS7" s="249"/>
      <c r="AT7" s="249"/>
      <c r="AU7" s="249"/>
      <c r="AV7" s="249"/>
      <c r="AW7" s="249"/>
      <c r="AX7" s="249"/>
      <c r="AY7" s="249"/>
      <c r="AZ7" s="249"/>
      <c r="BA7" s="249"/>
      <c r="BB7" s="249"/>
      <c r="BC7" s="249"/>
      <c r="BD7" s="249"/>
      <c r="BE7" s="249"/>
      <c r="BF7" s="249"/>
      <c r="BG7" s="249"/>
      <c r="BH7" s="249"/>
      <c r="BI7" s="250"/>
      <c r="BJ7" s="249"/>
      <c r="BK7" s="252"/>
    </row>
    <row r="8" spans="1:63" s="254" customFormat="1" ht="15" customHeight="1" x14ac:dyDescent="0.25">
      <c r="BK8" s="252"/>
    </row>
    <row r="9" spans="1:63" s="254" customFormat="1" ht="15" customHeight="1" x14ac:dyDescent="0.25">
      <c r="BK9" s="252"/>
    </row>
    <row r="10" spans="1:63" s="254" customFormat="1" ht="15" customHeight="1" x14ac:dyDescent="0.25">
      <c r="BK10" s="252"/>
    </row>
    <row r="11" spans="1:63" s="254" customFormat="1" ht="15" customHeight="1" x14ac:dyDescent="0.25">
      <c r="BK11" s="252"/>
    </row>
    <row r="12" spans="1:63" s="254" customFormat="1" ht="15" customHeight="1" x14ac:dyDescent="0.25">
      <c r="BK12" s="252"/>
    </row>
    <row r="13" spans="1:63" s="254" customFormat="1" ht="15" customHeight="1" x14ac:dyDescent="0.25">
      <c r="BK13" s="252"/>
    </row>
    <row r="14" spans="1:63" s="254" customFormat="1" ht="15" customHeight="1" x14ac:dyDescent="0.25">
      <c r="BK14" s="252"/>
    </row>
    <row r="15" spans="1:63" s="254" customFormat="1" ht="15" customHeight="1" x14ac:dyDescent="0.25">
      <c r="BK15" s="252"/>
    </row>
    <row r="16" spans="1:63" s="254" customFormat="1" ht="15" customHeight="1" x14ac:dyDescent="0.25">
      <c r="BK16" s="252"/>
    </row>
    <row r="17" spans="63:63" s="254" customFormat="1" ht="15" customHeight="1" x14ac:dyDescent="0.25">
      <c r="BK17" s="252"/>
    </row>
    <row r="18" spans="63:63" s="254" customFormat="1" ht="15" customHeight="1" x14ac:dyDescent="0.25">
      <c r="BK18" s="252"/>
    </row>
    <row r="19" spans="63:63" s="254" customFormat="1" ht="15" customHeight="1" x14ac:dyDescent="0.25">
      <c r="BK19" s="252"/>
    </row>
    <row r="20" spans="63:63" s="254" customFormat="1" ht="15" customHeight="1" x14ac:dyDescent="0.25">
      <c r="BK20" s="252"/>
    </row>
    <row r="21" spans="63:63" s="254" customFormat="1" ht="15" customHeight="1" x14ac:dyDescent="0.25">
      <c r="BK21" s="252"/>
    </row>
    <row r="22" spans="63:63" s="254" customFormat="1" ht="15" customHeight="1" x14ac:dyDescent="0.25">
      <c r="BK22" s="252"/>
    </row>
    <row r="23" spans="63:63" s="254" customFormat="1" ht="15" customHeight="1" x14ac:dyDescent="0.25">
      <c r="BK23" s="252"/>
    </row>
    <row r="24" spans="63:63" s="254" customFormat="1" ht="15" customHeight="1" x14ac:dyDescent="0.25">
      <c r="BK24" s="252"/>
    </row>
    <row r="25" spans="63:63" s="254" customFormat="1" ht="15" customHeight="1" x14ac:dyDescent="0.25">
      <c r="BK25" s="252"/>
    </row>
    <row r="26" spans="63:63" s="254" customFormat="1" ht="15" customHeight="1" x14ac:dyDescent="0.25">
      <c r="BK26" s="252"/>
    </row>
    <row r="27" spans="63:63" s="254" customFormat="1" ht="15" customHeight="1" x14ac:dyDescent="0.25">
      <c r="BK27" s="252"/>
    </row>
    <row r="28" spans="63:63" s="254" customFormat="1" ht="15" customHeight="1" x14ac:dyDescent="0.25">
      <c r="BK28" s="252"/>
    </row>
    <row r="29" spans="63:63" s="254" customFormat="1" ht="15" customHeight="1" x14ac:dyDescent="0.25">
      <c r="BK29" s="252"/>
    </row>
    <row r="30" spans="63:63" s="254" customFormat="1" ht="15" customHeight="1" x14ac:dyDescent="0.25">
      <c r="BK30" s="252"/>
    </row>
    <row r="31" spans="63:63" s="254" customFormat="1" ht="15" customHeight="1" x14ac:dyDescent="0.25">
      <c r="BK31" s="252"/>
    </row>
    <row r="32" spans="63:63" s="254" customFormat="1" ht="15" customHeight="1" x14ac:dyDescent="0.25">
      <c r="BK32" s="252"/>
    </row>
    <row r="33" spans="63:63" s="254" customFormat="1" ht="15" customHeight="1" x14ac:dyDescent="0.25">
      <c r="BK33" s="252"/>
    </row>
    <row r="34" spans="63:63" s="254" customFormat="1" ht="15" customHeight="1" x14ac:dyDescent="0.25">
      <c r="BK34" s="252"/>
    </row>
    <row r="35" spans="63:63" s="254" customFormat="1" ht="15" customHeight="1" x14ac:dyDescent="0.25">
      <c r="BK35" s="252"/>
    </row>
    <row r="36" spans="63:63" s="254" customFormat="1" ht="15" customHeight="1" x14ac:dyDescent="0.25">
      <c r="BK36" s="252"/>
    </row>
    <row r="37" spans="63:63" s="254" customFormat="1" ht="15" customHeight="1" x14ac:dyDescent="0.25">
      <c r="BK37" s="252"/>
    </row>
    <row r="38" spans="63:63" s="254" customFormat="1" ht="15" customHeight="1" x14ac:dyDescent="0.25">
      <c r="BK38" s="252"/>
    </row>
    <row r="39" spans="63:63" s="254" customFormat="1" ht="15" customHeight="1" x14ac:dyDescent="0.25">
      <c r="BK39" s="252"/>
    </row>
    <row r="40" spans="63:63" s="254" customFormat="1" ht="15" customHeight="1" x14ac:dyDescent="0.25">
      <c r="BK40" s="252"/>
    </row>
    <row r="41" spans="63:63" s="254" customFormat="1" ht="15" customHeight="1" x14ac:dyDescent="0.25">
      <c r="BK41" s="252"/>
    </row>
    <row r="42" spans="63:63" s="254" customFormat="1" ht="15" customHeight="1" x14ac:dyDescent="0.25">
      <c r="BK42" s="252"/>
    </row>
    <row r="43" spans="63:63" s="254" customFormat="1" ht="15" customHeight="1" x14ac:dyDescent="0.25">
      <c r="BK43" s="252"/>
    </row>
    <row r="44" spans="63:63" s="254" customFormat="1" ht="15" customHeight="1" x14ac:dyDescent="0.25">
      <c r="BK44" s="252"/>
    </row>
    <row r="45" spans="63:63" s="254" customFormat="1" ht="15" customHeight="1" x14ac:dyDescent="0.25">
      <c r="BK45" s="252"/>
    </row>
    <row r="46" spans="63:63" s="254" customFormat="1" ht="15" customHeight="1" x14ac:dyDescent="0.25">
      <c r="BK46" s="252"/>
    </row>
    <row r="47" spans="63:63" ht="15" customHeight="1" x14ac:dyDescent="0.25">
      <c r="BK47" s="34"/>
    </row>
    <row r="48" spans="63:63" ht="15" customHeight="1" x14ac:dyDescent="0.25">
      <c r="BK48" s="34"/>
    </row>
    <row r="49" spans="1:63" ht="15" customHeight="1" x14ac:dyDescent="0.25">
      <c r="BK49" s="34"/>
    </row>
    <row r="50" spans="1:63" ht="15" customHeight="1" x14ac:dyDescent="0.25">
      <c r="BK50" s="34"/>
    </row>
    <row r="51" spans="1:63" ht="15" customHeight="1" x14ac:dyDescent="0.25">
      <c r="BK51" s="34"/>
    </row>
    <row r="52" spans="1:63" ht="15" customHeight="1" x14ac:dyDescent="0.25">
      <c r="BK52" s="34"/>
    </row>
    <row r="53" spans="1:63" ht="15" customHeight="1" x14ac:dyDescent="0.25">
      <c r="BK53" s="34"/>
    </row>
    <row r="54" spans="1:63" ht="15" customHeight="1" x14ac:dyDescent="0.2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3"/>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tabColor rgb="FF0000FF"/>
    <pageSetUpPr fitToPage="1"/>
  </sheetPr>
  <dimension ref="A1:BK126"/>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30" customWidth="1"/>
    <col min="64" max="16384" width="10.109375" style="30"/>
  </cols>
  <sheetData>
    <row r="1" spans="1:63" ht="24.95" customHeight="1" x14ac:dyDescent="0.25">
      <c r="A1" s="227" t="s">
        <v>172</v>
      </c>
      <c r="B1" s="228"/>
      <c r="C1" s="228"/>
      <c r="D1" s="228"/>
      <c r="E1" s="228"/>
      <c r="F1" s="228"/>
      <c r="G1" s="228"/>
      <c r="H1" s="228"/>
      <c r="I1" s="228"/>
      <c r="J1" s="229"/>
      <c r="K1" s="227" t="s">
        <v>173</v>
      </c>
      <c r="L1" s="228"/>
      <c r="M1" s="228"/>
      <c r="N1" s="228"/>
      <c r="O1" s="228"/>
      <c r="P1" s="228"/>
      <c r="Q1" s="228"/>
      <c r="R1" s="228"/>
      <c r="S1" s="228"/>
      <c r="T1" s="228"/>
      <c r="U1" s="228"/>
      <c r="V1" s="229"/>
      <c r="W1" s="230" t="str">
        <f>IF(表紙!W1="","",表紙!W1)</f>
        <v>詳細設計書</v>
      </c>
      <c r="X1" s="231"/>
      <c r="Y1" s="231"/>
      <c r="Z1" s="231"/>
      <c r="AA1" s="231"/>
      <c r="AB1" s="231"/>
      <c r="AC1" s="231"/>
      <c r="AD1" s="231"/>
      <c r="AE1" s="231"/>
      <c r="AF1" s="231"/>
      <c r="AG1" s="231"/>
      <c r="AH1" s="231"/>
      <c r="AI1" s="231"/>
      <c r="AJ1" s="231"/>
      <c r="AK1" s="231"/>
      <c r="AL1" s="231"/>
      <c r="AM1" s="231"/>
      <c r="AN1" s="231"/>
      <c r="AO1" s="232"/>
      <c r="AP1" s="233" t="s">
        <v>174</v>
      </c>
      <c r="AQ1" s="234"/>
      <c r="AR1" s="234"/>
      <c r="AS1" s="235"/>
      <c r="AT1" s="233" t="s">
        <v>175</v>
      </c>
      <c r="AU1" s="234"/>
      <c r="AV1" s="234"/>
      <c r="AW1" s="234"/>
      <c r="AX1" s="235"/>
      <c r="AY1" s="233" t="s">
        <v>176</v>
      </c>
      <c r="AZ1" s="234"/>
      <c r="BA1" s="234"/>
      <c r="BB1" s="235"/>
      <c r="BC1" s="233" t="s">
        <v>177</v>
      </c>
      <c r="BD1" s="234"/>
      <c r="BE1" s="234"/>
      <c r="BF1" s="234"/>
      <c r="BG1" s="235"/>
      <c r="BH1" s="233" t="s">
        <v>178</v>
      </c>
      <c r="BI1" s="234"/>
      <c r="BJ1" s="234"/>
      <c r="BK1" s="235"/>
    </row>
    <row r="2" spans="1:63" ht="15" customHeight="1" x14ac:dyDescent="0.25">
      <c r="A2" s="147" t="str">
        <f>IF(表紙!A2="","",表紙!A2)</f>
        <v>POSサーバー</v>
      </c>
      <c r="B2" s="148"/>
      <c r="C2" s="148"/>
      <c r="D2" s="148"/>
      <c r="E2" s="148"/>
      <c r="F2" s="148"/>
      <c r="G2" s="148"/>
      <c r="H2" s="148"/>
      <c r="I2" s="148"/>
      <c r="J2" s="149"/>
      <c r="K2" s="147" t="str">
        <f>IF(表紙!K2="","",表紙!K2)</f>
        <v>POSサーバー</v>
      </c>
      <c r="L2" s="148"/>
      <c r="M2" s="148"/>
      <c r="N2" s="148"/>
      <c r="O2" s="148"/>
      <c r="P2" s="148"/>
      <c r="Q2" s="148"/>
      <c r="R2" s="148"/>
      <c r="S2" s="148"/>
      <c r="T2" s="148"/>
      <c r="U2" s="148"/>
      <c r="V2" s="149"/>
      <c r="W2" s="236"/>
      <c r="X2" s="237"/>
      <c r="Y2" s="237"/>
      <c r="Z2" s="237"/>
      <c r="AA2" s="237"/>
      <c r="AB2" s="237"/>
      <c r="AC2" s="237"/>
      <c r="AD2" s="237"/>
      <c r="AE2" s="237"/>
      <c r="AF2" s="237"/>
      <c r="AG2" s="237"/>
      <c r="AH2" s="237"/>
      <c r="AI2" s="237"/>
      <c r="AJ2" s="237"/>
      <c r="AK2" s="237"/>
      <c r="AL2" s="237"/>
      <c r="AM2" s="237"/>
      <c r="AN2" s="237"/>
      <c r="AO2" s="238"/>
      <c r="AP2" s="206" t="str">
        <f>IF(表紙!AP2="","",表紙!AP2)</f>
        <v>DuNT</v>
      </c>
      <c r="AQ2" s="204"/>
      <c r="AR2" s="204"/>
      <c r="AS2" s="205"/>
      <c r="AT2" s="203">
        <f>IF(表紙!AT2="","",表紙!AT2)</f>
        <v>45490</v>
      </c>
      <c r="AU2" s="239"/>
      <c r="AV2" s="239"/>
      <c r="AW2" s="239"/>
      <c r="AX2" s="240"/>
      <c r="AY2" s="206" t="str">
        <f>IF(表紙!AY2="","",表紙!AY2)</f>
        <v>DuNT</v>
      </c>
      <c r="AZ2" s="204"/>
      <c r="BA2" s="204"/>
      <c r="BB2" s="205"/>
      <c r="BC2" s="203">
        <f>IF(表紙!BC2="","",表紙!BC2)</f>
        <v>45567</v>
      </c>
      <c r="BD2" s="239"/>
      <c r="BE2" s="239"/>
      <c r="BF2" s="239"/>
      <c r="BG2" s="240"/>
      <c r="BH2" s="206">
        <f>IF(表紙!BH2="","",表紙!BH2)</f>
        <v>0.71</v>
      </c>
      <c r="BI2" s="204"/>
      <c r="BJ2" s="204"/>
      <c r="BK2" s="205"/>
    </row>
    <row r="3" spans="1:63" ht="15" customHeight="1" x14ac:dyDescent="0.25">
      <c r="A3" s="150"/>
      <c r="B3" s="151"/>
      <c r="C3" s="151"/>
      <c r="D3" s="151"/>
      <c r="E3" s="151"/>
      <c r="F3" s="151"/>
      <c r="G3" s="151"/>
      <c r="H3" s="151"/>
      <c r="I3" s="151"/>
      <c r="J3" s="152"/>
      <c r="K3" s="150"/>
      <c r="L3" s="151"/>
      <c r="M3" s="151"/>
      <c r="N3" s="151"/>
      <c r="O3" s="151"/>
      <c r="P3" s="151"/>
      <c r="Q3" s="151"/>
      <c r="R3" s="151"/>
      <c r="S3" s="151"/>
      <c r="T3" s="151"/>
      <c r="U3" s="151"/>
      <c r="V3" s="152"/>
      <c r="W3" s="241"/>
      <c r="X3" s="242"/>
      <c r="Y3" s="242"/>
      <c r="Z3" s="242"/>
      <c r="AA3" s="242"/>
      <c r="AB3" s="242"/>
      <c r="AC3" s="242"/>
      <c r="AD3" s="242"/>
      <c r="AE3" s="242"/>
      <c r="AF3" s="242"/>
      <c r="AG3" s="242"/>
      <c r="AH3" s="242"/>
      <c r="AI3" s="242"/>
      <c r="AJ3" s="242"/>
      <c r="AK3" s="242"/>
      <c r="AL3" s="242"/>
      <c r="AM3" s="242"/>
      <c r="AN3" s="242"/>
      <c r="AO3" s="243"/>
      <c r="AP3" s="207"/>
      <c r="AQ3" s="208"/>
      <c r="AR3" s="208"/>
      <c r="AS3" s="209"/>
      <c r="AT3" s="244"/>
      <c r="AU3" s="245"/>
      <c r="AV3" s="245"/>
      <c r="AW3" s="245"/>
      <c r="AX3" s="246"/>
      <c r="AY3" s="207"/>
      <c r="AZ3" s="208"/>
      <c r="BA3" s="208"/>
      <c r="BB3" s="209"/>
      <c r="BC3" s="244"/>
      <c r="BD3" s="245"/>
      <c r="BE3" s="245"/>
      <c r="BF3" s="245"/>
      <c r="BG3" s="246"/>
      <c r="BH3" s="207"/>
      <c r="BI3" s="208"/>
      <c r="BJ3" s="208"/>
      <c r="BK3" s="209"/>
    </row>
    <row r="4" spans="1:63" ht="24.95" customHeight="1" x14ac:dyDescent="0.25">
      <c r="A4" s="227" t="s">
        <v>179</v>
      </c>
      <c r="B4" s="228"/>
      <c r="C4" s="228"/>
      <c r="D4" s="228"/>
      <c r="E4" s="228"/>
      <c r="F4" s="228"/>
      <c r="G4" s="229"/>
      <c r="H4" s="165" t="str">
        <f>IF(表紙!H4="","",表紙!H4)</f>
        <v>AP7102</v>
      </c>
      <c r="I4" s="166"/>
      <c r="J4" s="166"/>
      <c r="K4" s="166"/>
      <c r="L4" s="166"/>
      <c r="M4" s="166"/>
      <c r="N4" s="166"/>
      <c r="O4" s="166"/>
      <c r="P4" s="166"/>
      <c r="Q4" s="166"/>
      <c r="R4" s="166"/>
      <c r="S4" s="166"/>
      <c r="T4" s="167"/>
      <c r="U4" s="227" t="s">
        <v>180</v>
      </c>
      <c r="V4" s="228"/>
      <c r="W4" s="228"/>
      <c r="X4" s="228"/>
      <c r="Y4" s="229"/>
      <c r="Z4" s="165" t="str">
        <f>IF(表紙!Z4="","",表紙!Z4)</f>
        <v>API設計書</v>
      </c>
      <c r="AA4" s="166"/>
      <c r="AB4" s="166"/>
      <c r="AC4" s="166"/>
      <c r="AD4" s="166"/>
      <c r="AE4" s="166"/>
      <c r="AF4" s="166"/>
      <c r="AG4" s="166"/>
      <c r="AH4" s="166"/>
      <c r="AI4" s="166"/>
      <c r="AJ4" s="166"/>
      <c r="AK4" s="166"/>
      <c r="AL4" s="166"/>
      <c r="AM4" s="166"/>
      <c r="AN4" s="166"/>
      <c r="AO4" s="167"/>
      <c r="AP4" s="168" t="str">
        <f ca="1">MID(CELL("filename",A1),FIND("]",CELL("filename",A1))+1,255)</f>
        <v>AP7102</v>
      </c>
      <c r="AQ4" s="166"/>
      <c r="AR4" s="166"/>
      <c r="AS4" s="166"/>
      <c r="AT4" s="166"/>
      <c r="AU4" s="166"/>
      <c r="AV4" s="166"/>
      <c r="AW4" s="166"/>
      <c r="AX4" s="166"/>
      <c r="AY4" s="166"/>
      <c r="AZ4" s="166"/>
      <c r="BA4" s="166"/>
      <c r="BB4" s="166"/>
      <c r="BC4" s="166"/>
      <c r="BD4" s="166"/>
      <c r="BE4" s="166"/>
      <c r="BF4" s="166"/>
      <c r="BG4" s="166"/>
      <c r="BH4" s="166"/>
      <c r="BI4" s="166"/>
      <c r="BJ4" s="166"/>
      <c r="BK4" s="167"/>
    </row>
    <row r="5" spans="1:63" ht="5.0999999999999996" customHeight="1" x14ac:dyDescent="0.25">
      <c r="A5" s="31"/>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3"/>
    </row>
    <row r="6" spans="1:63" ht="15" customHeight="1" x14ac:dyDescent="0.25">
      <c r="A6" s="36"/>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8"/>
    </row>
    <row r="7" spans="1:63" s="51" customFormat="1" ht="15" customHeight="1" x14ac:dyDescent="0.25">
      <c r="A7" s="46"/>
      <c r="B7" s="47" t="s">
        <v>182</v>
      </c>
      <c r="C7" s="48"/>
      <c r="D7" s="48"/>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255"/>
      <c r="AQ7" s="255"/>
      <c r="AR7" s="255"/>
      <c r="AS7" s="255"/>
      <c r="AT7" s="48"/>
      <c r="AU7" s="48"/>
      <c r="AV7" s="48"/>
      <c r="AW7" s="48"/>
      <c r="AX7" s="48"/>
      <c r="AY7" s="48"/>
      <c r="AZ7" s="48"/>
      <c r="BA7" s="48"/>
      <c r="BB7" s="48"/>
      <c r="BC7" s="48"/>
      <c r="BD7" s="48"/>
      <c r="BE7" s="48"/>
      <c r="BF7" s="48"/>
      <c r="BG7" s="48"/>
      <c r="BH7" s="49"/>
      <c r="BI7" s="49"/>
      <c r="BJ7" s="49"/>
      <c r="BK7" s="50"/>
    </row>
    <row r="8" spans="1:63" s="51" customFormat="1" ht="15" customHeight="1" x14ac:dyDescent="0.25">
      <c r="A8" s="46"/>
      <c r="B8" s="52"/>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256"/>
      <c r="AQ8" s="256"/>
      <c r="AR8" s="256"/>
      <c r="AS8" s="256"/>
      <c r="AT8" s="53"/>
      <c r="AU8" s="53"/>
      <c r="AV8" s="53"/>
      <c r="AW8" s="53"/>
      <c r="AX8" s="53"/>
      <c r="AY8" s="53"/>
      <c r="AZ8" s="53"/>
      <c r="BA8" s="53"/>
      <c r="BB8" s="53"/>
      <c r="BC8" s="53"/>
      <c r="BD8" s="53"/>
      <c r="BE8" s="53"/>
      <c r="BF8" s="53"/>
      <c r="BG8" s="53"/>
      <c r="BH8" s="54"/>
      <c r="BI8" s="54"/>
      <c r="BJ8" s="54"/>
      <c r="BK8" s="50"/>
    </row>
    <row r="9" spans="1:63" s="51" customFormat="1" ht="15" customHeight="1" x14ac:dyDescent="0.25">
      <c r="A9" s="46"/>
      <c r="B9" s="52"/>
      <c r="C9" s="53" t="s">
        <v>47</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256"/>
      <c r="AQ9" s="256"/>
      <c r="AR9" s="256"/>
      <c r="AS9" s="256"/>
      <c r="AT9" s="53"/>
      <c r="AU9" s="53"/>
      <c r="AV9" s="53"/>
      <c r="AW9" s="53"/>
      <c r="AX9" s="53"/>
      <c r="AY9" s="53"/>
      <c r="AZ9" s="53"/>
      <c r="BA9" s="53"/>
      <c r="BB9" s="53"/>
      <c r="BC9" s="53"/>
      <c r="BD9" s="53"/>
      <c r="BE9" s="53"/>
      <c r="BF9" s="53"/>
      <c r="BG9" s="53"/>
      <c r="BH9" s="54"/>
      <c r="BI9" s="54"/>
      <c r="BJ9" s="54"/>
      <c r="BK9" s="50"/>
    </row>
    <row r="10" spans="1:63" s="51" customFormat="1" ht="15" customHeight="1" x14ac:dyDescent="0.25">
      <c r="A10" s="46"/>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4"/>
      <c r="BI10" s="54"/>
      <c r="BJ10" s="54"/>
      <c r="BK10" s="50"/>
    </row>
    <row r="11" spans="1:63" s="51" customFormat="1" ht="15" customHeight="1" x14ac:dyDescent="0.25">
      <c r="A11" s="46"/>
      <c r="B11" s="55" t="s">
        <v>183</v>
      </c>
      <c r="C11" s="48"/>
      <c r="D11" s="48"/>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9"/>
      <c r="BI11" s="49"/>
      <c r="BJ11" s="49"/>
      <c r="BK11" s="50"/>
    </row>
    <row r="12" spans="1:63" s="51" customFormat="1" ht="15" customHeight="1" x14ac:dyDescent="0.25">
      <c r="A12" s="46"/>
      <c r="B12" s="53"/>
      <c r="C12" s="56"/>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4"/>
      <c r="BI12" s="54"/>
      <c r="BJ12" s="54"/>
      <c r="BK12" s="50"/>
    </row>
    <row r="13" spans="1:63" s="51" customFormat="1" ht="15" customHeight="1" x14ac:dyDescent="0.25">
      <c r="A13" s="46"/>
      <c r="B13" s="53"/>
      <c r="C13" s="56" t="s">
        <v>184</v>
      </c>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4"/>
      <c r="BI13" s="54"/>
      <c r="BJ13" s="54"/>
      <c r="BK13" s="50"/>
    </row>
    <row r="14" spans="1:63" s="51" customFormat="1" ht="15" customHeight="1" x14ac:dyDescent="0.25">
      <c r="A14" s="46"/>
      <c r="B14" s="53"/>
      <c r="C14" s="52"/>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c r="BE14" s="53"/>
      <c r="BF14" s="53"/>
      <c r="BG14" s="53"/>
      <c r="BH14" s="54"/>
      <c r="BI14" s="54"/>
      <c r="BJ14" s="54"/>
      <c r="BK14" s="50"/>
    </row>
    <row r="15" spans="1:63" s="51" customFormat="1" ht="15" customHeight="1" x14ac:dyDescent="0.25">
      <c r="A15" s="46"/>
      <c r="B15" s="53"/>
      <c r="C15" s="178" t="s">
        <v>27</v>
      </c>
      <c r="D15" s="180"/>
      <c r="E15" s="178" t="s">
        <v>37</v>
      </c>
      <c r="F15" s="179"/>
      <c r="G15" s="179"/>
      <c r="H15" s="179"/>
      <c r="I15" s="179"/>
      <c r="J15" s="179"/>
      <c r="K15" s="179"/>
      <c r="L15" s="179"/>
      <c r="M15" s="179"/>
      <c r="N15" s="179"/>
      <c r="O15" s="179"/>
      <c r="P15" s="179"/>
      <c r="Q15" s="179"/>
      <c r="R15" s="179"/>
      <c r="S15" s="179"/>
      <c r="T15" s="179"/>
      <c r="U15" s="179"/>
      <c r="V15" s="179"/>
      <c r="W15" s="179"/>
      <c r="X15" s="179"/>
      <c r="Y15" s="179"/>
      <c r="Z15" s="179"/>
      <c r="AA15" s="179"/>
      <c r="AB15" s="179"/>
      <c r="AC15" s="179"/>
      <c r="AD15" s="179"/>
      <c r="AE15" s="179"/>
      <c r="AF15" s="180"/>
      <c r="AG15" s="178" t="s">
        <v>38</v>
      </c>
      <c r="AH15" s="179"/>
      <c r="AI15" s="179"/>
      <c r="AJ15" s="179"/>
      <c r="AK15" s="179"/>
      <c r="AL15" s="179"/>
      <c r="AM15" s="179"/>
      <c r="AN15" s="179"/>
      <c r="AO15" s="179"/>
      <c r="AP15" s="180"/>
      <c r="AQ15" s="178" t="s">
        <v>39</v>
      </c>
      <c r="AR15" s="179"/>
      <c r="AS15" s="179"/>
      <c r="AT15" s="179"/>
      <c r="AU15" s="179"/>
      <c r="AV15" s="179"/>
      <c r="AW15" s="179"/>
      <c r="AX15" s="179"/>
      <c r="AY15" s="179"/>
      <c r="AZ15" s="179"/>
      <c r="BA15" s="179"/>
      <c r="BB15" s="179"/>
      <c r="BC15" s="179"/>
      <c r="BD15" s="179"/>
      <c r="BE15" s="179"/>
      <c r="BF15" s="179"/>
      <c r="BG15" s="179"/>
      <c r="BH15" s="179"/>
      <c r="BI15" s="179"/>
      <c r="BJ15" s="180"/>
      <c r="BK15" s="50"/>
    </row>
    <row r="16" spans="1:63" s="51" customFormat="1" ht="15" customHeight="1" x14ac:dyDescent="0.25">
      <c r="A16" s="46"/>
      <c r="B16" s="53"/>
      <c r="C16" s="169">
        <v>1</v>
      </c>
      <c r="D16" s="170"/>
      <c r="E16" s="197" t="s">
        <v>137</v>
      </c>
      <c r="F16" s="198"/>
      <c r="G16" s="198"/>
      <c r="H16" s="198"/>
      <c r="I16" s="198"/>
      <c r="J16" s="198"/>
      <c r="K16" s="198"/>
      <c r="L16" s="198"/>
      <c r="M16" s="198"/>
      <c r="N16" s="198"/>
      <c r="O16" s="198"/>
      <c r="P16" s="198"/>
      <c r="Q16" s="198"/>
      <c r="R16" s="198"/>
      <c r="S16" s="198"/>
      <c r="T16" s="198"/>
      <c r="U16" s="198"/>
      <c r="V16" s="198"/>
      <c r="W16" s="198"/>
      <c r="X16" s="198"/>
      <c r="Y16" s="198"/>
      <c r="Z16" s="198"/>
      <c r="AA16" s="198"/>
      <c r="AB16" s="198"/>
      <c r="AC16" s="198"/>
      <c r="AD16" s="198"/>
      <c r="AE16" s="198"/>
      <c r="AF16" s="199"/>
      <c r="AG16" s="169" t="s">
        <v>45</v>
      </c>
      <c r="AH16" s="174"/>
      <c r="AI16" s="174"/>
      <c r="AJ16" s="174"/>
      <c r="AK16" s="174"/>
      <c r="AL16" s="174"/>
      <c r="AM16" s="174"/>
      <c r="AN16" s="174"/>
      <c r="AO16" s="174"/>
      <c r="AP16" s="170"/>
      <c r="AQ16" s="257"/>
      <c r="AR16" s="258"/>
      <c r="AS16" s="258"/>
      <c r="AT16" s="258"/>
      <c r="AU16" s="258"/>
      <c r="AV16" s="258"/>
      <c r="AW16" s="258"/>
      <c r="AX16" s="258"/>
      <c r="AY16" s="258"/>
      <c r="AZ16" s="258"/>
      <c r="BA16" s="258"/>
      <c r="BB16" s="258"/>
      <c r="BC16" s="258"/>
      <c r="BD16" s="258"/>
      <c r="BE16" s="258"/>
      <c r="BF16" s="258"/>
      <c r="BG16" s="258"/>
      <c r="BH16" s="258"/>
      <c r="BI16" s="258"/>
      <c r="BJ16" s="259"/>
      <c r="BK16" s="50"/>
    </row>
    <row r="17" spans="1:63" s="51" customFormat="1" ht="15" customHeight="1" x14ac:dyDescent="0.25">
      <c r="A17" s="46"/>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4"/>
      <c r="BI17" s="54"/>
      <c r="BJ17" s="54"/>
      <c r="BK17" s="50"/>
    </row>
    <row r="18" spans="1:63" s="51" customFormat="1" ht="15" customHeight="1" x14ac:dyDescent="0.25">
      <c r="A18" s="46"/>
      <c r="B18" s="53"/>
      <c r="C18" s="56" t="s">
        <v>185</v>
      </c>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4"/>
      <c r="BI18" s="54"/>
      <c r="BJ18" s="54"/>
      <c r="BK18" s="50"/>
    </row>
    <row r="19" spans="1:63" s="51" customFormat="1" ht="15" customHeight="1" x14ac:dyDescent="0.25">
      <c r="A19" s="46"/>
      <c r="B19" s="53"/>
      <c r="C19" s="56"/>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4"/>
      <c r="BI19" s="54"/>
      <c r="BJ19" s="54"/>
      <c r="BK19" s="50"/>
    </row>
    <row r="20" spans="1:63" s="51" customFormat="1" ht="15" customHeight="1" x14ac:dyDescent="0.25">
      <c r="A20" s="46"/>
      <c r="B20" s="53"/>
      <c r="C20" s="181" t="s">
        <v>186</v>
      </c>
      <c r="D20" s="183"/>
      <c r="E20" s="181" t="s">
        <v>187</v>
      </c>
      <c r="F20" s="182"/>
      <c r="G20" s="182"/>
      <c r="H20" s="182"/>
      <c r="I20" s="182"/>
      <c r="J20" s="182"/>
      <c r="K20" s="183"/>
      <c r="L20" s="178" t="s">
        <v>40</v>
      </c>
      <c r="M20" s="179"/>
      <c r="N20" s="180"/>
      <c r="O20" s="178" t="s">
        <v>41</v>
      </c>
      <c r="P20" s="179"/>
      <c r="Q20" s="179"/>
      <c r="R20" s="180"/>
      <c r="S20" s="178" t="s">
        <v>42</v>
      </c>
      <c r="T20" s="179"/>
      <c r="U20" s="179"/>
      <c r="V20" s="179"/>
      <c r="W20" s="179"/>
      <c r="X20" s="179"/>
      <c r="Y20" s="180"/>
      <c r="Z20" s="181" t="s">
        <v>188</v>
      </c>
      <c r="AA20" s="182"/>
      <c r="AB20" s="182"/>
      <c r="AC20" s="182"/>
      <c r="AD20" s="182"/>
      <c r="AE20" s="182"/>
      <c r="AF20" s="182"/>
      <c r="AG20" s="182"/>
      <c r="AH20" s="182"/>
      <c r="AI20" s="182"/>
      <c r="AJ20" s="182"/>
      <c r="AK20" s="182"/>
      <c r="AL20" s="182"/>
      <c r="AM20" s="182"/>
      <c r="AN20" s="182"/>
      <c r="AO20" s="182"/>
      <c r="AP20" s="183"/>
      <c r="AQ20" s="178" t="s">
        <v>39</v>
      </c>
      <c r="AR20" s="179"/>
      <c r="AS20" s="179"/>
      <c r="AT20" s="179"/>
      <c r="AU20" s="179"/>
      <c r="AV20" s="179"/>
      <c r="AW20" s="179"/>
      <c r="AX20" s="179"/>
      <c r="AY20" s="179"/>
      <c r="AZ20" s="179"/>
      <c r="BA20" s="179"/>
      <c r="BB20" s="179"/>
      <c r="BC20" s="179"/>
      <c r="BD20" s="179"/>
      <c r="BE20" s="179"/>
      <c r="BF20" s="179"/>
      <c r="BG20" s="179"/>
      <c r="BH20" s="179"/>
      <c r="BI20" s="179"/>
      <c r="BJ20" s="180"/>
      <c r="BK20" s="50"/>
    </row>
    <row r="21" spans="1:63" s="51" customFormat="1" ht="15" customHeight="1" x14ac:dyDescent="0.25">
      <c r="A21" s="46"/>
      <c r="B21" s="53"/>
      <c r="C21" s="169">
        <v>1</v>
      </c>
      <c r="D21" s="170"/>
      <c r="E21" s="260" t="s">
        <v>18</v>
      </c>
      <c r="F21" s="261"/>
      <c r="G21" s="261"/>
      <c r="H21" s="261"/>
      <c r="I21" s="261"/>
      <c r="J21" s="261"/>
      <c r="K21" s="262"/>
      <c r="L21" s="187" t="s">
        <v>19</v>
      </c>
      <c r="M21" s="188"/>
      <c r="N21" s="189"/>
      <c r="O21" s="169" t="s">
        <v>20</v>
      </c>
      <c r="P21" s="174"/>
      <c r="Q21" s="174"/>
      <c r="R21" s="170"/>
      <c r="S21" s="169" t="s">
        <v>21</v>
      </c>
      <c r="T21" s="174"/>
      <c r="U21" s="174"/>
      <c r="V21" s="174"/>
      <c r="W21" s="174"/>
      <c r="X21" s="174"/>
      <c r="Y21" s="170"/>
      <c r="Z21" s="260" t="s">
        <v>22</v>
      </c>
      <c r="AA21" s="261"/>
      <c r="AB21" s="261"/>
      <c r="AC21" s="261"/>
      <c r="AD21" s="261"/>
      <c r="AE21" s="261"/>
      <c r="AF21" s="261"/>
      <c r="AG21" s="261"/>
      <c r="AH21" s="261"/>
      <c r="AI21" s="261"/>
      <c r="AJ21" s="261"/>
      <c r="AK21" s="261"/>
      <c r="AL21" s="261"/>
      <c r="AM21" s="261"/>
      <c r="AN21" s="261"/>
      <c r="AO21" s="261"/>
      <c r="AP21" s="262"/>
      <c r="AQ21" s="257" t="s">
        <v>189</v>
      </c>
      <c r="AR21" s="258"/>
      <c r="AS21" s="258"/>
      <c r="AT21" s="258"/>
      <c r="AU21" s="258"/>
      <c r="AV21" s="258"/>
      <c r="AW21" s="258"/>
      <c r="AX21" s="258"/>
      <c r="AY21" s="258"/>
      <c r="AZ21" s="258"/>
      <c r="BA21" s="258"/>
      <c r="BB21" s="258"/>
      <c r="BC21" s="258"/>
      <c r="BD21" s="258"/>
      <c r="BE21" s="258"/>
      <c r="BF21" s="258"/>
      <c r="BG21" s="258"/>
      <c r="BH21" s="258"/>
      <c r="BI21" s="258"/>
      <c r="BJ21" s="259"/>
      <c r="BK21" s="50"/>
    </row>
    <row r="22" spans="1:63" s="51" customFormat="1" ht="15" customHeight="1" x14ac:dyDescent="0.25">
      <c r="A22" s="46"/>
      <c r="B22" s="53"/>
      <c r="C22" s="169">
        <v>2</v>
      </c>
      <c r="D22" s="170"/>
      <c r="E22" s="260" t="s">
        <v>23</v>
      </c>
      <c r="F22" s="261"/>
      <c r="G22" s="261"/>
      <c r="H22" s="261"/>
      <c r="I22" s="261"/>
      <c r="J22" s="261"/>
      <c r="K22" s="262"/>
      <c r="L22" s="187" t="s">
        <v>21</v>
      </c>
      <c r="M22" s="188"/>
      <c r="N22" s="189"/>
      <c r="O22" s="169" t="s">
        <v>20</v>
      </c>
      <c r="P22" s="174"/>
      <c r="Q22" s="174"/>
      <c r="R22" s="170"/>
      <c r="S22" s="169" t="s">
        <v>21</v>
      </c>
      <c r="T22" s="174"/>
      <c r="U22" s="174"/>
      <c r="V22" s="174"/>
      <c r="W22" s="174"/>
      <c r="X22" s="174"/>
      <c r="Y22" s="170"/>
      <c r="Z22" s="260" t="s">
        <v>23</v>
      </c>
      <c r="AA22" s="261"/>
      <c r="AB22" s="261"/>
      <c r="AC22" s="261"/>
      <c r="AD22" s="261"/>
      <c r="AE22" s="261"/>
      <c r="AF22" s="261"/>
      <c r="AG22" s="261"/>
      <c r="AH22" s="261"/>
      <c r="AI22" s="261"/>
      <c r="AJ22" s="261"/>
      <c r="AK22" s="261"/>
      <c r="AL22" s="261"/>
      <c r="AM22" s="261"/>
      <c r="AN22" s="261"/>
      <c r="AO22" s="261"/>
      <c r="AP22" s="262"/>
      <c r="AQ22" s="263"/>
      <c r="AR22" s="258"/>
      <c r="AS22" s="258"/>
      <c r="AT22" s="258"/>
      <c r="AU22" s="258"/>
      <c r="AV22" s="258"/>
      <c r="AW22" s="258"/>
      <c r="AX22" s="258"/>
      <c r="AY22" s="258"/>
      <c r="AZ22" s="258"/>
      <c r="BA22" s="258"/>
      <c r="BB22" s="258"/>
      <c r="BC22" s="258"/>
      <c r="BD22" s="258"/>
      <c r="BE22" s="258"/>
      <c r="BF22" s="258"/>
      <c r="BG22" s="258"/>
      <c r="BH22" s="258"/>
      <c r="BI22" s="258"/>
      <c r="BJ22" s="259"/>
      <c r="BK22" s="50"/>
    </row>
    <row r="23" spans="1:63" s="51" customFormat="1" ht="15" customHeight="1" x14ac:dyDescent="0.25">
      <c r="A23" s="46"/>
      <c r="B23" s="53"/>
      <c r="C23" s="190">
        <v>3</v>
      </c>
      <c r="D23" s="191"/>
      <c r="E23" s="264" t="s">
        <v>24</v>
      </c>
      <c r="F23" s="265"/>
      <c r="G23" s="265"/>
      <c r="H23" s="265"/>
      <c r="I23" s="265"/>
      <c r="J23" s="265"/>
      <c r="K23" s="266"/>
      <c r="L23" s="267" t="s">
        <v>19</v>
      </c>
      <c r="M23" s="268"/>
      <c r="N23" s="269"/>
      <c r="O23" s="270" t="s">
        <v>20</v>
      </c>
      <c r="P23" s="271"/>
      <c r="Q23" s="271"/>
      <c r="R23" s="272"/>
      <c r="S23" s="270" t="s">
        <v>46</v>
      </c>
      <c r="T23" s="271"/>
      <c r="U23" s="271"/>
      <c r="V23" s="271"/>
      <c r="W23" s="271"/>
      <c r="X23" s="271"/>
      <c r="Y23" s="272"/>
      <c r="Z23" s="273" t="s">
        <v>46</v>
      </c>
      <c r="AA23" s="274"/>
      <c r="AB23" s="274"/>
      <c r="AC23" s="274"/>
      <c r="AD23" s="274"/>
      <c r="AE23" s="274"/>
      <c r="AF23" s="274"/>
      <c r="AG23" s="274"/>
      <c r="AH23" s="274"/>
      <c r="AI23" s="274"/>
      <c r="AJ23" s="274"/>
      <c r="AK23" s="274"/>
      <c r="AL23" s="274"/>
      <c r="AM23" s="274"/>
      <c r="AN23" s="274"/>
      <c r="AO23" s="274"/>
      <c r="AP23" s="275"/>
      <c r="AQ23" s="276"/>
      <c r="AR23" s="276"/>
      <c r="AS23" s="276"/>
      <c r="AT23" s="276"/>
      <c r="AU23" s="276"/>
      <c r="AV23" s="276"/>
      <c r="AW23" s="276"/>
      <c r="AX23" s="276"/>
      <c r="AY23" s="276"/>
      <c r="AZ23" s="276"/>
      <c r="BA23" s="276"/>
      <c r="BB23" s="276"/>
      <c r="BC23" s="276"/>
      <c r="BD23" s="276"/>
      <c r="BE23" s="276"/>
      <c r="BF23" s="276"/>
      <c r="BG23" s="276"/>
      <c r="BH23" s="276"/>
      <c r="BI23" s="276"/>
      <c r="BJ23" s="277"/>
      <c r="BK23" s="50"/>
    </row>
    <row r="24" spans="1:63" s="51" customFormat="1" ht="15" customHeight="1" x14ac:dyDescent="0.25">
      <c r="A24" s="46"/>
      <c r="B24" s="53"/>
      <c r="C24" s="169">
        <v>4</v>
      </c>
      <c r="D24" s="170"/>
      <c r="E24" s="260" t="s">
        <v>25</v>
      </c>
      <c r="F24" s="261"/>
      <c r="G24" s="261"/>
      <c r="H24" s="261"/>
      <c r="I24" s="261"/>
      <c r="J24" s="261"/>
      <c r="K24" s="262"/>
      <c r="L24" s="187" t="s">
        <v>21</v>
      </c>
      <c r="M24" s="188"/>
      <c r="N24" s="189"/>
      <c r="O24" s="169" t="s">
        <v>20</v>
      </c>
      <c r="P24" s="174"/>
      <c r="Q24" s="174"/>
      <c r="R24" s="170"/>
      <c r="S24" s="169" t="s">
        <v>21</v>
      </c>
      <c r="T24" s="174"/>
      <c r="U24" s="174"/>
      <c r="V24" s="174"/>
      <c r="W24" s="174"/>
      <c r="X24" s="174"/>
      <c r="Y24" s="170"/>
      <c r="Z24" s="260" t="s">
        <v>25</v>
      </c>
      <c r="AA24" s="261"/>
      <c r="AB24" s="261"/>
      <c r="AC24" s="261"/>
      <c r="AD24" s="261"/>
      <c r="AE24" s="261"/>
      <c r="AF24" s="261"/>
      <c r="AG24" s="261"/>
      <c r="AH24" s="261"/>
      <c r="AI24" s="261"/>
      <c r="AJ24" s="261"/>
      <c r="AK24" s="261"/>
      <c r="AL24" s="261"/>
      <c r="AM24" s="261"/>
      <c r="AN24" s="261"/>
      <c r="AO24" s="261"/>
      <c r="AP24" s="262"/>
      <c r="AQ24" s="263"/>
      <c r="AR24" s="258"/>
      <c r="AS24" s="258"/>
      <c r="AT24" s="258"/>
      <c r="AU24" s="258"/>
      <c r="AV24" s="258"/>
      <c r="AW24" s="258"/>
      <c r="AX24" s="258"/>
      <c r="AY24" s="258"/>
      <c r="AZ24" s="258"/>
      <c r="BA24" s="258"/>
      <c r="BB24" s="258"/>
      <c r="BC24" s="258"/>
      <c r="BD24" s="258"/>
      <c r="BE24" s="258"/>
      <c r="BF24" s="258"/>
      <c r="BG24" s="258"/>
      <c r="BH24" s="258"/>
      <c r="BI24" s="258"/>
      <c r="BJ24" s="259"/>
      <c r="BK24" s="50"/>
    </row>
    <row r="25" spans="1:63" s="51" customFormat="1" ht="15" customHeight="1" x14ac:dyDescent="0.25">
      <c r="A25" s="46"/>
      <c r="B25" s="53"/>
      <c r="C25" s="169">
        <v>5</v>
      </c>
      <c r="D25" s="170"/>
      <c r="E25" s="260" t="s">
        <v>26</v>
      </c>
      <c r="F25" s="261"/>
      <c r="G25" s="261"/>
      <c r="H25" s="261"/>
      <c r="I25" s="261"/>
      <c r="J25" s="261"/>
      <c r="K25" s="262"/>
      <c r="L25" s="187" t="s">
        <v>21</v>
      </c>
      <c r="M25" s="188"/>
      <c r="N25" s="189"/>
      <c r="O25" s="169" t="s">
        <v>20</v>
      </c>
      <c r="P25" s="174"/>
      <c r="Q25" s="174"/>
      <c r="R25" s="170"/>
      <c r="S25" s="169" t="s">
        <v>21</v>
      </c>
      <c r="T25" s="174"/>
      <c r="U25" s="174"/>
      <c r="V25" s="174"/>
      <c r="W25" s="174"/>
      <c r="X25" s="174"/>
      <c r="Y25" s="170"/>
      <c r="Z25" s="260" t="s">
        <v>26</v>
      </c>
      <c r="AA25" s="261"/>
      <c r="AB25" s="261"/>
      <c r="AC25" s="261"/>
      <c r="AD25" s="261"/>
      <c r="AE25" s="261"/>
      <c r="AF25" s="261"/>
      <c r="AG25" s="261"/>
      <c r="AH25" s="261"/>
      <c r="AI25" s="261"/>
      <c r="AJ25" s="261"/>
      <c r="AK25" s="261"/>
      <c r="AL25" s="261"/>
      <c r="AM25" s="261"/>
      <c r="AN25" s="261"/>
      <c r="AO25" s="261"/>
      <c r="AP25" s="262"/>
      <c r="AQ25" s="263"/>
      <c r="AR25" s="258"/>
      <c r="AS25" s="258"/>
      <c r="AT25" s="258"/>
      <c r="AU25" s="258"/>
      <c r="AV25" s="258"/>
      <c r="AW25" s="258"/>
      <c r="AX25" s="258"/>
      <c r="AY25" s="258"/>
      <c r="AZ25" s="258"/>
      <c r="BA25" s="258"/>
      <c r="BB25" s="258"/>
      <c r="BC25" s="258"/>
      <c r="BD25" s="258"/>
      <c r="BE25" s="258"/>
      <c r="BF25" s="258"/>
      <c r="BG25" s="258"/>
      <c r="BH25" s="258"/>
      <c r="BI25" s="258"/>
      <c r="BJ25" s="259"/>
      <c r="BK25" s="50"/>
    </row>
    <row r="26" spans="1:63" s="51" customFormat="1" ht="15" customHeight="1" x14ac:dyDescent="0.25">
      <c r="A26" s="46"/>
      <c r="B26" s="53"/>
      <c r="C26" s="53"/>
      <c r="D26" s="53"/>
      <c r="E26" s="256"/>
      <c r="F26" s="256"/>
      <c r="G26" s="256"/>
      <c r="H26" s="256"/>
      <c r="I26" s="53"/>
      <c r="J26" s="53"/>
      <c r="K26" s="53"/>
      <c r="L26" s="278"/>
      <c r="M26" s="256"/>
      <c r="N26" s="256"/>
      <c r="O26" s="256"/>
      <c r="P26" s="256"/>
      <c r="Q26" s="53"/>
      <c r="R26" s="53"/>
      <c r="S26" s="53"/>
      <c r="T26" s="53"/>
      <c r="U26" s="53"/>
      <c r="V26" s="53"/>
      <c r="W26" s="53"/>
      <c r="X26" s="53"/>
      <c r="Y26" s="53"/>
      <c r="Z26" s="60"/>
      <c r="AA26" s="53"/>
      <c r="AB26" s="53"/>
      <c r="AC26" s="53"/>
      <c r="AD26" s="53"/>
      <c r="AE26" s="53"/>
      <c r="AF26" s="53"/>
      <c r="AG26" s="256"/>
      <c r="AH26" s="256"/>
      <c r="AI26" s="256"/>
      <c r="AJ26" s="256"/>
      <c r="AK26" s="256"/>
      <c r="AL26" s="256"/>
      <c r="AM26" s="256"/>
      <c r="AN26" s="256"/>
      <c r="AO26" s="256"/>
      <c r="AP26" s="53"/>
      <c r="AQ26" s="61"/>
      <c r="AR26" s="61"/>
      <c r="AS26" s="61"/>
      <c r="AT26" s="61"/>
      <c r="AU26" s="61"/>
      <c r="AV26" s="61"/>
      <c r="AW26" s="61"/>
      <c r="AX26" s="61"/>
      <c r="AY26" s="61"/>
      <c r="AZ26" s="61"/>
      <c r="BA26" s="61"/>
      <c r="BB26" s="61"/>
      <c r="BC26" s="61"/>
      <c r="BD26" s="61"/>
      <c r="BE26" s="61"/>
      <c r="BF26" s="61"/>
      <c r="BG26" s="61"/>
      <c r="BH26" s="54"/>
      <c r="BI26" s="54"/>
      <c r="BJ26" s="54"/>
      <c r="BK26" s="50"/>
    </row>
    <row r="27" spans="1:63" s="51" customFormat="1" ht="15" customHeight="1" x14ac:dyDescent="0.25">
      <c r="A27" s="46"/>
      <c r="B27" s="53"/>
      <c r="C27" s="53"/>
      <c r="D27" s="53"/>
      <c r="E27" s="256"/>
      <c r="F27" s="256"/>
      <c r="G27" s="256"/>
      <c r="H27" s="256"/>
      <c r="I27" s="53"/>
      <c r="J27" s="53"/>
      <c r="K27" s="53"/>
      <c r="L27" s="62"/>
      <c r="M27" s="256"/>
      <c r="N27" s="256"/>
      <c r="O27" s="256"/>
      <c r="P27" s="256"/>
      <c r="Q27" s="53"/>
      <c r="R27" s="53"/>
      <c r="S27" s="53"/>
      <c r="T27" s="53"/>
      <c r="U27" s="53"/>
      <c r="V27" s="53"/>
      <c r="W27" s="53"/>
      <c r="X27" s="53"/>
      <c r="Y27" s="53"/>
      <c r="Z27" s="60"/>
      <c r="AA27" s="53"/>
      <c r="AB27" s="53"/>
      <c r="AC27" s="53"/>
      <c r="AD27" s="53"/>
      <c r="AE27" s="53"/>
      <c r="AF27" s="53"/>
      <c r="AG27" s="256"/>
      <c r="AH27" s="256"/>
      <c r="AI27" s="256"/>
      <c r="AJ27" s="256"/>
      <c r="AK27" s="256"/>
      <c r="AL27" s="256"/>
      <c r="AM27" s="256"/>
      <c r="AN27" s="256"/>
      <c r="AO27" s="256"/>
      <c r="AP27" s="53"/>
      <c r="AQ27" s="61"/>
      <c r="AR27" s="61"/>
      <c r="AS27" s="61"/>
      <c r="AT27" s="61"/>
      <c r="AU27" s="61"/>
      <c r="AV27" s="61"/>
      <c r="AW27" s="61"/>
      <c r="AX27" s="61"/>
      <c r="AY27" s="61"/>
      <c r="AZ27" s="61"/>
      <c r="BA27" s="61"/>
      <c r="BB27" s="61"/>
      <c r="BC27" s="61"/>
      <c r="BD27" s="61"/>
      <c r="BE27" s="61"/>
      <c r="BF27" s="61"/>
      <c r="BG27" s="61"/>
      <c r="BH27" s="54"/>
      <c r="BI27" s="54"/>
      <c r="BJ27" s="54"/>
      <c r="BK27" s="50"/>
    </row>
    <row r="28" spans="1:63" s="51" customFormat="1" ht="15" customHeight="1" x14ac:dyDescent="0.25">
      <c r="A28" s="46"/>
      <c r="B28" s="53"/>
      <c r="C28" s="56" t="s">
        <v>190</v>
      </c>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4"/>
      <c r="BI28" s="54"/>
      <c r="BJ28" s="54"/>
      <c r="BK28" s="50"/>
    </row>
    <row r="29" spans="1:63" s="51" customFormat="1" ht="15" customHeight="1" x14ac:dyDescent="0.25">
      <c r="A29" s="46"/>
      <c r="B29" s="53"/>
      <c r="C29" s="52"/>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4"/>
      <c r="BI29" s="54"/>
      <c r="BJ29" s="54"/>
      <c r="BK29" s="50"/>
    </row>
    <row r="30" spans="1:63" s="51" customFormat="1" ht="15" customHeight="1" x14ac:dyDescent="0.25">
      <c r="A30" s="46"/>
      <c r="B30" s="53"/>
      <c r="C30" s="195" t="s">
        <v>27</v>
      </c>
      <c r="D30" s="196"/>
      <c r="E30" s="279" t="s">
        <v>43</v>
      </c>
      <c r="F30" s="280"/>
      <c r="G30" s="280"/>
      <c r="H30" s="280"/>
      <c r="I30" s="280"/>
      <c r="J30" s="280"/>
      <c r="K30" s="281"/>
      <c r="L30" s="178" t="s">
        <v>40</v>
      </c>
      <c r="M30" s="179"/>
      <c r="N30" s="180"/>
      <c r="O30" s="178" t="s">
        <v>41</v>
      </c>
      <c r="P30" s="179"/>
      <c r="Q30" s="179"/>
      <c r="R30" s="180"/>
      <c r="S30" s="178" t="s">
        <v>42</v>
      </c>
      <c r="T30" s="179"/>
      <c r="U30" s="179"/>
      <c r="V30" s="179"/>
      <c r="W30" s="179"/>
      <c r="X30" s="179"/>
      <c r="Y30" s="180"/>
      <c r="Z30" s="181" t="s">
        <v>188</v>
      </c>
      <c r="AA30" s="182"/>
      <c r="AB30" s="182"/>
      <c r="AC30" s="182"/>
      <c r="AD30" s="182"/>
      <c r="AE30" s="182"/>
      <c r="AF30" s="182"/>
      <c r="AG30" s="182"/>
      <c r="AH30" s="182"/>
      <c r="AI30" s="182"/>
      <c r="AJ30" s="182"/>
      <c r="AK30" s="182"/>
      <c r="AL30" s="182"/>
      <c r="AM30" s="182"/>
      <c r="AN30" s="182"/>
      <c r="AO30" s="182"/>
      <c r="AP30" s="183"/>
      <c r="AQ30" s="200" t="s">
        <v>39</v>
      </c>
      <c r="AR30" s="201"/>
      <c r="AS30" s="201"/>
      <c r="AT30" s="201"/>
      <c r="AU30" s="201"/>
      <c r="AV30" s="201"/>
      <c r="AW30" s="201"/>
      <c r="AX30" s="201"/>
      <c r="AY30" s="201"/>
      <c r="AZ30" s="201"/>
      <c r="BA30" s="201"/>
      <c r="BB30" s="201"/>
      <c r="BC30" s="201"/>
      <c r="BD30" s="201"/>
      <c r="BE30" s="201"/>
      <c r="BF30" s="201"/>
      <c r="BG30" s="201"/>
      <c r="BH30" s="201"/>
      <c r="BI30" s="201"/>
      <c r="BJ30" s="202"/>
      <c r="BK30" s="50"/>
    </row>
    <row r="31" spans="1:63" s="51" customFormat="1" ht="15" customHeight="1" x14ac:dyDescent="0.25">
      <c r="A31" s="46"/>
      <c r="B31" s="53"/>
      <c r="C31" s="169">
        <v>1</v>
      </c>
      <c r="D31" s="170"/>
      <c r="E31" s="260" t="s">
        <v>48</v>
      </c>
      <c r="F31" s="261"/>
      <c r="G31" s="261"/>
      <c r="H31" s="261"/>
      <c r="I31" s="261"/>
      <c r="J31" s="261"/>
      <c r="K31" s="262"/>
      <c r="L31" s="187" t="s">
        <v>19</v>
      </c>
      <c r="M31" s="188"/>
      <c r="N31" s="189"/>
      <c r="O31" s="169" t="s">
        <v>80</v>
      </c>
      <c r="P31" s="174"/>
      <c r="Q31" s="174"/>
      <c r="R31" s="170"/>
      <c r="S31" s="169" t="s">
        <v>21</v>
      </c>
      <c r="T31" s="174"/>
      <c r="U31" s="174"/>
      <c r="V31" s="174"/>
      <c r="W31" s="174"/>
      <c r="X31" s="174"/>
      <c r="Y31" s="170"/>
      <c r="Z31" s="260" t="s">
        <v>191</v>
      </c>
      <c r="AA31" s="261"/>
      <c r="AB31" s="261"/>
      <c r="AC31" s="261"/>
      <c r="AD31" s="261"/>
      <c r="AE31" s="261"/>
      <c r="AF31" s="261"/>
      <c r="AG31" s="261"/>
      <c r="AH31" s="261"/>
      <c r="AI31" s="261"/>
      <c r="AJ31" s="261"/>
      <c r="AK31" s="261"/>
      <c r="AL31" s="261"/>
      <c r="AM31" s="261"/>
      <c r="AN31" s="261"/>
      <c r="AO31" s="261"/>
      <c r="AP31" s="262"/>
      <c r="AQ31" s="192" t="s">
        <v>192</v>
      </c>
      <c r="AR31" s="193"/>
      <c r="AS31" s="193"/>
      <c r="AT31" s="193"/>
      <c r="AU31" s="193"/>
      <c r="AV31" s="193"/>
      <c r="AW31" s="193"/>
      <c r="AX31" s="193"/>
      <c r="AY31" s="193"/>
      <c r="AZ31" s="193"/>
      <c r="BA31" s="193"/>
      <c r="BB31" s="193"/>
      <c r="BC31" s="193"/>
      <c r="BD31" s="193"/>
      <c r="BE31" s="193"/>
      <c r="BF31" s="193"/>
      <c r="BG31" s="193"/>
      <c r="BH31" s="193"/>
      <c r="BI31" s="193"/>
      <c r="BJ31" s="194"/>
      <c r="BK31" s="50"/>
    </row>
    <row r="32" spans="1:63" s="51" customFormat="1" ht="15" customHeight="1" x14ac:dyDescent="0.25">
      <c r="A32" s="46"/>
      <c r="B32" s="53"/>
      <c r="C32" s="169">
        <f>C31+1</f>
        <v>2</v>
      </c>
      <c r="D32" s="170"/>
      <c r="E32" s="260" t="s">
        <v>49</v>
      </c>
      <c r="F32" s="261"/>
      <c r="G32" s="261"/>
      <c r="H32" s="261"/>
      <c r="I32" s="261"/>
      <c r="J32" s="261"/>
      <c r="K32" s="262"/>
      <c r="L32" s="187" t="s">
        <v>21</v>
      </c>
      <c r="M32" s="188"/>
      <c r="N32" s="189"/>
      <c r="O32" s="169" t="s">
        <v>20</v>
      </c>
      <c r="P32" s="174"/>
      <c r="Q32" s="174"/>
      <c r="R32" s="170"/>
      <c r="S32" s="169" t="s">
        <v>21</v>
      </c>
      <c r="T32" s="174"/>
      <c r="U32" s="174"/>
      <c r="V32" s="174"/>
      <c r="W32" s="174"/>
      <c r="X32" s="174"/>
      <c r="Y32" s="170"/>
      <c r="Z32" s="260" t="s">
        <v>88</v>
      </c>
      <c r="AA32" s="261"/>
      <c r="AB32" s="261"/>
      <c r="AC32" s="261"/>
      <c r="AD32" s="261"/>
      <c r="AE32" s="261"/>
      <c r="AF32" s="261"/>
      <c r="AG32" s="261"/>
      <c r="AH32" s="261"/>
      <c r="AI32" s="261"/>
      <c r="AJ32" s="261"/>
      <c r="AK32" s="261"/>
      <c r="AL32" s="261"/>
      <c r="AM32" s="261"/>
      <c r="AN32" s="261"/>
      <c r="AO32" s="261"/>
      <c r="AP32" s="262"/>
      <c r="AQ32" s="192" t="s">
        <v>193</v>
      </c>
      <c r="AR32" s="193"/>
      <c r="AS32" s="193"/>
      <c r="AT32" s="193"/>
      <c r="AU32" s="193"/>
      <c r="AV32" s="193"/>
      <c r="AW32" s="193"/>
      <c r="AX32" s="193"/>
      <c r="AY32" s="193"/>
      <c r="AZ32" s="193"/>
      <c r="BA32" s="193"/>
      <c r="BB32" s="193"/>
      <c r="BC32" s="193"/>
      <c r="BD32" s="193"/>
      <c r="BE32" s="193"/>
      <c r="BF32" s="193"/>
      <c r="BG32" s="193"/>
      <c r="BH32" s="193"/>
      <c r="BI32" s="193"/>
      <c r="BJ32" s="194"/>
      <c r="BK32" s="50"/>
    </row>
    <row r="33" spans="1:63" s="51" customFormat="1" ht="15" customHeight="1" x14ac:dyDescent="0.25">
      <c r="A33" s="46"/>
      <c r="B33" s="53"/>
      <c r="C33" s="169">
        <f t="shared" ref="C33:C37" si="0">C32+1</f>
        <v>3</v>
      </c>
      <c r="D33" s="170"/>
      <c r="E33" s="260" t="s">
        <v>50</v>
      </c>
      <c r="F33" s="261"/>
      <c r="G33" s="261"/>
      <c r="H33" s="261"/>
      <c r="I33" s="261"/>
      <c r="J33" s="261"/>
      <c r="K33" s="262"/>
      <c r="L33" s="187" t="s">
        <v>21</v>
      </c>
      <c r="M33" s="188"/>
      <c r="N33" s="189"/>
      <c r="O33" s="169" t="s">
        <v>20</v>
      </c>
      <c r="P33" s="174"/>
      <c r="Q33" s="174"/>
      <c r="R33" s="170"/>
      <c r="S33" s="169" t="s">
        <v>21</v>
      </c>
      <c r="T33" s="174"/>
      <c r="U33" s="174"/>
      <c r="V33" s="174"/>
      <c r="W33" s="174"/>
      <c r="X33" s="174"/>
      <c r="Y33" s="170"/>
      <c r="Z33" s="260" t="s">
        <v>89</v>
      </c>
      <c r="AA33" s="261"/>
      <c r="AB33" s="261"/>
      <c r="AC33" s="261"/>
      <c r="AD33" s="261"/>
      <c r="AE33" s="261"/>
      <c r="AF33" s="261"/>
      <c r="AG33" s="261"/>
      <c r="AH33" s="261"/>
      <c r="AI33" s="261"/>
      <c r="AJ33" s="261"/>
      <c r="AK33" s="261"/>
      <c r="AL33" s="261"/>
      <c r="AM33" s="261"/>
      <c r="AN33" s="261"/>
      <c r="AO33" s="261"/>
      <c r="AP33" s="262"/>
      <c r="AQ33" s="192" t="s">
        <v>194</v>
      </c>
      <c r="AR33" s="193"/>
      <c r="AS33" s="193"/>
      <c r="AT33" s="193"/>
      <c r="AU33" s="193"/>
      <c r="AV33" s="193"/>
      <c r="AW33" s="193"/>
      <c r="AX33" s="193"/>
      <c r="AY33" s="193"/>
      <c r="AZ33" s="193"/>
      <c r="BA33" s="193"/>
      <c r="BB33" s="193"/>
      <c r="BC33" s="193"/>
      <c r="BD33" s="193"/>
      <c r="BE33" s="193"/>
      <c r="BF33" s="193"/>
      <c r="BG33" s="193"/>
      <c r="BH33" s="193"/>
      <c r="BI33" s="193"/>
      <c r="BJ33" s="194"/>
      <c r="BK33" s="50"/>
    </row>
    <row r="34" spans="1:63" s="51" customFormat="1" ht="15" customHeight="1" x14ac:dyDescent="0.25">
      <c r="A34" s="46"/>
      <c r="B34" s="53"/>
      <c r="C34" s="169">
        <f t="shared" si="0"/>
        <v>4</v>
      </c>
      <c r="D34" s="170"/>
      <c r="E34" s="260" t="s">
        <v>51</v>
      </c>
      <c r="F34" s="261"/>
      <c r="G34" s="261"/>
      <c r="H34" s="261"/>
      <c r="I34" s="261"/>
      <c r="J34" s="261"/>
      <c r="K34" s="262"/>
      <c r="L34" s="187" t="s">
        <v>21</v>
      </c>
      <c r="M34" s="188"/>
      <c r="N34" s="189"/>
      <c r="O34" s="282" t="s">
        <v>195</v>
      </c>
      <c r="P34" s="283"/>
      <c r="Q34" s="283"/>
      <c r="R34" s="284"/>
      <c r="S34" s="169" t="s">
        <v>21</v>
      </c>
      <c r="T34" s="174"/>
      <c r="U34" s="174"/>
      <c r="V34" s="174"/>
      <c r="W34" s="174"/>
      <c r="X34" s="174"/>
      <c r="Y34" s="170"/>
      <c r="Z34" s="260" t="s">
        <v>90</v>
      </c>
      <c r="AA34" s="261"/>
      <c r="AB34" s="261"/>
      <c r="AC34" s="261"/>
      <c r="AD34" s="261"/>
      <c r="AE34" s="261"/>
      <c r="AF34" s="261"/>
      <c r="AG34" s="261"/>
      <c r="AH34" s="261"/>
      <c r="AI34" s="261"/>
      <c r="AJ34" s="261"/>
      <c r="AK34" s="261"/>
      <c r="AL34" s="261"/>
      <c r="AM34" s="261"/>
      <c r="AN34" s="261"/>
      <c r="AO34" s="261"/>
      <c r="AP34" s="262"/>
      <c r="AQ34" s="192" t="s">
        <v>194</v>
      </c>
      <c r="AR34" s="193"/>
      <c r="AS34" s="193"/>
      <c r="AT34" s="193"/>
      <c r="AU34" s="193"/>
      <c r="AV34" s="193"/>
      <c r="AW34" s="193"/>
      <c r="AX34" s="193"/>
      <c r="AY34" s="193"/>
      <c r="AZ34" s="193"/>
      <c r="BA34" s="193"/>
      <c r="BB34" s="193"/>
      <c r="BC34" s="193"/>
      <c r="BD34" s="193"/>
      <c r="BE34" s="193"/>
      <c r="BF34" s="193"/>
      <c r="BG34" s="193"/>
      <c r="BH34" s="193"/>
      <c r="BI34" s="193"/>
      <c r="BJ34" s="194"/>
      <c r="BK34" s="50"/>
    </row>
    <row r="35" spans="1:63" s="51" customFormat="1" ht="15" customHeight="1" x14ac:dyDescent="0.25">
      <c r="A35" s="46"/>
      <c r="B35" s="53"/>
      <c r="C35" s="169">
        <f t="shared" si="0"/>
        <v>5</v>
      </c>
      <c r="D35" s="170"/>
      <c r="E35" s="260" t="s">
        <v>52</v>
      </c>
      <c r="F35" s="261"/>
      <c r="G35" s="261"/>
      <c r="H35" s="261"/>
      <c r="I35" s="261"/>
      <c r="J35" s="261"/>
      <c r="K35" s="262"/>
      <c r="L35" s="187" t="s">
        <v>21</v>
      </c>
      <c r="M35" s="188"/>
      <c r="N35" s="189"/>
      <c r="O35" s="169" t="s">
        <v>20</v>
      </c>
      <c r="P35" s="174"/>
      <c r="Q35" s="174"/>
      <c r="R35" s="170"/>
      <c r="S35" s="169" t="s">
        <v>21</v>
      </c>
      <c r="T35" s="174"/>
      <c r="U35" s="174"/>
      <c r="V35" s="174"/>
      <c r="W35" s="174"/>
      <c r="X35" s="174"/>
      <c r="Y35" s="170"/>
      <c r="Z35" s="260" t="s">
        <v>91</v>
      </c>
      <c r="AA35" s="261"/>
      <c r="AB35" s="261"/>
      <c r="AC35" s="261"/>
      <c r="AD35" s="261"/>
      <c r="AE35" s="261"/>
      <c r="AF35" s="261"/>
      <c r="AG35" s="261"/>
      <c r="AH35" s="261"/>
      <c r="AI35" s="261"/>
      <c r="AJ35" s="261"/>
      <c r="AK35" s="261"/>
      <c r="AL35" s="261"/>
      <c r="AM35" s="261"/>
      <c r="AN35" s="261"/>
      <c r="AO35" s="261"/>
      <c r="AP35" s="262"/>
      <c r="AQ35" s="192" t="s">
        <v>194</v>
      </c>
      <c r="AR35" s="193"/>
      <c r="AS35" s="193"/>
      <c r="AT35" s="193"/>
      <c r="AU35" s="193"/>
      <c r="AV35" s="193"/>
      <c r="AW35" s="193"/>
      <c r="AX35" s="193"/>
      <c r="AY35" s="193"/>
      <c r="AZ35" s="193"/>
      <c r="BA35" s="193"/>
      <c r="BB35" s="193"/>
      <c r="BC35" s="193"/>
      <c r="BD35" s="193"/>
      <c r="BE35" s="193"/>
      <c r="BF35" s="193"/>
      <c r="BG35" s="193"/>
      <c r="BH35" s="193"/>
      <c r="BI35" s="193"/>
      <c r="BJ35" s="194"/>
      <c r="BK35" s="50"/>
    </row>
    <row r="36" spans="1:63" s="51" customFormat="1" ht="15" customHeight="1" x14ac:dyDescent="0.25">
      <c r="A36" s="46"/>
      <c r="B36" s="53"/>
      <c r="C36" s="169">
        <f t="shared" si="0"/>
        <v>6</v>
      </c>
      <c r="D36" s="170"/>
      <c r="E36" s="260" t="s">
        <v>53</v>
      </c>
      <c r="F36" s="261"/>
      <c r="G36" s="261"/>
      <c r="H36" s="261"/>
      <c r="I36" s="261"/>
      <c r="J36" s="261"/>
      <c r="K36" s="262"/>
      <c r="L36" s="187" t="s">
        <v>21</v>
      </c>
      <c r="M36" s="188"/>
      <c r="N36" s="189"/>
      <c r="O36" s="169" t="s">
        <v>20</v>
      </c>
      <c r="P36" s="174"/>
      <c r="Q36" s="174"/>
      <c r="R36" s="170"/>
      <c r="S36" s="169" t="s">
        <v>21</v>
      </c>
      <c r="T36" s="174"/>
      <c r="U36" s="174"/>
      <c r="V36" s="174"/>
      <c r="W36" s="174"/>
      <c r="X36" s="174"/>
      <c r="Y36" s="170"/>
      <c r="Z36" s="260" t="s">
        <v>92</v>
      </c>
      <c r="AA36" s="261"/>
      <c r="AB36" s="261"/>
      <c r="AC36" s="261"/>
      <c r="AD36" s="261"/>
      <c r="AE36" s="261"/>
      <c r="AF36" s="261"/>
      <c r="AG36" s="261"/>
      <c r="AH36" s="261"/>
      <c r="AI36" s="261"/>
      <c r="AJ36" s="261"/>
      <c r="AK36" s="261"/>
      <c r="AL36" s="261"/>
      <c r="AM36" s="261"/>
      <c r="AN36" s="261"/>
      <c r="AO36" s="261"/>
      <c r="AP36" s="262"/>
      <c r="AQ36" s="192" t="s">
        <v>194</v>
      </c>
      <c r="AR36" s="193"/>
      <c r="AS36" s="193"/>
      <c r="AT36" s="193"/>
      <c r="AU36" s="193"/>
      <c r="AV36" s="193"/>
      <c r="AW36" s="193"/>
      <c r="AX36" s="193"/>
      <c r="AY36" s="193"/>
      <c r="AZ36" s="193"/>
      <c r="BA36" s="193"/>
      <c r="BB36" s="193"/>
      <c r="BC36" s="193"/>
      <c r="BD36" s="193"/>
      <c r="BE36" s="193"/>
      <c r="BF36" s="193"/>
      <c r="BG36" s="193"/>
      <c r="BH36" s="193"/>
      <c r="BI36" s="193"/>
      <c r="BJ36" s="194"/>
      <c r="BK36" s="50"/>
    </row>
    <row r="37" spans="1:63" s="51" customFormat="1" ht="15" customHeight="1" x14ac:dyDescent="0.25">
      <c r="A37" s="46"/>
      <c r="B37" s="53"/>
      <c r="C37" s="169">
        <f t="shared" si="0"/>
        <v>7</v>
      </c>
      <c r="D37" s="170"/>
      <c r="E37" s="260" t="s">
        <v>54</v>
      </c>
      <c r="F37" s="261"/>
      <c r="G37" s="261"/>
      <c r="H37" s="261"/>
      <c r="I37" s="261"/>
      <c r="J37" s="261"/>
      <c r="K37" s="262"/>
      <c r="L37" s="187" t="s">
        <v>21</v>
      </c>
      <c r="M37" s="188"/>
      <c r="N37" s="189"/>
      <c r="O37" s="169" t="s">
        <v>20</v>
      </c>
      <c r="P37" s="174"/>
      <c r="Q37" s="174"/>
      <c r="R37" s="170"/>
      <c r="S37" s="169" t="s">
        <v>21</v>
      </c>
      <c r="T37" s="174"/>
      <c r="U37" s="174"/>
      <c r="V37" s="174"/>
      <c r="W37" s="174"/>
      <c r="X37" s="174"/>
      <c r="Y37" s="170"/>
      <c r="Z37" s="260" t="s">
        <v>93</v>
      </c>
      <c r="AA37" s="261"/>
      <c r="AB37" s="261"/>
      <c r="AC37" s="261"/>
      <c r="AD37" s="261"/>
      <c r="AE37" s="261"/>
      <c r="AF37" s="261"/>
      <c r="AG37" s="261"/>
      <c r="AH37" s="261"/>
      <c r="AI37" s="261"/>
      <c r="AJ37" s="261"/>
      <c r="AK37" s="261"/>
      <c r="AL37" s="261"/>
      <c r="AM37" s="261"/>
      <c r="AN37" s="261"/>
      <c r="AO37" s="261"/>
      <c r="AP37" s="262"/>
      <c r="AQ37" s="192" t="s">
        <v>194</v>
      </c>
      <c r="AR37" s="193"/>
      <c r="AS37" s="193"/>
      <c r="AT37" s="193"/>
      <c r="AU37" s="193"/>
      <c r="AV37" s="193"/>
      <c r="AW37" s="193"/>
      <c r="AX37" s="193"/>
      <c r="AY37" s="193"/>
      <c r="AZ37" s="193"/>
      <c r="BA37" s="193"/>
      <c r="BB37" s="193"/>
      <c r="BC37" s="193"/>
      <c r="BD37" s="193"/>
      <c r="BE37" s="193"/>
      <c r="BF37" s="193"/>
      <c r="BG37" s="193"/>
      <c r="BH37" s="193"/>
      <c r="BI37" s="193"/>
      <c r="BJ37" s="194"/>
      <c r="BK37" s="50"/>
    </row>
    <row r="38" spans="1:63" s="51" customFormat="1" ht="15" customHeight="1" x14ac:dyDescent="0.25">
      <c r="A38" s="46"/>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4"/>
      <c r="BI38" s="54"/>
      <c r="BJ38" s="54"/>
      <c r="BK38" s="50"/>
    </row>
    <row r="39" spans="1:63" s="51" customFormat="1" ht="15" customHeight="1" x14ac:dyDescent="0.25">
      <c r="A39" s="46"/>
      <c r="B39" s="53"/>
      <c r="C39" s="56" t="s">
        <v>196</v>
      </c>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4"/>
      <c r="BI39" s="54"/>
      <c r="BJ39" s="54"/>
      <c r="BK39" s="50"/>
    </row>
    <row r="40" spans="1:63" s="51" customFormat="1" ht="15" customHeight="1" x14ac:dyDescent="0.25">
      <c r="A40" s="46"/>
      <c r="B40" s="53"/>
      <c r="C40" s="52"/>
      <c r="D40" s="53" t="s">
        <v>58</v>
      </c>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4"/>
      <c r="BI40" s="54"/>
      <c r="BJ40" s="54"/>
      <c r="BK40" s="50"/>
    </row>
    <row r="41" spans="1:63" s="51" customFormat="1" ht="15" customHeight="1" x14ac:dyDescent="0.25">
      <c r="A41" s="46"/>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4"/>
      <c r="BI41" s="54"/>
      <c r="BJ41" s="54"/>
      <c r="BK41" s="50"/>
    </row>
    <row r="42" spans="1:63" s="51" customFormat="1" ht="15" customHeight="1" x14ac:dyDescent="0.25">
      <c r="A42" s="46"/>
      <c r="B42" s="47" t="s">
        <v>197</v>
      </c>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9"/>
      <c r="BI42" s="49"/>
      <c r="BJ42" s="49"/>
      <c r="BK42" s="50"/>
    </row>
    <row r="43" spans="1:63" s="51" customFormat="1" ht="15" customHeight="1" x14ac:dyDescent="0.25">
      <c r="A43" s="46"/>
      <c r="B43" s="52"/>
      <c r="C43" s="56"/>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4"/>
      <c r="BI43" s="54"/>
      <c r="BJ43" s="54"/>
      <c r="BK43" s="50"/>
    </row>
    <row r="44" spans="1:63" s="51" customFormat="1" ht="15" customHeight="1" x14ac:dyDescent="0.25">
      <c r="A44" s="46"/>
      <c r="B44" s="52"/>
      <c r="C44" s="56" t="s">
        <v>198</v>
      </c>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4"/>
      <c r="BI44" s="54"/>
      <c r="BJ44" s="54"/>
      <c r="BK44" s="50"/>
    </row>
    <row r="45" spans="1:63" s="51" customFormat="1" ht="15" customHeight="1" x14ac:dyDescent="0.25">
      <c r="A45" s="46"/>
      <c r="B45" s="52"/>
      <c r="C45" s="56"/>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4"/>
      <c r="BI45" s="54"/>
      <c r="BJ45" s="54"/>
      <c r="BK45" s="50"/>
    </row>
    <row r="46" spans="1:63" s="51" customFormat="1" ht="15" customHeight="1" x14ac:dyDescent="0.25">
      <c r="A46" s="46"/>
      <c r="B46" s="53"/>
      <c r="C46" s="178" t="s">
        <v>27</v>
      </c>
      <c r="D46" s="180"/>
      <c r="E46" s="181" t="s">
        <v>199</v>
      </c>
      <c r="F46" s="179"/>
      <c r="G46" s="179"/>
      <c r="H46" s="179"/>
      <c r="I46" s="179"/>
      <c r="J46" s="179"/>
      <c r="K46" s="180"/>
      <c r="L46" s="178" t="s">
        <v>41</v>
      </c>
      <c r="M46" s="179"/>
      <c r="N46" s="179"/>
      <c r="O46" s="179"/>
      <c r="P46" s="179"/>
      <c r="Q46" s="179"/>
      <c r="R46" s="180"/>
      <c r="S46" s="184" t="s">
        <v>188</v>
      </c>
      <c r="T46" s="185"/>
      <c r="U46" s="185"/>
      <c r="V46" s="185"/>
      <c r="W46" s="185"/>
      <c r="X46" s="185"/>
      <c r="Y46" s="185"/>
      <c r="Z46" s="185"/>
      <c r="AA46" s="185"/>
      <c r="AB46" s="186"/>
      <c r="AC46" s="178" t="s">
        <v>39</v>
      </c>
      <c r="AD46" s="179"/>
      <c r="AE46" s="179"/>
      <c r="AF46" s="179"/>
      <c r="AG46" s="179"/>
      <c r="AH46" s="179"/>
      <c r="AI46" s="179"/>
      <c r="AJ46" s="179"/>
      <c r="AK46" s="179"/>
      <c r="AL46" s="179"/>
      <c r="AM46" s="179"/>
      <c r="AN46" s="179"/>
      <c r="AO46" s="179"/>
      <c r="AP46" s="179"/>
      <c r="AQ46" s="179"/>
      <c r="AR46" s="179"/>
      <c r="AS46" s="179"/>
      <c r="AT46" s="179"/>
      <c r="AU46" s="180"/>
      <c r="AV46" s="53"/>
      <c r="AW46" s="53"/>
      <c r="AX46" s="53"/>
      <c r="AY46" s="53"/>
      <c r="AZ46" s="53"/>
      <c r="BA46" s="53"/>
      <c r="BB46" s="53"/>
      <c r="BC46" s="53"/>
      <c r="BD46" s="53"/>
      <c r="BE46" s="53"/>
      <c r="BF46" s="53"/>
      <c r="BG46" s="53"/>
      <c r="BH46" s="54"/>
      <c r="BI46" s="54"/>
      <c r="BJ46" s="54"/>
      <c r="BK46" s="50"/>
    </row>
    <row r="47" spans="1:63" s="289" customFormat="1" ht="15" customHeight="1" x14ac:dyDescent="0.25">
      <c r="A47" s="285"/>
      <c r="B47" s="256"/>
      <c r="C47" s="260">
        <v>1</v>
      </c>
      <c r="D47" s="262"/>
      <c r="E47" s="260" t="s">
        <v>146</v>
      </c>
      <c r="F47" s="261"/>
      <c r="G47" s="261"/>
      <c r="H47" s="261"/>
      <c r="I47" s="261"/>
      <c r="J47" s="261"/>
      <c r="K47" s="262"/>
      <c r="L47" s="260" t="s">
        <v>147</v>
      </c>
      <c r="M47" s="261"/>
      <c r="N47" s="261"/>
      <c r="O47" s="261"/>
      <c r="P47" s="261"/>
      <c r="Q47" s="261"/>
      <c r="R47" s="262"/>
      <c r="S47" s="286"/>
      <c r="T47" s="287"/>
      <c r="U47" s="287"/>
      <c r="V47" s="287"/>
      <c r="W47" s="287"/>
      <c r="X47" s="287"/>
      <c r="Y47" s="287"/>
      <c r="Z47" s="287"/>
      <c r="AA47" s="287"/>
      <c r="AB47" s="288"/>
      <c r="AC47" s="260" t="s">
        <v>151</v>
      </c>
      <c r="AD47" s="261"/>
      <c r="AE47" s="261"/>
      <c r="AF47" s="261"/>
      <c r="AG47" s="261"/>
      <c r="AH47" s="261"/>
      <c r="AI47" s="261"/>
      <c r="AJ47" s="261"/>
      <c r="AK47" s="261"/>
      <c r="AL47" s="261"/>
      <c r="AM47" s="261"/>
      <c r="AN47" s="261"/>
      <c r="AO47" s="261"/>
      <c r="AP47" s="261"/>
      <c r="AQ47" s="261"/>
      <c r="AR47" s="261"/>
      <c r="AS47" s="261"/>
      <c r="AT47" s="261"/>
      <c r="AU47" s="262"/>
      <c r="AV47" s="256"/>
      <c r="AW47" s="256"/>
      <c r="AX47" s="256"/>
      <c r="AY47" s="256"/>
      <c r="AZ47" s="256"/>
      <c r="BA47" s="256"/>
      <c r="BB47" s="256"/>
      <c r="BC47" s="256"/>
      <c r="BD47" s="256"/>
      <c r="BE47" s="256"/>
      <c r="BF47" s="256"/>
      <c r="BG47" s="256"/>
      <c r="BH47" s="254"/>
      <c r="BI47" s="254"/>
      <c r="BJ47" s="254"/>
      <c r="BK47" s="252"/>
    </row>
    <row r="48" spans="1:63" s="51" customFormat="1" ht="15" customHeight="1" x14ac:dyDescent="0.25">
      <c r="A48" s="46"/>
      <c r="B48" s="53"/>
      <c r="C48" s="169">
        <v>2</v>
      </c>
      <c r="D48" s="170"/>
      <c r="E48" s="260" t="s">
        <v>139</v>
      </c>
      <c r="F48" s="261"/>
      <c r="G48" s="261"/>
      <c r="H48" s="261"/>
      <c r="I48" s="261"/>
      <c r="J48" s="261"/>
      <c r="K48" s="262"/>
      <c r="L48" s="169" t="s">
        <v>63</v>
      </c>
      <c r="M48" s="174"/>
      <c r="N48" s="174"/>
      <c r="O48" s="174"/>
      <c r="P48" s="174"/>
      <c r="Q48" s="174"/>
      <c r="R48" s="170"/>
      <c r="AC48" s="169"/>
      <c r="AD48" s="174"/>
      <c r="AE48" s="174"/>
      <c r="AF48" s="174"/>
      <c r="AG48" s="174"/>
      <c r="AH48" s="174"/>
      <c r="AI48" s="174"/>
      <c r="AJ48" s="174"/>
      <c r="AK48" s="174"/>
      <c r="AL48" s="174"/>
      <c r="AM48" s="174"/>
      <c r="AN48" s="174"/>
      <c r="AO48" s="174"/>
      <c r="AP48" s="174"/>
      <c r="AQ48" s="174"/>
      <c r="AR48" s="174"/>
      <c r="AS48" s="174"/>
      <c r="AT48" s="174"/>
      <c r="AU48" s="170"/>
      <c r="AV48" s="53"/>
      <c r="AW48" s="53"/>
      <c r="AX48" s="53"/>
      <c r="AY48" s="53"/>
      <c r="AZ48" s="53"/>
      <c r="BA48" s="53"/>
      <c r="BB48" s="53"/>
      <c r="BC48" s="53"/>
      <c r="BD48" s="53"/>
      <c r="BE48" s="53"/>
      <c r="BF48" s="53"/>
      <c r="BG48" s="53"/>
      <c r="BH48" s="54"/>
      <c r="BI48" s="54"/>
      <c r="BJ48" s="54"/>
      <c r="BK48" s="50"/>
    </row>
    <row r="49" spans="1:63" s="51" customFormat="1" ht="15" customHeight="1" x14ac:dyDescent="0.25">
      <c r="A49" s="46"/>
      <c r="B49" s="53"/>
      <c r="C49" s="260">
        <v>3</v>
      </c>
      <c r="D49" s="262"/>
      <c r="E49" s="290" t="s">
        <v>138</v>
      </c>
      <c r="F49" s="291"/>
      <c r="G49" s="291"/>
      <c r="H49" s="291"/>
      <c r="I49" s="291"/>
      <c r="J49" s="291"/>
      <c r="K49" s="292"/>
      <c r="L49" s="260" t="s">
        <v>55</v>
      </c>
      <c r="M49" s="261"/>
      <c r="N49" s="261"/>
      <c r="O49" s="261"/>
      <c r="P49" s="261"/>
      <c r="Q49" s="261"/>
      <c r="R49" s="262"/>
      <c r="S49" s="286" t="s">
        <v>145</v>
      </c>
      <c r="T49" s="287"/>
      <c r="U49" s="287"/>
      <c r="V49" s="287"/>
      <c r="W49" s="287"/>
      <c r="X49" s="287"/>
      <c r="Y49" s="287"/>
      <c r="Z49" s="287"/>
      <c r="AA49" s="287"/>
      <c r="AB49" s="288"/>
      <c r="AC49" s="169"/>
      <c r="AD49" s="174"/>
      <c r="AE49" s="174"/>
      <c r="AF49" s="174"/>
      <c r="AG49" s="174"/>
      <c r="AH49" s="174"/>
      <c r="AI49" s="174"/>
      <c r="AJ49" s="174"/>
      <c r="AK49" s="174"/>
      <c r="AL49" s="174"/>
      <c r="AM49" s="174"/>
      <c r="AN49" s="174"/>
      <c r="AO49" s="174"/>
      <c r="AP49" s="174"/>
      <c r="AQ49" s="174"/>
      <c r="AR49" s="174"/>
      <c r="AS49" s="174"/>
      <c r="AT49" s="174"/>
      <c r="AU49" s="170"/>
      <c r="AV49" s="53"/>
      <c r="AW49" s="53"/>
      <c r="AX49" s="53"/>
      <c r="AY49" s="53"/>
      <c r="AZ49" s="53"/>
      <c r="BA49" s="53"/>
      <c r="BB49" s="53"/>
      <c r="BC49" s="53"/>
      <c r="BD49" s="53"/>
      <c r="BE49" s="53"/>
      <c r="BF49" s="53"/>
      <c r="BG49" s="53"/>
      <c r="BH49" s="54"/>
      <c r="BI49" s="54"/>
      <c r="BJ49" s="54"/>
      <c r="BK49" s="50"/>
    </row>
    <row r="50" spans="1:63" s="51" customFormat="1" ht="15" customHeight="1" x14ac:dyDescent="0.25">
      <c r="A50" s="46"/>
      <c r="B50" s="53"/>
      <c r="C50" s="169">
        <v>4</v>
      </c>
      <c r="D50" s="170"/>
      <c r="E50" s="171" t="s">
        <v>59</v>
      </c>
      <c r="F50" s="172"/>
      <c r="G50" s="172"/>
      <c r="H50" s="172"/>
      <c r="I50" s="172"/>
      <c r="J50" s="172"/>
      <c r="K50" s="173"/>
      <c r="L50" s="169" t="s">
        <v>20</v>
      </c>
      <c r="M50" s="174"/>
      <c r="N50" s="174"/>
      <c r="O50" s="174"/>
      <c r="P50" s="174"/>
      <c r="Q50" s="174"/>
      <c r="R50" s="170"/>
      <c r="S50" s="175" t="s">
        <v>61</v>
      </c>
      <c r="T50" s="176"/>
      <c r="U50" s="176"/>
      <c r="V50" s="176"/>
      <c r="W50" s="176"/>
      <c r="X50" s="176"/>
      <c r="Y50" s="176"/>
      <c r="Z50" s="176"/>
      <c r="AA50" s="176"/>
      <c r="AB50" s="177"/>
      <c r="AC50" s="169"/>
      <c r="AD50" s="174"/>
      <c r="AE50" s="174"/>
      <c r="AF50" s="174"/>
      <c r="AG50" s="174"/>
      <c r="AH50" s="174"/>
      <c r="AI50" s="174"/>
      <c r="AJ50" s="174"/>
      <c r="AK50" s="174"/>
      <c r="AL50" s="174"/>
      <c r="AM50" s="174"/>
      <c r="AN50" s="174"/>
      <c r="AO50" s="174"/>
      <c r="AP50" s="174"/>
      <c r="AQ50" s="174"/>
      <c r="AR50" s="174"/>
      <c r="AS50" s="174"/>
      <c r="AT50" s="174"/>
      <c r="AU50" s="170"/>
      <c r="AV50" s="53"/>
      <c r="AW50" s="53"/>
      <c r="AX50" s="53"/>
      <c r="AY50" s="53"/>
      <c r="AZ50" s="53"/>
      <c r="BA50" s="53"/>
      <c r="BB50" s="53"/>
      <c r="BC50" s="53"/>
      <c r="BD50" s="53"/>
      <c r="BE50" s="53"/>
      <c r="BF50" s="53"/>
      <c r="BG50" s="53"/>
      <c r="BH50" s="54"/>
      <c r="BI50" s="54"/>
      <c r="BJ50" s="54"/>
      <c r="BK50" s="50"/>
    </row>
    <row r="51" spans="1:63" s="51" customFormat="1" ht="15" customHeight="1" x14ac:dyDescent="0.25">
      <c r="A51" s="46"/>
      <c r="B51" s="53"/>
      <c r="C51" s="169">
        <v>5</v>
      </c>
      <c r="D51" s="170"/>
      <c r="E51" s="171" t="s">
        <v>60</v>
      </c>
      <c r="F51" s="172"/>
      <c r="G51" s="172"/>
      <c r="H51" s="172"/>
      <c r="I51" s="172"/>
      <c r="J51" s="172"/>
      <c r="K51" s="173"/>
      <c r="L51" s="169" t="s">
        <v>20</v>
      </c>
      <c r="M51" s="174"/>
      <c r="N51" s="174"/>
      <c r="O51" s="174"/>
      <c r="P51" s="174"/>
      <c r="Q51" s="174"/>
      <c r="R51" s="170"/>
      <c r="S51" s="175" t="s">
        <v>62</v>
      </c>
      <c r="T51" s="176"/>
      <c r="U51" s="176"/>
      <c r="V51" s="176"/>
      <c r="W51" s="176"/>
      <c r="X51" s="176"/>
      <c r="Y51" s="176"/>
      <c r="Z51" s="176"/>
      <c r="AA51" s="176"/>
      <c r="AB51" s="177"/>
      <c r="AC51" s="169"/>
      <c r="AD51" s="174"/>
      <c r="AE51" s="174"/>
      <c r="AF51" s="174"/>
      <c r="AG51" s="174"/>
      <c r="AH51" s="174"/>
      <c r="AI51" s="174"/>
      <c r="AJ51" s="174"/>
      <c r="AK51" s="174"/>
      <c r="AL51" s="174"/>
      <c r="AM51" s="174"/>
      <c r="AN51" s="174"/>
      <c r="AO51" s="174"/>
      <c r="AP51" s="174"/>
      <c r="AQ51" s="174"/>
      <c r="AR51" s="174"/>
      <c r="AS51" s="174"/>
      <c r="AT51" s="174"/>
      <c r="AU51" s="170"/>
      <c r="AV51" s="53"/>
      <c r="AW51" s="53"/>
      <c r="AX51" s="53"/>
      <c r="AY51" s="53"/>
      <c r="AZ51" s="53"/>
      <c r="BA51" s="53"/>
      <c r="BB51" s="53"/>
      <c r="BC51" s="53"/>
      <c r="BD51" s="53"/>
      <c r="BE51" s="53"/>
      <c r="BF51" s="53"/>
      <c r="BG51" s="53"/>
      <c r="BH51" s="54"/>
      <c r="BI51" s="54"/>
      <c r="BJ51" s="54"/>
      <c r="BK51" s="50"/>
    </row>
    <row r="52" spans="1:63" s="51" customFormat="1" ht="15" customHeight="1" x14ac:dyDescent="0.25">
      <c r="A52" s="46"/>
      <c r="B52" s="53"/>
      <c r="C52" s="169">
        <v>6</v>
      </c>
      <c r="D52" s="170"/>
      <c r="E52" s="171" t="s">
        <v>66</v>
      </c>
      <c r="F52" s="172"/>
      <c r="G52" s="172"/>
      <c r="H52" s="172"/>
      <c r="I52" s="172"/>
      <c r="J52" s="172"/>
      <c r="K52" s="173"/>
      <c r="L52" s="169" t="s">
        <v>55</v>
      </c>
      <c r="M52" s="174"/>
      <c r="N52" s="174"/>
      <c r="O52" s="174"/>
      <c r="P52" s="174"/>
      <c r="Q52" s="174"/>
      <c r="R52" s="170"/>
      <c r="S52" s="175" t="s">
        <v>67</v>
      </c>
      <c r="T52" s="176"/>
      <c r="U52" s="176"/>
      <c r="V52" s="176"/>
      <c r="W52" s="176"/>
      <c r="X52" s="176"/>
      <c r="Y52" s="176"/>
      <c r="Z52" s="176"/>
      <c r="AA52" s="176"/>
      <c r="AB52" s="177"/>
      <c r="AC52" s="169" t="s">
        <v>94</v>
      </c>
      <c r="AD52" s="174"/>
      <c r="AE52" s="174"/>
      <c r="AF52" s="174"/>
      <c r="AG52" s="174"/>
      <c r="AH52" s="174"/>
      <c r="AI52" s="174"/>
      <c r="AJ52" s="174"/>
      <c r="AK52" s="174"/>
      <c r="AL52" s="174"/>
      <c r="AM52" s="174"/>
      <c r="AN52" s="174"/>
      <c r="AO52" s="174"/>
      <c r="AP52" s="174"/>
      <c r="AQ52" s="174"/>
      <c r="AR52" s="174"/>
      <c r="AS52" s="174"/>
      <c r="AT52" s="174"/>
      <c r="AU52" s="170"/>
      <c r="AV52" s="53"/>
      <c r="AW52" s="53"/>
      <c r="AX52" s="53"/>
      <c r="AY52" s="53"/>
      <c r="AZ52" s="53"/>
      <c r="BA52" s="53"/>
      <c r="BB52" s="53"/>
      <c r="BC52" s="53"/>
      <c r="BD52" s="53"/>
      <c r="BE52" s="53"/>
      <c r="BF52" s="53"/>
      <c r="BG52" s="53"/>
      <c r="BH52" s="54"/>
      <c r="BI52" s="54"/>
      <c r="BJ52" s="54"/>
      <c r="BK52" s="50"/>
    </row>
    <row r="53" spans="1:63" s="84" customFormat="1" ht="15" customHeight="1" x14ac:dyDescent="0.25">
      <c r="A53" s="80"/>
      <c r="B53" s="81"/>
      <c r="C53" s="282">
        <v>7</v>
      </c>
      <c r="D53" s="284"/>
      <c r="E53" s="293" t="s">
        <v>200</v>
      </c>
      <c r="F53" s="294"/>
      <c r="G53" s="294"/>
      <c r="H53" s="294"/>
      <c r="I53" s="294"/>
      <c r="J53" s="294"/>
      <c r="K53" s="295"/>
      <c r="L53" s="282" t="s">
        <v>195</v>
      </c>
      <c r="M53" s="283"/>
      <c r="N53" s="283"/>
      <c r="O53" s="283"/>
      <c r="P53" s="283"/>
      <c r="Q53" s="283"/>
      <c r="R53" s="284"/>
      <c r="S53" s="296" t="s">
        <v>201</v>
      </c>
      <c r="T53" s="297"/>
      <c r="U53" s="297"/>
      <c r="V53" s="297"/>
      <c r="W53" s="297"/>
      <c r="X53" s="297"/>
      <c r="Y53" s="297"/>
      <c r="Z53" s="297"/>
      <c r="AA53" s="297"/>
      <c r="AB53" s="298"/>
      <c r="AC53" s="282" t="s">
        <v>202</v>
      </c>
      <c r="AD53" s="283"/>
      <c r="AE53" s="283"/>
      <c r="AF53" s="283"/>
      <c r="AG53" s="283"/>
      <c r="AH53" s="283"/>
      <c r="AI53" s="283"/>
      <c r="AJ53" s="283"/>
      <c r="AK53" s="283"/>
      <c r="AL53" s="283"/>
      <c r="AM53" s="283"/>
      <c r="AN53" s="283"/>
      <c r="AO53" s="283"/>
      <c r="AP53" s="283"/>
      <c r="AQ53" s="283"/>
      <c r="AR53" s="283"/>
      <c r="AS53" s="283"/>
      <c r="AT53" s="283"/>
      <c r="AU53" s="284"/>
      <c r="AV53" s="81"/>
      <c r="AW53" s="81"/>
      <c r="AX53" s="81"/>
      <c r="AY53" s="81"/>
      <c r="AZ53" s="81"/>
      <c r="BA53" s="81"/>
      <c r="BB53" s="81"/>
      <c r="BC53" s="81"/>
      <c r="BD53" s="81"/>
      <c r="BE53" s="81"/>
      <c r="BF53" s="81"/>
      <c r="BG53" s="81"/>
      <c r="BH53" s="82"/>
      <c r="BI53" s="82"/>
      <c r="BJ53" s="82"/>
      <c r="BK53" s="83"/>
    </row>
    <row r="54" spans="1:63" s="51" customFormat="1" ht="15" customHeight="1" x14ac:dyDescent="0.25">
      <c r="A54" s="46"/>
      <c r="B54" s="53"/>
      <c r="C54" s="169">
        <v>8</v>
      </c>
      <c r="D54" s="170"/>
      <c r="E54" s="171" t="s">
        <v>64</v>
      </c>
      <c r="F54" s="172"/>
      <c r="G54" s="172"/>
      <c r="H54" s="172"/>
      <c r="I54" s="172"/>
      <c r="J54" s="172"/>
      <c r="K54" s="173"/>
      <c r="L54" s="169" t="s">
        <v>20</v>
      </c>
      <c r="M54" s="174"/>
      <c r="N54" s="174"/>
      <c r="O54" s="174"/>
      <c r="P54" s="174"/>
      <c r="Q54" s="174"/>
      <c r="R54" s="170"/>
      <c r="S54" s="175" t="s">
        <v>65</v>
      </c>
      <c r="T54" s="176"/>
      <c r="U54" s="176"/>
      <c r="V54" s="176"/>
      <c r="W54" s="176"/>
      <c r="X54" s="176"/>
      <c r="Y54" s="176"/>
      <c r="Z54" s="176"/>
      <c r="AA54" s="176"/>
      <c r="AB54" s="177"/>
      <c r="AC54" s="169" t="s">
        <v>68</v>
      </c>
      <c r="AD54" s="174"/>
      <c r="AE54" s="174"/>
      <c r="AF54" s="174"/>
      <c r="AG54" s="174"/>
      <c r="AH54" s="174"/>
      <c r="AI54" s="174"/>
      <c r="AJ54" s="174"/>
      <c r="AK54" s="174"/>
      <c r="AL54" s="174"/>
      <c r="AM54" s="174"/>
      <c r="AN54" s="174"/>
      <c r="AO54" s="174"/>
      <c r="AP54" s="174"/>
      <c r="AQ54" s="174"/>
      <c r="AR54" s="174"/>
      <c r="AS54" s="174"/>
      <c r="AT54" s="174"/>
      <c r="AU54" s="170"/>
      <c r="AV54" s="53"/>
      <c r="AW54" s="53"/>
      <c r="AX54" s="53"/>
      <c r="AY54" s="53"/>
      <c r="AZ54" s="53"/>
      <c r="BA54" s="53"/>
      <c r="BB54" s="53"/>
      <c r="BC54" s="53"/>
      <c r="BD54" s="53"/>
      <c r="BE54" s="53"/>
      <c r="BF54" s="53"/>
      <c r="BG54" s="53"/>
      <c r="BH54" s="54"/>
      <c r="BI54" s="54"/>
      <c r="BJ54" s="54"/>
      <c r="BK54" s="50"/>
    </row>
    <row r="55" spans="1:63" s="84" customFormat="1" ht="30" customHeight="1" x14ac:dyDescent="0.25">
      <c r="A55" s="80"/>
      <c r="B55" s="81"/>
      <c r="C55" s="282">
        <v>8</v>
      </c>
      <c r="D55" s="284"/>
      <c r="E55" s="293" t="s">
        <v>203</v>
      </c>
      <c r="F55" s="294"/>
      <c r="G55" s="294"/>
      <c r="H55" s="294"/>
      <c r="I55" s="294"/>
      <c r="J55" s="294"/>
      <c r="K55" s="295"/>
      <c r="L55" s="282" t="s">
        <v>195</v>
      </c>
      <c r="M55" s="283"/>
      <c r="N55" s="283"/>
      <c r="O55" s="283"/>
      <c r="P55" s="283"/>
      <c r="Q55" s="283"/>
      <c r="R55" s="284"/>
      <c r="S55" s="299" t="s">
        <v>204</v>
      </c>
      <c r="T55" s="297"/>
      <c r="U55" s="297"/>
      <c r="V55" s="297"/>
      <c r="W55" s="297"/>
      <c r="X55" s="297"/>
      <c r="Y55" s="297"/>
      <c r="Z55" s="297"/>
      <c r="AA55" s="297"/>
      <c r="AB55" s="298"/>
      <c r="AC55" s="282" t="s">
        <v>205</v>
      </c>
      <c r="AD55" s="283"/>
      <c r="AE55" s="283"/>
      <c r="AF55" s="283"/>
      <c r="AG55" s="283"/>
      <c r="AH55" s="283"/>
      <c r="AI55" s="283"/>
      <c r="AJ55" s="283"/>
      <c r="AK55" s="283"/>
      <c r="AL55" s="283"/>
      <c r="AM55" s="283"/>
      <c r="AN55" s="283"/>
      <c r="AO55" s="283"/>
      <c r="AP55" s="283"/>
      <c r="AQ55" s="283"/>
      <c r="AR55" s="283"/>
      <c r="AS55" s="283"/>
      <c r="AT55" s="283"/>
      <c r="AU55" s="284"/>
      <c r="AV55" s="81"/>
      <c r="AW55" s="81"/>
      <c r="AX55" s="81"/>
      <c r="AY55" s="81"/>
      <c r="AZ55" s="81"/>
      <c r="BA55" s="81"/>
      <c r="BB55" s="81"/>
      <c r="BC55" s="81"/>
      <c r="BD55" s="81"/>
      <c r="BE55" s="81"/>
      <c r="BF55" s="81"/>
      <c r="BG55" s="81"/>
      <c r="BH55" s="82"/>
      <c r="BI55" s="82"/>
      <c r="BJ55" s="82"/>
      <c r="BK55" s="83"/>
    </row>
    <row r="56" spans="1:63" s="51" customFormat="1" ht="15" customHeight="1" x14ac:dyDescent="0.25">
      <c r="A56" s="46"/>
      <c r="B56" s="53"/>
      <c r="C56" s="282">
        <v>9</v>
      </c>
      <c r="D56" s="284"/>
      <c r="E56" s="171" t="s">
        <v>69</v>
      </c>
      <c r="F56" s="172"/>
      <c r="G56" s="172"/>
      <c r="H56" s="172"/>
      <c r="I56" s="172"/>
      <c r="J56" s="172"/>
      <c r="K56" s="173"/>
      <c r="L56" s="169" t="s">
        <v>20</v>
      </c>
      <c r="M56" s="174"/>
      <c r="N56" s="174"/>
      <c r="O56" s="174"/>
      <c r="P56" s="174"/>
      <c r="Q56" s="174"/>
      <c r="R56" s="170"/>
      <c r="S56" s="175" t="s">
        <v>70</v>
      </c>
      <c r="T56" s="176"/>
      <c r="U56" s="176"/>
      <c r="V56" s="176"/>
      <c r="W56" s="176"/>
      <c r="X56" s="176"/>
      <c r="Y56" s="176"/>
      <c r="Z56" s="176"/>
      <c r="AA56" s="176"/>
      <c r="AB56" s="177"/>
      <c r="AC56" s="169" t="s">
        <v>56</v>
      </c>
      <c r="AD56" s="174"/>
      <c r="AE56" s="174"/>
      <c r="AF56" s="174"/>
      <c r="AG56" s="174"/>
      <c r="AH56" s="174"/>
      <c r="AI56" s="174"/>
      <c r="AJ56" s="174"/>
      <c r="AK56" s="174"/>
      <c r="AL56" s="174"/>
      <c r="AM56" s="174"/>
      <c r="AN56" s="174"/>
      <c r="AO56" s="174"/>
      <c r="AP56" s="174"/>
      <c r="AQ56" s="174"/>
      <c r="AR56" s="174"/>
      <c r="AS56" s="174"/>
      <c r="AT56" s="174"/>
      <c r="AU56" s="170"/>
      <c r="AV56" s="53"/>
      <c r="AW56" s="53"/>
      <c r="AX56" s="53"/>
      <c r="AY56" s="53"/>
      <c r="AZ56" s="53"/>
      <c r="BA56" s="53"/>
      <c r="BB56" s="53"/>
      <c r="BC56" s="53"/>
      <c r="BD56" s="53"/>
      <c r="BE56" s="53"/>
      <c r="BF56" s="53"/>
      <c r="BG56" s="53"/>
      <c r="BH56" s="54"/>
      <c r="BI56" s="54"/>
      <c r="BJ56" s="54"/>
      <c r="BK56" s="50"/>
    </row>
    <row r="57" spans="1:63" s="84" customFormat="1" ht="15" customHeight="1" x14ac:dyDescent="0.25">
      <c r="A57" s="80"/>
      <c r="B57" s="81"/>
      <c r="C57" s="282">
        <v>10</v>
      </c>
      <c r="D57" s="284"/>
      <c r="E57" s="293" t="s">
        <v>206</v>
      </c>
      <c r="F57" s="294"/>
      <c r="G57" s="294"/>
      <c r="H57" s="294"/>
      <c r="I57" s="294"/>
      <c r="J57" s="294"/>
      <c r="K57" s="295"/>
      <c r="L57" s="282" t="s">
        <v>195</v>
      </c>
      <c r="M57" s="283"/>
      <c r="N57" s="283"/>
      <c r="O57" s="283"/>
      <c r="P57" s="283"/>
      <c r="Q57" s="283"/>
      <c r="R57" s="284"/>
      <c r="S57" s="296" t="s">
        <v>207</v>
      </c>
      <c r="T57" s="297"/>
      <c r="U57" s="297"/>
      <c r="V57" s="297"/>
      <c r="W57" s="297"/>
      <c r="X57" s="297"/>
      <c r="Y57" s="297"/>
      <c r="Z57" s="297"/>
      <c r="AA57" s="297"/>
      <c r="AB57" s="298"/>
      <c r="AC57" s="282" t="s">
        <v>208</v>
      </c>
      <c r="AD57" s="283"/>
      <c r="AE57" s="283"/>
      <c r="AF57" s="283"/>
      <c r="AG57" s="283"/>
      <c r="AH57" s="283"/>
      <c r="AI57" s="283"/>
      <c r="AJ57" s="283"/>
      <c r="AK57" s="283"/>
      <c r="AL57" s="283"/>
      <c r="AM57" s="283"/>
      <c r="AN57" s="283"/>
      <c r="AO57" s="283"/>
      <c r="AP57" s="283"/>
      <c r="AQ57" s="283"/>
      <c r="AR57" s="283"/>
      <c r="AS57" s="283"/>
      <c r="AT57" s="283"/>
      <c r="AU57" s="284"/>
      <c r="AV57" s="81"/>
      <c r="AW57" s="81"/>
      <c r="AX57" s="81"/>
      <c r="AY57" s="81"/>
      <c r="AZ57" s="81"/>
      <c r="BA57" s="81"/>
      <c r="BB57" s="81"/>
      <c r="BC57" s="81"/>
      <c r="BD57" s="81"/>
      <c r="BE57" s="81"/>
      <c r="BF57" s="81"/>
      <c r="BG57" s="81"/>
      <c r="BH57" s="82"/>
      <c r="BI57" s="82"/>
      <c r="BJ57" s="82"/>
      <c r="BK57" s="83"/>
    </row>
    <row r="58" spans="1:63" s="51" customFormat="1" ht="15" customHeight="1" x14ac:dyDescent="0.25">
      <c r="A58" s="46"/>
      <c r="B58" s="53"/>
      <c r="C58" s="282">
        <v>11</v>
      </c>
      <c r="D58" s="284"/>
      <c r="E58" s="171" t="s">
        <v>73</v>
      </c>
      <c r="F58" s="172"/>
      <c r="G58" s="172"/>
      <c r="H58" s="172"/>
      <c r="I58" s="172"/>
      <c r="J58" s="172"/>
      <c r="K58" s="173"/>
      <c r="L58" s="169" t="s">
        <v>20</v>
      </c>
      <c r="M58" s="174"/>
      <c r="N58" s="174"/>
      <c r="O58" s="174"/>
      <c r="P58" s="174"/>
      <c r="Q58" s="174"/>
      <c r="R58" s="170"/>
      <c r="S58" s="175" t="s">
        <v>72</v>
      </c>
      <c r="T58" s="176"/>
      <c r="U58" s="176"/>
      <c r="V58" s="176"/>
      <c r="W58" s="176"/>
      <c r="X58" s="176"/>
      <c r="Y58" s="176"/>
      <c r="Z58" s="176"/>
      <c r="AA58" s="176"/>
      <c r="AB58" s="177"/>
      <c r="AC58" s="169" t="s">
        <v>57</v>
      </c>
      <c r="AD58" s="174"/>
      <c r="AE58" s="174"/>
      <c r="AF58" s="174"/>
      <c r="AG58" s="174"/>
      <c r="AH58" s="174"/>
      <c r="AI58" s="174"/>
      <c r="AJ58" s="174"/>
      <c r="AK58" s="174"/>
      <c r="AL58" s="174"/>
      <c r="AM58" s="174"/>
      <c r="AN58" s="174"/>
      <c r="AO58" s="174"/>
      <c r="AP58" s="174"/>
      <c r="AQ58" s="174"/>
      <c r="AR58" s="174"/>
      <c r="AS58" s="174"/>
      <c r="AT58" s="174"/>
      <c r="AU58" s="170"/>
      <c r="AV58" s="53"/>
      <c r="AW58" s="53"/>
      <c r="AX58" s="53"/>
      <c r="AY58" s="53"/>
      <c r="AZ58" s="53"/>
      <c r="BA58" s="53"/>
      <c r="BB58" s="53"/>
      <c r="BC58" s="53"/>
      <c r="BD58" s="53"/>
      <c r="BE58" s="53"/>
      <c r="BF58" s="53"/>
      <c r="BG58" s="53"/>
      <c r="BH58" s="54"/>
      <c r="BI58" s="54"/>
      <c r="BJ58" s="54"/>
      <c r="BK58" s="50"/>
    </row>
    <row r="59" spans="1:63" s="84" customFormat="1" ht="30" customHeight="1" x14ac:dyDescent="0.25">
      <c r="A59" s="80"/>
      <c r="B59" s="81"/>
      <c r="C59" s="282">
        <v>12</v>
      </c>
      <c r="D59" s="284"/>
      <c r="E59" s="300" t="s">
        <v>209</v>
      </c>
      <c r="F59" s="301"/>
      <c r="G59" s="301"/>
      <c r="H59" s="301"/>
      <c r="I59" s="301"/>
      <c r="J59" s="301"/>
      <c r="K59" s="302"/>
      <c r="L59" s="282" t="s">
        <v>195</v>
      </c>
      <c r="M59" s="283"/>
      <c r="N59" s="283"/>
      <c r="O59" s="283"/>
      <c r="P59" s="283"/>
      <c r="Q59" s="283"/>
      <c r="R59" s="284"/>
      <c r="S59" s="299" t="s">
        <v>210</v>
      </c>
      <c r="T59" s="297"/>
      <c r="U59" s="297"/>
      <c r="V59" s="297"/>
      <c r="W59" s="297"/>
      <c r="X59" s="297"/>
      <c r="Y59" s="297"/>
      <c r="Z59" s="297"/>
      <c r="AA59" s="297"/>
      <c r="AB59" s="298"/>
      <c r="AC59" s="282" t="s">
        <v>211</v>
      </c>
      <c r="AD59" s="283"/>
      <c r="AE59" s="283"/>
      <c r="AF59" s="283"/>
      <c r="AG59" s="283"/>
      <c r="AH59" s="283"/>
      <c r="AI59" s="283"/>
      <c r="AJ59" s="283"/>
      <c r="AK59" s="283"/>
      <c r="AL59" s="283"/>
      <c r="AM59" s="283"/>
      <c r="AN59" s="283"/>
      <c r="AO59" s="283"/>
      <c r="AP59" s="283"/>
      <c r="AQ59" s="283"/>
      <c r="AR59" s="283"/>
      <c r="AS59" s="283"/>
      <c r="AT59" s="283"/>
      <c r="AU59" s="284"/>
      <c r="AV59" s="81"/>
      <c r="AW59" s="81"/>
      <c r="AX59" s="81"/>
      <c r="AY59" s="81"/>
      <c r="AZ59" s="81"/>
      <c r="BA59" s="81"/>
      <c r="BB59" s="81"/>
      <c r="BC59" s="81"/>
      <c r="BD59" s="81"/>
      <c r="BE59" s="81"/>
      <c r="BF59" s="81"/>
      <c r="BG59" s="81"/>
      <c r="BH59" s="82"/>
      <c r="BI59" s="82"/>
      <c r="BJ59" s="82"/>
      <c r="BK59" s="83"/>
    </row>
    <row r="60" spans="1:63" s="51" customFormat="1" ht="15" customHeight="1" x14ac:dyDescent="0.25">
      <c r="A60" s="46"/>
      <c r="B60" s="53"/>
      <c r="C60" s="282">
        <v>13</v>
      </c>
      <c r="D60" s="284"/>
      <c r="E60" s="171" t="s">
        <v>74</v>
      </c>
      <c r="F60" s="172"/>
      <c r="G60" s="172"/>
      <c r="H60" s="172"/>
      <c r="I60" s="172"/>
      <c r="J60" s="172"/>
      <c r="K60" s="173"/>
      <c r="L60" s="169" t="s">
        <v>20</v>
      </c>
      <c r="M60" s="174"/>
      <c r="N60" s="174"/>
      <c r="O60" s="174"/>
      <c r="P60" s="174"/>
      <c r="Q60" s="174"/>
      <c r="R60" s="170"/>
      <c r="S60" s="175" t="s">
        <v>71</v>
      </c>
      <c r="T60" s="176"/>
      <c r="U60" s="176"/>
      <c r="V60" s="176"/>
      <c r="W60" s="176"/>
      <c r="X60" s="176"/>
      <c r="Y60" s="176"/>
      <c r="Z60" s="176"/>
      <c r="AA60" s="176"/>
      <c r="AB60" s="177"/>
      <c r="AC60" s="169" t="s">
        <v>155</v>
      </c>
      <c r="AD60" s="174"/>
      <c r="AE60" s="174"/>
      <c r="AF60" s="174"/>
      <c r="AG60" s="174"/>
      <c r="AH60" s="174"/>
      <c r="AI60" s="174"/>
      <c r="AJ60" s="174"/>
      <c r="AK60" s="174"/>
      <c r="AL60" s="174"/>
      <c r="AM60" s="174"/>
      <c r="AN60" s="174"/>
      <c r="AO60" s="174"/>
      <c r="AP60" s="174"/>
      <c r="AQ60" s="174"/>
      <c r="AR60" s="174"/>
      <c r="AS60" s="174"/>
      <c r="AT60" s="174"/>
      <c r="AU60" s="170"/>
      <c r="AV60" s="53"/>
      <c r="AW60" s="53"/>
      <c r="AX60" s="53"/>
      <c r="AY60" s="53"/>
      <c r="AZ60" s="53"/>
      <c r="BA60" s="53"/>
      <c r="BB60" s="53"/>
      <c r="BC60" s="53"/>
      <c r="BD60" s="53"/>
      <c r="BE60" s="53"/>
      <c r="BF60" s="53"/>
      <c r="BG60" s="53"/>
      <c r="BH60" s="54"/>
      <c r="BI60" s="54"/>
      <c r="BJ60" s="54"/>
      <c r="BK60" s="50"/>
    </row>
    <row r="61" spans="1:63" s="84" customFormat="1" ht="30" customHeight="1" x14ac:dyDescent="0.25">
      <c r="A61" s="80"/>
      <c r="B61" s="81"/>
      <c r="C61" s="282">
        <v>14</v>
      </c>
      <c r="D61" s="284"/>
      <c r="E61" s="293" t="s">
        <v>212</v>
      </c>
      <c r="F61" s="294"/>
      <c r="G61" s="294"/>
      <c r="H61" s="294"/>
      <c r="I61" s="294"/>
      <c r="J61" s="294"/>
      <c r="K61" s="295"/>
      <c r="L61" s="282" t="s">
        <v>195</v>
      </c>
      <c r="M61" s="283"/>
      <c r="N61" s="283"/>
      <c r="O61" s="283"/>
      <c r="P61" s="283"/>
      <c r="Q61" s="283"/>
      <c r="R61" s="284"/>
      <c r="S61" s="299" t="s">
        <v>213</v>
      </c>
      <c r="T61" s="297"/>
      <c r="U61" s="297"/>
      <c r="V61" s="297"/>
      <c r="W61" s="297"/>
      <c r="X61" s="297"/>
      <c r="Y61" s="297"/>
      <c r="Z61" s="297"/>
      <c r="AA61" s="297"/>
      <c r="AB61" s="298"/>
      <c r="AC61" s="282" t="s">
        <v>214</v>
      </c>
      <c r="AD61" s="283"/>
      <c r="AE61" s="283"/>
      <c r="AF61" s="283"/>
      <c r="AG61" s="283"/>
      <c r="AH61" s="283"/>
      <c r="AI61" s="283"/>
      <c r="AJ61" s="283"/>
      <c r="AK61" s="283"/>
      <c r="AL61" s="283"/>
      <c r="AM61" s="283"/>
      <c r="AN61" s="283"/>
      <c r="AO61" s="283"/>
      <c r="AP61" s="283"/>
      <c r="AQ61" s="283"/>
      <c r="AR61" s="283"/>
      <c r="AS61" s="283"/>
      <c r="AT61" s="283"/>
      <c r="AU61" s="284"/>
      <c r="AV61" s="81"/>
      <c r="AW61" s="81"/>
      <c r="AX61" s="81"/>
      <c r="AY61" s="81"/>
      <c r="AZ61" s="81"/>
      <c r="BA61" s="81"/>
      <c r="BB61" s="81"/>
      <c r="BC61" s="81"/>
      <c r="BD61" s="81"/>
      <c r="BE61" s="81"/>
      <c r="BF61" s="81"/>
      <c r="BG61" s="81"/>
      <c r="BH61" s="82"/>
      <c r="BI61" s="82"/>
      <c r="BJ61" s="82"/>
      <c r="BK61" s="83"/>
    </row>
    <row r="62" spans="1:63" s="51" customFormat="1" ht="15" customHeight="1" x14ac:dyDescent="0.25">
      <c r="A62" s="46"/>
      <c r="B62" s="53"/>
      <c r="C62" s="282">
        <v>15</v>
      </c>
      <c r="D62" s="284"/>
      <c r="E62" s="171" t="s">
        <v>75</v>
      </c>
      <c r="F62" s="172"/>
      <c r="G62" s="172"/>
      <c r="H62" s="172"/>
      <c r="I62" s="172"/>
      <c r="J62" s="172"/>
      <c r="K62" s="173"/>
      <c r="L62" s="169" t="s">
        <v>20</v>
      </c>
      <c r="M62" s="174"/>
      <c r="N62" s="174"/>
      <c r="O62" s="174"/>
      <c r="P62" s="174"/>
      <c r="Q62" s="174"/>
      <c r="R62" s="170"/>
      <c r="S62" s="175" t="s">
        <v>76</v>
      </c>
      <c r="T62" s="176"/>
      <c r="U62" s="176"/>
      <c r="V62" s="176"/>
      <c r="W62" s="176"/>
      <c r="X62" s="176"/>
      <c r="Y62" s="176"/>
      <c r="Z62" s="176"/>
      <c r="AA62" s="176"/>
      <c r="AB62" s="177"/>
      <c r="AC62" s="169" t="s">
        <v>156</v>
      </c>
      <c r="AD62" s="174"/>
      <c r="AE62" s="174"/>
      <c r="AF62" s="174"/>
      <c r="AG62" s="174"/>
      <c r="AH62" s="174"/>
      <c r="AI62" s="174"/>
      <c r="AJ62" s="174"/>
      <c r="AK62" s="174"/>
      <c r="AL62" s="174"/>
      <c r="AM62" s="174"/>
      <c r="AN62" s="174"/>
      <c r="AO62" s="174"/>
      <c r="AP62" s="174"/>
      <c r="AQ62" s="174"/>
      <c r="AR62" s="174"/>
      <c r="AS62" s="174"/>
      <c r="AT62" s="174"/>
      <c r="AU62" s="170"/>
      <c r="AV62" s="53"/>
      <c r="AW62" s="53"/>
      <c r="AX62" s="53"/>
      <c r="AY62" s="53"/>
      <c r="AZ62" s="53"/>
      <c r="BA62" s="53"/>
      <c r="BB62" s="53"/>
      <c r="BC62" s="53"/>
      <c r="BD62" s="53"/>
      <c r="BE62" s="53"/>
      <c r="BF62" s="53"/>
      <c r="BG62" s="53"/>
      <c r="BH62" s="54"/>
      <c r="BI62" s="54"/>
      <c r="BJ62" s="54"/>
      <c r="BK62" s="50"/>
    </row>
    <row r="63" spans="1:63" s="84" customFormat="1" ht="30" customHeight="1" x14ac:dyDescent="0.25">
      <c r="A63" s="80"/>
      <c r="B63" s="81"/>
      <c r="C63" s="282">
        <v>16</v>
      </c>
      <c r="D63" s="284"/>
      <c r="E63" s="293" t="s">
        <v>215</v>
      </c>
      <c r="F63" s="294"/>
      <c r="G63" s="294"/>
      <c r="H63" s="294"/>
      <c r="I63" s="294"/>
      <c r="J63" s="294"/>
      <c r="K63" s="295"/>
      <c r="L63" s="282" t="s">
        <v>195</v>
      </c>
      <c r="M63" s="283"/>
      <c r="N63" s="283"/>
      <c r="O63" s="283"/>
      <c r="P63" s="283"/>
      <c r="Q63" s="283"/>
      <c r="R63" s="284"/>
      <c r="S63" s="299" t="s">
        <v>216</v>
      </c>
      <c r="T63" s="297"/>
      <c r="U63" s="297"/>
      <c r="V63" s="297"/>
      <c r="W63" s="297"/>
      <c r="X63" s="297"/>
      <c r="Y63" s="297"/>
      <c r="Z63" s="297"/>
      <c r="AA63" s="297"/>
      <c r="AB63" s="298"/>
      <c r="AC63" s="282" t="s">
        <v>217</v>
      </c>
      <c r="AD63" s="283"/>
      <c r="AE63" s="283"/>
      <c r="AF63" s="283"/>
      <c r="AG63" s="283"/>
      <c r="AH63" s="283"/>
      <c r="AI63" s="283"/>
      <c r="AJ63" s="283"/>
      <c r="AK63" s="283"/>
      <c r="AL63" s="283"/>
      <c r="AM63" s="283"/>
      <c r="AN63" s="283"/>
      <c r="AO63" s="283"/>
      <c r="AP63" s="283"/>
      <c r="AQ63" s="283"/>
      <c r="AR63" s="283"/>
      <c r="AS63" s="283"/>
      <c r="AT63" s="283"/>
      <c r="AU63" s="284"/>
      <c r="AV63" s="81"/>
      <c r="AW63" s="81"/>
      <c r="AX63" s="81"/>
      <c r="AY63" s="81"/>
      <c r="AZ63" s="81"/>
      <c r="BA63" s="81"/>
      <c r="BB63" s="81"/>
      <c r="BC63" s="81"/>
      <c r="BD63" s="81"/>
      <c r="BE63" s="81"/>
      <c r="BF63" s="81"/>
      <c r="BG63" s="81"/>
      <c r="BH63" s="82"/>
      <c r="BI63" s="82"/>
      <c r="BJ63" s="82"/>
      <c r="BK63" s="83"/>
    </row>
    <row r="64" spans="1:63" s="51" customFormat="1" ht="15" customHeight="1" x14ac:dyDescent="0.25">
      <c r="A64" s="46"/>
      <c r="B64" s="53"/>
      <c r="C64" s="169">
        <v>17</v>
      </c>
      <c r="D64" s="170"/>
      <c r="E64" s="171" t="s">
        <v>77</v>
      </c>
      <c r="F64" s="172"/>
      <c r="G64" s="172"/>
      <c r="H64" s="172"/>
      <c r="I64" s="172"/>
      <c r="J64" s="172"/>
      <c r="K64" s="173"/>
      <c r="L64" s="169" t="s">
        <v>20</v>
      </c>
      <c r="M64" s="174"/>
      <c r="N64" s="174"/>
      <c r="O64" s="174"/>
      <c r="P64" s="174"/>
      <c r="Q64" s="174"/>
      <c r="R64" s="170"/>
      <c r="S64" s="175" t="s">
        <v>79</v>
      </c>
      <c r="T64" s="176"/>
      <c r="U64" s="176"/>
      <c r="V64" s="176"/>
      <c r="W64" s="176"/>
      <c r="X64" s="176"/>
      <c r="Y64" s="176"/>
      <c r="Z64" s="176"/>
      <c r="AA64" s="176"/>
      <c r="AB64" s="177"/>
      <c r="AC64" s="169" t="s">
        <v>81</v>
      </c>
      <c r="AD64" s="174"/>
      <c r="AE64" s="174"/>
      <c r="AF64" s="174"/>
      <c r="AG64" s="174"/>
      <c r="AH64" s="174"/>
      <c r="AI64" s="174"/>
      <c r="AJ64" s="174"/>
      <c r="AK64" s="174"/>
      <c r="AL64" s="174"/>
      <c r="AM64" s="174"/>
      <c r="AN64" s="174"/>
      <c r="AO64" s="174"/>
      <c r="AP64" s="174"/>
      <c r="AQ64" s="174"/>
      <c r="AR64" s="174"/>
      <c r="AS64" s="174"/>
      <c r="AT64" s="174"/>
      <c r="AU64" s="170"/>
      <c r="AV64" s="53"/>
      <c r="AW64" s="53"/>
      <c r="AX64" s="53"/>
      <c r="AY64" s="53"/>
      <c r="AZ64" s="53"/>
      <c r="BA64" s="53"/>
      <c r="BB64" s="53"/>
      <c r="BC64" s="53"/>
      <c r="BD64" s="53"/>
      <c r="BE64" s="53"/>
      <c r="BF64" s="53"/>
      <c r="BG64" s="53"/>
      <c r="BH64" s="54"/>
      <c r="BI64" s="54"/>
      <c r="BJ64" s="54"/>
      <c r="BK64" s="50"/>
    </row>
    <row r="65" spans="1:63" s="51" customFormat="1" ht="15" customHeight="1" x14ac:dyDescent="0.25">
      <c r="A65" s="46"/>
      <c r="B65" s="53"/>
      <c r="C65" s="169">
        <v>18</v>
      </c>
      <c r="D65" s="170"/>
      <c r="E65" s="171" t="s">
        <v>78</v>
      </c>
      <c r="F65" s="172"/>
      <c r="G65" s="172"/>
      <c r="H65" s="172"/>
      <c r="I65" s="172"/>
      <c r="J65" s="172"/>
      <c r="K65" s="173"/>
      <c r="L65" s="169" t="s">
        <v>20</v>
      </c>
      <c r="M65" s="174"/>
      <c r="N65" s="174"/>
      <c r="O65" s="174"/>
      <c r="P65" s="174"/>
      <c r="Q65" s="174"/>
      <c r="R65" s="170"/>
      <c r="S65" s="286" t="s">
        <v>136</v>
      </c>
      <c r="T65" s="287"/>
      <c r="U65" s="287"/>
      <c r="V65" s="287"/>
      <c r="W65" s="287"/>
      <c r="X65" s="287"/>
      <c r="Y65" s="287"/>
      <c r="Z65" s="287"/>
      <c r="AA65" s="287"/>
      <c r="AB65" s="288"/>
      <c r="AC65" s="169" t="s">
        <v>82</v>
      </c>
      <c r="AD65" s="174"/>
      <c r="AE65" s="174"/>
      <c r="AF65" s="174"/>
      <c r="AG65" s="174"/>
      <c r="AH65" s="174"/>
      <c r="AI65" s="174"/>
      <c r="AJ65" s="174"/>
      <c r="AK65" s="174"/>
      <c r="AL65" s="174"/>
      <c r="AM65" s="174"/>
      <c r="AN65" s="174"/>
      <c r="AO65" s="174"/>
      <c r="AP65" s="174"/>
      <c r="AQ65" s="174"/>
      <c r="AR65" s="174"/>
      <c r="AS65" s="174"/>
      <c r="AT65" s="174"/>
      <c r="AU65" s="170"/>
      <c r="AV65" s="53"/>
      <c r="AW65" s="53"/>
      <c r="AX65" s="53"/>
      <c r="AY65" s="53"/>
      <c r="AZ65" s="53"/>
      <c r="BA65" s="53"/>
      <c r="BB65" s="53"/>
      <c r="BC65" s="53"/>
      <c r="BD65" s="53"/>
      <c r="BE65" s="53"/>
      <c r="BF65" s="53"/>
      <c r="BG65" s="53"/>
      <c r="BH65" s="54"/>
      <c r="BI65" s="54"/>
      <c r="BJ65" s="54"/>
      <c r="BK65" s="50"/>
    </row>
    <row r="66" spans="1:63" s="51" customFormat="1" ht="15" customHeight="1" x14ac:dyDescent="0.25">
      <c r="A66" s="46"/>
      <c r="B66" s="53"/>
      <c r="C66" s="169">
        <v>19</v>
      </c>
      <c r="D66" s="170"/>
      <c r="E66" s="171" t="s">
        <v>96</v>
      </c>
      <c r="F66" s="172"/>
      <c r="G66" s="172"/>
      <c r="H66" s="172"/>
      <c r="I66" s="172"/>
      <c r="J66" s="172"/>
      <c r="K66" s="173"/>
      <c r="L66" s="169" t="s">
        <v>97</v>
      </c>
      <c r="M66" s="174"/>
      <c r="N66" s="174"/>
      <c r="O66" s="174"/>
      <c r="P66" s="174"/>
      <c r="Q66" s="174"/>
      <c r="R66" s="170"/>
      <c r="S66" s="175" t="s">
        <v>98</v>
      </c>
      <c r="T66" s="176"/>
      <c r="U66" s="176"/>
      <c r="V66" s="176"/>
      <c r="W66" s="176"/>
      <c r="X66" s="176"/>
      <c r="Y66" s="176"/>
      <c r="Z66" s="176"/>
      <c r="AA66" s="176"/>
      <c r="AB66" s="177"/>
      <c r="AC66" s="169" t="s">
        <v>99</v>
      </c>
      <c r="AD66" s="174"/>
      <c r="AE66" s="174"/>
      <c r="AF66" s="174"/>
      <c r="AG66" s="174"/>
      <c r="AH66" s="174"/>
      <c r="AI66" s="174"/>
      <c r="AJ66" s="174"/>
      <c r="AK66" s="174"/>
      <c r="AL66" s="174"/>
      <c r="AM66" s="174"/>
      <c r="AN66" s="174"/>
      <c r="AO66" s="174"/>
      <c r="AP66" s="174"/>
      <c r="AQ66" s="174"/>
      <c r="AR66" s="174"/>
      <c r="AS66" s="174"/>
      <c r="AT66" s="174"/>
      <c r="AU66" s="170"/>
      <c r="AV66" s="53"/>
      <c r="AW66" s="53"/>
      <c r="AX66" s="53"/>
      <c r="AY66" s="53"/>
      <c r="AZ66" s="53"/>
      <c r="BA66" s="53"/>
      <c r="BB66" s="53"/>
      <c r="BC66" s="53"/>
      <c r="BD66" s="53"/>
      <c r="BE66" s="53"/>
      <c r="BF66" s="53"/>
      <c r="BG66" s="53"/>
      <c r="BH66" s="54"/>
      <c r="BI66" s="54"/>
      <c r="BJ66" s="54"/>
      <c r="BK66" s="50"/>
    </row>
    <row r="67" spans="1:63" s="51" customFormat="1" ht="15" customHeight="1" x14ac:dyDescent="0.25">
      <c r="A67" s="46"/>
      <c r="B67" s="53"/>
      <c r="C67" s="169">
        <v>20</v>
      </c>
      <c r="D67" s="170"/>
      <c r="E67" s="171" t="s">
        <v>100</v>
      </c>
      <c r="F67" s="172"/>
      <c r="G67" s="172"/>
      <c r="H67" s="172"/>
      <c r="I67" s="172"/>
      <c r="J67" s="172"/>
      <c r="K67" s="173"/>
      <c r="L67" s="169" t="s">
        <v>101</v>
      </c>
      <c r="M67" s="174"/>
      <c r="N67" s="174"/>
      <c r="O67" s="174"/>
      <c r="P67" s="174"/>
      <c r="Q67" s="174"/>
      <c r="R67" s="170"/>
      <c r="S67" s="175" t="s">
        <v>102</v>
      </c>
      <c r="T67" s="176"/>
      <c r="U67" s="176"/>
      <c r="V67" s="176"/>
      <c r="W67" s="176"/>
      <c r="X67" s="176"/>
      <c r="Y67" s="176"/>
      <c r="Z67" s="176"/>
      <c r="AA67" s="176"/>
      <c r="AB67" s="177"/>
      <c r="AC67" s="169" t="s">
        <v>103</v>
      </c>
      <c r="AD67" s="174"/>
      <c r="AE67" s="174"/>
      <c r="AF67" s="174"/>
      <c r="AG67" s="174"/>
      <c r="AH67" s="174"/>
      <c r="AI67" s="174"/>
      <c r="AJ67" s="174"/>
      <c r="AK67" s="174"/>
      <c r="AL67" s="174"/>
      <c r="AM67" s="174"/>
      <c r="AN67" s="174"/>
      <c r="AO67" s="174"/>
      <c r="AP67" s="174"/>
      <c r="AQ67" s="174"/>
      <c r="AR67" s="174"/>
      <c r="AS67" s="174"/>
      <c r="AT67" s="174"/>
      <c r="AU67" s="170"/>
      <c r="AV67" s="53"/>
      <c r="AW67" s="53"/>
      <c r="AX67" s="53"/>
      <c r="AY67" s="53"/>
      <c r="AZ67" s="53"/>
      <c r="BA67" s="53"/>
      <c r="BB67" s="53"/>
      <c r="BC67" s="53"/>
      <c r="BD67" s="53"/>
      <c r="BE67" s="53"/>
      <c r="BF67" s="53"/>
      <c r="BG67" s="53"/>
      <c r="BH67" s="54"/>
      <c r="BI67" s="54"/>
      <c r="BJ67" s="54"/>
      <c r="BK67" s="50"/>
    </row>
    <row r="68" spans="1:63" s="51" customFormat="1" ht="15" customHeight="1" x14ac:dyDescent="0.25">
      <c r="A68" s="46"/>
      <c r="B68" s="53"/>
      <c r="C68" s="169">
        <v>21</v>
      </c>
      <c r="D68" s="170"/>
      <c r="E68" s="171" t="s">
        <v>104</v>
      </c>
      <c r="F68" s="172"/>
      <c r="G68" s="172"/>
      <c r="H68" s="172"/>
      <c r="I68" s="172"/>
      <c r="J68" s="172"/>
      <c r="K68" s="173"/>
      <c r="L68" s="169" t="s">
        <v>101</v>
      </c>
      <c r="M68" s="174"/>
      <c r="N68" s="174"/>
      <c r="O68" s="174"/>
      <c r="P68" s="174"/>
      <c r="Q68" s="174"/>
      <c r="R68" s="170"/>
      <c r="S68" s="175" t="s">
        <v>218</v>
      </c>
      <c r="T68" s="176"/>
      <c r="U68" s="176"/>
      <c r="V68" s="176"/>
      <c r="W68" s="176"/>
      <c r="X68" s="176"/>
      <c r="Y68" s="176"/>
      <c r="Z68" s="176"/>
      <c r="AA68" s="176"/>
      <c r="AB68" s="177"/>
      <c r="AC68" s="169" t="s">
        <v>105</v>
      </c>
      <c r="AD68" s="174"/>
      <c r="AE68" s="174"/>
      <c r="AF68" s="174"/>
      <c r="AG68" s="174"/>
      <c r="AH68" s="174"/>
      <c r="AI68" s="174"/>
      <c r="AJ68" s="174"/>
      <c r="AK68" s="174"/>
      <c r="AL68" s="174"/>
      <c r="AM68" s="174"/>
      <c r="AN68" s="174"/>
      <c r="AO68" s="174"/>
      <c r="AP68" s="174"/>
      <c r="AQ68" s="174"/>
      <c r="AR68" s="174"/>
      <c r="AS68" s="174"/>
      <c r="AT68" s="174"/>
      <c r="AU68" s="170"/>
      <c r="AV68" s="53"/>
      <c r="AW68" s="53"/>
      <c r="AX68" s="53"/>
      <c r="AY68" s="53"/>
      <c r="AZ68" s="53"/>
      <c r="BA68" s="53"/>
      <c r="BB68" s="53"/>
      <c r="BC68" s="53"/>
      <c r="BD68" s="53"/>
      <c r="BE68" s="53"/>
      <c r="BF68" s="53"/>
      <c r="BG68" s="53"/>
      <c r="BH68" s="54"/>
      <c r="BI68" s="54"/>
      <c r="BJ68" s="54"/>
      <c r="BK68" s="50"/>
    </row>
    <row r="69" spans="1:63" s="51" customFormat="1" ht="15" customHeight="1" x14ac:dyDescent="0.25">
      <c r="A69" s="46"/>
      <c r="B69" s="53"/>
      <c r="C69" s="169">
        <v>22</v>
      </c>
      <c r="D69" s="170"/>
      <c r="E69" s="171" t="s">
        <v>106</v>
      </c>
      <c r="F69" s="172"/>
      <c r="G69" s="172"/>
      <c r="H69" s="172"/>
      <c r="I69" s="172"/>
      <c r="J69" s="172"/>
      <c r="K69" s="173"/>
      <c r="L69" s="169" t="s">
        <v>101</v>
      </c>
      <c r="M69" s="174"/>
      <c r="N69" s="174"/>
      <c r="O69" s="174"/>
      <c r="P69" s="174"/>
      <c r="Q69" s="174"/>
      <c r="R69" s="170"/>
      <c r="S69" s="175" t="s">
        <v>107</v>
      </c>
      <c r="T69" s="176"/>
      <c r="U69" s="176"/>
      <c r="V69" s="176"/>
      <c r="W69" s="176"/>
      <c r="X69" s="176"/>
      <c r="Y69" s="176"/>
      <c r="Z69" s="176"/>
      <c r="AA69" s="176"/>
      <c r="AB69" s="177"/>
      <c r="AC69" s="169" t="s">
        <v>108</v>
      </c>
      <c r="AD69" s="174"/>
      <c r="AE69" s="174"/>
      <c r="AF69" s="174"/>
      <c r="AG69" s="174"/>
      <c r="AH69" s="174"/>
      <c r="AI69" s="174"/>
      <c r="AJ69" s="174"/>
      <c r="AK69" s="174"/>
      <c r="AL69" s="174"/>
      <c r="AM69" s="174"/>
      <c r="AN69" s="174"/>
      <c r="AO69" s="174"/>
      <c r="AP69" s="174"/>
      <c r="AQ69" s="174"/>
      <c r="AR69" s="174"/>
      <c r="AS69" s="174"/>
      <c r="AT69" s="174"/>
      <c r="AU69" s="170"/>
      <c r="AV69" s="53"/>
      <c r="AW69" s="53"/>
      <c r="AX69" s="53"/>
      <c r="AY69" s="53"/>
      <c r="AZ69" s="53"/>
      <c r="BA69" s="53"/>
      <c r="BB69" s="53"/>
      <c r="BC69" s="53"/>
      <c r="BD69" s="53"/>
      <c r="BE69" s="53"/>
      <c r="BF69" s="53"/>
      <c r="BG69" s="53"/>
      <c r="BH69" s="54"/>
      <c r="BI69" s="54"/>
      <c r="BJ69" s="54"/>
      <c r="BK69" s="50"/>
    </row>
    <row r="70" spans="1:63" s="51" customFormat="1" ht="15" customHeight="1" x14ac:dyDescent="0.25">
      <c r="A70" s="46"/>
      <c r="B70" s="53"/>
      <c r="C70" s="169">
        <v>23</v>
      </c>
      <c r="D70" s="170"/>
      <c r="E70" s="171" t="s">
        <v>109</v>
      </c>
      <c r="F70" s="172"/>
      <c r="G70" s="172"/>
      <c r="H70" s="172"/>
      <c r="I70" s="172"/>
      <c r="J70" s="172"/>
      <c r="K70" s="173"/>
      <c r="L70" s="169" t="s">
        <v>20</v>
      </c>
      <c r="M70" s="174"/>
      <c r="N70" s="174"/>
      <c r="O70" s="174"/>
      <c r="P70" s="174"/>
      <c r="Q70" s="174"/>
      <c r="R70" s="170"/>
      <c r="S70" s="175" t="s">
        <v>110</v>
      </c>
      <c r="T70" s="176"/>
      <c r="U70" s="176"/>
      <c r="V70" s="176"/>
      <c r="W70" s="176"/>
      <c r="X70" s="176"/>
      <c r="Y70" s="176"/>
      <c r="Z70" s="176"/>
      <c r="AA70" s="176"/>
      <c r="AB70" s="177"/>
      <c r="AC70" s="169" t="s">
        <v>111</v>
      </c>
      <c r="AD70" s="174"/>
      <c r="AE70" s="174"/>
      <c r="AF70" s="174"/>
      <c r="AG70" s="174"/>
      <c r="AH70" s="174"/>
      <c r="AI70" s="174"/>
      <c r="AJ70" s="174"/>
      <c r="AK70" s="174"/>
      <c r="AL70" s="174"/>
      <c r="AM70" s="174"/>
      <c r="AN70" s="174"/>
      <c r="AO70" s="174"/>
      <c r="AP70" s="174"/>
      <c r="AQ70" s="174"/>
      <c r="AR70" s="174"/>
      <c r="AS70" s="174"/>
      <c r="AT70" s="174"/>
      <c r="AU70" s="170"/>
      <c r="AV70" s="53"/>
      <c r="AW70" s="53"/>
      <c r="AX70" s="53"/>
      <c r="AY70" s="53"/>
      <c r="AZ70" s="53"/>
      <c r="BA70" s="53"/>
      <c r="BB70" s="53"/>
      <c r="BC70" s="53"/>
      <c r="BD70" s="53"/>
      <c r="BE70" s="53"/>
      <c r="BF70" s="53"/>
      <c r="BG70" s="53"/>
      <c r="BH70" s="54"/>
      <c r="BI70" s="54"/>
      <c r="BJ70" s="54"/>
      <c r="BK70" s="50"/>
    </row>
    <row r="71" spans="1:63" s="51" customFormat="1" ht="15" customHeight="1" x14ac:dyDescent="0.25">
      <c r="A71" s="46"/>
      <c r="B71" s="53"/>
      <c r="C71" s="169">
        <v>24</v>
      </c>
      <c r="D71" s="170"/>
      <c r="E71" s="171" t="s">
        <v>112</v>
      </c>
      <c r="F71" s="172"/>
      <c r="G71" s="172"/>
      <c r="H71" s="172"/>
      <c r="I71" s="172"/>
      <c r="J71" s="172"/>
      <c r="K71" s="173"/>
      <c r="L71" s="169" t="s">
        <v>20</v>
      </c>
      <c r="M71" s="174"/>
      <c r="N71" s="174"/>
      <c r="O71" s="174"/>
      <c r="P71" s="174"/>
      <c r="Q71" s="174"/>
      <c r="R71" s="170"/>
      <c r="S71" s="175" t="s">
        <v>113</v>
      </c>
      <c r="T71" s="176"/>
      <c r="U71" s="176"/>
      <c r="V71" s="176"/>
      <c r="W71" s="176"/>
      <c r="X71" s="176"/>
      <c r="Y71" s="176"/>
      <c r="Z71" s="176"/>
      <c r="AA71" s="176"/>
      <c r="AB71" s="177"/>
      <c r="AC71" s="169" t="s">
        <v>114</v>
      </c>
      <c r="AD71" s="174"/>
      <c r="AE71" s="174"/>
      <c r="AF71" s="174"/>
      <c r="AG71" s="174"/>
      <c r="AH71" s="174"/>
      <c r="AI71" s="174"/>
      <c r="AJ71" s="174"/>
      <c r="AK71" s="174"/>
      <c r="AL71" s="174"/>
      <c r="AM71" s="174"/>
      <c r="AN71" s="174"/>
      <c r="AO71" s="174"/>
      <c r="AP71" s="174"/>
      <c r="AQ71" s="174"/>
      <c r="AR71" s="174"/>
      <c r="AS71" s="174"/>
      <c r="AT71" s="174"/>
      <c r="AU71" s="170"/>
      <c r="AV71" s="53"/>
      <c r="AW71" s="53"/>
      <c r="AX71" s="53"/>
      <c r="AY71" s="53"/>
      <c r="AZ71" s="53"/>
      <c r="BA71" s="53"/>
      <c r="BB71" s="53"/>
      <c r="BC71" s="53"/>
      <c r="BD71" s="53"/>
      <c r="BE71" s="53"/>
      <c r="BF71" s="53"/>
      <c r="BG71" s="53"/>
      <c r="BH71" s="54"/>
      <c r="BI71" s="54"/>
      <c r="BJ71" s="54"/>
      <c r="BK71" s="50"/>
    </row>
    <row r="72" spans="1:63" s="51" customFormat="1" ht="15" customHeight="1" x14ac:dyDescent="0.25">
      <c r="A72" s="46"/>
      <c r="B72" s="53"/>
      <c r="C72" s="169">
        <v>25</v>
      </c>
      <c r="D72" s="170"/>
      <c r="E72" s="171" t="s">
        <v>115</v>
      </c>
      <c r="F72" s="172"/>
      <c r="G72" s="172"/>
      <c r="H72" s="172"/>
      <c r="I72" s="172"/>
      <c r="J72" s="172"/>
      <c r="K72" s="173"/>
      <c r="L72" s="169" t="s">
        <v>20</v>
      </c>
      <c r="M72" s="174"/>
      <c r="N72" s="174"/>
      <c r="O72" s="174"/>
      <c r="P72" s="174"/>
      <c r="Q72" s="174"/>
      <c r="R72" s="170"/>
      <c r="S72" s="175" t="s">
        <v>116</v>
      </c>
      <c r="T72" s="176"/>
      <c r="U72" s="176"/>
      <c r="V72" s="176"/>
      <c r="W72" s="176"/>
      <c r="X72" s="176"/>
      <c r="Y72" s="176"/>
      <c r="Z72" s="176"/>
      <c r="AA72" s="176"/>
      <c r="AB72" s="177"/>
      <c r="AC72" s="169" t="s">
        <v>117</v>
      </c>
      <c r="AD72" s="174"/>
      <c r="AE72" s="174"/>
      <c r="AF72" s="174"/>
      <c r="AG72" s="174"/>
      <c r="AH72" s="174"/>
      <c r="AI72" s="174"/>
      <c r="AJ72" s="174"/>
      <c r="AK72" s="174"/>
      <c r="AL72" s="174"/>
      <c r="AM72" s="174"/>
      <c r="AN72" s="174"/>
      <c r="AO72" s="174"/>
      <c r="AP72" s="174"/>
      <c r="AQ72" s="174"/>
      <c r="AR72" s="174"/>
      <c r="AS72" s="174"/>
      <c r="AT72" s="174"/>
      <c r="AU72" s="170"/>
      <c r="AV72" s="53"/>
      <c r="AW72" s="53"/>
      <c r="AX72" s="53"/>
      <c r="AY72" s="53"/>
      <c r="AZ72" s="53"/>
      <c r="BA72" s="53"/>
      <c r="BB72" s="53"/>
      <c r="BC72" s="53"/>
      <c r="BD72" s="53"/>
      <c r="BE72" s="53"/>
      <c r="BF72" s="53"/>
      <c r="BG72" s="53"/>
      <c r="BH72" s="54"/>
      <c r="BI72" s="54"/>
      <c r="BJ72" s="54"/>
      <c r="BK72" s="50"/>
    </row>
    <row r="73" spans="1:63" s="289" customFormat="1" ht="15" customHeight="1" x14ac:dyDescent="0.25">
      <c r="A73" s="285"/>
      <c r="B73" s="256"/>
      <c r="C73" s="169">
        <v>26</v>
      </c>
      <c r="D73" s="170"/>
      <c r="E73" s="290" t="s">
        <v>141</v>
      </c>
      <c r="F73" s="291"/>
      <c r="G73" s="291"/>
      <c r="H73" s="291"/>
      <c r="I73" s="291"/>
      <c r="J73" s="291"/>
      <c r="K73" s="292"/>
      <c r="L73" s="260" t="s">
        <v>20</v>
      </c>
      <c r="M73" s="261"/>
      <c r="N73" s="261"/>
      <c r="O73" s="261"/>
      <c r="P73" s="261"/>
      <c r="Q73" s="261"/>
      <c r="R73" s="262"/>
      <c r="S73" s="286" t="s">
        <v>142</v>
      </c>
      <c r="T73" s="287"/>
      <c r="U73" s="287"/>
      <c r="V73" s="287"/>
      <c r="W73" s="287"/>
      <c r="X73" s="287"/>
      <c r="Y73" s="287"/>
      <c r="Z73" s="287"/>
      <c r="AA73" s="287"/>
      <c r="AB73" s="288"/>
      <c r="AC73" s="260" t="s">
        <v>143</v>
      </c>
      <c r="AD73" s="261"/>
      <c r="AE73" s="261"/>
      <c r="AF73" s="261"/>
      <c r="AG73" s="261"/>
      <c r="AH73" s="261"/>
      <c r="AI73" s="261"/>
      <c r="AJ73" s="261"/>
      <c r="AK73" s="261"/>
      <c r="AL73" s="261"/>
      <c r="AM73" s="261"/>
      <c r="AN73" s="261"/>
      <c r="AO73" s="261"/>
      <c r="AP73" s="261"/>
      <c r="AQ73" s="261"/>
      <c r="AR73" s="261"/>
      <c r="AS73" s="261"/>
      <c r="AT73" s="261"/>
      <c r="AU73" s="262"/>
      <c r="AV73" s="256"/>
      <c r="AW73" s="256"/>
      <c r="AX73" s="256"/>
      <c r="AY73" s="256"/>
      <c r="AZ73" s="256"/>
      <c r="BA73" s="256"/>
      <c r="BB73" s="256"/>
      <c r="BC73" s="256"/>
      <c r="BD73" s="256"/>
      <c r="BE73" s="256"/>
      <c r="BF73" s="256"/>
      <c r="BG73" s="256"/>
      <c r="BH73" s="254"/>
      <c r="BI73" s="254"/>
      <c r="BJ73" s="254"/>
      <c r="BK73" s="252"/>
    </row>
    <row r="74" spans="1:63" s="51" customFormat="1" ht="15" customHeight="1" x14ac:dyDescent="0.25">
      <c r="A74" s="46"/>
      <c r="B74" s="53"/>
      <c r="C74" s="169">
        <v>27</v>
      </c>
      <c r="D74" s="170"/>
      <c r="E74" s="171" t="s">
        <v>118</v>
      </c>
      <c r="F74" s="172"/>
      <c r="G74" s="172"/>
      <c r="H74" s="172"/>
      <c r="I74" s="172"/>
      <c r="J74" s="172"/>
      <c r="K74" s="173"/>
      <c r="L74" s="169" t="s">
        <v>119</v>
      </c>
      <c r="M74" s="174"/>
      <c r="N74" s="174"/>
      <c r="O74" s="174"/>
      <c r="P74" s="174"/>
      <c r="Q74" s="174"/>
      <c r="R74" s="170"/>
      <c r="S74" s="175" t="s">
        <v>120</v>
      </c>
      <c r="T74" s="176"/>
      <c r="U74" s="176"/>
      <c r="V74" s="176"/>
      <c r="W74" s="176"/>
      <c r="X74" s="176"/>
      <c r="Y74" s="176"/>
      <c r="Z74" s="176"/>
      <c r="AA74" s="176"/>
      <c r="AB74" s="177"/>
      <c r="AC74" s="169"/>
      <c r="AD74" s="174"/>
      <c r="AE74" s="174"/>
      <c r="AF74" s="174"/>
      <c r="AG74" s="174"/>
      <c r="AH74" s="174"/>
      <c r="AI74" s="174"/>
      <c r="AJ74" s="174"/>
      <c r="AK74" s="174"/>
      <c r="AL74" s="174"/>
      <c r="AM74" s="174"/>
      <c r="AN74" s="174"/>
      <c r="AO74" s="174"/>
      <c r="AP74" s="174"/>
      <c r="AQ74" s="174"/>
      <c r="AR74" s="174"/>
      <c r="AS74" s="174"/>
      <c r="AT74" s="174"/>
      <c r="AU74" s="170"/>
      <c r="AV74" s="53"/>
      <c r="AW74" s="53"/>
      <c r="AX74" s="53"/>
      <c r="AY74" s="53"/>
      <c r="AZ74" s="53"/>
      <c r="BA74" s="53"/>
      <c r="BB74" s="53"/>
      <c r="BC74" s="53"/>
      <c r="BD74" s="53"/>
      <c r="BE74" s="53"/>
      <c r="BF74" s="53"/>
      <c r="BG74" s="53"/>
      <c r="BH74" s="54"/>
      <c r="BI74" s="54"/>
      <c r="BJ74" s="54"/>
      <c r="BK74" s="50"/>
    </row>
    <row r="75" spans="1:63" s="51" customFormat="1" ht="15" customHeight="1" x14ac:dyDescent="0.25">
      <c r="A75" s="46"/>
      <c r="B75" s="53"/>
      <c r="C75" s="169">
        <v>28</v>
      </c>
      <c r="D75" s="170"/>
      <c r="E75" s="171" t="s">
        <v>121</v>
      </c>
      <c r="F75" s="172"/>
      <c r="G75" s="172"/>
      <c r="H75" s="172"/>
      <c r="I75" s="172"/>
      <c r="J75" s="172"/>
      <c r="K75" s="173"/>
      <c r="L75" s="169" t="s">
        <v>20</v>
      </c>
      <c r="M75" s="174"/>
      <c r="N75" s="174"/>
      <c r="O75" s="174"/>
      <c r="P75" s="174"/>
      <c r="Q75" s="174"/>
      <c r="R75" s="170"/>
      <c r="S75" s="175" t="s">
        <v>135</v>
      </c>
      <c r="T75" s="176"/>
      <c r="U75" s="176"/>
      <c r="V75" s="176"/>
      <c r="W75" s="176"/>
      <c r="X75" s="176"/>
      <c r="Y75" s="176"/>
      <c r="Z75" s="176"/>
      <c r="AA75" s="176"/>
      <c r="AB75" s="177"/>
      <c r="AC75" s="169"/>
      <c r="AD75" s="174"/>
      <c r="AE75" s="174"/>
      <c r="AF75" s="174"/>
      <c r="AG75" s="174"/>
      <c r="AH75" s="174"/>
      <c r="AI75" s="174"/>
      <c r="AJ75" s="174"/>
      <c r="AK75" s="174"/>
      <c r="AL75" s="174"/>
      <c r="AM75" s="174"/>
      <c r="AN75" s="174"/>
      <c r="AO75" s="174"/>
      <c r="AP75" s="174"/>
      <c r="AQ75" s="174"/>
      <c r="AR75" s="174"/>
      <c r="AS75" s="174"/>
      <c r="AT75" s="174"/>
      <c r="AU75" s="170"/>
      <c r="AV75" s="53"/>
      <c r="AW75" s="53"/>
      <c r="AX75" s="53"/>
      <c r="AY75" s="53"/>
      <c r="AZ75" s="53"/>
      <c r="BA75" s="53"/>
      <c r="BB75" s="53"/>
      <c r="BC75" s="53"/>
      <c r="BD75" s="53"/>
      <c r="BE75" s="53"/>
      <c r="BF75" s="53"/>
      <c r="BG75" s="53"/>
      <c r="BH75" s="54"/>
      <c r="BI75" s="54"/>
      <c r="BJ75" s="54"/>
      <c r="BK75" s="50"/>
    </row>
    <row r="76" spans="1:63" s="51" customFormat="1" ht="15" customHeight="1" x14ac:dyDescent="0.25">
      <c r="A76" s="46"/>
      <c r="B76" s="53"/>
      <c r="C76" s="169">
        <v>29</v>
      </c>
      <c r="D76" s="170"/>
      <c r="E76" s="171" t="s">
        <v>122</v>
      </c>
      <c r="F76" s="172"/>
      <c r="G76" s="172"/>
      <c r="H76" s="172"/>
      <c r="I76" s="172"/>
      <c r="J76" s="172"/>
      <c r="K76" s="173"/>
      <c r="L76" s="169" t="s">
        <v>20</v>
      </c>
      <c r="M76" s="174"/>
      <c r="N76" s="174"/>
      <c r="O76" s="174"/>
      <c r="P76" s="174"/>
      <c r="Q76" s="174"/>
      <c r="R76" s="170"/>
      <c r="S76" s="175" t="s">
        <v>123</v>
      </c>
      <c r="T76" s="176"/>
      <c r="U76" s="176"/>
      <c r="V76" s="176"/>
      <c r="W76" s="176"/>
      <c r="X76" s="176"/>
      <c r="Y76" s="176"/>
      <c r="Z76" s="176"/>
      <c r="AA76" s="176"/>
      <c r="AB76" s="177"/>
      <c r="AC76" s="169"/>
      <c r="AD76" s="174"/>
      <c r="AE76" s="174"/>
      <c r="AF76" s="174"/>
      <c r="AG76" s="174"/>
      <c r="AH76" s="174"/>
      <c r="AI76" s="174"/>
      <c r="AJ76" s="174"/>
      <c r="AK76" s="174"/>
      <c r="AL76" s="174"/>
      <c r="AM76" s="174"/>
      <c r="AN76" s="174"/>
      <c r="AO76" s="174"/>
      <c r="AP76" s="174"/>
      <c r="AQ76" s="174"/>
      <c r="AR76" s="174"/>
      <c r="AS76" s="174"/>
      <c r="AT76" s="174"/>
      <c r="AU76" s="170"/>
      <c r="AV76" s="53"/>
      <c r="AW76" s="53"/>
      <c r="AX76" s="53"/>
      <c r="AY76" s="53"/>
      <c r="AZ76" s="53"/>
      <c r="BA76" s="53"/>
      <c r="BB76" s="53"/>
      <c r="BC76" s="53"/>
      <c r="BD76" s="53"/>
      <c r="BE76" s="53"/>
      <c r="BF76" s="53"/>
      <c r="BG76" s="53"/>
      <c r="BH76" s="54"/>
      <c r="BI76" s="54"/>
      <c r="BJ76" s="54"/>
      <c r="BK76" s="50"/>
    </row>
    <row r="77" spans="1:63" s="51" customFormat="1" ht="15" customHeight="1" x14ac:dyDescent="0.25">
      <c r="A77" s="46"/>
      <c r="B77" s="53"/>
      <c r="C77" s="169">
        <v>30</v>
      </c>
      <c r="D77" s="170"/>
      <c r="E77" s="171" t="s">
        <v>124</v>
      </c>
      <c r="F77" s="172"/>
      <c r="G77" s="172"/>
      <c r="H77" s="172"/>
      <c r="I77" s="172"/>
      <c r="J77" s="172"/>
      <c r="K77" s="173"/>
      <c r="L77" s="169" t="s">
        <v>20</v>
      </c>
      <c r="M77" s="174"/>
      <c r="N77" s="174"/>
      <c r="O77" s="174"/>
      <c r="P77" s="174"/>
      <c r="Q77" s="174"/>
      <c r="R77" s="170"/>
      <c r="S77" s="175" t="s">
        <v>125</v>
      </c>
      <c r="T77" s="176"/>
      <c r="U77" s="176"/>
      <c r="V77" s="176"/>
      <c r="W77" s="176"/>
      <c r="X77" s="176"/>
      <c r="Y77" s="176"/>
      <c r="Z77" s="176"/>
      <c r="AA77" s="176"/>
      <c r="AB77" s="177"/>
      <c r="AC77" s="169"/>
      <c r="AD77" s="174"/>
      <c r="AE77" s="174"/>
      <c r="AF77" s="174"/>
      <c r="AG77" s="174"/>
      <c r="AH77" s="174"/>
      <c r="AI77" s="174"/>
      <c r="AJ77" s="174"/>
      <c r="AK77" s="174"/>
      <c r="AL77" s="174"/>
      <c r="AM77" s="174"/>
      <c r="AN77" s="174"/>
      <c r="AO77" s="174"/>
      <c r="AP77" s="174"/>
      <c r="AQ77" s="174"/>
      <c r="AR77" s="174"/>
      <c r="AS77" s="174"/>
      <c r="AT77" s="174"/>
      <c r="AU77" s="170"/>
      <c r="AV77" s="53"/>
      <c r="AW77" s="53"/>
      <c r="AX77" s="53"/>
      <c r="AY77" s="53"/>
      <c r="AZ77" s="53"/>
      <c r="BA77" s="53"/>
      <c r="BB77" s="53"/>
      <c r="BC77" s="53"/>
      <c r="BD77" s="53"/>
      <c r="BE77" s="53"/>
      <c r="BF77" s="53"/>
      <c r="BG77" s="53"/>
      <c r="BH77" s="54"/>
      <c r="BI77" s="54"/>
      <c r="BJ77" s="54"/>
      <c r="BK77" s="50"/>
    </row>
    <row r="78" spans="1:63" s="51" customFormat="1" ht="15" customHeight="1" x14ac:dyDescent="0.25">
      <c r="A78" s="46"/>
      <c r="B78" s="53"/>
      <c r="C78" s="169">
        <v>31</v>
      </c>
      <c r="D78" s="170"/>
      <c r="E78" s="171" t="s">
        <v>126</v>
      </c>
      <c r="F78" s="172"/>
      <c r="G78" s="172"/>
      <c r="H78" s="172"/>
      <c r="I78" s="172"/>
      <c r="J78" s="172"/>
      <c r="K78" s="173"/>
      <c r="L78" s="169" t="s">
        <v>20</v>
      </c>
      <c r="M78" s="174"/>
      <c r="N78" s="174"/>
      <c r="O78" s="174"/>
      <c r="P78" s="174"/>
      <c r="Q78" s="174"/>
      <c r="R78" s="170"/>
      <c r="S78" s="175" t="s">
        <v>127</v>
      </c>
      <c r="T78" s="176"/>
      <c r="U78" s="176"/>
      <c r="V78" s="176"/>
      <c r="W78" s="176"/>
      <c r="X78" s="176"/>
      <c r="Y78" s="176"/>
      <c r="Z78" s="176"/>
      <c r="AA78" s="176"/>
      <c r="AB78" s="177"/>
      <c r="AC78" s="169"/>
      <c r="AD78" s="174"/>
      <c r="AE78" s="174"/>
      <c r="AF78" s="174"/>
      <c r="AG78" s="174"/>
      <c r="AH78" s="174"/>
      <c r="AI78" s="174"/>
      <c r="AJ78" s="174"/>
      <c r="AK78" s="174"/>
      <c r="AL78" s="174"/>
      <c r="AM78" s="174"/>
      <c r="AN78" s="174"/>
      <c r="AO78" s="174"/>
      <c r="AP78" s="174"/>
      <c r="AQ78" s="174"/>
      <c r="AR78" s="174"/>
      <c r="AS78" s="174"/>
      <c r="AT78" s="174"/>
      <c r="AU78" s="170"/>
      <c r="AV78" s="53"/>
      <c r="AW78" s="53"/>
      <c r="AX78" s="53"/>
      <c r="AY78" s="53"/>
      <c r="AZ78" s="53"/>
      <c r="BA78" s="53"/>
      <c r="BB78" s="53"/>
      <c r="BC78" s="53"/>
      <c r="BD78" s="53"/>
      <c r="BE78" s="53"/>
      <c r="BF78" s="53"/>
      <c r="BG78" s="53"/>
      <c r="BH78" s="54"/>
      <c r="BI78" s="54"/>
      <c r="BJ78" s="54"/>
      <c r="BK78" s="50"/>
    </row>
    <row r="79" spans="1:63" s="51" customFormat="1" ht="15" customHeight="1" x14ac:dyDescent="0.25">
      <c r="A79" s="46"/>
      <c r="B79" s="53"/>
      <c r="C79" s="53"/>
      <c r="D79" s="53"/>
      <c r="E79" s="256"/>
      <c r="F79" s="256"/>
      <c r="G79" s="256"/>
      <c r="H79" s="256"/>
      <c r="I79" s="53"/>
      <c r="J79" s="53"/>
      <c r="K79" s="53"/>
      <c r="L79" s="53"/>
      <c r="M79" s="53"/>
      <c r="N79" s="53"/>
      <c r="O79" s="53"/>
      <c r="P79" s="53"/>
      <c r="Q79" s="53"/>
      <c r="R79" s="53"/>
      <c r="S79" s="256"/>
      <c r="T79" s="256"/>
      <c r="U79" s="256"/>
      <c r="V79" s="256"/>
      <c r="W79" s="256"/>
      <c r="X79" s="256"/>
      <c r="Y79" s="256"/>
      <c r="Z79" s="256"/>
      <c r="AA79" s="256"/>
      <c r="AB79" s="53"/>
      <c r="AC79" s="256"/>
      <c r="AD79" s="256"/>
      <c r="AE79" s="256"/>
      <c r="AF79" s="256"/>
      <c r="AG79" s="256"/>
      <c r="AH79" s="256"/>
      <c r="AI79" s="256"/>
      <c r="AJ79" s="256"/>
      <c r="AK79" s="256"/>
      <c r="AL79" s="256"/>
      <c r="AM79" s="53"/>
      <c r="AN79" s="53"/>
      <c r="AO79" s="53"/>
      <c r="AP79" s="53"/>
      <c r="AQ79" s="53"/>
      <c r="AR79" s="53"/>
      <c r="AS79" s="53"/>
      <c r="AT79" s="53"/>
      <c r="AU79" s="53"/>
      <c r="AV79" s="53"/>
      <c r="AW79" s="53"/>
      <c r="AX79" s="53"/>
      <c r="AY79" s="53"/>
      <c r="AZ79" s="53"/>
      <c r="BA79" s="53"/>
      <c r="BB79" s="53"/>
      <c r="BC79" s="53"/>
      <c r="BD79" s="53"/>
      <c r="BE79" s="53"/>
      <c r="BF79" s="53"/>
      <c r="BG79" s="53"/>
      <c r="BH79" s="54"/>
      <c r="BI79" s="54"/>
      <c r="BJ79" s="54"/>
      <c r="BK79" s="50"/>
    </row>
    <row r="80" spans="1:63" s="51" customFormat="1" ht="15" customHeight="1" x14ac:dyDescent="0.25">
      <c r="A80" s="46"/>
      <c r="B80" s="53"/>
      <c r="C80" s="56" t="s">
        <v>219</v>
      </c>
      <c r="D80" s="53"/>
      <c r="E80" s="256"/>
      <c r="F80" s="53"/>
      <c r="G80" s="256"/>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4"/>
      <c r="BI80" s="54"/>
      <c r="BJ80" s="54"/>
      <c r="BK80" s="50"/>
    </row>
    <row r="81" spans="1:63" s="51" customFormat="1" ht="15" customHeight="1" x14ac:dyDescent="0.25">
      <c r="A81" s="46"/>
      <c r="B81" s="53"/>
      <c r="C81" s="56"/>
      <c r="D81" s="256"/>
      <c r="E81" s="256"/>
      <c r="F81" s="53"/>
      <c r="G81" s="256"/>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c r="AS81" s="53"/>
      <c r="AT81" s="53"/>
      <c r="AU81" s="53"/>
      <c r="AV81" s="53"/>
      <c r="AW81" s="53"/>
      <c r="AX81" s="53"/>
      <c r="AY81" s="53"/>
      <c r="AZ81" s="53"/>
      <c r="BA81" s="53"/>
      <c r="BB81" s="53"/>
      <c r="BC81" s="53"/>
      <c r="BD81" s="53"/>
      <c r="BE81" s="53"/>
      <c r="BF81" s="53"/>
      <c r="BG81" s="53"/>
      <c r="BH81" s="54"/>
      <c r="BI81" s="54"/>
      <c r="BJ81" s="54"/>
      <c r="BK81" s="50"/>
    </row>
    <row r="82" spans="1:63" s="51" customFormat="1" ht="15" customHeight="1" x14ac:dyDescent="0.25">
      <c r="A82" s="46"/>
      <c r="B82" s="53"/>
      <c r="C82" s="303" t="s">
        <v>83</v>
      </c>
      <c r="D82" s="63"/>
      <c r="E82" s="63"/>
      <c r="F82" s="63"/>
      <c r="G82" s="63"/>
      <c r="H82" s="63"/>
      <c r="I82" s="63"/>
      <c r="J82" s="63"/>
      <c r="K82" s="63"/>
      <c r="L82" s="63"/>
      <c r="M82" s="63"/>
      <c r="N82" s="63"/>
      <c r="O82" s="63"/>
      <c r="P82" s="63"/>
      <c r="Q82" s="63"/>
      <c r="R82" s="63"/>
      <c r="S82" s="63"/>
      <c r="T82" s="63"/>
      <c r="U82" s="63"/>
      <c r="V82" s="63"/>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57"/>
      <c r="AV82" s="53"/>
      <c r="AW82" s="53"/>
      <c r="AX82" s="53"/>
      <c r="AY82" s="53"/>
      <c r="AZ82" s="53"/>
      <c r="BA82" s="53"/>
      <c r="BB82" s="53"/>
      <c r="BC82" s="53"/>
      <c r="BD82" s="53"/>
      <c r="BE82" s="53"/>
      <c r="BF82" s="53"/>
      <c r="BG82" s="53"/>
      <c r="BH82" s="54"/>
      <c r="BI82" s="54"/>
      <c r="BJ82" s="54"/>
      <c r="BK82" s="50"/>
    </row>
    <row r="83" spans="1:63" s="289" customFormat="1" ht="15" customHeight="1" x14ac:dyDescent="0.25">
      <c r="A83" s="285"/>
      <c r="B83" s="256"/>
      <c r="C83" s="304" t="s">
        <v>220</v>
      </c>
      <c r="D83" s="305"/>
      <c r="E83" s="305"/>
      <c r="F83" s="305"/>
      <c r="G83" s="305"/>
      <c r="H83" s="305"/>
      <c r="I83" s="256"/>
      <c r="J83" s="256"/>
      <c r="K83" s="256"/>
      <c r="L83" s="256"/>
      <c r="M83" s="256"/>
      <c r="N83" s="256"/>
      <c r="O83" s="256"/>
      <c r="P83" s="256"/>
      <c r="Q83" s="256"/>
      <c r="R83" s="256"/>
      <c r="S83" s="256"/>
      <c r="T83" s="256"/>
      <c r="U83" s="256"/>
      <c r="V83" s="256"/>
      <c r="W83" s="256"/>
      <c r="X83" s="256"/>
      <c r="Y83" s="256"/>
      <c r="Z83" s="256"/>
      <c r="AA83" s="256"/>
      <c r="AB83" s="256"/>
      <c r="AC83" s="256"/>
      <c r="AD83" s="256"/>
      <c r="AE83" s="256"/>
      <c r="AF83" s="256"/>
      <c r="AG83" s="256"/>
      <c r="AH83" s="256"/>
      <c r="AI83" s="256"/>
      <c r="AJ83" s="256"/>
      <c r="AK83" s="256"/>
      <c r="AL83" s="256"/>
      <c r="AM83" s="256"/>
      <c r="AN83" s="256"/>
      <c r="AO83" s="256"/>
      <c r="AP83" s="256"/>
      <c r="AQ83" s="256"/>
      <c r="AR83" s="256"/>
      <c r="AS83" s="256"/>
      <c r="AT83" s="256"/>
      <c r="AU83" s="306"/>
      <c r="AV83" s="256"/>
      <c r="AW83" s="256"/>
      <c r="AX83" s="256"/>
      <c r="AY83" s="256"/>
      <c r="AZ83" s="256"/>
      <c r="BA83" s="256"/>
      <c r="BB83" s="256"/>
      <c r="BC83" s="256"/>
      <c r="BD83" s="256"/>
      <c r="BE83" s="256"/>
      <c r="BF83" s="256"/>
      <c r="BG83" s="256"/>
      <c r="BH83" s="254"/>
      <c r="BI83" s="254"/>
      <c r="BJ83" s="254"/>
      <c r="BK83" s="252"/>
    </row>
    <row r="84" spans="1:63" s="51" customFormat="1" ht="15" customHeight="1" x14ac:dyDescent="0.25">
      <c r="A84" s="46"/>
      <c r="B84" s="53"/>
      <c r="C84" s="304" t="s">
        <v>149</v>
      </c>
      <c r="D84" s="75"/>
      <c r="E84" s="75"/>
      <c r="F84" s="75"/>
      <c r="G84" s="75"/>
      <c r="H84" s="75"/>
      <c r="I84" s="65"/>
      <c r="J84" s="65"/>
      <c r="K84" s="65"/>
      <c r="L84" s="65"/>
      <c r="M84" s="65"/>
      <c r="N84" s="65"/>
      <c r="O84" s="65"/>
      <c r="P84" s="65"/>
      <c r="Q84" s="65"/>
      <c r="R84" s="65"/>
      <c r="S84" s="65"/>
      <c r="T84" s="65"/>
      <c r="U84" s="65"/>
      <c r="V84" s="65"/>
      <c r="W84" s="53"/>
      <c r="X84" s="53"/>
      <c r="Y84" s="53"/>
      <c r="Z84" s="53"/>
      <c r="AA84" s="53"/>
      <c r="AB84" s="53"/>
      <c r="AC84" s="53"/>
      <c r="AD84" s="53"/>
      <c r="AE84" s="53"/>
      <c r="AF84" s="53"/>
      <c r="AG84" s="53"/>
      <c r="AH84" s="53"/>
      <c r="AI84" s="53"/>
      <c r="AJ84" s="53"/>
      <c r="AK84" s="53"/>
      <c r="AL84" s="53"/>
      <c r="AM84" s="53"/>
      <c r="AN84" s="53"/>
      <c r="AO84" s="53"/>
      <c r="AP84" s="53"/>
      <c r="AQ84" s="53"/>
      <c r="AR84" s="53"/>
      <c r="AS84" s="53"/>
      <c r="AT84" s="53"/>
      <c r="AU84" s="58"/>
      <c r="AV84" s="53"/>
      <c r="AW84" s="53"/>
      <c r="AX84" s="53"/>
      <c r="AY84" s="53"/>
      <c r="AZ84" s="53"/>
      <c r="BA84" s="53"/>
      <c r="BB84" s="53"/>
      <c r="BC84" s="53"/>
      <c r="BD84" s="53"/>
      <c r="BE84" s="53"/>
      <c r="BF84" s="53"/>
      <c r="BG84" s="53"/>
      <c r="BH84" s="54"/>
      <c r="BI84" s="54"/>
      <c r="BJ84" s="54"/>
      <c r="BK84" s="50"/>
    </row>
    <row r="85" spans="1:63" s="51" customFormat="1" ht="15" customHeight="1" x14ac:dyDescent="0.25">
      <c r="A85" s="46"/>
      <c r="B85" s="53"/>
      <c r="C85" s="304" t="s">
        <v>150</v>
      </c>
      <c r="D85" s="75"/>
      <c r="E85" s="75"/>
      <c r="F85" s="75"/>
      <c r="G85" s="75"/>
      <c r="H85" s="75"/>
      <c r="I85" s="65"/>
      <c r="J85" s="65"/>
      <c r="K85" s="65"/>
      <c r="L85" s="65"/>
      <c r="M85" s="65"/>
      <c r="N85" s="65"/>
      <c r="O85" s="65"/>
      <c r="P85" s="65"/>
      <c r="Q85" s="65"/>
      <c r="R85" s="65"/>
      <c r="S85" s="65"/>
      <c r="T85" s="65"/>
      <c r="U85" s="65"/>
      <c r="V85" s="65"/>
      <c r="W85" s="53"/>
      <c r="X85" s="53"/>
      <c r="Y85" s="53"/>
      <c r="Z85" s="53"/>
      <c r="AA85" s="53"/>
      <c r="AB85" s="53"/>
      <c r="AC85" s="53"/>
      <c r="AD85" s="53"/>
      <c r="AE85" s="53"/>
      <c r="AF85" s="53"/>
      <c r="AG85" s="53"/>
      <c r="AH85" s="53"/>
      <c r="AI85" s="53"/>
      <c r="AJ85" s="53"/>
      <c r="AK85" s="53"/>
      <c r="AL85" s="53"/>
      <c r="AM85" s="53"/>
      <c r="AN85" s="53"/>
      <c r="AO85" s="53"/>
      <c r="AP85" s="53"/>
      <c r="AQ85" s="53"/>
      <c r="AR85" s="53"/>
      <c r="AS85" s="53"/>
      <c r="AT85" s="53"/>
      <c r="AU85" s="58"/>
      <c r="AV85" s="53"/>
      <c r="AW85" s="53"/>
      <c r="AX85" s="53"/>
      <c r="AY85" s="53"/>
      <c r="AZ85" s="53"/>
      <c r="BA85" s="53"/>
      <c r="BB85" s="53"/>
      <c r="BC85" s="53"/>
      <c r="BD85" s="53"/>
      <c r="BE85" s="53"/>
      <c r="BF85" s="53"/>
      <c r="BG85" s="53"/>
      <c r="BH85" s="54"/>
      <c r="BI85" s="54"/>
      <c r="BJ85" s="54"/>
      <c r="BK85" s="50"/>
    </row>
    <row r="86" spans="1:63" s="51" customFormat="1" ht="15" customHeight="1" x14ac:dyDescent="0.25">
      <c r="A86" s="46"/>
      <c r="B86" s="53"/>
      <c r="C86" s="307" t="s">
        <v>83</v>
      </c>
      <c r="D86" s="75"/>
      <c r="E86" s="75"/>
      <c r="F86" s="75"/>
      <c r="G86" s="75"/>
      <c r="H86" s="75"/>
      <c r="I86" s="65"/>
      <c r="J86" s="65"/>
      <c r="K86" s="65"/>
      <c r="L86" s="65"/>
      <c r="M86" s="65"/>
      <c r="N86" s="65"/>
      <c r="O86" s="65"/>
      <c r="P86" s="65"/>
      <c r="Q86" s="65"/>
      <c r="R86" s="65"/>
      <c r="S86" s="65"/>
      <c r="T86" s="65"/>
      <c r="U86" s="65"/>
      <c r="V86" s="65"/>
      <c r="W86" s="53"/>
      <c r="X86" s="53"/>
      <c r="Y86" s="53"/>
      <c r="Z86" s="53"/>
      <c r="AA86" s="53"/>
      <c r="AB86" s="53"/>
      <c r="AC86" s="53"/>
      <c r="AD86" s="53"/>
      <c r="AE86" s="53"/>
      <c r="AF86" s="53"/>
      <c r="AG86" s="53"/>
      <c r="AH86" s="53"/>
      <c r="AI86" s="53"/>
      <c r="AJ86" s="53"/>
      <c r="AK86" s="53"/>
      <c r="AL86" s="53"/>
      <c r="AM86" s="53"/>
      <c r="AN86" s="53"/>
      <c r="AO86" s="53"/>
      <c r="AP86" s="53"/>
      <c r="AQ86" s="53"/>
      <c r="AR86" s="53"/>
      <c r="AS86" s="53"/>
      <c r="AT86" s="53"/>
      <c r="AU86" s="58"/>
      <c r="AV86" s="53"/>
      <c r="AW86" s="53"/>
      <c r="AX86" s="53"/>
      <c r="AY86" s="53"/>
      <c r="AZ86" s="53"/>
      <c r="BA86" s="53"/>
      <c r="BB86" s="53"/>
      <c r="BC86" s="53"/>
      <c r="BD86" s="53"/>
      <c r="BE86" s="53"/>
      <c r="BF86" s="53"/>
      <c r="BG86" s="53"/>
      <c r="BH86" s="54"/>
      <c r="BI86" s="54"/>
      <c r="BJ86" s="54"/>
      <c r="BK86" s="50"/>
    </row>
    <row r="87" spans="1:63" s="51" customFormat="1" ht="15" customHeight="1" x14ac:dyDescent="0.25">
      <c r="A87" s="46"/>
      <c r="B87" s="53"/>
      <c r="C87" s="77" t="s">
        <v>221</v>
      </c>
      <c r="D87" s="78"/>
      <c r="E87" s="79"/>
      <c r="F87" s="75"/>
      <c r="G87" s="75"/>
      <c r="H87" s="75"/>
      <c r="I87" s="65"/>
      <c r="J87" s="65"/>
      <c r="K87" s="65"/>
      <c r="L87" s="65"/>
      <c r="M87" s="65"/>
      <c r="N87" s="65"/>
      <c r="O87" s="65"/>
      <c r="P87" s="65"/>
      <c r="Q87" s="65"/>
      <c r="R87" s="65"/>
      <c r="S87" s="65"/>
      <c r="T87" s="65"/>
      <c r="U87" s="65"/>
      <c r="V87" s="65"/>
      <c r="W87" s="53"/>
      <c r="X87" s="53"/>
      <c r="Y87" s="53"/>
      <c r="Z87" s="53"/>
      <c r="AA87" s="53"/>
      <c r="AB87" s="53"/>
      <c r="AC87" s="53"/>
      <c r="AD87" s="53"/>
      <c r="AE87" s="53"/>
      <c r="AF87" s="53"/>
      <c r="AG87" s="53"/>
      <c r="AH87" s="53"/>
      <c r="AI87" s="53"/>
      <c r="AJ87" s="53"/>
      <c r="AK87" s="53"/>
      <c r="AL87" s="53"/>
      <c r="AM87" s="53"/>
      <c r="AN87" s="53"/>
      <c r="AO87" s="53"/>
      <c r="AP87" s="53"/>
      <c r="AQ87" s="53"/>
      <c r="AR87" s="53"/>
      <c r="AS87" s="53"/>
      <c r="AT87" s="53"/>
      <c r="AU87" s="58"/>
      <c r="AV87" s="53"/>
      <c r="AW87" s="53"/>
      <c r="AX87" s="53"/>
      <c r="AY87" s="53"/>
      <c r="AZ87" s="53"/>
      <c r="BA87" s="53"/>
      <c r="BB87" s="53"/>
      <c r="BC87" s="53"/>
      <c r="BD87" s="53"/>
      <c r="BE87" s="53"/>
      <c r="BF87" s="53"/>
      <c r="BG87" s="53"/>
      <c r="BH87" s="54"/>
      <c r="BI87" s="54"/>
      <c r="BJ87" s="54"/>
      <c r="BK87" s="50"/>
    </row>
    <row r="88" spans="1:63" s="51" customFormat="1" ht="15" customHeight="1" x14ac:dyDescent="0.25">
      <c r="A88" s="46"/>
      <c r="B88" s="53"/>
      <c r="C88" s="308" t="s">
        <v>222</v>
      </c>
      <c r="D88" s="309"/>
      <c r="E88" s="305"/>
      <c r="F88" s="75"/>
      <c r="G88" s="75"/>
      <c r="H88" s="75"/>
      <c r="I88" s="65"/>
      <c r="J88" s="65"/>
      <c r="K88" s="65"/>
      <c r="L88" s="65"/>
      <c r="M88" s="65"/>
      <c r="N88" s="65"/>
      <c r="O88" s="65"/>
      <c r="P88" s="65"/>
      <c r="Q88" s="65"/>
      <c r="R88" s="65"/>
      <c r="S88" s="65"/>
      <c r="T88" s="65"/>
      <c r="U88" s="65"/>
      <c r="V88" s="65"/>
      <c r="W88" s="53"/>
      <c r="X88" s="53"/>
      <c r="Y88" s="53"/>
      <c r="Z88" s="53"/>
      <c r="AA88" s="53"/>
      <c r="AB88" s="53"/>
      <c r="AC88" s="53"/>
      <c r="AD88" s="53"/>
      <c r="AE88" s="53"/>
      <c r="AF88" s="53"/>
      <c r="AG88" s="53"/>
      <c r="AH88" s="53"/>
      <c r="AI88" s="53"/>
      <c r="AJ88" s="53"/>
      <c r="AK88" s="53"/>
      <c r="AL88" s="53"/>
      <c r="AM88" s="53"/>
      <c r="AN88" s="53"/>
      <c r="AO88" s="53"/>
      <c r="AP88" s="53"/>
      <c r="AQ88" s="53"/>
      <c r="AR88" s="53"/>
      <c r="AS88" s="53"/>
      <c r="AT88" s="53"/>
      <c r="AU88" s="58"/>
      <c r="AV88" s="53"/>
      <c r="AW88" s="53"/>
      <c r="AX88" s="53"/>
      <c r="AY88" s="53"/>
      <c r="AZ88" s="53"/>
      <c r="BA88" s="53"/>
      <c r="BB88" s="53"/>
      <c r="BC88" s="53"/>
      <c r="BD88" s="53"/>
      <c r="BE88" s="53"/>
      <c r="BF88" s="53"/>
      <c r="BG88" s="53"/>
      <c r="BH88" s="54"/>
      <c r="BI88" s="54"/>
      <c r="BJ88" s="54"/>
      <c r="BK88" s="50"/>
    </row>
    <row r="89" spans="1:63" s="51" customFormat="1" ht="15" customHeight="1" x14ac:dyDescent="0.25">
      <c r="A89" s="46"/>
      <c r="B89" s="53"/>
      <c r="C89" s="308" t="s">
        <v>86</v>
      </c>
      <c r="D89" s="309"/>
      <c r="E89" s="305"/>
      <c r="F89" s="75"/>
      <c r="G89" s="75"/>
      <c r="H89" s="75"/>
      <c r="I89" s="65"/>
      <c r="J89" s="65"/>
      <c r="K89" s="65"/>
      <c r="L89" s="65"/>
      <c r="M89" s="65"/>
      <c r="N89" s="65"/>
      <c r="O89" s="65"/>
      <c r="P89" s="65"/>
      <c r="Q89" s="65"/>
      <c r="R89" s="65"/>
      <c r="S89" s="65"/>
      <c r="T89" s="65"/>
      <c r="U89" s="65"/>
      <c r="V89" s="65"/>
      <c r="W89" s="53"/>
      <c r="X89" s="53"/>
      <c r="Y89" s="53"/>
      <c r="Z89" s="53"/>
      <c r="AA89" s="53"/>
      <c r="AB89" s="53"/>
      <c r="AC89" s="53"/>
      <c r="AD89" s="53"/>
      <c r="AE89" s="53"/>
      <c r="AF89" s="53"/>
      <c r="AG89" s="53"/>
      <c r="AH89" s="53"/>
      <c r="AI89" s="53"/>
      <c r="AJ89" s="53"/>
      <c r="AK89" s="53"/>
      <c r="AL89" s="53"/>
      <c r="AM89" s="53"/>
      <c r="AN89" s="53"/>
      <c r="AO89" s="53"/>
      <c r="AP89" s="53"/>
      <c r="AQ89" s="53"/>
      <c r="AR89" s="53"/>
      <c r="AS89" s="53"/>
      <c r="AT89" s="53"/>
      <c r="AU89" s="58"/>
      <c r="AV89" s="53"/>
      <c r="AW89" s="53"/>
      <c r="AX89" s="53"/>
      <c r="AY89" s="53"/>
      <c r="AZ89" s="53"/>
      <c r="BA89" s="53"/>
      <c r="BB89" s="53"/>
      <c r="BC89" s="53"/>
      <c r="BD89" s="53"/>
      <c r="BE89" s="53"/>
      <c r="BF89" s="53"/>
      <c r="BG89" s="53"/>
      <c r="BH89" s="54"/>
      <c r="BI89" s="54"/>
      <c r="BJ89" s="54"/>
      <c r="BK89" s="50"/>
    </row>
    <row r="90" spans="1:63" s="51" customFormat="1" ht="15" customHeight="1" x14ac:dyDescent="0.25">
      <c r="A90" s="46"/>
      <c r="B90" s="53"/>
      <c r="C90" s="308" t="s">
        <v>223</v>
      </c>
      <c r="D90" s="309"/>
      <c r="E90" s="305"/>
      <c r="F90" s="75"/>
      <c r="G90" s="75"/>
      <c r="H90" s="75"/>
      <c r="I90" s="65"/>
      <c r="J90" s="65"/>
      <c r="K90" s="65"/>
      <c r="L90" s="65"/>
      <c r="M90" s="65"/>
      <c r="N90" s="65"/>
      <c r="O90" s="65"/>
      <c r="P90" s="65"/>
      <c r="Q90" s="65"/>
      <c r="R90" s="65"/>
      <c r="S90" s="65"/>
      <c r="T90" s="65"/>
      <c r="U90" s="65"/>
      <c r="V90" s="65"/>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8"/>
      <c r="AV90" s="53"/>
      <c r="AW90" s="53"/>
      <c r="AX90" s="53"/>
      <c r="AY90" s="53"/>
      <c r="AZ90" s="53"/>
      <c r="BA90" s="53"/>
      <c r="BB90" s="53"/>
      <c r="BC90" s="53"/>
      <c r="BD90" s="53"/>
      <c r="BE90" s="53"/>
      <c r="BF90" s="53"/>
      <c r="BG90" s="53"/>
      <c r="BH90" s="54"/>
      <c r="BI90" s="54"/>
      <c r="BJ90" s="54"/>
      <c r="BK90" s="50"/>
    </row>
    <row r="91" spans="1:63" s="51" customFormat="1" ht="15" customHeight="1" x14ac:dyDescent="0.25">
      <c r="A91" s="46"/>
      <c r="B91" s="53"/>
      <c r="C91" s="308" t="s">
        <v>224</v>
      </c>
      <c r="D91" s="309"/>
      <c r="E91" s="305"/>
      <c r="F91" s="75"/>
      <c r="G91" s="75"/>
      <c r="H91" s="75"/>
      <c r="I91" s="65"/>
      <c r="J91" s="65"/>
      <c r="K91" s="65"/>
      <c r="L91" s="65"/>
      <c r="M91" s="65"/>
      <c r="N91" s="65"/>
      <c r="O91" s="65"/>
      <c r="P91" s="65"/>
      <c r="Q91" s="65"/>
      <c r="R91" s="65"/>
      <c r="S91" s="65"/>
      <c r="T91" s="65"/>
      <c r="U91" s="65"/>
      <c r="V91" s="65"/>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8"/>
      <c r="AV91" s="53"/>
      <c r="AW91" s="53"/>
      <c r="AX91" s="53"/>
      <c r="AY91" s="53"/>
      <c r="AZ91" s="53"/>
      <c r="BA91" s="53"/>
      <c r="BB91" s="53"/>
      <c r="BC91" s="53"/>
      <c r="BD91" s="53"/>
      <c r="BE91" s="53"/>
      <c r="BF91" s="53"/>
      <c r="BG91" s="53"/>
      <c r="BH91" s="54"/>
      <c r="BI91" s="54"/>
      <c r="BJ91" s="54"/>
      <c r="BK91" s="50"/>
    </row>
    <row r="92" spans="1:63" s="84" customFormat="1" ht="15" customHeight="1" x14ac:dyDescent="0.25">
      <c r="A92" s="80"/>
      <c r="B92" s="81"/>
      <c r="C92" s="310" t="s">
        <v>225</v>
      </c>
      <c r="D92" s="85"/>
      <c r="E92" s="311"/>
      <c r="F92" s="311"/>
      <c r="G92" s="311"/>
      <c r="H92" s="311"/>
      <c r="I92" s="312"/>
      <c r="J92" s="312"/>
      <c r="K92" s="312"/>
      <c r="L92" s="312"/>
      <c r="M92" s="312"/>
      <c r="N92" s="312"/>
      <c r="O92" s="81"/>
      <c r="P92" s="81"/>
      <c r="Q92" s="81"/>
      <c r="R92" s="81"/>
      <c r="S92" s="81"/>
      <c r="T92" s="81"/>
      <c r="U92" s="81"/>
      <c r="V92" s="81"/>
      <c r="W92" s="81"/>
      <c r="X92" s="81"/>
      <c r="Y92" s="81"/>
      <c r="Z92" s="81"/>
      <c r="AA92" s="81"/>
      <c r="AB92" s="81"/>
      <c r="AC92" s="81"/>
      <c r="AD92" s="81"/>
      <c r="AE92" s="81"/>
      <c r="AF92" s="81"/>
      <c r="AG92" s="81"/>
      <c r="AH92" s="81"/>
      <c r="AI92" s="81"/>
      <c r="AJ92" s="81"/>
      <c r="AK92" s="81"/>
      <c r="AL92" s="81"/>
      <c r="AM92" s="81"/>
      <c r="AN92" s="81"/>
      <c r="AO92" s="81"/>
      <c r="AP92" s="81"/>
      <c r="AQ92" s="81"/>
      <c r="AR92" s="81"/>
      <c r="AS92" s="81"/>
      <c r="AT92" s="81"/>
      <c r="AU92" s="87"/>
      <c r="AV92" s="81"/>
      <c r="AW92" s="81"/>
      <c r="AX92" s="81"/>
      <c r="AY92" s="81"/>
      <c r="AZ92" s="81"/>
      <c r="BA92" s="81"/>
      <c r="BB92" s="81"/>
      <c r="BC92" s="81"/>
      <c r="BD92" s="81"/>
      <c r="BE92" s="81"/>
      <c r="BF92" s="81"/>
      <c r="BG92" s="81"/>
      <c r="BH92" s="82"/>
      <c r="BI92" s="82"/>
      <c r="BJ92" s="82"/>
      <c r="BK92" s="83"/>
    </row>
    <row r="93" spans="1:63" s="51" customFormat="1" ht="15" customHeight="1" x14ac:dyDescent="0.25">
      <c r="A93" s="46"/>
      <c r="B93" s="53"/>
      <c r="C93" s="308" t="s">
        <v>226</v>
      </c>
      <c r="D93" s="309"/>
      <c r="E93" s="305"/>
      <c r="F93" s="75"/>
      <c r="G93" s="75"/>
      <c r="H93" s="75"/>
      <c r="I93" s="65"/>
      <c r="J93" s="65"/>
      <c r="K93" s="65"/>
      <c r="L93" s="65"/>
      <c r="M93" s="65"/>
      <c r="N93" s="65"/>
      <c r="O93" s="65"/>
      <c r="P93" s="65"/>
      <c r="Q93" s="65"/>
      <c r="R93" s="65"/>
      <c r="S93" s="65"/>
      <c r="T93" s="65"/>
      <c r="U93" s="65"/>
      <c r="V93" s="65"/>
      <c r="W93" s="53"/>
      <c r="X93" s="53"/>
      <c r="Y93" s="53"/>
      <c r="Z93" s="53"/>
      <c r="AA93" s="53"/>
      <c r="AB93" s="53"/>
      <c r="AC93" s="53"/>
      <c r="AD93" s="53"/>
      <c r="AE93" s="53"/>
      <c r="AF93" s="53"/>
      <c r="AG93" s="53"/>
      <c r="AH93" s="53"/>
      <c r="AI93" s="53"/>
      <c r="AJ93" s="53"/>
      <c r="AK93" s="53"/>
      <c r="AL93" s="53"/>
      <c r="AM93" s="53"/>
      <c r="AN93" s="53"/>
      <c r="AO93" s="53"/>
      <c r="AP93" s="53"/>
      <c r="AQ93" s="53"/>
      <c r="AR93" s="53"/>
      <c r="AS93" s="53"/>
      <c r="AT93" s="53"/>
      <c r="AU93" s="58"/>
      <c r="AV93" s="53"/>
      <c r="AW93" s="53"/>
      <c r="AX93" s="53"/>
      <c r="AY93" s="53"/>
      <c r="AZ93" s="53"/>
      <c r="BA93" s="53"/>
      <c r="BB93" s="53"/>
      <c r="BC93" s="53"/>
      <c r="BD93" s="53"/>
      <c r="BE93" s="53"/>
      <c r="BF93" s="53"/>
      <c r="BG93" s="53"/>
      <c r="BH93" s="54"/>
      <c r="BI93" s="54"/>
      <c r="BJ93" s="54"/>
      <c r="BK93" s="50"/>
    </row>
    <row r="94" spans="1:63" s="84" customFormat="1" ht="15" customHeight="1" x14ac:dyDescent="0.25">
      <c r="A94" s="80"/>
      <c r="B94" s="81"/>
      <c r="C94" s="310" t="s">
        <v>227</v>
      </c>
      <c r="D94" s="85"/>
      <c r="E94" s="86"/>
      <c r="F94" s="86"/>
      <c r="G94" s="86"/>
      <c r="H94" s="86"/>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c r="AU94" s="87"/>
      <c r="AV94" s="81"/>
      <c r="AW94" s="81"/>
      <c r="AX94" s="81"/>
      <c r="AY94" s="81"/>
      <c r="AZ94" s="81"/>
      <c r="BA94" s="81"/>
      <c r="BB94" s="81"/>
      <c r="BC94" s="81"/>
      <c r="BD94" s="81"/>
      <c r="BE94" s="81"/>
      <c r="BF94" s="81"/>
      <c r="BG94" s="81"/>
      <c r="BH94" s="82"/>
      <c r="BI94" s="82"/>
      <c r="BJ94" s="82"/>
      <c r="BK94" s="83"/>
    </row>
    <row r="95" spans="1:63" s="51" customFormat="1" ht="15" customHeight="1" x14ac:dyDescent="0.25">
      <c r="A95" s="46"/>
      <c r="B95" s="53"/>
      <c r="C95" s="308" t="s">
        <v>228</v>
      </c>
      <c r="D95" s="309"/>
      <c r="E95" s="305"/>
      <c r="F95" s="75"/>
      <c r="G95" s="75"/>
      <c r="H95" s="75"/>
      <c r="I95" s="65"/>
      <c r="J95" s="65"/>
      <c r="K95" s="65"/>
      <c r="L95" s="65"/>
      <c r="M95" s="65"/>
      <c r="N95" s="65"/>
      <c r="O95" s="65"/>
      <c r="P95" s="65"/>
      <c r="Q95" s="65"/>
      <c r="R95" s="65"/>
      <c r="S95" s="65"/>
      <c r="T95" s="65"/>
      <c r="U95" s="65"/>
      <c r="V95" s="65"/>
      <c r="W95" s="53"/>
      <c r="X95" s="53"/>
      <c r="Y95" s="53"/>
      <c r="Z95" s="53"/>
      <c r="AA95" s="53"/>
      <c r="AB95" s="53"/>
      <c r="AC95" s="53"/>
      <c r="AD95" s="53"/>
      <c r="AE95" s="53"/>
      <c r="AF95" s="53"/>
      <c r="AG95" s="53"/>
      <c r="AH95" s="53"/>
      <c r="AI95" s="53"/>
      <c r="AJ95" s="53"/>
      <c r="AK95" s="53"/>
      <c r="AL95" s="53"/>
      <c r="AM95" s="53"/>
      <c r="AN95" s="53"/>
      <c r="AO95" s="53"/>
      <c r="AP95" s="53"/>
      <c r="AQ95" s="53"/>
      <c r="AR95" s="53"/>
      <c r="AS95" s="53"/>
      <c r="AT95" s="53"/>
      <c r="AU95" s="58"/>
      <c r="AV95" s="53"/>
      <c r="AW95" s="53"/>
      <c r="AX95" s="53"/>
      <c r="AY95" s="53"/>
      <c r="AZ95" s="53"/>
      <c r="BA95" s="53"/>
      <c r="BB95" s="53"/>
      <c r="BC95" s="53"/>
      <c r="BD95" s="53"/>
      <c r="BE95" s="53"/>
      <c r="BF95" s="53"/>
      <c r="BG95" s="53"/>
      <c r="BH95" s="54"/>
      <c r="BI95" s="54"/>
      <c r="BJ95" s="54"/>
      <c r="BK95" s="50"/>
    </row>
    <row r="96" spans="1:63" s="84" customFormat="1" ht="15" customHeight="1" x14ac:dyDescent="0.25">
      <c r="A96" s="80"/>
      <c r="B96" s="81"/>
      <c r="C96" s="310" t="s">
        <v>229</v>
      </c>
      <c r="D96" s="85"/>
      <c r="E96" s="86"/>
      <c r="F96" s="86"/>
      <c r="G96" s="86"/>
      <c r="H96" s="86"/>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7"/>
      <c r="AV96" s="81"/>
      <c r="AW96" s="81"/>
      <c r="AX96" s="81"/>
      <c r="AY96" s="81"/>
      <c r="AZ96" s="81"/>
      <c r="BA96" s="81"/>
      <c r="BB96" s="81"/>
      <c r="BC96" s="81"/>
      <c r="BD96" s="81"/>
      <c r="BE96" s="81"/>
      <c r="BF96" s="81"/>
      <c r="BG96" s="81"/>
      <c r="BH96" s="82"/>
      <c r="BI96" s="82"/>
      <c r="BJ96" s="82"/>
      <c r="BK96" s="83"/>
    </row>
    <row r="97" spans="1:63" s="51" customFormat="1" ht="15" customHeight="1" x14ac:dyDescent="0.25">
      <c r="A97" s="46"/>
      <c r="B97" s="53"/>
      <c r="C97" s="308" t="s">
        <v>230</v>
      </c>
      <c r="D97" s="309"/>
      <c r="E97" s="305"/>
      <c r="F97" s="75"/>
      <c r="G97" s="75"/>
      <c r="H97" s="75"/>
      <c r="I97" s="65"/>
      <c r="J97" s="65"/>
      <c r="K97" s="65"/>
      <c r="L97" s="65"/>
      <c r="M97" s="65"/>
      <c r="N97" s="65"/>
      <c r="O97" s="65"/>
      <c r="P97" s="65"/>
      <c r="Q97" s="65"/>
      <c r="R97" s="65"/>
      <c r="S97" s="65"/>
      <c r="T97" s="65"/>
      <c r="U97" s="65"/>
      <c r="V97" s="65"/>
      <c r="W97" s="53"/>
      <c r="X97" s="53"/>
      <c r="Y97" s="53"/>
      <c r="Z97" s="53"/>
      <c r="AA97" s="53"/>
      <c r="AB97" s="53"/>
      <c r="AC97" s="53"/>
      <c r="AD97" s="53"/>
      <c r="AE97" s="53"/>
      <c r="AF97" s="53"/>
      <c r="AG97" s="53"/>
      <c r="AH97" s="53"/>
      <c r="AI97" s="53"/>
      <c r="AJ97" s="53"/>
      <c r="AK97" s="53"/>
      <c r="AL97" s="53"/>
      <c r="AM97" s="53"/>
      <c r="AN97" s="53"/>
      <c r="AO97" s="53"/>
      <c r="AP97" s="53"/>
      <c r="AQ97" s="53"/>
      <c r="AR97" s="53"/>
      <c r="AS97" s="53"/>
      <c r="AT97" s="53"/>
      <c r="AU97" s="58"/>
      <c r="AV97" s="53"/>
      <c r="AW97" s="53"/>
      <c r="AX97" s="53"/>
      <c r="AY97" s="53"/>
      <c r="AZ97" s="53"/>
      <c r="BA97" s="53"/>
      <c r="BB97" s="53"/>
      <c r="BC97" s="53"/>
      <c r="BD97" s="53"/>
      <c r="BE97" s="53"/>
      <c r="BF97" s="53"/>
      <c r="BG97" s="53"/>
      <c r="BH97" s="54"/>
      <c r="BI97" s="54"/>
      <c r="BJ97" s="54"/>
      <c r="BK97" s="50"/>
    </row>
    <row r="98" spans="1:63" s="84" customFormat="1" ht="15" customHeight="1" x14ac:dyDescent="0.25">
      <c r="A98" s="80"/>
      <c r="B98" s="81"/>
      <c r="C98" s="310" t="s">
        <v>231</v>
      </c>
      <c r="D98" s="85"/>
      <c r="E98" s="86"/>
      <c r="F98" s="86"/>
      <c r="G98" s="86"/>
      <c r="H98" s="86"/>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c r="AU98" s="87"/>
      <c r="AV98" s="81"/>
      <c r="AW98" s="81"/>
      <c r="AX98" s="81"/>
      <c r="AY98" s="81"/>
      <c r="AZ98" s="81"/>
      <c r="BA98" s="81"/>
      <c r="BB98" s="81"/>
      <c r="BC98" s="81"/>
      <c r="BD98" s="81"/>
      <c r="BE98" s="81"/>
      <c r="BF98" s="81"/>
      <c r="BG98" s="81"/>
      <c r="BH98" s="82"/>
      <c r="BI98" s="82"/>
      <c r="BJ98" s="82"/>
      <c r="BK98" s="83"/>
    </row>
    <row r="99" spans="1:63" s="51" customFormat="1" ht="15" customHeight="1" x14ac:dyDescent="0.25">
      <c r="A99" s="46"/>
      <c r="B99" s="53"/>
      <c r="C99" s="308" t="s">
        <v>232</v>
      </c>
      <c r="D99" s="309"/>
      <c r="E99" s="305"/>
      <c r="F99" s="75"/>
      <c r="G99" s="75"/>
      <c r="H99" s="75"/>
      <c r="I99" s="65"/>
      <c r="J99" s="65"/>
      <c r="K99" s="65"/>
      <c r="L99" s="65"/>
      <c r="M99" s="65"/>
      <c r="N99" s="65"/>
      <c r="O99" s="65"/>
      <c r="P99" s="65"/>
      <c r="Q99" s="65"/>
      <c r="R99" s="65"/>
      <c r="S99" s="65"/>
      <c r="T99" s="65"/>
      <c r="U99" s="65"/>
      <c r="V99" s="65"/>
      <c r="W99" s="53"/>
      <c r="X99" s="53"/>
      <c r="Y99" s="53"/>
      <c r="Z99" s="53"/>
      <c r="AA99" s="53"/>
      <c r="AB99" s="53"/>
      <c r="AC99" s="53"/>
      <c r="AD99" s="53"/>
      <c r="AE99" s="53"/>
      <c r="AF99" s="53"/>
      <c r="AG99" s="53"/>
      <c r="AH99" s="53"/>
      <c r="AI99" s="53"/>
      <c r="AJ99" s="53"/>
      <c r="AK99" s="53"/>
      <c r="AL99" s="53"/>
      <c r="AM99" s="53"/>
      <c r="AN99" s="53"/>
      <c r="AO99" s="53"/>
      <c r="AP99" s="53"/>
      <c r="AQ99" s="53"/>
      <c r="AR99" s="53"/>
      <c r="AS99" s="53"/>
      <c r="AT99" s="53"/>
      <c r="AU99" s="58"/>
      <c r="AV99" s="53"/>
      <c r="AW99" s="53"/>
      <c r="AX99" s="53"/>
      <c r="AY99" s="53"/>
      <c r="AZ99" s="53"/>
      <c r="BA99" s="53"/>
      <c r="BB99" s="53"/>
      <c r="BC99" s="53"/>
      <c r="BD99" s="53"/>
      <c r="BE99" s="53"/>
      <c r="BF99" s="53"/>
      <c r="BG99" s="53"/>
      <c r="BH99" s="54"/>
      <c r="BI99" s="54"/>
      <c r="BJ99" s="54"/>
      <c r="BK99" s="50"/>
    </row>
    <row r="100" spans="1:63" s="84" customFormat="1" ht="15" customHeight="1" x14ac:dyDescent="0.25">
      <c r="A100" s="80"/>
      <c r="B100" s="81"/>
      <c r="C100" s="310" t="s">
        <v>233</v>
      </c>
      <c r="D100" s="85"/>
      <c r="E100" s="86"/>
      <c r="F100" s="86"/>
      <c r="G100" s="86"/>
      <c r="H100" s="86"/>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c r="AU100" s="87"/>
      <c r="AV100" s="81"/>
      <c r="AW100" s="81"/>
      <c r="AX100" s="81"/>
      <c r="AY100" s="81"/>
      <c r="AZ100" s="81"/>
      <c r="BA100" s="81"/>
      <c r="BB100" s="81"/>
      <c r="BC100" s="81"/>
      <c r="BD100" s="81"/>
      <c r="BE100" s="81"/>
      <c r="BF100" s="81"/>
      <c r="BG100" s="81"/>
      <c r="BH100" s="82"/>
      <c r="BI100" s="82"/>
      <c r="BJ100" s="82"/>
      <c r="BK100" s="83"/>
    </row>
    <row r="101" spans="1:63" s="51" customFormat="1" ht="15" customHeight="1" x14ac:dyDescent="0.25">
      <c r="A101" s="46"/>
      <c r="B101" s="53"/>
      <c r="C101" s="308" t="s">
        <v>234</v>
      </c>
      <c r="D101" s="309"/>
      <c r="E101" s="305"/>
      <c r="F101" s="75"/>
      <c r="G101" s="75"/>
      <c r="H101" s="75"/>
      <c r="I101" s="65"/>
      <c r="J101" s="65"/>
      <c r="K101" s="65"/>
      <c r="L101" s="65"/>
      <c r="M101" s="65"/>
      <c r="N101" s="65"/>
      <c r="O101" s="65"/>
      <c r="P101" s="65"/>
      <c r="Q101" s="65"/>
      <c r="R101" s="65"/>
      <c r="S101" s="65"/>
      <c r="T101" s="65"/>
      <c r="U101" s="65"/>
      <c r="V101" s="65"/>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c r="AS101" s="53"/>
      <c r="AT101" s="53"/>
      <c r="AU101" s="58"/>
      <c r="AV101" s="53"/>
      <c r="AW101" s="53"/>
      <c r="AX101" s="53"/>
      <c r="AY101" s="53"/>
      <c r="AZ101" s="53"/>
      <c r="BA101" s="53"/>
      <c r="BB101" s="53"/>
      <c r="BC101" s="53"/>
      <c r="BD101" s="53"/>
      <c r="BE101" s="53"/>
      <c r="BF101" s="53"/>
      <c r="BG101" s="53"/>
      <c r="BH101" s="54"/>
      <c r="BI101" s="54"/>
      <c r="BJ101" s="54"/>
      <c r="BK101" s="50"/>
    </row>
    <row r="102" spans="1:63" s="84" customFormat="1" ht="15" customHeight="1" x14ac:dyDescent="0.25">
      <c r="A102" s="80"/>
      <c r="B102" s="81"/>
      <c r="C102" s="310" t="s">
        <v>235</v>
      </c>
      <c r="D102" s="85"/>
      <c r="E102" s="86"/>
      <c r="F102" s="86"/>
      <c r="G102" s="86"/>
      <c r="H102" s="86"/>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7"/>
      <c r="AV102" s="81"/>
      <c r="AW102" s="81"/>
      <c r="AX102" s="81"/>
      <c r="AY102" s="81"/>
      <c r="AZ102" s="81"/>
      <c r="BA102" s="81"/>
      <c r="BB102" s="81"/>
      <c r="BC102" s="81"/>
      <c r="BD102" s="81"/>
      <c r="BE102" s="81"/>
      <c r="BF102" s="81"/>
      <c r="BG102" s="81"/>
      <c r="BH102" s="82"/>
      <c r="BI102" s="82"/>
      <c r="BJ102" s="82"/>
      <c r="BK102" s="83"/>
    </row>
    <row r="103" spans="1:63" s="51" customFormat="1" ht="15" customHeight="1" x14ac:dyDescent="0.25">
      <c r="A103" s="46"/>
      <c r="B103" s="53"/>
      <c r="C103" s="308" t="s">
        <v>236</v>
      </c>
      <c r="D103" s="309"/>
      <c r="E103" s="305"/>
      <c r="F103" s="75"/>
      <c r="G103" s="75"/>
      <c r="H103" s="75"/>
      <c r="I103" s="65"/>
      <c r="J103" s="65"/>
      <c r="K103" s="65"/>
      <c r="L103" s="65"/>
      <c r="M103" s="65"/>
      <c r="N103" s="65"/>
      <c r="O103" s="65"/>
      <c r="P103" s="65"/>
      <c r="Q103" s="65"/>
      <c r="R103" s="65"/>
      <c r="S103" s="65"/>
      <c r="T103" s="65"/>
      <c r="U103" s="65"/>
      <c r="V103" s="65"/>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c r="AS103" s="53"/>
      <c r="AT103" s="53"/>
      <c r="AU103" s="58"/>
      <c r="AV103" s="53"/>
      <c r="AW103" s="53"/>
      <c r="AX103" s="53"/>
      <c r="AY103" s="53"/>
      <c r="AZ103" s="53"/>
      <c r="BA103" s="53"/>
      <c r="BB103" s="53"/>
      <c r="BC103" s="53"/>
      <c r="BD103" s="53"/>
      <c r="BE103" s="53"/>
      <c r="BF103" s="53"/>
      <c r="BG103" s="53"/>
      <c r="BH103" s="54"/>
      <c r="BI103" s="54"/>
      <c r="BJ103" s="54"/>
      <c r="BK103" s="50"/>
    </row>
    <row r="104" spans="1:63" s="51" customFormat="1" ht="15" customHeight="1" x14ac:dyDescent="0.25">
      <c r="A104" s="46"/>
      <c r="B104" s="53"/>
      <c r="C104" s="308" t="s">
        <v>237</v>
      </c>
      <c r="D104" s="309"/>
      <c r="E104" s="305"/>
      <c r="F104" s="75"/>
      <c r="G104" s="75"/>
      <c r="H104" s="75"/>
      <c r="I104" s="65"/>
      <c r="J104" s="65"/>
      <c r="K104" s="65"/>
      <c r="L104" s="65"/>
      <c r="M104" s="65"/>
      <c r="N104" s="65"/>
      <c r="O104" s="65"/>
      <c r="P104" s="65"/>
      <c r="Q104" s="65"/>
      <c r="R104" s="65"/>
      <c r="S104" s="65"/>
      <c r="T104" s="65"/>
      <c r="U104" s="65"/>
      <c r="V104" s="65"/>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c r="AS104" s="53"/>
      <c r="AT104" s="53"/>
      <c r="AU104" s="58"/>
      <c r="AV104" s="53"/>
      <c r="AW104" s="53"/>
      <c r="AX104" s="53"/>
      <c r="AY104" s="53"/>
      <c r="AZ104" s="53"/>
      <c r="BA104" s="53"/>
      <c r="BB104" s="53"/>
      <c r="BC104" s="53"/>
      <c r="BD104" s="53"/>
      <c r="BE104" s="53"/>
      <c r="BF104" s="53"/>
      <c r="BG104" s="53"/>
      <c r="BH104" s="54"/>
      <c r="BI104" s="54"/>
      <c r="BJ104" s="54"/>
      <c r="BK104" s="50"/>
    </row>
    <row r="105" spans="1:63" s="51" customFormat="1" ht="15" customHeight="1" x14ac:dyDescent="0.25">
      <c r="A105" s="46"/>
      <c r="B105" s="53"/>
      <c r="C105" s="308" t="s">
        <v>238</v>
      </c>
      <c r="D105" s="305"/>
      <c r="E105" s="75"/>
      <c r="F105" s="75"/>
      <c r="G105" s="75"/>
      <c r="H105" s="75"/>
      <c r="I105" s="65"/>
      <c r="J105" s="65"/>
      <c r="K105" s="65"/>
      <c r="L105" s="65"/>
      <c r="M105" s="65"/>
      <c r="N105" s="65"/>
      <c r="O105" s="65"/>
      <c r="P105" s="65"/>
      <c r="Q105" s="65"/>
      <c r="R105" s="65"/>
      <c r="S105" s="65"/>
      <c r="T105" s="65"/>
      <c r="U105" s="65"/>
      <c r="V105" s="65"/>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c r="AS105" s="53"/>
      <c r="AT105" s="53"/>
      <c r="AU105" s="58"/>
      <c r="AV105" s="53"/>
      <c r="AW105" s="53"/>
      <c r="AX105" s="53"/>
      <c r="AY105" s="53"/>
      <c r="AZ105" s="53"/>
      <c r="BA105" s="53"/>
      <c r="BB105" s="53"/>
      <c r="BC105" s="53"/>
      <c r="BD105" s="53"/>
      <c r="BE105" s="53"/>
      <c r="BF105" s="53"/>
      <c r="BG105" s="53"/>
      <c r="BH105" s="54"/>
      <c r="BI105" s="54"/>
      <c r="BJ105" s="54"/>
      <c r="BK105" s="50"/>
    </row>
    <row r="106" spans="1:63" s="51" customFormat="1" ht="15" customHeight="1" x14ac:dyDescent="0.25">
      <c r="A106" s="46"/>
      <c r="B106" s="53"/>
      <c r="C106" s="308" t="s">
        <v>239</v>
      </c>
      <c r="D106" s="305"/>
      <c r="E106" s="75"/>
      <c r="F106" s="75"/>
      <c r="G106" s="75"/>
      <c r="H106" s="75"/>
      <c r="I106" s="65"/>
      <c r="J106" s="65"/>
      <c r="K106" s="65"/>
      <c r="L106" s="65"/>
      <c r="M106" s="65"/>
      <c r="N106" s="65"/>
      <c r="O106" s="65"/>
      <c r="P106" s="65"/>
      <c r="Q106" s="65"/>
      <c r="R106" s="65"/>
      <c r="S106" s="65"/>
      <c r="T106" s="65"/>
      <c r="U106" s="65"/>
      <c r="V106" s="65"/>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c r="AS106" s="53"/>
      <c r="AT106" s="53"/>
      <c r="AU106" s="58"/>
      <c r="AV106" s="53"/>
      <c r="AW106" s="53"/>
      <c r="AX106" s="53"/>
      <c r="AY106" s="53"/>
      <c r="AZ106" s="53"/>
      <c r="BA106" s="53"/>
      <c r="BB106" s="53"/>
      <c r="BC106" s="53"/>
      <c r="BD106" s="53"/>
      <c r="BE106" s="53"/>
      <c r="BF106" s="53"/>
      <c r="BG106" s="53"/>
      <c r="BH106" s="54"/>
      <c r="BI106" s="54"/>
      <c r="BJ106" s="54"/>
      <c r="BK106" s="50"/>
    </row>
    <row r="107" spans="1:63" s="51" customFormat="1" ht="15" customHeight="1" x14ac:dyDescent="0.25">
      <c r="A107" s="46"/>
      <c r="B107" s="53"/>
      <c r="C107" s="308" t="s">
        <v>128</v>
      </c>
      <c r="D107" s="305"/>
      <c r="E107" s="75"/>
      <c r="F107" s="75"/>
      <c r="G107" s="75"/>
      <c r="H107" s="75"/>
      <c r="I107" s="65"/>
      <c r="J107" s="65"/>
      <c r="K107" s="65"/>
      <c r="L107" s="65"/>
      <c r="M107" s="65"/>
      <c r="N107" s="65"/>
      <c r="O107" s="65"/>
      <c r="P107" s="65"/>
      <c r="Q107" s="65"/>
      <c r="R107" s="65"/>
      <c r="S107" s="65"/>
      <c r="T107" s="65"/>
      <c r="U107" s="65"/>
      <c r="V107" s="65"/>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c r="AS107" s="53"/>
      <c r="AT107" s="53"/>
      <c r="AU107" s="58"/>
      <c r="AV107" s="53"/>
      <c r="AW107" s="53"/>
      <c r="AX107" s="53"/>
      <c r="AY107" s="53"/>
      <c r="AZ107" s="53"/>
      <c r="BA107" s="53"/>
      <c r="BB107" s="53"/>
      <c r="BC107" s="53"/>
      <c r="BD107" s="53"/>
      <c r="BE107" s="53"/>
      <c r="BF107" s="53"/>
      <c r="BG107" s="53"/>
      <c r="BH107" s="54"/>
      <c r="BI107" s="54"/>
      <c r="BJ107" s="54"/>
      <c r="BK107" s="50"/>
    </row>
    <row r="108" spans="1:63" s="51" customFormat="1" ht="15" customHeight="1" x14ac:dyDescent="0.25">
      <c r="A108" s="46"/>
      <c r="B108" s="53"/>
      <c r="C108" s="308" t="s">
        <v>129</v>
      </c>
      <c r="D108" s="305"/>
      <c r="E108" s="75"/>
      <c r="F108" s="75"/>
      <c r="G108" s="75"/>
      <c r="H108" s="75"/>
      <c r="I108" s="65"/>
      <c r="J108" s="65"/>
      <c r="K108" s="65"/>
      <c r="L108" s="65"/>
      <c r="M108" s="65"/>
      <c r="N108" s="65"/>
      <c r="O108" s="65"/>
      <c r="P108" s="65"/>
      <c r="Q108" s="65"/>
      <c r="R108" s="65"/>
      <c r="S108" s="65"/>
      <c r="T108" s="65"/>
      <c r="U108" s="65"/>
      <c r="V108" s="65"/>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c r="AS108" s="53"/>
      <c r="AT108" s="53"/>
      <c r="AU108" s="58"/>
      <c r="AV108" s="53"/>
      <c r="AW108" s="53"/>
      <c r="AX108" s="53"/>
      <c r="AY108" s="53"/>
      <c r="AZ108" s="53"/>
      <c r="BA108" s="53"/>
      <c r="BB108" s="53"/>
      <c r="BC108" s="53"/>
      <c r="BD108" s="53"/>
      <c r="BE108" s="53"/>
      <c r="BF108" s="53"/>
      <c r="BG108" s="53"/>
      <c r="BH108" s="54"/>
      <c r="BI108" s="54"/>
      <c r="BJ108" s="54"/>
      <c r="BK108" s="50"/>
    </row>
    <row r="109" spans="1:63" s="51" customFormat="1" ht="15" customHeight="1" x14ac:dyDescent="0.25">
      <c r="A109" s="46"/>
      <c r="B109" s="53"/>
      <c r="C109" s="308" t="s">
        <v>130</v>
      </c>
      <c r="D109" s="305"/>
      <c r="E109" s="75"/>
      <c r="F109" s="75"/>
      <c r="G109" s="75"/>
      <c r="H109" s="75"/>
      <c r="I109" s="65"/>
      <c r="J109" s="65"/>
      <c r="K109" s="65"/>
      <c r="L109" s="65"/>
      <c r="M109" s="65"/>
      <c r="N109" s="65"/>
      <c r="O109" s="65"/>
      <c r="P109" s="65"/>
      <c r="Q109" s="65"/>
      <c r="R109" s="65"/>
      <c r="S109" s="65"/>
      <c r="T109" s="65"/>
      <c r="U109" s="65"/>
      <c r="V109" s="65"/>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c r="AS109" s="53"/>
      <c r="AT109" s="53"/>
      <c r="AU109" s="58"/>
      <c r="AV109" s="53"/>
      <c r="AW109" s="53"/>
      <c r="AX109" s="53"/>
      <c r="AY109" s="53"/>
      <c r="AZ109" s="53"/>
      <c r="BA109" s="53"/>
      <c r="BB109" s="53"/>
      <c r="BC109" s="53"/>
      <c r="BD109" s="53"/>
      <c r="BE109" s="53"/>
      <c r="BF109" s="53"/>
      <c r="BG109" s="53"/>
      <c r="BH109" s="54"/>
      <c r="BI109" s="54"/>
      <c r="BJ109" s="54"/>
      <c r="BK109" s="50"/>
    </row>
    <row r="110" spans="1:63" s="51" customFormat="1" ht="15" customHeight="1" x14ac:dyDescent="0.25">
      <c r="A110" s="46"/>
      <c r="B110" s="53"/>
      <c r="C110" s="308" t="s">
        <v>240</v>
      </c>
      <c r="D110" s="305"/>
      <c r="E110" s="75"/>
      <c r="F110" s="75"/>
      <c r="G110" s="75"/>
      <c r="H110" s="75"/>
      <c r="I110" s="65"/>
      <c r="J110" s="65"/>
      <c r="K110" s="65"/>
      <c r="L110" s="65"/>
      <c r="M110" s="65"/>
      <c r="N110" s="65"/>
      <c r="O110" s="65"/>
      <c r="P110" s="65"/>
      <c r="Q110" s="65"/>
      <c r="R110" s="65"/>
      <c r="S110" s="65"/>
      <c r="T110" s="65"/>
      <c r="U110" s="65"/>
      <c r="V110" s="65"/>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c r="AS110" s="53"/>
      <c r="AT110" s="53"/>
      <c r="AU110" s="58"/>
      <c r="AV110" s="53"/>
      <c r="AW110" s="53"/>
      <c r="AX110" s="53"/>
      <c r="AY110" s="53"/>
      <c r="AZ110" s="53"/>
      <c r="BA110" s="53"/>
      <c r="BB110" s="53"/>
      <c r="BC110" s="53"/>
      <c r="BD110" s="53"/>
      <c r="BE110" s="53"/>
      <c r="BF110" s="53"/>
      <c r="BG110" s="53"/>
      <c r="BH110" s="54"/>
      <c r="BI110" s="54"/>
      <c r="BJ110" s="54"/>
      <c r="BK110" s="50"/>
    </row>
    <row r="111" spans="1:63" s="51" customFormat="1" ht="15" customHeight="1" x14ac:dyDescent="0.25">
      <c r="A111" s="46"/>
      <c r="B111" s="53"/>
      <c r="C111" s="308" t="s">
        <v>241</v>
      </c>
      <c r="D111" s="305"/>
      <c r="E111" s="75"/>
      <c r="F111" s="75"/>
      <c r="G111" s="75"/>
      <c r="H111" s="75"/>
      <c r="I111" s="65"/>
      <c r="J111" s="65"/>
      <c r="K111" s="65"/>
      <c r="L111" s="65"/>
      <c r="M111" s="65"/>
      <c r="N111" s="65"/>
      <c r="O111" s="65"/>
      <c r="P111" s="65"/>
      <c r="Q111" s="65"/>
      <c r="R111" s="65"/>
      <c r="S111" s="65"/>
      <c r="T111" s="65"/>
      <c r="U111" s="65"/>
      <c r="V111" s="65"/>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8"/>
      <c r="AV111" s="53"/>
      <c r="AW111" s="53"/>
      <c r="AX111" s="53"/>
      <c r="AY111" s="53"/>
      <c r="AZ111" s="53"/>
      <c r="BA111" s="53"/>
      <c r="BB111" s="53"/>
      <c r="BC111" s="53"/>
      <c r="BD111" s="53"/>
      <c r="BE111" s="53"/>
      <c r="BF111" s="53"/>
      <c r="BG111" s="53"/>
      <c r="BH111" s="54"/>
      <c r="BI111" s="54"/>
      <c r="BJ111" s="54"/>
      <c r="BK111" s="50"/>
    </row>
    <row r="112" spans="1:63" s="51" customFormat="1" ht="15" customHeight="1" x14ac:dyDescent="0.25">
      <c r="A112" s="46"/>
      <c r="B112" s="53"/>
      <c r="C112" s="308" t="s">
        <v>242</v>
      </c>
      <c r="D112" s="305"/>
      <c r="E112" s="75"/>
      <c r="F112" s="75"/>
      <c r="G112" s="75"/>
      <c r="H112" s="75"/>
      <c r="I112" s="65"/>
      <c r="J112" s="65"/>
      <c r="K112" s="65"/>
      <c r="L112" s="65"/>
      <c r="M112" s="65"/>
      <c r="N112" s="65"/>
      <c r="O112" s="65"/>
      <c r="P112" s="65"/>
      <c r="Q112" s="65"/>
      <c r="R112" s="65"/>
      <c r="S112" s="65"/>
      <c r="T112" s="65"/>
      <c r="U112" s="65"/>
      <c r="V112" s="65"/>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8"/>
      <c r="AV112" s="53"/>
      <c r="AW112" s="53"/>
      <c r="AX112" s="53"/>
      <c r="AY112" s="53"/>
      <c r="AZ112" s="53"/>
      <c r="BA112" s="53"/>
      <c r="BB112" s="53"/>
      <c r="BC112" s="53"/>
      <c r="BD112" s="53"/>
      <c r="BE112" s="53"/>
      <c r="BF112" s="53"/>
      <c r="BG112" s="53"/>
      <c r="BH112" s="54"/>
      <c r="BI112" s="54"/>
      <c r="BJ112" s="54"/>
      <c r="BK112" s="50"/>
    </row>
    <row r="113" spans="1:63" s="289" customFormat="1" ht="15" customHeight="1" x14ac:dyDescent="0.25">
      <c r="A113" s="285"/>
      <c r="B113" s="256"/>
      <c r="C113" s="308" t="s">
        <v>144</v>
      </c>
      <c r="D113" s="305"/>
      <c r="E113" s="305"/>
      <c r="F113" s="305"/>
      <c r="G113" s="305"/>
      <c r="H113" s="305"/>
      <c r="I113" s="256"/>
      <c r="J113" s="256"/>
      <c r="K113" s="256"/>
      <c r="L113" s="256"/>
      <c r="M113" s="256"/>
      <c r="N113" s="256"/>
      <c r="O113" s="256"/>
      <c r="P113" s="256"/>
      <c r="Q113" s="256"/>
      <c r="R113" s="256"/>
      <c r="S113" s="256"/>
      <c r="T113" s="256"/>
      <c r="U113" s="256"/>
      <c r="V113" s="256"/>
      <c r="W113" s="256"/>
      <c r="X113" s="256"/>
      <c r="Y113" s="256"/>
      <c r="Z113" s="256"/>
      <c r="AA113" s="256"/>
      <c r="AB113" s="256"/>
      <c r="AC113" s="256"/>
      <c r="AD113" s="256"/>
      <c r="AE113" s="256"/>
      <c r="AF113" s="256"/>
      <c r="AG113" s="256"/>
      <c r="AH113" s="256"/>
      <c r="AI113" s="256"/>
      <c r="AJ113" s="256"/>
      <c r="AK113" s="256"/>
      <c r="AL113" s="256"/>
      <c r="AM113" s="256"/>
      <c r="AN113" s="256"/>
      <c r="AO113" s="256"/>
      <c r="AP113" s="256"/>
      <c r="AQ113" s="256"/>
      <c r="AR113" s="256"/>
      <c r="AS113" s="256"/>
      <c r="AT113" s="256"/>
      <c r="AU113" s="306"/>
      <c r="AV113" s="256"/>
      <c r="AW113" s="256"/>
      <c r="AX113" s="256"/>
      <c r="AY113" s="256"/>
      <c r="AZ113" s="256"/>
      <c r="BA113" s="256"/>
      <c r="BB113" s="256"/>
      <c r="BC113" s="256"/>
      <c r="BD113" s="256"/>
      <c r="BE113" s="256"/>
      <c r="BF113" s="256"/>
      <c r="BG113" s="256"/>
      <c r="BH113" s="254"/>
      <c r="BI113" s="254"/>
      <c r="BJ113" s="254"/>
      <c r="BK113" s="252"/>
    </row>
    <row r="114" spans="1:63" s="51" customFormat="1" ht="15" customHeight="1" x14ac:dyDescent="0.25">
      <c r="A114" s="46"/>
      <c r="B114" s="53"/>
      <c r="C114" s="308" t="s">
        <v>243</v>
      </c>
      <c r="D114" s="305"/>
      <c r="E114" s="75"/>
      <c r="F114" s="75"/>
      <c r="G114" s="75"/>
      <c r="H114" s="75"/>
      <c r="I114" s="65"/>
      <c r="J114" s="65"/>
      <c r="K114" s="65"/>
      <c r="L114" s="65"/>
      <c r="M114" s="65"/>
      <c r="N114" s="65"/>
      <c r="O114" s="65"/>
      <c r="P114" s="65"/>
      <c r="Q114" s="65"/>
      <c r="R114" s="65"/>
      <c r="S114" s="65"/>
      <c r="T114" s="65"/>
      <c r="U114" s="65"/>
      <c r="V114" s="65"/>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8"/>
      <c r="AV114" s="53"/>
      <c r="AW114" s="53"/>
      <c r="AX114" s="53"/>
      <c r="AY114" s="53"/>
      <c r="AZ114" s="53"/>
      <c r="BA114" s="53"/>
      <c r="BB114" s="53"/>
      <c r="BC114" s="53"/>
      <c r="BD114" s="53"/>
      <c r="BE114" s="53"/>
      <c r="BF114" s="53"/>
      <c r="BG114" s="53"/>
      <c r="BH114" s="54"/>
      <c r="BI114" s="54"/>
      <c r="BJ114" s="54"/>
      <c r="BK114" s="50"/>
    </row>
    <row r="115" spans="1:63" s="51" customFormat="1" ht="15" customHeight="1" x14ac:dyDescent="0.25">
      <c r="A115" s="46"/>
      <c r="B115" s="53"/>
      <c r="C115" s="308" t="s">
        <v>131</v>
      </c>
      <c r="D115" s="305"/>
      <c r="E115" s="75"/>
      <c r="F115" s="75"/>
      <c r="G115" s="75"/>
      <c r="H115" s="75"/>
      <c r="I115" s="65"/>
      <c r="J115" s="65"/>
      <c r="K115" s="65"/>
      <c r="L115" s="65"/>
      <c r="M115" s="65"/>
      <c r="N115" s="65"/>
      <c r="O115" s="65"/>
      <c r="P115" s="65"/>
      <c r="Q115" s="65"/>
      <c r="R115" s="65"/>
      <c r="S115" s="65"/>
      <c r="T115" s="65"/>
      <c r="U115" s="65"/>
      <c r="V115" s="65"/>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8"/>
      <c r="AV115" s="53"/>
      <c r="AW115" s="53"/>
      <c r="AX115" s="53"/>
      <c r="AY115" s="53"/>
      <c r="AZ115" s="53"/>
      <c r="BA115" s="53"/>
      <c r="BB115" s="53"/>
      <c r="BC115" s="53"/>
      <c r="BD115" s="53"/>
      <c r="BE115" s="53"/>
      <c r="BF115" s="53"/>
      <c r="BG115" s="53"/>
      <c r="BH115" s="54"/>
      <c r="BI115" s="54"/>
      <c r="BJ115" s="54"/>
      <c r="BK115" s="50"/>
    </row>
    <row r="116" spans="1:63" s="51" customFormat="1" ht="15" customHeight="1" x14ac:dyDescent="0.25">
      <c r="A116" s="46"/>
      <c r="B116" s="53"/>
      <c r="C116" s="308" t="s">
        <v>132</v>
      </c>
      <c r="D116" s="305"/>
      <c r="E116" s="75"/>
      <c r="F116" s="75"/>
      <c r="G116" s="75"/>
      <c r="H116" s="75"/>
      <c r="I116" s="65"/>
      <c r="J116" s="65"/>
      <c r="K116" s="65"/>
      <c r="L116" s="65"/>
      <c r="M116" s="65"/>
      <c r="N116" s="65"/>
      <c r="O116" s="65"/>
      <c r="P116" s="65"/>
      <c r="Q116" s="65"/>
      <c r="R116" s="65"/>
      <c r="S116" s="65"/>
      <c r="T116" s="65"/>
      <c r="U116" s="65"/>
      <c r="V116" s="65"/>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8"/>
      <c r="AV116" s="53"/>
      <c r="AW116" s="53"/>
      <c r="AX116" s="53"/>
      <c r="AY116" s="53"/>
      <c r="AZ116" s="53"/>
      <c r="BA116" s="53"/>
      <c r="BB116" s="53"/>
      <c r="BC116" s="53"/>
      <c r="BD116" s="53"/>
      <c r="BE116" s="53"/>
      <c r="BF116" s="53"/>
      <c r="BG116" s="53"/>
      <c r="BH116" s="54"/>
      <c r="BI116" s="54"/>
      <c r="BJ116" s="54"/>
      <c r="BK116" s="50"/>
    </row>
    <row r="117" spans="1:63" s="51" customFormat="1" ht="15" customHeight="1" x14ac:dyDescent="0.25">
      <c r="A117" s="46"/>
      <c r="B117" s="53"/>
      <c r="C117" s="308" t="s">
        <v>133</v>
      </c>
      <c r="D117" s="305"/>
      <c r="E117" s="75"/>
      <c r="F117" s="75"/>
      <c r="G117" s="75"/>
      <c r="H117" s="75"/>
      <c r="I117" s="65"/>
      <c r="J117" s="65"/>
      <c r="K117" s="65"/>
      <c r="L117" s="65"/>
      <c r="M117" s="65"/>
      <c r="N117" s="65"/>
      <c r="O117" s="65"/>
      <c r="P117" s="65"/>
      <c r="Q117" s="65"/>
      <c r="R117" s="65"/>
      <c r="S117" s="65"/>
      <c r="T117" s="65"/>
      <c r="U117" s="65"/>
      <c r="V117" s="65"/>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8"/>
      <c r="AV117" s="53"/>
      <c r="AW117" s="53"/>
      <c r="AX117" s="53"/>
      <c r="AY117" s="53"/>
      <c r="AZ117" s="53"/>
      <c r="BA117" s="53"/>
      <c r="BB117" s="53"/>
      <c r="BC117" s="53"/>
      <c r="BD117" s="53"/>
      <c r="BE117" s="53"/>
      <c r="BF117" s="53"/>
      <c r="BG117" s="53"/>
      <c r="BH117" s="54"/>
      <c r="BI117" s="54"/>
      <c r="BJ117" s="54"/>
      <c r="BK117" s="50"/>
    </row>
    <row r="118" spans="1:63" s="51" customFormat="1" ht="15" customHeight="1" x14ac:dyDescent="0.25">
      <c r="A118" s="46"/>
      <c r="B118" s="53"/>
      <c r="C118" s="308" t="s">
        <v>134</v>
      </c>
      <c r="D118" s="305"/>
      <c r="E118" s="75"/>
      <c r="F118" s="75"/>
      <c r="G118" s="75"/>
      <c r="H118" s="75"/>
      <c r="I118" s="65"/>
      <c r="J118" s="65"/>
      <c r="K118" s="65"/>
      <c r="L118" s="65"/>
      <c r="M118" s="65"/>
      <c r="N118" s="65"/>
      <c r="O118" s="65"/>
      <c r="P118" s="65"/>
      <c r="Q118" s="65"/>
      <c r="R118" s="65"/>
      <c r="S118" s="65"/>
      <c r="T118" s="65"/>
      <c r="U118" s="65"/>
      <c r="V118" s="65"/>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8"/>
      <c r="AV118" s="53"/>
      <c r="AW118" s="53"/>
      <c r="AX118" s="53"/>
      <c r="AY118" s="53"/>
      <c r="AZ118" s="53"/>
      <c r="BA118" s="53"/>
      <c r="BB118" s="53"/>
      <c r="BC118" s="53"/>
      <c r="BD118" s="53"/>
      <c r="BE118" s="53"/>
      <c r="BF118" s="53"/>
      <c r="BG118" s="53"/>
      <c r="BH118" s="54"/>
      <c r="BI118" s="54"/>
      <c r="BJ118" s="54"/>
      <c r="BK118" s="50"/>
    </row>
    <row r="119" spans="1:63" s="51" customFormat="1" ht="15" customHeight="1" x14ac:dyDescent="0.25">
      <c r="A119" s="46"/>
      <c r="B119" s="53"/>
      <c r="C119" s="307" t="s">
        <v>84</v>
      </c>
      <c r="D119" s="75"/>
      <c r="E119" s="75"/>
      <c r="F119" s="75"/>
      <c r="G119" s="75"/>
      <c r="H119" s="75"/>
      <c r="I119" s="65"/>
      <c r="J119" s="65"/>
      <c r="K119" s="65"/>
      <c r="L119" s="65"/>
      <c r="M119" s="65"/>
      <c r="N119" s="65"/>
      <c r="O119" s="65"/>
      <c r="P119" s="65"/>
      <c r="Q119" s="65"/>
      <c r="R119" s="65"/>
      <c r="S119" s="65"/>
      <c r="T119" s="65"/>
      <c r="U119" s="65"/>
      <c r="V119" s="65"/>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8"/>
      <c r="AV119" s="53"/>
      <c r="AW119" s="53"/>
      <c r="AX119" s="53"/>
      <c r="AY119" s="53"/>
      <c r="AZ119" s="53"/>
      <c r="BA119" s="53"/>
      <c r="BB119" s="53"/>
      <c r="BC119" s="53"/>
      <c r="BD119" s="53"/>
      <c r="BE119" s="53"/>
      <c r="BF119" s="53"/>
      <c r="BG119" s="53"/>
      <c r="BH119" s="54"/>
      <c r="BI119" s="54"/>
      <c r="BJ119" s="54"/>
      <c r="BK119" s="50"/>
    </row>
    <row r="120" spans="1:63" s="51" customFormat="1" ht="15" customHeight="1" x14ac:dyDescent="0.25">
      <c r="A120" s="46"/>
      <c r="B120" s="53"/>
      <c r="C120" s="304" t="s">
        <v>85</v>
      </c>
      <c r="D120" s="75"/>
      <c r="E120" s="75"/>
      <c r="F120" s="75"/>
      <c r="G120" s="75"/>
      <c r="H120" s="75"/>
      <c r="I120" s="65"/>
      <c r="J120" s="65"/>
      <c r="K120" s="65"/>
      <c r="L120" s="65"/>
      <c r="M120" s="65"/>
      <c r="N120" s="65"/>
      <c r="O120" s="65"/>
      <c r="P120" s="65"/>
      <c r="Q120" s="65"/>
      <c r="R120" s="65"/>
      <c r="S120" s="65"/>
      <c r="T120" s="65"/>
      <c r="U120" s="65"/>
      <c r="V120" s="65"/>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8"/>
      <c r="AV120" s="53"/>
      <c r="AW120" s="53"/>
      <c r="AX120" s="53"/>
      <c r="AY120" s="53"/>
      <c r="AZ120" s="53"/>
      <c r="BA120" s="53"/>
      <c r="BB120" s="53"/>
      <c r="BC120" s="53"/>
      <c r="BD120" s="53"/>
      <c r="BE120" s="53"/>
      <c r="BF120" s="53"/>
      <c r="BG120" s="53"/>
      <c r="BH120" s="54"/>
      <c r="BI120" s="54"/>
      <c r="BJ120" s="54"/>
      <c r="BK120" s="50"/>
    </row>
    <row r="121" spans="1:63" s="51" customFormat="1" ht="15" customHeight="1" x14ac:dyDescent="0.25">
      <c r="A121" s="46"/>
      <c r="B121" s="53"/>
      <c r="C121" s="313" t="s">
        <v>148</v>
      </c>
      <c r="D121" s="76"/>
      <c r="E121" s="76"/>
      <c r="F121" s="76"/>
      <c r="G121" s="76"/>
      <c r="H121" s="76"/>
      <c r="I121" s="66"/>
      <c r="J121" s="66"/>
      <c r="K121" s="66"/>
      <c r="L121" s="66"/>
      <c r="M121" s="66"/>
      <c r="N121" s="66"/>
      <c r="O121" s="66"/>
      <c r="P121" s="66"/>
      <c r="Q121" s="66"/>
      <c r="R121" s="66"/>
      <c r="S121" s="66"/>
      <c r="T121" s="66"/>
      <c r="U121" s="66"/>
      <c r="V121" s="66"/>
      <c r="W121" s="67"/>
      <c r="X121" s="67"/>
      <c r="Y121" s="67"/>
      <c r="Z121" s="67"/>
      <c r="AA121" s="67"/>
      <c r="AB121" s="67"/>
      <c r="AC121" s="67"/>
      <c r="AD121" s="67"/>
      <c r="AE121" s="67"/>
      <c r="AF121" s="67"/>
      <c r="AG121" s="67"/>
      <c r="AH121" s="67"/>
      <c r="AI121" s="67"/>
      <c r="AJ121" s="67"/>
      <c r="AK121" s="67"/>
      <c r="AL121" s="67"/>
      <c r="AM121" s="67"/>
      <c r="AN121" s="67"/>
      <c r="AO121" s="67"/>
      <c r="AP121" s="67"/>
      <c r="AQ121" s="67"/>
      <c r="AR121" s="67"/>
      <c r="AS121" s="67"/>
      <c r="AT121" s="67"/>
      <c r="AU121" s="59"/>
      <c r="AV121" s="53"/>
      <c r="AW121" s="53"/>
      <c r="AX121" s="53"/>
      <c r="AY121" s="53"/>
      <c r="AZ121" s="53"/>
      <c r="BA121" s="53"/>
      <c r="BB121" s="53"/>
      <c r="BC121" s="53"/>
      <c r="BD121" s="53"/>
      <c r="BE121" s="53"/>
      <c r="BF121" s="53"/>
      <c r="BG121" s="53"/>
      <c r="BH121" s="54"/>
      <c r="BI121" s="54"/>
      <c r="BJ121" s="54"/>
      <c r="BK121" s="50"/>
    </row>
    <row r="122" spans="1:63" s="51" customFormat="1" ht="15" customHeight="1" x14ac:dyDescent="0.25">
      <c r="A122" s="46"/>
      <c r="B122" s="53"/>
      <c r="C122" s="53"/>
      <c r="E122" s="256"/>
      <c r="F122" s="65"/>
      <c r="G122" s="65"/>
      <c r="H122" s="65"/>
      <c r="I122" s="65"/>
      <c r="J122" s="65"/>
      <c r="K122" s="65"/>
      <c r="L122" s="65"/>
      <c r="M122" s="65"/>
      <c r="N122" s="65"/>
      <c r="O122" s="65"/>
      <c r="P122" s="65"/>
      <c r="Q122" s="65"/>
      <c r="R122" s="65"/>
      <c r="S122" s="65"/>
      <c r="T122" s="65"/>
      <c r="U122" s="65"/>
      <c r="V122" s="65"/>
      <c r="W122" s="65"/>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4"/>
      <c r="BI122" s="54"/>
      <c r="BJ122" s="54"/>
      <c r="BK122" s="50"/>
    </row>
    <row r="123" spans="1:63" s="51" customFormat="1" ht="15" customHeight="1" x14ac:dyDescent="0.25">
      <c r="A123" s="46"/>
      <c r="B123" s="53"/>
      <c r="C123" s="52" t="s">
        <v>244</v>
      </c>
      <c r="E123" s="256"/>
      <c r="F123" s="65"/>
      <c r="G123" s="65"/>
      <c r="H123" s="65"/>
      <c r="I123" s="65"/>
      <c r="J123" s="65"/>
      <c r="K123" s="65"/>
      <c r="L123" s="65"/>
      <c r="M123" s="65"/>
      <c r="N123" s="65"/>
      <c r="O123" s="65"/>
      <c r="P123" s="65"/>
      <c r="Q123" s="65"/>
      <c r="R123" s="65"/>
      <c r="S123" s="65"/>
      <c r="T123" s="65"/>
      <c r="U123" s="65"/>
      <c r="V123" s="65"/>
      <c r="W123" s="65"/>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4"/>
      <c r="BI123" s="54"/>
      <c r="BJ123" s="54"/>
      <c r="BK123" s="50"/>
    </row>
    <row r="124" spans="1:63" s="51" customFormat="1" ht="15" customHeight="1" x14ac:dyDescent="0.25">
      <c r="A124" s="46"/>
      <c r="B124" s="53"/>
      <c r="C124" s="52"/>
      <c r="D124" s="53"/>
      <c r="E124" s="256"/>
      <c r="F124" s="65"/>
      <c r="G124" s="65"/>
      <c r="H124" s="65"/>
      <c r="I124" s="65"/>
      <c r="J124" s="65"/>
      <c r="K124" s="65"/>
      <c r="L124" s="65"/>
      <c r="M124" s="65"/>
      <c r="N124" s="65"/>
      <c r="O124" s="65"/>
      <c r="P124" s="65"/>
      <c r="Q124" s="65"/>
      <c r="R124" s="65"/>
      <c r="S124" s="65"/>
      <c r="T124" s="65"/>
      <c r="U124" s="65"/>
      <c r="V124" s="65"/>
      <c r="W124" s="65"/>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4"/>
      <c r="BI124" s="54"/>
      <c r="BJ124" s="54"/>
      <c r="BK124" s="50"/>
    </row>
    <row r="125" spans="1:63" s="51" customFormat="1" ht="15" customHeight="1" x14ac:dyDescent="0.25">
      <c r="A125" s="46"/>
      <c r="B125" s="53"/>
      <c r="C125" s="52" t="s">
        <v>87</v>
      </c>
      <c r="D125" s="53"/>
      <c r="E125" s="256"/>
      <c r="F125" s="65"/>
      <c r="G125" s="65"/>
      <c r="H125" s="65"/>
      <c r="I125" s="65"/>
      <c r="J125" s="65"/>
      <c r="K125" s="65"/>
      <c r="L125" s="65"/>
      <c r="M125" s="65"/>
      <c r="N125" s="65"/>
      <c r="O125" s="65"/>
      <c r="P125" s="65"/>
      <c r="Q125" s="65"/>
      <c r="R125" s="65"/>
      <c r="S125" s="65"/>
      <c r="T125" s="65"/>
      <c r="U125" s="65"/>
      <c r="V125" s="65"/>
      <c r="W125" s="65"/>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4"/>
      <c r="BI125" s="54"/>
      <c r="BJ125" s="54"/>
      <c r="BK125" s="50"/>
    </row>
    <row r="126" spans="1:63" s="73" customFormat="1" ht="15" customHeight="1" x14ac:dyDescent="0.25">
      <c r="A126" s="68"/>
      <c r="B126" s="69"/>
      <c r="C126" s="69"/>
      <c r="D126" s="69"/>
      <c r="E126" s="70"/>
      <c r="F126" s="70"/>
      <c r="G126" s="70"/>
      <c r="H126" s="70"/>
      <c r="I126" s="70"/>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71"/>
      <c r="BI126" s="71"/>
      <c r="BJ126" s="71"/>
      <c r="BK126" s="72"/>
    </row>
  </sheetData>
  <mergeCells count="290">
    <mergeCell ref="C63:D63"/>
    <mergeCell ref="E63:K63"/>
    <mergeCell ref="L63:R63"/>
    <mergeCell ref="S63:AB63"/>
    <mergeCell ref="AC63:AU63"/>
    <mergeCell ref="C59:D59"/>
    <mergeCell ref="E59:K59"/>
    <mergeCell ref="L59:R59"/>
    <mergeCell ref="S59:AB59"/>
    <mergeCell ref="AC59:AU59"/>
    <mergeCell ref="C61:D61"/>
    <mergeCell ref="E61:K61"/>
    <mergeCell ref="L61:R61"/>
    <mergeCell ref="S61:AB61"/>
    <mergeCell ref="AC61:AU61"/>
    <mergeCell ref="L62:R62"/>
    <mergeCell ref="L56:R56"/>
    <mergeCell ref="S56:AB56"/>
    <mergeCell ref="C53:D53"/>
    <mergeCell ref="E53:K53"/>
    <mergeCell ref="L53:R53"/>
    <mergeCell ref="S53:AB53"/>
    <mergeCell ref="AC55:AU55"/>
    <mergeCell ref="C57:D57"/>
    <mergeCell ref="E57:K57"/>
    <mergeCell ref="L57:R57"/>
    <mergeCell ref="S57:AB57"/>
    <mergeCell ref="AC57:AU57"/>
    <mergeCell ref="E54:K54"/>
    <mergeCell ref="AQ30:BJ30"/>
    <mergeCell ref="S24:Y24"/>
    <mergeCell ref="S25:Y25"/>
    <mergeCell ref="C25:D25"/>
    <mergeCell ref="S36:Y36"/>
    <mergeCell ref="AQ36:BJ36"/>
    <mergeCell ref="C24:D24"/>
    <mergeCell ref="Z24:AP24"/>
    <mergeCell ref="E31:K31"/>
    <mergeCell ref="E32:K32"/>
    <mergeCell ref="AQ34:BJ34"/>
    <mergeCell ref="L32:N32"/>
    <mergeCell ref="S65:AB65"/>
    <mergeCell ref="AC65:AU65"/>
    <mergeCell ref="AG16:AP16"/>
    <mergeCell ref="S32:Y32"/>
    <mergeCell ref="E21:K21"/>
    <mergeCell ref="E22:K22"/>
    <mergeCell ref="C21:D21"/>
    <mergeCell ref="E24:K24"/>
    <mergeCell ref="E25:K25"/>
    <mergeCell ref="O22:R22"/>
    <mergeCell ref="O24:R24"/>
    <mergeCell ref="O25:R25"/>
    <mergeCell ref="L21:N21"/>
    <mergeCell ref="L22:N22"/>
    <mergeCell ref="C34:D34"/>
    <mergeCell ref="C35:D35"/>
    <mergeCell ref="C36:D36"/>
    <mergeCell ref="C37:D37"/>
    <mergeCell ref="AQ24:BJ24"/>
    <mergeCell ref="AQ25:BJ25"/>
    <mergeCell ref="C31:D31"/>
    <mergeCell ref="L64:R64"/>
    <mergeCell ref="S64:AB64"/>
    <mergeCell ref="AC64:AU6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C53:AU53"/>
    <mergeCell ref="C55:D55"/>
    <mergeCell ref="E55:K55"/>
    <mergeCell ref="L55:R55"/>
    <mergeCell ref="S55:AB55"/>
    <mergeCell ref="AP4:BK4"/>
    <mergeCell ref="C15:D15"/>
    <mergeCell ref="C16:D16"/>
    <mergeCell ref="E15:AF15"/>
    <mergeCell ref="AG15:AP15"/>
    <mergeCell ref="AQ15:BJ15"/>
    <mergeCell ref="E16:AF16"/>
    <mergeCell ref="AQ16:BJ16"/>
    <mergeCell ref="AQ23:BJ23"/>
    <mergeCell ref="C20:D20"/>
    <mergeCell ref="S20:Y20"/>
    <mergeCell ref="Z20:AP20"/>
    <mergeCell ref="O21:R21"/>
    <mergeCell ref="O20:R20"/>
    <mergeCell ref="L20:N20"/>
    <mergeCell ref="S22:Y22"/>
    <mergeCell ref="S21:Y21"/>
    <mergeCell ref="AQ20:BJ20"/>
    <mergeCell ref="Z21:AP21"/>
    <mergeCell ref="C49:D49"/>
    <mergeCell ref="C47:D47"/>
    <mergeCell ref="E47:K47"/>
    <mergeCell ref="L47:R47"/>
    <mergeCell ref="A4:G4"/>
    <mergeCell ref="H4:T4"/>
    <mergeCell ref="U4:Y4"/>
    <mergeCell ref="Z4:AO4"/>
    <mergeCell ref="L34:N34"/>
    <mergeCell ref="O34:R34"/>
    <mergeCell ref="Z34:AP34"/>
    <mergeCell ref="L35:N35"/>
    <mergeCell ref="C30:D30"/>
    <mergeCell ref="E30:K30"/>
    <mergeCell ref="L31:N31"/>
    <mergeCell ref="Z22:AP22"/>
    <mergeCell ref="C32:D32"/>
    <mergeCell ref="C33:D33"/>
    <mergeCell ref="AC50:AU50"/>
    <mergeCell ref="AC51:AU51"/>
    <mergeCell ref="S33:Y33"/>
    <mergeCell ref="Z32:AP32"/>
    <mergeCell ref="S58:AB58"/>
    <mergeCell ref="S60:AB60"/>
    <mergeCell ref="S62:AB62"/>
    <mergeCell ref="C46:D46"/>
    <mergeCell ref="C48:D48"/>
    <mergeCell ref="C50:D50"/>
    <mergeCell ref="C51:D51"/>
    <mergeCell ref="E46:K46"/>
    <mergeCell ref="E50:K50"/>
    <mergeCell ref="S54:AB54"/>
    <mergeCell ref="S52:AB52"/>
    <mergeCell ref="L48:R48"/>
    <mergeCell ref="L46:R46"/>
    <mergeCell ref="L51:R51"/>
    <mergeCell ref="L50:R50"/>
    <mergeCell ref="L54:R54"/>
    <mergeCell ref="L52:R52"/>
    <mergeCell ref="C52:D52"/>
    <mergeCell ref="E51:K51"/>
    <mergeCell ref="L58:R58"/>
    <mergeCell ref="Z35:AP35"/>
    <mergeCell ref="AC46:AU46"/>
    <mergeCell ref="AQ33:BJ33"/>
    <mergeCell ref="AQ37:BJ37"/>
    <mergeCell ref="O31:R31"/>
    <mergeCell ref="Z31:AP31"/>
    <mergeCell ref="S31:Y31"/>
    <mergeCell ref="AQ32:BJ32"/>
    <mergeCell ref="O33:R33"/>
    <mergeCell ref="Z33:AP33"/>
    <mergeCell ref="S35:Y35"/>
    <mergeCell ref="AQ35:BJ35"/>
    <mergeCell ref="AQ31:BJ31"/>
    <mergeCell ref="E49:K49"/>
    <mergeCell ref="L49:R49"/>
    <mergeCell ref="S49:AB49"/>
    <mergeCell ref="AC49:AU49"/>
    <mergeCell ref="S47:AB47"/>
    <mergeCell ref="AC47:AU47"/>
    <mergeCell ref="L37:N37"/>
    <mergeCell ref="O37:R37"/>
    <mergeCell ref="Z37:AP37"/>
    <mergeCell ref="E37:K37"/>
    <mergeCell ref="S37:Y37"/>
    <mergeCell ref="AC48:AU48"/>
    <mergeCell ref="S34:Y34"/>
    <mergeCell ref="Z25:AP25"/>
    <mergeCell ref="L24:N24"/>
    <mergeCell ref="L25:N25"/>
    <mergeCell ref="C23:D23"/>
    <mergeCell ref="E23:K23"/>
    <mergeCell ref="L23:N23"/>
    <mergeCell ref="C22:D22"/>
    <mergeCell ref="O23:R23"/>
    <mergeCell ref="S23:Y23"/>
    <mergeCell ref="Z23:AP23"/>
    <mergeCell ref="L33:N33"/>
    <mergeCell ref="C54:D54"/>
    <mergeCell ref="AC54:AU54"/>
    <mergeCell ref="L30:N30"/>
    <mergeCell ref="O30:R30"/>
    <mergeCell ref="Z30:AP30"/>
    <mergeCell ref="AQ22:BJ22"/>
    <mergeCell ref="AQ21:BJ21"/>
    <mergeCell ref="E20:K20"/>
    <mergeCell ref="S30:Y30"/>
    <mergeCell ref="AC52:AU52"/>
    <mergeCell ref="E48:K48"/>
    <mergeCell ref="E52:K52"/>
    <mergeCell ref="O32:R32"/>
    <mergeCell ref="O35:R35"/>
    <mergeCell ref="S46:AB46"/>
    <mergeCell ref="S51:AB51"/>
    <mergeCell ref="S50:AB50"/>
    <mergeCell ref="L36:N36"/>
    <mergeCell ref="O36:R36"/>
    <mergeCell ref="Z36:AP36"/>
    <mergeCell ref="E33:K33"/>
    <mergeCell ref="E34:K34"/>
    <mergeCell ref="E35:K35"/>
    <mergeCell ref="E36:K36"/>
    <mergeCell ref="E72:K72"/>
    <mergeCell ref="C66:D66"/>
    <mergeCell ref="E66:K66"/>
    <mergeCell ref="L66:R66"/>
    <mergeCell ref="S66:AB66"/>
    <mergeCell ref="AC66:AU66"/>
    <mergeCell ref="C64:D64"/>
    <mergeCell ref="E64:K64"/>
    <mergeCell ref="AC56:AU56"/>
    <mergeCell ref="AC58:AU58"/>
    <mergeCell ref="AC60:AU60"/>
    <mergeCell ref="AC62:AU62"/>
    <mergeCell ref="E56:K56"/>
    <mergeCell ref="E58:K58"/>
    <mergeCell ref="C56:D56"/>
    <mergeCell ref="C58:D58"/>
    <mergeCell ref="C60:D60"/>
    <mergeCell ref="C62:D62"/>
    <mergeCell ref="E60:K60"/>
    <mergeCell ref="E62:K62"/>
    <mergeCell ref="L60:R60"/>
    <mergeCell ref="C65:D65"/>
    <mergeCell ref="E65:K65"/>
    <mergeCell ref="L65:R65"/>
    <mergeCell ref="C69:D69"/>
    <mergeCell ref="E69:K69"/>
    <mergeCell ref="L69:R69"/>
    <mergeCell ref="S69:AB69"/>
    <mergeCell ref="AC69:AU69"/>
    <mergeCell ref="C70:D70"/>
    <mergeCell ref="E70:K70"/>
    <mergeCell ref="L70:R70"/>
    <mergeCell ref="S70:AB70"/>
    <mergeCell ref="AC70:AU70"/>
    <mergeCell ref="C67:D67"/>
    <mergeCell ref="E67:K67"/>
    <mergeCell ref="L67:R67"/>
    <mergeCell ref="S67:AB67"/>
    <mergeCell ref="AC67:AU67"/>
    <mergeCell ref="C68:D68"/>
    <mergeCell ref="E68:K68"/>
    <mergeCell ref="L68:R68"/>
    <mergeCell ref="S68:AB68"/>
    <mergeCell ref="AC68:AU68"/>
    <mergeCell ref="L72:R72"/>
    <mergeCell ref="S72:AB72"/>
    <mergeCell ref="AC72:AU72"/>
    <mergeCell ref="S74:AB74"/>
    <mergeCell ref="AC74:AU74"/>
    <mergeCell ref="C75:D75"/>
    <mergeCell ref="C71:D71"/>
    <mergeCell ref="E71:K71"/>
    <mergeCell ref="L71:R71"/>
    <mergeCell ref="E75:K75"/>
    <mergeCell ref="L75:R75"/>
    <mergeCell ref="C73:D73"/>
    <mergeCell ref="E73:K73"/>
    <mergeCell ref="L73:R73"/>
    <mergeCell ref="S73:AB73"/>
    <mergeCell ref="AC73:AU73"/>
    <mergeCell ref="C74:D74"/>
    <mergeCell ref="E74:K74"/>
    <mergeCell ref="L74:R74"/>
    <mergeCell ref="S75:AB75"/>
    <mergeCell ref="AC75:AU75"/>
    <mergeCell ref="S71:AB71"/>
    <mergeCell ref="AC71:AU71"/>
    <mergeCell ref="C72:D72"/>
    <mergeCell ref="C78:D78"/>
    <mergeCell ref="E78:K78"/>
    <mergeCell ref="L78:R78"/>
    <mergeCell ref="S78:AB78"/>
    <mergeCell ref="AC78:AU78"/>
    <mergeCell ref="C76:D76"/>
    <mergeCell ref="E76:K76"/>
    <mergeCell ref="L76:R76"/>
    <mergeCell ref="S76:AB76"/>
    <mergeCell ref="AC76:AU76"/>
    <mergeCell ref="C77:D77"/>
    <mergeCell ref="E77:K77"/>
    <mergeCell ref="L77:R77"/>
    <mergeCell ref="S77:AB77"/>
    <mergeCell ref="AC77:AU77"/>
  </mergeCells>
  <pageMargins left="0.7" right="0.7" top="0.75" bottom="0.75" header="0.3" footer="0.3"/>
  <pageSetup scale="3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tabColor rgb="FF0000FF"/>
    <pageSetUpPr fitToPage="1"/>
  </sheetPr>
  <dimension ref="A1:BK54"/>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30" customWidth="1"/>
    <col min="64" max="16384" width="10.109375" style="30"/>
  </cols>
  <sheetData>
    <row r="1" spans="1:63" ht="24.95" customHeight="1" x14ac:dyDescent="0.25">
      <c r="A1" s="153" t="s">
        <v>28</v>
      </c>
      <c r="B1" s="154"/>
      <c r="C1" s="154"/>
      <c r="D1" s="154"/>
      <c r="E1" s="154"/>
      <c r="F1" s="154"/>
      <c r="G1" s="154"/>
      <c r="H1" s="154"/>
      <c r="I1" s="154"/>
      <c r="J1" s="155"/>
      <c r="K1" s="153" t="s">
        <v>29</v>
      </c>
      <c r="L1" s="154"/>
      <c r="M1" s="154"/>
      <c r="N1" s="154"/>
      <c r="O1" s="154"/>
      <c r="P1" s="154"/>
      <c r="Q1" s="154"/>
      <c r="R1" s="154"/>
      <c r="S1" s="154"/>
      <c r="T1" s="154"/>
      <c r="U1" s="154"/>
      <c r="V1" s="155"/>
      <c r="W1" s="156" t="str">
        <f>IF(表紙!W1="","",表紙!W1)</f>
        <v>詳細設計書</v>
      </c>
      <c r="X1" s="157"/>
      <c r="Y1" s="157"/>
      <c r="Z1" s="157"/>
      <c r="AA1" s="157"/>
      <c r="AB1" s="157"/>
      <c r="AC1" s="157"/>
      <c r="AD1" s="157"/>
      <c r="AE1" s="157"/>
      <c r="AF1" s="157"/>
      <c r="AG1" s="157"/>
      <c r="AH1" s="157"/>
      <c r="AI1" s="157"/>
      <c r="AJ1" s="157"/>
      <c r="AK1" s="157"/>
      <c r="AL1" s="157"/>
      <c r="AM1" s="157"/>
      <c r="AN1" s="157"/>
      <c r="AO1" s="158"/>
      <c r="AP1" s="89" t="s">
        <v>30</v>
      </c>
      <c r="AQ1" s="90"/>
      <c r="AR1" s="90"/>
      <c r="AS1" s="91"/>
      <c r="AT1" s="89" t="s">
        <v>31</v>
      </c>
      <c r="AU1" s="90"/>
      <c r="AV1" s="90"/>
      <c r="AW1" s="90"/>
      <c r="AX1" s="91"/>
      <c r="AY1" s="89" t="s">
        <v>32</v>
      </c>
      <c r="AZ1" s="90"/>
      <c r="BA1" s="90"/>
      <c r="BB1" s="91"/>
      <c r="BC1" s="89" t="s">
        <v>33</v>
      </c>
      <c r="BD1" s="90"/>
      <c r="BE1" s="90"/>
      <c r="BF1" s="90"/>
      <c r="BG1" s="91"/>
      <c r="BH1" s="89" t="s">
        <v>34</v>
      </c>
      <c r="BI1" s="90"/>
      <c r="BJ1" s="90"/>
      <c r="BK1" s="91"/>
    </row>
    <row r="2" spans="1:63" ht="15" customHeight="1" x14ac:dyDescent="0.25">
      <c r="A2" s="147" t="str">
        <f>IF(表紙!A2="","",表紙!A2)</f>
        <v>POSサーバー</v>
      </c>
      <c r="B2" s="148"/>
      <c r="C2" s="148"/>
      <c r="D2" s="148"/>
      <c r="E2" s="148"/>
      <c r="F2" s="148"/>
      <c r="G2" s="148"/>
      <c r="H2" s="148"/>
      <c r="I2" s="148"/>
      <c r="J2" s="149"/>
      <c r="K2" s="147" t="str">
        <f>IF(表紙!K2="","",表紙!K2)</f>
        <v>POSサーバー</v>
      </c>
      <c r="L2" s="148"/>
      <c r="M2" s="148"/>
      <c r="N2" s="148"/>
      <c r="O2" s="148"/>
      <c r="P2" s="148"/>
      <c r="Q2" s="148"/>
      <c r="R2" s="148"/>
      <c r="S2" s="148"/>
      <c r="T2" s="148"/>
      <c r="U2" s="148"/>
      <c r="V2" s="149"/>
      <c r="W2" s="159"/>
      <c r="X2" s="160"/>
      <c r="Y2" s="160"/>
      <c r="Z2" s="160"/>
      <c r="AA2" s="160"/>
      <c r="AB2" s="160"/>
      <c r="AC2" s="160"/>
      <c r="AD2" s="160"/>
      <c r="AE2" s="160"/>
      <c r="AF2" s="160"/>
      <c r="AG2" s="160"/>
      <c r="AH2" s="160"/>
      <c r="AI2" s="160"/>
      <c r="AJ2" s="160"/>
      <c r="AK2" s="160"/>
      <c r="AL2" s="160"/>
      <c r="AM2" s="160"/>
      <c r="AN2" s="160"/>
      <c r="AO2" s="161"/>
      <c r="AP2" s="14" t="str">
        <f>IF(表紙!AP2="","",表紙!AP2)</f>
        <v>DuNT</v>
      </c>
      <c r="AQ2" s="13"/>
      <c r="AR2" s="13"/>
      <c r="AS2" s="12"/>
      <c r="AT2" s="104">
        <f>IF(表紙!AT2="","",表紙!AT2)</f>
        <v>45490</v>
      </c>
      <c r="AU2" s="105"/>
      <c r="AV2" s="105"/>
      <c r="AW2" s="105"/>
      <c r="AX2" s="106"/>
      <c r="AY2" s="14" t="str">
        <f>IF(表紙!AY2="","",表紙!AY2)</f>
        <v>DuNT</v>
      </c>
      <c r="AZ2" s="13"/>
      <c r="BA2" s="13"/>
      <c r="BB2" s="12"/>
      <c r="BC2" s="104">
        <f>IF(表紙!BC2="","",表紙!BC2)</f>
        <v>45567</v>
      </c>
      <c r="BD2" s="105"/>
      <c r="BE2" s="105"/>
      <c r="BF2" s="105"/>
      <c r="BG2" s="106"/>
      <c r="BH2" s="14">
        <f>IF(表紙!BH2="","",表紙!BH2)</f>
        <v>0.71</v>
      </c>
      <c r="BI2" s="13"/>
      <c r="BJ2" s="13"/>
      <c r="BK2" s="12"/>
    </row>
    <row r="3" spans="1:63" ht="15" customHeight="1" x14ac:dyDescent="0.25">
      <c r="A3" s="150"/>
      <c r="B3" s="151"/>
      <c r="C3" s="151"/>
      <c r="D3" s="151"/>
      <c r="E3" s="151"/>
      <c r="F3" s="151"/>
      <c r="G3" s="151"/>
      <c r="H3" s="151"/>
      <c r="I3" s="151"/>
      <c r="J3" s="152"/>
      <c r="K3" s="150"/>
      <c r="L3" s="151"/>
      <c r="M3" s="151"/>
      <c r="N3" s="151"/>
      <c r="O3" s="151"/>
      <c r="P3" s="151"/>
      <c r="Q3" s="151"/>
      <c r="R3" s="151"/>
      <c r="S3" s="151"/>
      <c r="T3" s="151"/>
      <c r="U3" s="151"/>
      <c r="V3" s="152"/>
      <c r="W3" s="162"/>
      <c r="X3" s="163"/>
      <c r="Y3" s="163"/>
      <c r="Z3" s="163"/>
      <c r="AA3" s="163"/>
      <c r="AB3" s="163"/>
      <c r="AC3" s="163"/>
      <c r="AD3" s="163"/>
      <c r="AE3" s="163"/>
      <c r="AF3" s="163"/>
      <c r="AG3" s="163"/>
      <c r="AH3" s="163"/>
      <c r="AI3" s="163"/>
      <c r="AJ3" s="163"/>
      <c r="AK3" s="163"/>
      <c r="AL3" s="163"/>
      <c r="AM3" s="163"/>
      <c r="AN3" s="163"/>
      <c r="AO3" s="164"/>
      <c r="AP3" s="8"/>
      <c r="AQ3" s="7"/>
      <c r="AR3" s="7"/>
      <c r="AS3" s="6"/>
      <c r="AT3" s="107"/>
      <c r="AU3" s="108"/>
      <c r="AV3" s="108"/>
      <c r="AW3" s="108"/>
      <c r="AX3" s="109"/>
      <c r="AY3" s="8"/>
      <c r="AZ3" s="7"/>
      <c r="BA3" s="7"/>
      <c r="BB3" s="6"/>
      <c r="BC3" s="107"/>
      <c r="BD3" s="108"/>
      <c r="BE3" s="108"/>
      <c r="BF3" s="108"/>
      <c r="BG3" s="109"/>
      <c r="BH3" s="8"/>
      <c r="BI3" s="7"/>
      <c r="BJ3" s="7"/>
      <c r="BK3" s="6"/>
    </row>
    <row r="4" spans="1:63" ht="24.95" customHeight="1" x14ac:dyDescent="0.25">
      <c r="A4" s="153" t="s">
        <v>35</v>
      </c>
      <c r="B4" s="154"/>
      <c r="C4" s="154"/>
      <c r="D4" s="154"/>
      <c r="E4" s="154"/>
      <c r="F4" s="154"/>
      <c r="G4" s="155"/>
      <c r="H4" s="165" t="str">
        <f>IF(表紙!H4="","",表紙!H4)</f>
        <v>AP7102</v>
      </c>
      <c r="I4" s="166"/>
      <c r="J4" s="166"/>
      <c r="K4" s="166"/>
      <c r="L4" s="166"/>
      <c r="M4" s="166"/>
      <c r="N4" s="166"/>
      <c r="O4" s="166"/>
      <c r="P4" s="166"/>
      <c r="Q4" s="166"/>
      <c r="R4" s="166"/>
      <c r="S4" s="166"/>
      <c r="T4" s="167"/>
      <c r="U4" s="153" t="s">
        <v>36</v>
      </c>
      <c r="V4" s="154"/>
      <c r="W4" s="154"/>
      <c r="X4" s="154"/>
      <c r="Y4" s="155"/>
      <c r="Z4" s="165" t="str">
        <f>IF(表紙!Z4="","",表紙!Z4)</f>
        <v>API設計書</v>
      </c>
      <c r="AA4" s="166"/>
      <c r="AB4" s="166"/>
      <c r="AC4" s="166"/>
      <c r="AD4" s="166"/>
      <c r="AE4" s="166"/>
      <c r="AF4" s="166"/>
      <c r="AG4" s="166"/>
      <c r="AH4" s="166"/>
      <c r="AI4" s="166"/>
      <c r="AJ4" s="166"/>
      <c r="AK4" s="166"/>
      <c r="AL4" s="166"/>
      <c r="AM4" s="166"/>
      <c r="AN4" s="166"/>
      <c r="AO4" s="167"/>
      <c r="AP4" s="168" t="str">
        <f ca="1">MID(CELL("filename",A1),FIND("]",CELL("filename",A1))+1,255)</f>
        <v>処理フロー</v>
      </c>
      <c r="AQ4" s="166"/>
      <c r="AR4" s="166"/>
      <c r="AS4" s="166"/>
      <c r="AT4" s="166"/>
      <c r="AU4" s="166"/>
      <c r="AV4" s="166"/>
      <c r="AW4" s="166"/>
      <c r="AX4" s="166"/>
      <c r="AY4" s="166"/>
      <c r="AZ4" s="166"/>
      <c r="BA4" s="166"/>
      <c r="BB4" s="166"/>
      <c r="BC4" s="166"/>
      <c r="BD4" s="166"/>
      <c r="BE4" s="166"/>
      <c r="BF4" s="166"/>
      <c r="BG4" s="166"/>
      <c r="BH4" s="166"/>
      <c r="BI4" s="166"/>
      <c r="BJ4" s="166"/>
      <c r="BK4" s="167"/>
    </row>
    <row r="5" spans="1:63" ht="5.0999999999999996" customHeight="1" x14ac:dyDescent="0.25">
      <c r="A5" s="31"/>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3"/>
    </row>
    <row r="6" spans="1:63" ht="15" customHeight="1" x14ac:dyDescent="0.25">
      <c r="A6" s="36"/>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8"/>
    </row>
    <row r="7" spans="1:63" s="35" customFormat="1" ht="15" customHeight="1" x14ac:dyDescent="0.25">
      <c r="B7" s="74"/>
      <c r="C7" s="54"/>
      <c r="D7" s="54"/>
      <c r="E7" s="54"/>
      <c r="F7" s="54"/>
      <c r="G7" s="54"/>
      <c r="AI7" s="43"/>
      <c r="BJ7" s="43"/>
      <c r="BK7" s="39"/>
    </row>
    <row r="8" spans="1:63" s="35" customFormat="1" ht="15" customHeight="1" x14ac:dyDescent="0.25">
      <c r="B8" s="74"/>
      <c r="C8" s="54"/>
      <c r="D8" s="54"/>
      <c r="E8" s="54"/>
      <c r="F8" s="54"/>
      <c r="G8" s="54"/>
      <c r="AI8" s="43"/>
      <c r="BJ8" s="43"/>
      <c r="BK8" s="39"/>
    </row>
    <row r="9" spans="1:63" s="35" customFormat="1" ht="15" customHeight="1" x14ac:dyDescent="0.25">
      <c r="B9" s="74"/>
      <c r="C9" s="54"/>
      <c r="D9" s="54"/>
      <c r="E9" s="54"/>
      <c r="F9" s="54"/>
      <c r="G9" s="54"/>
      <c r="AI9" s="43"/>
      <c r="BJ9" s="43"/>
      <c r="BK9" s="39"/>
    </row>
    <row r="10" spans="1:63" s="35" customFormat="1" ht="15" customHeight="1" x14ac:dyDescent="0.25">
      <c r="B10" s="74"/>
      <c r="C10" s="54"/>
      <c r="D10" s="54"/>
      <c r="E10" s="54"/>
      <c r="F10" s="54"/>
      <c r="G10" s="54"/>
      <c r="AI10" s="43"/>
      <c r="BJ10" s="43"/>
      <c r="BK10" s="39"/>
    </row>
    <row r="11" spans="1:63" s="35" customFormat="1" ht="15" customHeight="1" x14ac:dyDescent="0.25">
      <c r="B11" s="40"/>
      <c r="AI11" s="43"/>
      <c r="BJ11" s="43"/>
      <c r="BK11" s="39"/>
    </row>
    <row r="12" spans="1:63" s="35" customFormat="1" ht="15" customHeight="1" x14ac:dyDescent="0.25">
      <c r="B12" s="40"/>
      <c r="AI12" s="43"/>
      <c r="BJ12" s="43"/>
      <c r="BK12" s="39"/>
    </row>
    <row r="13" spans="1:63" s="35" customFormat="1" ht="15" customHeight="1" x14ac:dyDescent="0.25">
      <c r="B13" s="40"/>
      <c r="AI13" s="43"/>
      <c r="BJ13" s="43"/>
      <c r="BK13" s="39"/>
    </row>
    <row r="14" spans="1:63" s="35" customFormat="1" ht="15" customHeight="1" x14ac:dyDescent="0.25">
      <c r="B14" s="40"/>
      <c r="AI14" s="43"/>
      <c r="BJ14" s="43"/>
      <c r="BK14" s="39"/>
    </row>
    <row r="15" spans="1:63" s="35" customFormat="1" ht="15" customHeight="1" x14ac:dyDescent="0.25">
      <c r="B15" s="40"/>
      <c r="AI15" s="43"/>
      <c r="BJ15" s="43"/>
      <c r="BK15" s="39"/>
    </row>
    <row r="16" spans="1:63" s="35" customFormat="1" ht="15" customHeight="1" x14ac:dyDescent="0.25">
      <c r="B16" s="40"/>
      <c r="AI16" s="43"/>
      <c r="BJ16" s="43"/>
      <c r="BK16" s="39"/>
    </row>
    <row r="17" spans="2:63" s="35" customFormat="1" ht="15" customHeight="1" x14ac:dyDescent="0.25">
      <c r="B17" s="40"/>
      <c r="AI17" s="43"/>
      <c r="BJ17" s="43"/>
      <c r="BK17" s="39"/>
    </row>
    <row r="18" spans="2:63" s="35" customFormat="1" ht="15" customHeight="1" x14ac:dyDescent="0.25">
      <c r="B18" s="40"/>
      <c r="AI18" s="43"/>
      <c r="BJ18" s="43"/>
      <c r="BK18" s="39"/>
    </row>
    <row r="19" spans="2:63" s="35" customFormat="1" ht="15" customHeight="1" x14ac:dyDescent="0.25">
      <c r="B19" s="40"/>
      <c r="AI19" s="43"/>
      <c r="BJ19" s="43"/>
      <c r="BK19" s="39"/>
    </row>
    <row r="20" spans="2:63" s="35" customFormat="1" ht="15" customHeight="1" x14ac:dyDescent="0.25">
      <c r="B20" s="40"/>
      <c r="AI20" s="43"/>
      <c r="BJ20" s="43"/>
      <c r="BK20" s="39"/>
    </row>
    <row r="21" spans="2:63" s="35" customFormat="1" ht="15" customHeight="1" x14ac:dyDescent="0.25">
      <c r="B21" s="40"/>
      <c r="AI21" s="43"/>
      <c r="BJ21" s="43"/>
      <c r="BK21" s="39"/>
    </row>
    <row r="22" spans="2:63" s="35" customFormat="1" ht="15" customHeight="1" x14ac:dyDescent="0.25">
      <c r="B22" s="40"/>
      <c r="AI22" s="43"/>
      <c r="BJ22" s="43"/>
      <c r="BK22" s="39"/>
    </row>
    <row r="23" spans="2:63" s="35" customFormat="1" ht="15" customHeight="1" x14ac:dyDescent="0.25">
      <c r="B23" s="40"/>
      <c r="AI23" s="43"/>
      <c r="BJ23" s="43"/>
      <c r="BK23" s="39"/>
    </row>
    <row r="24" spans="2:63" s="35" customFormat="1" ht="15" customHeight="1" x14ac:dyDescent="0.25">
      <c r="B24" s="40"/>
      <c r="AI24" s="43"/>
      <c r="BJ24" s="43"/>
      <c r="BK24" s="39"/>
    </row>
    <row r="25" spans="2:63" s="35" customFormat="1" ht="15" customHeight="1" x14ac:dyDescent="0.25">
      <c r="B25" s="40"/>
      <c r="AI25" s="43"/>
      <c r="BJ25" s="43"/>
      <c r="BK25" s="39"/>
    </row>
    <row r="26" spans="2:63" s="35" customFormat="1" ht="15" customHeight="1" x14ac:dyDescent="0.25">
      <c r="B26" s="40"/>
      <c r="AI26" s="43"/>
      <c r="BJ26" s="43"/>
      <c r="BK26" s="39"/>
    </row>
    <row r="27" spans="2:63" s="35" customFormat="1" ht="15" customHeight="1" x14ac:dyDescent="0.25">
      <c r="B27" s="40"/>
      <c r="AI27" s="43"/>
      <c r="BJ27" s="43"/>
      <c r="BK27" s="39"/>
    </row>
    <row r="28" spans="2:63" s="35" customFormat="1" ht="15" customHeight="1" x14ac:dyDescent="0.25">
      <c r="B28" s="40"/>
      <c r="AI28" s="43"/>
      <c r="BJ28" s="43"/>
      <c r="BK28" s="39"/>
    </row>
    <row r="29" spans="2:63" s="35" customFormat="1" ht="15" customHeight="1" x14ac:dyDescent="0.25">
      <c r="B29" s="40"/>
      <c r="AI29" s="43"/>
      <c r="BJ29" s="43"/>
      <c r="BK29" s="39"/>
    </row>
    <row r="30" spans="2:63" s="35" customFormat="1" ht="15" customHeight="1" x14ac:dyDescent="0.25">
      <c r="B30" s="40"/>
      <c r="AI30" s="43"/>
      <c r="BJ30" s="43"/>
      <c r="BK30" s="39"/>
    </row>
    <row r="31" spans="2:63" s="35" customFormat="1" ht="15" customHeight="1" x14ac:dyDescent="0.25">
      <c r="B31" s="40"/>
      <c r="AI31" s="43"/>
      <c r="BJ31" s="43"/>
      <c r="BK31" s="39"/>
    </row>
    <row r="32" spans="2:63" s="35" customFormat="1" ht="15" customHeight="1" x14ac:dyDescent="0.25">
      <c r="B32" s="40"/>
      <c r="AI32" s="43"/>
      <c r="BJ32" s="43"/>
      <c r="BK32" s="39"/>
    </row>
    <row r="33" spans="2:63" s="35" customFormat="1" ht="15" customHeight="1" x14ac:dyDescent="0.25">
      <c r="B33" s="40"/>
      <c r="AI33" s="43"/>
      <c r="BJ33" s="43"/>
      <c r="BK33" s="39"/>
    </row>
    <row r="34" spans="2:63" s="35" customFormat="1" ht="15" customHeight="1" x14ac:dyDescent="0.25">
      <c r="B34" s="40"/>
      <c r="AI34" s="43"/>
      <c r="BJ34" s="43"/>
      <c r="BK34" s="39"/>
    </row>
    <row r="35" spans="2:63" s="35" customFormat="1" ht="15" customHeight="1" x14ac:dyDescent="0.25">
      <c r="B35" s="40"/>
      <c r="AI35" s="43"/>
      <c r="BJ35" s="43"/>
      <c r="BK35" s="39"/>
    </row>
    <row r="36" spans="2:63" s="35" customFormat="1" ht="15" customHeight="1" x14ac:dyDescent="0.25">
      <c r="B36" s="40"/>
      <c r="AI36" s="43"/>
      <c r="BJ36" s="43"/>
      <c r="BK36" s="39"/>
    </row>
    <row r="37" spans="2:63" s="35" customFormat="1" ht="15" customHeight="1" x14ac:dyDescent="0.25">
      <c r="B37" s="40"/>
      <c r="AI37" s="43"/>
      <c r="BJ37" s="43"/>
      <c r="BK37" s="39"/>
    </row>
    <row r="38" spans="2:63" s="35" customFormat="1" ht="15" customHeight="1" x14ac:dyDescent="0.25">
      <c r="B38" s="40"/>
      <c r="AI38" s="43"/>
      <c r="BJ38" s="43"/>
      <c r="BK38" s="39"/>
    </row>
    <row r="39" spans="2:63" s="35" customFormat="1" ht="15" customHeight="1" x14ac:dyDescent="0.25">
      <c r="B39" s="40"/>
      <c r="AI39" s="43"/>
      <c r="BJ39" s="43"/>
      <c r="BK39" s="39"/>
    </row>
    <row r="40" spans="2:63" s="35" customFormat="1" ht="15" customHeight="1" x14ac:dyDescent="0.25">
      <c r="B40" s="40"/>
      <c r="AI40" s="43"/>
      <c r="BJ40" s="43"/>
      <c r="BK40" s="39"/>
    </row>
    <row r="41" spans="2:63" s="35" customFormat="1" ht="15" customHeight="1" x14ac:dyDescent="0.25">
      <c r="B41" s="40"/>
      <c r="AI41" s="43"/>
      <c r="BJ41" s="43"/>
      <c r="BK41" s="39"/>
    </row>
    <row r="42" spans="2:63" s="35" customFormat="1" ht="15" customHeight="1" x14ac:dyDescent="0.25">
      <c r="B42" s="40"/>
      <c r="AI42" s="43"/>
      <c r="BJ42" s="43"/>
      <c r="BK42" s="39"/>
    </row>
    <row r="43" spans="2:63" s="35" customFormat="1" ht="15" customHeight="1" x14ac:dyDescent="0.25">
      <c r="B43" s="40"/>
      <c r="AI43" s="43"/>
      <c r="BJ43" s="43"/>
      <c r="BK43" s="39"/>
    </row>
    <row r="44" spans="2:63" s="35" customFormat="1" ht="15" customHeight="1" x14ac:dyDescent="0.25">
      <c r="B44" s="40"/>
      <c r="AI44" s="43"/>
      <c r="BJ44" s="43"/>
      <c r="BK44" s="39"/>
    </row>
    <row r="45" spans="2:63" s="35" customFormat="1" ht="15" customHeight="1" x14ac:dyDescent="0.25">
      <c r="B45" s="40"/>
      <c r="AI45" s="43"/>
      <c r="BJ45" s="43"/>
      <c r="BK45" s="39"/>
    </row>
    <row r="46" spans="2:63" s="35" customFormat="1" ht="15" customHeight="1" x14ac:dyDescent="0.25">
      <c r="B46" s="40"/>
      <c r="AI46" s="43"/>
      <c r="BJ46" s="43"/>
      <c r="BK46" s="39"/>
    </row>
    <row r="47" spans="2:63" ht="15" customHeight="1" x14ac:dyDescent="0.25">
      <c r="B47" s="41"/>
      <c r="AI47" s="44"/>
      <c r="BJ47" s="44"/>
      <c r="BK47" s="34"/>
    </row>
    <row r="48" spans="2:63" ht="15" customHeight="1" x14ac:dyDescent="0.25">
      <c r="B48" s="41"/>
      <c r="AI48" s="44"/>
      <c r="BJ48" s="44"/>
      <c r="BK48" s="34"/>
    </row>
    <row r="49" spans="1:63" ht="15" customHeight="1" x14ac:dyDescent="0.25">
      <c r="B49" s="41"/>
      <c r="AI49" s="44"/>
      <c r="BJ49" s="44"/>
      <c r="BK49" s="34"/>
    </row>
    <row r="50" spans="1:63" ht="15" customHeight="1" x14ac:dyDescent="0.25">
      <c r="B50" s="41"/>
      <c r="AI50" s="44"/>
      <c r="BJ50" s="44"/>
      <c r="BK50" s="34"/>
    </row>
    <row r="51" spans="1:63" ht="15" customHeight="1" x14ac:dyDescent="0.25">
      <c r="B51" s="41"/>
      <c r="AI51" s="44"/>
      <c r="BJ51" s="44"/>
      <c r="BK51" s="34"/>
    </row>
    <row r="52" spans="1:63" ht="15" customHeight="1" x14ac:dyDescent="0.25">
      <c r="B52" s="41"/>
      <c r="AI52" s="44"/>
      <c r="BJ52" s="44"/>
      <c r="BK52" s="34"/>
    </row>
    <row r="53" spans="1:63" ht="15" customHeight="1" x14ac:dyDescent="0.25">
      <c r="B53" s="41"/>
      <c r="AI53" s="44"/>
      <c r="BJ53" s="44"/>
      <c r="BK53" s="34"/>
    </row>
    <row r="54" spans="1:63" ht="15" customHeight="1" x14ac:dyDescent="0.25">
      <c r="A54" s="32"/>
      <c r="B54" s="4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45"/>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45"/>
      <c r="BK54" s="33"/>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30" customWidth="1"/>
    <col min="64" max="16384" width="10.109375" style="30"/>
  </cols>
  <sheetData>
    <row r="1" spans="1:63" ht="24.95" customHeight="1" x14ac:dyDescent="0.25">
      <c r="A1" s="227" t="s">
        <v>172</v>
      </c>
      <c r="B1" s="228"/>
      <c r="C1" s="228"/>
      <c r="D1" s="228"/>
      <c r="E1" s="228"/>
      <c r="F1" s="228"/>
      <c r="G1" s="228"/>
      <c r="H1" s="228"/>
      <c r="I1" s="228"/>
      <c r="J1" s="229"/>
      <c r="K1" s="227" t="s">
        <v>173</v>
      </c>
      <c r="L1" s="228"/>
      <c r="M1" s="228"/>
      <c r="N1" s="228"/>
      <c r="O1" s="228"/>
      <c r="P1" s="228"/>
      <c r="Q1" s="228"/>
      <c r="R1" s="228"/>
      <c r="S1" s="228"/>
      <c r="T1" s="228"/>
      <c r="U1" s="228"/>
      <c r="V1" s="229"/>
      <c r="W1" s="230" t="str">
        <f>IF(表紙!W1="","",表紙!W1)</f>
        <v>詳細設計書</v>
      </c>
      <c r="X1" s="231"/>
      <c r="Y1" s="231"/>
      <c r="Z1" s="231"/>
      <c r="AA1" s="231"/>
      <c r="AB1" s="231"/>
      <c r="AC1" s="231"/>
      <c r="AD1" s="231"/>
      <c r="AE1" s="231"/>
      <c r="AF1" s="231"/>
      <c r="AG1" s="231"/>
      <c r="AH1" s="231"/>
      <c r="AI1" s="231"/>
      <c r="AJ1" s="231"/>
      <c r="AK1" s="231"/>
      <c r="AL1" s="231"/>
      <c r="AM1" s="231"/>
      <c r="AN1" s="231"/>
      <c r="AO1" s="232"/>
      <c r="AP1" s="233" t="s">
        <v>174</v>
      </c>
      <c r="AQ1" s="234"/>
      <c r="AR1" s="234"/>
      <c r="AS1" s="235"/>
      <c r="AT1" s="233" t="s">
        <v>175</v>
      </c>
      <c r="AU1" s="234"/>
      <c r="AV1" s="234"/>
      <c r="AW1" s="234"/>
      <c r="AX1" s="235"/>
      <c r="AY1" s="233" t="s">
        <v>176</v>
      </c>
      <c r="AZ1" s="234"/>
      <c r="BA1" s="234"/>
      <c r="BB1" s="235"/>
      <c r="BC1" s="233" t="s">
        <v>177</v>
      </c>
      <c r="BD1" s="234"/>
      <c r="BE1" s="234"/>
      <c r="BF1" s="234"/>
      <c r="BG1" s="235"/>
      <c r="BH1" s="233" t="s">
        <v>178</v>
      </c>
      <c r="BI1" s="234"/>
      <c r="BJ1" s="234"/>
      <c r="BK1" s="235"/>
    </row>
    <row r="2" spans="1:63" ht="15" customHeight="1" x14ac:dyDescent="0.25">
      <c r="A2" s="147" t="str">
        <f>IF(表紙!A2="","",表紙!A2)</f>
        <v>POSサーバー</v>
      </c>
      <c r="B2" s="148"/>
      <c r="C2" s="148"/>
      <c r="D2" s="148"/>
      <c r="E2" s="148"/>
      <c r="F2" s="148"/>
      <c r="G2" s="148"/>
      <c r="H2" s="148"/>
      <c r="I2" s="148"/>
      <c r="J2" s="149"/>
      <c r="K2" s="147" t="str">
        <f>IF(表紙!K2="","",表紙!K2)</f>
        <v>POSサーバー</v>
      </c>
      <c r="L2" s="148"/>
      <c r="M2" s="148"/>
      <c r="N2" s="148"/>
      <c r="O2" s="148"/>
      <c r="P2" s="148"/>
      <c r="Q2" s="148"/>
      <c r="R2" s="148"/>
      <c r="S2" s="148"/>
      <c r="T2" s="148"/>
      <c r="U2" s="148"/>
      <c r="V2" s="149"/>
      <c r="W2" s="236"/>
      <c r="X2" s="237"/>
      <c r="Y2" s="237"/>
      <c r="Z2" s="237"/>
      <c r="AA2" s="237"/>
      <c r="AB2" s="237"/>
      <c r="AC2" s="237"/>
      <c r="AD2" s="237"/>
      <c r="AE2" s="237"/>
      <c r="AF2" s="237"/>
      <c r="AG2" s="237"/>
      <c r="AH2" s="237"/>
      <c r="AI2" s="237"/>
      <c r="AJ2" s="237"/>
      <c r="AK2" s="237"/>
      <c r="AL2" s="237"/>
      <c r="AM2" s="237"/>
      <c r="AN2" s="237"/>
      <c r="AO2" s="238"/>
      <c r="AP2" s="206" t="str">
        <f>IF(表紙!AP2="","",表紙!AP2)</f>
        <v>DuNT</v>
      </c>
      <c r="AQ2" s="204"/>
      <c r="AR2" s="204"/>
      <c r="AS2" s="205"/>
      <c r="AT2" s="203">
        <f>IF(表紙!AT2="","",表紙!AT2)</f>
        <v>45490</v>
      </c>
      <c r="AU2" s="239"/>
      <c r="AV2" s="239"/>
      <c r="AW2" s="239"/>
      <c r="AX2" s="240"/>
      <c r="AY2" s="206" t="str">
        <f>IF(表紙!AY2="","",表紙!AY2)</f>
        <v>DuNT</v>
      </c>
      <c r="AZ2" s="204"/>
      <c r="BA2" s="204"/>
      <c r="BB2" s="205"/>
      <c r="BC2" s="203">
        <f>IF(表紙!BC2="","",表紙!BC2)</f>
        <v>45567</v>
      </c>
      <c r="BD2" s="239"/>
      <c r="BE2" s="239"/>
      <c r="BF2" s="239"/>
      <c r="BG2" s="240"/>
      <c r="BH2" s="206">
        <f>IF(表紙!BH2="","",表紙!BH2)</f>
        <v>0.71</v>
      </c>
      <c r="BI2" s="204"/>
      <c r="BJ2" s="204"/>
      <c r="BK2" s="205"/>
    </row>
    <row r="3" spans="1:63" ht="15" customHeight="1" x14ac:dyDescent="0.25">
      <c r="A3" s="150"/>
      <c r="B3" s="151"/>
      <c r="C3" s="151"/>
      <c r="D3" s="151"/>
      <c r="E3" s="151"/>
      <c r="F3" s="151"/>
      <c r="G3" s="151"/>
      <c r="H3" s="151"/>
      <c r="I3" s="151"/>
      <c r="J3" s="152"/>
      <c r="K3" s="150"/>
      <c r="L3" s="151"/>
      <c r="M3" s="151"/>
      <c r="N3" s="151"/>
      <c r="O3" s="151"/>
      <c r="P3" s="151"/>
      <c r="Q3" s="151"/>
      <c r="R3" s="151"/>
      <c r="S3" s="151"/>
      <c r="T3" s="151"/>
      <c r="U3" s="151"/>
      <c r="V3" s="152"/>
      <c r="W3" s="241"/>
      <c r="X3" s="242"/>
      <c r="Y3" s="242"/>
      <c r="Z3" s="242"/>
      <c r="AA3" s="242"/>
      <c r="AB3" s="242"/>
      <c r="AC3" s="242"/>
      <c r="AD3" s="242"/>
      <c r="AE3" s="242"/>
      <c r="AF3" s="242"/>
      <c r="AG3" s="242"/>
      <c r="AH3" s="242"/>
      <c r="AI3" s="242"/>
      <c r="AJ3" s="242"/>
      <c r="AK3" s="242"/>
      <c r="AL3" s="242"/>
      <c r="AM3" s="242"/>
      <c r="AN3" s="242"/>
      <c r="AO3" s="243"/>
      <c r="AP3" s="207"/>
      <c r="AQ3" s="208"/>
      <c r="AR3" s="208"/>
      <c r="AS3" s="209"/>
      <c r="AT3" s="244"/>
      <c r="AU3" s="245"/>
      <c r="AV3" s="245"/>
      <c r="AW3" s="245"/>
      <c r="AX3" s="246"/>
      <c r="AY3" s="207"/>
      <c r="AZ3" s="208"/>
      <c r="BA3" s="208"/>
      <c r="BB3" s="209"/>
      <c r="BC3" s="244"/>
      <c r="BD3" s="245"/>
      <c r="BE3" s="245"/>
      <c r="BF3" s="245"/>
      <c r="BG3" s="246"/>
      <c r="BH3" s="207"/>
      <c r="BI3" s="208"/>
      <c r="BJ3" s="208"/>
      <c r="BK3" s="209"/>
    </row>
    <row r="4" spans="1:63" ht="24.95" customHeight="1" x14ac:dyDescent="0.25">
      <c r="A4" s="227" t="s">
        <v>179</v>
      </c>
      <c r="B4" s="228"/>
      <c r="C4" s="228"/>
      <c r="D4" s="228"/>
      <c r="E4" s="228"/>
      <c r="F4" s="228"/>
      <c r="G4" s="229"/>
      <c r="H4" s="165" t="str">
        <f>IF(表紙!H4="","",表紙!H4)</f>
        <v>AP7102</v>
      </c>
      <c r="I4" s="166"/>
      <c r="J4" s="166"/>
      <c r="K4" s="166"/>
      <c r="L4" s="166"/>
      <c r="M4" s="166"/>
      <c r="N4" s="166"/>
      <c r="O4" s="166"/>
      <c r="P4" s="166"/>
      <c r="Q4" s="166"/>
      <c r="R4" s="166"/>
      <c r="S4" s="166"/>
      <c r="T4" s="167"/>
      <c r="U4" s="227" t="s">
        <v>180</v>
      </c>
      <c r="V4" s="228"/>
      <c r="W4" s="228"/>
      <c r="X4" s="228"/>
      <c r="Y4" s="229"/>
      <c r="Z4" s="165" t="str">
        <f>IF(表紙!Z4="","",表紙!Z4)</f>
        <v>API設計書</v>
      </c>
      <c r="AA4" s="166"/>
      <c r="AB4" s="166"/>
      <c r="AC4" s="166"/>
      <c r="AD4" s="166"/>
      <c r="AE4" s="166"/>
      <c r="AF4" s="166"/>
      <c r="AG4" s="166"/>
      <c r="AH4" s="166"/>
      <c r="AI4" s="166"/>
      <c r="AJ4" s="166"/>
      <c r="AK4" s="166"/>
      <c r="AL4" s="166"/>
      <c r="AM4" s="166"/>
      <c r="AN4" s="166"/>
      <c r="AO4" s="167"/>
      <c r="AP4" s="168" t="str">
        <f ca="1">MID(CELL("filename",A1),FIND("]",CELL("filename",A1))+1,255)</f>
        <v>テンプレート</v>
      </c>
      <c r="AQ4" s="166"/>
      <c r="AR4" s="166"/>
      <c r="AS4" s="166"/>
      <c r="AT4" s="166"/>
      <c r="AU4" s="166"/>
      <c r="AV4" s="166"/>
      <c r="AW4" s="166"/>
      <c r="AX4" s="166"/>
      <c r="AY4" s="166"/>
      <c r="AZ4" s="166"/>
      <c r="BA4" s="166"/>
      <c r="BB4" s="166"/>
      <c r="BC4" s="166"/>
      <c r="BD4" s="166"/>
      <c r="BE4" s="166"/>
      <c r="BF4" s="166"/>
      <c r="BG4" s="166"/>
      <c r="BH4" s="166"/>
      <c r="BI4" s="166"/>
      <c r="BJ4" s="166"/>
      <c r="BK4" s="167"/>
    </row>
    <row r="5" spans="1:63" ht="5.0999999999999996" customHeight="1" x14ac:dyDescent="0.25">
      <c r="A5" s="31"/>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3"/>
    </row>
    <row r="6" spans="1:63" ht="15" customHeight="1" x14ac:dyDescent="0.25">
      <c r="A6" s="36"/>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8"/>
    </row>
    <row r="7" spans="1:63" s="254" customFormat="1" ht="15" customHeight="1" x14ac:dyDescent="0.25">
      <c r="BK7" s="252"/>
    </row>
    <row r="8" spans="1:63" s="254" customFormat="1" ht="15" customHeight="1" x14ac:dyDescent="0.25">
      <c r="BK8" s="252"/>
    </row>
    <row r="9" spans="1:63" s="254" customFormat="1" ht="15" customHeight="1" x14ac:dyDescent="0.25">
      <c r="BK9" s="252"/>
    </row>
    <row r="10" spans="1:63" s="254" customFormat="1" ht="15" customHeight="1" x14ac:dyDescent="0.25">
      <c r="BK10" s="252"/>
    </row>
    <row r="11" spans="1:63" s="254" customFormat="1" ht="15" customHeight="1" x14ac:dyDescent="0.25">
      <c r="BK11" s="252"/>
    </row>
    <row r="12" spans="1:63" s="254" customFormat="1" ht="15" customHeight="1" x14ac:dyDescent="0.25">
      <c r="BK12" s="252"/>
    </row>
    <row r="13" spans="1:63" s="254" customFormat="1" ht="15" customHeight="1" x14ac:dyDescent="0.25">
      <c r="BK13" s="252"/>
    </row>
    <row r="14" spans="1:63" s="254" customFormat="1" ht="15" customHeight="1" x14ac:dyDescent="0.25">
      <c r="BK14" s="252"/>
    </row>
    <row r="15" spans="1:63" s="254" customFormat="1" ht="15" customHeight="1" x14ac:dyDescent="0.25">
      <c r="BK15" s="252"/>
    </row>
    <row r="16" spans="1:63" s="254" customFormat="1" ht="15" customHeight="1" x14ac:dyDescent="0.25">
      <c r="BK16" s="252"/>
    </row>
    <row r="17" spans="63:63" s="254" customFormat="1" ht="15" customHeight="1" x14ac:dyDescent="0.25">
      <c r="BK17" s="252"/>
    </row>
    <row r="18" spans="63:63" s="254" customFormat="1" ht="15" customHeight="1" x14ac:dyDescent="0.25">
      <c r="BK18" s="252"/>
    </row>
    <row r="19" spans="63:63" s="254" customFormat="1" ht="15" customHeight="1" x14ac:dyDescent="0.25">
      <c r="BK19" s="252"/>
    </row>
    <row r="20" spans="63:63" s="254" customFormat="1" ht="15" customHeight="1" x14ac:dyDescent="0.25">
      <c r="BK20" s="252"/>
    </row>
    <row r="21" spans="63:63" s="254" customFormat="1" ht="15" customHeight="1" x14ac:dyDescent="0.25">
      <c r="BK21" s="252"/>
    </row>
    <row r="22" spans="63:63" s="254" customFormat="1" ht="15" customHeight="1" x14ac:dyDescent="0.25">
      <c r="BK22" s="252"/>
    </row>
    <row r="23" spans="63:63" s="254" customFormat="1" ht="15" customHeight="1" x14ac:dyDescent="0.25">
      <c r="BK23" s="252"/>
    </row>
    <row r="24" spans="63:63" s="254" customFormat="1" ht="15" customHeight="1" x14ac:dyDescent="0.25">
      <c r="BK24" s="252"/>
    </row>
    <row r="25" spans="63:63" s="254" customFormat="1" ht="15" customHeight="1" x14ac:dyDescent="0.25">
      <c r="BK25" s="252"/>
    </row>
    <row r="26" spans="63:63" s="254" customFormat="1" ht="15" customHeight="1" x14ac:dyDescent="0.25">
      <c r="BK26" s="252"/>
    </row>
    <row r="27" spans="63:63" s="254" customFormat="1" ht="15" customHeight="1" x14ac:dyDescent="0.25">
      <c r="BK27" s="252"/>
    </row>
    <row r="28" spans="63:63" s="254" customFormat="1" ht="15" customHeight="1" x14ac:dyDescent="0.25">
      <c r="BK28" s="252"/>
    </row>
    <row r="29" spans="63:63" s="254" customFormat="1" ht="15" customHeight="1" x14ac:dyDescent="0.25">
      <c r="BK29" s="252"/>
    </row>
    <row r="30" spans="63:63" s="254" customFormat="1" ht="15" customHeight="1" x14ac:dyDescent="0.25">
      <c r="BK30" s="252"/>
    </row>
    <row r="31" spans="63:63" s="254" customFormat="1" ht="15" customHeight="1" x14ac:dyDescent="0.25">
      <c r="BK31" s="252"/>
    </row>
    <row r="32" spans="63:63" s="254" customFormat="1" ht="15" customHeight="1" x14ac:dyDescent="0.25">
      <c r="BK32" s="252"/>
    </row>
    <row r="33" spans="63:63" s="254" customFormat="1" ht="15" customHeight="1" x14ac:dyDescent="0.25">
      <c r="BK33" s="252"/>
    </row>
    <row r="34" spans="63:63" s="254" customFormat="1" ht="15" customHeight="1" x14ac:dyDescent="0.25">
      <c r="BK34" s="252"/>
    </row>
    <row r="35" spans="63:63" s="254" customFormat="1" ht="15" customHeight="1" x14ac:dyDescent="0.25">
      <c r="BK35" s="252"/>
    </row>
    <row r="36" spans="63:63" s="254" customFormat="1" ht="15" customHeight="1" x14ac:dyDescent="0.25">
      <c r="BK36" s="252"/>
    </row>
    <row r="37" spans="63:63" s="254" customFormat="1" ht="15" customHeight="1" x14ac:dyDescent="0.25">
      <c r="BK37" s="252"/>
    </row>
    <row r="38" spans="63:63" s="254" customFormat="1" ht="15" customHeight="1" x14ac:dyDescent="0.25">
      <c r="BK38" s="252"/>
    </row>
    <row r="39" spans="63:63" s="254" customFormat="1" ht="15" customHeight="1" x14ac:dyDescent="0.25">
      <c r="BK39" s="252"/>
    </row>
    <row r="40" spans="63:63" s="254" customFormat="1" ht="15" customHeight="1" x14ac:dyDescent="0.25">
      <c r="BK40" s="252"/>
    </row>
    <row r="41" spans="63:63" s="254" customFormat="1" ht="15" customHeight="1" x14ac:dyDescent="0.25">
      <c r="BK41" s="252"/>
    </row>
    <row r="42" spans="63:63" s="254" customFormat="1" ht="15" customHeight="1" x14ac:dyDescent="0.25">
      <c r="BK42" s="252"/>
    </row>
    <row r="43" spans="63:63" s="254" customFormat="1" ht="15" customHeight="1" x14ac:dyDescent="0.25">
      <c r="BK43" s="252"/>
    </row>
    <row r="44" spans="63:63" s="254" customFormat="1" ht="15" customHeight="1" x14ac:dyDescent="0.25">
      <c r="BK44" s="252"/>
    </row>
    <row r="45" spans="63:63" s="254" customFormat="1" ht="15" customHeight="1" x14ac:dyDescent="0.25">
      <c r="BK45" s="252"/>
    </row>
    <row r="46" spans="63:63" s="254" customFormat="1" ht="15" customHeight="1" x14ac:dyDescent="0.25">
      <c r="BK46" s="252"/>
    </row>
    <row r="47" spans="63:63" ht="15" customHeight="1" x14ac:dyDescent="0.25">
      <c r="BK47" s="34"/>
    </row>
    <row r="48" spans="63:63" ht="15" customHeight="1" x14ac:dyDescent="0.25">
      <c r="BK48" s="34"/>
    </row>
    <row r="49" spans="1:63" ht="15" customHeight="1" x14ac:dyDescent="0.25">
      <c r="BK49" s="34"/>
    </row>
    <row r="50" spans="1:63" ht="15" customHeight="1" x14ac:dyDescent="0.25">
      <c r="BK50" s="34"/>
    </row>
    <row r="51" spans="1:63" ht="15" customHeight="1" x14ac:dyDescent="0.25">
      <c r="BK51" s="34"/>
    </row>
    <row r="52" spans="1:63" ht="15" customHeight="1" x14ac:dyDescent="0.25">
      <c r="BK52" s="34"/>
    </row>
    <row r="53" spans="1:63" ht="15" customHeight="1" x14ac:dyDescent="0.25">
      <c r="BK53" s="34"/>
    </row>
    <row r="54" spans="1:63" ht="15" customHeight="1" x14ac:dyDescent="0.2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3"/>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表紙</vt:lpstr>
      <vt:lpstr>改訂履歴</vt:lpstr>
      <vt:lpstr>処理フロー凡例</vt:lpstr>
      <vt:lpstr>AP7102</vt:lpstr>
      <vt:lpstr>処理フロー</vt:lpstr>
      <vt:lpstr>テンプレート</vt:lpstr>
      <vt:lpstr>'AP7102'!Print_Area</vt:lpstr>
      <vt:lpstr>テンプレート!Print_Area</vt:lpstr>
      <vt:lpstr>処理フロー!Print_Area</vt:lpstr>
      <vt:lpstr>処理フロー凡例!Print_Area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2024-11-04T04:41:38Z</dcterms:modified>
  <cp:category/>
  <cp:contentStatus/>
</cp:coreProperties>
</file>