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84624123-4CCC-495C-8542-4F2D68B594C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7104" sheetId="8" r:id="rId4"/>
    <sheet name="処理フロー" sheetId="9" r:id="rId5"/>
    <sheet name="テンプレート" sheetId="7" r:id="rId6"/>
  </sheets>
  <definedNames>
    <definedName name="_xlnm.Print_Area" localSheetId="3">'AP7104'!$A$1:$BK$49</definedName>
    <definedName name="_xlnm.Print_Area" localSheetId="5">テンプレート!$A$1:$BK$54</definedName>
    <definedName name="_xlnm.Print_Area" localSheetId="4">処理フロー!$A$1:$BK$85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C38" i="8"/>
  <c r="C39" i="8" s="1"/>
  <c r="C37" i="8"/>
  <c r="C36" i="8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<sst xmlns="http://schemas.openxmlformats.org/spreadsheetml/2006/main" count="169" uniqueCount="92">
  <si>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</si>
  <si>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</si>
  <si>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</si>
  <si>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</si>
  <si>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</si>
  <si>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</si>
  <si>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</si>
  <si>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</si>
  <si>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</si>
  <si>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</si>
  <si>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</si>
  <si>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</si>
  <si>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</si>
  <si>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</si>
  <si>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</si>
  <si>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</si>
  <si>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</si>
  <si>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</si>
  <si>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</si>
  <si>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</si>
  <si>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</si>
  <si>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</si>
  <si>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</si>
  <si>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</si>
  <si>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</si>
  <si>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</si>
  <si>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</si>
  <si>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</si>
  <si>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</si>
  <si>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</si>
  <si>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</si>
  <si>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</si>
  <si>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</si>
  <si>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</si>
  <si>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</si>
  <si>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</si>
  <si>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AP7104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</si>
  <si>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</si>
  <si>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</si>
  <si>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レジ種別を新規作成・更新・削除する。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</si>
  <si>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</si>
  <si>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List&lt;CashRegisterType&gt;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</si>
  <si>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</si>
  <si>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</si>
  <si>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</si>
  <si>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</si>
  <si>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</si>
  <si>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</si>
  <si>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</si>
  <si>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api/v1/cash-register-type/maintainance</t>
    </r>
  </si>
  <si>
    <r>
      <rPr>
        <sz val="11"/>
        <color rgb="FF000000"/>
        <rFont val="Meiryo UI"/>
        <family val="2"/>
      </rPr>
      <t>cash_register_types</t>
    </r>
  </si>
  <si>
    <r>
      <rPr>
        <sz val="11"/>
        <color rgb="FF000000"/>
        <rFont val="Meiryo UI"/>
        <family val="2"/>
      </rPr>
      <t>CashRegisterType.RECORD_ID</t>
    </r>
  </si>
  <si>
    <r>
      <rPr>
        <sz val="11"/>
        <color rgb="FF000000"/>
        <rFont val="Meiryo UI"/>
        <family val="2"/>
      </rPr>
      <t>CashRegisterType.Name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</si>
  <si>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</si>
  <si>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DuNT</t>
    </r>
  </si>
  <si>
    <t>record_idマッピング更新
operation_type = 3の説明を追加</t>
  </si>
  <si>
    <t>AP7104</t>
  </si>
  <si>
    <t>入力パラメータからcodeパラメータを削除する。</t>
  </si>
  <si>
    <t>入力パラメータにcodeパラメータを復元する。
コード又は名称のバリデーションチェック</t>
  </si>
  <si>
    <t>処理フロー</t>
  </si>
  <si>
    <t>削除処理時に説明を追加する。</t>
  </si>
  <si>
    <t>DuNT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</si>
  <si>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</si>
  <si>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</si>
  <si>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</si>
  <si>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</si>
  <si>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</si>
  <si>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</si>
  <si>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</si>
  <si>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</si>
  <si>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</si>
  <si>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</si>
  <si>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</si>
  <si>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</si>
  <si>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</si>
  <si>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</si>
  <si>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</si>
  <si>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</si>
  <si>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</si>
  <si>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</si>
  <si>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</si>
  <si>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</si>
  <si>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r>
      <rPr>
        <sz val="11"/>
        <color rgb="FF000000"/>
        <rFont val="Meiryo UI"/>
        <family val="2"/>
      </rPr>
      <t>・新規作成の場合、operation_typeを「1」として渡す。
・編集の場合、operation_type を「2」として渡す。
・削除の場合、operation_typeを「3」として渡す。
上記以外の場合、エラーメッセージ = MSG_VAL_019</t>
    </r>
  </si>
  <si>
    <t>code</t>
  </si>
  <si>
    <t>String</t>
  </si>
  <si>
    <t>ー</t>
  </si>
  <si>
    <t>CashRegisterType.Code</t>
  </si>
  <si>
    <t>必須は数字で最大2桁</t>
  </si>
  <si>
    <t>最大全角50文字. 文字数 &gt; 50の場合、 エラーメッセージ = MSG_VAL_002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</si>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</sst>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42">
    <xf numFmtId="0" fontId="0" fillId="0" borderId="0" xfId="0"/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2" fillId="4" borderId="0" xfId="0" applyFont="1" applyFill="1"/>
    <xf numFmtId="0" fontId="3" fillId="0" borderId="16" xfId="0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12" fillId="5" borderId="21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1" fillId="5" borderId="21" xfId="0" applyFont="1" applyFill="1" applyBorder="1" applyAlignment="1">
      <alignment horizontal="left" vertical="center"/>
    </xf>
    <xf numFmtId="0" fontId="11" fillId="5" borderId="22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indent="1"/>
    </xf>
    <xf numFmtId="0" fontId="7" fillId="0" borderId="22" xfId="0" applyFont="1" applyBorder="1" applyAlignment="1">
      <alignment horizontal="left" vertical="center" indent="1"/>
    </xf>
    <xf numFmtId="0" fontId="7" fillId="0" borderId="23" xfId="0" applyFont="1" applyBorder="1" applyAlignment="1">
      <alignment horizontal="left" vertical="center" indent="1"/>
    </xf>
    <xf numFmtId="0" fontId="8" fillId="5" borderId="21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8" fillId="0" borderId="24" xfId="0" applyFont="1" applyBorder="1"/>
    <xf numFmtId="0" fontId="0" fillId="0" borderId="28" xfId="0" applyBorder="1" applyAlignment="1">
      <alignment vertical="top"/>
    </xf>
    <xf numFmtId="0" fontId="0" fillId="0" borderId="29" xfId="0" applyBorder="1" applyAlignment="1">
      <alignment vertical="top"/>
    </xf>
    <xf numFmtId="0" fontId="8" fillId="0" borderId="27" xfId="0" applyFont="1" applyBorder="1" applyAlignment="1">
      <alignment vertical="top" wrapText="1"/>
    </xf>
    <xf numFmtId="14" fontId="19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4" xfId="0" applyFont="1" applyBorder="1"/>
    <xf numFmtId="0" fontId="19" fillId="0" borderId="25" xfId="0" applyFont="1" applyBorder="1"/>
    <xf numFmtId="0" fontId="19" fillId="0" borderId="26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7" xfId="0" applyFont="1" applyBorder="1" applyAlignment="1">
      <alignment vertical="top" wrapText="1"/>
    </xf>
    <xf numFmtId="0" fontId="19" fillId="0" borderId="28" xfId="0" applyFont="1" applyBorder="1" applyAlignment="1">
      <alignment vertical="top"/>
    </xf>
    <xf numFmtId="0" fontId="19" fillId="0" borderId="29" xfId="0" applyFont="1" applyBorder="1" applyAlignment="1">
      <alignment vertical="top"/>
    </xf>
    <xf numFmtId="0" fontId="19" fillId="0" borderId="27" xfId="0" applyFont="1" applyBorder="1"/>
    <xf numFmtId="0" fontId="19" fillId="0" borderId="28" xfId="0" applyFont="1" applyBorder="1"/>
    <xf numFmtId="0" fontId="19" fillId="0" borderId="29" xfId="0" applyFont="1" applyBorder="1"/>
    <xf numFmtId="0" fontId="20" fillId="4" borderId="21" xfId="6" applyFont="1" applyFill="1" applyBorder="1" applyAlignment="1">
      <alignment horizontal="center" vertical="center"/>
    </xf>
    <xf numFmtId="0" fontId="20" fillId="4" borderId="22" xfId="6" applyFont="1" applyFill="1" applyBorder="1" applyAlignment="1">
      <alignment horizontal="center" vertical="center"/>
    </xf>
    <xf numFmtId="0" fontId="20" fillId="4" borderId="23" xfId="6" applyFont="1" applyFill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1" fillId="4" borderId="19" xfId="0" applyFont="1" applyFill="1" applyBorder="1" applyAlignment="1">
      <alignment vertical="center"/>
    </xf>
    <xf numFmtId="0" fontId="20" fillId="4" borderId="0" xfId="0" applyFont="1" applyFill="1" applyAlignment="1">
      <alignment vertical="center"/>
    </xf>
    <xf numFmtId="0" fontId="20" fillId="4" borderId="20" xfId="0" applyFont="1" applyFill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21" xfId="0" quotePrefix="1" applyFont="1" applyBorder="1" applyAlignment="1">
      <alignment horizontal="left" vertical="center"/>
    </xf>
    <xf numFmtId="0" fontId="23" fillId="0" borderId="22" xfId="0" quotePrefix="1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21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16" xfId="0" quotePrefix="1" applyFont="1" applyBorder="1" applyAlignment="1">
      <alignment horizontal="center" vertical="center"/>
    </xf>
    <xf numFmtId="0" fontId="23" fillId="0" borderId="17" xfId="0" quotePrefix="1" applyFont="1" applyBorder="1" applyAlignment="1">
      <alignment horizontal="center" vertical="center"/>
    </xf>
    <xf numFmtId="0" fontId="23" fillId="0" borderId="18" xfId="0" quotePrefix="1" applyFont="1" applyBorder="1" applyAlignment="1">
      <alignment horizontal="center" vertical="center"/>
    </xf>
    <xf numFmtId="0" fontId="23" fillId="0" borderId="16" xfId="0" quotePrefix="1" applyFont="1" applyBorder="1" applyAlignment="1">
      <alignment horizontal="left" vertical="center"/>
    </xf>
    <xf numFmtId="0" fontId="23" fillId="0" borderId="17" xfId="0" quotePrefix="1" applyFont="1" applyBorder="1" applyAlignment="1">
      <alignment horizontal="left" vertical="center"/>
    </xf>
    <xf numFmtId="0" fontId="23" fillId="0" borderId="18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23" fillId="0" borderId="17" xfId="0" quotePrefix="1" applyFont="1" applyBorder="1" applyAlignment="1">
      <alignment horizontal="left" vertical="top" wrapText="1"/>
    </xf>
    <xf numFmtId="0" fontId="23" fillId="0" borderId="18" xfId="0" quotePrefix="1" applyFont="1" applyBorder="1" applyAlignment="1">
      <alignment horizontal="left" vertical="top" wrapText="1"/>
    </xf>
    <xf numFmtId="0" fontId="23" fillId="0" borderId="0" xfId="0" quotePrefix="1" applyFont="1" applyAlignment="1">
      <alignment horizontal="left" vertical="center"/>
    </xf>
    <xf numFmtId="0" fontId="23" fillId="5" borderId="21" xfId="0" applyFont="1" applyFill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3" fillId="0" borderId="21" xfId="0" applyFont="1" applyBorder="1" applyAlignment="1">
      <alignment horizontal="left" vertical="center" indent="1"/>
    </xf>
    <xf numFmtId="0" fontId="23" fillId="0" borderId="22" xfId="0" applyFont="1" applyBorder="1" applyAlignment="1">
      <alignment horizontal="left" vertical="center" indent="1"/>
    </xf>
    <xf numFmtId="0" fontId="23" fillId="0" borderId="23" xfId="0" applyFont="1" applyBorder="1" applyAlignment="1">
      <alignment horizontal="left" vertical="center" indent="1"/>
    </xf>
    <xf numFmtId="0" fontId="23" fillId="0" borderId="21" xfId="0" quotePrefix="1" applyFont="1" applyBorder="1" applyAlignment="1">
      <alignment horizontal="left" vertical="center" wrapText="1"/>
    </xf>
    <xf numFmtId="0" fontId="23" fillId="0" borderId="21" xfId="0" quotePrefix="1" applyFont="1" applyBorder="1" applyAlignment="1">
      <alignment horizontal="center" vertical="center"/>
    </xf>
    <xf numFmtId="0" fontId="23" fillId="0" borderId="22" xfId="0" quotePrefix="1" applyFont="1" applyBorder="1" applyAlignment="1">
      <alignment horizontal="center" vertical="center"/>
    </xf>
    <xf numFmtId="0" fontId="23" fillId="0" borderId="23" xfId="0" quotePrefix="1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 indent="1"/>
    </xf>
    <xf numFmtId="0" fontId="19" fillId="0" borderId="22" xfId="0" applyFont="1" applyBorder="1" applyAlignment="1">
      <alignment horizontal="left" vertical="center" indent="1"/>
    </xf>
    <xf numFmtId="0" fontId="19" fillId="0" borderId="23" xfId="0" applyFont="1" applyBorder="1" applyAlignment="1">
      <alignment horizontal="left" vertical="center" indent="1"/>
    </xf>
    <xf numFmtId="0" fontId="19" fillId="0" borderId="16" xfId="0" quotePrefix="1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/>
    </xf>
    <xf numFmtId="0" fontId="19" fillId="0" borderId="22" xfId="0" applyFont="1" applyBorder="1" applyAlignment="1">
      <alignment horizontal="left" vertical="center"/>
    </xf>
    <xf numFmtId="0" fontId="23" fillId="0" borderId="20" xfId="0" applyFont="1" applyBorder="1" applyAlignment="1">
      <alignment vertical="center"/>
    </xf>
    <xf numFmtId="0" fontId="23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</xdr:colOff>
      <xdr:row>38</xdr:row>
      <xdr:rowOff>0</xdr:rowOff>
    </xdr:from>
    <xdr:to>
      <xdr:col>62</xdr:col>
      <xdr:colOff>1</xdr:colOff>
      <xdr:row>42</xdr:row>
      <xdr:rowOff>0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334500" y="7353300"/>
          <a:ext cx="7200900" cy="762000"/>
        </a:xfrm>
        <a:prstGeom prst="borderCallout1">
          <a:avLst>
            <a:gd name="adj1" fmla="val 53848"/>
            <a:gd name="adj2" fmla="val -59"/>
            <a:gd name="adj3" fmla="val 36115"/>
            <a:gd name="adj4" fmla="val -669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ステップ3から返された編集対象データを確認する。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▪レコードが存在している場合、「5.2.レジ種別更新」のステップを実行する。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レコードが存在していない場合、「5.1. レジ種別新規作成」ステップを実行する。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7</xdr:row>
      <xdr:rowOff>0</xdr:rowOff>
    </xdr:from>
    <xdr:to>
      <xdr:col>17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4671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15</xdr:col>
      <xdr:colOff>0</xdr:colOff>
      <xdr:row>8</xdr:row>
      <xdr:rowOff>179294</xdr:rowOff>
    </xdr:from>
    <xdr:to>
      <xdr:col>15</xdr:col>
      <xdr:colOff>0</xdr:colOff>
      <xdr:row>11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</xdr:cNvCxnSpPr>
      </xdr:nvCxnSpPr>
      <xdr:spPr>
        <a:xfrm>
          <a:off x="4000500" y="1819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0</xdr:rowOff>
    </xdr:from>
    <xdr:to>
      <xdr:col>18</xdr:col>
      <xdr:colOff>0</xdr:colOff>
      <xdr:row>15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2004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レジ種別データ配列をループする。</a:t>
          </a:r>
        </a:p>
      </xdr:txBody>
    </xdr:sp>
    <xdr:clientData/>
  </xdr:twoCellAnchor>
  <xdr:twoCellAnchor>
    <xdr:from>
      <xdr:col>12</xdr:col>
      <xdr:colOff>0</xdr:colOff>
      <xdr:row>18</xdr:row>
      <xdr:rowOff>0</xdr:rowOff>
    </xdr:from>
    <xdr:to>
      <xdr:col>18</xdr:col>
      <xdr:colOff>0</xdr:colOff>
      <xdr:row>23</xdr:row>
      <xdr:rowOff>0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3200400" y="3543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オペレーションタイプを確認する。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20</xdr:col>
      <xdr:colOff>0</xdr:colOff>
      <xdr:row>21</xdr:row>
      <xdr:rowOff>0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4800600" y="392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3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0</xdr:colOff>
      <xdr:row>23</xdr:row>
      <xdr:rowOff>0</xdr:rowOff>
    </xdr:from>
    <xdr:to>
      <xdr:col>18</xdr:col>
      <xdr:colOff>0</xdr:colOff>
      <xdr:row>24</xdr:row>
      <xdr:rowOff>0</xdr:rowOff>
    </xdr:to>
    <xdr:sp macro="" textlink="" fLocksText="0">
      <xdr:nvSpPr>
        <xdr:cNvPr id="13" name="Flowchart: Process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3200400" y="4495800"/>
          <a:ext cx="16002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2 又は =1</a:t>
          </a:r>
        </a:p>
      </xdr:txBody>
    </xdr:sp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0</xdr:colOff>
      <xdr:row>18</xdr:row>
      <xdr:rowOff>0</xdr:rowOff>
    </xdr:to>
    <xdr:cxnSp macro="">
      <xdr:nvCxnSpPr>
        <xdr:cNvPr id="14" name="Connector: Elbow 8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5" idx="2"/>
          <a:endCxn id="10" idx="0"/>
        </xdr:cNvCxnSpPr>
      </xdr:nvCxnSpPr>
      <xdr:spPr>
        <a:xfrm>
          <a:off x="4000500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</xdr:colOff>
      <xdr:row>46</xdr:row>
      <xdr:rowOff>0</xdr:rowOff>
    </xdr:from>
    <xdr:to>
      <xdr:col>28</xdr:col>
      <xdr:colOff>0</xdr:colOff>
      <xdr:row>50</xdr:row>
      <xdr:rowOff>0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5867400" y="887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5.3. レジ種別削除 </a:t>
          </a:r>
        </a:p>
      </xdr:txBody>
    </xdr:sp>
    <xdr:clientData/>
  </xdr:twoCellAnchor>
  <xdr:twoCellAnchor>
    <xdr:from>
      <xdr:col>12</xdr:col>
      <xdr:colOff>0</xdr:colOff>
      <xdr:row>46</xdr:row>
      <xdr:rowOff>0</xdr:rowOff>
    </xdr:from>
    <xdr:to>
      <xdr:col>18</xdr:col>
      <xdr:colOff>0</xdr:colOff>
      <xdr:row>50</xdr:row>
      <xdr:rowOff>0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3200400" y="887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5.2 レジ種別更新 </a:t>
          </a:r>
        </a:p>
      </xdr:txBody>
    </xdr:sp>
    <xdr:clientData/>
  </xdr:twoCellAnchor>
  <xdr:twoCellAnchor>
    <xdr:from>
      <xdr:col>20</xdr:col>
      <xdr:colOff>0</xdr:colOff>
      <xdr:row>20</xdr:row>
      <xdr:rowOff>95250</xdr:rowOff>
    </xdr:from>
    <xdr:to>
      <xdr:col>25</xdr:col>
      <xdr:colOff>1</xdr:colOff>
      <xdr:row>46</xdr:row>
      <xdr:rowOff>0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12" idx="3"/>
          <a:endCxn id="17" idx="0"/>
        </xdr:cNvCxnSpPr>
      </xdr:nvCxnSpPr>
      <xdr:spPr>
        <a:xfrm>
          <a:off x="5334000" y="4019550"/>
          <a:ext cx="1333500" cy="4857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54</xdr:row>
      <xdr:rowOff>0</xdr:rowOff>
    </xdr:from>
    <xdr:to>
      <xdr:col>18</xdr:col>
      <xdr:colOff>0</xdr:colOff>
      <xdr:row>59</xdr:row>
      <xdr:rowOff>0</xdr:rowOff>
    </xdr:to>
    <xdr:sp macro="" textlink="" fLocksText="0">
      <xdr:nvSpPr>
        <xdr:cNvPr id="42" name="Flowchart: Decision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3200400" y="10401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成功</a:t>
          </a:r>
        </a:p>
      </xdr:txBody>
    </xdr:sp>
    <xdr:clientData/>
  </xdr:twoCellAnchor>
  <xdr:twoCellAnchor>
    <xdr:from>
      <xdr:col>18</xdr:col>
      <xdr:colOff>0</xdr:colOff>
      <xdr:row>56</xdr:row>
      <xdr:rowOff>0</xdr:rowOff>
    </xdr:from>
    <xdr:to>
      <xdr:col>20</xdr:col>
      <xdr:colOff>0</xdr:colOff>
      <xdr:row>57</xdr:row>
      <xdr:rowOff>0</xdr:rowOff>
    </xdr:to>
    <xdr:sp macro="" textlink="" fLocksText="0">
      <xdr:nvSpPr>
        <xdr:cNvPr id="43" name="Flowchart: Process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4800600" y="1078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59</xdr:row>
      <xdr:rowOff>0</xdr:rowOff>
    </xdr:from>
    <xdr:to>
      <xdr:col>16</xdr:col>
      <xdr:colOff>0</xdr:colOff>
      <xdr:row>60</xdr:row>
      <xdr:rowOff>0</xdr:rowOff>
    </xdr:to>
    <xdr:sp macro="" textlink="" fLocksText="0">
      <xdr:nvSpPr>
        <xdr:cNvPr id="44" name="Flowchart: Process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3733800" y="11353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15</xdr:col>
      <xdr:colOff>0</xdr:colOff>
      <xdr:row>50</xdr:row>
      <xdr:rowOff>0</xdr:rowOff>
    </xdr:from>
    <xdr:to>
      <xdr:col>15</xdr:col>
      <xdr:colOff>0</xdr:colOff>
      <xdr:row>54</xdr:row>
      <xdr:rowOff>0</xdr:rowOff>
    </xdr:to>
    <xdr:cxnSp macro="">
      <xdr:nvCxnSpPr>
        <xdr:cNvPr id="45" name="Connector: Elbow 81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26" idx="2"/>
          <a:endCxn id="42" idx="0"/>
        </xdr:cNvCxnSpPr>
      </xdr:nvCxnSpPr>
      <xdr:spPr>
        <a:xfrm>
          <a:off x="4000500" y="9639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63</xdr:row>
      <xdr:rowOff>0</xdr:rowOff>
    </xdr:from>
    <xdr:to>
      <xdr:col>18</xdr:col>
      <xdr:colOff>0</xdr:colOff>
      <xdr:row>68</xdr:row>
      <xdr:rowOff>0</xdr:rowOff>
    </xdr:to>
    <xdr:sp macro="" textlink="" fLocksText="0">
      <xdr:nvSpPr>
        <xdr:cNvPr id="49" name="Flowchart: Decision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3200400" y="12115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配列の最後の要素であるかを確認する。</a:t>
          </a:r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12</xdr:col>
      <xdr:colOff>0</xdr:colOff>
      <xdr:row>66</xdr:row>
      <xdr:rowOff>0</xdr:rowOff>
    </xdr:to>
    <xdr:sp macro="" textlink="" fLocksText="0">
      <xdr:nvSpPr>
        <xdr:cNvPr id="50" name="Flowchart: Process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2667000" y="1249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68</xdr:row>
      <xdr:rowOff>0</xdr:rowOff>
    </xdr:from>
    <xdr:to>
      <xdr:col>16</xdr:col>
      <xdr:colOff>0</xdr:colOff>
      <xdr:row>69</xdr:row>
      <xdr:rowOff>0</xdr:rowOff>
    </xdr:to>
    <xdr:sp macro="" textlink="" fLocksText="0">
      <xdr:nvSpPr>
        <xdr:cNvPr id="51" name="Flowchart: Process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3733800" y="1306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15</xdr:col>
      <xdr:colOff>0</xdr:colOff>
      <xdr:row>60</xdr:row>
      <xdr:rowOff>0</xdr:rowOff>
    </xdr:from>
    <xdr:to>
      <xdr:col>15</xdr:col>
      <xdr:colOff>0</xdr:colOff>
      <xdr:row>63</xdr:row>
      <xdr:rowOff>0</xdr:rowOff>
    </xdr:to>
    <xdr:cxnSp macro="">
      <xdr:nvCxnSpPr>
        <xdr:cNvPr id="52" name="Connector: Elbow 8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stCxn id="44" idx="2"/>
          <a:endCxn id="49" idx="0"/>
        </xdr:cNvCxnSpPr>
      </xdr:nvCxnSpPr>
      <xdr:spPr>
        <a:xfrm>
          <a:off x="4000500" y="11544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50</xdr:row>
      <xdr:rowOff>0</xdr:rowOff>
    </xdr:from>
    <xdr:to>
      <xdr:col>25</xdr:col>
      <xdr:colOff>1</xdr:colOff>
      <xdr:row>54</xdr:row>
      <xdr:rowOff>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17" idx="2"/>
          <a:endCxn id="42" idx="0"/>
        </xdr:cNvCxnSpPr>
      </xdr:nvCxnSpPr>
      <xdr:spPr>
        <a:xfrm rot="5400000">
          <a:off x="4000500" y="9639300"/>
          <a:ext cx="26670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74</xdr:row>
      <xdr:rowOff>0</xdr:rowOff>
    </xdr:from>
    <xdr:to>
      <xdr:col>17</xdr:col>
      <xdr:colOff>0</xdr:colOff>
      <xdr:row>75</xdr:row>
      <xdr:rowOff>168088</xdr:rowOff>
    </xdr:to>
    <xdr:sp macro="" textlink="" fLocksText="0">
      <xdr:nvSpPr>
        <xdr:cNvPr id="56" name="Oval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3467100" y="14211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15</xdr:col>
      <xdr:colOff>0</xdr:colOff>
      <xdr:row>69</xdr:row>
      <xdr:rowOff>0</xdr:rowOff>
    </xdr:from>
    <xdr:to>
      <xdr:col>15</xdr:col>
      <xdr:colOff>0</xdr:colOff>
      <xdr:row>74</xdr:row>
      <xdr:rowOff>0</xdr:rowOff>
    </xdr:to>
    <xdr:cxnSp macro="">
      <xdr:nvCxnSpPr>
        <xdr:cNvPr id="57" name="Connector: Elbow 8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51" idx="2"/>
          <a:endCxn id="56" idx="0"/>
        </xdr:cNvCxnSpPr>
      </xdr:nvCxnSpPr>
      <xdr:spPr>
        <a:xfrm>
          <a:off x="4000500" y="13258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6722</xdr:colOff>
      <xdr:row>13</xdr:row>
      <xdr:rowOff>0</xdr:rowOff>
    </xdr:from>
    <xdr:to>
      <xdr:col>12</xdr:col>
      <xdr:colOff>6721</xdr:colOff>
      <xdr:row>65</xdr:row>
      <xdr:rowOff>95250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>
          <a:stCxn id="50" idx="1"/>
          <a:endCxn id="5" idx="1"/>
        </xdr:cNvCxnSpPr>
      </xdr:nvCxnSpPr>
      <xdr:spPr>
        <a:xfrm rot="10800000" flipH="1">
          <a:off x="2676525" y="2590800"/>
          <a:ext cx="533400" cy="10001250"/>
        </a:xfrm>
        <a:prstGeom prst="bentConnector3">
          <a:avLst>
            <a:gd name="adj1" fmla="val -39619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56</xdr:row>
      <xdr:rowOff>95250</xdr:rowOff>
    </xdr:from>
    <xdr:to>
      <xdr:col>20</xdr:col>
      <xdr:colOff>0</xdr:colOff>
      <xdr:row>74</xdr:row>
      <xdr:rowOff>0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43" idx="3"/>
          <a:endCxn id="56" idx="0"/>
        </xdr:cNvCxnSpPr>
      </xdr:nvCxnSpPr>
      <xdr:spPr>
        <a:xfrm flipH="1">
          <a:off x="4000500" y="10877550"/>
          <a:ext cx="1333500" cy="3333750"/>
        </a:xfrm>
        <a:prstGeom prst="bentConnector4">
          <a:avLst>
            <a:gd name="adj1" fmla="val -19429"/>
            <a:gd name="adj2" fmla="val 8302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14</xdr:row>
      <xdr:rowOff>0</xdr:rowOff>
    </xdr:to>
    <xdr:sp macro="" textlink="" fLocksText="0">
      <xdr:nvSpPr>
        <xdr:cNvPr id="72" name="吹き出し: 線 2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9334500" y="2400300"/>
          <a:ext cx="7200900" cy="381000"/>
        </a:xfrm>
        <a:prstGeom prst="borderCallout1">
          <a:avLst>
            <a:gd name="adj1" fmla="val 48945"/>
            <a:gd name="adj2" fmla="val 117"/>
            <a:gd name="adj3" fmla="val 34187"/>
            <a:gd name="adj4" fmla="val -6409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レジ種別データ配列の各レコードをループする。</a:t>
          </a:r>
        </a:p>
      </xdr:txBody>
    </xdr:sp>
    <xdr:clientData/>
  </xdr:twoCellAnchor>
  <xdr:twoCellAnchor>
    <xdr:from>
      <xdr:col>35</xdr:col>
      <xdr:colOff>0</xdr:colOff>
      <xdr:row>28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73" name="吹き出し: 線 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9334500" y="5448300"/>
          <a:ext cx="7200900" cy="1143000"/>
        </a:xfrm>
        <a:prstGeom prst="borderCallout1">
          <a:avLst>
            <a:gd name="adj1" fmla="val 49926"/>
            <a:gd name="adj2" fmla="val -59"/>
            <a:gd name="adj3" fmla="val 63020"/>
            <a:gd name="adj4" fmla="val -632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以下の条件を満たすCashRegisterTypeテーブルの編集対象レジ種別のレコードを取得する。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CashRegisterType.CompanyCode = User.CompanyCode(ログインしているアカウントが所属する会社)  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CashRegisterType.Code = request.cash_register_types.code</a:t>
          </a:r>
        </a:p>
      </xdr:txBody>
    </xdr:sp>
    <xdr:clientData/>
  </xdr:twoCellAnchor>
  <xdr:twoCellAnchor>
    <xdr:from>
      <xdr:col>35</xdr:col>
      <xdr:colOff>0</xdr:colOff>
      <xdr:row>18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74" name="吹き出し: 線 2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9334500" y="3543300"/>
          <a:ext cx="7200900" cy="952500"/>
        </a:xfrm>
        <a:prstGeom prst="borderCallout1">
          <a:avLst>
            <a:gd name="adj1" fmla="val 53848"/>
            <a:gd name="adj2" fmla="val -59"/>
            <a:gd name="adj3" fmla="val 50821"/>
            <a:gd name="adj4" fmla="val -669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オペレーションタイプを確認する: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オペレーションタイプ= 1(新規) 又は = 2 (更新)の場合、以下のステップを実行する。「3.レジ種別のレコードを取得する。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オペレーションタイプ= 3 (削除)の場合、対象record_idで「5.3. レジ種別削除」を実行する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オペレーションタイプ&gt; 3の場合：フローの終了、response_code = 422、エラーメッセージ = MSG_VAL_019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43</xdr:row>
      <xdr:rowOff>0</xdr:rowOff>
    </xdr:from>
    <xdr:to>
      <xdr:col>62</xdr:col>
      <xdr:colOff>0</xdr:colOff>
      <xdr:row>50</xdr:row>
      <xdr:rowOff>0</xdr:rowOff>
    </xdr:to>
    <xdr:sp macro="" textlink="" fLocksText="0">
      <xdr:nvSpPr>
        <xdr:cNvPr id="76" name="吹き出し: 線 2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9334500" y="8305800"/>
          <a:ext cx="7200900" cy="1333500"/>
        </a:xfrm>
        <a:prstGeom prst="borderCallout1">
          <a:avLst>
            <a:gd name="adj1" fmla="val 50907"/>
            <a:gd name="adj2" fmla="val 647"/>
            <a:gd name="adj3" fmla="val 98783"/>
            <a:gd name="adj4" fmla="val -675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5.1 レジ種別を新規作成する。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5.2 レジ種別を更新する。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更新または新規作成する前に、レジ種別名称の存在を確認する（同じ名称のレジ種別存在不可）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名称が重複している場合、「MSG_VAL_048」エラーメッセージを返す。その中に：{0} = 名称、{1} = 重複している名称の値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重複していない場合は、新規作成または更新を実行する。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57</xdr:row>
      <xdr:rowOff>179294</xdr:rowOff>
    </xdr:from>
    <xdr:to>
      <xdr:col>62</xdr:col>
      <xdr:colOff>0</xdr:colOff>
      <xdr:row>62</xdr:row>
      <xdr:rowOff>179294</xdr:rowOff>
    </xdr:to>
    <xdr:sp macro="" textlink="" fLocksText="0">
      <xdr:nvSpPr>
        <xdr:cNvPr id="77" name="吹き出し: 線 2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9334500" y="11153775"/>
          <a:ext cx="7200900" cy="952500"/>
        </a:xfrm>
        <a:prstGeom prst="borderCallout1">
          <a:avLst>
            <a:gd name="adj1" fmla="val 55319"/>
            <a:gd name="adj2" fmla="val 498"/>
            <a:gd name="adj3" fmla="val -19329"/>
            <a:gd name="adj4" fmla="val -6814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レジ種別新規作成・編集の状態を確認する。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▪成功した場合、以下のステップを実行する。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[7.配列の最後の要素であるかを確認する]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64</xdr:row>
      <xdr:rowOff>0</xdr:rowOff>
    </xdr:from>
    <xdr:to>
      <xdr:col>62</xdr:col>
      <xdr:colOff>0</xdr:colOff>
      <xdr:row>68</xdr:row>
      <xdr:rowOff>0</xdr:rowOff>
    </xdr:to>
    <xdr:sp macro="" textlink="" fLocksText="0">
      <xdr:nvSpPr>
        <xdr:cNvPr id="78" name="吹き出し: 線 2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9334500" y="12306300"/>
          <a:ext cx="7200900" cy="762000"/>
        </a:xfrm>
        <a:prstGeom prst="borderCallout1">
          <a:avLst>
            <a:gd name="adj1" fmla="val 51201"/>
            <a:gd name="adj2" fmla="val -58"/>
            <a:gd name="adj3" fmla="val 36850"/>
            <a:gd name="adj4" fmla="val -664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リクエストのレジ種別データ配列の最後の要素であるかを確認する。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▪最後の要素の場合、プログラムを終了してresponse code = 204を返す。</a:t>
          </a:r>
        </a:p>
      </xdr:txBody>
    </xdr:sp>
    <xdr:clientData/>
  </xdr:twoCellAnchor>
  <xdr:twoCellAnchor>
    <xdr:from>
      <xdr:col>12</xdr:col>
      <xdr:colOff>0</xdr:colOff>
      <xdr:row>37</xdr:row>
      <xdr:rowOff>0</xdr:rowOff>
    </xdr:from>
    <xdr:to>
      <xdr:col>18</xdr:col>
      <xdr:colOff>0</xdr:colOff>
      <xdr:row>42</xdr:row>
      <xdr:rowOff>0</xdr:rowOff>
    </xdr:to>
    <xdr:sp macro="" textlink="" fLocksText="0">
      <xdr:nvSpPr>
        <xdr:cNvPr id="2" name="Flowchart: Decisio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200400" y="7162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存在確認</a:t>
          </a:r>
        </a:p>
      </xdr:txBody>
    </xdr:sp>
    <xdr:clientData/>
  </xdr:twoCellAnchor>
  <xdr:twoCellAnchor>
    <xdr:from>
      <xdr:col>9</xdr:col>
      <xdr:colOff>211230</xdr:colOff>
      <xdr:row>38</xdr:row>
      <xdr:rowOff>168088</xdr:rowOff>
    </xdr:from>
    <xdr:to>
      <xdr:col>11</xdr:col>
      <xdr:colOff>211230</xdr:colOff>
      <xdr:row>39</xdr:row>
      <xdr:rowOff>168088</xdr:rowOff>
    </xdr:to>
    <xdr:sp macro="" textlink="" fLocksText="0">
      <xdr:nvSpPr>
        <xdr:cNvPr id="6" name="Flowchart: Process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609850" y="752475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12</xdr:col>
      <xdr:colOff>235322</xdr:colOff>
      <xdr:row>41</xdr:row>
      <xdr:rowOff>190499</xdr:rowOff>
    </xdr:from>
    <xdr:to>
      <xdr:col>17</xdr:col>
      <xdr:colOff>0</xdr:colOff>
      <xdr:row>43</xdr:row>
      <xdr:rowOff>0</xdr:rowOff>
    </xdr:to>
    <xdr:sp macro="" textlink="" fLocksText="0">
      <xdr:nvSpPr>
        <xdr:cNvPr id="7" name="Flowchart: Process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438525" y="8115300"/>
          <a:ext cx="10953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15</xdr:col>
      <xdr:colOff>0</xdr:colOff>
      <xdr:row>43</xdr:row>
      <xdr:rowOff>0</xdr:rowOff>
    </xdr:from>
    <xdr:to>
      <xdr:col>15</xdr:col>
      <xdr:colOff>0</xdr:colOff>
      <xdr:row>46</xdr:row>
      <xdr:rowOff>0</xdr:rowOff>
    </xdr:to>
    <xdr:cxnSp macro="">
      <xdr:nvCxnSpPr>
        <xdr:cNvPr id="8" name="Connector: Elbow 8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7" idx="2"/>
        </xdr:cNvCxnSpPr>
      </xdr:nvCxnSpPr>
      <xdr:spPr>
        <a:xfrm>
          <a:off x="4000500" y="8305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24</xdr:row>
      <xdr:rowOff>0</xdr:rowOff>
    </xdr:from>
    <xdr:to>
      <xdr:col>15</xdr:col>
      <xdr:colOff>0</xdr:colOff>
      <xdr:row>30</xdr:row>
      <xdr:rowOff>0</xdr:rowOff>
    </xdr:to>
    <xdr:cxnSp macro="">
      <xdr:nvCxnSpPr>
        <xdr:cNvPr id="9" name="Connector: Elbow 8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13" idx="2"/>
          <a:endCxn id="2" idx="0"/>
        </xdr:cNvCxnSpPr>
      </xdr:nvCxnSpPr>
      <xdr:spPr>
        <a:xfrm>
          <a:off x="4000500" y="46863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46</xdr:row>
      <xdr:rowOff>0</xdr:rowOff>
    </xdr:from>
    <xdr:to>
      <xdr:col>9</xdr:col>
      <xdr:colOff>0</xdr:colOff>
      <xdr:row>50</xdr:row>
      <xdr:rowOff>0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887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5.1 レジ種別新規作成 </a:t>
          </a:r>
        </a:p>
      </xdr:txBody>
    </xdr:sp>
    <xdr:clientData/>
  </xdr:twoCellAnchor>
  <xdr:twoCellAnchor>
    <xdr:from>
      <xdr:col>6</xdr:col>
      <xdr:colOff>1</xdr:colOff>
      <xdr:row>39</xdr:row>
      <xdr:rowOff>72838</xdr:rowOff>
    </xdr:from>
    <xdr:to>
      <xdr:col>9</xdr:col>
      <xdr:colOff>211230</xdr:colOff>
      <xdr:row>46</xdr:row>
      <xdr:rowOff>0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6" idx="1"/>
          <a:endCxn id="21" idx="0"/>
        </xdr:cNvCxnSpPr>
      </xdr:nvCxnSpPr>
      <xdr:spPr>
        <a:xfrm rot="10800000" flipV="1">
          <a:off x="1600200" y="7620000"/>
          <a:ext cx="1009650" cy="12573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</xdr:row>
      <xdr:rowOff>0</xdr:rowOff>
    </xdr:from>
    <xdr:to>
      <xdr:col>14</xdr:col>
      <xdr:colOff>235323</xdr:colOff>
      <xdr:row>54</xdr:row>
      <xdr:rowOff>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21" idx="2"/>
          <a:endCxn id="42" idx="0"/>
        </xdr:cNvCxnSpPr>
      </xdr:nvCxnSpPr>
      <xdr:spPr>
        <a:xfrm rot="16200000" flipH="1">
          <a:off x="1600200" y="9639300"/>
          <a:ext cx="23717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30</xdr:row>
      <xdr:rowOff>0</xdr:rowOff>
    </xdr:from>
    <xdr:to>
      <xdr:col>18</xdr:col>
      <xdr:colOff>0</xdr:colOff>
      <xdr:row>34</xdr:row>
      <xdr:rowOff>0</xdr:rowOff>
    </xdr:to>
    <xdr:sp macro="" textlink="" fLocksText="0">
      <xdr:nvSpPr>
        <xdr:cNvPr id="62" name="Rectangle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3200400" y="582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レジ種別のレコードを取得する。</a:t>
          </a:r>
        </a:p>
      </xdr:txBody>
    </xdr:sp>
    <xdr:clientData/>
  </xdr:twoCellAnchor>
  <xdr:twoCellAnchor>
    <xdr:from>
      <xdr:col>15</xdr:col>
      <xdr:colOff>0</xdr:colOff>
      <xdr:row>34</xdr:row>
      <xdr:rowOff>0</xdr:rowOff>
    </xdr:from>
    <xdr:to>
      <xdr:col>15</xdr:col>
      <xdr:colOff>0</xdr:colOff>
      <xdr:row>37</xdr:row>
      <xdr:rowOff>0</xdr:rowOff>
    </xdr:to>
    <xdr:cxnSp macro="">
      <xdr:nvCxnSpPr>
        <xdr:cNvPr id="63" name="Connector: Elbow 81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>
          <a:stCxn id="62" idx="2"/>
        </xdr:cNvCxnSpPr>
      </xdr:nvCxnSpPr>
      <xdr:spPr>
        <a:xfrm>
          <a:off x="4000500" y="6591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20</xdr:row>
      <xdr:rowOff>0</xdr:rowOff>
    </xdr:from>
    <xdr:to>
      <xdr:col>12</xdr:col>
      <xdr:colOff>1</xdr:colOff>
      <xdr:row>21</xdr:row>
      <xdr:rowOff>0</xdr:rowOff>
    </xdr:to>
    <xdr:sp macro="" textlink="" fLocksText="0">
      <xdr:nvSpPr>
        <xdr:cNvPr id="65" name="Flowchart: Process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2133600" y="39243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&gt; 3</a:t>
          </a:r>
        </a:p>
      </xdr:txBody>
    </xdr:sp>
    <xdr:clientData/>
  </xdr:twoCellAnchor>
  <xdr:twoCellAnchor>
    <xdr:from>
      <xdr:col>8</xdr:col>
      <xdr:colOff>1</xdr:colOff>
      <xdr:row>20</xdr:row>
      <xdr:rowOff>95250</xdr:rowOff>
    </xdr:from>
    <xdr:to>
      <xdr:col>15</xdr:col>
      <xdr:colOff>0</xdr:colOff>
      <xdr:row>74</xdr:row>
      <xdr:rowOff>0</xdr:rowOff>
    </xdr:to>
    <xdr:cxnSp macro="">
      <xdr:nvCxnSpPr>
        <xdr:cNvPr id="66" name="Connector: Elbow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>
          <a:stCxn id="65" idx="1"/>
          <a:endCxn id="56" idx="0"/>
        </xdr:cNvCxnSpPr>
      </xdr:nvCxnSpPr>
      <xdr:spPr>
        <a:xfrm rot="10800000" flipH="1" flipV="1">
          <a:off x="2133600" y="4019550"/>
          <a:ext cx="1866900" cy="10191750"/>
        </a:xfrm>
        <a:prstGeom prst="bentConnector4">
          <a:avLst>
            <a:gd name="adj1" fmla="val -83946"/>
            <a:gd name="adj2" fmla="val 9433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51</xdr:row>
      <xdr:rowOff>0</xdr:rowOff>
    </xdr:from>
    <xdr:to>
      <xdr:col>62</xdr:col>
      <xdr:colOff>0</xdr:colOff>
      <xdr:row>57</xdr:row>
      <xdr:rowOff>0</xdr:rowOff>
    </xdr:to>
    <xdr:sp macro="" textlink="" fLocksText="0">
      <xdr:nvSpPr>
        <xdr:cNvPr id="11" name="吹き出し: 線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9334500" y="9829800"/>
          <a:ext cx="7200900" cy="1143000"/>
        </a:xfrm>
        <a:prstGeom prst="borderCallout1">
          <a:avLst>
            <a:gd name="adj1" fmla="val 50907"/>
            <a:gd name="adj2" fmla="val 647"/>
            <a:gd name="adj3" fmla="val -42605"/>
            <a:gd name="adj4" fmla="val -270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5.3 レジ種別を削除する 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削除前に、このレジ種別がcash_registerテーブルで使用されているかを確認する。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使用されていない場合は削除する。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使用されている場合はエラーメッセージを返す。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5"/>
      <c r="K1" s="63" t="s">
        <v>2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5"/>
      <c r="W1" s="85" t="s">
        <v>17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63" t="s">
        <v>3</v>
      </c>
      <c r="AQ1" s="64"/>
      <c r="AR1" s="64"/>
      <c r="AS1" s="65"/>
      <c r="AT1" s="63" t="s">
        <v>4</v>
      </c>
      <c r="AU1" s="64"/>
      <c r="AV1" s="64"/>
      <c r="AW1" s="64"/>
      <c r="AX1" s="65"/>
      <c r="AY1" s="63" t="s">
        <v>5</v>
      </c>
      <c r="AZ1" s="64"/>
      <c r="BA1" s="64"/>
      <c r="BB1" s="65"/>
      <c r="BC1" s="63" t="s">
        <v>6</v>
      </c>
      <c r="BD1" s="64"/>
      <c r="BE1" s="64"/>
      <c r="BF1" s="64"/>
      <c r="BG1" s="65"/>
      <c r="BH1" s="63" t="s">
        <v>7</v>
      </c>
      <c r="BI1" s="64"/>
      <c r="BJ1" s="64"/>
      <c r="BK1" s="65"/>
    </row>
    <row r="2" spans="1:63" ht="15" customHeight="1" x14ac:dyDescent="0.25">
      <c r="A2" s="84" t="s">
        <v>15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13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88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90"/>
      <c r="AP2" s="14" t="str">
        <f>改訂履歴!$H$11</f>
        <v>DuNT</v>
      </c>
      <c r="AQ2" s="13"/>
      <c r="AR2" s="13"/>
      <c r="AS2" s="12"/>
      <c r="AT2" s="78">
        <f>改訂履歴!$B$11</f>
        <v>45491</v>
      </c>
      <c r="AU2" s="79"/>
      <c r="AV2" s="79"/>
      <c r="AW2" s="79"/>
      <c r="AX2" s="80"/>
      <c r="AY2" s="14" t="str">
        <f>LOOKUP(2,1/(改訂履歴!H11:H30000&lt;&gt;""),改訂履歴!H11:H30000)</f>
        <v>DuNT</v>
      </c>
      <c r="AZ2" s="13"/>
      <c r="BA2" s="13"/>
      <c r="BB2" s="12"/>
      <c r="BC2" s="78">
        <f>LOOKUP(2,1/(改訂履歴!B11:B30000&lt;&gt;""),改訂履歴!B11:B30000)</f>
        <v>45575</v>
      </c>
      <c r="BD2" s="79"/>
      <c r="BE2" s="79"/>
      <c r="BF2" s="79"/>
      <c r="BG2" s="80"/>
      <c r="BH2" s="72">
        <f>LOOKUP(2,1/(改訂履歴!O11:O30000&lt;&gt;""),改訂履歴!O11:O30000)</f>
        <v>0.41</v>
      </c>
      <c r="BI2" s="73"/>
      <c r="BJ2" s="73"/>
      <c r="BK2" s="74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"/>
      <c r="AQ3" s="7"/>
      <c r="AR3" s="7"/>
      <c r="AS3" s="6"/>
      <c r="AT3" s="81"/>
      <c r="AU3" s="82"/>
      <c r="AV3" s="82"/>
      <c r="AW3" s="82"/>
      <c r="AX3" s="83"/>
      <c r="AY3" s="8"/>
      <c r="AZ3" s="7"/>
      <c r="BA3" s="7"/>
      <c r="BB3" s="6"/>
      <c r="BC3" s="81"/>
      <c r="BD3" s="82"/>
      <c r="BE3" s="82"/>
      <c r="BF3" s="82"/>
      <c r="BG3" s="83"/>
      <c r="BH3" s="75"/>
      <c r="BI3" s="76"/>
      <c r="BJ3" s="76"/>
      <c r="BK3" s="77"/>
    </row>
    <row r="4" spans="1:63" ht="24.95" customHeight="1" x14ac:dyDescent="0.25">
      <c r="A4" s="63" t="s">
        <v>1</v>
      </c>
      <c r="B4" s="64"/>
      <c r="C4" s="64"/>
      <c r="D4" s="64"/>
      <c r="E4" s="64"/>
      <c r="F4" s="64"/>
      <c r="G4" s="65"/>
      <c r="H4" s="68" t="s">
        <v>36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63" t="s">
        <v>8</v>
      </c>
      <c r="V4" s="64"/>
      <c r="W4" s="64"/>
      <c r="X4" s="64"/>
      <c r="Y4" s="65"/>
      <c r="Z4" s="71" t="s">
        <v>16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68" t="str">
        <f t="array" aca="1" ref="AP4" ca="1">RIGHT(CELL("filename",$A$1),LEN(CELL("filename",$A$1))-FIND("]",CELL("filename",$A$1)))</f>
        <v>表紙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66" t="s">
        <v>35</v>
      </c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26"/>
      <c r="BK16" s="18"/>
    </row>
    <row r="17" spans="1:63" ht="15" customHeight="1" x14ac:dyDescent="0.25">
      <c r="A17" s="15"/>
      <c r="K17" s="20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26"/>
      <c r="BK17" s="18"/>
    </row>
    <row r="18" spans="1:63" ht="15" customHeight="1" x14ac:dyDescent="0.25">
      <c r="A18" s="15"/>
      <c r="K18" s="20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26"/>
      <c r="BK18" s="18"/>
    </row>
    <row r="19" spans="1:63" ht="15" customHeight="1" x14ac:dyDescent="0.25">
      <c r="A19" s="15"/>
      <c r="K19" s="20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26"/>
      <c r="BK19" s="18"/>
    </row>
    <row r="20" spans="1:63" ht="15" customHeight="1" x14ac:dyDescent="0.25">
      <c r="A20" s="15"/>
      <c r="K20" s="20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26"/>
      <c r="BK20" s="18"/>
    </row>
    <row r="21" spans="1:63" ht="15" customHeight="1" x14ac:dyDescent="0.25">
      <c r="A21" s="15"/>
      <c r="K21" s="20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67" t="str">
        <f>K2&amp;"/"&amp;H4&amp;"/"&amp;Z4</f>
        <v>POSサーバー/AP7104/API設計書</v>
      </c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26"/>
      <c r="BK24" s="18"/>
    </row>
    <row r="25" spans="1:63" ht="15" customHeight="1" x14ac:dyDescent="0.25">
      <c r="A25" s="15"/>
      <c r="K25" s="20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26"/>
      <c r="BK25" s="18"/>
    </row>
    <row r="26" spans="1:63" ht="15" customHeight="1" x14ac:dyDescent="0.25">
      <c r="A26" s="15"/>
      <c r="K26" s="20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26"/>
      <c r="BK26" s="18"/>
    </row>
    <row r="27" spans="1:63" ht="15" customHeight="1" x14ac:dyDescent="0.25">
      <c r="A27" s="15"/>
      <c r="K27" s="20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26"/>
      <c r="BK27" s="18"/>
    </row>
    <row r="28" spans="1:63" ht="15" customHeight="1" x14ac:dyDescent="0.25">
      <c r="A28" s="15"/>
      <c r="K28" s="20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26"/>
      <c r="BK28" s="18"/>
    </row>
    <row r="29" spans="1:63" ht="15" customHeight="1" x14ac:dyDescent="0.25">
      <c r="A29" s="15"/>
      <c r="K29" s="20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26"/>
      <c r="BK29" s="18"/>
    </row>
    <row r="30" spans="1:63" ht="15" customHeight="1" x14ac:dyDescent="0.25">
      <c r="A30" s="15"/>
      <c r="K30" s="20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26"/>
      <c r="BK30" s="18"/>
    </row>
    <row r="31" spans="1:63" ht="15" customHeight="1" x14ac:dyDescent="0.25">
      <c r="A31" s="15"/>
      <c r="K31" s="20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26"/>
      <c r="BK31" s="18"/>
    </row>
    <row r="32" spans="1:63" ht="15" customHeight="1" x14ac:dyDescent="0.25">
      <c r="A32" s="15"/>
      <c r="K32" s="20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26"/>
      <c r="BK32" s="18"/>
    </row>
    <row r="33" spans="1:63" ht="15" customHeight="1" x14ac:dyDescent="0.25">
      <c r="A33" s="15"/>
      <c r="K33" s="20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26"/>
      <c r="BK33" s="18"/>
    </row>
    <row r="34" spans="1:63" ht="15" customHeight="1" x14ac:dyDescent="0.25">
      <c r="A34" s="15"/>
      <c r="K34" s="20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26"/>
      <c r="BK34" s="18"/>
    </row>
    <row r="35" spans="1:63" ht="15" customHeight="1" x14ac:dyDescent="0.25">
      <c r="A35" s="15"/>
      <c r="K35" s="20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26"/>
      <c r="BK35" s="18"/>
    </row>
    <row r="36" spans="1:63" ht="15" customHeight="1" x14ac:dyDescent="0.25">
      <c r="A36" s="15"/>
      <c r="K36" s="20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5" t="s">
        <v>11</v>
      </c>
      <c r="R44" s="4"/>
      <c r="S44" s="4"/>
      <c r="T44" s="4"/>
      <c r="U44" s="4"/>
      <c r="V44" s="4"/>
      <c r="W44" s="4"/>
      <c r="X44" s="4"/>
      <c r="Y44" s="4"/>
      <c r="Z44" s="3"/>
      <c r="AA44" s="5" t="s">
        <v>12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7</v>
      </c>
      <c r="AR44" s="4"/>
      <c r="AS44" s="4"/>
      <c r="AT44" s="4"/>
      <c r="AU44" s="3"/>
      <c r="BK44" s="18"/>
    </row>
    <row r="45" spans="1:63" ht="15" customHeight="1" x14ac:dyDescent="0.25">
      <c r="A45" s="15"/>
      <c r="Q45" s="2"/>
      <c r="R45" s="1"/>
      <c r="S45" s="1"/>
      <c r="T45" s="1"/>
      <c r="U45" s="1"/>
      <c r="V45" s="1"/>
      <c r="W45" s="1"/>
      <c r="X45" s="1"/>
      <c r="Y45" s="1"/>
      <c r="Z45" s="62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62"/>
      <c r="AQ45" s="2"/>
      <c r="AR45" s="1"/>
      <c r="AS45" s="1"/>
      <c r="AT45" s="1"/>
      <c r="AU45" s="62"/>
      <c r="BK45" s="18"/>
    </row>
    <row r="46" spans="1:63" ht="15" customHeight="1" x14ac:dyDescent="0.25">
      <c r="A46" s="15"/>
      <c r="Q46" s="14"/>
      <c r="R46" s="13"/>
      <c r="S46" s="13"/>
      <c r="T46" s="13"/>
      <c r="U46" s="13"/>
      <c r="V46" s="13"/>
      <c r="W46" s="13"/>
      <c r="X46" s="13"/>
      <c r="Y46" s="13"/>
      <c r="Z46" s="12"/>
      <c r="AA46" s="14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4"/>
      <c r="AR46" s="13"/>
      <c r="AS46" s="13"/>
      <c r="AT46" s="13"/>
      <c r="AU46" s="12"/>
      <c r="BK46" s="18"/>
    </row>
    <row r="47" spans="1:63" ht="15" customHeight="1" x14ac:dyDescent="0.25">
      <c r="A47" s="15"/>
      <c r="Q47" s="11"/>
      <c r="R47" s="10"/>
      <c r="S47" s="10"/>
      <c r="T47" s="10"/>
      <c r="U47" s="10"/>
      <c r="V47" s="10"/>
      <c r="W47" s="10"/>
      <c r="X47" s="10"/>
      <c r="Y47" s="10"/>
      <c r="Z47" s="9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  <c r="AQ47" s="11"/>
      <c r="AR47" s="10"/>
      <c r="AS47" s="10"/>
      <c r="AT47" s="10"/>
      <c r="AU47" s="9"/>
      <c r="BK47" s="18"/>
    </row>
    <row r="48" spans="1:63" ht="15" customHeight="1" x14ac:dyDescent="0.25">
      <c r="A48" s="15"/>
      <c r="Q48" s="11"/>
      <c r="R48" s="10"/>
      <c r="S48" s="10"/>
      <c r="T48" s="10"/>
      <c r="U48" s="10"/>
      <c r="V48" s="10"/>
      <c r="W48" s="10"/>
      <c r="X48" s="10"/>
      <c r="Y48" s="10"/>
      <c r="Z48" s="9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  <c r="AQ48" s="11"/>
      <c r="AR48" s="10"/>
      <c r="AS48" s="10"/>
      <c r="AT48" s="10"/>
      <c r="AU48" s="9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5"/>
      <c r="K1" s="63" t="s">
        <v>2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5"/>
      <c r="W1" s="107" t="str">
        <f>IF(表紙!W1="","",表紙!W1)</f>
        <v>詳細設計書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63" t="s">
        <v>3</v>
      </c>
      <c r="AQ1" s="64"/>
      <c r="AR1" s="64"/>
      <c r="AS1" s="65"/>
      <c r="AT1" s="63" t="s">
        <v>4</v>
      </c>
      <c r="AU1" s="64"/>
      <c r="AV1" s="64"/>
      <c r="AW1" s="64"/>
      <c r="AX1" s="65"/>
      <c r="AY1" s="63" t="s">
        <v>5</v>
      </c>
      <c r="AZ1" s="64"/>
      <c r="BA1" s="64"/>
      <c r="BB1" s="65"/>
      <c r="BC1" s="63" t="s">
        <v>6</v>
      </c>
      <c r="BD1" s="64"/>
      <c r="BE1" s="64"/>
      <c r="BF1" s="64"/>
      <c r="BG1" s="65"/>
      <c r="BH1" s="63" t="s">
        <v>7</v>
      </c>
      <c r="BI1" s="64"/>
      <c r="BJ1" s="64"/>
      <c r="BK1" s="65"/>
    </row>
    <row r="2" spans="1:63" ht="15" customHeight="1" x14ac:dyDescent="0.25">
      <c r="A2" s="14" t="str">
        <f>IF(表紙!A2="","",表紙!A2)</f>
        <v>POSサーバー</v>
      </c>
      <c r="B2" s="13"/>
      <c r="C2" s="13"/>
      <c r="D2" s="13"/>
      <c r="E2" s="13"/>
      <c r="F2" s="13"/>
      <c r="G2" s="13"/>
      <c r="H2" s="13"/>
      <c r="I2" s="13"/>
      <c r="J2" s="12"/>
      <c r="K2" s="14" t="str">
        <f>IF(表紙!K2="","",表紙!K2)</f>
        <v>POSサーバー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88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90"/>
      <c r="AP2" s="14" t="str">
        <f>IF(表紙!AP2="","",表紙!AP2)</f>
        <v>DuNT</v>
      </c>
      <c r="AQ2" s="13"/>
      <c r="AR2" s="13"/>
      <c r="AS2" s="12"/>
      <c r="AT2" s="78">
        <f>IF(表紙!AT2="","",表紙!AT2)</f>
        <v>45491</v>
      </c>
      <c r="AU2" s="79"/>
      <c r="AV2" s="79"/>
      <c r="AW2" s="79"/>
      <c r="AX2" s="80"/>
      <c r="AY2" s="14" t="str">
        <f>IF(表紙!AY2="","",表紙!AY2)</f>
        <v>DuNT</v>
      </c>
      <c r="AZ2" s="13"/>
      <c r="BA2" s="13"/>
      <c r="BB2" s="12"/>
      <c r="BC2" s="78">
        <f>IF(表紙!BC2="","",表紙!BC2)</f>
        <v>45575</v>
      </c>
      <c r="BD2" s="79"/>
      <c r="BE2" s="79"/>
      <c r="BF2" s="79"/>
      <c r="BG2" s="80"/>
      <c r="BH2" s="14">
        <f>IF(表紙!BH2="","",表紙!BH2)</f>
        <v>0.41</v>
      </c>
      <c r="BI2" s="13"/>
      <c r="BJ2" s="13"/>
      <c r="BK2" s="12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"/>
      <c r="AQ3" s="7"/>
      <c r="AR3" s="7"/>
      <c r="AS3" s="6"/>
      <c r="AT3" s="81"/>
      <c r="AU3" s="82"/>
      <c r="AV3" s="82"/>
      <c r="AW3" s="82"/>
      <c r="AX3" s="83"/>
      <c r="AY3" s="8"/>
      <c r="AZ3" s="7"/>
      <c r="BA3" s="7"/>
      <c r="BB3" s="6"/>
      <c r="BC3" s="81"/>
      <c r="BD3" s="82"/>
      <c r="BE3" s="82"/>
      <c r="BF3" s="82"/>
      <c r="BG3" s="83"/>
      <c r="BH3" s="8"/>
      <c r="BI3" s="7"/>
      <c r="BJ3" s="7"/>
      <c r="BK3" s="6"/>
    </row>
    <row r="4" spans="1:63" ht="24.95" customHeight="1" x14ac:dyDescent="0.25">
      <c r="A4" s="63" t="s">
        <v>1</v>
      </c>
      <c r="B4" s="64"/>
      <c r="C4" s="64"/>
      <c r="D4" s="64"/>
      <c r="E4" s="64"/>
      <c r="F4" s="64"/>
      <c r="G4" s="65"/>
      <c r="H4" s="68" t="str">
        <f>IF(表紙!H4="","",表紙!H4)</f>
        <v>AP7104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63" t="s">
        <v>8</v>
      </c>
      <c r="V4" s="64"/>
      <c r="W4" s="64"/>
      <c r="X4" s="64"/>
      <c r="Y4" s="65"/>
      <c r="Z4" s="68" t="str">
        <f>IF(表紙!Z4="","",表紙!Z4)</f>
        <v>API設計書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68" t="str">
        <f t="array" aca="1" ref="AP4" ca="1">RIGHT(CELL("filename",$A$1),LEN(CELL("filename",$A$1))-FIND("]",CELL("filename",$A$1)))</f>
        <v>改訂履歴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06" t="s">
        <v>6</v>
      </c>
      <c r="C10" s="106"/>
      <c r="D10" s="106"/>
      <c r="E10" s="106"/>
      <c r="F10" s="106"/>
      <c r="G10" s="106"/>
      <c r="H10" s="106" t="s">
        <v>5</v>
      </c>
      <c r="I10" s="106"/>
      <c r="J10" s="106"/>
      <c r="K10" s="106"/>
      <c r="L10" s="106"/>
      <c r="M10" s="106"/>
      <c r="N10" s="106"/>
      <c r="O10" s="106" t="s">
        <v>7</v>
      </c>
      <c r="P10" s="106"/>
      <c r="Q10" s="106"/>
      <c r="R10" s="106"/>
      <c r="S10" s="106" t="s">
        <v>10</v>
      </c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 t="s">
        <v>11</v>
      </c>
      <c r="AY10" s="106"/>
      <c r="AZ10" s="106"/>
      <c r="BA10" s="106"/>
      <c r="BB10" s="106"/>
      <c r="BC10" s="106"/>
      <c r="BD10" s="106" t="s">
        <v>12</v>
      </c>
      <c r="BE10" s="106"/>
      <c r="BF10" s="106"/>
      <c r="BG10" s="106"/>
      <c r="BH10" s="106"/>
      <c r="BI10" s="106"/>
      <c r="BJ10" s="106"/>
      <c r="BK10" s="18"/>
    </row>
    <row r="11" spans="1:63" ht="15" customHeight="1" x14ac:dyDescent="0.25">
      <c r="A11" s="15"/>
      <c r="B11" s="78">
        <v>45491</v>
      </c>
      <c r="C11" s="13"/>
      <c r="D11" s="13"/>
      <c r="E11" s="13"/>
      <c r="F11" s="13"/>
      <c r="G11" s="12"/>
      <c r="H11" s="84" t="s">
        <v>54</v>
      </c>
      <c r="I11" s="13"/>
      <c r="J11" s="13"/>
      <c r="K11" s="13"/>
      <c r="L11" s="13"/>
      <c r="M11" s="13"/>
      <c r="N11" s="12"/>
      <c r="O11" s="14">
        <v>0.1</v>
      </c>
      <c r="P11" s="13"/>
      <c r="Q11" s="13"/>
      <c r="R11" s="13"/>
      <c r="S11" s="94" t="s">
        <v>14</v>
      </c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6"/>
      <c r="AX11" s="97"/>
      <c r="AY11" s="97"/>
      <c r="AZ11" s="97"/>
      <c r="BA11" s="97"/>
      <c r="BB11" s="97"/>
      <c r="BC11" s="98"/>
      <c r="BD11" s="101"/>
      <c r="BE11" s="97"/>
      <c r="BF11" s="97"/>
      <c r="BG11" s="97"/>
      <c r="BH11" s="97"/>
      <c r="BI11" s="97"/>
      <c r="BJ11" s="98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103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5"/>
      <c r="AX12" s="99"/>
      <c r="AY12" s="99"/>
      <c r="AZ12" s="99"/>
      <c r="BA12" s="99"/>
      <c r="BB12" s="99"/>
      <c r="BC12" s="100"/>
      <c r="BD12" s="102"/>
      <c r="BE12" s="99"/>
      <c r="BF12" s="99"/>
      <c r="BG12" s="99"/>
      <c r="BH12" s="99"/>
      <c r="BI12" s="99"/>
      <c r="BJ12" s="100"/>
      <c r="BK12" s="18"/>
    </row>
    <row r="13" spans="1:63" ht="15" customHeight="1" x14ac:dyDescent="0.25">
      <c r="A13" s="15"/>
      <c r="B13" s="78">
        <v>45519</v>
      </c>
      <c r="C13" s="13"/>
      <c r="D13" s="13"/>
      <c r="E13" s="13"/>
      <c r="F13" s="13"/>
      <c r="G13" s="12"/>
      <c r="H13" s="14" t="s">
        <v>54</v>
      </c>
      <c r="I13" s="13"/>
      <c r="J13" s="13"/>
      <c r="K13" s="13"/>
      <c r="L13" s="13"/>
      <c r="M13" s="13"/>
      <c r="N13" s="12"/>
      <c r="O13" s="14">
        <v>0.2</v>
      </c>
      <c r="P13" s="13"/>
      <c r="Q13" s="13"/>
      <c r="R13" s="13"/>
      <c r="S13" s="143" t="s">
        <v>56</v>
      </c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6"/>
      <c r="AX13" s="97"/>
      <c r="AY13" s="97"/>
      <c r="AZ13" s="97"/>
      <c r="BA13" s="97"/>
      <c r="BB13" s="97"/>
      <c r="BC13" s="98"/>
      <c r="BD13" s="101"/>
      <c r="BE13" s="97"/>
      <c r="BF13" s="97"/>
      <c r="BG13" s="97"/>
      <c r="BH13" s="97"/>
      <c r="BI13" s="97"/>
      <c r="BJ13" s="98"/>
      <c r="BK13" s="18"/>
    </row>
    <row r="14" spans="1:63" ht="31.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8"/>
      <c r="P14" s="7"/>
      <c r="Q14" s="7"/>
      <c r="R14" s="7"/>
      <c r="S14" s="146" t="s">
        <v>55</v>
      </c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5"/>
      <c r="AX14" s="99"/>
      <c r="AY14" s="99"/>
      <c r="AZ14" s="99"/>
      <c r="BA14" s="99"/>
      <c r="BB14" s="99"/>
      <c r="BC14" s="100"/>
      <c r="BD14" s="102"/>
      <c r="BE14" s="99"/>
      <c r="BF14" s="99"/>
      <c r="BG14" s="99"/>
      <c r="BH14" s="99"/>
      <c r="BI14" s="99"/>
      <c r="BJ14" s="100"/>
      <c r="BK14" s="18"/>
    </row>
    <row r="15" spans="1:63" ht="15" customHeight="1" x14ac:dyDescent="0.25">
      <c r="A15" s="15"/>
      <c r="B15" s="78">
        <v>45567</v>
      </c>
      <c r="C15" s="13"/>
      <c r="D15" s="13"/>
      <c r="E15" s="13"/>
      <c r="F15" s="13"/>
      <c r="G15" s="12"/>
      <c r="H15" s="14" t="s">
        <v>53</v>
      </c>
      <c r="I15" s="13"/>
      <c r="J15" s="13"/>
      <c r="K15" s="13"/>
      <c r="L15" s="13"/>
      <c r="M15" s="13"/>
      <c r="N15" s="12"/>
      <c r="O15" s="14">
        <v>0.3</v>
      </c>
      <c r="P15" s="13"/>
      <c r="Q15" s="13"/>
      <c r="R15" s="13"/>
      <c r="S15" s="143" t="s">
        <v>56</v>
      </c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6"/>
      <c r="AX15" s="97"/>
      <c r="AY15" s="97"/>
      <c r="AZ15" s="97"/>
      <c r="BA15" s="97"/>
      <c r="BB15" s="97"/>
      <c r="BC15" s="98"/>
      <c r="BD15" s="101"/>
      <c r="BE15" s="97"/>
      <c r="BF15" s="97"/>
      <c r="BG15" s="97"/>
      <c r="BH15" s="97"/>
      <c r="BI15" s="97"/>
      <c r="BJ15" s="98"/>
      <c r="BK15" s="18"/>
    </row>
    <row r="16" spans="1:63" ht="15" customHeight="1" x14ac:dyDescent="0.25">
      <c r="A16" s="15"/>
      <c r="B16" s="8"/>
      <c r="C16" s="7"/>
      <c r="D16" s="7"/>
      <c r="E16" s="7"/>
      <c r="F16" s="7"/>
      <c r="G16" s="6"/>
      <c r="H16" s="8"/>
      <c r="I16" s="7"/>
      <c r="J16" s="7"/>
      <c r="K16" s="7"/>
      <c r="L16" s="7"/>
      <c r="M16" s="7"/>
      <c r="N16" s="6"/>
      <c r="O16" s="8"/>
      <c r="P16" s="7"/>
      <c r="Q16" s="7"/>
      <c r="R16" s="7"/>
      <c r="S16" s="103" t="s">
        <v>57</v>
      </c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5"/>
      <c r="AX16" s="99"/>
      <c r="AY16" s="99"/>
      <c r="AZ16" s="99"/>
      <c r="BA16" s="99"/>
      <c r="BB16" s="99"/>
      <c r="BC16" s="100"/>
      <c r="BD16" s="102"/>
      <c r="BE16" s="99"/>
      <c r="BF16" s="99"/>
      <c r="BG16" s="99"/>
      <c r="BH16" s="99"/>
      <c r="BI16" s="99"/>
      <c r="BJ16" s="100"/>
      <c r="BK16" s="18"/>
    </row>
    <row r="17" spans="1:63" ht="15" customHeight="1" x14ac:dyDescent="0.25">
      <c r="A17" s="15"/>
      <c r="B17" s="147">
        <v>45569</v>
      </c>
      <c r="C17" s="148"/>
      <c r="D17" s="148"/>
      <c r="E17" s="148"/>
      <c r="F17" s="148"/>
      <c r="G17" s="149"/>
      <c r="H17" s="150" t="s">
        <v>61</v>
      </c>
      <c r="I17" s="148"/>
      <c r="J17" s="148"/>
      <c r="K17" s="148"/>
      <c r="L17" s="148"/>
      <c r="M17" s="148"/>
      <c r="N17" s="149"/>
      <c r="O17" s="150">
        <v>0.4</v>
      </c>
      <c r="P17" s="148"/>
      <c r="Q17" s="148"/>
      <c r="R17" s="148"/>
      <c r="S17" s="151" t="s">
        <v>56</v>
      </c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3"/>
      <c r="AX17" s="97"/>
      <c r="AY17" s="97"/>
      <c r="AZ17" s="97"/>
      <c r="BA17" s="97"/>
      <c r="BB17" s="97"/>
      <c r="BC17" s="98"/>
      <c r="BD17" s="101"/>
      <c r="BE17" s="97"/>
      <c r="BF17" s="97"/>
      <c r="BG17" s="97"/>
      <c r="BH17" s="97"/>
      <c r="BI17" s="97"/>
      <c r="BJ17" s="98"/>
      <c r="BK17" s="18"/>
    </row>
    <row r="18" spans="1:63" ht="38.25" customHeight="1" x14ac:dyDescent="0.25">
      <c r="A18" s="15"/>
      <c r="B18" s="154"/>
      <c r="C18" s="155"/>
      <c r="D18" s="155"/>
      <c r="E18" s="155"/>
      <c r="F18" s="155"/>
      <c r="G18" s="156"/>
      <c r="H18" s="154"/>
      <c r="I18" s="155"/>
      <c r="J18" s="155"/>
      <c r="K18" s="155"/>
      <c r="L18" s="155"/>
      <c r="M18" s="155"/>
      <c r="N18" s="156"/>
      <c r="O18" s="154"/>
      <c r="P18" s="155"/>
      <c r="Q18" s="155"/>
      <c r="R18" s="155"/>
      <c r="S18" s="157" t="s">
        <v>58</v>
      </c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9"/>
      <c r="AX18" s="99"/>
      <c r="AY18" s="99"/>
      <c r="AZ18" s="99"/>
      <c r="BA18" s="99"/>
      <c r="BB18" s="99"/>
      <c r="BC18" s="100"/>
      <c r="BD18" s="102"/>
      <c r="BE18" s="99"/>
      <c r="BF18" s="99"/>
      <c r="BG18" s="99"/>
      <c r="BH18" s="99"/>
      <c r="BI18" s="99"/>
      <c r="BJ18" s="100"/>
      <c r="BK18" s="18"/>
    </row>
    <row r="19" spans="1:63" ht="15" customHeight="1" x14ac:dyDescent="0.25">
      <c r="A19" s="15"/>
      <c r="B19" s="147">
        <v>45575</v>
      </c>
      <c r="C19" s="148"/>
      <c r="D19" s="148"/>
      <c r="E19" s="148"/>
      <c r="F19" s="148"/>
      <c r="G19" s="149"/>
      <c r="H19" s="150" t="s">
        <v>61</v>
      </c>
      <c r="I19" s="148"/>
      <c r="J19" s="148"/>
      <c r="K19" s="148"/>
      <c r="L19" s="148"/>
      <c r="M19" s="148"/>
      <c r="N19" s="149"/>
      <c r="O19" s="150">
        <v>0.41</v>
      </c>
      <c r="P19" s="148"/>
      <c r="Q19" s="148"/>
      <c r="R19" s="148"/>
      <c r="S19" s="151" t="s">
        <v>59</v>
      </c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3"/>
      <c r="AX19" s="97"/>
      <c r="AY19" s="97"/>
      <c r="AZ19" s="97"/>
      <c r="BA19" s="97"/>
      <c r="BB19" s="97"/>
      <c r="BC19" s="98"/>
      <c r="BD19" s="101"/>
      <c r="BE19" s="97"/>
      <c r="BF19" s="97"/>
      <c r="BG19" s="97"/>
      <c r="BH19" s="97"/>
      <c r="BI19" s="97"/>
      <c r="BJ19" s="98"/>
      <c r="BK19" s="18"/>
    </row>
    <row r="20" spans="1:63" ht="15" customHeight="1" x14ac:dyDescent="0.25">
      <c r="A20" s="15"/>
      <c r="B20" s="154"/>
      <c r="C20" s="155"/>
      <c r="D20" s="155"/>
      <c r="E20" s="155"/>
      <c r="F20" s="155"/>
      <c r="G20" s="156"/>
      <c r="H20" s="154"/>
      <c r="I20" s="155"/>
      <c r="J20" s="155"/>
      <c r="K20" s="155"/>
      <c r="L20" s="155"/>
      <c r="M20" s="155"/>
      <c r="N20" s="156"/>
      <c r="O20" s="154"/>
      <c r="P20" s="155"/>
      <c r="Q20" s="155"/>
      <c r="R20" s="155"/>
      <c r="S20" s="160" t="s">
        <v>60</v>
      </c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/>
      <c r="AW20" s="162"/>
      <c r="AX20" s="99"/>
      <c r="AY20" s="99"/>
      <c r="AZ20" s="99"/>
      <c r="BA20" s="99"/>
      <c r="BB20" s="99"/>
      <c r="BC20" s="100"/>
      <c r="BD20" s="102"/>
      <c r="BE20" s="99"/>
      <c r="BF20" s="99"/>
      <c r="BG20" s="99"/>
      <c r="BH20" s="99"/>
      <c r="BI20" s="99"/>
      <c r="BJ20" s="100"/>
      <c r="BK20" s="18"/>
    </row>
    <row r="21" spans="1:63" ht="15" customHeight="1" x14ac:dyDescent="0.25">
      <c r="A21" s="15"/>
      <c r="B21" s="14"/>
      <c r="C21" s="13"/>
      <c r="D21" s="13"/>
      <c r="E21" s="13"/>
      <c r="F21" s="13"/>
      <c r="G21" s="12"/>
      <c r="H21" s="14"/>
      <c r="I21" s="13"/>
      <c r="J21" s="13"/>
      <c r="K21" s="13"/>
      <c r="L21" s="13"/>
      <c r="M21" s="13"/>
      <c r="N21" s="12"/>
      <c r="O21" s="14"/>
      <c r="P21" s="13"/>
      <c r="Q21" s="13"/>
      <c r="R21" s="13"/>
      <c r="S21" s="94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6"/>
      <c r="AX21" s="97"/>
      <c r="AY21" s="97"/>
      <c r="AZ21" s="97"/>
      <c r="BA21" s="97"/>
      <c r="BB21" s="97"/>
      <c r="BC21" s="98"/>
      <c r="BD21" s="101"/>
      <c r="BE21" s="97"/>
      <c r="BF21" s="97"/>
      <c r="BG21" s="97"/>
      <c r="BH21" s="97"/>
      <c r="BI21" s="97"/>
      <c r="BJ21" s="98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103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5"/>
      <c r="AX22" s="99"/>
      <c r="AY22" s="99"/>
      <c r="AZ22" s="99"/>
      <c r="BA22" s="99"/>
      <c r="BB22" s="99"/>
      <c r="BC22" s="100"/>
      <c r="BD22" s="102"/>
      <c r="BE22" s="99"/>
      <c r="BF22" s="99"/>
      <c r="BG22" s="99"/>
      <c r="BH22" s="99"/>
      <c r="BI22" s="99"/>
      <c r="BJ22" s="100"/>
      <c r="BK22" s="18"/>
    </row>
    <row r="23" spans="1:63" ht="15" customHeight="1" x14ac:dyDescent="0.25">
      <c r="A23" s="15"/>
      <c r="B23" s="14"/>
      <c r="C23" s="13"/>
      <c r="D23" s="13"/>
      <c r="E23" s="13"/>
      <c r="F23" s="13"/>
      <c r="G23" s="12"/>
      <c r="H23" s="14"/>
      <c r="I23" s="13"/>
      <c r="J23" s="13"/>
      <c r="K23" s="13"/>
      <c r="L23" s="13"/>
      <c r="M23" s="13"/>
      <c r="N23" s="12"/>
      <c r="O23" s="14"/>
      <c r="P23" s="13"/>
      <c r="Q23" s="13"/>
      <c r="R23" s="13"/>
      <c r="S23" s="94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6"/>
      <c r="AX23" s="97"/>
      <c r="AY23" s="97"/>
      <c r="AZ23" s="97"/>
      <c r="BA23" s="97"/>
      <c r="BB23" s="97"/>
      <c r="BC23" s="98"/>
      <c r="BD23" s="101"/>
      <c r="BE23" s="97"/>
      <c r="BF23" s="97"/>
      <c r="BG23" s="97"/>
      <c r="BH23" s="97"/>
      <c r="BI23" s="97"/>
      <c r="BJ23" s="98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103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5"/>
      <c r="AX24" s="99"/>
      <c r="AY24" s="99"/>
      <c r="AZ24" s="99"/>
      <c r="BA24" s="99"/>
      <c r="BB24" s="99"/>
      <c r="BC24" s="100"/>
      <c r="BD24" s="102"/>
      <c r="BE24" s="99"/>
      <c r="BF24" s="99"/>
      <c r="BG24" s="99"/>
      <c r="BH24" s="99"/>
      <c r="BI24" s="99"/>
      <c r="BJ24" s="100"/>
      <c r="BK24" s="18"/>
    </row>
    <row r="25" spans="1:63" ht="15" customHeight="1" x14ac:dyDescent="0.25">
      <c r="A25" s="15"/>
      <c r="B25" s="14"/>
      <c r="C25" s="13"/>
      <c r="D25" s="13"/>
      <c r="E25" s="13"/>
      <c r="F25" s="13"/>
      <c r="G25" s="12"/>
      <c r="H25" s="14"/>
      <c r="I25" s="13"/>
      <c r="J25" s="13"/>
      <c r="K25" s="13"/>
      <c r="L25" s="13"/>
      <c r="M25" s="13"/>
      <c r="N25" s="12"/>
      <c r="O25" s="14"/>
      <c r="P25" s="13"/>
      <c r="Q25" s="13"/>
      <c r="R25" s="13"/>
      <c r="S25" s="94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6"/>
      <c r="AX25" s="97"/>
      <c r="AY25" s="97"/>
      <c r="AZ25" s="97"/>
      <c r="BA25" s="97"/>
      <c r="BB25" s="97"/>
      <c r="BC25" s="98"/>
      <c r="BD25" s="101"/>
      <c r="BE25" s="97"/>
      <c r="BF25" s="97"/>
      <c r="BG25" s="97"/>
      <c r="BH25" s="97"/>
      <c r="BI25" s="97"/>
      <c r="BJ25" s="98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103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5"/>
      <c r="AX26" s="99"/>
      <c r="AY26" s="99"/>
      <c r="AZ26" s="99"/>
      <c r="BA26" s="99"/>
      <c r="BB26" s="99"/>
      <c r="BC26" s="100"/>
      <c r="BD26" s="102"/>
      <c r="BE26" s="99"/>
      <c r="BF26" s="99"/>
      <c r="BG26" s="99"/>
      <c r="BH26" s="99"/>
      <c r="BI26" s="99"/>
      <c r="BJ26" s="100"/>
      <c r="BK26" s="18"/>
    </row>
    <row r="27" spans="1:63" ht="15" customHeight="1" x14ac:dyDescent="0.25">
      <c r="A27" s="15"/>
      <c r="B27" s="14"/>
      <c r="C27" s="13"/>
      <c r="D27" s="13"/>
      <c r="E27" s="13"/>
      <c r="F27" s="13"/>
      <c r="G27" s="12"/>
      <c r="H27" s="14"/>
      <c r="I27" s="13"/>
      <c r="J27" s="13"/>
      <c r="K27" s="13"/>
      <c r="L27" s="13"/>
      <c r="M27" s="13"/>
      <c r="N27" s="12"/>
      <c r="O27" s="14"/>
      <c r="P27" s="13"/>
      <c r="Q27" s="13"/>
      <c r="R27" s="13"/>
      <c r="S27" s="94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6"/>
      <c r="AX27" s="97"/>
      <c r="AY27" s="97"/>
      <c r="AZ27" s="97"/>
      <c r="BA27" s="97"/>
      <c r="BB27" s="97"/>
      <c r="BC27" s="98"/>
      <c r="BD27" s="101"/>
      <c r="BE27" s="97"/>
      <c r="BF27" s="97"/>
      <c r="BG27" s="97"/>
      <c r="BH27" s="97"/>
      <c r="BI27" s="97"/>
      <c r="BJ27" s="98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103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5"/>
      <c r="AX28" s="99"/>
      <c r="AY28" s="99"/>
      <c r="AZ28" s="99"/>
      <c r="BA28" s="99"/>
      <c r="BB28" s="99"/>
      <c r="BC28" s="100"/>
      <c r="BD28" s="102"/>
      <c r="BE28" s="99"/>
      <c r="BF28" s="99"/>
      <c r="BG28" s="99"/>
      <c r="BH28" s="99"/>
      <c r="BI28" s="99"/>
      <c r="BJ28" s="100"/>
      <c r="BK28" s="18"/>
    </row>
    <row r="29" spans="1:63" ht="15" customHeight="1" x14ac:dyDescent="0.25">
      <c r="A29" s="15"/>
      <c r="B29" s="14"/>
      <c r="C29" s="13"/>
      <c r="D29" s="13"/>
      <c r="E29" s="13"/>
      <c r="F29" s="13"/>
      <c r="G29" s="12"/>
      <c r="H29" s="14"/>
      <c r="I29" s="13"/>
      <c r="J29" s="13"/>
      <c r="K29" s="13"/>
      <c r="L29" s="13"/>
      <c r="M29" s="13"/>
      <c r="N29" s="12"/>
      <c r="O29" s="14"/>
      <c r="P29" s="13"/>
      <c r="Q29" s="13"/>
      <c r="R29" s="13"/>
      <c r="S29" s="94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6"/>
      <c r="AX29" s="97"/>
      <c r="AY29" s="97"/>
      <c r="AZ29" s="97"/>
      <c r="BA29" s="97"/>
      <c r="BB29" s="97"/>
      <c r="BC29" s="98"/>
      <c r="BD29" s="101"/>
      <c r="BE29" s="97"/>
      <c r="BF29" s="97"/>
      <c r="BG29" s="97"/>
      <c r="BH29" s="97"/>
      <c r="BI29" s="97"/>
      <c r="BJ29" s="98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103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5"/>
      <c r="AX30" s="99"/>
      <c r="AY30" s="99"/>
      <c r="AZ30" s="99"/>
      <c r="BA30" s="99"/>
      <c r="BB30" s="99"/>
      <c r="BC30" s="100"/>
      <c r="BD30" s="102"/>
      <c r="BE30" s="99"/>
      <c r="BF30" s="99"/>
      <c r="BG30" s="99"/>
      <c r="BH30" s="99"/>
      <c r="BI30" s="99"/>
      <c r="BJ30" s="100"/>
      <c r="BK30" s="18"/>
    </row>
    <row r="31" spans="1:63" ht="15" customHeight="1" x14ac:dyDescent="0.25">
      <c r="A31" s="15"/>
      <c r="B31" s="14"/>
      <c r="C31" s="13"/>
      <c r="D31" s="13"/>
      <c r="E31" s="13"/>
      <c r="F31" s="13"/>
      <c r="G31" s="12"/>
      <c r="H31" s="14"/>
      <c r="I31" s="13"/>
      <c r="J31" s="13"/>
      <c r="K31" s="13"/>
      <c r="L31" s="13"/>
      <c r="M31" s="13"/>
      <c r="N31" s="12"/>
      <c r="O31" s="14"/>
      <c r="P31" s="13"/>
      <c r="Q31" s="13"/>
      <c r="R31" s="13"/>
      <c r="S31" s="94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6"/>
      <c r="AX31" s="97"/>
      <c r="AY31" s="97"/>
      <c r="AZ31" s="97"/>
      <c r="BA31" s="97"/>
      <c r="BB31" s="97"/>
      <c r="BC31" s="98"/>
      <c r="BD31" s="101"/>
      <c r="BE31" s="97"/>
      <c r="BF31" s="97"/>
      <c r="BG31" s="97"/>
      <c r="BH31" s="97"/>
      <c r="BI31" s="97"/>
      <c r="BJ31" s="98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103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5"/>
      <c r="AX32" s="99"/>
      <c r="AY32" s="99"/>
      <c r="AZ32" s="99"/>
      <c r="BA32" s="99"/>
      <c r="BB32" s="99"/>
      <c r="BC32" s="100"/>
      <c r="BD32" s="102"/>
      <c r="BE32" s="99"/>
      <c r="BF32" s="99"/>
      <c r="BG32" s="99"/>
      <c r="BH32" s="99"/>
      <c r="BI32" s="99"/>
      <c r="BJ32" s="100"/>
      <c r="BK32" s="18"/>
    </row>
    <row r="33" spans="1:63" ht="15" customHeight="1" x14ac:dyDescent="0.25">
      <c r="A33" s="15"/>
      <c r="B33" s="14"/>
      <c r="C33" s="13"/>
      <c r="D33" s="13"/>
      <c r="E33" s="13"/>
      <c r="F33" s="13"/>
      <c r="G33" s="12"/>
      <c r="H33" s="14"/>
      <c r="I33" s="13"/>
      <c r="J33" s="13"/>
      <c r="K33" s="13"/>
      <c r="L33" s="13"/>
      <c r="M33" s="13"/>
      <c r="N33" s="12"/>
      <c r="O33" s="14"/>
      <c r="P33" s="13"/>
      <c r="Q33" s="13"/>
      <c r="R33" s="13"/>
      <c r="S33" s="94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6"/>
      <c r="AX33" s="97"/>
      <c r="AY33" s="97"/>
      <c r="AZ33" s="97"/>
      <c r="BA33" s="97"/>
      <c r="BB33" s="97"/>
      <c r="BC33" s="98"/>
      <c r="BD33" s="101"/>
      <c r="BE33" s="97"/>
      <c r="BF33" s="97"/>
      <c r="BG33" s="97"/>
      <c r="BH33" s="97"/>
      <c r="BI33" s="97"/>
      <c r="BJ33" s="98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103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5"/>
      <c r="AX34" s="99"/>
      <c r="AY34" s="99"/>
      <c r="AZ34" s="99"/>
      <c r="BA34" s="99"/>
      <c r="BB34" s="99"/>
      <c r="BC34" s="100"/>
      <c r="BD34" s="102"/>
      <c r="BE34" s="99"/>
      <c r="BF34" s="99"/>
      <c r="BG34" s="99"/>
      <c r="BH34" s="99"/>
      <c r="BI34" s="99"/>
      <c r="BJ34" s="100"/>
      <c r="BK34" s="18"/>
    </row>
    <row r="35" spans="1:63" ht="15" customHeight="1" x14ac:dyDescent="0.25">
      <c r="A35" s="15"/>
      <c r="B35" s="14"/>
      <c r="C35" s="13"/>
      <c r="D35" s="13"/>
      <c r="E35" s="13"/>
      <c r="F35" s="13"/>
      <c r="G35" s="12"/>
      <c r="H35" s="14"/>
      <c r="I35" s="13"/>
      <c r="J35" s="13"/>
      <c r="K35" s="13"/>
      <c r="L35" s="13"/>
      <c r="M35" s="13"/>
      <c r="N35" s="12"/>
      <c r="O35" s="14"/>
      <c r="P35" s="13"/>
      <c r="Q35" s="13"/>
      <c r="R35" s="13"/>
      <c r="S35" s="94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6"/>
      <c r="AX35" s="97"/>
      <c r="AY35" s="97"/>
      <c r="AZ35" s="97"/>
      <c r="BA35" s="97"/>
      <c r="BB35" s="97"/>
      <c r="BC35" s="98"/>
      <c r="BD35" s="101"/>
      <c r="BE35" s="97"/>
      <c r="BF35" s="97"/>
      <c r="BG35" s="97"/>
      <c r="BH35" s="97"/>
      <c r="BI35" s="97"/>
      <c r="BJ35" s="98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103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5"/>
      <c r="AX36" s="99"/>
      <c r="AY36" s="99"/>
      <c r="AZ36" s="99"/>
      <c r="BA36" s="99"/>
      <c r="BB36" s="99"/>
      <c r="BC36" s="100"/>
      <c r="BD36" s="102"/>
      <c r="BE36" s="99"/>
      <c r="BF36" s="99"/>
      <c r="BG36" s="99"/>
      <c r="BH36" s="99"/>
      <c r="BI36" s="99"/>
      <c r="BJ36" s="100"/>
      <c r="BK36" s="18"/>
    </row>
    <row r="37" spans="1:63" ht="15" customHeight="1" x14ac:dyDescent="0.25">
      <c r="A37" s="15"/>
      <c r="B37" s="14"/>
      <c r="C37" s="13"/>
      <c r="D37" s="13"/>
      <c r="E37" s="13"/>
      <c r="F37" s="13"/>
      <c r="G37" s="12"/>
      <c r="H37" s="14"/>
      <c r="I37" s="13"/>
      <c r="J37" s="13"/>
      <c r="K37" s="13"/>
      <c r="L37" s="13"/>
      <c r="M37" s="13"/>
      <c r="N37" s="12"/>
      <c r="O37" s="14"/>
      <c r="P37" s="13"/>
      <c r="Q37" s="13"/>
      <c r="R37" s="13"/>
      <c r="S37" s="94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6"/>
      <c r="AX37" s="97"/>
      <c r="AY37" s="97"/>
      <c r="AZ37" s="97"/>
      <c r="BA37" s="97"/>
      <c r="BB37" s="97"/>
      <c r="BC37" s="98"/>
      <c r="BD37" s="101"/>
      <c r="BE37" s="97"/>
      <c r="BF37" s="97"/>
      <c r="BG37" s="97"/>
      <c r="BH37" s="97"/>
      <c r="BI37" s="97"/>
      <c r="BJ37" s="98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103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5"/>
      <c r="AX38" s="99"/>
      <c r="AY38" s="99"/>
      <c r="AZ38" s="99"/>
      <c r="BA38" s="99"/>
      <c r="BB38" s="99"/>
      <c r="BC38" s="100"/>
      <c r="BD38" s="102"/>
      <c r="BE38" s="99"/>
      <c r="BF38" s="99"/>
      <c r="BG38" s="99"/>
      <c r="BH38" s="99"/>
      <c r="BI38" s="99"/>
      <c r="BJ38" s="100"/>
      <c r="BK38" s="18"/>
    </row>
    <row r="39" spans="1:63" ht="15" customHeight="1" x14ac:dyDescent="0.25">
      <c r="A39" s="15"/>
      <c r="B39" s="14"/>
      <c r="C39" s="13"/>
      <c r="D39" s="13"/>
      <c r="E39" s="13"/>
      <c r="F39" s="13"/>
      <c r="G39" s="12"/>
      <c r="H39" s="14"/>
      <c r="I39" s="13"/>
      <c r="J39" s="13"/>
      <c r="K39" s="13"/>
      <c r="L39" s="13"/>
      <c r="M39" s="13"/>
      <c r="N39" s="12"/>
      <c r="O39" s="14"/>
      <c r="P39" s="13"/>
      <c r="Q39" s="13"/>
      <c r="R39" s="13"/>
      <c r="S39" s="94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6"/>
      <c r="AX39" s="97"/>
      <c r="AY39" s="97"/>
      <c r="AZ39" s="97"/>
      <c r="BA39" s="97"/>
      <c r="BB39" s="97"/>
      <c r="BC39" s="98"/>
      <c r="BD39" s="101"/>
      <c r="BE39" s="97"/>
      <c r="BF39" s="97"/>
      <c r="BG39" s="97"/>
      <c r="BH39" s="97"/>
      <c r="BI39" s="97"/>
      <c r="BJ39" s="98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103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5"/>
      <c r="AX40" s="99"/>
      <c r="AY40" s="99"/>
      <c r="AZ40" s="99"/>
      <c r="BA40" s="99"/>
      <c r="BB40" s="99"/>
      <c r="BC40" s="100"/>
      <c r="BD40" s="102"/>
      <c r="BE40" s="99"/>
      <c r="BF40" s="99"/>
      <c r="BG40" s="99"/>
      <c r="BH40" s="99"/>
      <c r="BI40" s="99"/>
      <c r="BJ40" s="100"/>
      <c r="BK40" s="18"/>
    </row>
    <row r="41" spans="1:63" ht="15" customHeight="1" x14ac:dyDescent="0.25">
      <c r="A41" s="15"/>
      <c r="B41" s="14"/>
      <c r="C41" s="13"/>
      <c r="D41" s="13"/>
      <c r="E41" s="13"/>
      <c r="F41" s="13"/>
      <c r="G41" s="12"/>
      <c r="H41" s="14"/>
      <c r="I41" s="13"/>
      <c r="J41" s="13"/>
      <c r="K41" s="13"/>
      <c r="L41" s="13"/>
      <c r="M41" s="13"/>
      <c r="N41" s="12"/>
      <c r="O41" s="14"/>
      <c r="P41" s="13"/>
      <c r="Q41" s="13"/>
      <c r="R41" s="13"/>
      <c r="S41" s="94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6"/>
      <c r="AX41" s="97"/>
      <c r="AY41" s="97"/>
      <c r="AZ41" s="97"/>
      <c r="BA41" s="97"/>
      <c r="BB41" s="97"/>
      <c r="BC41" s="98"/>
      <c r="BD41" s="101"/>
      <c r="BE41" s="97"/>
      <c r="BF41" s="97"/>
      <c r="BG41" s="97"/>
      <c r="BH41" s="97"/>
      <c r="BI41" s="97"/>
      <c r="BJ41" s="98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103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5"/>
      <c r="AX42" s="99"/>
      <c r="AY42" s="99"/>
      <c r="AZ42" s="99"/>
      <c r="BA42" s="99"/>
      <c r="BB42" s="99"/>
      <c r="BC42" s="100"/>
      <c r="BD42" s="102"/>
      <c r="BE42" s="99"/>
      <c r="BF42" s="99"/>
      <c r="BG42" s="99"/>
      <c r="BH42" s="99"/>
      <c r="BI42" s="99"/>
      <c r="BJ42" s="100"/>
      <c r="BK42" s="18"/>
    </row>
    <row r="43" spans="1:63" ht="15" customHeight="1" x14ac:dyDescent="0.25">
      <c r="A43" s="15"/>
      <c r="B43" s="14"/>
      <c r="C43" s="13"/>
      <c r="D43" s="13"/>
      <c r="E43" s="13"/>
      <c r="F43" s="13"/>
      <c r="G43" s="12"/>
      <c r="H43" s="14"/>
      <c r="I43" s="13"/>
      <c r="J43" s="13"/>
      <c r="K43" s="13"/>
      <c r="L43" s="13"/>
      <c r="M43" s="13"/>
      <c r="N43" s="12"/>
      <c r="O43" s="14"/>
      <c r="P43" s="13"/>
      <c r="Q43" s="13"/>
      <c r="R43" s="13"/>
      <c r="S43" s="94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6"/>
      <c r="AX43" s="97"/>
      <c r="AY43" s="97"/>
      <c r="AZ43" s="97"/>
      <c r="BA43" s="97"/>
      <c r="BB43" s="97"/>
      <c r="BC43" s="98"/>
      <c r="BD43" s="101"/>
      <c r="BE43" s="97"/>
      <c r="BF43" s="97"/>
      <c r="BG43" s="97"/>
      <c r="BH43" s="97"/>
      <c r="BI43" s="97"/>
      <c r="BJ43" s="98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103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5"/>
      <c r="AX44" s="99"/>
      <c r="AY44" s="99"/>
      <c r="AZ44" s="99"/>
      <c r="BA44" s="99"/>
      <c r="BB44" s="99"/>
      <c r="BC44" s="100"/>
      <c r="BD44" s="102"/>
      <c r="BE44" s="99"/>
      <c r="BF44" s="99"/>
      <c r="BG44" s="99"/>
      <c r="BH44" s="99"/>
      <c r="BI44" s="99"/>
      <c r="BJ44" s="100"/>
      <c r="BK44" s="18"/>
    </row>
    <row r="45" spans="1:63" ht="15" customHeight="1" x14ac:dyDescent="0.25">
      <c r="A45" s="15"/>
      <c r="B45" s="14"/>
      <c r="C45" s="13"/>
      <c r="D45" s="13"/>
      <c r="E45" s="13"/>
      <c r="F45" s="13"/>
      <c r="G45" s="12"/>
      <c r="H45" s="14"/>
      <c r="I45" s="13"/>
      <c r="J45" s="13"/>
      <c r="K45" s="13"/>
      <c r="L45" s="13"/>
      <c r="M45" s="13"/>
      <c r="N45" s="12"/>
      <c r="O45" s="14"/>
      <c r="P45" s="13"/>
      <c r="Q45" s="13"/>
      <c r="R45" s="13"/>
      <c r="S45" s="94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6"/>
      <c r="AX45" s="97"/>
      <c r="AY45" s="97"/>
      <c r="AZ45" s="97"/>
      <c r="BA45" s="97"/>
      <c r="BB45" s="97"/>
      <c r="BC45" s="98"/>
      <c r="BD45" s="101"/>
      <c r="BE45" s="97"/>
      <c r="BF45" s="97"/>
      <c r="BG45" s="97"/>
      <c r="BH45" s="97"/>
      <c r="BI45" s="97"/>
      <c r="BJ45" s="98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103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5"/>
      <c r="AX46" s="99"/>
      <c r="AY46" s="99"/>
      <c r="AZ46" s="99"/>
      <c r="BA46" s="99"/>
      <c r="BB46" s="99"/>
      <c r="BC46" s="100"/>
      <c r="BD46" s="102"/>
      <c r="BE46" s="99"/>
      <c r="BF46" s="99"/>
      <c r="BG46" s="99"/>
      <c r="BH46" s="99"/>
      <c r="BI46" s="99"/>
      <c r="BJ46" s="100"/>
      <c r="BK46" s="18"/>
    </row>
    <row r="47" spans="1:63" ht="15" customHeight="1" x14ac:dyDescent="0.25">
      <c r="A47" s="15"/>
      <c r="B47" s="14"/>
      <c r="C47" s="13"/>
      <c r="D47" s="13"/>
      <c r="E47" s="13"/>
      <c r="F47" s="13"/>
      <c r="G47" s="12"/>
      <c r="H47" s="14"/>
      <c r="I47" s="13"/>
      <c r="J47" s="13"/>
      <c r="K47" s="13"/>
      <c r="L47" s="13"/>
      <c r="M47" s="13"/>
      <c r="N47" s="12"/>
      <c r="O47" s="14"/>
      <c r="P47" s="13"/>
      <c r="Q47" s="13"/>
      <c r="R47" s="13"/>
      <c r="S47" s="94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6"/>
      <c r="AX47" s="97"/>
      <c r="AY47" s="97"/>
      <c r="AZ47" s="97"/>
      <c r="BA47" s="97"/>
      <c r="BB47" s="97"/>
      <c r="BC47" s="98"/>
      <c r="BD47" s="101"/>
      <c r="BE47" s="97"/>
      <c r="BF47" s="97"/>
      <c r="BG47" s="97"/>
      <c r="BH47" s="97"/>
      <c r="BI47" s="97"/>
      <c r="BJ47" s="98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103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5"/>
      <c r="AX48" s="99"/>
      <c r="AY48" s="99"/>
      <c r="AZ48" s="99"/>
      <c r="BA48" s="99"/>
      <c r="BB48" s="99"/>
      <c r="BC48" s="100"/>
      <c r="BD48" s="102"/>
      <c r="BE48" s="99"/>
      <c r="BF48" s="99"/>
      <c r="BG48" s="99"/>
      <c r="BH48" s="99"/>
      <c r="BI48" s="99"/>
      <c r="BJ48" s="100"/>
      <c r="BK48" s="18"/>
    </row>
    <row r="49" spans="1:63" ht="15" customHeight="1" x14ac:dyDescent="0.25">
      <c r="A49" s="15"/>
      <c r="B49" s="14"/>
      <c r="C49" s="13"/>
      <c r="D49" s="13"/>
      <c r="E49" s="13"/>
      <c r="F49" s="13"/>
      <c r="G49" s="12"/>
      <c r="H49" s="14"/>
      <c r="I49" s="13"/>
      <c r="J49" s="13"/>
      <c r="K49" s="13"/>
      <c r="L49" s="13"/>
      <c r="M49" s="13"/>
      <c r="N49" s="12"/>
      <c r="O49" s="14"/>
      <c r="P49" s="13"/>
      <c r="Q49" s="13"/>
      <c r="R49" s="13"/>
      <c r="S49" s="94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6"/>
      <c r="AX49" s="97"/>
      <c r="AY49" s="97"/>
      <c r="AZ49" s="97"/>
      <c r="BA49" s="97"/>
      <c r="BB49" s="97"/>
      <c r="BC49" s="98"/>
      <c r="BD49" s="101"/>
      <c r="BE49" s="97"/>
      <c r="BF49" s="97"/>
      <c r="BG49" s="97"/>
      <c r="BH49" s="97"/>
      <c r="BI49" s="97"/>
      <c r="BJ49" s="98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103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5"/>
      <c r="AX50" s="99"/>
      <c r="AY50" s="99"/>
      <c r="AZ50" s="99"/>
      <c r="BA50" s="99"/>
      <c r="BB50" s="99"/>
      <c r="BC50" s="100"/>
      <c r="BD50" s="102"/>
      <c r="BE50" s="99"/>
      <c r="BF50" s="99"/>
      <c r="BG50" s="99"/>
      <c r="BH50" s="99"/>
      <c r="BI50" s="99"/>
      <c r="BJ50" s="100"/>
      <c r="BK50" s="18"/>
    </row>
    <row r="51" spans="1:63" ht="15" customHeight="1" x14ac:dyDescent="0.25">
      <c r="A51" s="15"/>
      <c r="B51" s="14"/>
      <c r="C51" s="13"/>
      <c r="D51" s="13"/>
      <c r="E51" s="13"/>
      <c r="F51" s="13"/>
      <c r="G51" s="12"/>
      <c r="H51" s="14"/>
      <c r="I51" s="13"/>
      <c r="J51" s="13"/>
      <c r="K51" s="13"/>
      <c r="L51" s="13"/>
      <c r="M51" s="13"/>
      <c r="N51" s="12"/>
      <c r="O51" s="14"/>
      <c r="P51" s="13"/>
      <c r="Q51" s="13"/>
      <c r="R51" s="13"/>
      <c r="S51" s="94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6"/>
      <c r="AX51" s="97"/>
      <c r="AY51" s="97"/>
      <c r="AZ51" s="97"/>
      <c r="BA51" s="97"/>
      <c r="BB51" s="97"/>
      <c r="BC51" s="98"/>
      <c r="BD51" s="101"/>
      <c r="BE51" s="97"/>
      <c r="BF51" s="97"/>
      <c r="BG51" s="97"/>
      <c r="BH51" s="97"/>
      <c r="BI51" s="97"/>
      <c r="BJ51" s="98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103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5"/>
      <c r="AX52" s="99"/>
      <c r="AY52" s="99"/>
      <c r="AZ52" s="99"/>
      <c r="BA52" s="99"/>
      <c r="BB52" s="99"/>
      <c r="BC52" s="100"/>
      <c r="BD52" s="102"/>
      <c r="BE52" s="99"/>
      <c r="BF52" s="99"/>
      <c r="BG52" s="99"/>
      <c r="BH52" s="99"/>
      <c r="BI52" s="99"/>
      <c r="BJ52" s="100"/>
      <c r="BK52" s="18"/>
    </row>
    <row r="53" spans="1:63" ht="15" customHeight="1" x14ac:dyDescent="0.25">
      <c r="A53" s="15"/>
      <c r="B53" s="14"/>
      <c r="C53" s="13"/>
      <c r="D53" s="13"/>
      <c r="E53" s="13"/>
      <c r="F53" s="13"/>
      <c r="G53" s="12"/>
      <c r="H53" s="14"/>
      <c r="I53" s="13"/>
      <c r="J53" s="13"/>
      <c r="K53" s="13"/>
      <c r="L53" s="13"/>
      <c r="M53" s="13"/>
      <c r="N53" s="12"/>
      <c r="O53" s="14"/>
      <c r="P53" s="13"/>
      <c r="Q53" s="13"/>
      <c r="R53" s="13"/>
      <c r="S53" s="94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6"/>
      <c r="AX53" s="97"/>
      <c r="AY53" s="97"/>
      <c r="AZ53" s="97"/>
      <c r="BA53" s="97"/>
      <c r="BB53" s="97"/>
      <c r="BC53" s="98"/>
      <c r="BD53" s="101"/>
      <c r="BE53" s="97"/>
      <c r="BF53" s="97"/>
      <c r="BG53" s="97"/>
      <c r="BH53" s="97"/>
      <c r="BI53" s="97"/>
      <c r="BJ53" s="98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103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5"/>
      <c r="AX54" s="99"/>
      <c r="AY54" s="99"/>
      <c r="AZ54" s="99"/>
      <c r="BA54" s="99"/>
      <c r="BB54" s="99"/>
      <c r="BC54" s="100"/>
      <c r="BD54" s="102"/>
      <c r="BE54" s="99"/>
      <c r="BF54" s="99"/>
      <c r="BG54" s="99"/>
      <c r="BH54" s="99"/>
      <c r="BI54" s="99"/>
      <c r="BJ54" s="100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63" t="s">
        <v>62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63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9" t="s">
        <v>64</v>
      </c>
      <c r="AQ1" s="170"/>
      <c r="AR1" s="170"/>
      <c r="AS1" s="171"/>
      <c r="AT1" s="169" t="s">
        <v>65</v>
      </c>
      <c r="AU1" s="170"/>
      <c r="AV1" s="170"/>
      <c r="AW1" s="170"/>
      <c r="AX1" s="171"/>
      <c r="AY1" s="169" t="s">
        <v>66</v>
      </c>
      <c r="AZ1" s="170"/>
      <c r="BA1" s="170"/>
      <c r="BB1" s="171"/>
      <c r="BC1" s="169" t="s">
        <v>67</v>
      </c>
      <c r="BD1" s="170"/>
      <c r="BE1" s="170"/>
      <c r="BF1" s="170"/>
      <c r="BG1" s="171"/>
      <c r="BH1" s="169" t="s">
        <v>68</v>
      </c>
      <c r="BI1" s="170"/>
      <c r="BJ1" s="170"/>
      <c r="BK1" s="171"/>
    </row>
    <row r="2" spans="1:63" ht="15" customHeight="1" x14ac:dyDescent="0.25">
      <c r="A2" s="108" t="str">
        <f>IF(表紙!A2="","",表紙!A2)</f>
        <v>POSサーバー</v>
      </c>
      <c r="B2" s="109"/>
      <c r="C2" s="109"/>
      <c r="D2" s="109"/>
      <c r="E2" s="109"/>
      <c r="F2" s="109"/>
      <c r="G2" s="109"/>
      <c r="H2" s="109"/>
      <c r="I2" s="109"/>
      <c r="J2" s="110"/>
      <c r="K2" s="108" t="str">
        <f>IF(表紙!K2="","",表紙!K2)</f>
        <v>POSサーバー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10"/>
      <c r="W2" s="172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4"/>
      <c r="AP2" s="175" t="str">
        <f>IF(表紙!AP2="","",表紙!AP2)</f>
        <v>DuNT</v>
      </c>
      <c r="AQ2" s="176"/>
      <c r="AR2" s="176"/>
      <c r="AS2" s="177"/>
      <c r="AT2" s="178">
        <f>IF(表紙!AT2="","",表紙!AT2)</f>
        <v>45491</v>
      </c>
      <c r="AU2" s="179"/>
      <c r="AV2" s="179"/>
      <c r="AW2" s="179"/>
      <c r="AX2" s="180"/>
      <c r="AY2" s="175" t="str">
        <f>IF(表紙!AY2="","",表紙!AY2)</f>
        <v>DuNT</v>
      </c>
      <c r="AZ2" s="176"/>
      <c r="BA2" s="176"/>
      <c r="BB2" s="177"/>
      <c r="BC2" s="178">
        <f>IF(表紙!BC2="","",表紙!BC2)</f>
        <v>45575</v>
      </c>
      <c r="BD2" s="179"/>
      <c r="BE2" s="179"/>
      <c r="BF2" s="179"/>
      <c r="BG2" s="180"/>
      <c r="BH2" s="175">
        <f>IF(表紙!BH2="","",表紙!BH2)</f>
        <v>0.41</v>
      </c>
      <c r="BI2" s="176"/>
      <c r="BJ2" s="176"/>
      <c r="BK2" s="177"/>
    </row>
    <row r="3" spans="1:63" ht="15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3"/>
      <c r="K3" s="111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3"/>
      <c r="W3" s="181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3"/>
      <c r="AP3" s="184"/>
      <c r="AQ3" s="185"/>
      <c r="AR3" s="185"/>
      <c r="AS3" s="186"/>
      <c r="AT3" s="187"/>
      <c r="AU3" s="188"/>
      <c r="AV3" s="188"/>
      <c r="AW3" s="188"/>
      <c r="AX3" s="189"/>
      <c r="AY3" s="184"/>
      <c r="AZ3" s="185"/>
      <c r="BA3" s="185"/>
      <c r="BB3" s="186"/>
      <c r="BC3" s="187"/>
      <c r="BD3" s="188"/>
      <c r="BE3" s="188"/>
      <c r="BF3" s="188"/>
      <c r="BG3" s="189"/>
      <c r="BH3" s="184"/>
      <c r="BI3" s="185"/>
      <c r="BJ3" s="185"/>
      <c r="BK3" s="186"/>
    </row>
    <row r="4" spans="1:63" ht="24.95" customHeight="1" x14ac:dyDescent="0.25">
      <c r="A4" s="163" t="s">
        <v>69</v>
      </c>
      <c r="B4" s="164"/>
      <c r="C4" s="164"/>
      <c r="D4" s="164"/>
      <c r="E4" s="164"/>
      <c r="F4" s="164"/>
      <c r="G4" s="165"/>
      <c r="H4" s="114" t="str">
        <f>IF(表紙!H4="","",表紙!H4)</f>
        <v>AP7104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163" t="s">
        <v>70</v>
      </c>
      <c r="V4" s="164"/>
      <c r="W4" s="164"/>
      <c r="X4" s="164"/>
      <c r="Y4" s="165"/>
      <c r="Z4" s="114" t="str">
        <f>IF(表紙!Z4="","",表紙!Z4)</f>
        <v>API設計書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処理フロー凡例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96" customFormat="1" ht="15" customHeight="1" x14ac:dyDescent="0.25">
      <c r="A7" s="190"/>
      <c r="B7" s="191" t="s">
        <v>71</v>
      </c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3"/>
      <c r="AF7" s="194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92"/>
      <c r="BE7" s="192"/>
      <c r="BF7" s="192"/>
      <c r="BG7" s="192"/>
      <c r="BH7" s="192"/>
      <c r="BI7" s="193"/>
      <c r="BJ7" s="192"/>
      <c r="BK7" s="195"/>
    </row>
    <row r="8" spans="1:63" s="197" customFormat="1" ht="15" customHeight="1" x14ac:dyDescent="0.25">
      <c r="BK8" s="195"/>
    </row>
    <row r="9" spans="1:63" s="197" customFormat="1" ht="15" customHeight="1" x14ac:dyDescent="0.25">
      <c r="BK9" s="195"/>
    </row>
    <row r="10" spans="1:63" s="197" customFormat="1" ht="15" customHeight="1" x14ac:dyDescent="0.25">
      <c r="BK10" s="195"/>
    </row>
    <row r="11" spans="1:63" s="197" customFormat="1" ht="15" customHeight="1" x14ac:dyDescent="0.25">
      <c r="BK11" s="195"/>
    </row>
    <row r="12" spans="1:63" s="197" customFormat="1" ht="15" customHeight="1" x14ac:dyDescent="0.25">
      <c r="BK12" s="195"/>
    </row>
    <row r="13" spans="1:63" s="197" customFormat="1" ht="15" customHeight="1" x14ac:dyDescent="0.25">
      <c r="BK13" s="195"/>
    </row>
    <row r="14" spans="1:63" s="197" customFormat="1" ht="15" customHeight="1" x14ac:dyDescent="0.25">
      <c r="BK14" s="195"/>
    </row>
    <row r="15" spans="1:63" s="197" customFormat="1" ht="15" customHeight="1" x14ac:dyDescent="0.25">
      <c r="BK15" s="195"/>
    </row>
    <row r="16" spans="1:63" s="197" customFormat="1" ht="15" customHeight="1" x14ac:dyDescent="0.25">
      <c r="BK16" s="195"/>
    </row>
    <row r="17" spans="63:63" s="197" customFormat="1" ht="15" customHeight="1" x14ac:dyDescent="0.25">
      <c r="BK17" s="195"/>
    </row>
    <row r="18" spans="63:63" s="197" customFormat="1" ht="15" customHeight="1" x14ac:dyDescent="0.25">
      <c r="BK18" s="195"/>
    </row>
    <row r="19" spans="63:63" s="197" customFormat="1" ht="15" customHeight="1" x14ac:dyDescent="0.25">
      <c r="BK19" s="195"/>
    </row>
    <row r="20" spans="63:63" s="197" customFormat="1" ht="15" customHeight="1" x14ac:dyDescent="0.25">
      <c r="BK20" s="195"/>
    </row>
    <row r="21" spans="63:63" s="197" customFormat="1" ht="15" customHeight="1" x14ac:dyDescent="0.25">
      <c r="BK21" s="195"/>
    </row>
    <row r="22" spans="63:63" s="197" customFormat="1" ht="15" customHeight="1" x14ac:dyDescent="0.25">
      <c r="BK22" s="195"/>
    </row>
    <row r="23" spans="63:63" s="197" customFormat="1" ht="15" customHeight="1" x14ac:dyDescent="0.25">
      <c r="BK23" s="195"/>
    </row>
    <row r="24" spans="63:63" s="197" customFormat="1" ht="15" customHeight="1" x14ac:dyDescent="0.25">
      <c r="BK24" s="195"/>
    </row>
    <row r="25" spans="63:63" s="197" customFormat="1" ht="15" customHeight="1" x14ac:dyDescent="0.25">
      <c r="BK25" s="195"/>
    </row>
    <row r="26" spans="63:63" s="197" customFormat="1" ht="15" customHeight="1" x14ac:dyDescent="0.25">
      <c r="BK26" s="195"/>
    </row>
    <row r="27" spans="63:63" s="197" customFormat="1" ht="15" customHeight="1" x14ac:dyDescent="0.25">
      <c r="BK27" s="195"/>
    </row>
    <row r="28" spans="63:63" s="197" customFormat="1" ht="15" customHeight="1" x14ac:dyDescent="0.25">
      <c r="BK28" s="195"/>
    </row>
    <row r="29" spans="63:63" s="197" customFormat="1" ht="15" customHeight="1" x14ac:dyDescent="0.25">
      <c r="BK29" s="195"/>
    </row>
    <row r="30" spans="63:63" s="197" customFormat="1" ht="15" customHeight="1" x14ac:dyDescent="0.25">
      <c r="BK30" s="195"/>
    </row>
    <row r="31" spans="63:63" s="197" customFormat="1" ht="15" customHeight="1" x14ac:dyDescent="0.25">
      <c r="BK31" s="195"/>
    </row>
    <row r="32" spans="63:63" s="197" customFormat="1" ht="15" customHeight="1" x14ac:dyDescent="0.25">
      <c r="BK32" s="195"/>
    </row>
    <row r="33" spans="63:63" s="197" customFormat="1" ht="15" customHeight="1" x14ac:dyDescent="0.25">
      <c r="BK33" s="195"/>
    </row>
    <row r="34" spans="63:63" s="197" customFormat="1" ht="15" customHeight="1" x14ac:dyDescent="0.25">
      <c r="BK34" s="195"/>
    </row>
    <row r="35" spans="63:63" s="197" customFormat="1" ht="15" customHeight="1" x14ac:dyDescent="0.25">
      <c r="BK35" s="195"/>
    </row>
    <row r="36" spans="63:63" s="197" customFormat="1" ht="15" customHeight="1" x14ac:dyDescent="0.25">
      <c r="BK36" s="195"/>
    </row>
    <row r="37" spans="63:63" s="197" customFormat="1" ht="15" customHeight="1" x14ac:dyDescent="0.25">
      <c r="BK37" s="195"/>
    </row>
    <row r="38" spans="63:63" s="197" customFormat="1" ht="15" customHeight="1" x14ac:dyDescent="0.25">
      <c r="BK38" s="195"/>
    </row>
    <row r="39" spans="63:63" s="197" customFormat="1" ht="15" customHeight="1" x14ac:dyDescent="0.25">
      <c r="BK39" s="195"/>
    </row>
    <row r="40" spans="63:63" s="197" customFormat="1" ht="15" customHeight="1" x14ac:dyDescent="0.25">
      <c r="BK40" s="195"/>
    </row>
    <row r="41" spans="63:63" s="197" customFormat="1" ht="15" customHeight="1" x14ac:dyDescent="0.25">
      <c r="BK41" s="195"/>
    </row>
    <row r="42" spans="63:63" s="197" customFormat="1" ht="15" customHeight="1" x14ac:dyDescent="0.25">
      <c r="BK42" s="195"/>
    </row>
    <row r="43" spans="63:63" s="197" customFormat="1" ht="15" customHeight="1" x14ac:dyDescent="0.25">
      <c r="BK43" s="195"/>
    </row>
    <row r="44" spans="63:63" s="197" customFormat="1" ht="15" customHeight="1" x14ac:dyDescent="0.25">
      <c r="BK44" s="195"/>
    </row>
    <row r="45" spans="63:63" s="197" customFormat="1" ht="15" customHeight="1" x14ac:dyDescent="0.25">
      <c r="BK45" s="195"/>
    </row>
    <row r="46" spans="63:63" s="197" customFormat="1" ht="15" customHeight="1" x14ac:dyDescent="0.25">
      <c r="BK46" s="195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63" t="s">
        <v>62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63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9" t="s">
        <v>64</v>
      </c>
      <c r="AQ1" s="170"/>
      <c r="AR1" s="170"/>
      <c r="AS1" s="171"/>
      <c r="AT1" s="169" t="s">
        <v>65</v>
      </c>
      <c r="AU1" s="170"/>
      <c r="AV1" s="170"/>
      <c r="AW1" s="170"/>
      <c r="AX1" s="171"/>
      <c r="AY1" s="169" t="s">
        <v>66</v>
      </c>
      <c r="AZ1" s="170"/>
      <c r="BA1" s="170"/>
      <c r="BB1" s="171"/>
      <c r="BC1" s="169" t="s">
        <v>67</v>
      </c>
      <c r="BD1" s="170"/>
      <c r="BE1" s="170"/>
      <c r="BF1" s="170"/>
      <c r="BG1" s="171"/>
      <c r="BH1" s="169" t="s">
        <v>68</v>
      </c>
      <c r="BI1" s="170"/>
      <c r="BJ1" s="170"/>
      <c r="BK1" s="171"/>
    </row>
    <row r="2" spans="1:63" ht="15" customHeight="1" x14ac:dyDescent="0.25">
      <c r="A2" s="108" t="str">
        <f>IF(表紙!A2="","",表紙!A2)</f>
        <v>POSサーバー</v>
      </c>
      <c r="B2" s="109"/>
      <c r="C2" s="109"/>
      <c r="D2" s="109"/>
      <c r="E2" s="109"/>
      <c r="F2" s="109"/>
      <c r="G2" s="109"/>
      <c r="H2" s="109"/>
      <c r="I2" s="109"/>
      <c r="J2" s="110"/>
      <c r="K2" s="108" t="str">
        <f>IF(表紙!K2="","",表紙!K2)</f>
        <v>POSサーバー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10"/>
      <c r="W2" s="172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4"/>
      <c r="AP2" s="175" t="str">
        <f>IF(表紙!AP2="","",表紙!AP2)</f>
        <v>DuNT</v>
      </c>
      <c r="AQ2" s="176"/>
      <c r="AR2" s="176"/>
      <c r="AS2" s="177"/>
      <c r="AT2" s="178">
        <f>IF(表紙!AT2="","",表紙!AT2)</f>
        <v>45491</v>
      </c>
      <c r="AU2" s="179"/>
      <c r="AV2" s="179"/>
      <c r="AW2" s="179"/>
      <c r="AX2" s="180"/>
      <c r="AY2" s="175" t="str">
        <f>IF(表紙!AY2="","",表紙!AY2)</f>
        <v>DuNT</v>
      </c>
      <c r="AZ2" s="176"/>
      <c r="BA2" s="176"/>
      <c r="BB2" s="177"/>
      <c r="BC2" s="178">
        <f>IF(表紙!BC2="","",表紙!BC2)</f>
        <v>45575</v>
      </c>
      <c r="BD2" s="179"/>
      <c r="BE2" s="179"/>
      <c r="BF2" s="179"/>
      <c r="BG2" s="180"/>
      <c r="BH2" s="175">
        <f>IF(表紙!BH2="","",表紙!BH2)</f>
        <v>0.41</v>
      </c>
      <c r="BI2" s="176"/>
      <c r="BJ2" s="176"/>
      <c r="BK2" s="177"/>
    </row>
    <row r="3" spans="1:63" ht="15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3"/>
      <c r="K3" s="111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3"/>
      <c r="W3" s="181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3"/>
      <c r="AP3" s="184"/>
      <c r="AQ3" s="185"/>
      <c r="AR3" s="185"/>
      <c r="AS3" s="186"/>
      <c r="AT3" s="187"/>
      <c r="AU3" s="188"/>
      <c r="AV3" s="188"/>
      <c r="AW3" s="188"/>
      <c r="AX3" s="189"/>
      <c r="AY3" s="184"/>
      <c r="AZ3" s="185"/>
      <c r="BA3" s="185"/>
      <c r="BB3" s="186"/>
      <c r="BC3" s="187"/>
      <c r="BD3" s="188"/>
      <c r="BE3" s="188"/>
      <c r="BF3" s="188"/>
      <c r="BG3" s="189"/>
      <c r="BH3" s="184"/>
      <c r="BI3" s="185"/>
      <c r="BJ3" s="185"/>
      <c r="BK3" s="186"/>
    </row>
    <row r="4" spans="1:63" ht="24.95" customHeight="1" x14ac:dyDescent="0.25">
      <c r="A4" s="163" t="s">
        <v>69</v>
      </c>
      <c r="B4" s="164"/>
      <c r="C4" s="164"/>
      <c r="D4" s="164"/>
      <c r="E4" s="164"/>
      <c r="F4" s="164"/>
      <c r="G4" s="165"/>
      <c r="H4" s="114" t="str">
        <f>IF(表紙!H4="","",表紙!H4)</f>
        <v>AP7104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163" t="s">
        <v>70</v>
      </c>
      <c r="V4" s="164"/>
      <c r="W4" s="164"/>
      <c r="X4" s="164"/>
      <c r="Y4" s="165"/>
      <c r="Z4" s="114" t="str">
        <f>IF(表紙!Z4="","",表紙!Z4)</f>
        <v>API設計書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AP7104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45" customFormat="1" ht="15" customHeight="1" x14ac:dyDescent="0.25">
      <c r="A7" s="40"/>
      <c r="B7" s="41" t="s">
        <v>72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198"/>
      <c r="AQ7" s="198"/>
      <c r="AR7" s="198"/>
      <c r="AS7" s="198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3"/>
      <c r="BI7" s="43"/>
      <c r="BJ7" s="43"/>
      <c r="BK7" s="44"/>
    </row>
    <row r="8" spans="1:63" s="45" customFormat="1" ht="15" customHeight="1" x14ac:dyDescent="0.25">
      <c r="A8" s="40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199"/>
      <c r="AQ8" s="199"/>
      <c r="AR8" s="199"/>
      <c r="AS8" s="199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8"/>
      <c r="BI8" s="48"/>
      <c r="BJ8" s="48"/>
      <c r="BK8" s="44"/>
    </row>
    <row r="9" spans="1:63" s="45" customFormat="1" ht="15" customHeight="1" x14ac:dyDescent="0.25">
      <c r="A9" s="40"/>
      <c r="B9" s="46"/>
      <c r="C9" s="47" t="s">
        <v>39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199"/>
      <c r="AQ9" s="199"/>
      <c r="AR9" s="199"/>
      <c r="AS9" s="199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8"/>
      <c r="BI9" s="48"/>
      <c r="BJ9" s="48"/>
      <c r="BK9" s="44"/>
    </row>
    <row r="10" spans="1:63" s="45" customFormat="1" ht="15" customHeight="1" x14ac:dyDescent="0.25">
      <c r="A10" s="40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199"/>
      <c r="AQ10" s="199"/>
      <c r="AR10" s="199"/>
      <c r="AS10" s="199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8"/>
      <c r="BI10" s="48"/>
      <c r="BJ10" s="48"/>
      <c r="BK10" s="44"/>
    </row>
    <row r="11" spans="1:63" s="45" customFormat="1" ht="15" customHeight="1" x14ac:dyDescent="0.25">
      <c r="A11" s="40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8"/>
      <c r="BI11" s="48"/>
      <c r="BJ11" s="48"/>
      <c r="BK11" s="44"/>
    </row>
    <row r="12" spans="1:63" s="45" customFormat="1" ht="15" customHeight="1" x14ac:dyDescent="0.25">
      <c r="A12" s="40"/>
      <c r="B12" s="49" t="s">
        <v>73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3"/>
      <c r="BI12" s="43"/>
      <c r="BJ12" s="43"/>
      <c r="BK12" s="44"/>
    </row>
    <row r="13" spans="1:63" s="45" customFormat="1" ht="15" customHeight="1" x14ac:dyDescent="0.25">
      <c r="A13" s="40"/>
      <c r="B13" s="47"/>
      <c r="C13" s="50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8"/>
      <c r="BI13" s="48"/>
      <c r="BJ13" s="48"/>
      <c r="BK13" s="44"/>
    </row>
    <row r="14" spans="1:63" s="45" customFormat="1" ht="15" customHeight="1" x14ac:dyDescent="0.25">
      <c r="A14" s="40"/>
      <c r="B14" s="47"/>
      <c r="C14" s="50" t="s">
        <v>74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8"/>
      <c r="BI14" s="48"/>
      <c r="BJ14" s="48"/>
      <c r="BK14" s="44"/>
    </row>
    <row r="15" spans="1:63" s="45" customFormat="1" ht="15" customHeight="1" x14ac:dyDescent="0.25">
      <c r="A15" s="40"/>
      <c r="B15" s="47"/>
      <c r="C15" s="46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8"/>
      <c r="BI15" s="48"/>
      <c r="BJ15" s="48"/>
      <c r="BK15" s="44"/>
    </row>
    <row r="16" spans="1:63" s="45" customFormat="1" ht="15" customHeight="1" x14ac:dyDescent="0.25">
      <c r="A16" s="40"/>
      <c r="B16" s="47"/>
      <c r="C16" s="120" t="s">
        <v>27</v>
      </c>
      <c r="D16" s="122"/>
      <c r="E16" s="120" t="s">
        <v>28</v>
      </c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2"/>
      <c r="AG16" s="120" t="s">
        <v>29</v>
      </c>
      <c r="AH16" s="121"/>
      <c r="AI16" s="121"/>
      <c r="AJ16" s="121"/>
      <c r="AK16" s="121"/>
      <c r="AL16" s="121"/>
      <c r="AM16" s="121"/>
      <c r="AN16" s="121"/>
      <c r="AO16" s="121"/>
      <c r="AP16" s="122"/>
      <c r="AQ16" s="120" t="s">
        <v>30</v>
      </c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2"/>
      <c r="BK16" s="44"/>
    </row>
    <row r="17" spans="1:63" s="45" customFormat="1" ht="15" customHeight="1" x14ac:dyDescent="0.25">
      <c r="A17" s="40"/>
      <c r="B17" s="47"/>
      <c r="C17" s="124">
        <v>1</v>
      </c>
      <c r="D17" s="126"/>
      <c r="E17" s="200" t="s">
        <v>49</v>
      </c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2"/>
      <c r="AG17" s="124" t="s">
        <v>37</v>
      </c>
      <c r="AH17" s="125"/>
      <c r="AI17" s="125"/>
      <c r="AJ17" s="125"/>
      <c r="AK17" s="125"/>
      <c r="AL17" s="125"/>
      <c r="AM17" s="125"/>
      <c r="AN17" s="125"/>
      <c r="AO17" s="125"/>
      <c r="AP17" s="126"/>
      <c r="AQ17" s="129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1"/>
      <c r="BK17" s="44"/>
    </row>
    <row r="18" spans="1:63" s="45" customFormat="1" ht="15" customHeight="1" x14ac:dyDescent="0.25">
      <c r="A18" s="40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8"/>
      <c r="BI18" s="48"/>
      <c r="BJ18" s="48"/>
      <c r="BK18" s="44"/>
    </row>
    <row r="19" spans="1:63" s="45" customFormat="1" ht="15" customHeight="1" x14ac:dyDescent="0.25">
      <c r="A19" s="40"/>
      <c r="B19" s="47"/>
      <c r="C19" s="50" t="s">
        <v>75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8"/>
      <c r="BI19" s="48"/>
      <c r="BJ19" s="48"/>
      <c r="BK19" s="44"/>
    </row>
    <row r="20" spans="1:63" s="45" customFormat="1" ht="15" customHeight="1" x14ac:dyDescent="0.25">
      <c r="A20" s="40"/>
      <c r="B20" s="47"/>
      <c r="C20" s="50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8"/>
      <c r="BI20" s="48"/>
      <c r="BJ20" s="48"/>
      <c r="BK20" s="44"/>
    </row>
    <row r="21" spans="1:63" s="45" customFormat="1" ht="15" customHeight="1" x14ac:dyDescent="0.25">
      <c r="A21" s="40"/>
      <c r="B21" s="47"/>
      <c r="C21" s="118" t="s">
        <v>76</v>
      </c>
      <c r="D21" s="119"/>
      <c r="E21" s="118" t="s">
        <v>77</v>
      </c>
      <c r="F21" s="123"/>
      <c r="G21" s="123"/>
      <c r="H21" s="123"/>
      <c r="I21" s="123"/>
      <c r="J21" s="123"/>
      <c r="K21" s="119"/>
      <c r="L21" s="120" t="s">
        <v>31</v>
      </c>
      <c r="M21" s="121"/>
      <c r="N21" s="122"/>
      <c r="O21" s="120" t="s">
        <v>32</v>
      </c>
      <c r="P21" s="121"/>
      <c r="Q21" s="121"/>
      <c r="R21" s="122"/>
      <c r="S21" s="120" t="s">
        <v>33</v>
      </c>
      <c r="T21" s="121"/>
      <c r="U21" s="121"/>
      <c r="V21" s="121"/>
      <c r="W21" s="121"/>
      <c r="X21" s="121"/>
      <c r="Y21" s="122"/>
      <c r="Z21" s="118" t="s">
        <v>78</v>
      </c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19"/>
      <c r="AQ21" s="120" t="s">
        <v>30</v>
      </c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2"/>
      <c r="BK21" s="44"/>
    </row>
    <row r="22" spans="1:63" s="45" customFormat="1" ht="15" customHeight="1" x14ac:dyDescent="0.25">
      <c r="A22" s="40"/>
      <c r="B22" s="47"/>
      <c r="C22" s="124">
        <v>1</v>
      </c>
      <c r="D22" s="126"/>
      <c r="E22" s="203" t="s">
        <v>18</v>
      </c>
      <c r="F22" s="204"/>
      <c r="G22" s="204"/>
      <c r="H22" s="204"/>
      <c r="I22" s="204"/>
      <c r="J22" s="204"/>
      <c r="K22" s="205"/>
      <c r="L22" s="132" t="s">
        <v>19</v>
      </c>
      <c r="M22" s="133"/>
      <c r="N22" s="134"/>
      <c r="O22" s="124" t="s">
        <v>20</v>
      </c>
      <c r="P22" s="125"/>
      <c r="Q22" s="125"/>
      <c r="R22" s="126"/>
      <c r="S22" s="124" t="s">
        <v>21</v>
      </c>
      <c r="T22" s="125"/>
      <c r="U22" s="125"/>
      <c r="V22" s="125"/>
      <c r="W22" s="125"/>
      <c r="X22" s="125"/>
      <c r="Y22" s="126"/>
      <c r="Z22" s="203" t="s">
        <v>22</v>
      </c>
      <c r="AA22" s="204"/>
      <c r="AB22" s="204"/>
      <c r="AC22" s="204"/>
      <c r="AD22" s="204"/>
      <c r="AE22" s="204"/>
      <c r="AF22" s="204"/>
      <c r="AG22" s="204"/>
      <c r="AH22" s="204"/>
      <c r="AI22" s="204"/>
      <c r="AJ22" s="204"/>
      <c r="AK22" s="204"/>
      <c r="AL22" s="204"/>
      <c r="AM22" s="204"/>
      <c r="AN22" s="204"/>
      <c r="AO22" s="204"/>
      <c r="AP22" s="205"/>
      <c r="AQ22" s="200" t="s">
        <v>79</v>
      </c>
      <c r="AR22" s="201"/>
      <c r="AS22" s="201"/>
      <c r="AT22" s="201"/>
      <c r="AU22" s="201"/>
      <c r="AV22" s="201"/>
      <c r="AW22" s="201"/>
      <c r="AX22" s="201"/>
      <c r="AY22" s="201"/>
      <c r="AZ22" s="201"/>
      <c r="BA22" s="201"/>
      <c r="BB22" s="201"/>
      <c r="BC22" s="201"/>
      <c r="BD22" s="201"/>
      <c r="BE22" s="201"/>
      <c r="BF22" s="201"/>
      <c r="BG22" s="201"/>
      <c r="BH22" s="201"/>
      <c r="BI22" s="201"/>
      <c r="BJ22" s="202"/>
      <c r="BK22" s="44"/>
    </row>
    <row r="23" spans="1:63" s="45" customFormat="1" ht="15" customHeight="1" x14ac:dyDescent="0.25">
      <c r="A23" s="40"/>
      <c r="B23" s="47"/>
      <c r="C23" s="124">
        <v>2</v>
      </c>
      <c r="D23" s="126"/>
      <c r="E23" s="203" t="s">
        <v>23</v>
      </c>
      <c r="F23" s="204"/>
      <c r="G23" s="204"/>
      <c r="H23" s="204"/>
      <c r="I23" s="204"/>
      <c r="J23" s="204"/>
      <c r="K23" s="205"/>
      <c r="L23" s="132" t="s">
        <v>21</v>
      </c>
      <c r="M23" s="133"/>
      <c r="N23" s="134"/>
      <c r="O23" s="124" t="s">
        <v>20</v>
      </c>
      <c r="P23" s="125"/>
      <c r="Q23" s="125"/>
      <c r="R23" s="126"/>
      <c r="S23" s="124" t="s">
        <v>21</v>
      </c>
      <c r="T23" s="125"/>
      <c r="U23" s="125"/>
      <c r="V23" s="125"/>
      <c r="W23" s="125"/>
      <c r="X23" s="125"/>
      <c r="Y23" s="126"/>
      <c r="Z23" s="203" t="s">
        <v>23</v>
      </c>
      <c r="AA23" s="204"/>
      <c r="AB23" s="204"/>
      <c r="AC23" s="204"/>
      <c r="AD23" s="204"/>
      <c r="AE23" s="204"/>
      <c r="AF23" s="204"/>
      <c r="AG23" s="204"/>
      <c r="AH23" s="204"/>
      <c r="AI23" s="204"/>
      <c r="AJ23" s="204"/>
      <c r="AK23" s="204"/>
      <c r="AL23" s="204"/>
      <c r="AM23" s="204"/>
      <c r="AN23" s="204"/>
      <c r="AO23" s="204"/>
      <c r="AP23" s="205"/>
      <c r="AQ23" s="200"/>
      <c r="AR23" s="201"/>
      <c r="AS23" s="201"/>
      <c r="AT23" s="201"/>
      <c r="AU23" s="201"/>
      <c r="AV23" s="201"/>
      <c r="AW23" s="201"/>
      <c r="AX23" s="201"/>
      <c r="AY23" s="201"/>
      <c r="AZ23" s="201"/>
      <c r="BA23" s="201"/>
      <c r="BB23" s="201"/>
      <c r="BC23" s="201"/>
      <c r="BD23" s="201"/>
      <c r="BE23" s="201"/>
      <c r="BF23" s="201"/>
      <c r="BG23" s="201"/>
      <c r="BH23" s="201"/>
      <c r="BI23" s="201"/>
      <c r="BJ23" s="202"/>
      <c r="BK23" s="44"/>
    </row>
    <row r="24" spans="1:63" s="45" customFormat="1" ht="15" customHeight="1" x14ac:dyDescent="0.25">
      <c r="A24" s="40"/>
      <c r="B24" s="47"/>
      <c r="C24" s="127">
        <v>3</v>
      </c>
      <c r="D24" s="128"/>
      <c r="E24" s="206" t="s">
        <v>24</v>
      </c>
      <c r="F24" s="207"/>
      <c r="G24" s="207"/>
      <c r="H24" s="207"/>
      <c r="I24" s="207"/>
      <c r="J24" s="207"/>
      <c r="K24" s="208"/>
      <c r="L24" s="209" t="s">
        <v>19</v>
      </c>
      <c r="M24" s="210"/>
      <c r="N24" s="211"/>
      <c r="O24" s="212" t="s">
        <v>20</v>
      </c>
      <c r="P24" s="213"/>
      <c r="Q24" s="213"/>
      <c r="R24" s="214"/>
      <c r="S24" s="212" t="s">
        <v>38</v>
      </c>
      <c r="T24" s="213"/>
      <c r="U24" s="213"/>
      <c r="V24" s="213"/>
      <c r="W24" s="213"/>
      <c r="X24" s="213"/>
      <c r="Y24" s="214"/>
      <c r="Z24" s="215" t="s">
        <v>38</v>
      </c>
      <c r="AA24" s="216"/>
      <c r="AB24" s="216"/>
      <c r="AC24" s="216"/>
      <c r="AD24" s="216"/>
      <c r="AE24" s="216"/>
      <c r="AF24" s="216"/>
      <c r="AG24" s="216"/>
      <c r="AH24" s="216"/>
      <c r="AI24" s="216"/>
      <c r="AJ24" s="216"/>
      <c r="AK24" s="216"/>
      <c r="AL24" s="216"/>
      <c r="AM24" s="216"/>
      <c r="AN24" s="216"/>
      <c r="AO24" s="216"/>
      <c r="AP24" s="217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  <c r="BB24" s="218"/>
      <c r="BC24" s="218"/>
      <c r="BD24" s="218"/>
      <c r="BE24" s="218"/>
      <c r="BF24" s="218"/>
      <c r="BG24" s="218"/>
      <c r="BH24" s="218"/>
      <c r="BI24" s="218"/>
      <c r="BJ24" s="219"/>
      <c r="BK24" s="44"/>
    </row>
    <row r="25" spans="1:63" s="45" customFormat="1" ht="15" customHeight="1" x14ac:dyDescent="0.25">
      <c r="A25" s="40"/>
      <c r="B25" s="47"/>
      <c r="C25" s="124">
        <v>4</v>
      </c>
      <c r="D25" s="126"/>
      <c r="E25" s="203" t="s">
        <v>25</v>
      </c>
      <c r="F25" s="204"/>
      <c r="G25" s="204"/>
      <c r="H25" s="204"/>
      <c r="I25" s="204"/>
      <c r="J25" s="204"/>
      <c r="K25" s="205"/>
      <c r="L25" s="132" t="s">
        <v>21</v>
      </c>
      <c r="M25" s="133"/>
      <c r="N25" s="134"/>
      <c r="O25" s="124" t="s">
        <v>20</v>
      </c>
      <c r="P25" s="125"/>
      <c r="Q25" s="125"/>
      <c r="R25" s="126"/>
      <c r="S25" s="124" t="s">
        <v>21</v>
      </c>
      <c r="T25" s="125"/>
      <c r="U25" s="125"/>
      <c r="V25" s="125"/>
      <c r="W25" s="125"/>
      <c r="X25" s="125"/>
      <c r="Y25" s="126"/>
      <c r="Z25" s="203" t="s">
        <v>25</v>
      </c>
      <c r="AA25" s="204"/>
      <c r="AB25" s="204"/>
      <c r="AC25" s="204"/>
      <c r="AD25" s="204"/>
      <c r="AE25" s="204"/>
      <c r="AF25" s="204"/>
      <c r="AG25" s="204"/>
      <c r="AH25" s="204"/>
      <c r="AI25" s="204"/>
      <c r="AJ25" s="204"/>
      <c r="AK25" s="204"/>
      <c r="AL25" s="204"/>
      <c r="AM25" s="204"/>
      <c r="AN25" s="204"/>
      <c r="AO25" s="204"/>
      <c r="AP25" s="205"/>
      <c r="AQ25" s="200"/>
      <c r="AR25" s="201"/>
      <c r="AS25" s="201"/>
      <c r="AT25" s="201"/>
      <c r="AU25" s="201"/>
      <c r="AV25" s="201"/>
      <c r="AW25" s="201"/>
      <c r="AX25" s="201"/>
      <c r="AY25" s="201"/>
      <c r="AZ25" s="201"/>
      <c r="BA25" s="201"/>
      <c r="BB25" s="201"/>
      <c r="BC25" s="201"/>
      <c r="BD25" s="201"/>
      <c r="BE25" s="201"/>
      <c r="BF25" s="201"/>
      <c r="BG25" s="201"/>
      <c r="BH25" s="201"/>
      <c r="BI25" s="201"/>
      <c r="BJ25" s="202"/>
      <c r="BK25" s="44"/>
    </row>
    <row r="26" spans="1:63" s="45" customFormat="1" ht="15" customHeight="1" x14ac:dyDescent="0.25">
      <c r="A26" s="40"/>
      <c r="B26" s="47"/>
      <c r="C26" s="124">
        <v>5</v>
      </c>
      <c r="D26" s="126"/>
      <c r="E26" s="203" t="s">
        <v>26</v>
      </c>
      <c r="F26" s="204"/>
      <c r="G26" s="204"/>
      <c r="H26" s="204"/>
      <c r="I26" s="204"/>
      <c r="J26" s="204"/>
      <c r="K26" s="205"/>
      <c r="L26" s="132" t="s">
        <v>21</v>
      </c>
      <c r="M26" s="133"/>
      <c r="N26" s="134"/>
      <c r="O26" s="124" t="s">
        <v>20</v>
      </c>
      <c r="P26" s="125"/>
      <c r="Q26" s="125"/>
      <c r="R26" s="126"/>
      <c r="S26" s="124" t="s">
        <v>21</v>
      </c>
      <c r="T26" s="125"/>
      <c r="U26" s="125"/>
      <c r="V26" s="125"/>
      <c r="W26" s="125"/>
      <c r="X26" s="125"/>
      <c r="Y26" s="126"/>
      <c r="Z26" s="203" t="s">
        <v>26</v>
      </c>
      <c r="AA26" s="204"/>
      <c r="AB26" s="204"/>
      <c r="AC26" s="204"/>
      <c r="AD26" s="204"/>
      <c r="AE26" s="204"/>
      <c r="AF26" s="204"/>
      <c r="AG26" s="204"/>
      <c r="AH26" s="204"/>
      <c r="AI26" s="204"/>
      <c r="AJ26" s="204"/>
      <c r="AK26" s="204"/>
      <c r="AL26" s="204"/>
      <c r="AM26" s="204"/>
      <c r="AN26" s="204"/>
      <c r="AO26" s="204"/>
      <c r="AP26" s="205"/>
      <c r="AQ26" s="200"/>
      <c r="AR26" s="201"/>
      <c r="AS26" s="201"/>
      <c r="AT26" s="201"/>
      <c r="AU26" s="201"/>
      <c r="AV26" s="201"/>
      <c r="AW26" s="201"/>
      <c r="AX26" s="201"/>
      <c r="AY26" s="201"/>
      <c r="AZ26" s="201"/>
      <c r="BA26" s="201"/>
      <c r="BB26" s="201"/>
      <c r="BC26" s="201"/>
      <c r="BD26" s="201"/>
      <c r="BE26" s="201"/>
      <c r="BF26" s="201"/>
      <c r="BG26" s="201"/>
      <c r="BH26" s="201"/>
      <c r="BI26" s="201"/>
      <c r="BJ26" s="202"/>
      <c r="BK26" s="44"/>
    </row>
    <row r="27" spans="1:63" s="45" customFormat="1" ht="15" customHeight="1" x14ac:dyDescent="0.25">
      <c r="A27" s="40"/>
      <c r="B27" s="47"/>
      <c r="C27" s="47"/>
      <c r="D27" s="47"/>
      <c r="E27" s="199"/>
      <c r="F27" s="199"/>
      <c r="G27" s="199"/>
      <c r="H27" s="199"/>
      <c r="I27" s="47"/>
      <c r="J27" s="47"/>
      <c r="K27" s="47"/>
      <c r="L27" s="220"/>
      <c r="M27" s="199"/>
      <c r="N27" s="199"/>
      <c r="O27" s="199"/>
      <c r="P27" s="199"/>
      <c r="Q27" s="47"/>
      <c r="R27" s="47"/>
      <c r="S27" s="47"/>
      <c r="T27" s="47"/>
      <c r="U27" s="47"/>
      <c r="V27" s="47"/>
      <c r="W27" s="47"/>
      <c r="X27" s="47"/>
      <c r="Y27" s="47"/>
      <c r="Z27" s="51"/>
      <c r="AA27" s="47"/>
      <c r="AB27" s="47"/>
      <c r="AC27" s="47"/>
      <c r="AD27" s="47"/>
      <c r="AE27" s="47"/>
      <c r="AF27" s="47"/>
      <c r="AG27" s="199"/>
      <c r="AH27" s="199"/>
      <c r="AI27" s="199"/>
      <c r="AJ27" s="199"/>
      <c r="AK27" s="199"/>
      <c r="AL27" s="199"/>
      <c r="AM27" s="199"/>
      <c r="AN27" s="199"/>
      <c r="AO27" s="199"/>
      <c r="AP27" s="47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48"/>
      <c r="BI27" s="48"/>
      <c r="BJ27" s="48"/>
      <c r="BK27" s="44"/>
    </row>
    <row r="28" spans="1:63" s="45" customFormat="1" ht="15" customHeight="1" x14ac:dyDescent="0.25">
      <c r="A28" s="40"/>
      <c r="B28" s="47"/>
      <c r="C28" s="47"/>
      <c r="D28" s="47"/>
      <c r="E28" s="199"/>
      <c r="F28" s="199"/>
      <c r="G28" s="199"/>
      <c r="H28" s="199"/>
      <c r="I28" s="47"/>
      <c r="J28" s="47"/>
      <c r="K28" s="47"/>
      <c r="L28" s="53"/>
      <c r="M28" s="199"/>
      <c r="N28" s="199"/>
      <c r="O28" s="199"/>
      <c r="P28" s="199"/>
      <c r="Q28" s="47"/>
      <c r="R28" s="47"/>
      <c r="S28" s="47"/>
      <c r="T28" s="47"/>
      <c r="U28" s="47"/>
      <c r="V28" s="47"/>
      <c r="W28" s="47"/>
      <c r="X28" s="47"/>
      <c r="Y28" s="47"/>
      <c r="Z28" s="51"/>
      <c r="AA28" s="47"/>
      <c r="AB28" s="47"/>
      <c r="AC28" s="47"/>
      <c r="AD28" s="47"/>
      <c r="AE28" s="47"/>
      <c r="AF28" s="47"/>
      <c r="AG28" s="199"/>
      <c r="AH28" s="199"/>
      <c r="AI28" s="199"/>
      <c r="AJ28" s="199"/>
      <c r="AK28" s="199"/>
      <c r="AL28" s="199"/>
      <c r="AM28" s="199"/>
      <c r="AN28" s="199"/>
      <c r="AO28" s="199"/>
      <c r="AP28" s="47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48"/>
      <c r="BI28" s="48"/>
      <c r="BJ28" s="48"/>
      <c r="BK28" s="44"/>
    </row>
    <row r="29" spans="1:63" s="45" customFormat="1" ht="15" customHeight="1" x14ac:dyDescent="0.25">
      <c r="A29" s="40"/>
      <c r="B29" s="47"/>
      <c r="C29" s="50" t="s">
        <v>80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8"/>
      <c r="BI29" s="48"/>
      <c r="BJ29" s="48"/>
      <c r="BK29" s="44"/>
    </row>
    <row r="30" spans="1:63" s="45" customFormat="1" ht="15" customHeight="1" x14ac:dyDescent="0.25">
      <c r="A30" s="40"/>
      <c r="B30" s="47"/>
      <c r="C30" s="46"/>
      <c r="D30" s="47" t="s">
        <v>40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8"/>
      <c r="BI30" s="48"/>
      <c r="BJ30" s="48"/>
      <c r="BK30" s="44"/>
    </row>
    <row r="31" spans="1:63" s="45" customFormat="1" ht="15" customHeight="1" x14ac:dyDescent="0.25">
      <c r="A31" s="40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8"/>
      <c r="BI31" s="48"/>
      <c r="BJ31" s="48"/>
      <c r="BK31" s="44"/>
    </row>
    <row r="32" spans="1:63" s="45" customFormat="1" ht="15" customHeight="1" x14ac:dyDescent="0.25">
      <c r="A32" s="40"/>
      <c r="B32" s="47"/>
      <c r="C32" s="50" t="s">
        <v>81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8"/>
      <c r="BI32" s="48"/>
      <c r="BJ32" s="48"/>
      <c r="BK32" s="44"/>
    </row>
    <row r="33" spans="1:63" s="45" customFormat="1" ht="15" customHeight="1" x14ac:dyDescent="0.25">
      <c r="A33" s="40"/>
      <c r="B33" s="47"/>
      <c r="C33" s="46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8"/>
      <c r="BI33" s="48"/>
      <c r="BJ33" s="48"/>
      <c r="BK33" s="44"/>
    </row>
    <row r="34" spans="1:63" s="45" customFormat="1" ht="15" customHeight="1" x14ac:dyDescent="0.25">
      <c r="A34" s="40"/>
      <c r="B34" s="47"/>
      <c r="C34" s="141" t="s">
        <v>27</v>
      </c>
      <c r="D34" s="142"/>
      <c r="E34" s="221" t="s">
        <v>34</v>
      </c>
      <c r="F34" s="222"/>
      <c r="G34" s="222"/>
      <c r="H34" s="222"/>
      <c r="I34" s="222"/>
      <c r="J34" s="222"/>
      <c r="K34" s="223"/>
      <c r="L34" s="120" t="s">
        <v>31</v>
      </c>
      <c r="M34" s="121"/>
      <c r="N34" s="122"/>
      <c r="O34" s="120" t="s">
        <v>32</v>
      </c>
      <c r="P34" s="121"/>
      <c r="Q34" s="121"/>
      <c r="R34" s="122"/>
      <c r="S34" s="120" t="s">
        <v>33</v>
      </c>
      <c r="T34" s="121"/>
      <c r="U34" s="121"/>
      <c r="V34" s="121"/>
      <c r="W34" s="121"/>
      <c r="X34" s="121"/>
      <c r="Y34" s="122"/>
      <c r="Z34" s="118" t="s">
        <v>78</v>
      </c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19"/>
      <c r="AQ34" s="138" t="s">
        <v>30</v>
      </c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40"/>
      <c r="BK34" s="44"/>
    </row>
    <row r="35" spans="1:63" s="45" customFormat="1" ht="15" customHeight="1" x14ac:dyDescent="0.25">
      <c r="A35" s="40"/>
      <c r="B35" s="47"/>
      <c r="C35" s="124">
        <v>1</v>
      </c>
      <c r="D35" s="126"/>
      <c r="E35" s="203" t="s">
        <v>50</v>
      </c>
      <c r="F35" s="204"/>
      <c r="G35" s="204"/>
      <c r="H35" s="204"/>
      <c r="I35" s="204"/>
      <c r="J35" s="204"/>
      <c r="K35" s="205"/>
      <c r="L35" s="132"/>
      <c r="M35" s="133"/>
      <c r="N35" s="134"/>
      <c r="O35" s="124" t="s">
        <v>41</v>
      </c>
      <c r="P35" s="125"/>
      <c r="Q35" s="125"/>
      <c r="R35" s="126"/>
      <c r="S35" s="124" t="s">
        <v>45</v>
      </c>
      <c r="T35" s="125"/>
      <c r="U35" s="125"/>
      <c r="V35" s="125"/>
      <c r="W35" s="125"/>
      <c r="X35" s="125"/>
      <c r="Y35" s="126"/>
      <c r="Z35" s="203"/>
      <c r="AA35" s="204"/>
      <c r="AB35" s="204"/>
      <c r="AC35" s="204"/>
      <c r="AD35" s="204"/>
      <c r="AE35" s="204"/>
      <c r="AF35" s="204"/>
      <c r="AG35" s="204"/>
      <c r="AH35" s="204"/>
      <c r="AI35" s="204"/>
      <c r="AJ35" s="204"/>
      <c r="AK35" s="204"/>
      <c r="AL35" s="204"/>
      <c r="AM35" s="204"/>
      <c r="AN35" s="204"/>
      <c r="AO35" s="204"/>
      <c r="AP35" s="205"/>
      <c r="AQ35" s="129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1"/>
      <c r="BK35" s="44"/>
    </row>
    <row r="36" spans="1:63" s="45" customFormat="1" ht="15" customHeight="1" x14ac:dyDescent="0.25">
      <c r="A36" s="40"/>
      <c r="B36" s="47"/>
      <c r="C36" s="124">
        <f>C35+1</f>
        <v>2</v>
      </c>
      <c r="D36" s="126"/>
      <c r="E36" s="224" t="s">
        <v>42</v>
      </c>
      <c r="F36" s="225"/>
      <c r="G36" s="225"/>
      <c r="H36" s="225"/>
      <c r="I36" s="225"/>
      <c r="J36" s="225"/>
      <c r="K36" s="226"/>
      <c r="L36" s="132" t="s">
        <v>45</v>
      </c>
      <c r="M36" s="133"/>
      <c r="N36" s="134"/>
      <c r="O36" s="135" t="s">
        <v>46</v>
      </c>
      <c r="P36" s="136"/>
      <c r="Q36" s="136"/>
      <c r="R36" s="137"/>
      <c r="S36" s="124" t="s">
        <v>45</v>
      </c>
      <c r="T36" s="125"/>
      <c r="U36" s="125"/>
      <c r="V36" s="125"/>
      <c r="W36" s="125"/>
      <c r="X36" s="125"/>
      <c r="Y36" s="126"/>
      <c r="Z36" s="203" t="s">
        <v>51</v>
      </c>
      <c r="AA36" s="204"/>
      <c r="AB36" s="204"/>
      <c r="AC36" s="204"/>
      <c r="AD36" s="204"/>
      <c r="AE36" s="204"/>
      <c r="AF36" s="204"/>
      <c r="AG36" s="204"/>
      <c r="AH36" s="204"/>
      <c r="AI36" s="204"/>
      <c r="AJ36" s="204"/>
      <c r="AK36" s="204"/>
      <c r="AL36" s="204"/>
      <c r="AM36" s="204"/>
      <c r="AN36" s="204"/>
      <c r="AO36" s="204"/>
      <c r="AP36" s="205"/>
      <c r="AQ36" s="129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1"/>
      <c r="BK36" s="44"/>
    </row>
    <row r="37" spans="1:63" s="45" customFormat="1" ht="60" customHeight="1" x14ac:dyDescent="0.25">
      <c r="A37" s="40"/>
      <c r="B37" s="47"/>
      <c r="C37" s="124">
        <f t="shared" ref="C37:C39" si="0">C36+1</f>
        <v>3</v>
      </c>
      <c r="D37" s="126"/>
      <c r="E37" s="224" t="s">
        <v>44</v>
      </c>
      <c r="F37" s="225"/>
      <c r="G37" s="225"/>
      <c r="H37" s="225"/>
      <c r="I37" s="225"/>
      <c r="J37" s="225"/>
      <c r="K37" s="226"/>
      <c r="L37" s="209" t="s">
        <v>19</v>
      </c>
      <c r="M37" s="210"/>
      <c r="N37" s="211"/>
      <c r="O37" s="135" t="s">
        <v>47</v>
      </c>
      <c r="P37" s="136"/>
      <c r="Q37" s="136"/>
      <c r="R37" s="137"/>
      <c r="S37" s="124" t="s">
        <v>45</v>
      </c>
      <c r="T37" s="125"/>
      <c r="U37" s="125"/>
      <c r="V37" s="125"/>
      <c r="W37" s="125"/>
      <c r="X37" s="125"/>
      <c r="Y37" s="126"/>
      <c r="Z37" s="203"/>
      <c r="AA37" s="204"/>
      <c r="AB37" s="204"/>
      <c r="AC37" s="204"/>
      <c r="AD37" s="204"/>
      <c r="AE37" s="204"/>
      <c r="AF37" s="204"/>
      <c r="AG37" s="204"/>
      <c r="AH37" s="204"/>
      <c r="AI37" s="204"/>
      <c r="AJ37" s="204"/>
      <c r="AK37" s="204"/>
      <c r="AL37" s="204"/>
      <c r="AM37" s="204"/>
      <c r="AN37" s="204"/>
      <c r="AO37" s="204"/>
      <c r="AP37" s="205"/>
      <c r="AQ37" s="227" t="s">
        <v>82</v>
      </c>
      <c r="AR37" s="204"/>
      <c r="AS37" s="204"/>
      <c r="AT37" s="204"/>
      <c r="AU37" s="204"/>
      <c r="AV37" s="204"/>
      <c r="AW37" s="204"/>
      <c r="AX37" s="204"/>
      <c r="AY37" s="204"/>
      <c r="AZ37" s="204"/>
      <c r="BA37" s="204"/>
      <c r="BB37" s="204"/>
      <c r="BC37" s="204"/>
      <c r="BD37" s="204"/>
      <c r="BE37" s="204"/>
      <c r="BF37" s="204"/>
      <c r="BG37" s="204"/>
      <c r="BH37" s="204"/>
      <c r="BI37" s="204"/>
      <c r="BJ37" s="205"/>
      <c r="BK37" s="44"/>
    </row>
    <row r="38" spans="1:63" s="45" customFormat="1" ht="15" customHeight="1" x14ac:dyDescent="0.25">
      <c r="A38" s="40"/>
      <c r="B38" s="47"/>
      <c r="C38" s="231">
        <f t="shared" si="0"/>
        <v>4</v>
      </c>
      <c r="D38" s="232"/>
      <c r="E38" s="233" t="s">
        <v>83</v>
      </c>
      <c r="F38" s="234"/>
      <c r="G38" s="234"/>
      <c r="H38" s="234"/>
      <c r="I38" s="234"/>
      <c r="J38" s="234"/>
      <c r="K38" s="235"/>
      <c r="L38" s="236" t="s">
        <v>19</v>
      </c>
      <c r="M38" s="237"/>
      <c r="N38" s="238"/>
      <c r="O38" s="233" t="s">
        <v>84</v>
      </c>
      <c r="P38" s="234"/>
      <c r="Q38" s="234"/>
      <c r="R38" s="235"/>
      <c r="S38" s="231" t="s">
        <v>85</v>
      </c>
      <c r="T38" s="239"/>
      <c r="U38" s="239"/>
      <c r="V38" s="239"/>
      <c r="W38" s="239"/>
      <c r="X38" s="239"/>
      <c r="Y38" s="232"/>
      <c r="Z38" s="231" t="s">
        <v>86</v>
      </c>
      <c r="AA38" s="239"/>
      <c r="AB38" s="239"/>
      <c r="AC38" s="239"/>
      <c r="AD38" s="239"/>
      <c r="AE38" s="239"/>
      <c r="AF38" s="239"/>
      <c r="AG38" s="239"/>
      <c r="AH38" s="239"/>
      <c r="AI38" s="239"/>
      <c r="AJ38" s="239"/>
      <c r="AK38" s="239"/>
      <c r="AL38" s="239"/>
      <c r="AM38" s="239"/>
      <c r="AN38" s="239"/>
      <c r="AO38" s="239"/>
      <c r="AP38" s="232"/>
      <c r="AQ38" s="231" t="s">
        <v>87</v>
      </c>
      <c r="AR38" s="239"/>
      <c r="AS38" s="239"/>
      <c r="AT38" s="239"/>
      <c r="AU38" s="239"/>
      <c r="AV38" s="239"/>
      <c r="AW38" s="239"/>
      <c r="AX38" s="239"/>
      <c r="AY38" s="239"/>
      <c r="AZ38" s="239"/>
      <c r="BA38" s="239"/>
      <c r="BB38" s="239"/>
      <c r="BC38" s="239"/>
      <c r="BD38" s="239"/>
      <c r="BE38" s="239"/>
      <c r="BF38" s="239"/>
      <c r="BG38" s="239"/>
      <c r="BH38" s="239"/>
      <c r="BI38" s="239"/>
      <c r="BJ38" s="232"/>
      <c r="BK38" s="44"/>
    </row>
    <row r="39" spans="1:63" s="45" customFormat="1" ht="15" customHeight="1" x14ac:dyDescent="0.25">
      <c r="A39" s="40"/>
      <c r="B39" s="47"/>
      <c r="C39" s="124">
        <f t="shared" si="0"/>
        <v>5</v>
      </c>
      <c r="D39" s="126"/>
      <c r="E39" s="224" t="s">
        <v>43</v>
      </c>
      <c r="F39" s="225"/>
      <c r="G39" s="225"/>
      <c r="H39" s="225"/>
      <c r="I39" s="225"/>
      <c r="J39" s="225"/>
      <c r="K39" s="226"/>
      <c r="L39" s="228" t="s">
        <v>19</v>
      </c>
      <c r="M39" s="229"/>
      <c r="N39" s="230"/>
      <c r="O39" s="135" t="s">
        <v>20</v>
      </c>
      <c r="P39" s="136"/>
      <c r="Q39" s="136"/>
      <c r="R39" s="137"/>
      <c r="S39" s="124" t="s">
        <v>45</v>
      </c>
      <c r="T39" s="125"/>
      <c r="U39" s="125"/>
      <c r="V39" s="125"/>
      <c r="W39" s="125"/>
      <c r="X39" s="125"/>
      <c r="Y39" s="126"/>
      <c r="Z39" s="203" t="s">
        <v>52</v>
      </c>
      <c r="AA39" s="204"/>
      <c r="AB39" s="204"/>
      <c r="AC39" s="204"/>
      <c r="AD39" s="204"/>
      <c r="AE39" s="204"/>
      <c r="AF39" s="204"/>
      <c r="AG39" s="204"/>
      <c r="AH39" s="204"/>
      <c r="AI39" s="204"/>
      <c r="AJ39" s="204"/>
      <c r="AK39" s="204"/>
      <c r="AL39" s="204"/>
      <c r="AM39" s="204"/>
      <c r="AN39" s="204"/>
      <c r="AO39" s="204"/>
      <c r="AP39" s="205"/>
      <c r="AQ39" s="129" t="s">
        <v>88</v>
      </c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1"/>
      <c r="BK39" s="44"/>
    </row>
    <row r="40" spans="1:63" s="45" customFormat="1" ht="15" customHeight="1" x14ac:dyDescent="0.25">
      <c r="A40" s="40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8"/>
      <c r="BI40" s="48"/>
      <c r="BJ40" s="48"/>
      <c r="BK40" s="44"/>
    </row>
    <row r="41" spans="1:63" s="45" customFormat="1" ht="15" customHeight="1" x14ac:dyDescent="0.25">
      <c r="A41" s="40"/>
      <c r="B41" s="41" t="s">
        <v>89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3"/>
      <c r="BI41" s="43"/>
      <c r="BJ41" s="43"/>
      <c r="BK41" s="44"/>
    </row>
    <row r="42" spans="1:63" s="45" customFormat="1" ht="15" customHeight="1" x14ac:dyDescent="0.25">
      <c r="A42" s="40"/>
      <c r="B42" s="46"/>
      <c r="C42" s="50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8"/>
      <c r="BI42" s="48"/>
      <c r="BJ42" s="48"/>
      <c r="BK42" s="44"/>
    </row>
    <row r="43" spans="1:63" s="45" customFormat="1" ht="15" customHeight="1" x14ac:dyDescent="0.25">
      <c r="A43" s="40"/>
      <c r="B43" s="46"/>
      <c r="C43" s="50" t="s">
        <v>90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8"/>
      <c r="BI43" s="48"/>
      <c r="BJ43" s="48"/>
      <c r="BK43" s="44"/>
    </row>
    <row r="44" spans="1:63" s="45" customFormat="1" ht="15" customHeight="1" x14ac:dyDescent="0.25">
      <c r="A44" s="40"/>
      <c r="B44" s="46"/>
      <c r="C44" s="50"/>
      <c r="D44" s="47" t="s">
        <v>40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8"/>
      <c r="BI44" s="48"/>
      <c r="BJ44" s="48"/>
      <c r="BK44" s="44"/>
    </row>
    <row r="45" spans="1:63" s="45" customFormat="1" ht="15" customHeight="1" x14ac:dyDescent="0.25">
      <c r="A45" s="40"/>
      <c r="B45" s="47"/>
      <c r="C45" s="47"/>
      <c r="D45" s="199"/>
      <c r="E45" s="199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8"/>
      <c r="BI45" s="48"/>
      <c r="BJ45" s="48"/>
      <c r="BK45" s="44"/>
    </row>
    <row r="46" spans="1:63" s="45" customFormat="1" ht="15" customHeight="1" x14ac:dyDescent="0.25">
      <c r="A46" s="40"/>
      <c r="B46" s="47"/>
      <c r="C46" s="46" t="s">
        <v>91</v>
      </c>
      <c r="D46" s="47"/>
      <c r="E46" s="199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8"/>
      <c r="BI46" s="48"/>
      <c r="BJ46" s="48"/>
      <c r="BK46" s="44"/>
    </row>
    <row r="47" spans="1:63" s="45" customFormat="1" ht="15" customHeight="1" x14ac:dyDescent="0.25">
      <c r="A47" s="40"/>
      <c r="B47" s="47"/>
      <c r="C47" s="46"/>
      <c r="D47" s="47"/>
      <c r="E47" s="199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8"/>
      <c r="BI47" s="48"/>
      <c r="BJ47" s="48"/>
      <c r="BK47" s="44"/>
    </row>
    <row r="48" spans="1:63" s="45" customFormat="1" ht="15" customHeight="1" x14ac:dyDescent="0.25">
      <c r="A48" s="40"/>
      <c r="B48" s="47"/>
      <c r="C48" s="46" t="s">
        <v>48</v>
      </c>
      <c r="D48" s="47"/>
      <c r="E48" s="199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8"/>
      <c r="BI48" s="48"/>
      <c r="BJ48" s="48"/>
      <c r="BK48" s="44"/>
    </row>
    <row r="49" spans="1:63" s="60" customFormat="1" ht="15" customHeight="1" x14ac:dyDescent="0.25">
      <c r="A49" s="55"/>
      <c r="B49" s="56"/>
      <c r="C49" s="56"/>
      <c r="D49" s="56"/>
      <c r="E49" s="57"/>
      <c r="F49" s="57"/>
      <c r="G49" s="57"/>
      <c r="H49" s="57"/>
      <c r="I49" s="57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8"/>
      <c r="BI49" s="58"/>
      <c r="BJ49" s="58"/>
      <c r="BK49" s="59"/>
    </row>
  </sheetData>
  <mergeCells count="112">
    <mergeCell ref="AG17:AP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Q17:BJ17"/>
    <mergeCell ref="E22:K22"/>
    <mergeCell ref="E23:K23"/>
    <mergeCell ref="C22:D22"/>
    <mergeCell ref="E25:K25"/>
    <mergeCell ref="E26:K26"/>
    <mergeCell ref="O23:R23"/>
    <mergeCell ref="O25:R25"/>
    <mergeCell ref="O26:R26"/>
    <mergeCell ref="L22:N22"/>
    <mergeCell ref="L23:N23"/>
    <mergeCell ref="AQ25:BJ25"/>
    <mergeCell ref="AQ26:BJ26"/>
    <mergeCell ref="S25:Y25"/>
    <mergeCell ref="S26:Y26"/>
    <mergeCell ref="C26:D26"/>
    <mergeCell ref="C25:D25"/>
    <mergeCell ref="Z25:AP25"/>
    <mergeCell ref="AQ21:BJ21"/>
    <mergeCell ref="AQ22:BJ22"/>
    <mergeCell ref="E21:K21"/>
    <mergeCell ref="S39:Y39"/>
    <mergeCell ref="L39:N39"/>
    <mergeCell ref="O39:R39"/>
    <mergeCell ref="C38:D38"/>
    <mergeCell ref="O38:R38"/>
    <mergeCell ref="AQ34:BJ34"/>
    <mergeCell ref="C35:D35"/>
    <mergeCell ref="E35:K35"/>
    <mergeCell ref="C34:D34"/>
    <mergeCell ref="E34:K34"/>
    <mergeCell ref="S34:Y34"/>
    <mergeCell ref="E38:K38"/>
    <mergeCell ref="S38:Y38"/>
    <mergeCell ref="L38:N38"/>
    <mergeCell ref="C37:D37"/>
    <mergeCell ref="E37:K37"/>
    <mergeCell ref="S37:Y37"/>
    <mergeCell ref="AQ37:BJ37"/>
    <mergeCell ref="L36:N36"/>
    <mergeCell ref="S35:Y35"/>
    <mergeCell ref="AQ35:BJ35"/>
    <mergeCell ref="C36:D36"/>
    <mergeCell ref="E36:K36"/>
    <mergeCell ref="S36:Y36"/>
    <mergeCell ref="Z39:AP39"/>
    <mergeCell ref="AQ38:BJ38"/>
    <mergeCell ref="AQ36:BJ36"/>
    <mergeCell ref="Z35:AP35"/>
    <mergeCell ref="Z36:AP36"/>
    <mergeCell ref="Z37:AP37"/>
    <mergeCell ref="Z38:AP38"/>
    <mergeCell ref="AQ39:BJ39"/>
    <mergeCell ref="C23:D23"/>
    <mergeCell ref="AQ23:BJ23"/>
    <mergeCell ref="AQ24:BJ24"/>
    <mergeCell ref="Z26:AP26"/>
    <mergeCell ref="L25:N25"/>
    <mergeCell ref="L26:N26"/>
    <mergeCell ref="L34:N34"/>
    <mergeCell ref="O34:R34"/>
    <mergeCell ref="Z34:AP34"/>
    <mergeCell ref="L35:N35"/>
    <mergeCell ref="O35:R35"/>
    <mergeCell ref="O36:R36"/>
    <mergeCell ref="L37:N37"/>
    <mergeCell ref="O37:R37"/>
    <mergeCell ref="C39:D39"/>
    <mergeCell ref="E39:K39"/>
    <mergeCell ref="C21:D21"/>
    <mergeCell ref="S21:Y21"/>
    <mergeCell ref="Z21:AP21"/>
    <mergeCell ref="O22:R22"/>
    <mergeCell ref="C24:D24"/>
    <mergeCell ref="E24:K24"/>
    <mergeCell ref="L24:N24"/>
    <mergeCell ref="O24:R24"/>
    <mergeCell ref="S24:Y24"/>
    <mergeCell ref="Z24:AP24"/>
    <mergeCell ref="O21:R21"/>
    <mergeCell ref="L21:N21"/>
    <mergeCell ref="S23:Y23"/>
    <mergeCell ref="S22:Y22"/>
    <mergeCell ref="Z22:AP22"/>
    <mergeCell ref="Z23:AP2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8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63" t="s">
        <v>62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63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9" t="s">
        <v>64</v>
      </c>
      <c r="AQ1" s="170"/>
      <c r="AR1" s="170"/>
      <c r="AS1" s="171"/>
      <c r="AT1" s="169" t="s">
        <v>65</v>
      </c>
      <c r="AU1" s="170"/>
      <c r="AV1" s="170"/>
      <c r="AW1" s="170"/>
      <c r="AX1" s="171"/>
      <c r="AY1" s="169" t="s">
        <v>66</v>
      </c>
      <c r="AZ1" s="170"/>
      <c r="BA1" s="170"/>
      <c r="BB1" s="171"/>
      <c r="BC1" s="169" t="s">
        <v>67</v>
      </c>
      <c r="BD1" s="170"/>
      <c r="BE1" s="170"/>
      <c r="BF1" s="170"/>
      <c r="BG1" s="171"/>
      <c r="BH1" s="169" t="s">
        <v>68</v>
      </c>
      <c r="BI1" s="170"/>
      <c r="BJ1" s="170"/>
      <c r="BK1" s="171"/>
    </row>
    <row r="2" spans="1:63" ht="15" customHeight="1" x14ac:dyDescent="0.25">
      <c r="A2" s="108" t="str">
        <f>IF(表紙!A2="","",表紙!A2)</f>
        <v>POSサーバー</v>
      </c>
      <c r="B2" s="109"/>
      <c r="C2" s="109"/>
      <c r="D2" s="109"/>
      <c r="E2" s="109"/>
      <c r="F2" s="109"/>
      <c r="G2" s="109"/>
      <c r="H2" s="109"/>
      <c r="I2" s="109"/>
      <c r="J2" s="110"/>
      <c r="K2" s="108" t="str">
        <f>IF(表紙!K2="","",表紙!K2)</f>
        <v>POSサーバー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10"/>
      <c r="W2" s="172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4"/>
      <c r="AP2" s="175" t="str">
        <f>IF(表紙!AP2="","",表紙!AP2)</f>
        <v>DuNT</v>
      </c>
      <c r="AQ2" s="176"/>
      <c r="AR2" s="176"/>
      <c r="AS2" s="177"/>
      <c r="AT2" s="178">
        <f>IF(表紙!AT2="","",表紙!AT2)</f>
        <v>45491</v>
      </c>
      <c r="AU2" s="179"/>
      <c r="AV2" s="179"/>
      <c r="AW2" s="179"/>
      <c r="AX2" s="180"/>
      <c r="AY2" s="175" t="str">
        <f>IF(表紙!AY2="","",表紙!AY2)</f>
        <v>DuNT</v>
      </c>
      <c r="AZ2" s="176"/>
      <c r="BA2" s="176"/>
      <c r="BB2" s="177"/>
      <c r="BC2" s="178">
        <f>IF(表紙!BC2="","",表紙!BC2)</f>
        <v>45575</v>
      </c>
      <c r="BD2" s="179"/>
      <c r="BE2" s="179"/>
      <c r="BF2" s="179"/>
      <c r="BG2" s="180"/>
      <c r="BH2" s="175">
        <f>IF(表紙!BH2="","",表紙!BH2)</f>
        <v>0.41</v>
      </c>
      <c r="BI2" s="176"/>
      <c r="BJ2" s="176"/>
      <c r="BK2" s="177"/>
    </row>
    <row r="3" spans="1:63" ht="15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3"/>
      <c r="K3" s="111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3"/>
      <c r="W3" s="181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3"/>
      <c r="AP3" s="184"/>
      <c r="AQ3" s="185"/>
      <c r="AR3" s="185"/>
      <c r="AS3" s="186"/>
      <c r="AT3" s="187"/>
      <c r="AU3" s="188"/>
      <c r="AV3" s="188"/>
      <c r="AW3" s="188"/>
      <c r="AX3" s="189"/>
      <c r="AY3" s="184"/>
      <c r="AZ3" s="185"/>
      <c r="BA3" s="185"/>
      <c r="BB3" s="186"/>
      <c r="BC3" s="187"/>
      <c r="BD3" s="188"/>
      <c r="BE3" s="188"/>
      <c r="BF3" s="188"/>
      <c r="BG3" s="189"/>
      <c r="BH3" s="184"/>
      <c r="BI3" s="185"/>
      <c r="BJ3" s="185"/>
      <c r="BK3" s="186"/>
    </row>
    <row r="4" spans="1:63" ht="24.95" customHeight="1" x14ac:dyDescent="0.25">
      <c r="A4" s="163" t="s">
        <v>69</v>
      </c>
      <c r="B4" s="164"/>
      <c r="C4" s="164"/>
      <c r="D4" s="164"/>
      <c r="E4" s="164"/>
      <c r="F4" s="164"/>
      <c r="G4" s="165"/>
      <c r="H4" s="114" t="str">
        <f>IF(表紙!H4="","",表紙!H4)</f>
        <v>AP7104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163" t="s">
        <v>70</v>
      </c>
      <c r="V4" s="164"/>
      <c r="W4" s="164"/>
      <c r="X4" s="164"/>
      <c r="Y4" s="165"/>
      <c r="Z4" s="114" t="str">
        <f>IF(表紙!Z4="","",表紙!Z4)</f>
        <v>API設計書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処理フロー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97" customFormat="1" ht="15" customHeight="1" x14ac:dyDescent="0.25">
      <c r="B7" s="61"/>
      <c r="C7" s="48"/>
      <c r="D7" s="48"/>
      <c r="E7" s="48"/>
      <c r="F7" s="48"/>
      <c r="G7" s="48"/>
      <c r="AI7" s="240"/>
      <c r="BJ7" s="240"/>
      <c r="BK7" s="195"/>
    </row>
    <row r="8" spans="1:63" s="197" customFormat="1" ht="15" customHeight="1" x14ac:dyDescent="0.25">
      <c r="B8" s="61"/>
      <c r="C8" s="48"/>
      <c r="D8" s="48"/>
      <c r="E8" s="48"/>
      <c r="F8" s="48"/>
      <c r="G8" s="48"/>
      <c r="AI8" s="240"/>
      <c r="BJ8" s="240"/>
      <c r="BK8" s="195"/>
    </row>
    <row r="9" spans="1:63" s="197" customFormat="1" ht="15" customHeight="1" x14ac:dyDescent="0.25">
      <c r="B9" s="61"/>
      <c r="C9" s="48"/>
      <c r="D9" s="48"/>
      <c r="E9" s="48"/>
      <c r="F9" s="48"/>
      <c r="G9" s="48"/>
      <c r="AI9" s="240"/>
      <c r="BJ9" s="240"/>
      <c r="BK9" s="195"/>
    </row>
    <row r="10" spans="1:63" s="197" customFormat="1" ht="15" customHeight="1" x14ac:dyDescent="0.25">
      <c r="B10" s="61"/>
      <c r="C10" s="48"/>
      <c r="D10" s="48"/>
      <c r="E10" s="48"/>
      <c r="F10" s="48"/>
      <c r="G10" s="48"/>
      <c r="AI10" s="240"/>
      <c r="BJ10" s="240"/>
      <c r="BK10" s="195"/>
    </row>
    <row r="11" spans="1:63" s="197" customFormat="1" ht="15" customHeight="1" x14ac:dyDescent="0.25">
      <c r="B11" s="241"/>
      <c r="AI11" s="240"/>
      <c r="BJ11" s="240"/>
      <c r="BK11" s="195"/>
    </row>
    <row r="12" spans="1:63" s="197" customFormat="1" ht="15" customHeight="1" x14ac:dyDescent="0.25">
      <c r="B12" s="241"/>
      <c r="AI12" s="240"/>
      <c r="BJ12" s="240"/>
      <c r="BK12" s="195"/>
    </row>
    <row r="13" spans="1:63" s="197" customFormat="1" ht="15" customHeight="1" x14ac:dyDescent="0.25">
      <c r="B13" s="241"/>
      <c r="AI13" s="240"/>
      <c r="BJ13" s="240"/>
      <c r="BK13" s="195"/>
    </row>
    <row r="14" spans="1:63" s="197" customFormat="1" ht="15" customHeight="1" x14ac:dyDescent="0.25">
      <c r="B14" s="241"/>
      <c r="AI14" s="240"/>
      <c r="BJ14" s="240"/>
      <c r="BK14" s="195"/>
    </row>
    <row r="15" spans="1:63" s="197" customFormat="1" ht="15" customHeight="1" x14ac:dyDescent="0.25">
      <c r="B15" s="241"/>
      <c r="AI15" s="240"/>
      <c r="BJ15" s="240"/>
      <c r="BK15" s="195"/>
    </row>
    <row r="16" spans="1:63" s="197" customFormat="1" ht="15" customHeight="1" x14ac:dyDescent="0.25">
      <c r="B16" s="241"/>
      <c r="AI16" s="240"/>
      <c r="BJ16" s="240"/>
      <c r="BK16" s="195"/>
    </row>
    <row r="17" spans="2:63" s="197" customFormat="1" ht="15" customHeight="1" x14ac:dyDescent="0.25">
      <c r="B17" s="241"/>
      <c r="AI17" s="240"/>
      <c r="BJ17" s="240"/>
      <c r="BK17" s="195"/>
    </row>
    <row r="18" spans="2:63" s="197" customFormat="1" ht="15" customHeight="1" x14ac:dyDescent="0.25">
      <c r="B18" s="241"/>
      <c r="AI18" s="240"/>
      <c r="BJ18" s="240"/>
      <c r="BK18" s="195"/>
    </row>
    <row r="19" spans="2:63" s="197" customFormat="1" ht="15" customHeight="1" x14ac:dyDescent="0.25">
      <c r="B19" s="241"/>
      <c r="AI19" s="240"/>
      <c r="BJ19" s="240"/>
      <c r="BK19" s="195"/>
    </row>
    <row r="20" spans="2:63" s="197" customFormat="1" ht="15" customHeight="1" x14ac:dyDescent="0.25">
      <c r="B20" s="241"/>
      <c r="AI20" s="240"/>
      <c r="BJ20" s="240"/>
      <c r="BK20" s="195"/>
    </row>
    <row r="21" spans="2:63" s="197" customFormat="1" ht="15" customHeight="1" x14ac:dyDescent="0.25">
      <c r="B21" s="241"/>
      <c r="AI21" s="240"/>
      <c r="BJ21" s="240"/>
      <c r="BK21" s="195"/>
    </row>
    <row r="22" spans="2:63" s="197" customFormat="1" ht="15" customHeight="1" x14ac:dyDescent="0.25">
      <c r="B22" s="241"/>
      <c r="AI22" s="240"/>
      <c r="BJ22" s="240"/>
      <c r="BK22" s="195"/>
    </row>
    <row r="23" spans="2:63" s="197" customFormat="1" ht="15" customHeight="1" x14ac:dyDescent="0.25">
      <c r="B23" s="241"/>
      <c r="AI23" s="240"/>
      <c r="BJ23" s="240"/>
      <c r="BK23" s="195"/>
    </row>
    <row r="24" spans="2:63" s="197" customFormat="1" ht="15" customHeight="1" x14ac:dyDescent="0.25">
      <c r="B24" s="241"/>
      <c r="AI24" s="240"/>
      <c r="BJ24" s="240"/>
      <c r="BK24" s="195"/>
    </row>
    <row r="25" spans="2:63" s="197" customFormat="1" ht="15" customHeight="1" x14ac:dyDescent="0.25">
      <c r="B25" s="241"/>
      <c r="AI25" s="240"/>
      <c r="BJ25" s="240"/>
      <c r="BK25" s="195"/>
    </row>
    <row r="26" spans="2:63" s="197" customFormat="1" ht="15" customHeight="1" x14ac:dyDescent="0.25">
      <c r="B26" s="241"/>
      <c r="AI26" s="240"/>
      <c r="BJ26" s="240"/>
      <c r="BK26" s="195"/>
    </row>
    <row r="27" spans="2:63" s="197" customFormat="1" ht="15" customHeight="1" x14ac:dyDescent="0.25">
      <c r="B27" s="241"/>
      <c r="AI27" s="240"/>
      <c r="BJ27" s="240"/>
      <c r="BK27" s="195"/>
    </row>
    <row r="28" spans="2:63" s="197" customFormat="1" ht="15" customHeight="1" x14ac:dyDescent="0.25">
      <c r="B28" s="241"/>
      <c r="AI28" s="240"/>
      <c r="BJ28" s="240"/>
      <c r="BK28" s="195"/>
    </row>
    <row r="29" spans="2:63" s="197" customFormat="1" ht="15" customHeight="1" x14ac:dyDescent="0.25">
      <c r="B29" s="241"/>
      <c r="AI29" s="240"/>
      <c r="BJ29" s="240"/>
      <c r="BK29" s="195"/>
    </row>
    <row r="30" spans="2:63" s="197" customFormat="1" ht="15" customHeight="1" x14ac:dyDescent="0.25">
      <c r="B30" s="241"/>
      <c r="AI30" s="240"/>
      <c r="BJ30" s="240"/>
      <c r="BK30" s="195"/>
    </row>
    <row r="31" spans="2:63" s="197" customFormat="1" ht="15" customHeight="1" x14ac:dyDescent="0.25">
      <c r="B31" s="241"/>
      <c r="AI31" s="240"/>
      <c r="BJ31" s="240"/>
      <c r="BK31" s="195"/>
    </row>
    <row r="32" spans="2:63" s="197" customFormat="1" ht="15" customHeight="1" x14ac:dyDescent="0.25">
      <c r="B32" s="241"/>
      <c r="AI32" s="240"/>
      <c r="BJ32" s="240"/>
      <c r="BK32" s="195"/>
    </row>
    <row r="33" spans="2:63" s="197" customFormat="1" ht="15" customHeight="1" x14ac:dyDescent="0.25">
      <c r="B33" s="241"/>
      <c r="AI33" s="240"/>
      <c r="BJ33" s="240"/>
      <c r="BK33" s="195"/>
    </row>
    <row r="34" spans="2:63" s="197" customFormat="1" ht="15" customHeight="1" x14ac:dyDescent="0.25">
      <c r="B34" s="241"/>
      <c r="AI34" s="240"/>
      <c r="BJ34" s="240"/>
      <c r="BK34" s="195"/>
    </row>
    <row r="35" spans="2:63" s="197" customFormat="1" ht="15" customHeight="1" x14ac:dyDescent="0.25">
      <c r="B35" s="241"/>
      <c r="AI35" s="240"/>
      <c r="BJ35" s="240"/>
      <c r="BK35" s="195"/>
    </row>
    <row r="36" spans="2:63" s="197" customFormat="1" ht="15" customHeight="1" x14ac:dyDescent="0.25">
      <c r="B36" s="241"/>
      <c r="AI36" s="240"/>
      <c r="BJ36" s="240"/>
      <c r="BK36" s="195"/>
    </row>
    <row r="37" spans="2:63" s="197" customFormat="1" ht="15" customHeight="1" x14ac:dyDescent="0.25">
      <c r="B37" s="241"/>
      <c r="AI37" s="240"/>
      <c r="BJ37" s="240"/>
      <c r="BK37" s="195"/>
    </row>
    <row r="38" spans="2:63" s="197" customFormat="1" ht="15" customHeight="1" x14ac:dyDescent="0.25">
      <c r="B38" s="241"/>
      <c r="AI38" s="240"/>
      <c r="BJ38" s="240"/>
      <c r="BK38" s="195"/>
    </row>
    <row r="39" spans="2:63" s="197" customFormat="1" ht="15" customHeight="1" x14ac:dyDescent="0.25">
      <c r="B39" s="241"/>
      <c r="AI39" s="240"/>
      <c r="BJ39" s="240"/>
      <c r="BK39" s="195"/>
    </row>
    <row r="40" spans="2:63" s="197" customFormat="1" ht="15" customHeight="1" x14ac:dyDescent="0.25">
      <c r="B40" s="241"/>
      <c r="AI40" s="240"/>
      <c r="BJ40" s="240"/>
      <c r="BK40" s="195"/>
    </row>
    <row r="41" spans="2:63" s="197" customFormat="1" ht="15" customHeight="1" x14ac:dyDescent="0.25">
      <c r="B41" s="241"/>
      <c r="AI41" s="240"/>
      <c r="BJ41" s="240"/>
      <c r="BK41" s="195"/>
    </row>
    <row r="42" spans="2:63" s="197" customFormat="1" ht="15" customHeight="1" x14ac:dyDescent="0.25">
      <c r="B42" s="241"/>
      <c r="AI42" s="240"/>
      <c r="BJ42" s="240"/>
      <c r="BK42" s="195"/>
    </row>
    <row r="43" spans="2:63" s="197" customFormat="1" ht="15" customHeight="1" x14ac:dyDescent="0.25">
      <c r="B43" s="241"/>
      <c r="AI43" s="240"/>
      <c r="BJ43" s="240"/>
      <c r="BK43" s="195"/>
    </row>
    <row r="44" spans="2:63" s="197" customFormat="1" ht="15" customHeight="1" x14ac:dyDescent="0.25">
      <c r="B44" s="241"/>
      <c r="AI44" s="240"/>
      <c r="BJ44" s="240"/>
      <c r="BK44" s="195"/>
    </row>
    <row r="45" spans="2:63" s="197" customFormat="1" ht="15" customHeight="1" x14ac:dyDescent="0.25">
      <c r="B45" s="241"/>
      <c r="AI45" s="240"/>
      <c r="BJ45" s="240"/>
      <c r="BK45" s="195"/>
    </row>
    <row r="46" spans="2:63" s="197" customFormat="1" ht="15" customHeight="1" x14ac:dyDescent="0.25">
      <c r="B46" s="241"/>
      <c r="AI46" s="240"/>
      <c r="BJ46" s="240"/>
      <c r="BK46" s="195"/>
    </row>
    <row r="47" spans="2:63" s="197" customFormat="1" ht="15" customHeight="1" x14ac:dyDescent="0.25">
      <c r="B47" s="241"/>
      <c r="AI47" s="240"/>
      <c r="BJ47" s="240"/>
      <c r="BK47" s="195"/>
    </row>
    <row r="48" spans="2:63" s="197" customFormat="1" ht="15" customHeight="1" x14ac:dyDescent="0.25">
      <c r="B48" s="241"/>
      <c r="AI48" s="240"/>
      <c r="BJ48" s="240"/>
      <c r="BK48" s="195"/>
    </row>
    <row r="49" spans="2:63" s="197" customFormat="1" ht="15" customHeight="1" x14ac:dyDescent="0.25">
      <c r="B49" s="241"/>
      <c r="AI49" s="240"/>
      <c r="BJ49" s="240"/>
      <c r="BK49" s="195"/>
    </row>
    <row r="50" spans="2:63" s="197" customFormat="1" ht="15" customHeight="1" x14ac:dyDescent="0.25">
      <c r="B50" s="241"/>
      <c r="AI50" s="240"/>
      <c r="BJ50" s="240"/>
      <c r="BK50" s="195"/>
    </row>
    <row r="51" spans="2:63" s="197" customFormat="1" ht="15" customHeight="1" x14ac:dyDescent="0.25">
      <c r="B51" s="241"/>
      <c r="AI51" s="240"/>
      <c r="BJ51" s="240"/>
      <c r="BK51" s="195"/>
    </row>
    <row r="52" spans="2:63" s="197" customFormat="1" ht="15" customHeight="1" x14ac:dyDescent="0.25">
      <c r="B52" s="241"/>
      <c r="AI52" s="240"/>
      <c r="BJ52" s="240"/>
      <c r="BK52" s="195"/>
    </row>
    <row r="53" spans="2:63" s="197" customFormat="1" ht="15" customHeight="1" x14ac:dyDescent="0.25">
      <c r="B53" s="241"/>
      <c r="AI53" s="240"/>
      <c r="BJ53" s="240"/>
      <c r="BK53" s="195"/>
    </row>
    <row r="54" spans="2:63" s="197" customFormat="1" ht="15" customHeight="1" x14ac:dyDescent="0.25">
      <c r="B54" s="241"/>
      <c r="AI54" s="240"/>
      <c r="BJ54" s="240"/>
      <c r="BK54" s="195"/>
    </row>
    <row r="55" spans="2:63" s="197" customFormat="1" ht="15" customHeight="1" x14ac:dyDescent="0.25">
      <c r="B55" s="241"/>
      <c r="AI55" s="240"/>
      <c r="BJ55" s="240"/>
      <c r="BK55" s="195"/>
    </row>
    <row r="56" spans="2:63" s="197" customFormat="1" ht="15" customHeight="1" x14ac:dyDescent="0.25">
      <c r="B56" s="241"/>
      <c r="AI56" s="240"/>
      <c r="BJ56" s="240"/>
      <c r="BK56" s="195"/>
    </row>
    <row r="57" spans="2:63" s="197" customFormat="1" ht="15" customHeight="1" x14ac:dyDescent="0.25">
      <c r="B57" s="241"/>
      <c r="AI57" s="240"/>
      <c r="BJ57" s="240"/>
      <c r="BK57" s="195"/>
    </row>
    <row r="58" spans="2:63" s="197" customFormat="1" ht="15" customHeight="1" x14ac:dyDescent="0.25">
      <c r="B58" s="241"/>
      <c r="AI58" s="240"/>
      <c r="BJ58" s="240"/>
      <c r="BK58" s="195"/>
    </row>
    <row r="59" spans="2:63" s="197" customFormat="1" ht="15" customHeight="1" x14ac:dyDescent="0.25">
      <c r="B59" s="241"/>
      <c r="AI59" s="240"/>
      <c r="BJ59" s="240"/>
      <c r="BK59" s="195"/>
    </row>
    <row r="60" spans="2:63" s="197" customFormat="1" ht="15" customHeight="1" x14ac:dyDescent="0.25">
      <c r="B60" s="241"/>
      <c r="AI60" s="240"/>
      <c r="BJ60" s="240"/>
      <c r="BK60" s="195"/>
    </row>
    <row r="61" spans="2:63" s="197" customFormat="1" ht="15" customHeight="1" x14ac:dyDescent="0.25">
      <c r="B61" s="241"/>
      <c r="AI61" s="240"/>
      <c r="BJ61" s="240"/>
      <c r="BK61" s="195"/>
    </row>
    <row r="62" spans="2:63" s="197" customFormat="1" ht="15" customHeight="1" x14ac:dyDescent="0.25">
      <c r="B62" s="241"/>
      <c r="AI62" s="240"/>
      <c r="BJ62" s="240"/>
      <c r="BK62" s="195"/>
    </row>
    <row r="63" spans="2:63" s="197" customFormat="1" ht="15" customHeight="1" x14ac:dyDescent="0.25">
      <c r="B63" s="241"/>
      <c r="AI63" s="240"/>
      <c r="BJ63" s="240"/>
      <c r="BK63" s="195"/>
    </row>
    <row r="64" spans="2:63" s="197" customFormat="1" ht="15" customHeight="1" x14ac:dyDescent="0.25">
      <c r="B64" s="241"/>
      <c r="AI64" s="240"/>
      <c r="BJ64" s="240"/>
      <c r="BK64" s="195"/>
    </row>
    <row r="65" spans="2:63" s="197" customFormat="1" ht="15" customHeight="1" x14ac:dyDescent="0.25">
      <c r="B65" s="241"/>
      <c r="AI65" s="240"/>
      <c r="BJ65" s="240"/>
      <c r="BK65" s="195"/>
    </row>
    <row r="66" spans="2:63" s="197" customFormat="1" ht="15" customHeight="1" x14ac:dyDescent="0.25">
      <c r="B66" s="241"/>
      <c r="AI66" s="240"/>
      <c r="BJ66" s="240"/>
      <c r="BK66" s="195"/>
    </row>
    <row r="67" spans="2:63" s="197" customFormat="1" ht="15" customHeight="1" x14ac:dyDescent="0.25">
      <c r="B67" s="241"/>
      <c r="AI67" s="240"/>
      <c r="BJ67" s="240"/>
      <c r="BK67" s="195"/>
    </row>
    <row r="68" spans="2:63" s="197" customFormat="1" ht="15" customHeight="1" x14ac:dyDescent="0.25">
      <c r="B68" s="241"/>
      <c r="AI68" s="240"/>
      <c r="BJ68" s="240"/>
      <c r="BK68" s="195"/>
    </row>
    <row r="69" spans="2:63" s="197" customFormat="1" ht="15" customHeight="1" x14ac:dyDescent="0.25">
      <c r="B69" s="241"/>
      <c r="AI69" s="240"/>
      <c r="BJ69" s="240"/>
      <c r="BK69" s="195"/>
    </row>
    <row r="70" spans="2:63" ht="15" customHeight="1" x14ac:dyDescent="0.25">
      <c r="B70" s="38"/>
      <c r="AI70" s="39"/>
      <c r="BJ70" s="39"/>
      <c r="BK70" s="34"/>
    </row>
    <row r="71" spans="2:63" ht="15" customHeight="1" x14ac:dyDescent="0.25">
      <c r="B71" s="38"/>
      <c r="AI71" s="39"/>
      <c r="BJ71" s="39"/>
      <c r="BK71" s="34"/>
    </row>
    <row r="72" spans="2:63" ht="15" customHeight="1" x14ac:dyDescent="0.25">
      <c r="B72" s="38"/>
      <c r="AI72" s="39"/>
      <c r="BJ72" s="39"/>
      <c r="BK72" s="34"/>
    </row>
    <row r="73" spans="2:63" ht="15" customHeight="1" x14ac:dyDescent="0.25">
      <c r="B73" s="38"/>
      <c r="AI73" s="39"/>
      <c r="BJ73" s="39"/>
      <c r="BK73" s="34"/>
    </row>
    <row r="74" spans="2:63" ht="15" customHeight="1" x14ac:dyDescent="0.25">
      <c r="B74" s="38"/>
      <c r="AI74" s="39"/>
      <c r="BJ74" s="39"/>
      <c r="BK74" s="34"/>
    </row>
    <row r="75" spans="2:63" ht="15" customHeight="1" x14ac:dyDescent="0.25">
      <c r="B75" s="38"/>
      <c r="AI75" s="39"/>
      <c r="BJ75" s="39"/>
      <c r="BK75" s="34"/>
    </row>
    <row r="76" spans="2:63" ht="15" customHeight="1" x14ac:dyDescent="0.25">
      <c r="B76" s="38"/>
      <c r="AI76" s="39"/>
      <c r="BJ76" s="39"/>
      <c r="BK76" s="34"/>
    </row>
    <row r="77" spans="2:63" ht="15" customHeight="1" x14ac:dyDescent="0.25">
      <c r="B77" s="38"/>
      <c r="AI77" s="39"/>
      <c r="BJ77" s="39"/>
      <c r="BK77" s="34"/>
    </row>
    <row r="78" spans="2:63" ht="15" customHeight="1" x14ac:dyDescent="0.25">
      <c r="B78" s="38"/>
      <c r="AI78" s="39"/>
      <c r="BJ78" s="39"/>
      <c r="BK78" s="34"/>
    </row>
    <row r="79" spans="2:63" ht="15" customHeight="1" x14ac:dyDescent="0.25">
      <c r="B79" s="38"/>
      <c r="AI79" s="39"/>
      <c r="BJ79" s="39"/>
      <c r="BK79" s="34"/>
    </row>
    <row r="80" spans="2:63" ht="15" customHeight="1" x14ac:dyDescent="0.25">
      <c r="B80" s="38"/>
      <c r="AI80" s="39"/>
      <c r="BJ80" s="39"/>
      <c r="BK80" s="34"/>
    </row>
    <row r="81" spans="2:63" ht="15" customHeight="1" x14ac:dyDescent="0.25">
      <c r="B81" s="38"/>
      <c r="AI81" s="39"/>
      <c r="BJ81" s="39"/>
      <c r="BK81" s="34"/>
    </row>
    <row r="82" spans="2:63" ht="15" customHeight="1" x14ac:dyDescent="0.25">
      <c r="B82" s="38"/>
      <c r="AI82" s="39"/>
      <c r="BJ82" s="39"/>
      <c r="BK82" s="34"/>
    </row>
    <row r="83" spans="2:63" ht="15" customHeight="1" x14ac:dyDescent="0.25">
      <c r="B83" s="38"/>
      <c r="AI83" s="39"/>
      <c r="BJ83" s="39"/>
      <c r="BK83" s="34"/>
    </row>
    <row r="84" spans="2:63" ht="15" customHeight="1" x14ac:dyDescent="0.25">
      <c r="B84" s="38"/>
      <c r="AI84" s="39"/>
      <c r="BJ84" s="39"/>
      <c r="BK84" s="34"/>
    </row>
    <row r="85" spans="2:63" ht="15" customHeight="1" x14ac:dyDescent="0.25">
      <c r="B85" s="38"/>
      <c r="AI85" s="39"/>
      <c r="BJ85" s="39"/>
      <c r="BK85" s="3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63" t="s">
        <v>62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63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9" t="s">
        <v>64</v>
      </c>
      <c r="AQ1" s="170"/>
      <c r="AR1" s="170"/>
      <c r="AS1" s="171"/>
      <c r="AT1" s="169" t="s">
        <v>65</v>
      </c>
      <c r="AU1" s="170"/>
      <c r="AV1" s="170"/>
      <c r="AW1" s="170"/>
      <c r="AX1" s="171"/>
      <c r="AY1" s="169" t="s">
        <v>66</v>
      </c>
      <c r="AZ1" s="170"/>
      <c r="BA1" s="170"/>
      <c r="BB1" s="171"/>
      <c r="BC1" s="169" t="s">
        <v>67</v>
      </c>
      <c r="BD1" s="170"/>
      <c r="BE1" s="170"/>
      <c r="BF1" s="170"/>
      <c r="BG1" s="171"/>
      <c r="BH1" s="169" t="s">
        <v>68</v>
      </c>
      <c r="BI1" s="170"/>
      <c r="BJ1" s="170"/>
      <c r="BK1" s="171"/>
    </row>
    <row r="2" spans="1:63" ht="15" customHeight="1" x14ac:dyDescent="0.25">
      <c r="A2" s="108" t="str">
        <f>IF(表紙!A2="","",表紙!A2)</f>
        <v>POSサーバー</v>
      </c>
      <c r="B2" s="109"/>
      <c r="C2" s="109"/>
      <c r="D2" s="109"/>
      <c r="E2" s="109"/>
      <c r="F2" s="109"/>
      <c r="G2" s="109"/>
      <c r="H2" s="109"/>
      <c r="I2" s="109"/>
      <c r="J2" s="110"/>
      <c r="K2" s="108" t="str">
        <f>IF(表紙!K2="","",表紙!K2)</f>
        <v>POSサーバー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10"/>
      <c r="W2" s="172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4"/>
      <c r="AP2" s="175" t="str">
        <f>IF(表紙!AP2="","",表紙!AP2)</f>
        <v>DuNT</v>
      </c>
      <c r="AQ2" s="176"/>
      <c r="AR2" s="176"/>
      <c r="AS2" s="177"/>
      <c r="AT2" s="178">
        <f>IF(表紙!AT2="","",表紙!AT2)</f>
        <v>45491</v>
      </c>
      <c r="AU2" s="179"/>
      <c r="AV2" s="179"/>
      <c r="AW2" s="179"/>
      <c r="AX2" s="180"/>
      <c r="AY2" s="175" t="str">
        <f>IF(表紙!AY2="","",表紙!AY2)</f>
        <v>DuNT</v>
      </c>
      <c r="AZ2" s="176"/>
      <c r="BA2" s="176"/>
      <c r="BB2" s="177"/>
      <c r="BC2" s="178">
        <f>IF(表紙!BC2="","",表紙!BC2)</f>
        <v>45575</v>
      </c>
      <c r="BD2" s="179"/>
      <c r="BE2" s="179"/>
      <c r="BF2" s="179"/>
      <c r="BG2" s="180"/>
      <c r="BH2" s="175">
        <f>IF(表紙!BH2="","",表紙!BH2)</f>
        <v>0.41</v>
      </c>
      <c r="BI2" s="176"/>
      <c r="BJ2" s="176"/>
      <c r="BK2" s="177"/>
    </row>
    <row r="3" spans="1:63" ht="15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3"/>
      <c r="K3" s="111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3"/>
      <c r="W3" s="181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3"/>
      <c r="AP3" s="184"/>
      <c r="AQ3" s="185"/>
      <c r="AR3" s="185"/>
      <c r="AS3" s="186"/>
      <c r="AT3" s="187"/>
      <c r="AU3" s="188"/>
      <c r="AV3" s="188"/>
      <c r="AW3" s="188"/>
      <c r="AX3" s="189"/>
      <c r="AY3" s="184"/>
      <c r="AZ3" s="185"/>
      <c r="BA3" s="185"/>
      <c r="BB3" s="186"/>
      <c r="BC3" s="187"/>
      <c r="BD3" s="188"/>
      <c r="BE3" s="188"/>
      <c r="BF3" s="188"/>
      <c r="BG3" s="189"/>
      <c r="BH3" s="184"/>
      <c r="BI3" s="185"/>
      <c r="BJ3" s="185"/>
      <c r="BK3" s="186"/>
    </row>
    <row r="4" spans="1:63" ht="24.95" customHeight="1" x14ac:dyDescent="0.25">
      <c r="A4" s="163" t="s">
        <v>69</v>
      </c>
      <c r="B4" s="164"/>
      <c r="C4" s="164"/>
      <c r="D4" s="164"/>
      <c r="E4" s="164"/>
      <c r="F4" s="164"/>
      <c r="G4" s="165"/>
      <c r="H4" s="114" t="str">
        <f>IF(表紙!H4="","",表紙!H4)</f>
        <v>AP7104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163" t="s">
        <v>70</v>
      </c>
      <c r="V4" s="164"/>
      <c r="W4" s="164"/>
      <c r="X4" s="164"/>
      <c r="Y4" s="165"/>
      <c r="Z4" s="114" t="str">
        <f>IF(表紙!Z4="","",表紙!Z4)</f>
        <v>API設計書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テンプレート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97" customFormat="1" ht="15" customHeight="1" x14ac:dyDescent="0.25">
      <c r="BK7" s="195"/>
    </row>
    <row r="8" spans="1:63" s="197" customFormat="1" ht="15" customHeight="1" x14ac:dyDescent="0.25">
      <c r="BK8" s="195"/>
    </row>
    <row r="9" spans="1:63" s="197" customFormat="1" ht="15" customHeight="1" x14ac:dyDescent="0.25">
      <c r="BK9" s="195"/>
    </row>
    <row r="10" spans="1:63" s="197" customFormat="1" ht="15" customHeight="1" x14ac:dyDescent="0.25">
      <c r="BK10" s="195"/>
    </row>
    <row r="11" spans="1:63" s="197" customFormat="1" ht="15" customHeight="1" x14ac:dyDescent="0.25">
      <c r="BK11" s="195"/>
    </row>
    <row r="12" spans="1:63" s="197" customFormat="1" ht="15" customHeight="1" x14ac:dyDescent="0.25">
      <c r="BK12" s="195"/>
    </row>
    <row r="13" spans="1:63" s="197" customFormat="1" ht="15" customHeight="1" x14ac:dyDescent="0.25">
      <c r="BK13" s="195"/>
    </row>
    <row r="14" spans="1:63" s="197" customFormat="1" ht="15" customHeight="1" x14ac:dyDescent="0.25">
      <c r="BK14" s="195"/>
    </row>
    <row r="15" spans="1:63" s="197" customFormat="1" ht="15" customHeight="1" x14ac:dyDescent="0.25">
      <c r="BK15" s="195"/>
    </row>
    <row r="16" spans="1:63" s="197" customFormat="1" ht="15" customHeight="1" x14ac:dyDescent="0.25">
      <c r="BK16" s="195"/>
    </row>
    <row r="17" spans="63:63" s="197" customFormat="1" ht="15" customHeight="1" x14ac:dyDescent="0.25">
      <c r="BK17" s="195"/>
    </row>
    <row r="18" spans="63:63" s="197" customFormat="1" ht="15" customHeight="1" x14ac:dyDescent="0.25">
      <c r="BK18" s="195"/>
    </row>
    <row r="19" spans="63:63" s="197" customFormat="1" ht="15" customHeight="1" x14ac:dyDescent="0.25">
      <c r="BK19" s="195"/>
    </row>
    <row r="20" spans="63:63" s="197" customFormat="1" ht="15" customHeight="1" x14ac:dyDescent="0.25">
      <c r="BK20" s="195"/>
    </row>
    <row r="21" spans="63:63" s="197" customFormat="1" ht="15" customHeight="1" x14ac:dyDescent="0.25">
      <c r="BK21" s="195"/>
    </row>
    <row r="22" spans="63:63" s="197" customFormat="1" ht="15" customHeight="1" x14ac:dyDescent="0.25">
      <c r="BK22" s="195"/>
    </row>
    <row r="23" spans="63:63" s="197" customFormat="1" ht="15" customHeight="1" x14ac:dyDescent="0.25">
      <c r="BK23" s="195"/>
    </row>
    <row r="24" spans="63:63" s="197" customFormat="1" ht="15" customHeight="1" x14ac:dyDescent="0.25">
      <c r="BK24" s="195"/>
    </row>
    <row r="25" spans="63:63" s="197" customFormat="1" ht="15" customHeight="1" x14ac:dyDescent="0.25">
      <c r="BK25" s="195"/>
    </row>
    <row r="26" spans="63:63" s="197" customFormat="1" ht="15" customHeight="1" x14ac:dyDescent="0.25">
      <c r="BK26" s="195"/>
    </row>
    <row r="27" spans="63:63" s="197" customFormat="1" ht="15" customHeight="1" x14ac:dyDescent="0.25">
      <c r="BK27" s="195"/>
    </row>
    <row r="28" spans="63:63" s="197" customFormat="1" ht="15" customHeight="1" x14ac:dyDescent="0.25">
      <c r="BK28" s="195"/>
    </row>
    <row r="29" spans="63:63" s="197" customFormat="1" ht="15" customHeight="1" x14ac:dyDescent="0.25">
      <c r="BK29" s="195"/>
    </row>
    <row r="30" spans="63:63" s="197" customFormat="1" ht="15" customHeight="1" x14ac:dyDescent="0.25">
      <c r="BK30" s="195"/>
    </row>
    <row r="31" spans="63:63" s="197" customFormat="1" ht="15" customHeight="1" x14ac:dyDescent="0.25">
      <c r="BK31" s="195"/>
    </row>
    <row r="32" spans="63:63" s="197" customFormat="1" ht="15" customHeight="1" x14ac:dyDescent="0.25">
      <c r="BK32" s="195"/>
    </row>
    <row r="33" spans="63:63" s="197" customFormat="1" ht="15" customHeight="1" x14ac:dyDescent="0.25">
      <c r="BK33" s="195"/>
    </row>
    <row r="34" spans="63:63" s="197" customFormat="1" ht="15" customHeight="1" x14ac:dyDescent="0.25">
      <c r="BK34" s="195"/>
    </row>
    <row r="35" spans="63:63" s="197" customFormat="1" ht="15" customHeight="1" x14ac:dyDescent="0.25">
      <c r="BK35" s="195"/>
    </row>
    <row r="36" spans="63:63" s="197" customFormat="1" ht="15" customHeight="1" x14ac:dyDescent="0.25">
      <c r="BK36" s="195"/>
    </row>
    <row r="37" spans="63:63" s="197" customFormat="1" ht="15" customHeight="1" x14ac:dyDescent="0.25">
      <c r="BK37" s="195"/>
    </row>
    <row r="38" spans="63:63" s="197" customFormat="1" ht="15" customHeight="1" x14ac:dyDescent="0.25">
      <c r="BK38" s="195"/>
    </row>
    <row r="39" spans="63:63" s="197" customFormat="1" ht="15" customHeight="1" x14ac:dyDescent="0.25">
      <c r="BK39" s="195"/>
    </row>
    <row r="40" spans="63:63" s="197" customFormat="1" ht="15" customHeight="1" x14ac:dyDescent="0.25">
      <c r="BK40" s="195"/>
    </row>
    <row r="41" spans="63:63" s="197" customFormat="1" ht="15" customHeight="1" x14ac:dyDescent="0.25">
      <c r="BK41" s="195"/>
    </row>
    <row r="42" spans="63:63" s="197" customFormat="1" ht="15" customHeight="1" x14ac:dyDescent="0.25">
      <c r="BK42" s="195"/>
    </row>
    <row r="43" spans="63:63" s="197" customFormat="1" ht="15" customHeight="1" x14ac:dyDescent="0.25">
      <c r="BK43" s="195"/>
    </row>
    <row r="44" spans="63:63" s="197" customFormat="1" ht="15" customHeight="1" x14ac:dyDescent="0.25">
      <c r="BK44" s="195"/>
    </row>
    <row r="45" spans="63:63" s="197" customFormat="1" ht="15" customHeight="1" x14ac:dyDescent="0.25">
      <c r="BK45" s="195"/>
    </row>
    <row r="46" spans="63:63" s="197" customFormat="1" ht="15" customHeight="1" x14ac:dyDescent="0.25">
      <c r="BK46" s="195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AP7104</vt:lpstr>
      <vt:lpstr>処理フロー</vt:lpstr>
      <vt:lpstr>テンプレート</vt:lpstr>
      <vt:lpstr>'AP7104'!Print_Area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2024-11-04T07:54:41Z</dcterms:modified>
  <cp:category/>
  <cp:contentStatus/>
</cp:coreProperties>
</file>