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71_レジマスタ設定\"/>
    </mc:Choice>
  </mc:AlternateContent>
  <xr:revisionPtr revIDLastSave="0" documentId="13_ncr:1_{C8CD0A54-D723-4132-943B-3773B3F5029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5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処理フロー!$A$1:$BK$78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C2" i="3" l="1"/>
  <c r="BC2" i="10"/>
  <c r="BH2" i="8"/>
  <c r="AY2" i="8"/>
  <c r="BC2" i="9"/>
  <c r="AP2" i="7"/>
  <c r="BH2" i="7"/>
  <c r="AY2" i="3"/>
  <c r="AY2" i="10"/>
  <c r="BC2" i="8"/>
  <c r="AP2" i="9"/>
  <c r="BH2" i="9"/>
  <c r="AT2" i="7"/>
  <c r="AY2" i="7"/>
  <c r="AP2" i="3"/>
  <c r="BH2" i="3"/>
</calcChain>
</file>

<file path=xl/sharedStrings.xml><?xml version="1.0" encoding="utf-8"?>
<sst xmlns="http://schemas.openxmlformats.org/spreadsheetml/2006/main" count="287" uniqueCount="146">
  <si>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</si>
  <si>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</si>
  <si>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</si>
  <si>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</si>
  <si>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</si>
  <si>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</si>
  <si>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</si>
  <si>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</si>
  <si>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</si>
  <si>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</si>
  <si>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</si>
  <si>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</si>
  <si>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</si>
  <si>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</si>
  <si>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</si>
  <si>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</si>
  <si>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</si>
  <si>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</si>
  <si>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</si>
  <si>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AP7105</t>
    </r>
  </si>
  <si>
    <r>
      <rPr>
        <sz val="11"/>
        <color rgb="FF000000"/>
        <rFont val="Meiryo UI"/>
        <family val="2"/>
      </rPr>
      <t>レジを新規作成・更新・削除する。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</si>
  <si>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</si>
  <si>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</si>
  <si>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</si>
  <si>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</si>
  <si>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`</t>
  </si>
  <si>
    <r>
      <rPr>
        <sz val="11"/>
        <color rgb="FF000000"/>
        <rFont val="Meiryo UI"/>
        <family val="2"/>
      </rPr>
      <t>api/v1/cash-registers/maintainance</t>
    </r>
  </si>
  <si>
    <r>
      <rPr>
        <sz val="11"/>
        <color rgb="FF000000"/>
        <rFont val="Meiryo UI"/>
        <family val="2"/>
      </rPr>
      <t>AP7105: name、payment_type_codeを削除する。</t>
    </r>
  </si>
  <si>
    <r>
      <rPr>
        <sz val="11"/>
        <color rgb="FF000000"/>
        <rFont val="Meiryo UI"/>
        <family val="2"/>
      </rPr>
      <t>AP7105: tenant_hierarchy_codeを追加する。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</si>
  <si>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</si>
  <si>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</si>
  <si>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</si>
  <si>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</si>
  <si>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</si>
  <si>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</si>
  <si>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</si>
  <si>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</si>
  <si>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</si>
  <si>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</si>
  <si>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</si>
  <si>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</si>
  <si>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</si>
  <si>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</si>
  <si>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</si>
  <si>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</si>
  <si>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</si>
  <si>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</si>
  <si>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AnhDD</t>
  </si>
  <si>
    <t>TinNH</t>
  </si>
  <si>
    <t>AP7105</t>
  </si>
  <si>
    <t>・構成比除外, 380アテンダントモニタ除外を追加</t>
  </si>
  <si>
    <t>AP7105：コードは最大4桁の数字</t>
  </si>
  <si>
    <t>処理フロー：リスト内の存在チェックを最適化</t>
  </si>
  <si>
    <t>パラメータのバリデーションチェック条件の説明を追加：
type_code、type_node、button_layout_code、keyboard_layout_code、function_layout_code、receipt_message_code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</si>
  <si>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</si>
  <si>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</si>
  <si>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</si>
  <si>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</si>
  <si>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</si>
  <si>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</si>
  <si>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</si>
  <si>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</si>
  <si>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</si>
  <si>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</si>
  <si>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</si>
  <si>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IPアドレスの形式:ドットデシマル。例：10.2.12.124</t>
  </si>
  <si>
    <t>MACアドレスの形式:ドットデシマル。例：XX:XX:XX:XX:XX:XX</t>
  </si>
  <si>
    <t>16-1</t>
  </si>
  <si>
    <t>rate_customer_excluded</t>
  </si>
  <si>
    <t>ー</t>
  </si>
  <si>
    <t>Boolean</t>
  </si>
  <si>
    <t>CashRegisterMaster.RateCustomerExcluded</t>
  </si>
  <si>
    <t>16-2</t>
  </si>
  <si>
    <t>attendant_monitor_excluded</t>
  </si>
  <si>
    <t>CashRegisterMaster.AttendantMonitorExclude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</si>
  <si>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</si>
  <si>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</si>
  <si>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</si>
  <si>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・新規作成の場合、operation_typeを「1」として渡す。
・編集の場合、operation_type を「2」として渡す。
・削除の場合、operation_typeを「3」として渡す。
上記以外の場合、エラーメッセージ=MSG_VAL_019</t>
  </si>
  <si>
    <t>数字の4桁。満たさない場合、エラーメッセージ=MSG_VAL_019</t>
  </si>
  <si>
    <t>最大数字の4桁。満たさない場合、エラーメッセージ=MSG_VAL_019</t>
  </si>
  <si>
    <t>CashRegisterTypeテーブルで、CashRegisterType.RECORD_ID=type_code かつ CashRegisterType.CompanyCode=User.CompanyCode（ログインしているユーザー）の存在をチェックする。</t>
  </si>
  <si>
    <t>存在チェック：CodeMaster.CodeValue=type_node（CodeMaster.CodeValueはCodeMasterテーブルから取得され、CodeMaster.MasterCode="MC7101"）かつCodeMaster.CompanyCode=User.CompanyCode（ログインしているユーザー）</t>
  </si>
  <si>
    <t>PresetMenuMasterテーブルで、PresetMenuMaster.ButtonLayoutCode=button_layout_code かつPresetMenuMaster.CompanyCode=User.CompanyCode (ログインしているユーザー) かつPresetMenuMaster.StoreCode=store_code の存在をチェックする。</t>
  </si>
  <si>
    <t>存在チェック：CodeMaster.CodeValue=keyboard_layout_code（CodeMaster.CodeValueはCodeMasterテーブルから取得され、CodeMaster.MasterCode="MC7103"）かつCodeMaster.CompanyCode=User.CompanyCode (ログインしているユーザー)</t>
  </si>
  <si>
    <t>存在チェック：CodeMaster.CodeValue=function_layout_code（CodeMaster.CodeValueはCodeMasterテーブルから取得され、CodeMaster.MasterCode="MC7102"） かつ CodeMaster.CompanyCode=User.CompanyCode (ログインしているユーザー)</t>
  </si>
  <si>
    <t>形式: hh:mm。エラーの場合、エラーメッセージ=MSG_VAL_019</t>
  </si>
  <si>
    <t>最大50桁。桁数 &gt; 50の場合、 エラーメッセージ=MSG_VAL_002</t>
  </si>
  <si>
    <t>最大2000桁。桁数 &gt; 200の場合、 エラーメッセージ=MSG_VAL_002</t>
  </si>
  <si>
    <t xml:space="preserve"> type_note =05の場合、以下のように確認する。
・必須 
・2桁。2桁以外の場合、エラーメッセージ=MSG_VAL_002
・以下の条件を満たすMDHierarchyMasterテーブルの存在をチェックする。
MDHierarchyMaster.Level=1、MDHierarchyMaster.Code=tenant_hierarchy_code. 存在しない場合、 エラーメッセージ= MSG_VAL_039
type_noteが「5」以外の場合、tenant_hierarchy_code=nullである。null以外の場合、エラーメッセージ= MSG_VAL_019</t>
  </si>
  <si>
    <r>
      <rPr>
        <b/>
        <sz val="11"/>
        <color theme="1"/>
        <rFont val="Meiryo UI"/>
        <family val="2"/>
      </rPr>
      <t xml:space="preserve">No. </t>
    </r>
    <r>
      <rPr>
        <sz val="11"/>
        <color theme="1"/>
        <rFont val="Meiryo UI"/>
        <family val="2"/>
      </rPr>
      <t xml:space="preserve"> </t>
    </r>
  </si>
  <si>
    <r>
      <rPr>
        <b/>
        <sz val="11"/>
        <color theme="1"/>
        <rFont val="Meiryo UI"/>
        <family val="2"/>
      </rPr>
      <t>パラメータ</t>
    </r>
  </si>
  <si>
    <t>必須</t>
  </si>
  <si>
    <t>型</t>
  </si>
  <si>
    <t>デフォルト値</t>
  </si>
  <si>
    <r>
      <rPr>
        <b/>
        <sz val="11"/>
        <color theme="1"/>
        <rFont val="Meiryo UI"/>
        <family val="2"/>
      </rPr>
      <t>備考</t>
    </r>
  </si>
  <si>
    <t>cash_registers</t>
  </si>
  <si>
    <t>List&lt;CashRegister&gt;</t>
  </si>
  <si>
    <t>operation_type</t>
  </si>
  <si>
    <t>SmallInt</t>
  </si>
  <si>
    <t>store_code</t>
  </si>
  <si>
    <t>String</t>
  </si>
  <si>
    <t>CashRegisterMaster.StoreCode</t>
  </si>
  <si>
    <t>code</t>
  </si>
  <si>
    <t>BigInt</t>
  </si>
  <si>
    <t>CashRegisterMaster.Code</t>
  </si>
  <si>
    <t>type_code</t>
  </si>
  <si>
    <t>CashRegisterMaster.TypeCode</t>
  </si>
  <si>
    <t>type_node</t>
  </si>
  <si>
    <t>CashRegisterMaster.TypeNode</t>
  </si>
  <si>
    <t>button_layout_code</t>
  </si>
  <si>
    <t>CashRegisterMaster.ButtonLayoutCode</t>
  </si>
  <si>
    <t>keyboard_layout_code</t>
  </si>
  <si>
    <t>CashRegisterMaster.KeyboardLayoutCode</t>
  </si>
  <si>
    <t>function_layout_code</t>
  </si>
  <si>
    <t>CashRegisterMaster.FunctionLayoutCode</t>
  </si>
  <si>
    <t>receipt_message_code</t>
  </si>
  <si>
    <t>CashRegisterMaster.ReceiptMessageCode</t>
  </si>
  <si>
    <t>ip_address</t>
  </si>
  <si>
    <t>CashRegisterMaster.IpAddress</t>
  </si>
  <si>
    <t>mac_address</t>
  </si>
  <si>
    <t>start_up_time</t>
  </si>
  <si>
    <t>Time</t>
  </si>
  <si>
    <t>CashRegisterMaster.StartupTime</t>
  </si>
  <si>
    <t>morning_discount_excluded</t>
  </si>
  <si>
    <t>CashRegisterMaster.MorningDiscount</t>
  </si>
  <si>
    <t>mega_discount_excluded</t>
  </si>
  <si>
    <t xml:space="preserve">CashRegisterMaster.MegaDiscount </t>
  </si>
  <si>
    <t>customer_count_excluded</t>
  </si>
  <si>
    <t>CashRegisterMaster.CustomerDiscount</t>
  </si>
  <si>
    <t>pos_model</t>
  </si>
  <si>
    <t>CashRegisterMaster.PosModel</t>
  </si>
  <si>
    <t>cash_machine_model</t>
  </si>
  <si>
    <t>CashRegisterMaster.CashMachineModel</t>
  </si>
  <si>
    <t>scanner_model</t>
  </si>
  <si>
    <t>CashRegisterMaster.ScannerModel</t>
  </si>
  <si>
    <t>tenant_hierarchy_code</t>
  </si>
  <si>
    <t>CashRegisterMaster.TenantHierachyCode</t>
  </si>
  <si>
    <t>note_1</t>
  </si>
  <si>
    <t>CashRegisterMaster.Note1</t>
  </si>
  <si>
    <t>note_2</t>
  </si>
  <si>
    <t>CashRegisterMaster.Note2</t>
  </si>
  <si>
    <t>note_3</t>
  </si>
  <si>
    <t>CashRegisterMaster.Note3</t>
  </si>
  <si>
    <t>messageMasterテーブルの存在チェック条件を修正</t>
  </si>
  <si>
    <r>
      <t>MessageMasterテーブルで、MessageMaster.</t>
    </r>
    <r>
      <rPr>
        <sz val="11"/>
        <color rgb="FF0000FF"/>
        <rFont val="Meiryo UI"/>
        <family val="2"/>
      </rPr>
      <t>SubType</t>
    </r>
    <r>
      <rPr>
        <sz val="11"/>
        <color theme="1"/>
        <rFont val="Meiryo UI"/>
        <family val="2"/>
      </rPr>
      <t>=receipt_message_code かつ、MessageMaster.CompanyCode=User.CompanyCode (ログインしているユーザー) かつMessageMaster.StoreCode=store_code の存在をチェックする。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</si>
</sst>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name val="Meiryo UI"/>
      <family val="2"/>
    </font>
    <font>
      <sz val="11"/>
      <color rgb="FF0000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3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9" fillId="0" borderId="0" xfId="0" applyFont="1"/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0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20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6" xfId="0" applyFont="1" applyBorder="1"/>
    <xf numFmtId="0" fontId="19" fillId="0" borderId="2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15" fillId="4" borderId="0" xfId="0" applyFont="1" applyFill="1"/>
    <xf numFmtId="0" fontId="3" fillId="0" borderId="0" xfId="0" applyFont="1" applyAlignment="1">
      <alignment horizontal="left" vertical="center"/>
    </xf>
    <xf numFmtId="0" fontId="15" fillId="4" borderId="21" xfId="6" applyFont="1" applyFill="1" applyBorder="1" applyAlignment="1">
      <alignment horizontal="center" vertical="center"/>
    </xf>
    <xf numFmtId="0" fontId="15" fillId="4" borderId="22" xfId="6" applyFont="1" applyFill="1" applyBorder="1" applyAlignment="1">
      <alignment horizontal="center" vertical="center"/>
    </xf>
    <xf numFmtId="0" fontId="15" fillId="4" borderId="23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5" borderId="21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19" fillId="0" borderId="21" xfId="0" quotePrefix="1" applyFont="1" applyBorder="1" applyAlignment="1">
      <alignment horizontal="left" vertical="center"/>
    </xf>
    <xf numFmtId="0" fontId="19" fillId="0" borderId="22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/>
    </xf>
    <xf numFmtId="0" fontId="3" fillId="0" borderId="22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3" fillId="5" borderId="21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3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0" fontId="3" fillId="0" borderId="27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5" borderId="22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6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left" vertical="center" wrapText="1"/>
    </xf>
    <xf numFmtId="14" fontId="22" fillId="0" borderId="1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4" xfId="0" applyFont="1" applyBorder="1"/>
    <xf numFmtId="0" fontId="22" fillId="0" borderId="25" xfId="0" applyFont="1" applyBorder="1"/>
    <xf numFmtId="0" fontId="22" fillId="0" borderId="26" xfId="0" applyFont="1" applyBorder="1"/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11206</xdr:colOff>
      <xdr:row>26</xdr:row>
      <xdr:rowOff>0</xdr:rowOff>
    </xdr:from>
    <xdr:to>
      <xdr:col>62</xdr:col>
      <xdr:colOff>11206</xdr:colOff>
      <xdr:row>37</xdr:row>
      <xdr:rowOff>0</xdr:rowOff>
    </xdr:to>
    <xdr:sp macro="" textlink="" fLocksText="0">
      <xdr:nvSpPr>
        <xdr:cNvPr id="109" name="吹き出し: 線 2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9344025" y="5067300"/>
          <a:ext cx="7200900" cy="2095500"/>
        </a:xfrm>
        <a:prstGeom prst="borderCallout1">
          <a:avLst>
            <a:gd name="adj1" fmla="val 53848"/>
            <a:gd name="adj2" fmla="val -59"/>
            <a:gd name="adj3" fmla="val 54252"/>
            <a:gd name="adj4" fmla="val -958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ステップ1の結果リストにループ中のレコードが存在しているかを確認する。</a:t>
          </a:r>
          <a:endParaRPr lang="vi-VN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1の場合、「ステップ4.レジ更新」を実行する。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 「ステップ4.レジ更新」を実行する。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3の場合、「ステップ6. レジ削除」を実行し、同時にそのレコードをステップ1の結果リストから削除する。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2の場合、「5. レジ新規作成」ステップを実行する。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3の場合、「8. 配列の最後の要素であるかを確認する。」ステップを実行する。</a:t>
          </a:r>
        </a:p>
      </xdr:txBody>
    </xdr:sp>
    <xdr:clientData/>
  </xdr:twoCellAnchor>
  <xdr:twoCellAnchor>
    <xdr:from>
      <xdr:col>35</xdr:col>
      <xdr:colOff>0</xdr:colOff>
      <xdr:row>37</xdr:row>
      <xdr:rowOff>179293</xdr:rowOff>
    </xdr:from>
    <xdr:to>
      <xdr:col>62</xdr:col>
      <xdr:colOff>0</xdr:colOff>
      <xdr:row>45</xdr:row>
      <xdr:rowOff>56028</xdr:rowOff>
    </xdr:to>
    <xdr:sp macro="" textlink="" fLocksText="0">
      <xdr:nvSpPr>
        <xdr:cNvPr id="48" name="吹き出し: 線 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8236324" y="7339852"/>
          <a:ext cx="6353735" cy="1400735"/>
        </a:xfrm>
        <a:prstGeom prst="borderCallout1">
          <a:avLst>
            <a:gd name="adj1" fmla="val 50907"/>
            <a:gd name="adj2" fmla="val 647"/>
            <a:gd name="adj3" fmla="val -35540"/>
            <a:gd name="adj4" fmla="val -996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ステップ2のレジを更新する。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ステップ2のレジを新規作成し、挿入したレコードをステップ1の既存リストに追加する。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ステップ2のレジを削除する。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以下のように自動的に更新する。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CashRegisterMaster.RECORD_UPDATE_DATE = 当日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CashRegisterMaster.UserUpdate ＝ログインしているユーザー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9</xdr:col>
      <xdr:colOff>0</xdr:colOff>
      <xdr:row>8</xdr:row>
      <xdr:rowOff>179294</xdr:rowOff>
    </xdr:to>
    <xdr:sp macro="" textlink="" fLocksText="0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3335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8</xdr:row>
      <xdr:rowOff>179294</xdr:rowOff>
    </xdr:from>
    <xdr:to>
      <xdr:col>7</xdr:col>
      <xdr:colOff>0</xdr:colOff>
      <xdr:row>11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4"/>
          <a:endCxn id="13" idx="0"/>
        </xdr:cNvCxnSpPr>
      </xdr:nvCxnSpPr>
      <xdr:spPr>
        <a:xfrm>
          <a:off x="18669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0</xdr:rowOff>
    </xdr:from>
    <xdr:to>
      <xdr:col>10</xdr:col>
      <xdr:colOff>0</xdr:colOff>
      <xdr:row>24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392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レジデータ配列をループする。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0</xdr:colOff>
      <xdr:row>20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13" idx="2"/>
          <a:endCxn id="4" idx="0"/>
        </xdr:cNvCxnSpPr>
      </xdr:nvCxnSpPr>
      <xdr:spPr>
        <a:xfrm>
          <a:off x="1866900" y="2971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0</xdr:colOff>
      <xdr:row>15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668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存在しているレジのレコード一覧を取得する。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10</xdr:col>
      <xdr:colOff>0</xdr:colOff>
      <xdr:row>35</xdr:row>
      <xdr:rowOff>0</xdr:rowOff>
    </xdr:to>
    <xdr:sp macro="" textlink="" fLocksText="0">
      <xdr:nvSpPr>
        <xdr:cNvPr id="22" name="Flowchart: Decision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066800" y="5829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</a:p>
      </xdr:txBody>
    </xdr:sp>
    <xdr:clientData/>
  </xdr:twoCellAnchor>
  <xdr:twoCellAnchor>
    <xdr:from>
      <xdr:col>10</xdr:col>
      <xdr:colOff>0</xdr:colOff>
      <xdr:row>32</xdr:row>
      <xdr:rowOff>0</xdr:rowOff>
    </xdr:from>
    <xdr:to>
      <xdr:col>12</xdr:col>
      <xdr:colOff>0</xdr:colOff>
      <xdr:row>33</xdr:row>
      <xdr:rowOff>0</xdr:rowOff>
    </xdr:to>
    <xdr:sp macro="" textlink="" fLocksText="0">
      <xdr:nvSpPr>
        <xdr:cNvPr id="23" name="Flowchart: Process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667000" y="621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8</xdr:col>
      <xdr:colOff>0</xdr:colOff>
      <xdr:row>36</xdr:row>
      <xdr:rowOff>0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00200" y="678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12</xdr:col>
      <xdr:colOff>0</xdr:colOff>
      <xdr:row>32</xdr:row>
      <xdr:rowOff>95250</xdr:rowOff>
    </xdr:from>
    <xdr:to>
      <xdr:col>17</xdr:col>
      <xdr:colOff>1</xdr:colOff>
      <xdr:row>40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3" idx="3"/>
          <a:endCxn id="29" idx="0"/>
        </xdr:cNvCxnSpPr>
      </xdr:nvCxnSpPr>
      <xdr:spPr>
        <a:xfrm>
          <a:off x="3200400" y="6305550"/>
          <a:ext cx="1333500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0</xdr:colOff>
      <xdr:row>30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4" idx="2"/>
          <a:endCxn id="22" idx="0"/>
        </xdr:cNvCxnSpPr>
      </xdr:nvCxnSpPr>
      <xdr:spPr>
        <a:xfrm>
          <a:off x="1866900" y="468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40</xdr:row>
      <xdr:rowOff>0</xdr:rowOff>
    </xdr:from>
    <xdr:to>
      <xdr:col>20</xdr:col>
      <xdr:colOff>0</xdr:colOff>
      <xdr:row>44</xdr:row>
      <xdr:rowOff>0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37338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レジ新規作成</a:t>
          </a:r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10</xdr:col>
      <xdr:colOff>0</xdr:colOff>
      <xdr:row>44</xdr:row>
      <xdr:rowOff>0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668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4.レジ更新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0</xdr:colOff>
      <xdr:row>40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24" idx="2"/>
          <a:endCxn id="30" idx="0"/>
        </xdr:cNvCxnSpPr>
      </xdr:nvCxnSpPr>
      <xdr:spPr>
        <a:xfrm>
          <a:off x="1866900" y="697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48</xdr:row>
      <xdr:rowOff>0</xdr:rowOff>
    </xdr:from>
    <xdr:to>
      <xdr:col>9</xdr:col>
      <xdr:colOff>235322</xdr:colOff>
      <xdr:row>53</xdr:row>
      <xdr:rowOff>0</xdr:rowOff>
    </xdr:to>
    <xdr:sp macro="" textlink="" fLocksText="0">
      <xdr:nvSpPr>
        <xdr:cNvPr id="36" name="Flowchart: Decisio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038225" y="925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</a:t>
          </a:r>
        </a:p>
      </xdr:txBody>
    </xdr:sp>
    <xdr:clientData/>
  </xdr:twoCellAnchor>
  <xdr:twoCellAnchor>
    <xdr:from>
      <xdr:col>9</xdr:col>
      <xdr:colOff>235322</xdr:colOff>
      <xdr:row>50</xdr:row>
      <xdr:rowOff>0</xdr:rowOff>
    </xdr:from>
    <xdr:to>
      <xdr:col>11</xdr:col>
      <xdr:colOff>235322</xdr:colOff>
      <xdr:row>51</xdr:row>
      <xdr:rowOff>0</xdr:rowOff>
    </xdr:to>
    <xdr:sp macro="" textlink="" fLocksText="0">
      <xdr:nvSpPr>
        <xdr:cNvPr id="37" name="Flowchart: Process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638425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53</xdr:row>
      <xdr:rowOff>0</xdr:rowOff>
    </xdr:from>
    <xdr:to>
      <xdr:col>7</xdr:col>
      <xdr:colOff>235322</xdr:colOff>
      <xdr:row>54</xdr:row>
      <xdr:rowOff>0</xdr:rowOff>
    </xdr:to>
    <xdr:sp macro="" textlink="" fLocksText="0">
      <xdr:nvSpPr>
        <xdr:cNvPr id="38" name="Flowchart: Process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571625" y="1021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44</xdr:row>
      <xdr:rowOff>0</xdr:rowOff>
    </xdr:from>
    <xdr:to>
      <xdr:col>7</xdr:col>
      <xdr:colOff>0</xdr:colOff>
      <xdr:row>48</xdr:row>
      <xdr:rowOff>0</xdr:rowOff>
    </xdr:to>
    <xdr:cxnSp macro="">
      <xdr:nvCxnSpPr>
        <xdr:cNvPr id="39" name="Connector: Elbow 8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0" idx="2"/>
          <a:endCxn id="36" idx="0"/>
        </xdr:cNvCxnSpPr>
      </xdr:nvCxnSpPr>
      <xdr:spPr>
        <a:xfrm flipH="1">
          <a:off x="1838325" y="8496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57</xdr:row>
      <xdr:rowOff>0</xdr:rowOff>
    </xdr:from>
    <xdr:to>
      <xdr:col>9</xdr:col>
      <xdr:colOff>235322</xdr:colOff>
      <xdr:row>62</xdr:row>
      <xdr:rowOff>0</xdr:rowOff>
    </xdr:to>
    <xdr:sp macro="" textlink="" fLocksText="0">
      <xdr:nvSpPr>
        <xdr:cNvPr id="40" name="Flowchart: Decision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038225" y="1097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配列の最後の要素であるかを確認する。</a:t>
          </a:r>
        </a:p>
      </xdr:txBody>
    </xdr:sp>
    <xdr:clientData/>
  </xdr:twoCellAnchor>
  <xdr:twoCellAnchor>
    <xdr:from>
      <xdr:col>1</xdr:col>
      <xdr:colOff>235322</xdr:colOff>
      <xdr:row>59</xdr:row>
      <xdr:rowOff>0</xdr:rowOff>
    </xdr:from>
    <xdr:to>
      <xdr:col>3</xdr:col>
      <xdr:colOff>235322</xdr:colOff>
      <xdr:row>60</xdr:row>
      <xdr:rowOff>0</xdr:rowOff>
    </xdr:to>
    <xdr:sp macro="" textlink="" fLocksText="0">
      <xdr:nvSpPr>
        <xdr:cNvPr id="41" name="Flowchart: Proces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504825" y="1135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62</xdr:row>
      <xdr:rowOff>0</xdr:rowOff>
    </xdr:from>
    <xdr:to>
      <xdr:col>7</xdr:col>
      <xdr:colOff>235322</xdr:colOff>
      <xdr:row>63</xdr:row>
      <xdr:rowOff>0</xdr:rowOff>
    </xdr:to>
    <xdr:sp macro="" textlink="" fLocksText="0">
      <xdr:nvSpPr>
        <xdr:cNvPr id="42" name="Flowchart: Proces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571625" y="1192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54</xdr:row>
      <xdr:rowOff>0</xdr:rowOff>
    </xdr:from>
    <xdr:to>
      <xdr:col>6</xdr:col>
      <xdr:colOff>235323</xdr:colOff>
      <xdr:row>57</xdr:row>
      <xdr:rowOff>0</xdr:rowOff>
    </xdr:to>
    <xdr:cxnSp macro="">
      <xdr:nvCxnSpPr>
        <xdr:cNvPr id="43" name="Connector: Elbow 8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8" idx="2"/>
          <a:endCxn id="40" idx="0"/>
        </xdr:cNvCxnSpPr>
      </xdr:nvCxnSpPr>
      <xdr:spPr>
        <a:xfrm>
          <a:off x="1838325" y="1040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44</xdr:row>
      <xdr:rowOff>1</xdr:rowOff>
    </xdr:from>
    <xdr:to>
      <xdr:col>17</xdr:col>
      <xdr:colOff>1</xdr:colOff>
      <xdr:row>48</xdr:row>
      <xdr:rowOff>1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29" idx="2"/>
          <a:endCxn id="36" idx="0"/>
        </xdr:cNvCxnSpPr>
      </xdr:nvCxnSpPr>
      <xdr:spPr>
        <a:xfrm rot="5400000">
          <a:off x="1838325" y="8496300"/>
          <a:ext cx="26955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68</xdr:row>
      <xdr:rowOff>0</xdr:rowOff>
    </xdr:from>
    <xdr:to>
      <xdr:col>8</xdr:col>
      <xdr:colOff>235323</xdr:colOff>
      <xdr:row>69</xdr:row>
      <xdr:rowOff>168088</xdr:rowOff>
    </xdr:to>
    <xdr:sp macro="" textlink="" fLocksText="0">
      <xdr:nvSpPr>
        <xdr:cNvPr id="45" name="Oval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304925" y="13068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235323</xdr:colOff>
      <xdr:row>63</xdr:row>
      <xdr:rowOff>0</xdr:rowOff>
    </xdr:from>
    <xdr:to>
      <xdr:col>6</xdr:col>
      <xdr:colOff>235323</xdr:colOff>
      <xdr:row>68</xdr:row>
      <xdr:rowOff>0</xdr:rowOff>
    </xdr:to>
    <xdr:cxnSp macro="">
      <xdr:nvCxnSpPr>
        <xdr:cNvPr id="46" name="Connector: Elbow 8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42" idx="2"/>
          <a:endCxn id="45" idx="0"/>
        </xdr:cNvCxnSpPr>
      </xdr:nvCxnSpPr>
      <xdr:spPr>
        <a:xfrm>
          <a:off x="1838325" y="12115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50</xdr:row>
      <xdr:rowOff>95250</xdr:rowOff>
    </xdr:from>
    <xdr:to>
      <xdr:col>11</xdr:col>
      <xdr:colOff>235322</xdr:colOff>
      <xdr:row>68</xdr:row>
      <xdr:rowOff>0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37" idx="3"/>
          <a:endCxn id="45" idx="0"/>
        </xdr:cNvCxnSpPr>
      </xdr:nvCxnSpPr>
      <xdr:spPr>
        <a:xfrm flipH="1">
          <a:off x="1838325" y="9734550"/>
          <a:ext cx="1333500" cy="3333750"/>
        </a:xfrm>
        <a:prstGeom prst="bentConnector4">
          <a:avLst>
            <a:gd name="adj1" fmla="val -19429"/>
            <a:gd name="adj2" fmla="val 830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9448800"/>
          <a:ext cx="7200900" cy="952500"/>
        </a:xfrm>
        <a:prstGeom prst="borderCallout1">
          <a:avLst>
            <a:gd name="adj1" fmla="val 55319"/>
            <a:gd name="adj2" fmla="val 498"/>
            <a:gd name="adj3" fmla="val 35966"/>
            <a:gd name="adj4" fmla="val -896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レジ新規作成・編集の状態を確認する。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▪成功した場合、以下のステップを実行する。[8.配列の最後の要素であるかを確認する]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58</xdr:row>
      <xdr:rowOff>0</xdr:rowOff>
    </xdr:from>
    <xdr:to>
      <xdr:col>62</xdr:col>
      <xdr:colOff>0</xdr:colOff>
      <xdr:row>62</xdr:row>
      <xdr:rowOff>0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334500" y="11163300"/>
          <a:ext cx="7200900" cy="762000"/>
        </a:xfrm>
        <a:prstGeom prst="borderCallout1">
          <a:avLst>
            <a:gd name="adj1" fmla="val 51201"/>
            <a:gd name="adj2" fmla="val -58"/>
            <a:gd name="adj3" fmla="val 42733"/>
            <a:gd name="adj4" fmla="val -95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リクエストのレジデータ配列の最後の要素であるかを確認する。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最後の要素の場合、プログラムを終了する。</a:t>
          </a:r>
        </a:p>
      </xdr:txBody>
    </xdr:sp>
    <xdr:clientData/>
  </xdr:twoCellAnchor>
  <xdr:twoCellAnchor>
    <xdr:from>
      <xdr:col>1</xdr:col>
      <xdr:colOff>235322</xdr:colOff>
      <xdr:row>22</xdr:row>
      <xdr:rowOff>0</xdr:rowOff>
    </xdr:from>
    <xdr:to>
      <xdr:col>4</xdr:col>
      <xdr:colOff>0</xdr:colOff>
      <xdr:row>59</xdr:row>
      <xdr:rowOff>95250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41" idx="1"/>
          <a:endCxn id="4" idx="1"/>
        </xdr:cNvCxnSpPr>
      </xdr:nvCxnSpPr>
      <xdr:spPr>
        <a:xfrm rot="10800000" flipH="1">
          <a:off x="504825" y="4305300"/>
          <a:ext cx="561975" cy="7143750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235323</xdr:colOff>
      <xdr:row>44</xdr:row>
      <xdr:rowOff>1</xdr:rowOff>
    </xdr:from>
    <xdr:to>
      <xdr:col>29</xdr:col>
      <xdr:colOff>1</xdr:colOff>
      <xdr:row>48</xdr:row>
      <xdr:rowOff>1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>
          <a:stCxn id="120" idx="2"/>
          <a:endCxn id="36" idx="0"/>
        </xdr:cNvCxnSpPr>
      </xdr:nvCxnSpPr>
      <xdr:spPr>
        <a:xfrm rot="5400000">
          <a:off x="1838325" y="8496300"/>
          <a:ext cx="58959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40</xdr:row>
      <xdr:rowOff>0</xdr:rowOff>
    </xdr:from>
    <xdr:to>
      <xdr:col>32</xdr:col>
      <xdr:colOff>0</xdr:colOff>
      <xdr:row>44</xdr:row>
      <xdr:rowOff>0</xdr:rowOff>
    </xdr:to>
    <xdr:sp macro="" textlink="" fLocksText="0">
      <xdr:nvSpPr>
        <xdr:cNvPr id="120" name="Rectangle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69342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レジ削除</a:t>
          </a: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45" name="吹き出し: 線 2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9334500" y="4114800"/>
          <a:ext cx="7200900" cy="381000"/>
        </a:xfrm>
        <a:prstGeom prst="borderCallout1">
          <a:avLst>
            <a:gd name="adj1" fmla="val 48945"/>
            <a:gd name="adj2" fmla="val 117"/>
            <a:gd name="adj3" fmla="val 57717"/>
            <a:gd name="adj4" fmla="val -938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画面から渡されたレジ情報データ配列の各レコードをループする。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8</xdr:row>
      <xdr:rowOff>179294</xdr:rowOff>
    </xdr:from>
    <xdr:to>
      <xdr:col>62</xdr:col>
      <xdr:colOff>0</xdr:colOff>
      <xdr:row>16</xdr:row>
      <xdr:rowOff>0</xdr:rowOff>
    </xdr:to>
    <xdr:sp macro="" textlink="" fLocksText="0">
      <xdr:nvSpPr>
        <xdr:cNvPr id="155" name="吹き出し: 線 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9334500" y="1819275"/>
          <a:ext cx="7200900" cy="1343025"/>
        </a:xfrm>
        <a:prstGeom prst="borderCallout1">
          <a:avLst>
            <a:gd name="adj1" fmla="val 49926"/>
            <a:gd name="adj2" fmla="val -59"/>
            <a:gd name="adj3" fmla="val 43017"/>
            <a:gd name="adj4" fmla="val -933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CashRegisterMasterテーブルで、以下の条件を満たす既存のレジレコード一覧を取得する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CashRegisterMaster.company_code = User.CompanyCode (ログインしているアカウントが所属する会社) 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CashRegisterMaster.StoreCode = request.CashRegister.store_code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CashRegisterMaster.Code = request.CashRegister.code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29</xdr:col>
      <xdr:colOff>1</xdr:colOff>
      <xdr:row>40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24" idx="2"/>
          <a:endCxn id="120" idx="0"/>
        </xdr:cNvCxnSpPr>
      </xdr:nvCxnSpPr>
      <xdr:spPr>
        <a:xfrm rot="16200000" flipH="1">
          <a:off x="1866900" y="6972300"/>
          <a:ext cx="5867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0</xdr:colOff>
      <xdr:row>53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534400" y="10020300"/>
          <a:ext cx="533400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235323</xdr:colOff>
      <xdr:row>53</xdr:row>
      <xdr:rowOff>1</xdr:rowOff>
    </xdr:from>
    <xdr:to>
      <xdr:col>33</xdr:col>
      <xdr:colOff>1</xdr:colOff>
      <xdr:row>57</xdr:row>
      <xdr:rowOff>1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5" idx="2"/>
          <a:endCxn id="40" idx="0"/>
        </xdr:cNvCxnSpPr>
      </xdr:nvCxnSpPr>
      <xdr:spPr>
        <a:xfrm rot="5400000">
          <a:off x="1838325" y="10210800"/>
          <a:ext cx="69627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32</xdr:row>
      <xdr:rowOff>95250</xdr:rowOff>
    </xdr:from>
    <xdr:to>
      <xdr:col>33</xdr:col>
      <xdr:colOff>1</xdr:colOff>
      <xdr:row>52</xdr:row>
      <xdr:rowOff>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23" idx="3"/>
          <a:endCxn id="5" idx="0"/>
        </xdr:cNvCxnSpPr>
      </xdr:nvCxnSpPr>
      <xdr:spPr>
        <a:xfrm>
          <a:off x="3200400" y="6305550"/>
          <a:ext cx="5600700" cy="3714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4" customWidth="1"/>
    <col min="61" max="16384" width="2.77734375" style="34"/>
  </cols>
  <sheetData>
    <row r="1" spans="1:63" ht="24.95" customHeight="1" x14ac:dyDescent="0.25">
      <c r="A1" s="62" t="s">
        <v>30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31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72" t="s">
        <v>32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71" t="s">
        <v>38</v>
      </c>
      <c r="B2" s="66"/>
      <c r="C2" s="66"/>
      <c r="D2" s="66"/>
      <c r="E2" s="66"/>
      <c r="F2" s="66"/>
      <c r="G2" s="66"/>
      <c r="H2" s="66"/>
      <c r="I2" s="66"/>
      <c r="J2" s="67"/>
      <c r="K2" s="65" t="s">
        <v>1</v>
      </c>
      <c r="L2" s="66"/>
      <c r="M2" s="66"/>
      <c r="N2" s="66"/>
      <c r="O2" s="66"/>
      <c r="P2" s="66"/>
      <c r="Q2" s="66"/>
      <c r="R2" s="66"/>
      <c r="S2" s="66"/>
      <c r="T2" s="66"/>
      <c r="U2" s="66"/>
      <c r="V2" s="67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65" t="str">
        <f>改訂履歴!$H$11</f>
        <v>DuNT</v>
      </c>
      <c r="AQ2" s="66"/>
      <c r="AR2" s="66"/>
      <c r="AS2" s="67"/>
      <c r="AT2" s="93">
        <f>改訂履歴!$B$11</f>
        <v>45492</v>
      </c>
      <c r="AU2" s="94"/>
      <c r="AV2" s="94"/>
      <c r="AW2" s="94"/>
      <c r="AX2" s="95"/>
      <c r="AY2" s="65" t="str">
        <f>LOOKUP(2,1/(改訂履歴!H11:H30000&lt;&gt;""),改訂履歴!H11:H30000)</f>
        <v>AnhDD</v>
      </c>
      <c r="AZ2" s="66"/>
      <c r="BA2" s="66"/>
      <c r="BB2" s="67"/>
      <c r="BC2" s="93">
        <f>LOOKUP(2,1/(改訂履歴!B11:B30000&lt;&gt;""),改訂履歴!B11:B30000)</f>
        <v>45614</v>
      </c>
      <c r="BD2" s="94"/>
      <c r="BE2" s="94"/>
      <c r="BF2" s="94"/>
      <c r="BG2" s="95"/>
      <c r="BH2" s="87">
        <f>LOOKUP(2,1/(改訂履歴!O11:O30000&lt;&gt;""),改訂履歴!O11:O30000)</f>
        <v>0.6</v>
      </c>
      <c r="BI2" s="88"/>
      <c r="BJ2" s="88"/>
      <c r="BK2" s="89"/>
    </row>
    <row r="3" spans="1:63" ht="15" customHeight="1" x14ac:dyDescent="0.25">
      <c r="A3" s="68"/>
      <c r="B3" s="69"/>
      <c r="C3" s="69"/>
      <c r="D3" s="69"/>
      <c r="E3" s="69"/>
      <c r="F3" s="69"/>
      <c r="G3" s="69"/>
      <c r="H3" s="69"/>
      <c r="I3" s="69"/>
      <c r="J3" s="70"/>
      <c r="K3" s="68"/>
      <c r="L3" s="69"/>
      <c r="M3" s="69"/>
      <c r="N3" s="69"/>
      <c r="O3" s="69"/>
      <c r="P3" s="69"/>
      <c r="Q3" s="69"/>
      <c r="R3" s="69"/>
      <c r="S3" s="69"/>
      <c r="T3" s="69"/>
      <c r="U3" s="69"/>
      <c r="V3" s="70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90"/>
      <c r="BI3" s="91"/>
      <c r="BJ3" s="91"/>
      <c r="BK3" s="92"/>
    </row>
    <row r="4" spans="1:63" ht="24.95" customHeight="1" x14ac:dyDescent="0.25">
      <c r="A4" s="62" t="s">
        <v>39</v>
      </c>
      <c r="B4" s="63"/>
      <c r="C4" s="63"/>
      <c r="D4" s="63"/>
      <c r="E4" s="63"/>
      <c r="F4" s="63"/>
      <c r="G4" s="64"/>
      <c r="H4" s="83" t="s">
        <v>19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62" t="s">
        <v>40</v>
      </c>
      <c r="V4" s="63"/>
      <c r="W4" s="63"/>
      <c r="X4" s="63"/>
      <c r="Y4" s="64"/>
      <c r="Z4" s="86" t="s">
        <v>41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f t="array" aca="1" ref="AP4" ca="1">RIGHT(CELL("filename",$A$1),LEN(CELL("filename",$A$1))-FIND("]",CELL("filename",$A$1)))</f>
        <v>表紙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 x14ac:dyDescent="0.25">
      <c r="A6" s="38"/>
      <c r="BK6" s="39"/>
    </row>
    <row r="7" spans="1:63" ht="15" customHeight="1" x14ac:dyDescent="0.25">
      <c r="A7" s="38"/>
      <c r="BK7" s="39"/>
    </row>
    <row r="8" spans="1:63" ht="15" customHeight="1" x14ac:dyDescent="0.25">
      <c r="A8" s="38"/>
      <c r="BK8" s="39"/>
    </row>
    <row r="9" spans="1:63" ht="15" customHeight="1" x14ac:dyDescent="0.25">
      <c r="A9" s="38"/>
      <c r="BK9" s="39"/>
    </row>
    <row r="10" spans="1:63" ht="15" customHeight="1" x14ac:dyDescent="0.25">
      <c r="A10" s="38"/>
      <c r="BK10" s="39"/>
    </row>
    <row r="11" spans="1:63" ht="15" customHeight="1" x14ac:dyDescent="0.25">
      <c r="A11" s="38"/>
      <c r="BK11" s="39"/>
    </row>
    <row r="12" spans="1:63" ht="15" customHeight="1" x14ac:dyDescent="0.25">
      <c r="A12" s="38"/>
      <c r="BK12" s="39"/>
    </row>
    <row r="13" spans="1:63" ht="15" customHeight="1" x14ac:dyDescent="0.25">
      <c r="A13" s="38"/>
      <c r="BK13" s="39"/>
    </row>
    <row r="14" spans="1:63" ht="15" customHeight="1" thickBot="1" x14ac:dyDescent="0.3">
      <c r="A14" s="38"/>
      <c r="BK14" s="39"/>
    </row>
    <row r="15" spans="1:63" ht="15" customHeight="1" thickTop="1" x14ac:dyDescent="0.25">
      <c r="A15" s="38"/>
      <c r="K15" s="40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2"/>
      <c r="BK15" s="39"/>
    </row>
    <row r="16" spans="1:63" ht="15" customHeight="1" x14ac:dyDescent="0.25">
      <c r="A16" s="38"/>
      <c r="K16" s="43"/>
      <c r="L16" s="81" t="s">
        <v>42</v>
      </c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44"/>
      <c r="BK16" s="39"/>
    </row>
    <row r="17" spans="1:63" ht="15" customHeight="1" x14ac:dyDescent="0.25">
      <c r="A17" s="38"/>
      <c r="K17" s="43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44"/>
      <c r="BK17" s="39"/>
    </row>
    <row r="18" spans="1:63" ht="15" customHeight="1" x14ac:dyDescent="0.25">
      <c r="A18" s="38"/>
      <c r="K18" s="43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44"/>
      <c r="BK18" s="39"/>
    </row>
    <row r="19" spans="1:63" ht="15" customHeight="1" x14ac:dyDescent="0.25">
      <c r="A19" s="38"/>
      <c r="K19" s="43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44"/>
      <c r="BK19" s="39"/>
    </row>
    <row r="20" spans="1:63" ht="15" customHeight="1" x14ac:dyDescent="0.25">
      <c r="A20" s="38"/>
      <c r="K20" s="43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44"/>
      <c r="BK20" s="39"/>
    </row>
    <row r="21" spans="1:63" ht="15" customHeight="1" x14ac:dyDescent="0.25">
      <c r="A21" s="38"/>
      <c r="K21" s="43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44"/>
      <c r="BK21" s="39"/>
    </row>
    <row r="22" spans="1:63" ht="15" customHeight="1" thickBot="1" x14ac:dyDescent="0.3">
      <c r="A22" s="38"/>
      <c r="K22" s="43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4"/>
      <c r="BK22" s="39"/>
    </row>
    <row r="23" spans="1:63" ht="15" customHeight="1" x14ac:dyDescent="0.25">
      <c r="A23" s="38"/>
      <c r="K23" s="43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4"/>
      <c r="BK23" s="39"/>
    </row>
    <row r="24" spans="1:63" ht="15" customHeight="1" x14ac:dyDescent="0.25">
      <c r="A24" s="38"/>
      <c r="K24" s="43"/>
      <c r="L24" s="82" t="str">
        <f>K2&amp;"/"&amp;H4&amp;"/"&amp;Z4</f>
        <v>POSサーバー/AP7105/API設計書</v>
      </c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44"/>
      <c r="BK24" s="39"/>
    </row>
    <row r="25" spans="1:63" ht="15" customHeight="1" x14ac:dyDescent="0.25">
      <c r="A25" s="38"/>
      <c r="K25" s="43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44"/>
      <c r="BK25" s="39"/>
    </row>
    <row r="26" spans="1:63" ht="15" customHeight="1" x14ac:dyDescent="0.25">
      <c r="A26" s="38"/>
      <c r="K26" s="43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44"/>
      <c r="BK26" s="39"/>
    </row>
    <row r="27" spans="1:63" ht="15" customHeight="1" x14ac:dyDescent="0.25">
      <c r="A27" s="38"/>
      <c r="K27" s="43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44"/>
      <c r="BK27" s="39"/>
    </row>
    <row r="28" spans="1:63" ht="15" customHeight="1" x14ac:dyDescent="0.25">
      <c r="A28" s="38"/>
      <c r="K28" s="43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44"/>
      <c r="BK28" s="39"/>
    </row>
    <row r="29" spans="1:63" ht="15" customHeight="1" x14ac:dyDescent="0.25">
      <c r="A29" s="38"/>
      <c r="K29" s="43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44"/>
      <c r="BK29" s="39"/>
    </row>
    <row r="30" spans="1:63" ht="15" customHeight="1" x14ac:dyDescent="0.25">
      <c r="A30" s="38"/>
      <c r="K30" s="43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44"/>
      <c r="BK30" s="39"/>
    </row>
    <row r="31" spans="1:63" ht="15" customHeight="1" x14ac:dyDescent="0.25">
      <c r="A31" s="38"/>
      <c r="K31" s="4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44"/>
      <c r="BK31" s="39"/>
    </row>
    <row r="32" spans="1:63" ht="15" customHeight="1" x14ac:dyDescent="0.25">
      <c r="A32" s="38"/>
      <c r="K32" s="4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44"/>
      <c r="BK32" s="39"/>
    </row>
    <row r="33" spans="1:63" ht="15" customHeight="1" x14ac:dyDescent="0.25">
      <c r="A33" s="38"/>
      <c r="K33" s="43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44"/>
      <c r="BK33" s="39"/>
    </row>
    <row r="34" spans="1:63" ht="15" customHeight="1" x14ac:dyDescent="0.25">
      <c r="A34" s="38"/>
      <c r="K34" s="4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44"/>
      <c r="BK34" s="39"/>
    </row>
    <row r="35" spans="1:63" ht="15" customHeight="1" x14ac:dyDescent="0.25">
      <c r="A35" s="38"/>
      <c r="K35" s="4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44"/>
      <c r="BK35" s="39"/>
    </row>
    <row r="36" spans="1:63" ht="15" customHeight="1" x14ac:dyDescent="0.25">
      <c r="A36" s="38"/>
      <c r="K36" s="4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44"/>
      <c r="BK36" s="39"/>
    </row>
    <row r="37" spans="1:63" ht="15" customHeight="1" thickBot="1" x14ac:dyDescent="0.3">
      <c r="A37" s="38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9"/>
      <c r="BK37" s="39"/>
    </row>
    <row r="38" spans="1:63" ht="15" customHeight="1" thickTop="1" x14ac:dyDescent="0.25">
      <c r="A38" s="38"/>
      <c r="BK38" s="39"/>
    </row>
    <row r="39" spans="1:63" ht="15" customHeight="1" x14ac:dyDescent="0.25">
      <c r="A39" s="38"/>
      <c r="BK39" s="39"/>
    </row>
    <row r="40" spans="1:63" ht="15" customHeight="1" x14ac:dyDescent="0.25">
      <c r="A40" s="38"/>
      <c r="BK40" s="39"/>
    </row>
    <row r="41" spans="1:63" ht="15" customHeight="1" x14ac:dyDescent="0.25">
      <c r="A41" s="38"/>
      <c r="BK41" s="39"/>
    </row>
    <row r="42" spans="1:63" ht="15" customHeight="1" x14ac:dyDescent="0.25">
      <c r="A42" s="38"/>
      <c r="BK42" s="39"/>
    </row>
    <row r="43" spans="1:63" ht="15" customHeight="1" x14ac:dyDescent="0.25">
      <c r="A43" s="38"/>
      <c r="BK43" s="39"/>
    </row>
    <row r="44" spans="1:63" ht="15" customHeight="1" x14ac:dyDescent="0.25">
      <c r="A44" s="38"/>
      <c r="Q44" s="102" t="s">
        <v>43</v>
      </c>
      <c r="R44" s="103"/>
      <c r="S44" s="103"/>
      <c r="T44" s="103"/>
      <c r="U44" s="103"/>
      <c r="V44" s="103"/>
      <c r="W44" s="103"/>
      <c r="X44" s="103"/>
      <c r="Y44" s="103"/>
      <c r="Z44" s="104"/>
      <c r="AA44" s="102" t="s">
        <v>44</v>
      </c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4"/>
      <c r="AQ44" s="102" t="s">
        <v>37</v>
      </c>
      <c r="AR44" s="103"/>
      <c r="AS44" s="103"/>
      <c r="AT44" s="103"/>
      <c r="AU44" s="104"/>
      <c r="BK44" s="39"/>
    </row>
    <row r="45" spans="1:63" ht="15" customHeight="1" x14ac:dyDescent="0.25">
      <c r="A45" s="38"/>
      <c r="Q45" s="105"/>
      <c r="R45" s="106"/>
      <c r="S45" s="106"/>
      <c r="T45" s="106"/>
      <c r="U45" s="106"/>
      <c r="V45" s="106"/>
      <c r="W45" s="106"/>
      <c r="X45" s="106"/>
      <c r="Y45" s="106"/>
      <c r="Z45" s="107"/>
      <c r="AA45" s="105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7"/>
      <c r="AQ45" s="105"/>
      <c r="AR45" s="106"/>
      <c r="AS45" s="106"/>
      <c r="AT45" s="106"/>
      <c r="AU45" s="107"/>
      <c r="BK45" s="39"/>
    </row>
    <row r="46" spans="1:63" ht="15" customHeight="1" x14ac:dyDescent="0.25">
      <c r="A46" s="38"/>
      <c r="Q46" s="65"/>
      <c r="R46" s="66"/>
      <c r="S46" s="66"/>
      <c r="T46" s="66"/>
      <c r="U46" s="66"/>
      <c r="V46" s="66"/>
      <c r="W46" s="66"/>
      <c r="X46" s="66"/>
      <c r="Y46" s="66"/>
      <c r="Z46" s="67"/>
      <c r="AA46" s="65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/>
      <c r="AQ46" s="65"/>
      <c r="AR46" s="66"/>
      <c r="AS46" s="66"/>
      <c r="AT46" s="66"/>
      <c r="AU46" s="67"/>
      <c r="BK46" s="39"/>
    </row>
    <row r="47" spans="1:63" ht="15" customHeight="1" x14ac:dyDescent="0.25">
      <c r="A47" s="38"/>
      <c r="Q47" s="99"/>
      <c r="R47" s="100"/>
      <c r="S47" s="100"/>
      <c r="T47" s="100"/>
      <c r="U47" s="100"/>
      <c r="V47" s="100"/>
      <c r="W47" s="100"/>
      <c r="X47" s="100"/>
      <c r="Y47" s="100"/>
      <c r="Z47" s="101"/>
      <c r="AA47" s="99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1"/>
      <c r="AQ47" s="99"/>
      <c r="AR47" s="100"/>
      <c r="AS47" s="100"/>
      <c r="AT47" s="100"/>
      <c r="AU47" s="101"/>
      <c r="BK47" s="39"/>
    </row>
    <row r="48" spans="1:63" ht="15" customHeight="1" x14ac:dyDescent="0.25">
      <c r="A48" s="38"/>
      <c r="Q48" s="99"/>
      <c r="R48" s="100"/>
      <c r="S48" s="100"/>
      <c r="T48" s="100"/>
      <c r="U48" s="100"/>
      <c r="V48" s="100"/>
      <c r="W48" s="100"/>
      <c r="X48" s="100"/>
      <c r="Y48" s="100"/>
      <c r="Z48" s="101"/>
      <c r="AA48" s="99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1"/>
      <c r="AQ48" s="99"/>
      <c r="AR48" s="100"/>
      <c r="AS48" s="100"/>
      <c r="AT48" s="100"/>
      <c r="AU48" s="101"/>
      <c r="BK48" s="39"/>
    </row>
    <row r="49" spans="1:63" ht="15" customHeight="1" x14ac:dyDescent="0.25">
      <c r="A49" s="38"/>
      <c r="Q49" s="68"/>
      <c r="R49" s="69"/>
      <c r="S49" s="69"/>
      <c r="T49" s="69"/>
      <c r="U49" s="69"/>
      <c r="V49" s="69"/>
      <c r="W49" s="69"/>
      <c r="X49" s="69"/>
      <c r="Y49" s="69"/>
      <c r="Z49" s="70"/>
      <c r="AA49" s="68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70"/>
      <c r="AQ49" s="68"/>
      <c r="AR49" s="69"/>
      <c r="AS49" s="69"/>
      <c r="AT49" s="69"/>
      <c r="AU49" s="70"/>
      <c r="BK49" s="39"/>
    </row>
    <row r="50" spans="1:63" ht="15" customHeight="1" x14ac:dyDescent="0.25">
      <c r="A50" s="38"/>
      <c r="BK50" s="39"/>
    </row>
    <row r="51" spans="1:63" ht="15" customHeight="1" x14ac:dyDescent="0.25">
      <c r="A51" s="38"/>
      <c r="BK51" s="39"/>
    </row>
    <row r="52" spans="1:63" ht="15" customHeight="1" x14ac:dyDescent="0.25">
      <c r="A52" s="38"/>
      <c r="BK52" s="39"/>
    </row>
    <row r="53" spans="1:63" ht="15" customHeight="1" x14ac:dyDescent="0.25">
      <c r="A53" s="38"/>
      <c r="BK53" s="39"/>
    </row>
    <row r="54" spans="1:63" ht="15" customHeight="1" x14ac:dyDescent="0.25">
      <c r="A54" s="38"/>
      <c r="BK54" s="39"/>
    </row>
    <row r="55" spans="1:63" ht="15" customHeight="1" x14ac:dyDescent="0.2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CA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4" customWidth="1"/>
    <col min="61" max="16384" width="2.77734375" style="34"/>
  </cols>
  <sheetData>
    <row r="1" spans="1:63" ht="24.95" customHeight="1" x14ac:dyDescent="0.25">
      <c r="A1" s="62" t="s">
        <v>30</v>
      </c>
      <c r="B1" s="63"/>
      <c r="C1" s="63"/>
      <c r="D1" s="63"/>
      <c r="E1" s="63"/>
      <c r="F1" s="63"/>
      <c r="G1" s="63"/>
      <c r="H1" s="63"/>
      <c r="I1" s="63"/>
      <c r="J1" s="64"/>
      <c r="K1" s="62" t="s">
        <v>31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108" t="str">
        <f>IF(表紙!W1="","",表紙!W1)</f>
        <v>詳細設計書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65" t="str">
        <f>IF(表紙!A2="","",表紙!A2)</f>
        <v>POSサーバー</v>
      </c>
      <c r="B2" s="66"/>
      <c r="C2" s="66"/>
      <c r="D2" s="66"/>
      <c r="E2" s="66"/>
      <c r="F2" s="66"/>
      <c r="G2" s="66"/>
      <c r="H2" s="66"/>
      <c r="I2" s="66"/>
      <c r="J2" s="67"/>
      <c r="K2" s="65" t="str">
        <f>IF(表紙!K2="","",表紙!K2)</f>
        <v>POSサーバー</v>
      </c>
      <c r="L2" s="66"/>
      <c r="M2" s="66"/>
      <c r="N2" s="66"/>
      <c r="O2" s="66"/>
      <c r="P2" s="66"/>
      <c r="Q2" s="66"/>
      <c r="R2" s="66"/>
      <c r="S2" s="66"/>
      <c r="T2" s="66"/>
      <c r="U2" s="66"/>
      <c r="V2" s="67"/>
      <c r="W2" s="75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68"/>
      <c r="B3" s="69"/>
      <c r="C3" s="69"/>
      <c r="D3" s="69"/>
      <c r="E3" s="69"/>
      <c r="F3" s="69"/>
      <c r="G3" s="69"/>
      <c r="H3" s="69"/>
      <c r="I3" s="69"/>
      <c r="J3" s="70"/>
      <c r="K3" s="68"/>
      <c r="L3" s="69"/>
      <c r="M3" s="69"/>
      <c r="N3" s="69"/>
      <c r="O3" s="69"/>
      <c r="P3" s="69"/>
      <c r="Q3" s="69"/>
      <c r="R3" s="69"/>
      <c r="S3" s="69"/>
      <c r="T3" s="69"/>
      <c r="U3" s="69"/>
      <c r="V3" s="70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62" t="s">
        <v>39</v>
      </c>
      <c r="B4" s="63"/>
      <c r="C4" s="63"/>
      <c r="D4" s="63"/>
      <c r="E4" s="63"/>
      <c r="F4" s="63"/>
      <c r="G4" s="64"/>
      <c r="H4" s="83" t="str">
        <f>IF(表紙!H4="","",表紙!H4)</f>
        <v>AP7105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62" t="s">
        <v>40</v>
      </c>
      <c r="V4" s="63"/>
      <c r="W4" s="63"/>
      <c r="X4" s="63"/>
      <c r="Y4" s="64"/>
      <c r="Z4" s="83" t="str">
        <f>IF(表紙!Z4="","",表紙!Z4)</f>
        <v>API設計書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f t="array" aca="1" ref="AP4" ca="1">RIGHT(CELL("filename",$A$1),LEN(CELL("filename",$A$1))-FIND("]",CELL("filename",$A$1)))</f>
        <v>改訂履歴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 x14ac:dyDescent="0.25">
      <c r="A6" s="38"/>
      <c r="BK6" s="39"/>
    </row>
    <row r="7" spans="1:63" ht="15" customHeight="1" x14ac:dyDescent="0.25">
      <c r="A7" s="38"/>
      <c r="BK7" s="39"/>
    </row>
    <row r="8" spans="1:63" ht="15" customHeight="1" x14ac:dyDescent="0.25">
      <c r="A8" s="38"/>
      <c r="B8" s="34" t="s">
        <v>0</v>
      </c>
      <c r="BK8" s="39"/>
    </row>
    <row r="9" spans="1:63" ht="15" customHeight="1" x14ac:dyDescent="0.25">
      <c r="A9" s="38"/>
      <c r="BK9" s="39"/>
    </row>
    <row r="10" spans="1:63" ht="15" customHeight="1" x14ac:dyDescent="0.25">
      <c r="A10" s="38"/>
      <c r="B10" s="121" t="s">
        <v>36</v>
      </c>
      <c r="C10" s="121"/>
      <c r="D10" s="121"/>
      <c r="E10" s="121"/>
      <c r="F10" s="121"/>
      <c r="G10" s="121"/>
      <c r="H10" s="121" t="s">
        <v>35</v>
      </c>
      <c r="I10" s="121"/>
      <c r="J10" s="121"/>
      <c r="K10" s="121"/>
      <c r="L10" s="121"/>
      <c r="M10" s="121"/>
      <c r="N10" s="121"/>
      <c r="O10" s="121" t="s">
        <v>37</v>
      </c>
      <c r="P10" s="121"/>
      <c r="Q10" s="121"/>
      <c r="R10" s="121"/>
      <c r="S10" s="121" t="s">
        <v>45</v>
      </c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 t="s">
        <v>43</v>
      </c>
      <c r="AY10" s="121"/>
      <c r="AZ10" s="121"/>
      <c r="BA10" s="121"/>
      <c r="BB10" s="121"/>
      <c r="BC10" s="121"/>
      <c r="BD10" s="121" t="s">
        <v>44</v>
      </c>
      <c r="BE10" s="121"/>
      <c r="BF10" s="121"/>
      <c r="BG10" s="121"/>
      <c r="BH10" s="121"/>
      <c r="BI10" s="121"/>
      <c r="BJ10" s="121"/>
      <c r="BK10" s="39"/>
    </row>
    <row r="11" spans="1:63" ht="15" customHeight="1" x14ac:dyDescent="0.25">
      <c r="A11" s="38"/>
      <c r="B11" s="93">
        <v>45492</v>
      </c>
      <c r="C11" s="66"/>
      <c r="D11" s="66"/>
      <c r="E11" s="66"/>
      <c r="F11" s="66"/>
      <c r="G11" s="67"/>
      <c r="H11" s="71" t="s">
        <v>46</v>
      </c>
      <c r="I11" s="66"/>
      <c r="J11" s="66"/>
      <c r="K11" s="66"/>
      <c r="L11" s="66"/>
      <c r="M11" s="66"/>
      <c r="N11" s="67"/>
      <c r="O11" s="65">
        <v>0.1</v>
      </c>
      <c r="P11" s="66"/>
      <c r="Q11" s="66"/>
      <c r="R11" s="66"/>
      <c r="S11" s="109" t="s">
        <v>2</v>
      </c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1"/>
      <c r="AX11" s="112"/>
      <c r="AY11" s="112"/>
      <c r="AZ11" s="112"/>
      <c r="BA11" s="112"/>
      <c r="BB11" s="112"/>
      <c r="BC11" s="113"/>
      <c r="BD11" s="116"/>
      <c r="BE11" s="112"/>
      <c r="BF11" s="112"/>
      <c r="BG11" s="112"/>
      <c r="BH11" s="112"/>
      <c r="BI11" s="112"/>
      <c r="BJ11" s="113"/>
      <c r="BK11" s="39"/>
    </row>
    <row r="12" spans="1:63" ht="15" customHeight="1" x14ac:dyDescent="0.25">
      <c r="A12" s="38"/>
      <c r="B12" s="68"/>
      <c r="C12" s="69"/>
      <c r="D12" s="69"/>
      <c r="E12" s="69"/>
      <c r="F12" s="69"/>
      <c r="G12" s="70"/>
      <c r="H12" s="68"/>
      <c r="I12" s="69"/>
      <c r="J12" s="69"/>
      <c r="K12" s="69"/>
      <c r="L12" s="69"/>
      <c r="M12" s="69"/>
      <c r="N12" s="70"/>
      <c r="O12" s="68"/>
      <c r="P12" s="69"/>
      <c r="Q12" s="69"/>
      <c r="R12" s="69"/>
      <c r="S12" s="118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20"/>
      <c r="AX12" s="114"/>
      <c r="AY12" s="114"/>
      <c r="AZ12" s="114"/>
      <c r="BA12" s="114"/>
      <c r="BB12" s="114"/>
      <c r="BC12" s="115"/>
      <c r="BD12" s="117"/>
      <c r="BE12" s="114"/>
      <c r="BF12" s="114"/>
      <c r="BG12" s="114"/>
      <c r="BH12" s="114"/>
      <c r="BI12" s="114"/>
      <c r="BJ12" s="115"/>
      <c r="BK12" s="39"/>
    </row>
    <row r="13" spans="1:63" ht="15" customHeight="1" x14ac:dyDescent="0.25">
      <c r="A13" s="38"/>
      <c r="B13" s="93">
        <v>45525</v>
      </c>
      <c r="C13" s="66"/>
      <c r="D13" s="66"/>
      <c r="E13" s="66"/>
      <c r="F13" s="66"/>
      <c r="G13" s="67"/>
      <c r="H13" s="65" t="s">
        <v>29</v>
      </c>
      <c r="I13" s="66"/>
      <c r="J13" s="66"/>
      <c r="K13" s="66"/>
      <c r="L13" s="66"/>
      <c r="M13" s="66"/>
      <c r="N13" s="67"/>
      <c r="O13" s="65">
        <v>0.2</v>
      </c>
      <c r="P13" s="66"/>
      <c r="Q13" s="66"/>
      <c r="R13" s="66"/>
      <c r="S13" s="109" t="s">
        <v>28</v>
      </c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1"/>
      <c r="AX13" s="112"/>
      <c r="AY13" s="112"/>
      <c r="AZ13" s="112"/>
      <c r="BA13" s="112"/>
      <c r="BB13" s="112"/>
      <c r="BC13" s="113"/>
      <c r="BD13" s="116"/>
      <c r="BE13" s="112"/>
      <c r="BF13" s="112"/>
      <c r="BG13" s="112"/>
      <c r="BH13" s="112"/>
      <c r="BI13" s="112"/>
      <c r="BJ13" s="113"/>
      <c r="BK13" s="39"/>
    </row>
    <row r="14" spans="1:63" ht="15" customHeight="1" x14ac:dyDescent="0.25">
      <c r="A14" s="38"/>
      <c r="B14" s="68"/>
      <c r="C14" s="69"/>
      <c r="D14" s="69"/>
      <c r="E14" s="69"/>
      <c r="F14" s="69"/>
      <c r="G14" s="70"/>
      <c r="H14" s="68"/>
      <c r="I14" s="69"/>
      <c r="J14" s="69"/>
      <c r="K14" s="69"/>
      <c r="L14" s="69"/>
      <c r="M14" s="69"/>
      <c r="N14" s="70"/>
      <c r="O14" s="68"/>
      <c r="P14" s="69"/>
      <c r="Q14" s="69"/>
      <c r="R14" s="69"/>
      <c r="S14" s="118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20"/>
      <c r="AX14" s="114"/>
      <c r="AY14" s="114"/>
      <c r="AZ14" s="114"/>
      <c r="BA14" s="114"/>
      <c r="BB14" s="114"/>
      <c r="BC14" s="115"/>
      <c r="BD14" s="117"/>
      <c r="BE14" s="114"/>
      <c r="BF14" s="114"/>
      <c r="BG14" s="114"/>
      <c r="BH14" s="114"/>
      <c r="BI14" s="114"/>
      <c r="BJ14" s="115"/>
      <c r="BK14" s="39"/>
    </row>
    <row r="15" spans="1:63" ht="15" customHeight="1" x14ac:dyDescent="0.25">
      <c r="A15" s="38"/>
      <c r="B15" s="93">
        <v>45547</v>
      </c>
      <c r="C15" s="66"/>
      <c r="D15" s="66"/>
      <c r="E15" s="66"/>
      <c r="F15" s="66"/>
      <c r="G15" s="67"/>
      <c r="H15" s="65" t="s">
        <v>29</v>
      </c>
      <c r="I15" s="66"/>
      <c r="J15" s="66"/>
      <c r="K15" s="66"/>
      <c r="L15" s="66"/>
      <c r="M15" s="66"/>
      <c r="N15" s="67"/>
      <c r="O15" s="65">
        <v>0.3</v>
      </c>
      <c r="P15" s="66"/>
      <c r="Q15" s="66"/>
      <c r="R15" s="66"/>
      <c r="S15" s="109" t="s">
        <v>27</v>
      </c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1"/>
      <c r="AX15" s="112"/>
      <c r="AY15" s="112"/>
      <c r="AZ15" s="112"/>
      <c r="BA15" s="112"/>
      <c r="BB15" s="112"/>
      <c r="BC15" s="113"/>
      <c r="BD15" s="116"/>
      <c r="BE15" s="112"/>
      <c r="BF15" s="112"/>
      <c r="BG15" s="112"/>
      <c r="BH15" s="112"/>
      <c r="BI15" s="112"/>
      <c r="BJ15" s="113"/>
      <c r="BK15" s="39"/>
    </row>
    <row r="16" spans="1:63" ht="15" customHeight="1" x14ac:dyDescent="0.25">
      <c r="A16" s="38"/>
      <c r="B16" s="68"/>
      <c r="C16" s="69"/>
      <c r="D16" s="69"/>
      <c r="E16" s="69"/>
      <c r="F16" s="69"/>
      <c r="G16" s="70"/>
      <c r="H16" s="68"/>
      <c r="I16" s="69"/>
      <c r="J16" s="69"/>
      <c r="K16" s="69"/>
      <c r="L16" s="69"/>
      <c r="M16" s="69"/>
      <c r="N16" s="70"/>
      <c r="O16" s="68"/>
      <c r="P16" s="69"/>
      <c r="Q16" s="69"/>
      <c r="R16" s="69"/>
      <c r="S16" s="118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20"/>
      <c r="AX16" s="114"/>
      <c r="AY16" s="114"/>
      <c r="AZ16" s="114"/>
      <c r="BA16" s="114"/>
      <c r="BB16" s="114"/>
      <c r="BC16" s="115"/>
      <c r="BD16" s="117"/>
      <c r="BE16" s="114"/>
      <c r="BF16" s="114"/>
      <c r="BG16" s="114"/>
      <c r="BH16" s="114"/>
      <c r="BI16" s="114"/>
      <c r="BJ16" s="115"/>
      <c r="BK16" s="39"/>
    </row>
    <row r="17" spans="1:79" ht="15" customHeight="1" x14ac:dyDescent="0.25">
      <c r="A17" s="38"/>
      <c r="B17" s="187">
        <v>45559</v>
      </c>
      <c r="C17" s="188"/>
      <c r="D17" s="188"/>
      <c r="E17" s="188"/>
      <c r="F17" s="188"/>
      <c r="G17" s="189"/>
      <c r="H17" s="190" t="s">
        <v>46</v>
      </c>
      <c r="I17" s="188"/>
      <c r="J17" s="188"/>
      <c r="K17" s="188"/>
      <c r="L17" s="188"/>
      <c r="M17" s="188"/>
      <c r="N17" s="189"/>
      <c r="O17" s="190">
        <v>0.31</v>
      </c>
      <c r="P17" s="188"/>
      <c r="Q17" s="188"/>
      <c r="R17" s="188"/>
      <c r="S17" s="191" t="s">
        <v>51</v>
      </c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3"/>
      <c r="AX17" s="112"/>
      <c r="AY17" s="112"/>
      <c r="AZ17" s="112"/>
      <c r="BA17" s="112"/>
      <c r="BB17" s="112"/>
      <c r="BC17" s="113"/>
      <c r="BD17" s="116"/>
      <c r="BE17" s="112"/>
      <c r="BF17" s="112"/>
      <c r="BG17" s="112"/>
      <c r="BH17" s="112"/>
      <c r="BI17" s="112"/>
      <c r="BJ17" s="113"/>
      <c r="BK17" s="39"/>
    </row>
    <row r="18" spans="1:79" ht="15" customHeight="1" x14ac:dyDescent="0.25">
      <c r="A18" s="38"/>
      <c r="B18" s="194"/>
      <c r="C18" s="195"/>
      <c r="D18" s="195"/>
      <c r="E18" s="195"/>
      <c r="F18" s="195"/>
      <c r="G18" s="196"/>
      <c r="H18" s="194"/>
      <c r="I18" s="195"/>
      <c r="J18" s="195"/>
      <c r="K18" s="195"/>
      <c r="L18" s="195"/>
      <c r="M18" s="195"/>
      <c r="N18" s="196"/>
      <c r="O18" s="194"/>
      <c r="P18" s="195"/>
      <c r="Q18" s="195"/>
      <c r="R18" s="195"/>
      <c r="S18" s="197" t="s">
        <v>52</v>
      </c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9"/>
      <c r="AX18" s="114"/>
      <c r="AY18" s="114"/>
      <c r="AZ18" s="114"/>
      <c r="BA18" s="114"/>
      <c r="BB18" s="114"/>
      <c r="BC18" s="115"/>
      <c r="BD18" s="117"/>
      <c r="BE18" s="114"/>
      <c r="BF18" s="114"/>
      <c r="BG18" s="114"/>
      <c r="BH18" s="114"/>
      <c r="BI18" s="114"/>
      <c r="BJ18" s="115"/>
      <c r="BK18" s="39"/>
    </row>
    <row r="19" spans="1:79" ht="18.75" customHeight="1" x14ac:dyDescent="0.25">
      <c r="A19" s="38"/>
      <c r="B19" s="187">
        <v>45567</v>
      </c>
      <c r="C19" s="188"/>
      <c r="D19" s="188"/>
      <c r="E19" s="188"/>
      <c r="F19" s="188"/>
      <c r="G19" s="189"/>
      <c r="H19" s="190" t="s">
        <v>47</v>
      </c>
      <c r="I19" s="188"/>
      <c r="J19" s="188"/>
      <c r="K19" s="188"/>
      <c r="L19" s="188"/>
      <c r="M19" s="188"/>
      <c r="N19" s="189"/>
      <c r="O19" s="190">
        <v>0.4</v>
      </c>
      <c r="P19" s="188"/>
      <c r="Q19" s="188"/>
      <c r="R19" s="188"/>
      <c r="S19" s="200" t="s">
        <v>49</v>
      </c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2"/>
      <c r="AX19" s="112"/>
      <c r="AY19" s="112"/>
      <c r="AZ19" s="112"/>
      <c r="BA19" s="112"/>
      <c r="BB19" s="112"/>
      <c r="BC19" s="113"/>
      <c r="BD19" s="116"/>
      <c r="BE19" s="112"/>
      <c r="BF19" s="112"/>
      <c r="BG19" s="112"/>
      <c r="BH19" s="112"/>
      <c r="BI19" s="112"/>
      <c r="BJ19" s="113"/>
      <c r="BK19" s="39"/>
    </row>
    <row r="20" spans="1:79" ht="50.25" customHeight="1" x14ac:dyDescent="0.25">
      <c r="A20" s="38"/>
      <c r="B20" s="194"/>
      <c r="C20" s="195"/>
      <c r="D20" s="195"/>
      <c r="E20" s="195"/>
      <c r="F20" s="195"/>
      <c r="G20" s="196"/>
      <c r="H20" s="194"/>
      <c r="I20" s="195"/>
      <c r="J20" s="195"/>
      <c r="K20" s="195"/>
      <c r="L20" s="195"/>
      <c r="M20" s="195"/>
      <c r="N20" s="196"/>
      <c r="O20" s="194"/>
      <c r="P20" s="195"/>
      <c r="Q20" s="195"/>
      <c r="R20" s="195"/>
      <c r="S20" s="203" t="s">
        <v>53</v>
      </c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5"/>
      <c r="AX20" s="114"/>
      <c r="AY20" s="114"/>
      <c r="AZ20" s="114"/>
      <c r="BA20" s="114"/>
      <c r="BB20" s="114"/>
      <c r="BC20" s="115"/>
      <c r="BD20" s="117"/>
      <c r="BE20" s="114"/>
      <c r="BF20" s="114"/>
      <c r="BG20" s="114"/>
      <c r="BH20" s="114"/>
      <c r="BI20" s="114"/>
      <c r="BJ20" s="115"/>
      <c r="BK20" s="39"/>
      <c r="BU20" s="122"/>
      <c r="BV20" s="122"/>
      <c r="BW20" s="122"/>
      <c r="BX20" s="122"/>
      <c r="BY20" s="122"/>
      <c r="BZ20" s="122"/>
      <c r="CA20" s="122"/>
    </row>
    <row r="21" spans="1:79" ht="15" customHeight="1" x14ac:dyDescent="0.25">
      <c r="A21" s="38"/>
      <c r="B21" s="187">
        <v>45596</v>
      </c>
      <c r="C21" s="188"/>
      <c r="D21" s="188"/>
      <c r="E21" s="188"/>
      <c r="F21" s="188"/>
      <c r="G21" s="189"/>
      <c r="H21" s="190" t="s">
        <v>48</v>
      </c>
      <c r="I21" s="188"/>
      <c r="J21" s="188"/>
      <c r="K21" s="188"/>
      <c r="L21" s="188"/>
      <c r="M21" s="188"/>
      <c r="N21" s="189"/>
      <c r="O21" s="190">
        <v>0.5</v>
      </c>
      <c r="P21" s="188"/>
      <c r="Q21" s="188"/>
      <c r="R21" s="188"/>
      <c r="S21" s="191" t="s">
        <v>49</v>
      </c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3"/>
      <c r="AX21" s="112"/>
      <c r="AY21" s="112"/>
      <c r="AZ21" s="112"/>
      <c r="BA21" s="112"/>
      <c r="BB21" s="112"/>
      <c r="BC21" s="113"/>
      <c r="BD21" s="116"/>
      <c r="BE21" s="112"/>
      <c r="BF21" s="112"/>
      <c r="BG21" s="112"/>
      <c r="BH21" s="112"/>
      <c r="BI21" s="112"/>
      <c r="BJ21" s="113"/>
      <c r="BK21" s="39"/>
      <c r="BU21" s="122"/>
      <c r="BV21" s="122"/>
      <c r="BW21" s="122"/>
      <c r="BX21" s="122"/>
      <c r="BY21" s="122"/>
      <c r="BZ21" s="122"/>
      <c r="CA21" s="122"/>
    </row>
    <row r="22" spans="1:79" ht="15" customHeight="1" x14ac:dyDescent="0.25">
      <c r="A22" s="38"/>
      <c r="B22" s="194"/>
      <c r="C22" s="195"/>
      <c r="D22" s="195"/>
      <c r="E22" s="195"/>
      <c r="F22" s="195"/>
      <c r="G22" s="196"/>
      <c r="H22" s="194"/>
      <c r="I22" s="195"/>
      <c r="J22" s="195"/>
      <c r="K22" s="195"/>
      <c r="L22" s="195"/>
      <c r="M22" s="195"/>
      <c r="N22" s="196"/>
      <c r="O22" s="194"/>
      <c r="P22" s="195"/>
      <c r="Q22" s="195"/>
      <c r="R22" s="195"/>
      <c r="S22" s="206" t="s">
        <v>50</v>
      </c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8"/>
      <c r="AX22" s="114"/>
      <c r="AY22" s="114"/>
      <c r="AZ22" s="114"/>
      <c r="BA22" s="114"/>
      <c r="BB22" s="114"/>
      <c r="BC22" s="115"/>
      <c r="BD22" s="117"/>
      <c r="BE22" s="114"/>
      <c r="BF22" s="114"/>
      <c r="BG22" s="114"/>
      <c r="BH22" s="114"/>
      <c r="BI22" s="114"/>
      <c r="BJ22" s="115"/>
      <c r="BK22" s="39"/>
      <c r="BU22" s="122"/>
      <c r="BV22" s="122"/>
      <c r="BW22" s="122"/>
      <c r="BX22" s="122"/>
      <c r="BY22" s="122"/>
      <c r="BZ22" s="122"/>
      <c r="CA22" s="122"/>
    </row>
    <row r="23" spans="1:79" ht="15" customHeight="1" x14ac:dyDescent="0.25">
      <c r="A23" s="38"/>
      <c r="B23" s="217">
        <v>45614</v>
      </c>
      <c r="C23" s="218"/>
      <c r="D23" s="218"/>
      <c r="E23" s="218"/>
      <c r="F23" s="218"/>
      <c r="G23" s="219"/>
      <c r="H23" s="220" t="s">
        <v>47</v>
      </c>
      <c r="I23" s="218"/>
      <c r="J23" s="218"/>
      <c r="K23" s="218"/>
      <c r="L23" s="218"/>
      <c r="M23" s="218"/>
      <c r="N23" s="219"/>
      <c r="O23" s="220">
        <v>0.6</v>
      </c>
      <c r="P23" s="218"/>
      <c r="Q23" s="218"/>
      <c r="R23" s="218"/>
      <c r="S23" s="221" t="s">
        <v>49</v>
      </c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3"/>
      <c r="AX23" s="112"/>
      <c r="AY23" s="112"/>
      <c r="AZ23" s="112"/>
      <c r="BA23" s="112"/>
      <c r="BB23" s="112"/>
      <c r="BC23" s="113"/>
      <c r="BD23" s="116"/>
      <c r="BE23" s="112"/>
      <c r="BF23" s="112"/>
      <c r="BG23" s="112"/>
      <c r="BH23" s="112"/>
      <c r="BI23" s="112"/>
      <c r="BJ23" s="113"/>
      <c r="BK23" s="39"/>
      <c r="BU23" s="122"/>
      <c r="BV23" s="122"/>
      <c r="BW23" s="122"/>
      <c r="BX23" s="122"/>
      <c r="BY23" s="122"/>
      <c r="BZ23" s="122"/>
      <c r="CA23" s="122"/>
    </row>
    <row r="24" spans="1:79" ht="15" customHeight="1" x14ac:dyDescent="0.25">
      <c r="A24" s="38"/>
      <c r="B24" s="224"/>
      <c r="C24" s="225"/>
      <c r="D24" s="225"/>
      <c r="E24" s="225"/>
      <c r="F24" s="225"/>
      <c r="G24" s="226"/>
      <c r="H24" s="224"/>
      <c r="I24" s="225"/>
      <c r="J24" s="225"/>
      <c r="K24" s="225"/>
      <c r="L24" s="225"/>
      <c r="M24" s="225"/>
      <c r="N24" s="226"/>
      <c r="O24" s="224"/>
      <c r="P24" s="225"/>
      <c r="Q24" s="225"/>
      <c r="R24" s="225"/>
      <c r="S24" s="227" t="s">
        <v>144</v>
      </c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9"/>
      <c r="AX24" s="114"/>
      <c r="AY24" s="114"/>
      <c r="AZ24" s="114"/>
      <c r="BA24" s="114"/>
      <c r="BB24" s="114"/>
      <c r="BC24" s="115"/>
      <c r="BD24" s="117"/>
      <c r="BE24" s="114"/>
      <c r="BF24" s="114"/>
      <c r="BG24" s="114"/>
      <c r="BH24" s="114"/>
      <c r="BI24" s="114"/>
      <c r="BJ24" s="115"/>
      <c r="BK24" s="39"/>
      <c r="BU24" s="122"/>
      <c r="BV24" s="122"/>
      <c r="BW24" s="122"/>
      <c r="BX24" s="122"/>
      <c r="BY24" s="122"/>
      <c r="BZ24" s="122"/>
      <c r="CA24" s="122"/>
    </row>
    <row r="25" spans="1:79" ht="15" customHeight="1" x14ac:dyDescent="0.25">
      <c r="A25" s="38"/>
      <c r="B25" s="65"/>
      <c r="C25" s="66"/>
      <c r="D25" s="66"/>
      <c r="E25" s="66"/>
      <c r="F25" s="66"/>
      <c r="G25" s="67"/>
      <c r="H25" s="65"/>
      <c r="I25" s="66"/>
      <c r="J25" s="66"/>
      <c r="K25" s="66"/>
      <c r="L25" s="66"/>
      <c r="M25" s="66"/>
      <c r="N25" s="67"/>
      <c r="O25" s="65"/>
      <c r="P25" s="66"/>
      <c r="Q25" s="66"/>
      <c r="R25" s="66"/>
      <c r="S25" s="109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1"/>
      <c r="AX25" s="112"/>
      <c r="AY25" s="112"/>
      <c r="AZ25" s="112"/>
      <c r="BA25" s="112"/>
      <c r="BB25" s="112"/>
      <c r="BC25" s="113"/>
      <c r="BD25" s="116"/>
      <c r="BE25" s="112"/>
      <c r="BF25" s="112"/>
      <c r="BG25" s="112"/>
      <c r="BH25" s="112"/>
      <c r="BI25" s="112"/>
      <c r="BJ25" s="113"/>
      <c r="BK25" s="39"/>
      <c r="BU25" s="122"/>
      <c r="BV25" s="122"/>
      <c r="BW25" s="122"/>
      <c r="BX25" s="122"/>
      <c r="BY25" s="122"/>
      <c r="BZ25" s="122"/>
      <c r="CA25" s="122"/>
    </row>
    <row r="26" spans="1:79" ht="15" customHeight="1" x14ac:dyDescent="0.25">
      <c r="A26" s="38"/>
      <c r="B26" s="68"/>
      <c r="C26" s="69"/>
      <c r="D26" s="69"/>
      <c r="E26" s="69"/>
      <c r="F26" s="69"/>
      <c r="G26" s="70"/>
      <c r="H26" s="68"/>
      <c r="I26" s="69"/>
      <c r="J26" s="69"/>
      <c r="K26" s="69"/>
      <c r="L26" s="69"/>
      <c r="M26" s="69"/>
      <c r="N26" s="70"/>
      <c r="O26" s="68"/>
      <c r="P26" s="69"/>
      <c r="Q26" s="69"/>
      <c r="R26" s="69"/>
      <c r="S26" s="118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20"/>
      <c r="AX26" s="114"/>
      <c r="AY26" s="114"/>
      <c r="AZ26" s="114"/>
      <c r="BA26" s="114"/>
      <c r="BB26" s="114"/>
      <c r="BC26" s="115"/>
      <c r="BD26" s="117"/>
      <c r="BE26" s="114"/>
      <c r="BF26" s="114"/>
      <c r="BG26" s="114"/>
      <c r="BH26" s="114"/>
      <c r="BI26" s="114"/>
      <c r="BJ26" s="115"/>
      <c r="BK26" s="39"/>
    </row>
    <row r="27" spans="1:79" ht="15" customHeight="1" x14ac:dyDescent="0.25">
      <c r="A27" s="38"/>
      <c r="B27" s="65"/>
      <c r="C27" s="66"/>
      <c r="D27" s="66"/>
      <c r="E27" s="66"/>
      <c r="F27" s="66"/>
      <c r="G27" s="67"/>
      <c r="H27" s="65"/>
      <c r="I27" s="66"/>
      <c r="J27" s="66"/>
      <c r="K27" s="66"/>
      <c r="L27" s="66"/>
      <c r="M27" s="66"/>
      <c r="N27" s="67"/>
      <c r="O27" s="65"/>
      <c r="P27" s="66"/>
      <c r="Q27" s="66"/>
      <c r="R27" s="66"/>
      <c r="S27" s="109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1"/>
      <c r="AX27" s="112"/>
      <c r="AY27" s="112"/>
      <c r="AZ27" s="112"/>
      <c r="BA27" s="112"/>
      <c r="BB27" s="112"/>
      <c r="BC27" s="113"/>
      <c r="BD27" s="116"/>
      <c r="BE27" s="112"/>
      <c r="BF27" s="112"/>
      <c r="BG27" s="112"/>
      <c r="BH27" s="112"/>
      <c r="BI27" s="112"/>
      <c r="BJ27" s="113"/>
      <c r="BK27" s="39"/>
    </row>
    <row r="28" spans="1:79" ht="15" customHeight="1" x14ac:dyDescent="0.25">
      <c r="A28" s="38"/>
      <c r="B28" s="68"/>
      <c r="C28" s="69"/>
      <c r="D28" s="69"/>
      <c r="E28" s="69"/>
      <c r="F28" s="69"/>
      <c r="G28" s="70"/>
      <c r="H28" s="68"/>
      <c r="I28" s="69"/>
      <c r="J28" s="69"/>
      <c r="K28" s="69"/>
      <c r="L28" s="69"/>
      <c r="M28" s="69"/>
      <c r="N28" s="70"/>
      <c r="O28" s="68"/>
      <c r="P28" s="69"/>
      <c r="Q28" s="69"/>
      <c r="R28" s="69"/>
      <c r="S28" s="118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20"/>
      <c r="AX28" s="114"/>
      <c r="AY28" s="114"/>
      <c r="AZ28" s="114"/>
      <c r="BA28" s="114"/>
      <c r="BB28" s="114"/>
      <c r="BC28" s="115"/>
      <c r="BD28" s="117"/>
      <c r="BE28" s="114"/>
      <c r="BF28" s="114"/>
      <c r="BG28" s="114"/>
      <c r="BH28" s="114"/>
      <c r="BI28" s="114"/>
      <c r="BJ28" s="115"/>
      <c r="BK28" s="39"/>
    </row>
    <row r="29" spans="1:79" ht="15" customHeight="1" x14ac:dyDescent="0.25">
      <c r="A29" s="38"/>
      <c r="B29" s="65"/>
      <c r="C29" s="66"/>
      <c r="D29" s="66"/>
      <c r="E29" s="66"/>
      <c r="F29" s="66"/>
      <c r="G29" s="67"/>
      <c r="H29" s="65"/>
      <c r="I29" s="66"/>
      <c r="J29" s="66"/>
      <c r="K29" s="66"/>
      <c r="L29" s="66"/>
      <c r="M29" s="66"/>
      <c r="N29" s="67"/>
      <c r="O29" s="65"/>
      <c r="P29" s="66"/>
      <c r="Q29" s="66"/>
      <c r="R29" s="66"/>
      <c r="S29" s="109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1"/>
      <c r="AX29" s="112"/>
      <c r="AY29" s="112"/>
      <c r="AZ29" s="112"/>
      <c r="BA29" s="112"/>
      <c r="BB29" s="112"/>
      <c r="BC29" s="113"/>
      <c r="BD29" s="116"/>
      <c r="BE29" s="112"/>
      <c r="BF29" s="112"/>
      <c r="BG29" s="112"/>
      <c r="BH29" s="112"/>
      <c r="BI29" s="112"/>
      <c r="BJ29" s="113"/>
      <c r="BK29" s="39"/>
    </row>
    <row r="30" spans="1:79" ht="15" customHeight="1" x14ac:dyDescent="0.25">
      <c r="A30" s="38"/>
      <c r="B30" s="68"/>
      <c r="C30" s="69"/>
      <c r="D30" s="69"/>
      <c r="E30" s="69"/>
      <c r="F30" s="69"/>
      <c r="G30" s="70"/>
      <c r="H30" s="68"/>
      <c r="I30" s="69"/>
      <c r="J30" s="69"/>
      <c r="K30" s="69"/>
      <c r="L30" s="69"/>
      <c r="M30" s="69"/>
      <c r="N30" s="70"/>
      <c r="O30" s="68"/>
      <c r="P30" s="69"/>
      <c r="Q30" s="69"/>
      <c r="R30" s="69"/>
      <c r="S30" s="118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20"/>
      <c r="AX30" s="114"/>
      <c r="AY30" s="114"/>
      <c r="AZ30" s="114"/>
      <c r="BA30" s="114"/>
      <c r="BB30" s="114"/>
      <c r="BC30" s="115"/>
      <c r="BD30" s="117"/>
      <c r="BE30" s="114"/>
      <c r="BF30" s="114"/>
      <c r="BG30" s="114"/>
      <c r="BH30" s="114"/>
      <c r="BI30" s="114"/>
      <c r="BJ30" s="115"/>
      <c r="BK30" s="39"/>
    </row>
    <row r="31" spans="1:79" ht="15" customHeight="1" x14ac:dyDescent="0.25">
      <c r="A31" s="38"/>
      <c r="B31" s="65"/>
      <c r="C31" s="66"/>
      <c r="D31" s="66"/>
      <c r="E31" s="66"/>
      <c r="F31" s="66"/>
      <c r="G31" s="67"/>
      <c r="H31" s="65"/>
      <c r="I31" s="66"/>
      <c r="J31" s="66"/>
      <c r="K31" s="66"/>
      <c r="L31" s="66"/>
      <c r="M31" s="66"/>
      <c r="N31" s="67"/>
      <c r="O31" s="65"/>
      <c r="P31" s="66"/>
      <c r="Q31" s="66"/>
      <c r="R31" s="66"/>
      <c r="S31" s="109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1"/>
      <c r="AX31" s="112"/>
      <c r="AY31" s="112"/>
      <c r="AZ31" s="112"/>
      <c r="BA31" s="112"/>
      <c r="BB31" s="112"/>
      <c r="BC31" s="113"/>
      <c r="BD31" s="116"/>
      <c r="BE31" s="112"/>
      <c r="BF31" s="112"/>
      <c r="BG31" s="112"/>
      <c r="BH31" s="112"/>
      <c r="BI31" s="112"/>
      <c r="BJ31" s="113"/>
      <c r="BK31" s="39"/>
    </row>
    <row r="32" spans="1:79" ht="15" customHeight="1" x14ac:dyDescent="0.25">
      <c r="A32" s="38"/>
      <c r="B32" s="68"/>
      <c r="C32" s="69"/>
      <c r="D32" s="69"/>
      <c r="E32" s="69"/>
      <c r="F32" s="69"/>
      <c r="G32" s="70"/>
      <c r="H32" s="68"/>
      <c r="I32" s="69"/>
      <c r="J32" s="69"/>
      <c r="K32" s="69"/>
      <c r="L32" s="69"/>
      <c r="M32" s="69"/>
      <c r="N32" s="70"/>
      <c r="O32" s="68"/>
      <c r="P32" s="69"/>
      <c r="Q32" s="69"/>
      <c r="R32" s="69"/>
      <c r="S32" s="118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20"/>
      <c r="AX32" s="114"/>
      <c r="AY32" s="114"/>
      <c r="AZ32" s="114"/>
      <c r="BA32" s="114"/>
      <c r="BB32" s="114"/>
      <c r="BC32" s="115"/>
      <c r="BD32" s="117"/>
      <c r="BE32" s="114"/>
      <c r="BF32" s="114"/>
      <c r="BG32" s="114"/>
      <c r="BH32" s="114"/>
      <c r="BI32" s="114"/>
      <c r="BJ32" s="115"/>
      <c r="BK32" s="39"/>
    </row>
    <row r="33" spans="1:63" ht="15" customHeight="1" x14ac:dyDescent="0.25">
      <c r="A33" s="38"/>
      <c r="B33" s="65"/>
      <c r="C33" s="66"/>
      <c r="D33" s="66"/>
      <c r="E33" s="66"/>
      <c r="F33" s="66"/>
      <c r="G33" s="67"/>
      <c r="H33" s="65"/>
      <c r="I33" s="66"/>
      <c r="J33" s="66"/>
      <c r="K33" s="66"/>
      <c r="L33" s="66"/>
      <c r="M33" s="66"/>
      <c r="N33" s="67"/>
      <c r="O33" s="65"/>
      <c r="P33" s="66"/>
      <c r="Q33" s="66"/>
      <c r="R33" s="66"/>
      <c r="S33" s="109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1"/>
      <c r="AX33" s="112"/>
      <c r="AY33" s="112"/>
      <c r="AZ33" s="112"/>
      <c r="BA33" s="112"/>
      <c r="BB33" s="112"/>
      <c r="BC33" s="113"/>
      <c r="BD33" s="116"/>
      <c r="BE33" s="112"/>
      <c r="BF33" s="112"/>
      <c r="BG33" s="112"/>
      <c r="BH33" s="112"/>
      <c r="BI33" s="112"/>
      <c r="BJ33" s="113"/>
      <c r="BK33" s="39"/>
    </row>
    <row r="34" spans="1:63" ht="15" customHeight="1" x14ac:dyDescent="0.25">
      <c r="A34" s="38"/>
      <c r="B34" s="68"/>
      <c r="C34" s="69"/>
      <c r="D34" s="69"/>
      <c r="E34" s="69"/>
      <c r="F34" s="69"/>
      <c r="G34" s="70"/>
      <c r="H34" s="68"/>
      <c r="I34" s="69"/>
      <c r="J34" s="69"/>
      <c r="K34" s="69"/>
      <c r="L34" s="69"/>
      <c r="M34" s="69"/>
      <c r="N34" s="70"/>
      <c r="O34" s="68"/>
      <c r="P34" s="69"/>
      <c r="Q34" s="69"/>
      <c r="R34" s="69"/>
      <c r="S34" s="118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20"/>
      <c r="AX34" s="114"/>
      <c r="AY34" s="114"/>
      <c r="AZ34" s="114"/>
      <c r="BA34" s="114"/>
      <c r="BB34" s="114"/>
      <c r="BC34" s="115"/>
      <c r="BD34" s="117"/>
      <c r="BE34" s="114"/>
      <c r="BF34" s="114"/>
      <c r="BG34" s="114"/>
      <c r="BH34" s="114"/>
      <c r="BI34" s="114"/>
      <c r="BJ34" s="115"/>
      <c r="BK34" s="39"/>
    </row>
    <row r="35" spans="1:63" ht="15" customHeight="1" x14ac:dyDescent="0.25">
      <c r="A35" s="38"/>
      <c r="B35" s="65"/>
      <c r="C35" s="66"/>
      <c r="D35" s="66"/>
      <c r="E35" s="66"/>
      <c r="F35" s="66"/>
      <c r="G35" s="67"/>
      <c r="H35" s="65"/>
      <c r="I35" s="66"/>
      <c r="J35" s="66"/>
      <c r="K35" s="66"/>
      <c r="L35" s="66"/>
      <c r="M35" s="66"/>
      <c r="N35" s="67"/>
      <c r="O35" s="65"/>
      <c r="P35" s="66"/>
      <c r="Q35" s="66"/>
      <c r="R35" s="66"/>
      <c r="S35" s="109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1"/>
      <c r="AX35" s="112"/>
      <c r="AY35" s="112"/>
      <c r="AZ35" s="112"/>
      <c r="BA35" s="112"/>
      <c r="BB35" s="112"/>
      <c r="BC35" s="113"/>
      <c r="BD35" s="116"/>
      <c r="BE35" s="112"/>
      <c r="BF35" s="112"/>
      <c r="BG35" s="112"/>
      <c r="BH35" s="112"/>
      <c r="BI35" s="112"/>
      <c r="BJ35" s="113"/>
      <c r="BK35" s="39"/>
    </row>
    <row r="36" spans="1:63" ht="15" customHeight="1" x14ac:dyDescent="0.25">
      <c r="A36" s="38"/>
      <c r="B36" s="68"/>
      <c r="C36" s="69"/>
      <c r="D36" s="69"/>
      <c r="E36" s="69"/>
      <c r="F36" s="69"/>
      <c r="G36" s="70"/>
      <c r="H36" s="68"/>
      <c r="I36" s="69"/>
      <c r="J36" s="69"/>
      <c r="K36" s="69"/>
      <c r="L36" s="69"/>
      <c r="M36" s="69"/>
      <c r="N36" s="70"/>
      <c r="O36" s="68"/>
      <c r="P36" s="69"/>
      <c r="Q36" s="69"/>
      <c r="R36" s="69"/>
      <c r="S36" s="118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20"/>
      <c r="AX36" s="114"/>
      <c r="AY36" s="114"/>
      <c r="AZ36" s="114"/>
      <c r="BA36" s="114"/>
      <c r="BB36" s="114"/>
      <c r="BC36" s="115"/>
      <c r="BD36" s="117"/>
      <c r="BE36" s="114"/>
      <c r="BF36" s="114"/>
      <c r="BG36" s="114"/>
      <c r="BH36" s="114"/>
      <c r="BI36" s="114"/>
      <c r="BJ36" s="115"/>
      <c r="BK36" s="39"/>
    </row>
    <row r="37" spans="1:63" ht="15" customHeight="1" x14ac:dyDescent="0.25">
      <c r="A37" s="38"/>
      <c r="B37" s="65"/>
      <c r="C37" s="66"/>
      <c r="D37" s="66"/>
      <c r="E37" s="66"/>
      <c r="F37" s="66"/>
      <c r="G37" s="67"/>
      <c r="H37" s="65"/>
      <c r="I37" s="66"/>
      <c r="J37" s="66"/>
      <c r="K37" s="66"/>
      <c r="L37" s="66"/>
      <c r="M37" s="66"/>
      <c r="N37" s="67"/>
      <c r="O37" s="65"/>
      <c r="P37" s="66"/>
      <c r="Q37" s="66"/>
      <c r="R37" s="66"/>
      <c r="S37" s="109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1"/>
      <c r="AX37" s="112"/>
      <c r="AY37" s="112"/>
      <c r="AZ37" s="112"/>
      <c r="BA37" s="112"/>
      <c r="BB37" s="112"/>
      <c r="BC37" s="113"/>
      <c r="BD37" s="116"/>
      <c r="BE37" s="112"/>
      <c r="BF37" s="112"/>
      <c r="BG37" s="112"/>
      <c r="BH37" s="112"/>
      <c r="BI37" s="112"/>
      <c r="BJ37" s="113"/>
      <c r="BK37" s="39"/>
    </row>
    <row r="38" spans="1:63" ht="15" customHeight="1" x14ac:dyDescent="0.25">
      <c r="A38" s="38"/>
      <c r="B38" s="68"/>
      <c r="C38" s="69"/>
      <c r="D38" s="69"/>
      <c r="E38" s="69"/>
      <c r="F38" s="69"/>
      <c r="G38" s="70"/>
      <c r="H38" s="68"/>
      <c r="I38" s="69"/>
      <c r="J38" s="69"/>
      <c r="K38" s="69"/>
      <c r="L38" s="69"/>
      <c r="M38" s="69"/>
      <c r="N38" s="70"/>
      <c r="O38" s="68"/>
      <c r="P38" s="69"/>
      <c r="Q38" s="69"/>
      <c r="R38" s="69"/>
      <c r="S38" s="118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20"/>
      <c r="AX38" s="114"/>
      <c r="AY38" s="114"/>
      <c r="AZ38" s="114"/>
      <c r="BA38" s="114"/>
      <c r="BB38" s="114"/>
      <c r="BC38" s="115"/>
      <c r="BD38" s="117"/>
      <c r="BE38" s="114"/>
      <c r="BF38" s="114"/>
      <c r="BG38" s="114"/>
      <c r="BH38" s="114"/>
      <c r="BI38" s="114"/>
      <c r="BJ38" s="115"/>
      <c r="BK38" s="39"/>
    </row>
    <row r="39" spans="1:63" ht="15" customHeight="1" x14ac:dyDescent="0.25">
      <c r="A39" s="38"/>
      <c r="B39" s="65"/>
      <c r="C39" s="66"/>
      <c r="D39" s="66"/>
      <c r="E39" s="66"/>
      <c r="F39" s="66"/>
      <c r="G39" s="67"/>
      <c r="H39" s="65"/>
      <c r="I39" s="66"/>
      <c r="J39" s="66"/>
      <c r="K39" s="66"/>
      <c r="L39" s="66"/>
      <c r="M39" s="66"/>
      <c r="N39" s="67"/>
      <c r="O39" s="65"/>
      <c r="P39" s="66"/>
      <c r="Q39" s="66"/>
      <c r="R39" s="66"/>
      <c r="S39" s="109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1"/>
      <c r="AX39" s="112"/>
      <c r="AY39" s="112"/>
      <c r="AZ39" s="112"/>
      <c r="BA39" s="112"/>
      <c r="BB39" s="112"/>
      <c r="BC39" s="113"/>
      <c r="BD39" s="116"/>
      <c r="BE39" s="112"/>
      <c r="BF39" s="112"/>
      <c r="BG39" s="112"/>
      <c r="BH39" s="112"/>
      <c r="BI39" s="112"/>
      <c r="BJ39" s="113"/>
      <c r="BK39" s="39"/>
    </row>
    <row r="40" spans="1:63" ht="15" customHeight="1" x14ac:dyDescent="0.25">
      <c r="A40" s="38"/>
      <c r="B40" s="68"/>
      <c r="C40" s="69"/>
      <c r="D40" s="69"/>
      <c r="E40" s="69"/>
      <c r="F40" s="69"/>
      <c r="G40" s="70"/>
      <c r="H40" s="68"/>
      <c r="I40" s="69"/>
      <c r="J40" s="69"/>
      <c r="K40" s="69"/>
      <c r="L40" s="69"/>
      <c r="M40" s="69"/>
      <c r="N40" s="70"/>
      <c r="O40" s="68"/>
      <c r="P40" s="69"/>
      <c r="Q40" s="69"/>
      <c r="R40" s="69"/>
      <c r="S40" s="118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20"/>
      <c r="AX40" s="114"/>
      <c r="AY40" s="114"/>
      <c r="AZ40" s="114"/>
      <c r="BA40" s="114"/>
      <c r="BB40" s="114"/>
      <c r="BC40" s="115"/>
      <c r="BD40" s="117"/>
      <c r="BE40" s="114"/>
      <c r="BF40" s="114"/>
      <c r="BG40" s="114"/>
      <c r="BH40" s="114"/>
      <c r="BI40" s="114"/>
      <c r="BJ40" s="115"/>
      <c r="BK40" s="39"/>
    </row>
    <row r="41" spans="1:63" ht="15" customHeight="1" x14ac:dyDescent="0.25">
      <c r="A41" s="38"/>
      <c r="B41" s="65"/>
      <c r="C41" s="66"/>
      <c r="D41" s="66"/>
      <c r="E41" s="66"/>
      <c r="F41" s="66"/>
      <c r="G41" s="67"/>
      <c r="H41" s="65"/>
      <c r="I41" s="66"/>
      <c r="J41" s="66"/>
      <c r="K41" s="66"/>
      <c r="L41" s="66"/>
      <c r="M41" s="66"/>
      <c r="N41" s="67"/>
      <c r="O41" s="65"/>
      <c r="P41" s="66"/>
      <c r="Q41" s="66"/>
      <c r="R41" s="66"/>
      <c r="S41" s="109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1"/>
      <c r="AX41" s="112"/>
      <c r="AY41" s="112"/>
      <c r="AZ41" s="112"/>
      <c r="BA41" s="112"/>
      <c r="BB41" s="112"/>
      <c r="BC41" s="113"/>
      <c r="BD41" s="116"/>
      <c r="BE41" s="112"/>
      <c r="BF41" s="112"/>
      <c r="BG41" s="112"/>
      <c r="BH41" s="112"/>
      <c r="BI41" s="112"/>
      <c r="BJ41" s="113"/>
      <c r="BK41" s="39"/>
    </row>
    <row r="42" spans="1:63" ht="15" customHeight="1" x14ac:dyDescent="0.25">
      <c r="A42" s="38"/>
      <c r="B42" s="68"/>
      <c r="C42" s="69"/>
      <c r="D42" s="69"/>
      <c r="E42" s="69"/>
      <c r="F42" s="69"/>
      <c r="G42" s="70"/>
      <c r="H42" s="68"/>
      <c r="I42" s="69"/>
      <c r="J42" s="69"/>
      <c r="K42" s="69"/>
      <c r="L42" s="69"/>
      <c r="M42" s="69"/>
      <c r="N42" s="70"/>
      <c r="O42" s="68"/>
      <c r="P42" s="69"/>
      <c r="Q42" s="69"/>
      <c r="R42" s="69"/>
      <c r="S42" s="118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20"/>
      <c r="AX42" s="114"/>
      <c r="AY42" s="114"/>
      <c r="AZ42" s="114"/>
      <c r="BA42" s="114"/>
      <c r="BB42" s="114"/>
      <c r="BC42" s="115"/>
      <c r="BD42" s="117"/>
      <c r="BE42" s="114"/>
      <c r="BF42" s="114"/>
      <c r="BG42" s="114"/>
      <c r="BH42" s="114"/>
      <c r="BI42" s="114"/>
      <c r="BJ42" s="115"/>
      <c r="BK42" s="39"/>
    </row>
    <row r="43" spans="1:63" ht="15" customHeight="1" x14ac:dyDescent="0.25">
      <c r="A43" s="38"/>
      <c r="B43" s="65"/>
      <c r="C43" s="66"/>
      <c r="D43" s="66"/>
      <c r="E43" s="66"/>
      <c r="F43" s="66"/>
      <c r="G43" s="67"/>
      <c r="H43" s="65"/>
      <c r="I43" s="66"/>
      <c r="J43" s="66"/>
      <c r="K43" s="66"/>
      <c r="L43" s="66"/>
      <c r="M43" s="66"/>
      <c r="N43" s="67"/>
      <c r="O43" s="65"/>
      <c r="P43" s="66"/>
      <c r="Q43" s="66"/>
      <c r="R43" s="66"/>
      <c r="S43" s="109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1"/>
      <c r="AX43" s="112"/>
      <c r="AY43" s="112"/>
      <c r="AZ43" s="112"/>
      <c r="BA43" s="112"/>
      <c r="BB43" s="112"/>
      <c r="BC43" s="113"/>
      <c r="BD43" s="116"/>
      <c r="BE43" s="112"/>
      <c r="BF43" s="112"/>
      <c r="BG43" s="112"/>
      <c r="BH43" s="112"/>
      <c r="BI43" s="112"/>
      <c r="BJ43" s="113"/>
      <c r="BK43" s="39"/>
    </row>
    <row r="44" spans="1:63" ht="15" customHeight="1" x14ac:dyDescent="0.25">
      <c r="A44" s="38"/>
      <c r="B44" s="68"/>
      <c r="C44" s="69"/>
      <c r="D44" s="69"/>
      <c r="E44" s="69"/>
      <c r="F44" s="69"/>
      <c r="G44" s="70"/>
      <c r="H44" s="68"/>
      <c r="I44" s="69"/>
      <c r="J44" s="69"/>
      <c r="K44" s="69"/>
      <c r="L44" s="69"/>
      <c r="M44" s="69"/>
      <c r="N44" s="70"/>
      <c r="O44" s="68"/>
      <c r="P44" s="69"/>
      <c r="Q44" s="69"/>
      <c r="R44" s="69"/>
      <c r="S44" s="118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20"/>
      <c r="AX44" s="114"/>
      <c r="AY44" s="114"/>
      <c r="AZ44" s="114"/>
      <c r="BA44" s="114"/>
      <c r="BB44" s="114"/>
      <c r="BC44" s="115"/>
      <c r="BD44" s="117"/>
      <c r="BE44" s="114"/>
      <c r="BF44" s="114"/>
      <c r="BG44" s="114"/>
      <c r="BH44" s="114"/>
      <c r="BI44" s="114"/>
      <c r="BJ44" s="115"/>
      <c r="BK44" s="39"/>
    </row>
    <row r="45" spans="1:63" ht="15" customHeight="1" x14ac:dyDescent="0.25">
      <c r="A45" s="38"/>
      <c r="B45" s="65"/>
      <c r="C45" s="66"/>
      <c r="D45" s="66"/>
      <c r="E45" s="66"/>
      <c r="F45" s="66"/>
      <c r="G45" s="67"/>
      <c r="H45" s="65"/>
      <c r="I45" s="66"/>
      <c r="J45" s="66"/>
      <c r="K45" s="66"/>
      <c r="L45" s="66"/>
      <c r="M45" s="66"/>
      <c r="N45" s="67"/>
      <c r="O45" s="65"/>
      <c r="P45" s="66"/>
      <c r="Q45" s="66"/>
      <c r="R45" s="66"/>
      <c r="S45" s="109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1"/>
      <c r="AX45" s="112"/>
      <c r="AY45" s="112"/>
      <c r="AZ45" s="112"/>
      <c r="BA45" s="112"/>
      <c r="BB45" s="112"/>
      <c r="BC45" s="113"/>
      <c r="BD45" s="116"/>
      <c r="BE45" s="112"/>
      <c r="BF45" s="112"/>
      <c r="BG45" s="112"/>
      <c r="BH45" s="112"/>
      <c r="BI45" s="112"/>
      <c r="BJ45" s="113"/>
      <c r="BK45" s="39"/>
    </row>
    <row r="46" spans="1:63" ht="15" customHeight="1" x14ac:dyDescent="0.25">
      <c r="A46" s="38"/>
      <c r="B46" s="68"/>
      <c r="C46" s="69"/>
      <c r="D46" s="69"/>
      <c r="E46" s="69"/>
      <c r="F46" s="69"/>
      <c r="G46" s="70"/>
      <c r="H46" s="68"/>
      <c r="I46" s="69"/>
      <c r="J46" s="69"/>
      <c r="K46" s="69"/>
      <c r="L46" s="69"/>
      <c r="M46" s="69"/>
      <c r="N46" s="70"/>
      <c r="O46" s="68"/>
      <c r="P46" s="69"/>
      <c r="Q46" s="69"/>
      <c r="R46" s="69"/>
      <c r="S46" s="118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20"/>
      <c r="AX46" s="114"/>
      <c r="AY46" s="114"/>
      <c r="AZ46" s="114"/>
      <c r="BA46" s="114"/>
      <c r="BB46" s="114"/>
      <c r="BC46" s="115"/>
      <c r="BD46" s="117"/>
      <c r="BE46" s="114"/>
      <c r="BF46" s="114"/>
      <c r="BG46" s="114"/>
      <c r="BH46" s="114"/>
      <c r="BI46" s="114"/>
      <c r="BJ46" s="115"/>
      <c r="BK46" s="39"/>
    </row>
    <row r="47" spans="1:63" ht="15" customHeight="1" x14ac:dyDescent="0.25">
      <c r="A47" s="38"/>
      <c r="B47" s="65"/>
      <c r="C47" s="66"/>
      <c r="D47" s="66"/>
      <c r="E47" s="66"/>
      <c r="F47" s="66"/>
      <c r="G47" s="67"/>
      <c r="H47" s="65"/>
      <c r="I47" s="66"/>
      <c r="J47" s="66"/>
      <c r="K47" s="66"/>
      <c r="L47" s="66"/>
      <c r="M47" s="66"/>
      <c r="N47" s="67"/>
      <c r="O47" s="65"/>
      <c r="P47" s="66"/>
      <c r="Q47" s="66"/>
      <c r="R47" s="66"/>
      <c r="S47" s="109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1"/>
      <c r="AX47" s="112"/>
      <c r="AY47" s="112"/>
      <c r="AZ47" s="112"/>
      <c r="BA47" s="112"/>
      <c r="BB47" s="112"/>
      <c r="BC47" s="113"/>
      <c r="BD47" s="116"/>
      <c r="BE47" s="112"/>
      <c r="BF47" s="112"/>
      <c r="BG47" s="112"/>
      <c r="BH47" s="112"/>
      <c r="BI47" s="112"/>
      <c r="BJ47" s="113"/>
      <c r="BK47" s="39"/>
    </row>
    <row r="48" spans="1:63" ht="15" customHeight="1" x14ac:dyDescent="0.25">
      <c r="A48" s="38"/>
      <c r="B48" s="68"/>
      <c r="C48" s="69"/>
      <c r="D48" s="69"/>
      <c r="E48" s="69"/>
      <c r="F48" s="69"/>
      <c r="G48" s="70"/>
      <c r="H48" s="68"/>
      <c r="I48" s="69"/>
      <c r="J48" s="69"/>
      <c r="K48" s="69"/>
      <c r="L48" s="69"/>
      <c r="M48" s="69"/>
      <c r="N48" s="70"/>
      <c r="O48" s="68"/>
      <c r="P48" s="69"/>
      <c r="Q48" s="69"/>
      <c r="R48" s="69"/>
      <c r="S48" s="118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20"/>
      <c r="AX48" s="114"/>
      <c r="AY48" s="114"/>
      <c r="AZ48" s="114"/>
      <c r="BA48" s="114"/>
      <c r="BB48" s="114"/>
      <c r="BC48" s="115"/>
      <c r="BD48" s="117"/>
      <c r="BE48" s="114"/>
      <c r="BF48" s="114"/>
      <c r="BG48" s="114"/>
      <c r="BH48" s="114"/>
      <c r="BI48" s="114"/>
      <c r="BJ48" s="115"/>
      <c r="BK48" s="39"/>
    </row>
    <row r="49" spans="1:63" ht="15" customHeight="1" x14ac:dyDescent="0.25">
      <c r="A49" s="38"/>
      <c r="B49" s="65"/>
      <c r="C49" s="66"/>
      <c r="D49" s="66"/>
      <c r="E49" s="66"/>
      <c r="F49" s="66"/>
      <c r="G49" s="67"/>
      <c r="H49" s="65"/>
      <c r="I49" s="66"/>
      <c r="J49" s="66"/>
      <c r="K49" s="66"/>
      <c r="L49" s="66"/>
      <c r="M49" s="66"/>
      <c r="N49" s="67"/>
      <c r="O49" s="65"/>
      <c r="P49" s="66"/>
      <c r="Q49" s="66"/>
      <c r="R49" s="66"/>
      <c r="S49" s="109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1"/>
      <c r="AX49" s="112"/>
      <c r="AY49" s="112"/>
      <c r="AZ49" s="112"/>
      <c r="BA49" s="112"/>
      <c r="BB49" s="112"/>
      <c r="BC49" s="113"/>
      <c r="BD49" s="116"/>
      <c r="BE49" s="112"/>
      <c r="BF49" s="112"/>
      <c r="BG49" s="112"/>
      <c r="BH49" s="112"/>
      <c r="BI49" s="112"/>
      <c r="BJ49" s="113"/>
      <c r="BK49" s="39"/>
    </row>
    <row r="50" spans="1:63" ht="15" customHeight="1" x14ac:dyDescent="0.25">
      <c r="A50" s="38"/>
      <c r="B50" s="68"/>
      <c r="C50" s="69"/>
      <c r="D50" s="69"/>
      <c r="E50" s="69"/>
      <c r="F50" s="69"/>
      <c r="G50" s="70"/>
      <c r="H50" s="68"/>
      <c r="I50" s="69"/>
      <c r="J50" s="69"/>
      <c r="K50" s="69"/>
      <c r="L50" s="69"/>
      <c r="M50" s="69"/>
      <c r="N50" s="70"/>
      <c r="O50" s="68"/>
      <c r="P50" s="69"/>
      <c r="Q50" s="69"/>
      <c r="R50" s="69"/>
      <c r="S50" s="118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20"/>
      <c r="AX50" s="114"/>
      <c r="AY50" s="114"/>
      <c r="AZ50" s="114"/>
      <c r="BA50" s="114"/>
      <c r="BB50" s="114"/>
      <c r="BC50" s="115"/>
      <c r="BD50" s="117"/>
      <c r="BE50" s="114"/>
      <c r="BF50" s="114"/>
      <c r="BG50" s="114"/>
      <c r="BH50" s="114"/>
      <c r="BI50" s="114"/>
      <c r="BJ50" s="115"/>
      <c r="BK50" s="39"/>
    </row>
    <row r="51" spans="1:63" ht="15" customHeight="1" x14ac:dyDescent="0.25">
      <c r="A51" s="38"/>
      <c r="B51" s="65"/>
      <c r="C51" s="66"/>
      <c r="D51" s="66"/>
      <c r="E51" s="66"/>
      <c r="F51" s="66"/>
      <c r="G51" s="67"/>
      <c r="H51" s="65"/>
      <c r="I51" s="66"/>
      <c r="J51" s="66"/>
      <c r="K51" s="66"/>
      <c r="L51" s="66"/>
      <c r="M51" s="66"/>
      <c r="N51" s="67"/>
      <c r="O51" s="65"/>
      <c r="P51" s="66"/>
      <c r="Q51" s="66"/>
      <c r="R51" s="66"/>
      <c r="S51" s="109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1"/>
      <c r="AX51" s="112"/>
      <c r="AY51" s="112"/>
      <c r="AZ51" s="112"/>
      <c r="BA51" s="112"/>
      <c r="BB51" s="112"/>
      <c r="BC51" s="113"/>
      <c r="BD51" s="116"/>
      <c r="BE51" s="112"/>
      <c r="BF51" s="112"/>
      <c r="BG51" s="112"/>
      <c r="BH51" s="112"/>
      <c r="BI51" s="112"/>
      <c r="BJ51" s="113"/>
      <c r="BK51" s="39"/>
    </row>
    <row r="52" spans="1:63" ht="15" customHeight="1" x14ac:dyDescent="0.25">
      <c r="A52" s="38"/>
      <c r="B52" s="68"/>
      <c r="C52" s="69"/>
      <c r="D52" s="69"/>
      <c r="E52" s="69"/>
      <c r="F52" s="69"/>
      <c r="G52" s="70"/>
      <c r="H52" s="68"/>
      <c r="I52" s="69"/>
      <c r="J52" s="69"/>
      <c r="K52" s="69"/>
      <c r="L52" s="69"/>
      <c r="M52" s="69"/>
      <c r="N52" s="70"/>
      <c r="O52" s="68"/>
      <c r="P52" s="69"/>
      <c r="Q52" s="69"/>
      <c r="R52" s="69"/>
      <c r="S52" s="118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20"/>
      <c r="AX52" s="114"/>
      <c r="AY52" s="114"/>
      <c r="AZ52" s="114"/>
      <c r="BA52" s="114"/>
      <c r="BB52" s="114"/>
      <c r="BC52" s="115"/>
      <c r="BD52" s="117"/>
      <c r="BE52" s="114"/>
      <c r="BF52" s="114"/>
      <c r="BG52" s="114"/>
      <c r="BH52" s="114"/>
      <c r="BI52" s="114"/>
      <c r="BJ52" s="115"/>
      <c r="BK52" s="39"/>
    </row>
    <row r="53" spans="1:63" ht="15" customHeight="1" x14ac:dyDescent="0.25">
      <c r="A53" s="38"/>
      <c r="B53" s="65"/>
      <c r="C53" s="66"/>
      <c r="D53" s="66"/>
      <c r="E53" s="66"/>
      <c r="F53" s="66"/>
      <c r="G53" s="67"/>
      <c r="H53" s="65"/>
      <c r="I53" s="66"/>
      <c r="J53" s="66"/>
      <c r="K53" s="66"/>
      <c r="L53" s="66"/>
      <c r="M53" s="66"/>
      <c r="N53" s="67"/>
      <c r="O53" s="65"/>
      <c r="P53" s="66"/>
      <c r="Q53" s="66"/>
      <c r="R53" s="66"/>
      <c r="S53" s="109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1"/>
      <c r="AX53" s="112"/>
      <c r="AY53" s="112"/>
      <c r="AZ53" s="112"/>
      <c r="BA53" s="112"/>
      <c r="BB53" s="112"/>
      <c r="BC53" s="113"/>
      <c r="BD53" s="116"/>
      <c r="BE53" s="112"/>
      <c r="BF53" s="112"/>
      <c r="BG53" s="112"/>
      <c r="BH53" s="112"/>
      <c r="BI53" s="112"/>
      <c r="BJ53" s="113"/>
      <c r="BK53" s="39"/>
    </row>
    <row r="54" spans="1:63" ht="15" customHeight="1" x14ac:dyDescent="0.25">
      <c r="A54" s="38"/>
      <c r="B54" s="68"/>
      <c r="C54" s="69"/>
      <c r="D54" s="69"/>
      <c r="E54" s="69"/>
      <c r="F54" s="69"/>
      <c r="G54" s="70"/>
      <c r="H54" s="68"/>
      <c r="I54" s="69"/>
      <c r="J54" s="69"/>
      <c r="K54" s="69"/>
      <c r="L54" s="69"/>
      <c r="M54" s="69"/>
      <c r="N54" s="70"/>
      <c r="O54" s="68"/>
      <c r="P54" s="69"/>
      <c r="Q54" s="69"/>
      <c r="R54" s="69"/>
      <c r="S54" s="118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20"/>
      <c r="AX54" s="114"/>
      <c r="AY54" s="114"/>
      <c r="AZ54" s="114"/>
      <c r="BA54" s="114"/>
      <c r="BB54" s="114"/>
      <c r="BC54" s="115"/>
      <c r="BD54" s="117"/>
      <c r="BE54" s="114"/>
      <c r="BF54" s="114"/>
      <c r="BG54" s="114"/>
      <c r="BH54" s="114"/>
      <c r="BI54" s="114"/>
      <c r="BJ54" s="115"/>
      <c r="BK54" s="39"/>
    </row>
    <row r="55" spans="1:63" ht="15" customHeight="1" x14ac:dyDescent="0.2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7"/>
    </row>
  </sheetData>
  <mergeCells count="186">
    <mergeCell ref="BU20:CA20"/>
    <mergeCell ref="BU21:CA21"/>
    <mergeCell ref="BU22:CA22"/>
    <mergeCell ref="BU23:CA23"/>
    <mergeCell ref="BU24:CA24"/>
    <mergeCell ref="BU25:CA25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処理フロー凡例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4" customFormat="1" ht="15" customHeight="1" x14ac:dyDescent="0.25">
      <c r="A7" s="50"/>
      <c r="B7" s="51" t="s">
        <v>54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3"/>
      <c r="AF7" s="54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3"/>
      <c r="BJ7" s="52"/>
      <c r="BK7" s="55"/>
    </row>
    <row r="8" spans="1:63" s="56" customFormat="1" ht="15" customHeight="1" x14ac:dyDescent="0.25">
      <c r="BK8" s="55"/>
    </row>
    <row r="9" spans="1:63" s="56" customFormat="1" ht="15" customHeight="1" x14ac:dyDescent="0.25">
      <c r="BK9" s="55"/>
    </row>
    <row r="10" spans="1:63" s="56" customFormat="1" ht="15" customHeight="1" x14ac:dyDescent="0.25">
      <c r="BK10" s="55"/>
    </row>
    <row r="11" spans="1:63" s="56" customFormat="1" ht="15" customHeight="1" x14ac:dyDescent="0.25">
      <c r="BK11" s="55"/>
    </row>
    <row r="12" spans="1:63" s="56" customFormat="1" ht="15" customHeight="1" x14ac:dyDescent="0.25">
      <c r="BK12" s="55"/>
    </row>
    <row r="13" spans="1:63" s="56" customFormat="1" ht="15" customHeight="1" x14ac:dyDescent="0.25">
      <c r="BK13" s="55"/>
    </row>
    <row r="14" spans="1:63" s="56" customFormat="1" ht="15" customHeight="1" x14ac:dyDescent="0.25">
      <c r="BK14" s="55"/>
    </row>
    <row r="15" spans="1:63" s="56" customFormat="1" ht="15" customHeight="1" x14ac:dyDescent="0.25">
      <c r="BK15" s="55"/>
    </row>
    <row r="16" spans="1:63" s="56" customFormat="1" ht="15" customHeight="1" x14ac:dyDescent="0.25">
      <c r="BK16" s="55"/>
    </row>
    <row r="17" spans="63:63" s="56" customFormat="1" ht="15" customHeight="1" x14ac:dyDescent="0.25">
      <c r="BK17" s="55"/>
    </row>
    <row r="18" spans="63:63" s="56" customFormat="1" ht="15" customHeight="1" x14ac:dyDescent="0.25">
      <c r="BK18" s="55"/>
    </row>
    <row r="19" spans="63:63" s="56" customFormat="1" ht="15" customHeight="1" x14ac:dyDescent="0.25">
      <c r="BK19" s="55"/>
    </row>
    <row r="20" spans="63:63" s="56" customFormat="1" ht="15" customHeight="1" x14ac:dyDescent="0.25">
      <c r="BK20" s="55"/>
    </row>
    <row r="21" spans="63:63" s="56" customFormat="1" ht="15" customHeight="1" x14ac:dyDescent="0.25">
      <c r="BK21" s="55"/>
    </row>
    <row r="22" spans="63:63" s="56" customFormat="1" ht="15" customHeight="1" x14ac:dyDescent="0.25">
      <c r="BK22" s="55"/>
    </row>
    <row r="23" spans="63:63" s="56" customFormat="1" ht="15" customHeight="1" x14ac:dyDescent="0.25">
      <c r="BK23" s="55"/>
    </row>
    <row r="24" spans="63:63" s="56" customFormat="1" ht="15" customHeight="1" x14ac:dyDescent="0.25">
      <c r="BK24" s="55"/>
    </row>
    <row r="25" spans="63:63" s="56" customFormat="1" ht="15" customHeight="1" x14ac:dyDescent="0.25">
      <c r="BK25" s="55"/>
    </row>
    <row r="26" spans="63:63" s="56" customFormat="1" ht="15" customHeight="1" x14ac:dyDescent="0.25">
      <c r="BK26" s="55"/>
    </row>
    <row r="27" spans="63:63" s="56" customFormat="1" ht="15" customHeight="1" x14ac:dyDescent="0.25">
      <c r="BK27" s="55"/>
    </row>
    <row r="28" spans="63:63" s="56" customFormat="1" ht="15" customHeight="1" x14ac:dyDescent="0.25">
      <c r="BK28" s="55"/>
    </row>
    <row r="29" spans="63:63" s="56" customFormat="1" ht="15" customHeight="1" x14ac:dyDescent="0.25">
      <c r="BK29" s="55"/>
    </row>
    <row r="30" spans="63:63" s="56" customFormat="1" ht="15" customHeight="1" x14ac:dyDescent="0.25">
      <c r="BK30" s="55"/>
    </row>
    <row r="31" spans="63:63" s="56" customFormat="1" ht="15" customHeight="1" x14ac:dyDescent="0.25">
      <c r="BK31" s="55"/>
    </row>
    <row r="32" spans="63:63" s="56" customFormat="1" ht="15" customHeight="1" x14ac:dyDescent="0.25">
      <c r="BK32" s="55"/>
    </row>
    <row r="33" spans="63:63" s="56" customFormat="1" ht="15" customHeight="1" x14ac:dyDescent="0.25">
      <c r="BK33" s="55"/>
    </row>
    <row r="34" spans="63:63" s="56" customFormat="1" ht="15" customHeight="1" x14ac:dyDescent="0.25">
      <c r="BK34" s="55"/>
    </row>
    <row r="35" spans="63:63" s="56" customFormat="1" ht="15" customHeight="1" x14ac:dyDescent="0.25">
      <c r="BK35" s="55"/>
    </row>
    <row r="36" spans="63:63" s="56" customFormat="1" ht="15" customHeight="1" x14ac:dyDescent="0.25">
      <c r="BK36" s="55"/>
    </row>
    <row r="37" spans="63:63" s="56" customFormat="1" ht="15" customHeight="1" x14ac:dyDescent="0.25">
      <c r="BK37" s="55"/>
    </row>
    <row r="38" spans="63:63" s="56" customFormat="1" ht="15" customHeight="1" x14ac:dyDescent="0.25">
      <c r="BK38" s="55"/>
    </row>
    <row r="39" spans="63:63" s="56" customFormat="1" ht="15" customHeight="1" x14ac:dyDescent="0.25">
      <c r="BK39" s="55"/>
    </row>
    <row r="40" spans="63:63" s="56" customFormat="1" ht="15" customHeight="1" x14ac:dyDescent="0.25">
      <c r="BK40" s="55"/>
    </row>
    <row r="41" spans="63:63" s="56" customFormat="1" ht="15" customHeight="1" x14ac:dyDescent="0.25">
      <c r="BK41" s="55"/>
    </row>
    <row r="42" spans="63:63" s="56" customFormat="1" ht="15" customHeight="1" x14ac:dyDescent="0.25">
      <c r="BK42" s="55"/>
    </row>
    <row r="43" spans="63:63" s="56" customFormat="1" ht="15" customHeight="1" x14ac:dyDescent="0.25">
      <c r="BK43" s="55"/>
    </row>
    <row r="44" spans="63:63" s="56" customFormat="1" ht="15" customHeight="1" x14ac:dyDescent="0.25">
      <c r="BK44" s="55"/>
    </row>
    <row r="45" spans="63:63" s="56" customFormat="1" ht="15" customHeight="1" x14ac:dyDescent="0.25">
      <c r="BK45" s="55"/>
    </row>
    <row r="46" spans="63:63" s="56" customFormat="1" ht="15" customHeight="1" x14ac:dyDescent="0.25">
      <c r="BK46" s="5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218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AP7105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55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57"/>
      <c r="AQ7" s="57"/>
      <c r="AR7" s="57"/>
      <c r="AS7" s="57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58"/>
      <c r="AQ8" s="58"/>
      <c r="AR8" s="58"/>
      <c r="AS8" s="5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58"/>
      <c r="AQ9" s="58"/>
      <c r="AR9" s="58"/>
      <c r="AS9" s="5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58"/>
      <c r="AQ10" s="58"/>
      <c r="AR10" s="58"/>
      <c r="AS10" s="5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15"/>
    </row>
    <row r="12" spans="1:63" s="16" customFormat="1" ht="15" customHeight="1" x14ac:dyDescent="0.25">
      <c r="A12" s="11"/>
      <c r="B12" s="20" t="s">
        <v>56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14"/>
      <c r="BJ12" s="14"/>
      <c r="BK12" s="15"/>
    </row>
    <row r="13" spans="1:63" s="16" customFormat="1" ht="15" customHeight="1" x14ac:dyDescent="0.25">
      <c r="A13" s="11"/>
      <c r="B13" s="18"/>
      <c r="C13" s="21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21" t="s">
        <v>57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9"/>
      <c r="BI15" s="19"/>
      <c r="BJ15" s="19"/>
      <c r="BK15" s="15"/>
    </row>
    <row r="16" spans="1:63" s="16" customFormat="1" ht="15" customHeight="1" x14ac:dyDescent="0.25">
      <c r="A16" s="11"/>
      <c r="B16" s="18"/>
      <c r="C16" s="157" t="s">
        <v>12</v>
      </c>
      <c r="D16" s="158"/>
      <c r="E16" s="157" t="s">
        <v>13</v>
      </c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8"/>
      <c r="AG16" s="157" t="s">
        <v>14</v>
      </c>
      <c r="AH16" s="159"/>
      <c r="AI16" s="159"/>
      <c r="AJ16" s="159"/>
      <c r="AK16" s="159"/>
      <c r="AL16" s="159"/>
      <c r="AM16" s="159"/>
      <c r="AN16" s="159"/>
      <c r="AO16" s="159"/>
      <c r="AP16" s="158"/>
      <c r="AQ16" s="157" t="s">
        <v>15</v>
      </c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8"/>
      <c r="BK16" s="15"/>
    </row>
    <row r="17" spans="1:63" s="16" customFormat="1" ht="15" customHeight="1" x14ac:dyDescent="0.25">
      <c r="A17" s="11"/>
      <c r="B17" s="18"/>
      <c r="C17" s="145">
        <v>1</v>
      </c>
      <c r="D17" s="146"/>
      <c r="E17" s="166" t="s">
        <v>26</v>
      </c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8"/>
      <c r="AG17" s="145" t="s">
        <v>21</v>
      </c>
      <c r="AH17" s="147"/>
      <c r="AI17" s="147"/>
      <c r="AJ17" s="147"/>
      <c r="AK17" s="147"/>
      <c r="AL17" s="147"/>
      <c r="AM17" s="147"/>
      <c r="AN17" s="147"/>
      <c r="AO17" s="147"/>
      <c r="AP17" s="146"/>
      <c r="AQ17" s="169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1"/>
      <c r="BK17" s="15"/>
    </row>
    <row r="18" spans="1:63" s="16" customFormat="1" ht="15" customHeight="1" x14ac:dyDescent="0.25">
      <c r="A18" s="1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 t="s">
        <v>58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21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  <c r="BI20" s="19"/>
      <c r="BJ20" s="19"/>
      <c r="BK20" s="15"/>
    </row>
    <row r="21" spans="1:63" s="16" customFormat="1" ht="15" customHeight="1" x14ac:dyDescent="0.25">
      <c r="A21" s="11"/>
      <c r="B21" s="18"/>
      <c r="C21" s="163" t="s">
        <v>59</v>
      </c>
      <c r="D21" s="165"/>
      <c r="E21" s="163" t="s">
        <v>60</v>
      </c>
      <c r="F21" s="164"/>
      <c r="G21" s="164"/>
      <c r="H21" s="164"/>
      <c r="I21" s="164"/>
      <c r="J21" s="164"/>
      <c r="K21" s="165"/>
      <c r="L21" s="157" t="s">
        <v>16</v>
      </c>
      <c r="M21" s="159"/>
      <c r="N21" s="158"/>
      <c r="O21" s="157" t="s">
        <v>17</v>
      </c>
      <c r="P21" s="159"/>
      <c r="Q21" s="159"/>
      <c r="R21" s="158"/>
      <c r="S21" s="157" t="s">
        <v>18</v>
      </c>
      <c r="T21" s="159"/>
      <c r="U21" s="159"/>
      <c r="V21" s="159"/>
      <c r="W21" s="159"/>
      <c r="X21" s="159"/>
      <c r="Y21" s="158"/>
      <c r="Z21" s="163" t="s">
        <v>61</v>
      </c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5"/>
      <c r="AQ21" s="157" t="s">
        <v>15</v>
      </c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8"/>
      <c r="BK21" s="15"/>
    </row>
    <row r="22" spans="1:63" s="16" customFormat="1" ht="15" customHeight="1" x14ac:dyDescent="0.25">
      <c r="A22" s="11"/>
      <c r="B22" s="18"/>
      <c r="C22" s="145">
        <v>1</v>
      </c>
      <c r="D22" s="146"/>
      <c r="E22" s="151" t="s">
        <v>3</v>
      </c>
      <c r="F22" s="152"/>
      <c r="G22" s="152"/>
      <c r="H22" s="152"/>
      <c r="I22" s="152"/>
      <c r="J22" s="152"/>
      <c r="K22" s="153"/>
      <c r="L22" s="154" t="s">
        <v>4</v>
      </c>
      <c r="M22" s="155"/>
      <c r="N22" s="156"/>
      <c r="O22" s="145" t="s">
        <v>5</v>
      </c>
      <c r="P22" s="147"/>
      <c r="Q22" s="147"/>
      <c r="R22" s="146"/>
      <c r="S22" s="145" t="s">
        <v>6</v>
      </c>
      <c r="T22" s="147"/>
      <c r="U22" s="147"/>
      <c r="V22" s="147"/>
      <c r="W22" s="147"/>
      <c r="X22" s="147"/>
      <c r="Y22" s="146"/>
      <c r="Z22" s="151" t="s">
        <v>7</v>
      </c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3"/>
      <c r="AQ22" s="160" t="s">
        <v>62</v>
      </c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2"/>
      <c r="BK22" s="15"/>
    </row>
    <row r="23" spans="1:63" s="16" customFormat="1" ht="15" customHeight="1" x14ac:dyDescent="0.25">
      <c r="A23" s="11"/>
      <c r="B23" s="18"/>
      <c r="C23" s="145">
        <v>2</v>
      </c>
      <c r="D23" s="146"/>
      <c r="E23" s="151" t="s">
        <v>8</v>
      </c>
      <c r="F23" s="152"/>
      <c r="G23" s="152"/>
      <c r="H23" s="152"/>
      <c r="I23" s="152"/>
      <c r="J23" s="152"/>
      <c r="K23" s="153"/>
      <c r="L23" s="154" t="s">
        <v>6</v>
      </c>
      <c r="M23" s="155"/>
      <c r="N23" s="156"/>
      <c r="O23" s="145" t="s">
        <v>5</v>
      </c>
      <c r="P23" s="147"/>
      <c r="Q23" s="147"/>
      <c r="R23" s="146"/>
      <c r="S23" s="145" t="s">
        <v>6</v>
      </c>
      <c r="T23" s="147"/>
      <c r="U23" s="147"/>
      <c r="V23" s="147"/>
      <c r="W23" s="147"/>
      <c r="X23" s="147"/>
      <c r="Y23" s="146"/>
      <c r="Z23" s="151" t="s">
        <v>8</v>
      </c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3"/>
      <c r="AQ23" s="160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2"/>
      <c r="BK23" s="15"/>
    </row>
    <row r="24" spans="1:63" s="16" customFormat="1" ht="15" customHeight="1" x14ac:dyDescent="0.25">
      <c r="A24" s="11"/>
      <c r="B24" s="18"/>
      <c r="C24" s="174">
        <v>3</v>
      </c>
      <c r="D24" s="175"/>
      <c r="E24" s="176" t="s">
        <v>9</v>
      </c>
      <c r="F24" s="177"/>
      <c r="G24" s="177"/>
      <c r="H24" s="177"/>
      <c r="I24" s="177"/>
      <c r="J24" s="177"/>
      <c r="K24" s="178"/>
      <c r="L24" s="148" t="s">
        <v>4</v>
      </c>
      <c r="M24" s="149"/>
      <c r="N24" s="150"/>
      <c r="O24" s="179" t="s">
        <v>5</v>
      </c>
      <c r="P24" s="180"/>
      <c r="Q24" s="180"/>
      <c r="R24" s="181"/>
      <c r="S24" s="179" t="s">
        <v>22</v>
      </c>
      <c r="T24" s="180"/>
      <c r="U24" s="180"/>
      <c r="V24" s="180"/>
      <c r="W24" s="180"/>
      <c r="X24" s="180"/>
      <c r="Y24" s="181"/>
      <c r="Z24" s="182" t="s">
        <v>22</v>
      </c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4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3"/>
      <c r="BK24" s="15"/>
    </row>
    <row r="25" spans="1:63" s="16" customFormat="1" ht="15" customHeight="1" x14ac:dyDescent="0.25">
      <c r="A25" s="11"/>
      <c r="B25" s="18"/>
      <c r="C25" s="145">
        <v>4</v>
      </c>
      <c r="D25" s="146"/>
      <c r="E25" s="151" t="s">
        <v>10</v>
      </c>
      <c r="F25" s="152"/>
      <c r="G25" s="152"/>
      <c r="H25" s="152"/>
      <c r="I25" s="152"/>
      <c r="J25" s="152"/>
      <c r="K25" s="153"/>
      <c r="L25" s="154" t="s">
        <v>6</v>
      </c>
      <c r="M25" s="155"/>
      <c r="N25" s="156"/>
      <c r="O25" s="145" t="s">
        <v>5</v>
      </c>
      <c r="P25" s="147"/>
      <c r="Q25" s="147"/>
      <c r="R25" s="146"/>
      <c r="S25" s="145" t="s">
        <v>6</v>
      </c>
      <c r="T25" s="147"/>
      <c r="U25" s="147"/>
      <c r="V25" s="147"/>
      <c r="W25" s="147"/>
      <c r="X25" s="147"/>
      <c r="Y25" s="146"/>
      <c r="Z25" s="151" t="s">
        <v>10</v>
      </c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3"/>
      <c r="AQ25" s="160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2"/>
      <c r="BK25" s="15"/>
    </row>
    <row r="26" spans="1:63" s="16" customFormat="1" ht="15" customHeight="1" x14ac:dyDescent="0.25">
      <c r="A26" s="11"/>
      <c r="B26" s="18"/>
      <c r="C26" s="145">
        <v>5</v>
      </c>
      <c r="D26" s="146"/>
      <c r="E26" s="151" t="s">
        <v>11</v>
      </c>
      <c r="F26" s="152"/>
      <c r="G26" s="152"/>
      <c r="H26" s="152"/>
      <c r="I26" s="152"/>
      <c r="J26" s="152"/>
      <c r="K26" s="153"/>
      <c r="L26" s="154" t="s">
        <v>6</v>
      </c>
      <c r="M26" s="155"/>
      <c r="N26" s="156"/>
      <c r="O26" s="145" t="s">
        <v>5</v>
      </c>
      <c r="P26" s="147"/>
      <c r="Q26" s="147"/>
      <c r="R26" s="146"/>
      <c r="S26" s="145" t="s">
        <v>6</v>
      </c>
      <c r="T26" s="147"/>
      <c r="U26" s="147"/>
      <c r="V26" s="147"/>
      <c r="W26" s="147"/>
      <c r="X26" s="147"/>
      <c r="Y26" s="146"/>
      <c r="Z26" s="151" t="s">
        <v>11</v>
      </c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3"/>
      <c r="AQ26" s="160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2"/>
      <c r="BK26" s="15"/>
    </row>
    <row r="27" spans="1:63" s="16" customFormat="1" ht="15" customHeight="1" x14ac:dyDescent="0.25">
      <c r="A27" s="11"/>
      <c r="B27" s="18"/>
      <c r="C27" s="18"/>
      <c r="D27" s="18"/>
      <c r="E27" s="58"/>
      <c r="F27" s="58"/>
      <c r="G27" s="58"/>
      <c r="H27" s="58"/>
      <c r="I27" s="18"/>
      <c r="J27" s="18"/>
      <c r="K27" s="18"/>
      <c r="L27" s="59"/>
      <c r="M27" s="58"/>
      <c r="N27" s="58"/>
      <c r="O27" s="58"/>
      <c r="P27" s="5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8"/>
      <c r="AC27" s="18"/>
      <c r="AD27" s="18"/>
      <c r="AE27" s="18"/>
      <c r="AF27" s="18"/>
      <c r="AG27" s="58"/>
      <c r="AH27" s="58"/>
      <c r="AI27" s="58"/>
      <c r="AJ27" s="58"/>
      <c r="AK27" s="58"/>
      <c r="AL27" s="58"/>
      <c r="AM27" s="58"/>
      <c r="AN27" s="58"/>
      <c r="AO27" s="58"/>
      <c r="AP27" s="18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18"/>
      <c r="D28" s="18"/>
      <c r="E28" s="58"/>
      <c r="F28" s="58"/>
      <c r="G28" s="58"/>
      <c r="H28" s="58"/>
      <c r="I28" s="18"/>
      <c r="J28" s="18"/>
      <c r="K28" s="18"/>
      <c r="L28" s="24"/>
      <c r="M28" s="58"/>
      <c r="N28" s="58"/>
      <c r="O28" s="58"/>
      <c r="P28" s="5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18"/>
      <c r="AB28" s="18"/>
      <c r="AC28" s="18"/>
      <c r="AD28" s="18"/>
      <c r="AE28" s="18"/>
      <c r="AF28" s="18"/>
      <c r="AG28" s="58"/>
      <c r="AH28" s="58"/>
      <c r="AI28" s="58"/>
      <c r="AJ28" s="58"/>
      <c r="AK28" s="58"/>
      <c r="AL28" s="58"/>
      <c r="AM28" s="58"/>
      <c r="AN28" s="58"/>
      <c r="AO28" s="58"/>
      <c r="AP28" s="18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21" t="s">
        <v>63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5"/>
    </row>
    <row r="30" spans="1:63" s="16" customFormat="1" ht="15" customHeight="1" x14ac:dyDescent="0.25">
      <c r="A30" s="11"/>
      <c r="B30" s="18"/>
      <c r="C30" s="17"/>
      <c r="D30" s="18" t="s">
        <v>23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9"/>
      <c r="BJ30" s="19"/>
      <c r="BK30" s="15"/>
    </row>
    <row r="31" spans="1:63" s="16" customFormat="1" ht="15" customHeight="1" x14ac:dyDescent="0.25">
      <c r="A31" s="1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5"/>
    </row>
    <row r="32" spans="1:63" s="16" customFormat="1" ht="15" customHeight="1" x14ac:dyDescent="0.25">
      <c r="A32" s="11"/>
      <c r="B32" s="18"/>
      <c r="C32" s="21" t="s">
        <v>64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5"/>
    </row>
    <row r="33" spans="1:63" s="16" customFormat="1" ht="15" customHeight="1" x14ac:dyDescent="0.25">
      <c r="A33" s="11"/>
      <c r="B33" s="18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185" t="s">
        <v>90</v>
      </c>
      <c r="D34" s="186"/>
      <c r="E34" s="185" t="s">
        <v>91</v>
      </c>
      <c r="F34" s="209"/>
      <c r="G34" s="209"/>
      <c r="H34" s="209"/>
      <c r="I34" s="209"/>
      <c r="J34" s="209"/>
      <c r="K34" s="186"/>
      <c r="L34" s="157" t="s">
        <v>92</v>
      </c>
      <c r="M34" s="159"/>
      <c r="N34" s="158"/>
      <c r="O34" s="157" t="s">
        <v>93</v>
      </c>
      <c r="P34" s="159"/>
      <c r="Q34" s="159"/>
      <c r="R34" s="158"/>
      <c r="S34" s="157" t="s">
        <v>94</v>
      </c>
      <c r="T34" s="159"/>
      <c r="U34" s="159"/>
      <c r="V34" s="159"/>
      <c r="W34" s="159"/>
      <c r="X34" s="159"/>
      <c r="Y34" s="158"/>
      <c r="Z34" s="157" t="s">
        <v>61</v>
      </c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8"/>
      <c r="AQ34" s="185" t="s">
        <v>95</v>
      </c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186"/>
      <c r="BK34" s="15"/>
    </row>
    <row r="35" spans="1:63" s="16" customFormat="1" ht="15" customHeight="1" x14ac:dyDescent="0.25">
      <c r="A35" s="11"/>
      <c r="B35" s="18"/>
      <c r="C35" s="145">
        <v>1</v>
      </c>
      <c r="D35" s="146"/>
      <c r="E35" s="145" t="s">
        <v>96</v>
      </c>
      <c r="F35" s="147"/>
      <c r="G35" s="147"/>
      <c r="H35" s="147"/>
      <c r="I35" s="147"/>
      <c r="J35" s="147"/>
      <c r="K35" s="146"/>
      <c r="L35" s="154" t="s">
        <v>69</v>
      </c>
      <c r="M35" s="155"/>
      <c r="N35" s="156"/>
      <c r="O35" s="145" t="s">
        <v>97</v>
      </c>
      <c r="P35" s="147"/>
      <c r="Q35" s="147"/>
      <c r="R35" s="146"/>
      <c r="S35" s="145"/>
      <c r="T35" s="147"/>
      <c r="U35" s="147"/>
      <c r="V35" s="147"/>
      <c r="W35" s="147"/>
      <c r="X35" s="147"/>
      <c r="Y35" s="146"/>
      <c r="Z35" s="145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6"/>
      <c r="AQ35" s="210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2"/>
      <c r="BK35" s="15"/>
    </row>
    <row r="36" spans="1:63" s="16" customFormat="1" ht="72" customHeight="1" x14ac:dyDescent="0.25">
      <c r="A36" s="11"/>
      <c r="B36" s="18"/>
      <c r="C36" s="145">
        <v>2</v>
      </c>
      <c r="D36" s="146"/>
      <c r="E36" s="145" t="s">
        <v>98</v>
      </c>
      <c r="F36" s="147"/>
      <c r="G36" s="147"/>
      <c r="H36" s="147"/>
      <c r="I36" s="147"/>
      <c r="J36" s="147"/>
      <c r="K36" s="146"/>
      <c r="L36" s="213" t="s">
        <v>4</v>
      </c>
      <c r="M36" s="214"/>
      <c r="N36" s="215"/>
      <c r="O36" s="145" t="s">
        <v>99</v>
      </c>
      <c r="P36" s="147"/>
      <c r="Q36" s="147"/>
      <c r="R36" s="146"/>
      <c r="S36" s="145" t="s">
        <v>69</v>
      </c>
      <c r="T36" s="147"/>
      <c r="U36" s="147"/>
      <c r="V36" s="147"/>
      <c r="W36" s="147"/>
      <c r="X36" s="147"/>
      <c r="Y36" s="146"/>
      <c r="Z36" s="145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6"/>
      <c r="AQ36" s="216" t="s">
        <v>78</v>
      </c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2"/>
      <c r="BK36" s="15"/>
    </row>
    <row r="37" spans="1:63" s="16" customFormat="1" ht="15" customHeight="1" x14ac:dyDescent="0.25">
      <c r="A37" s="11"/>
      <c r="B37" s="18"/>
      <c r="C37" s="145">
        <v>3</v>
      </c>
      <c r="D37" s="146"/>
      <c r="E37" s="145" t="s">
        <v>100</v>
      </c>
      <c r="F37" s="147"/>
      <c r="G37" s="147"/>
      <c r="H37" s="147"/>
      <c r="I37" s="147"/>
      <c r="J37" s="147"/>
      <c r="K37" s="146"/>
      <c r="L37" s="213" t="s">
        <v>4</v>
      </c>
      <c r="M37" s="214"/>
      <c r="N37" s="215"/>
      <c r="O37" s="145" t="s">
        <v>101</v>
      </c>
      <c r="P37" s="147"/>
      <c r="Q37" s="147"/>
      <c r="R37" s="146"/>
      <c r="S37" s="145" t="s">
        <v>69</v>
      </c>
      <c r="T37" s="147"/>
      <c r="U37" s="147"/>
      <c r="V37" s="147"/>
      <c r="W37" s="147"/>
      <c r="X37" s="147"/>
      <c r="Y37" s="146"/>
      <c r="Z37" s="145" t="s">
        <v>102</v>
      </c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6"/>
      <c r="AQ37" s="210" t="s">
        <v>79</v>
      </c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2"/>
      <c r="BK37" s="15"/>
    </row>
    <row r="38" spans="1:63" s="16" customFormat="1" ht="15" customHeight="1" x14ac:dyDescent="0.25">
      <c r="A38" s="11"/>
      <c r="B38" s="18"/>
      <c r="C38" s="145">
        <v>4</v>
      </c>
      <c r="D38" s="146"/>
      <c r="E38" s="145" t="s">
        <v>103</v>
      </c>
      <c r="F38" s="147"/>
      <c r="G38" s="147"/>
      <c r="H38" s="147"/>
      <c r="I38" s="147"/>
      <c r="J38" s="147"/>
      <c r="K38" s="146"/>
      <c r="L38" s="213" t="s">
        <v>4</v>
      </c>
      <c r="M38" s="214"/>
      <c r="N38" s="215"/>
      <c r="O38" s="145" t="s">
        <v>104</v>
      </c>
      <c r="P38" s="147"/>
      <c r="Q38" s="147"/>
      <c r="R38" s="146"/>
      <c r="S38" s="145" t="s">
        <v>69</v>
      </c>
      <c r="T38" s="147"/>
      <c r="U38" s="147"/>
      <c r="V38" s="147"/>
      <c r="W38" s="147"/>
      <c r="X38" s="147"/>
      <c r="Y38" s="146"/>
      <c r="Z38" s="145" t="s">
        <v>105</v>
      </c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6"/>
      <c r="AQ38" s="210" t="s">
        <v>80</v>
      </c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2"/>
      <c r="BK38" s="15"/>
    </row>
    <row r="39" spans="1:63" s="16" customFormat="1" ht="76.5" customHeight="1" x14ac:dyDescent="0.25">
      <c r="A39" s="11"/>
      <c r="B39" s="18"/>
      <c r="C39" s="145">
        <v>5</v>
      </c>
      <c r="D39" s="146"/>
      <c r="E39" s="145" t="s">
        <v>106</v>
      </c>
      <c r="F39" s="147"/>
      <c r="G39" s="147"/>
      <c r="H39" s="147"/>
      <c r="I39" s="147"/>
      <c r="J39" s="147"/>
      <c r="K39" s="146"/>
      <c r="L39" s="213" t="s">
        <v>4</v>
      </c>
      <c r="M39" s="214"/>
      <c r="N39" s="215"/>
      <c r="O39" s="145" t="s">
        <v>101</v>
      </c>
      <c r="P39" s="147"/>
      <c r="Q39" s="147"/>
      <c r="R39" s="146"/>
      <c r="S39" s="145" t="s">
        <v>69</v>
      </c>
      <c r="T39" s="147"/>
      <c r="U39" s="147"/>
      <c r="V39" s="147"/>
      <c r="W39" s="147"/>
      <c r="X39" s="147"/>
      <c r="Y39" s="146"/>
      <c r="Z39" s="145" t="s">
        <v>107</v>
      </c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6"/>
      <c r="AQ39" s="210" t="s">
        <v>81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2"/>
      <c r="BK39" s="15"/>
    </row>
    <row r="40" spans="1:63" s="16" customFormat="1" ht="82.5" customHeight="1" x14ac:dyDescent="0.25">
      <c r="A40" s="11"/>
      <c r="B40" s="18"/>
      <c r="C40" s="145">
        <v>6</v>
      </c>
      <c r="D40" s="146"/>
      <c r="E40" s="145" t="s">
        <v>108</v>
      </c>
      <c r="F40" s="147"/>
      <c r="G40" s="147"/>
      <c r="H40" s="147"/>
      <c r="I40" s="147"/>
      <c r="J40" s="147"/>
      <c r="K40" s="146"/>
      <c r="L40" s="213" t="s">
        <v>4</v>
      </c>
      <c r="M40" s="214"/>
      <c r="N40" s="215"/>
      <c r="O40" s="145" t="s">
        <v>101</v>
      </c>
      <c r="P40" s="147"/>
      <c r="Q40" s="147"/>
      <c r="R40" s="146"/>
      <c r="S40" s="145" t="s">
        <v>69</v>
      </c>
      <c r="T40" s="147"/>
      <c r="U40" s="147"/>
      <c r="V40" s="147"/>
      <c r="W40" s="147"/>
      <c r="X40" s="147"/>
      <c r="Y40" s="146"/>
      <c r="Z40" s="145" t="s">
        <v>109</v>
      </c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6"/>
      <c r="AQ40" s="210" t="s">
        <v>82</v>
      </c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2"/>
      <c r="BK40" s="15"/>
    </row>
    <row r="41" spans="1:63" s="16" customFormat="1" ht="85.5" customHeight="1" x14ac:dyDescent="0.25">
      <c r="A41" s="11"/>
      <c r="B41" s="18"/>
      <c r="C41" s="145">
        <v>7</v>
      </c>
      <c r="D41" s="146"/>
      <c r="E41" s="145" t="s">
        <v>110</v>
      </c>
      <c r="F41" s="147"/>
      <c r="G41" s="147"/>
      <c r="H41" s="147"/>
      <c r="I41" s="147"/>
      <c r="J41" s="147"/>
      <c r="K41" s="146"/>
      <c r="L41" s="213" t="s">
        <v>4</v>
      </c>
      <c r="M41" s="214"/>
      <c r="N41" s="215"/>
      <c r="O41" s="145" t="s">
        <v>101</v>
      </c>
      <c r="P41" s="147"/>
      <c r="Q41" s="147"/>
      <c r="R41" s="146"/>
      <c r="S41" s="145" t="s">
        <v>69</v>
      </c>
      <c r="T41" s="147"/>
      <c r="U41" s="147"/>
      <c r="V41" s="147"/>
      <c r="W41" s="147"/>
      <c r="X41" s="147"/>
      <c r="Y41" s="146"/>
      <c r="Z41" s="145" t="s">
        <v>111</v>
      </c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6"/>
      <c r="AQ41" s="210" t="s">
        <v>83</v>
      </c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2"/>
      <c r="BK41" s="15"/>
    </row>
    <row r="42" spans="1:63" s="16" customFormat="1" ht="74.25" customHeight="1" x14ac:dyDescent="0.25">
      <c r="A42" s="11"/>
      <c r="B42" s="18"/>
      <c r="C42" s="145">
        <v>8</v>
      </c>
      <c r="D42" s="146"/>
      <c r="E42" s="145" t="s">
        <v>112</v>
      </c>
      <c r="F42" s="147"/>
      <c r="G42" s="147"/>
      <c r="H42" s="147"/>
      <c r="I42" s="147"/>
      <c r="J42" s="147"/>
      <c r="K42" s="146"/>
      <c r="L42" s="213" t="s">
        <v>4</v>
      </c>
      <c r="M42" s="214"/>
      <c r="N42" s="215"/>
      <c r="O42" s="145" t="s">
        <v>101</v>
      </c>
      <c r="P42" s="147"/>
      <c r="Q42" s="147"/>
      <c r="R42" s="146"/>
      <c r="S42" s="145" t="s">
        <v>69</v>
      </c>
      <c r="T42" s="147"/>
      <c r="U42" s="147"/>
      <c r="V42" s="147"/>
      <c r="W42" s="147"/>
      <c r="X42" s="147"/>
      <c r="Y42" s="146"/>
      <c r="Z42" s="145" t="s">
        <v>113</v>
      </c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6"/>
      <c r="AQ42" s="210" t="s">
        <v>84</v>
      </c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2"/>
      <c r="BK42" s="15"/>
    </row>
    <row r="43" spans="1:63" s="16" customFormat="1" ht="80.25" customHeight="1" x14ac:dyDescent="0.25">
      <c r="A43" s="11"/>
      <c r="B43" s="18"/>
      <c r="C43" s="145">
        <v>9</v>
      </c>
      <c r="D43" s="146"/>
      <c r="E43" s="145" t="s">
        <v>114</v>
      </c>
      <c r="F43" s="147"/>
      <c r="G43" s="147"/>
      <c r="H43" s="147"/>
      <c r="I43" s="147"/>
      <c r="J43" s="147"/>
      <c r="K43" s="146"/>
      <c r="L43" s="213" t="s">
        <v>4</v>
      </c>
      <c r="M43" s="214"/>
      <c r="N43" s="215"/>
      <c r="O43" s="145" t="s">
        <v>101</v>
      </c>
      <c r="P43" s="147"/>
      <c r="Q43" s="147"/>
      <c r="R43" s="146"/>
      <c r="S43" s="145" t="s">
        <v>69</v>
      </c>
      <c r="T43" s="147"/>
      <c r="U43" s="147"/>
      <c r="V43" s="147"/>
      <c r="W43" s="147"/>
      <c r="X43" s="147"/>
      <c r="Y43" s="146"/>
      <c r="Z43" s="145" t="s">
        <v>115</v>
      </c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6"/>
      <c r="AQ43" s="210" t="s">
        <v>85</v>
      </c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2"/>
      <c r="BK43" s="15"/>
    </row>
    <row r="44" spans="1:63" s="16" customFormat="1" ht="75" customHeight="1" x14ac:dyDescent="0.25">
      <c r="A44" s="11"/>
      <c r="B44" s="18"/>
      <c r="C44" s="145">
        <v>10</v>
      </c>
      <c r="D44" s="146"/>
      <c r="E44" s="145" t="s">
        <v>116</v>
      </c>
      <c r="F44" s="147"/>
      <c r="G44" s="147"/>
      <c r="H44" s="147"/>
      <c r="I44" s="147"/>
      <c r="J44" s="147"/>
      <c r="K44" s="146"/>
      <c r="L44" s="213" t="s">
        <v>4</v>
      </c>
      <c r="M44" s="214"/>
      <c r="N44" s="215"/>
      <c r="O44" s="145" t="s">
        <v>101</v>
      </c>
      <c r="P44" s="147"/>
      <c r="Q44" s="147"/>
      <c r="R44" s="146"/>
      <c r="S44" s="145" t="s">
        <v>69</v>
      </c>
      <c r="T44" s="147"/>
      <c r="U44" s="147"/>
      <c r="V44" s="147"/>
      <c r="W44" s="147"/>
      <c r="X44" s="147"/>
      <c r="Y44" s="146"/>
      <c r="Z44" s="145" t="s">
        <v>117</v>
      </c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6"/>
      <c r="AQ44" s="210" t="s">
        <v>145</v>
      </c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2"/>
      <c r="BK44" s="15"/>
    </row>
    <row r="45" spans="1:63" s="16" customFormat="1" ht="15" customHeight="1" x14ac:dyDescent="0.25">
      <c r="A45" s="11"/>
      <c r="B45" s="18"/>
      <c r="C45" s="145">
        <v>11</v>
      </c>
      <c r="D45" s="146"/>
      <c r="E45" s="145" t="s">
        <v>118</v>
      </c>
      <c r="F45" s="147"/>
      <c r="G45" s="147"/>
      <c r="H45" s="147"/>
      <c r="I45" s="147"/>
      <c r="J45" s="147"/>
      <c r="K45" s="146"/>
      <c r="L45" s="154" t="s">
        <v>69</v>
      </c>
      <c r="M45" s="155"/>
      <c r="N45" s="156"/>
      <c r="O45" s="145" t="s">
        <v>101</v>
      </c>
      <c r="P45" s="147"/>
      <c r="Q45" s="147"/>
      <c r="R45" s="146"/>
      <c r="S45" s="145" t="s">
        <v>69</v>
      </c>
      <c r="T45" s="147"/>
      <c r="U45" s="147"/>
      <c r="V45" s="147"/>
      <c r="W45" s="147"/>
      <c r="X45" s="147"/>
      <c r="Y45" s="146"/>
      <c r="Z45" s="145" t="s">
        <v>119</v>
      </c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6"/>
      <c r="AQ45" s="210" t="s">
        <v>65</v>
      </c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2"/>
      <c r="BK45" s="15"/>
    </row>
    <row r="46" spans="1:63" s="16" customFormat="1" ht="15" customHeight="1" x14ac:dyDescent="0.25">
      <c r="A46" s="11"/>
      <c r="B46" s="18"/>
      <c r="C46" s="145">
        <v>12</v>
      </c>
      <c r="D46" s="146"/>
      <c r="E46" s="145" t="s">
        <v>120</v>
      </c>
      <c r="F46" s="147"/>
      <c r="G46" s="147"/>
      <c r="H46" s="147"/>
      <c r="I46" s="147"/>
      <c r="J46" s="147"/>
      <c r="K46" s="146"/>
      <c r="L46" s="154" t="s">
        <v>69</v>
      </c>
      <c r="M46" s="155"/>
      <c r="N46" s="156"/>
      <c r="O46" s="145" t="s">
        <v>101</v>
      </c>
      <c r="P46" s="147"/>
      <c r="Q46" s="147"/>
      <c r="R46" s="146"/>
      <c r="S46" s="145" t="s">
        <v>69</v>
      </c>
      <c r="T46" s="147"/>
      <c r="U46" s="147"/>
      <c r="V46" s="147"/>
      <c r="W46" s="147"/>
      <c r="X46" s="147"/>
      <c r="Y46" s="146"/>
      <c r="Z46" s="145" t="s">
        <v>117</v>
      </c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6"/>
      <c r="AQ46" s="210" t="s">
        <v>66</v>
      </c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2"/>
      <c r="BK46" s="15"/>
    </row>
    <row r="47" spans="1:63" s="16" customFormat="1" ht="15" customHeight="1" x14ac:dyDescent="0.25">
      <c r="A47" s="11"/>
      <c r="B47" s="18"/>
      <c r="C47" s="145">
        <v>13</v>
      </c>
      <c r="D47" s="146"/>
      <c r="E47" s="145" t="s">
        <v>121</v>
      </c>
      <c r="F47" s="147"/>
      <c r="G47" s="147"/>
      <c r="H47" s="147"/>
      <c r="I47" s="147"/>
      <c r="J47" s="147"/>
      <c r="K47" s="146"/>
      <c r="L47" s="154" t="s">
        <v>69</v>
      </c>
      <c r="M47" s="155"/>
      <c r="N47" s="156"/>
      <c r="O47" s="145" t="s">
        <v>122</v>
      </c>
      <c r="P47" s="147"/>
      <c r="Q47" s="147"/>
      <c r="R47" s="146"/>
      <c r="S47" s="145" t="s">
        <v>69</v>
      </c>
      <c r="T47" s="147"/>
      <c r="U47" s="147"/>
      <c r="V47" s="147"/>
      <c r="W47" s="147"/>
      <c r="X47" s="147"/>
      <c r="Y47" s="146"/>
      <c r="Z47" s="145" t="s">
        <v>123</v>
      </c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6"/>
      <c r="AQ47" s="210" t="s">
        <v>86</v>
      </c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2"/>
      <c r="BK47" s="15"/>
    </row>
    <row r="48" spans="1:63" s="16" customFormat="1" ht="15" customHeight="1" x14ac:dyDescent="0.25">
      <c r="A48" s="11"/>
      <c r="B48" s="18"/>
      <c r="C48" s="145">
        <v>14</v>
      </c>
      <c r="D48" s="146"/>
      <c r="E48" s="145" t="s">
        <v>124</v>
      </c>
      <c r="F48" s="147"/>
      <c r="G48" s="147"/>
      <c r="H48" s="147"/>
      <c r="I48" s="147"/>
      <c r="J48" s="147"/>
      <c r="K48" s="146"/>
      <c r="L48" s="154" t="s">
        <v>69</v>
      </c>
      <c r="M48" s="155"/>
      <c r="N48" s="156"/>
      <c r="O48" s="145" t="s">
        <v>70</v>
      </c>
      <c r="P48" s="147"/>
      <c r="Q48" s="147"/>
      <c r="R48" s="146"/>
      <c r="S48" s="145" t="b">
        <v>0</v>
      </c>
      <c r="T48" s="147"/>
      <c r="U48" s="147"/>
      <c r="V48" s="147"/>
      <c r="W48" s="147"/>
      <c r="X48" s="147"/>
      <c r="Y48" s="146"/>
      <c r="Z48" s="145" t="s">
        <v>125</v>
      </c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6"/>
      <c r="AQ48" s="210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2"/>
      <c r="BK48" s="15"/>
    </row>
    <row r="49" spans="1:63" s="16" customFormat="1" ht="15" customHeight="1" x14ac:dyDescent="0.25">
      <c r="A49" s="11"/>
      <c r="B49" s="18"/>
      <c r="C49" s="145">
        <v>15</v>
      </c>
      <c r="D49" s="146"/>
      <c r="E49" s="145" t="s">
        <v>126</v>
      </c>
      <c r="F49" s="147"/>
      <c r="G49" s="147"/>
      <c r="H49" s="147"/>
      <c r="I49" s="147"/>
      <c r="J49" s="147"/>
      <c r="K49" s="146"/>
      <c r="L49" s="154" t="s">
        <v>69</v>
      </c>
      <c r="M49" s="155"/>
      <c r="N49" s="156"/>
      <c r="O49" s="145" t="s">
        <v>70</v>
      </c>
      <c r="P49" s="147"/>
      <c r="Q49" s="147"/>
      <c r="R49" s="146"/>
      <c r="S49" s="145" t="b">
        <v>0</v>
      </c>
      <c r="T49" s="147"/>
      <c r="U49" s="147"/>
      <c r="V49" s="147"/>
      <c r="W49" s="147"/>
      <c r="X49" s="147"/>
      <c r="Y49" s="146"/>
      <c r="Z49" s="145" t="s">
        <v>127</v>
      </c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6"/>
      <c r="AQ49" s="210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2"/>
      <c r="BK49" s="15"/>
    </row>
    <row r="50" spans="1:63" s="16" customFormat="1" ht="15" customHeight="1" x14ac:dyDescent="0.25">
      <c r="A50" s="11"/>
      <c r="B50" s="18"/>
      <c r="C50" s="145">
        <v>16</v>
      </c>
      <c r="D50" s="146"/>
      <c r="E50" s="145" t="s">
        <v>128</v>
      </c>
      <c r="F50" s="147"/>
      <c r="G50" s="147"/>
      <c r="H50" s="147"/>
      <c r="I50" s="147"/>
      <c r="J50" s="147"/>
      <c r="K50" s="146"/>
      <c r="L50" s="154" t="s">
        <v>69</v>
      </c>
      <c r="M50" s="155"/>
      <c r="N50" s="156"/>
      <c r="O50" s="145" t="s">
        <v>70</v>
      </c>
      <c r="P50" s="147"/>
      <c r="Q50" s="147"/>
      <c r="R50" s="146"/>
      <c r="S50" s="145" t="b">
        <v>0</v>
      </c>
      <c r="T50" s="147"/>
      <c r="U50" s="147"/>
      <c r="V50" s="147"/>
      <c r="W50" s="147"/>
      <c r="X50" s="147"/>
      <c r="Y50" s="146"/>
      <c r="Z50" s="145" t="s">
        <v>129</v>
      </c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6"/>
      <c r="AQ50" s="210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2"/>
      <c r="BK50" s="15"/>
    </row>
    <row r="51" spans="1:63" s="16" customFormat="1" ht="15" customHeight="1" x14ac:dyDescent="0.25">
      <c r="A51" s="11"/>
      <c r="B51" s="18"/>
      <c r="C51" s="145" t="s">
        <v>67</v>
      </c>
      <c r="D51" s="146"/>
      <c r="E51" s="145" t="s">
        <v>68</v>
      </c>
      <c r="F51" s="147"/>
      <c r="G51" s="147"/>
      <c r="H51" s="147"/>
      <c r="I51" s="147"/>
      <c r="J51" s="147"/>
      <c r="K51" s="146"/>
      <c r="L51" s="154" t="s">
        <v>69</v>
      </c>
      <c r="M51" s="155"/>
      <c r="N51" s="156"/>
      <c r="O51" s="145" t="s">
        <v>70</v>
      </c>
      <c r="P51" s="147"/>
      <c r="Q51" s="147"/>
      <c r="R51" s="146"/>
      <c r="S51" s="145" t="b">
        <v>0</v>
      </c>
      <c r="T51" s="147"/>
      <c r="U51" s="147"/>
      <c r="V51" s="147"/>
      <c r="W51" s="147"/>
      <c r="X51" s="147"/>
      <c r="Y51" s="146"/>
      <c r="Z51" s="145" t="s">
        <v>71</v>
      </c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6"/>
      <c r="AQ51" s="210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2"/>
      <c r="BK51" s="15"/>
    </row>
    <row r="52" spans="1:63" s="16" customFormat="1" ht="15" customHeight="1" x14ac:dyDescent="0.25">
      <c r="A52" s="11"/>
      <c r="B52" s="18"/>
      <c r="C52" s="145" t="s">
        <v>72</v>
      </c>
      <c r="D52" s="146"/>
      <c r="E52" s="145" t="s">
        <v>73</v>
      </c>
      <c r="F52" s="147"/>
      <c r="G52" s="147"/>
      <c r="H52" s="147"/>
      <c r="I52" s="147"/>
      <c r="J52" s="147"/>
      <c r="K52" s="146"/>
      <c r="L52" s="154" t="s">
        <v>69</v>
      </c>
      <c r="M52" s="155"/>
      <c r="N52" s="156"/>
      <c r="O52" s="145" t="s">
        <v>70</v>
      </c>
      <c r="P52" s="147"/>
      <c r="Q52" s="147"/>
      <c r="R52" s="146"/>
      <c r="S52" s="145" t="b">
        <v>0</v>
      </c>
      <c r="T52" s="147"/>
      <c r="U52" s="147"/>
      <c r="V52" s="147"/>
      <c r="W52" s="147"/>
      <c r="X52" s="147"/>
      <c r="Y52" s="146"/>
      <c r="Z52" s="145" t="s">
        <v>74</v>
      </c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6"/>
      <c r="AQ52" s="210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2"/>
      <c r="BK52" s="15"/>
    </row>
    <row r="53" spans="1:63" s="16" customFormat="1" ht="15" customHeight="1" x14ac:dyDescent="0.25">
      <c r="A53" s="11"/>
      <c r="B53" s="18"/>
      <c r="C53" s="145">
        <v>17</v>
      </c>
      <c r="D53" s="146"/>
      <c r="E53" s="145" t="s">
        <v>130</v>
      </c>
      <c r="F53" s="147"/>
      <c r="G53" s="147"/>
      <c r="H53" s="147"/>
      <c r="I53" s="147"/>
      <c r="J53" s="147"/>
      <c r="K53" s="146"/>
      <c r="L53" s="154" t="s">
        <v>69</v>
      </c>
      <c r="M53" s="155"/>
      <c r="N53" s="156"/>
      <c r="O53" s="145" t="s">
        <v>101</v>
      </c>
      <c r="P53" s="147"/>
      <c r="Q53" s="147"/>
      <c r="R53" s="146"/>
      <c r="S53" s="145" t="s">
        <v>69</v>
      </c>
      <c r="T53" s="147"/>
      <c r="U53" s="147"/>
      <c r="V53" s="147"/>
      <c r="W53" s="147"/>
      <c r="X53" s="147"/>
      <c r="Y53" s="146"/>
      <c r="Z53" s="145" t="s">
        <v>131</v>
      </c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6"/>
      <c r="AQ53" s="210" t="s">
        <v>87</v>
      </c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12"/>
      <c r="BK53" s="15"/>
    </row>
    <row r="54" spans="1:63" s="16" customFormat="1" ht="15" customHeight="1" x14ac:dyDescent="0.25">
      <c r="A54" s="11"/>
      <c r="B54" s="18"/>
      <c r="C54" s="145">
        <v>18</v>
      </c>
      <c r="D54" s="146"/>
      <c r="E54" s="145" t="s">
        <v>132</v>
      </c>
      <c r="F54" s="147"/>
      <c r="G54" s="147"/>
      <c r="H54" s="147"/>
      <c r="I54" s="147"/>
      <c r="J54" s="147"/>
      <c r="K54" s="146"/>
      <c r="L54" s="154" t="s">
        <v>69</v>
      </c>
      <c r="M54" s="155"/>
      <c r="N54" s="156"/>
      <c r="O54" s="145" t="s">
        <v>101</v>
      </c>
      <c r="P54" s="147"/>
      <c r="Q54" s="147"/>
      <c r="R54" s="146"/>
      <c r="S54" s="145" t="s">
        <v>69</v>
      </c>
      <c r="T54" s="147"/>
      <c r="U54" s="147"/>
      <c r="V54" s="147"/>
      <c r="W54" s="147"/>
      <c r="X54" s="147"/>
      <c r="Y54" s="146"/>
      <c r="Z54" s="145" t="s">
        <v>133</v>
      </c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6"/>
      <c r="AQ54" s="210" t="s">
        <v>87</v>
      </c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2"/>
      <c r="BK54" s="15"/>
    </row>
    <row r="55" spans="1:63" s="16" customFormat="1" ht="15" customHeight="1" x14ac:dyDescent="0.25">
      <c r="A55" s="11"/>
      <c r="B55" s="18"/>
      <c r="C55" s="145">
        <v>19</v>
      </c>
      <c r="D55" s="146"/>
      <c r="E55" s="145" t="s">
        <v>134</v>
      </c>
      <c r="F55" s="147"/>
      <c r="G55" s="147"/>
      <c r="H55" s="147"/>
      <c r="I55" s="147"/>
      <c r="J55" s="147"/>
      <c r="K55" s="146"/>
      <c r="L55" s="154" t="s">
        <v>69</v>
      </c>
      <c r="M55" s="155"/>
      <c r="N55" s="156"/>
      <c r="O55" s="145" t="s">
        <v>101</v>
      </c>
      <c r="P55" s="147"/>
      <c r="Q55" s="147"/>
      <c r="R55" s="146"/>
      <c r="S55" s="145" t="s">
        <v>69</v>
      </c>
      <c r="T55" s="147"/>
      <c r="U55" s="147"/>
      <c r="V55" s="147"/>
      <c r="W55" s="147"/>
      <c r="X55" s="147"/>
      <c r="Y55" s="146"/>
      <c r="Z55" s="145" t="s">
        <v>135</v>
      </c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6"/>
      <c r="AQ55" s="210" t="s">
        <v>87</v>
      </c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2"/>
      <c r="BK55" s="15"/>
    </row>
    <row r="56" spans="1:63" s="16" customFormat="1" ht="150.75" customHeight="1" x14ac:dyDescent="0.25">
      <c r="A56" s="11"/>
      <c r="B56" s="18"/>
      <c r="C56" s="145">
        <v>20</v>
      </c>
      <c r="D56" s="146"/>
      <c r="E56" s="145" t="s">
        <v>136</v>
      </c>
      <c r="F56" s="147"/>
      <c r="G56" s="147"/>
      <c r="H56" s="147"/>
      <c r="I56" s="147"/>
      <c r="J56" s="147"/>
      <c r="K56" s="146"/>
      <c r="L56" s="154" t="s">
        <v>69</v>
      </c>
      <c r="M56" s="155"/>
      <c r="N56" s="156"/>
      <c r="O56" s="145" t="s">
        <v>101</v>
      </c>
      <c r="P56" s="147"/>
      <c r="Q56" s="147"/>
      <c r="R56" s="146"/>
      <c r="S56" s="145" t="s">
        <v>69</v>
      </c>
      <c r="T56" s="147"/>
      <c r="U56" s="147"/>
      <c r="V56" s="147"/>
      <c r="W56" s="147"/>
      <c r="X56" s="147"/>
      <c r="Y56" s="146"/>
      <c r="Z56" s="145" t="s">
        <v>137</v>
      </c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6"/>
      <c r="AQ56" s="210" t="s">
        <v>89</v>
      </c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2"/>
      <c r="BK56" s="15"/>
    </row>
    <row r="57" spans="1:63" s="16" customFormat="1" ht="15" customHeight="1" x14ac:dyDescent="0.25">
      <c r="A57" s="11"/>
      <c r="B57" s="18"/>
      <c r="C57" s="145">
        <v>21</v>
      </c>
      <c r="D57" s="146"/>
      <c r="E57" s="145" t="s">
        <v>138</v>
      </c>
      <c r="F57" s="147"/>
      <c r="G57" s="147"/>
      <c r="H57" s="147"/>
      <c r="I57" s="147"/>
      <c r="J57" s="147"/>
      <c r="K57" s="146"/>
      <c r="L57" s="154" t="s">
        <v>69</v>
      </c>
      <c r="M57" s="155"/>
      <c r="N57" s="156"/>
      <c r="O57" s="145" t="s">
        <v>101</v>
      </c>
      <c r="P57" s="147"/>
      <c r="Q57" s="147"/>
      <c r="R57" s="146"/>
      <c r="S57" s="145" t="s">
        <v>69</v>
      </c>
      <c r="T57" s="147"/>
      <c r="U57" s="147"/>
      <c r="V57" s="147"/>
      <c r="W57" s="147"/>
      <c r="X57" s="147"/>
      <c r="Y57" s="146"/>
      <c r="Z57" s="145" t="s">
        <v>139</v>
      </c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6"/>
      <c r="AQ57" s="210" t="s">
        <v>88</v>
      </c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  <c r="BD57" s="211"/>
      <c r="BE57" s="211"/>
      <c r="BF57" s="211"/>
      <c r="BG57" s="211"/>
      <c r="BH57" s="211"/>
      <c r="BI57" s="211"/>
      <c r="BJ57" s="212"/>
      <c r="BK57" s="15"/>
    </row>
    <row r="58" spans="1:63" s="16" customFormat="1" ht="15" customHeight="1" x14ac:dyDescent="0.25">
      <c r="A58" s="11"/>
      <c r="B58" s="18"/>
      <c r="C58" s="145">
        <v>22</v>
      </c>
      <c r="D58" s="146"/>
      <c r="E58" s="145" t="s">
        <v>140</v>
      </c>
      <c r="F58" s="147"/>
      <c r="G58" s="147"/>
      <c r="H58" s="147"/>
      <c r="I58" s="147"/>
      <c r="J58" s="147"/>
      <c r="K58" s="146"/>
      <c r="L58" s="154" t="s">
        <v>69</v>
      </c>
      <c r="M58" s="155"/>
      <c r="N58" s="156"/>
      <c r="O58" s="145" t="s">
        <v>101</v>
      </c>
      <c r="P58" s="147"/>
      <c r="Q58" s="147"/>
      <c r="R58" s="146"/>
      <c r="S58" s="145" t="s">
        <v>69</v>
      </c>
      <c r="T58" s="147"/>
      <c r="U58" s="147"/>
      <c r="V58" s="147"/>
      <c r="W58" s="147"/>
      <c r="X58" s="147"/>
      <c r="Y58" s="146"/>
      <c r="Z58" s="145" t="s">
        <v>141</v>
      </c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6"/>
      <c r="AQ58" s="210" t="s">
        <v>88</v>
      </c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2"/>
      <c r="BK58" s="15"/>
    </row>
    <row r="59" spans="1:63" s="16" customFormat="1" ht="15" customHeight="1" x14ac:dyDescent="0.25">
      <c r="A59" s="11"/>
      <c r="B59" s="18"/>
      <c r="C59" s="145">
        <v>23</v>
      </c>
      <c r="D59" s="146"/>
      <c r="E59" s="145" t="s">
        <v>142</v>
      </c>
      <c r="F59" s="147"/>
      <c r="G59" s="147"/>
      <c r="H59" s="147"/>
      <c r="I59" s="147"/>
      <c r="J59" s="147"/>
      <c r="K59" s="146"/>
      <c r="L59" s="154" t="s">
        <v>69</v>
      </c>
      <c r="M59" s="155"/>
      <c r="N59" s="156"/>
      <c r="O59" s="145" t="s">
        <v>101</v>
      </c>
      <c r="P59" s="147"/>
      <c r="Q59" s="147"/>
      <c r="R59" s="146"/>
      <c r="S59" s="145" t="s">
        <v>69</v>
      </c>
      <c r="T59" s="147"/>
      <c r="U59" s="147"/>
      <c r="V59" s="147"/>
      <c r="W59" s="147"/>
      <c r="X59" s="147"/>
      <c r="Y59" s="146"/>
      <c r="Z59" s="145" t="s">
        <v>143</v>
      </c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6"/>
      <c r="AQ59" s="210" t="s">
        <v>88</v>
      </c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2"/>
      <c r="BK59" s="15"/>
    </row>
    <row r="60" spans="1:63" s="16" customFormat="1" ht="15" customHeight="1" x14ac:dyDescent="0.25">
      <c r="A60" s="11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9"/>
      <c r="BI60" s="19"/>
      <c r="BJ60" s="19"/>
      <c r="BK60" s="15"/>
    </row>
    <row r="61" spans="1:63" s="16" customFormat="1" ht="15" customHeight="1" x14ac:dyDescent="0.25">
      <c r="A61" s="11"/>
      <c r="B61" s="12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4"/>
      <c r="BI61" s="14"/>
      <c r="BJ61" s="14"/>
      <c r="BK61" s="15"/>
    </row>
    <row r="62" spans="1:63" s="16" customFormat="1" ht="15" customHeight="1" x14ac:dyDescent="0.25">
      <c r="A62" s="11"/>
      <c r="B62" s="17"/>
      <c r="C62" s="21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9"/>
      <c r="BI62" s="19"/>
      <c r="BJ62" s="19"/>
      <c r="BK62" s="15"/>
    </row>
    <row r="63" spans="1:63" s="16" customFormat="1" ht="15" customHeight="1" x14ac:dyDescent="0.25">
      <c r="A63" s="11"/>
      <c r="B63" s="17"/>
      <c r="C63" s="21" t="s">
        <v>76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9"/>
      <c r="BI63" s="19"/>
      <c r="BJ63" s="19"/>
      <c r="BK63" s="15"/>
    </row>
    <row r="64" spans="1:63" s="16" customFormat="1" ht="15" customHeight="1" x14ac:dyDescent="0.25">
      <c r="A64" s="11"/>
      <c r="B64" s="17"/>
      <c r="C64" s="21"/>
      <c r="D64" s="18" t="s">
        <v>23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9"/>
      <c r="BI64" s="19"/>
      <c r="BJ64" s="19"/>
      <c r="BK64" s="15"/>
    </row>
    <row r="65" spans="1:63" s="16" customFormat="1" ht="15" customHeight="1" x14ac:dyDescent="0.25">
      <c r="A65" s="11"/>
      <c r="B65" s="18"/>
      <c r="C65" s="18"/>
      <c r="D65" s="58"/>
      <c r="E65" s="58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9"/>
      <c r="BI65" s="19"/>
      <c r="BJ65" s="19"/>
      <c r="BK65" s="15"/>
    </row>
    <row r="66" spans="1:63" s="16" customFormat="1" ht="15" customHeight="1" x14ac:dyDescent="0.25">
      <c r="A66" s="11"/>
      <c r="B66" s="18"/>
      <c r="C66" s="17" t="s">
        <v>77</v>
      </c>
      <c r="D66" s="18"/>
      <c r="E66" s="58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9"/>
      <c r="BI66" s="19"/>
      <c r="BJ66" s="19"/>
      <c r="BK66" s="15"/>
    </row>
    <row r="67" spans="1:63" s="16" customFormat="1" ht="15" customHeight="1" x14ac:dyDescent="0.25">
      <c r="A67" s="11"/>
      <c r="B67" s="18"/>
      <c r="C67" s="17"/>
      <c r="D67" s="18"/>
      <c r="E67" s="58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9"/>
      <c r="BI67" s="19"/>
      <c r="BJ67" s="19"/>
      <c r="BK67" s="15"/>
    </row>
    <row r="68" spans="1:63" s="16" customFormat="1" ht="15" customHeight="1" x14ac:dyDescent="0.25">
      <c r="A68" s="11"/>
      <c r="B68" s="18"/>
      <c r="C68" s="17" t="s">
        <v>24</v>
      </c>
      <c r="D68" s="18"/>
      <c r="E68" s="58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9"/>
      <c r="BI68" s="19"/>
      <c r="BJ68" s="19"/>
      <c r="BK68" s="15"/>
    </row>
    <row r="69" spans="1:63" s="31" customFormat="1" ht="15" customHeight="1" x14ac:dyDescent="0.25">
      <c r="A69" s="26"/>
      <c r="B69" s="27"/>
      <c r="C69" s="27"/>
      <c r="D69" s="27"/>
      <c r="E69" s="28"/>
      <c r="F69" s="28"/>
      <c r="G69" s="28"/>
      <c r="H69" s="28"/>
      <c r="I69" s="28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9"/>
      <c r="BI69" s="29"/>
      <c r="BJ69" s="29"/>
      <c r="BK69" s="30"/>
    </row>
  </sheetData>
  <mergeCells count="252">
    <mergeCell ref="C56:D56"/>
    <mergeCell ref="E56:K56"/>
    <mergeCell ref="L56:N56"/>
    <mergeCell ref="O56:R56"/>
    <mergeCell ref="S56:Y56"/>
    <mergeCell ref="Z56:AP56"/>
    <mergeCell ref="AQ56:BJ56"/>
    <mergeCell ref="C24:D24"/>
    <mergeCell ref="E24:K24"/>
    <mergeCell ref="L24:N24"/>
    <mergeCell ref="O24:R24"/>
    <mergeCell ref="S24:Y24"/>
    <mergeCell ref="Z24:AP24"/>
    <mergeCell ref="Z34:AP34"/>
    <mergeCell ref="C25:D25"/>
    <mergeCell ref="E25:K25"/>
    <mergeCell ref="C34:D34"/>
    <mergeCell ref="E34:K34"/>
    <mergeCell ref="S34:Y34"/>
    <mergeCell ref="Z35:AP35"/>
    <mergeCell ref="Z36:AP36"/>
    <mergeCell ref="Z55:AP55"/>
    <mergeCell ref="C55:D55"/>
    <mergeCell ref="E55:K55"/>
    <mergeCell ref="E38:K38"/>
    <mergeCell ref="E39:K39"/>
    <mergeCell ref="L35:N35"/>
    <mergeCell ref="O35:R35"/>
    <mergeCell ref="C41:D41"/>
    <mergeCell ref="E41:K41"/>
    <mergeCell ref="C35:D35"/>
    <mergeCell ref="C36:D36"/>
    <mergeCell ref="C37:D37"/>
    <mergeCell ref="C38:D38"/>
    <mergeCell ref="E40:K40"/>
    <mergeCell ref="C39:D39"/>
    <mergeCell ref="C40:D40"/>
    <mergeCell ref="E35:K35"/>
    <mergeCell ref="E36:K36"/>
    <mergeCell ref="E37:K37"/>
    <mergeCell ref="L39:N39"/>
    <mergeCell ref="O39:R39"/>
    <mergeCell ref="L37:N37"/>
    <mergeCell ref="AQ55:BJ55"/>
    <mergeCell ref="Z38:AP38"/>
    <mergeCell ref="Z58:AP58"/>
    <mergeCell ref="S55:Y55"/>
    <mergeCell ref="L55:N55"/>
    <mergeCell ref="O55:R55"/>
    <mergeCell ref="O37:R37"/>
    <mergeCell ref="L41:N41"/>
    <mergeCell ref="O41:R41"/>
    <mergeCell ref="S41:Y41"/>
    <mergeCell ref="Z41:AP41"/>
    <mergeCell ref="AQ41:BJ41"/>
    <mergeCell ref="O53:R53"/>
    <mergeCell ref="S53:Y53"/>
    <mergeCell ref="Z53:AP53"/>
    <mergeCell ref="AQ53:BJ53"/>
    <mergeCell ref="S38:Y38"/>
    <mergeCell ref="AQ38:BJ38"/>
    <mergeCell ref="S37:Y37"/>
    <mergeCell ref="Z40:AP40"/>
    <mergeCell ref="S39:Y39"/>
    <mergeCell ref="AQ37:BJ37"/>
    <mergeCell ref="S40:Y40"/>
    <mergeCell ref="AQ50:BJ50"/>
    <mergeCell ref="Z59:AP59"/>
    <mergeCell ref="AQ59:BJ59"/>
    <mergeCell ref="AQ57:BJ57"/>
    <mergeCell ref="E58:K58"/>
    <mergeCell ref="S58:Y58"/>
    <mergeCell ref="L58:N58"/>
    <mergeCell ref="O58:R58"/>
    <mergeCell ref="C57:D57"/>
    <mergeCell ref="O57:R57"/>
    <mergeCell ref="Z57:AP57"/>
    <mergeCell ref="AQ58:BJ58"/>
    <mergeCell ref="L59:N59"/>
    <mergeCell ref="O59:R59"/>
    <mergeCell ref="C59:D59"/>
    <mergeCell ref="E59:K59"/>
    <mergeCell ref="S59:Y59"/>
    <mergeCell ref="E57:K57"/>
    <mergeCell ref="S57:Y57"/>
    <mergeCell ref="L57:N57"/>
    <mergeCell ref="C58:D58"/>
    <mergeCell ref="AG16:AP16"/>
    <mergeCell ref="AQ16:BJ16"/>
    <mergeCell ref="E17:AF17"/>
    <mergeCell ref="AQ17:BJ17"/>
    <mergeCell ref="E22:K22"/>
    <mergeCell ref="E23:K23"/>
    <mergeCell ref="AG17:AP17"/>
    <mergeCell ref="AQ34:BJ34"/>
    <mergeCell ref="Z23:AP23"/>
    <mergeCell ref="AQ24:BJ24"/>
    <mergeCell ref="L34:N34"/>
    <mergeCell ref="O34:R34"/>
    <mergeCell ref="AQ25:BJ25"/>
    <mergeCell ref="L25:N25"/>
    <mergeCell ref="O25:R25"/>
    <mergeCell ref="S25:Y25"/>
    <mergeCell ref="Z25:AP25"/>
    <mergeCell ref="C21:D21"/>
    <mergeCell ref="S21:Y21"/>
    <mergeCell ref="Z21:AP21"/>
    <mergeCell ref="O22:R22"/>
    <mergeCell ref="O21:R21"/>
    <mergeCell ref="L21:N21"/>
    <mergeCell ref="S23:Y23"/>
    <mergeCell ref="S22:Y22"/>
    <mergeCell ref="Z22:AP2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C26:D26"/>
    <mergeCell ref="E26:K26"/>
    <mergeCell ref="L26:N26"/>
    <mergeCell ref="O26:R26"/>
    <mergeCell ref="S26:Y26"/>
    <mergeCell ref="Z26:AP26"/>
    <mergeCell ref="AQ26:BJ26"/>
    <mergeCell ref="C22:D22"/>
    <mergeCell ref="O23:R23"/>
    <mergeCell ref="L22:N22"/>
    <mergeCell ref="L23:N23"/>
    <mergeCell ref="C23:D23"/>
    <mergeCell ref="AQ21:BJ21"/>
    <mergeCell ref="AQ23:BJ23"/>
    <mergeCell ref="AQ22:BJ22"/>
    <mergeCell ref="E21:K21"/>
    <mergeCell ref="AQ35:BJ35"/>
    <mergeCell ref="S36:Y36"/>
    <mergeCell ref="AQ36:BJ36"/>
    <mergeCell ref="O36:R36"/>
    <mergeCell ref="AQ39:BJ39"/>
    <mergeCell ref="L40:N40"/>
    <mergeCell ref="O40:R40"/>
    <mergeCell ref="L36:N36"/>
    <mergeCell ref="L38:N38"/>
    <mergeCell ref="O38:R38"/>
    <mergeCell ref="AQ40:BJ40"/>
    <mergeCell ref="Z39:AP39"/>
    <mergeCell ref="Z37:AP37"/>
    <mergeCell ref="S35:Y35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S50:Y50"/>
    <mergeCell ref="Z50:AP50"/>
    <mergeCell ref="L47:N47"/>
    <mergeCell ref="O47:R47"/>
    <mergeCell ref="S47:Y47"/>
    <mergeCell ref="Z47:AP47"/>
    <mergeCell ref="C48:D48"/>
    <mergeCell ref="E48:K48"/>
    <mergeCell ref="L48:N48"/>
    <mergeCell ref="O48:R48"/>
    <mergeCell ref="S48:Y48"/>
    <mergeCell ref="Z48:AP48"/>
    <mergeCell ref="C47:D47"/>
    <mergeCell ref="E47:K47"/>
    <mergeCell ref="AQ48:BJ48"/>
    <mergeCell ref="C54:D54"/>
    <mergeCell ref="E54:K54"/>
    <mergeCell ref="L54:N54"/>
    <mergeCell ref="O54:R54"/>
    <mergeCell ref="S54:Y54"/>
    <mergeCell ref="Z54:AP54"/>
    <mergeCell ref="AQ54:BJ54"/>
    <mergeCell ref="C49:D49"/>
    <mergeCell ref="E49:K49"/>
    <mergeCell ref="L49:N49"/>
    <mergeCell ref="O49:R49"/>
    <mergeCell ref="S49:Y49"/>
    <mergeCell ref="Z49:AP49"/>
    <mergeCell ref="AQ49:BJ49"/>
    <mergeCell ref="C50:D50"/>
    <mergeCell ref="E50:K50"/>
    <mergeCell ref="C53:D53"/>
    <mergeCell ref="E53:K53"/>
    <mergeCell ref="L53:N53"/>
    <mergeCell ref="L50:N50"/>
    <mergeCell ref="O50:R50"/>
    <mergeCell ref="AQ51:BJ51"/>
    <mergeCell ref="AQ52:BJ52"/>
    <mergeCell ref="AQ47:BJ47"/>
    <mergeCell ref="C44:D44"/>
    <mergeCell ref="E44:K44"/>
    <mergeCell ref="L44:N44"/>
    <mergeCell ref="O44:R44"/>
    <mergeCell ref="S44:Y44"/>
    <mergeCell ref="Z44:AP44"/>
    <mergeCell ref="AQ44:BJ44"/>
    <mergeCell ref="C45:D45"/>
    <mergeCell ref="E45:K45"/>
    <mergeCell ref="L45:N45"/>
    <mergeCell ref="O45:R45"/>
    <mergeCell ref="S45:Y45"/>
    <mergeCell ref="Z45:AP45"/>
    <mergeCell ref="AQ45:BJ45"/>
    <mergeCell ref="AQ46:BJ46"/>
    <mergeCell ref="C46:D46"/>
    <mergeCell ref="E46:K46"/>
    <mergeCell ref="L46:N46"/>
    <mergeCell ref="O46:R46"/>
    <mergeCell ref="S46:Y46"/>
    <mergeCell ref="Z46:AP46"/>
    <mergeCell ref="C51:D51"/>
    <mergeCell ref="E51:K51"/>
    <mergeCell ref="C52:D52"/>
    <mergeCell ref="E52:K52"/>
    <mergeCell ref="O51:R51"/>
    <mergeCell ref="O52:R52"/>
    <mergeCell ref="S51:Y51"/>
    <mergeCell ref="S52:Y52"/>
    <mergeCell ref="Z51:AP51"/>
    <mergeCell ref="Z52:AP52"/>
    <mergeCell ref="L51:N51"/>
    <mergeCell ref="L52:N52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21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処理フロー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6" customFormat="1" ht="15" customHeight="1" x14ac:dyDescent="0.25">
      <c r="B7" s="32"/>
      <c r="C7" s="19"/>
      <c r="D7" s="19"/>
      <c r="E7" s="19"/>
      <c r="F7" s="19"/>
      <c r="G7" s="19"/>
      <c r="AI7" s="60"/>
      <c r="BJ7" s="60"/>
      <c r="BK7" s="55"/>
    </row>
    <row r="8" spans="1:63" s="56" customFormat="1" ht="15" customHeight="1" x14ac:dyDescent="0.25">
      <c r="B8" s="32"/>
      <c r="C8" s="19"/>
      <c r="D8" s="19"/>
      <c r="E8" s="19"/>
      <c r="F8" s="19"/>
      <c r="G8" s="19"/>
      <c r="AI8" s="60"/>
      <c r="BJ8" s="60"/>
      <c r="BK8" s="55"/>
    </row>
    <row r="9" spans="1:63" s="56" customFormat="1" ht="15" customHeight="1" x14ac:dyDescent="0.25">
      <c r="B9" s="32"/>
      <c r="C9" s="19"/>
      <c r="D9" s="19"/>
      <c r="E9" s="19"/>
      <c r="F9" s="19"/>
      <c r="G9" s="19"/>
      <c r="AI9" s="60"/>
      <c r="BJ9" s="60"/>
      <c r="BK9" s="55"/>
    </row>
    <row r="10" spans="1:63" s="56" customFormat="1" ht="15" customHeight="1" x14ac:dyDescent="0.25">
      <c r="B10" s="32"/>
      <c r="C10" s="19"/>
      <c r="D10" s="19"/>
      <c r="E10" s="19"/>
      <c r="F10" s="19"/>
      <c r="G10" s="19"/>
      <c r="AI10" s="60"/>
      <c r="BJ10" s="60"/>
      <c r="BK10" s="55"/>
    </row>
    <row r="11" spans="1:63" s="56" customFormat="1" ht="15" customHeight="1" x14ac:dyDescent="0.25">
      <c r="B11" s="61"/>
      <c r="AI11" s="60"/>
      <c r="BJ11" s="60"/>
      <c r="BK11" s="55"/>
    </row>
    <row r="12" spans="1:63" s="56" customFormat="1" ht="15" customHeight="1" x14ac:dyDescent="0.25">
      <c r="B12" s="61"/>
      <c r="AI12" s="60"/>
      <c r="BJ12" s="60"/>
      <c r="BK12" s="55"/>
    </row>
    <row r="13" spans="1:63" s="56" customFormat="1" ht="15" customHeight="1" x14ac:dyDescent="0.25">
      <c r="B13" s="61"/>
      <c r="AI13" s="60"/>
      <c r="BJ13" s="60"/>
      <c r="BK13" s="55"/>
    </row>
    <row r="14" spans="1:63" s="56" customFormat="1" ht="15" customHeight="1" x14ac:dyDescent="0.25">
      <c r="B14" s="61"/>
      <c r="AI14" s="60"/>
      <c r="BJ14" s="60"/>
      <c r="BK14" s="55"/>
    </row>
    <row r="15" spans="1:63" s="56" customFormat="1" ht="15" customHeight="1" x14ac:dyDescent="0.25">
      <c r="B15" s="61"/>
      <c r="AI15" s="60"/>
      <c r="BJ15" s="60"/>
      <c r="BK15" s="55"/>
    </row>
    <row r="16" spans="1:63" s="56" customFormat="1" ht="15" customHeight="1" x14ac:dyDescent="0.25">
      <c r="B16" s="61"/>
      <c r="AI16" s="60"/>
      <c r="BJ16" s="60"/>
      <c r="BK16" s="55"/>
    </row>
    <row r="17" spans="2:63" s="56" customFormat="1" ht="15" customHeight="1" x14ac:dyDescent="0.25">
      <c r="B17" s="61"/>
      <c r="AI17" s="60"/>
      <c r="BJ17" s="60"/>
      <c r="BK17" s="55"/>
    </row>
    <row r="18" spans="2:63" s="56" customFormat="1" ht="15" customHeight="1" x14ac:dyDescent="0.25">
      <c r="B18" s="61"/>
      <c r="AI18" s="60"/>
      <c r="BJ18" s="60"/>
      <c r="BK18" s="55"/>
    </row>
    <row r="19" spans="2:63" s="56" customFormat="1" ht="15" customHeight="1" x14ac:dyDescent="0.25">
      <c r="B19" s="61"/>
      <c r="AI19" s="60"/>
      <c r="BJ19" s="60"/>
      <c r="BK19" s="55"/>
    </row>
    <row r="20" spans="2:63" s="56" customFormat="1" ht="15" customHeight="1" x14ac:dyDescent="0.25">
      <c r="B20" s="61"/>
      <c r="AI20" s="60"/>
      <c r="BJ20" s="60"/>
      <c r="BK20" s="55"/>
    </row>
    <row r="21" spans="2:63" s="56" customFormat="1" ht="15" customHeight="1" x14ac:dyDescent="0.25">
      <c r="B21" s="61"/>
      <c r="AI21" s="60"/>
      <c r="AJ21" s="33"/>
      <c r="BJ21" s="60"/>
      <c r="BK21" s="55"/>
    </row>
    <row r="22" spans="2:63" s="56" customFormat="1" ht="15" customHeight="1" x14ac:dyDescent="0.25">
      <c r="B22" s="61"/>
      <c r="AI22" s="60"/>
      <c r="BJ22" s="60"/>
      <c r="BK22" s="55"/>
    </row>
    <row r="23" spans="2:63" s="56" customFormat="1" ht="15" customHeight="1" x14ac:dyDescent="0.25">
      <c r="B23" s="61"/>
      <c r="AI23" s="60"/>
      <c r="BJ23" s="60"/>
      <c r="BK23" s="55"/>
    </row>
    <row r="24" spans="2:63" s="56" customFormat="1" ht="15" customHeight="1" x14ac:dyDescent="0.25">
      <c r="B24" s="61"/>
      <c r="AI24" s="60"/>
      <c r="BJ24" s="60"/>
      <c r="BK24" s="55"/>
    </row>
    <row r="25" spans="2:63" s="56" customFormat="1" ht="15" customHeight="1" x14ac:dyDescent="0.25">
      <c r="B25" s="61"/>
      <c r="AI25" s="60"/>
      <c r="BJ25" s="60"/>
      <c r="BK25" s="55"/>
    </row>
    <row r="26" spans="2:63" s="56" customFormat="1" ht="15" customHeight="1" x14ac:dyDescent="0.25">
      <c r="B26" s="61"/>
      <c r="AI26" s="60"/>
      <c r="BJ26" s="60"/>
      <c r="BK26" s="55"/>
    </row>
    <row r="27" spans="2:63" s="56" customFormat="1" ht="15" customHeight="1" x14ac:dyDescent="0.25">
      <c r="B27" s="61"/>
      <c r="AI27" s="60"/>
      <c r="BJ27" s="60"/>
      <c r="BK27" s="55"/>
    </row>
    <row r="28" spans="2:63" s="56" customFormat="1" ht="15" customHeight="1" x14ac:dyDescent="0.25">
      <c r="B28" s="61"/>
      <c r="AI28" s="60"/>
      <c r="BJ28" s="60"/>
      <c r="BK28" s="55"/>
    </row>
    <row r="29" spans="2:63" s="56" customFormat="1" ht="15" customHeight="1" x14ac:dyDescent="0.25">
      <c r="B29" s="61"/>
      <c r="AI29" s="60"/>
      <c r="BJ29" s="60"/>
      <c r="BK29" s="55"/>
    </row>
    <row r="30" spans="2:63" s="56" customFormat="1" ht="15" customHeight="1" x14ac:dyDescent="0.25">
      <c r="B30" s="61"/>
      <c r="AI30" s="60"/>
      <c r="BJ30" s="60"/>
      <c r="BK30" s="55"/>
    </row>
    <row r="31" spans="2:63" s="56" customFormat="1" ht="15" customHeight="1" x14ac:dyDescent="0.25">
      <c r="B31" s="61"/>
      <c r="AI31" s="60"/>
      <c r="BJ31" s="60"/>
      <c r="BK31" s="55"/>
    </row>
    <row r="32" spans="2:63" s="56" customFormat="1" ht="15" customHeight="1" x14ac:dyDescent="0.25">
      <c r="B32" s="61"/>
      <c r="AI32" s="60"/>
      <c r="BJ32" s="60"/>
      <c r="BK32" s="55"/>
    </row>
    <row r="33" spans="2:63" s="56" customFormat="1" ht="15" customHeight="1" x14ac:dyDescent="0.25">
      <c r="B33" s="61"/>
      <c r="AI33" s="60"/>
      <c r="BJ33" s="60"/>
      <c r="BK33" s="55"/>
    </row>
    <row r="34" spans="2:63" s="56" customFormat="1" ht="15" customHeight="1" x14ac:dyDescent="0.25">
      <c r="B34" s="61"/>
      <c r="AI34" s="60"/>
      <c r="BJ34" s="60"/>
      <c r="BK34" s="55"/>
    </row>
    <row r="35" spans="2:63" s="56" customFormat="1" ht="15" customHeight="1" x14ac:dyDescent="0.25">
      <c r="B35" s="61"/>
      <c r="AI35" s="60"/>
      <c r="BJ35" s="60"/>
      <c r="BK35" s="55"/>
    </row>
    <row r="36" spans="2:63" s="56" customFormat="1" ht="15" customHeight="1" x14ac:dyDescent="0.25">
      <c r="B36" s="61"/>
      <c r="AI36" s="60"/>
      <c r="BJ36" s="60"/>
      <c r="BK36" s="55"/>
    </row>
    <row r="37" spans="2:63" s="56" customFormat="1" ht="15" customHeight="1" x14ac:dyDescent="0.25">
      <c r="B37" s="61"/>
      <c r="AI37" s="60"/>
      <c r="BJ37" s="60"/>
      <c r="BK37" s="55"/>
    </row>
    <row r="38" spans="2:63" s="56" customFormat="1" ht="15" customHeight="1" x14ac:dyDescent="0.25">
      <c r="B38" s="61"/>
      <c r="AI38" s="60"/>
      <c r="BJ38" s="60"/>
      <c r="BK38" s="55"/>
    </row>
    <row r="39" spans="2:63" ht="15" customHeight="1" x14ac:dyDescent="0.25">
      <c r="B39" s="9"/>
      <c r="AI39" s="10"/>
      <c r="BJ39" s="10"/>
      <c r="BK39" s="5"/>
    </row>
    <row r="40" spans="2:63" ht="15" customHeight="1" x14ac:dyDescent="0.25">
      <c r="B40" s="9"/>
      <c r="AI40" s="10"/>
      <c r="BJ40" s="10"/>
      <c r="BK40" s="5"/>
    </row>
    <row r="41" spans="2:63" ht="15" customHeight="1" x14ac:dyDescent="0.25">
      <c r="B41" s="9"/>
      <c r="AI41" s="10"/>
      <c r="BJ41" s="10"/>
      <c r="BK41" s="5"/>
    </row>
    <row r="42" spans="2:63" ht="15" customHeight="1" x14ac:dyDescent="0.25">
      <c r="B42" s="9"/>
      <c r="AI42" s="10"/>
      <c r="BJ42" s="10"/>
      <c r="BK42" s="5"/>
    </row>
    <row r="43" spans="2:63" ht="15" customHeight="1" x14ac:dyDescent="0.25">
      <c r="B43" s="9"/>
      <c r="AI43" s="10"/>
      <c r="BJ43" s="10"/>
      <c r="BK43" s="5"/>
    </row>
    <row r="44" spans="2:63" ht="15" customHeight="1" x14ac:dyDescent="0.25">
      <c r="B44" s="9"/>
      <c r="AI44" s="10"/>
      <c r="BJ44" s="10"/>
      <c r="BK44" s="5"/>
    </row>
    <row r="45" spans="2:63" s="56" customFormat="1" ht="15" customHeight="1" x14ac:dyDescent="0.25">
      <c r="B45" s="61"/>
      <c r="AI45" s="60"/>
      <c r="BJ45" s="60"/>
      <c r="BK45" s="55"/>
    </row>
    <row r="46" spans="2:63" s="56" customFormat="1" ht="15" customHeight="1" x14ac:dyDescent="0.25">
      <c r="B46" s="61"/>
      <c r="AI46" s="60"/>
      <c r="BJ46" s="60"/>
      <c r="BK46" s="55"/>
    </row>
    <row r="47" spans="2:63" s="56" customFormat="1" ht="15" customHeight="1" x14ac:dyDescent="0.25">
      <c r="B47" s="61"/>
      <c r="AI47" s="60"/>
      <c r="BJ47" s="60"/>
      <c r="BK47" s="55"/>
    </row>
    <row r="48" spans="2:63" s="56" customFormat="1" ht="15" customHeight="1" x14ac:dyDescent="0.25">
      <c r="B48" s="61"/>
      <c r="AI48" s="60"/>
      <c r="BJ48" s="60"/>
      <c r="BK48" s="55"/>
    </row>
    <row r="49" spans="2:63" s="56" customFormat="1" ht="15" customHeight="1" x14ac:dyDescent="0.25">
      <c r="B49" s="61"/>
      <c r="AI49" s="60"/>
      <c r="BJ49" s="60"/>
      <c r="BK49" s="55"/>
    </row>
    <row r="50" spans="2:63" s="56" customFormat="1" ht="15" customHeight="1" x14ac:dyDescent="0.25">
      <c r="B50" s="61"/>
      <c r="AI50" s="60"/>
      <c r="BJ50" s="60"/>
      <c r="BK50" s="55"/>
    </row>
    <row r="51" spans="2:63" s="56" customFormat="1" ht="15" customHeight="1" x14ac:dyDescent="0.25">
      <c r="B51" s="61"/>
      <c r="AI51" s="60"/>
      <c r="BJ51" s="60"/>
      <c r="BK51" s="55"/>
    </row>
    <row r="52" spans="2:63" s="56" customFormat="1" ht="15" customHeight="1" x14ac:dyDescent="0.25">
      <c r="B52" s="61"/>
      <c r="AI52" s="60"/>
      <c r="BJ52" s="60"/>
      <c r="BK52" s="55"/>
    </row>
    <row r="53" spans="2:63" s="56" customFormat="1" ht="15" customHeight="1" x14ac:dyDescent="0.25">
      <c r="B53" s="61"/>
      <c r="AI53" s="60"/>
      <c r="BJ53" s="60"/>
      <c r="BK53" s="55"/>
    </row>
    <row r="54" spans="2:63" s="56" customFormat="1" ht="15" customHeight="1" x14ac:dyDescent="0.25">
      <c r="B54" s="61"/>
      <c r="AI54" s="60"/>
      <c r="BJ54" s="60"/>
      <c r="BK54" s="55"/>
    </row>
    <row r="55" spans="2:63" s="56" customFormat="1" ht="15" customHeight="1" x14ac:dyDescent="0.25">
      <c r="B55" s="61"/>
      <c r="AI55" s="60"/>
      <c r="BJ55" s="60"/>
      <c r="BK55" s="55"/>
    </row>
    <row r="56" spans="2:63" s="56" customFormat="1" ht="15" customHeight="1" x14ac:dyDescent="0.25">
      <c r="B56" s="61"/>
      <c r="AI56" s="60"/>
      <c r="BJ56" s="60"/>
      <c r="BK56" s="55"/>
    </row>
    <row r="57" spans="2:63" s="56" customFormat="1" ht="15" customHeight="1" x14ac:dyDescent="0.25">
      <c r="B57" s="61"/>
      <c r="AB57" s="56" t="s">
        <v>25</v>
      </c>
      <c r="AI57" s="60"/>
      <c r="BJ57" s="60"/>
      <c r="BK57" s="55"/>
    </row>
    <row r="58" spans="2:63" s="56" customFormat="1" ht="15" customHeight="1" x14ac:dyDescent="0.25">
      <c r="B58" s="61"/>
      <c r="AI58" s="60"/>
      <c r="BJ58" s="60"/>
      <c r="BK58" s="55"/>
    </row>
    <row r="59" spans="2:63" s="56" customFormat="1" ht="15" customHeight="1" x14ac:dyDescent="0.25">
      <c r="B59" s="61"/>
      <c r="AI59" s="60"/>
      <c r="BJ59" s="60"/>
      <c r="BK59" s="55"/>
    </row>
    <row r="60" spans="2:63" s="56" customFormat="1" ht="15" customHeight="1" x14ac:dyDescent="0.25">
      <c r="B60" s="61"/>
      <c r="AI60" s="60"/>
      <c r="BJ60" s="60"/>
      <c r="BK60" s="55"/>
    </row>
    <row r="61" spans="2:63" s="56" customFormat="1" ht="15" customHeight="1" x14ac:dyDescent="0.25">
      <c r="B61" s="61"/>
      <c r="AI61" s="60"/>
      <c r="BJ61" s="60"/>
      <c r="BK61" s="55"/>
    </row>
    <row r="62" spans="2:63" s="56" customFormat="1" ht="15" customHeight="1" x14ac:dyDescent="0.25">
      <c r="B62" s="61"/>
      <c r="AI62" s="60"/>
      <c r="BJ62" s="60"/>
      <c r="BK62" s="55"/>
    </row>
    <row r="63" spans="2:63" s="56" customFormat="1" ht="15" customHeight="1" x14ac:dyDescent="0.25">
      <c r="B63" s="61"/>
      <c r="AI63" s="60"/>
      <c r="BJ63" s="60"/>
      <c r="BK63" s="55"/>
    </row>
    <row r="64" spans="2:63" ht="15" customHeight="1" x14ac:dyDescent="0.25">
      <c r="B64" s="9"/>
      <c r="AI64" s="10"/>
      <c r="BJ64" s="10"/>
      <c r="BK64" s="5"/>
    </row>
    <row r="65" spans="2:63" ht="15" customHeight="1" x14ac:dyDescent="0.25">
      <c r="B65" s="9"/>
      <c r="AI65" s="10"/>
      <c r="BJ65" s="10"/>
      <c r="BK65" s="5"/>
    </row>
    <row r="66" spans="2:63" ht="15" customHeight="1" x14ac:dyDescent="0.25">
      <c r="B66" s="9"/>
      <c r="AI66" s="10"/>
      <c r="BJ66" s="10"/>
      <c r="BK66" s="5"/>
    </row>
    <row r="67" spans="2:63" ht="15" customHeight="1" x14ac:dyDescent="0.25">
      <c r="B67" s="9"/>
      <c r="AI67" s="10"/>
      <c r="BJ67" s="10"/>
      <c r="BK67" s="5"/>
    </row>
    <row r="68" spans="2:63" ht="15" customHeight="1" x14ac:dyDescent="0.25">
      <c r="B68" s="9"/>
      <c r="AI68" s="10"/>
      <c r="BJ68" s="10"/>
      <c r="BK68" s="5"/>
    </row>
    <row r="69" spans="2:63" ht="15" customHeight="1" x14ac:dyDescent="0.25">
      <c r="B69" s="9"/>
      <c r="AI69" s="10"/>
      <c r="BJ69" s="10"/>
      <c r="BK69" s="5"/>
    </row>
    <row r="70" spans="2:63" ht="15" customHeight="1" x14ac:dyDescent="0.25">
      <c r="B70" s="9"/>
      <c r="AI70" s="10"/>
      <c r="BJ70" s="10"/>
      <c r="BK70" s="5"/>
    </row>
    <row r="71" spans="2:63" ht="15" customHeight="1" x14ac:dyDescent="0.25">
      <c r="B71" s="9"/>
      <c r="AI71" s="10"/>
      <c r="BJ71" s="10"/>
      <c r="BK71" s="5"/>
    </row>
    <row r="72" spans="2:63" ht="15" customHeight="1" x14ac:dyDescent="0.25">
      <c r="B72" s="9"/>
      <c r="AI72" s="10"/>
      <c r="BJ72" s="10"/>
      <c r="BK72" s="5"/>
    </row>
    <row r="73" spans="2:63" ht="15" customHeight="1" x14ac:dyDescent="0.25">
      <c r="B73" s="9"/>
      <c r="AI73" s="10"/>
      <c r="BJ73" s="10"/>
      <c r="BK73" s="5"/>
    </row>
    <row r="74" spans="2:63" ht="15" customHeight="1" x14ac:dyDescent="0.25">
      <c r="B74" s="9"/>
      <c r="AI74" s="10"/>
      <c r="BJ74" s="10"/>
      <c r="BK74" s="5"/>
    </row>
    <row r="75" spans="2:63" ht="15" customHeight="1" x14ac:dyDescent="0.25">
      <c r="B75" s="9"/>
      <c r="AI75" s="10"/>
      <c r="BJ75" s="10"/>
      <c r="BK75" s="5"/>
    </row>
    <row r="76" spans="2:63" ht="15" customHeight="1" x14ac:dyDescent="0.25">
      <c r="B76" s="9"/>
      <c r="AI76" s="10"/>
      <c r="BJ76" s="10"/>
      <c r="BK76" s="5"/>
    </row>
    <row r="77" spans="2:63" ht="15" customHeight="1" x14ac:dyDescent="0.25">
      <c r="B77" s="9"/>
      <c r="AI77" s="10"/>
      <c r="BJ77" s="10"/>
      <c r="BK77" s="5"/>
    </row>
    <row r="78" spans="2:63" ht="15" customHeight="1" x14ac:dyDescent="0.25">
      <c r="B78" s="9"/>
      <c r="AI78" s="10"/>
      <c r="BJ78" s="10"/>
      <c r="BK78" s="5"/>
    </row>
    <row r="79" spans="2:63" ht="15" customHeight="1" x14ac:dyDescent="0.25">
      <c r="B79" s="9"/>
      <c r="AI79" s="10"/>
      <c r="BJ79" s="10"/>
      <c r="BK79" s="5"/>
    </row>
    <row r="80" spans="2:63" ht="15" customHeight="1" x14ac:dyDescent="0.25">
      <c r="B80" s="9"/>
      <c r="AI80" s="10"/>
      <c r="BJ80" s="10"/>
      <c r="BK80" s="5"/>
    </row>
    <row r="81" spans="2:63" ht="15" customHeight="1" x14ac:dyDescent="0.25">
      <c r="B81" s="9"/>
      <c r="AI81" s="10"/>
      <c r="BJ81" s="10"/>
      <c r="BK81" s="5"/>
    </row>
    <row r="82" spans="2:63" ht="15" customHeight="1" x14ac:dyDescent="0.25">
      <c r="B82" s="9"/>
      <c r="AI82" s="10"/>
      <c r="BJ82" s="10"/>
      <c r="BK82" s="5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2:63" ht="15" customHeight="1" x14ac:dyDescent="0.25">
      <c r="B97" s="9"/>
      <c r="AI97" s="10"/>
      <c r="BJ97" s="10"/>
      <c r="BK97" s="5"/>
    </row>
    <row r="98" spans="2:63" ht="15" customHeight="1" x14ac:dyDescent="0.25">
      <c r="B98" s="9"/>
      <c r="AI98" s="10"/>
      <c r="BJ98" s="10"/>
      <c r="BK98" s="5"/>
    </row>
    <row r="99" spans="2:63" ht="15" customHeight="1" x14ac:dyDescent="0.25">
      <c r="B99" s="9"/>
      <c r="AI99" s="10"/>
      <c r="BJ99" s="10"/>
      <c r="BK99" s="5"/>
    </row>
    <row r="100" spans="2:63" ht="15" customHeight="1" x14ac:dyDescent="0.25">
      <c r="B100" s="9"/>
      <c r="AI100" s="10"/>
      <c r="BJ100" s="10"/>
      <c r="BK100" s="5"/>
    </row>
    <row r="101" spans="2:63" ht="15" customHeight="1" x14ac:dyDescent="0.25">
      <c r="B101" s="9"/>
      <c r="AI101" s="10"/>
      <c r="BJ101" s="10"/>
      <c r="BK101" s="5"/>
    </row>
    <row r="102" spans="2:63" ht="15" customHeight="1" x14ac:dyDescent="0.25">
      <c r="B102" s="9"/>
      <c r="AI102" s="10"/>
      <c r="BJ102" s="10"/>
      <c r="BK102" s="5"/>
    </row>
    <row r="103" spans="2:63" ht="15" customHeight="1" x14ac:dyDescent="0.25">
      <c r="B103" s="9"/>
      <c r="AI103" s="10"/>
      <c r="BJ103" s="10"/>
      <c r="BK103" s="5"/>
    </row>
    <row r="104" spans="2:63" ht="15" customHeight="1" x14ac:dyDescent="0.25">
      <c r="B104" s="9"/>
      <c r="AI104" s="10"/>
      <c r="BJ104" s="10"/>
      <c r="BK104" s="5"/>
    </row>
    <row r="105" spans="2:63" ht="15" customHeight="1" x14ac:dyDescent="0.25">
      <c r="B105" s="9"/>
      <c r="AI105" s="10"/>
      <c r="BJ105" s="10"/>
      <c r="BK105" s="5"/>
    </row>
    <row r="106" spans="2:63" ht="15" customHeight="1" x14ac:dyDescent="0.25">
      <c r="B106" s="9"/>
      <c r="AI106" s="10"/>
      <c r="BJ106" s="10"/>
      <c r="BK106" s="5"/>
    </row>
    <row r="107" spans="2:63" ht="15" customHeight="1" x14ac:dyDescent="0.25">
      <c r="B107" s="9"/>
      <c r="AI107" s="10"/>
      <c r="BJ107" s="10"/>
      <c r="BK107" s="5"/>
    </row>
    <row r="108" spans="2:63" ht="15" customHeight="1" x14ac:dyDescent="0.25">
      <c r="B108" s="9"/>
      <c r="AI108" s="10"/>
      <c r="BJ108" s="10"/>
      <c r="BK108" s="5"/>
    </row>
    <row r="109" spans="2:63" ht="15" customHeight="1" x14ac:dyDescent="0.25">
      <c r="B109" s="9"/>
      <c r="AI109" s="10"/>
      <c r="BJ109" s="10"/>
      <c r="BK109" s="5"/>
    </row>
    <row r="110" spans="2:63" ht="15" customHeight="1" x14ac:dyDescent="0.25">
      <c r="B110" s="9"/>
      <c r="AI110" s="10"/>
      <c r="BJ110" s="10"/>
      <c r="BK110" s="5"/>
    </row>
    <row r="111" spans="2:63" ht="15" customHeight="1" x14ac:dyDescent="0.25">
      <c r="B111" s="9"/>
      <c r="AI111" s="10"/>
      <c r="BJ111" s="10"/>
      <c r="BK111" s="5"/>
    </row>
    <row r="112" spans="2:63" ht="15" customHeight="1" x14ac:dyDescent="0.25">
      <c r="B112" s="9"/>
      <c r="AI112" s="10"/>
      <c r="BJ112" s="10"/>
      <c r="BK112" s="5"/>
    </row>
    <row r="113" spans="2:63" ht="15" customHeight="1" x14ac:dyDescent="0.25">
      <c r="B113" s="9"/>
      <c r="AI113" s="10"/>
      <c r="BJ113" s="10"/>
      <c r="BK113" s="5"/>
    </row>
    <row r="114" spans="2:63" ht="15" customHeight="1" x14ac:dyDescent="0.25">
      <c r="B114" s="9"/>
      <c r="AI114" s="10"/>
      <c r="BJ114" s="10"/>
      <c r="BK114" s="5"/>
    </row>
    <row r="115" spans="2:63" ht="15" customHeight="1" x14ac:dyDescent="0.25">
      <c r="B115" s="9"/>
      <c r="AI115" s="10"/>
      <c r="BJ115" s="10"/>
      <c r="BK115" s="5"/>
    </row>
    <row r="116" spans="2:63" ht="15" customHeight="1" x14ac:dyDescent="0.25">
      <c r="B116" s="9"/>
      <c r="AI116" s="10"/>
      <c r="BJ116" s="10"/>
      <c r="BK116" s="5"/>
    </row>
    <row r="117" spans="2:63" ht="15" customHeight="1" x14ac:dyDescent="0.25">
      <c r="B117" s="9"/>
      <c r="AI117" s="10"/>
      <c r="BJ117" s="10"/>
      <c r="BK117" s="5"/>
    </row>
    <row r="118" spans="2:63" ht="15" customHeight="1" x14ac:dyDescent="0.25">
      <c r="B118" s="9"/>
      <c r="AI118" s="10"/>
      <c r="BJ118" s="10"/>
      <c r="BK118" s="5"/>
    </row>
    <row r="119" spans="2:63" ht="15" customHeight="1" x14ac:dyDescent="0.25">
      <c r="B119" s="9"/>
      <c r="AI119" s="10"/>
      <c r="BJ119" s="10"/>
      <c r="BK119" s="5"/>
    </row>
    <row r="120" spans="2:63" ht="15" customHeight="1" x14ac:dyDescent="0.25">
      <c r="B120" s="9"/>
      <c r="AI120" s="10"/>
      <c r="BJ120" s="10"/>
      <c r="BK120" s="5"/>
    </row>
    <row r="121" spans="2:63" ht="15" customHeight="1" x14ac:dyDescent="0.25">
      <c r="B121" s="9"/>
      <c r="AI121" s="10"/>
      <c r="BJ121" s="10"/>
      <c r="BK121" s="5"/>
    </row>
    <row r="122" spans="2:63" ht="15" customHeight="1" x14ac:dyDescent="0.25">
      <c r="B122" s="9"/>
      <c r="AI122" s="10"/>
      <c r="BJ122" s="10"/>
      <c r="BK122" s="5"/>
    </row>
    <row r="123" spans="2:63" ht="15" customHeight="1" x14ac:dyDescent="0.25">
      <c r="B123" s="9"/>
      <c r="AI123" s="10"/>
      <c r="BJ123" s="10"/>
      <c r="BK123" s="5"/>
    </row>
    <row r="124" spans="2:63" ht="15" customHeight="1" x14ac:dyDescent="0.25">
      <c r="B124" s="9"/>
      <c r="AI124" s="10"/>
      <c r="BJ124" s="10"/>
      <c r="BK124" s="5"/>
    </row>
    <row r="125" spans="2:63" ht="15" customHeight="1" x14ac:dyDescent="0.25">
      <c r="B125" s="9"/>
      <c r="AI125" s="10"/>
      <c r="BJ125" s="10"/>
      <c r="BK125" s="5"/>
    </row>
    <row r="126" spans="2:63" ht="15" customHeight="1" x14ac:dyDescent="0.25">
      <c r="B126" s="9"/>
      <c r="AI126" s="10"/>
      <c r="BJ126" s="10"/>
      <c r="BK126" s="5"/>
    </row>
    <row r="127" spans="2:63" ht="15" customHeight="1" x14ac:dyDescent="0.25">
      <c r="B127" s="9"/>
      <c r="AI127" s="10"/>
      <c r="BJ127" s="10"/>
      <c r="BK127" s="5"/>
    </row>
    <row r="128" spans="2:63" ht="15" customHeight="1" x14ac:dyDescent="0.25">
      <c r="B128" s="9"/>
      <c r="AI128" s="10"/>
      <c r="BJ128" s="10"/>
      <c r="BK128" s="5"/>
    </row>
    <row r="129" spans="2:63" ht="15" customHeight="1" x14ac:dyDescent="0.25">
      <c r="B129" s="9"/>
      <c r="AI129" s="10"/>
      <c r="BJ129" s="10"/>
      <c r="BK129" s="5"/>
    </row>
    <row r="130" spans="2:63" ht="15" customHeight="1" x14ac:dyDescent="0.25">
      <c r="B130" s="9"/>
      <c r="AI130" s="10"/>
      <c r="BJ130" s="10"/>
      <c r="BK130" s="5"/>
    </row>
    <row r="131" spans="2:63" ht="15" customHeight="1" x14ac:dyDescent="0.25">
      <c r="B131" s="9"/>
      <c r="AI131" s="10"/>
      <c r="BJ131" s="10"/>
      <c r="BK131" s="5"/>
    </row>
    <row r="132" spans="2:63" ht="15" customHeight="1" x14ac:dyDescent="0.25">
      <c r="B132" s="9"/>
      <c r="AI132" s="10"/>
      <c r="BJ132" s="10"/>
      <c r="BK132" s="5"/>
    </row>
    <row r="133" spans="2:63" ht="15" customHeight="1" x14ac:dyDescent="0.25">
      <c r="B133" s="9"/>
      <c r="AI133" s="10"/>
      <c r="BJ133" s="10"/>
      <c r="BK133" s="5"/>
    </row>
    <row r="134" spans="2:63" ht="15" customHeight="1" x14ac:dyDescent="0.25">
      <c r="B134" s="9"/>
      <c r="AI134" s="10"/>
      <c r="BJ134" s="10"/>
      <c r="BK134" s="5"/>
    </row>
    <row r="135" spans="2:63" ht="15" customHeight="1" x14ac:dyDescent="0.25">
      <c r="B135" s="9"/>
      <c r="AI135" s="10"/>
      <c r="BJ135" s="10"/>
      <c r="BK135" s="5"/>
    </row>
    <row r="136" spans="2:63" ht="15" customHeight="1" x14ac:dyDescent="0.25">
      <c r="B136" s="9"/>
      <c r="AI136" s="10"/>
      <c r="BJ136" s="10"/>
      <c r="BK136" s="5"/>
    </row>
    <row r="137" spans="2:63" ht="15" customHeight="1" x14ac:dyDescent="0.25">
      <c r="B137" s="9"/>
      <c r="AI137" s="10"/>
      <c r="BJ137" s="10"/>
      <c r="BK137" s="5"/>
    </row>
    <row r="138" spans="2:63" ht="15" customHeight="1" x14ac:dyDescent="0.25">
      <c r="B138" s="9"/>
      <c r="AI138" s="10"/>
      <c r="BJ138" s="10"/>
      <c r="BK138" s="5"/>
    </row>
    <row r="139" spans="2:63" ht="15" customHeight="1" x14ac:dyDescent="0.25">
      <c r="B139" s="9"/>
      <c r="AI139" s="10"/>
      <c r="BJ139" s="10"/>
      <c r="BK139" s="5"/>
    </row>
    <row r="140" spans="2:63" ht="15" customHeight="1" x14ac:dyDescent="0.25">
      <c r="B140" s="9"/>
      <c r="AI140" s="10"/>
      <c r="BJ140" s="10"/>
      <c r="BK140" s="5"/>
    </row>
    <row r="141" spans="2:63" ht="15" customHeight="1" x14ac:dyDescent="0.25">
      <c r="B141" s="9"/>
      <c r="AI141" s="10"/>
      <c r="BJ141" s="10"/>
      <c r="BK141" s="5"/>
    </row>
    <row r="142" spans="2:63" ht="15" customHeight="1" x14ac:dyDescent="0.25">
      <c r="B142" s="9"/>
      <c r="AI142" s="10"/>
      <c r="BJ142" s="10"/>
      <c r="BK142" s="5"/>
    </row>
    <row r="143" spans="2:63" ht="15" customHeight="1" x14ac:dyDescent="0.25">
      <c r="B143" s="9"/>
      <c r="AI143" s="10"/>
      <c r="BJ143" s="10"/>
      <c r="BK143" s="5"/>
    </row>
    <row r="144" spans="2:63" ht="15" customHeight="1" x14ac:dyDescent="0.25">
      <c r="B144" s="9"/>
      <c r="AI144" s="10"/>
      <c r="BJ144" s="10"/>
      <c r="BK144" s="5"/>
    </row>
    <row r="145" spans="2:63" ht="15" customHeight="1" x14ac:dyDescent="0.25">
      <c r="B145" s="9"/>
      <c r="AI145" s="10"/>
      <c r="BJ145" s="10"/>
      <c r="BK145" s="5"/>
    </row>
    <row r="146" spans="2:63" ht="15" customHeight="1" x14ac:dyDescent="0.25">
      <c r="B146" s="9"/>
      <c r="AI146" s="10"/>
      <c r="BJ146" s="10"/>
      <c r="BK146" s="5"/>
    </row>
    <row r="147" spans="2:63" ht="15" customHeight="1" x14ac:dyDescent="0.25">
      <c r="B147" s="9"/>
      <c r="AI147" s="10"/>
      <c r="BJ147" s="10"/>
      <c r="BK147" s="5"/>
    </row>
    <row r="148" spans="2:63" ht="15" customHeight="1" x14ac:dyDescent="0.25">
      <c r="B148" s="9"/>
      <c r="AI148" s="10"/>
      <c r="BJ148" s="10"/>
      <c r="BK148" s="5"/>
    </row>
    <row r="149" spans="2:63" ht="15" customHeight="1" x14ac:dyDescent="0.25">
      <c r="B149" s="9"/>
      <c r="AI149" s="10"/>
      <c r="BJ149" s="10"/>
      <c r="BK149" s="5"/>
    </row>
    <row r="150" spans="2:63" ht="15" customHeight="1" x14ac:dyDescent="0.25">
      <c r="B150" s="9"/>
      <c r="AI150" s="10"/>
      <c r="BJ150" s="10"/>
      <c r="BK150" s="5"/>
    </row>
    <row r="151" spans="2:63" ht="15" customHeight="1" x14ac:dyDescent="0.25">
      <c r="B151" s="9"/>
      <c r="AI151" s="10"/>
      <c r="BJ151" s="10"/>
      <c r="BK151" s="5"/>
    </row>
    <row r="152" spans="2:63" ht="15" customHeight="1" x14ac:dyDescent="0.25">
      <c r="B152" s="9"/>
      <c r="AI152" s="10"/>
      <c r="BJ152" s="10"/>
      <c r="BK152" s="5"/>
    </row>
    <row r="153" spans="2:63" ht="15" customHeight="1" x14ac:dyDescent="0.25">
      <c r="B153" s="9"/>
      <c r="AI153" s="10"/>
      <c r="BJ153" s="10"/>
      <c r="BK153" s="5"/>
    </row>
    <row r="154" spans="2:63" ht="15" customHeight="1" x14ac:dyDescent="0.25">
      <c r="B154" s="9"/>
      <c r="AI154" s="10"/>
      <c r="BJ154" s="10"/>
      <c r="BK154" s="5"/>
    </row>
    <row r="155" spans="2:63" ht="15" customHeight="1" x14ac:dyDescent="0.25">
      <c r="B155" s="9"/>
      <c r="AI155" s="10"/>
      <c r="BJ155" s="10"/>
      <c r="BK155" s="5"/>
    </row>
    <row r="156" spans="2:63" ht="15" customHeight="1" x14ac:dyDescent="0.25">
      <c r="B156" s="9"/>
      <c r="AI156" s="10"/>
      <c r="BJ156" s="10"/>
      <c r="BK156" s="5"/>
    </row>
    <row r="157" spans="2:63" ht="15" customHeight="1" x14ac:dyDescent="0.25">
      <c r="B157" s="9"/>
      <c r="AI157" s="10"/>
      <c r="BJ157" s="10"/>
      <c r="BK157" s="5"/>
    </row>
    <row r="158" spans="2:63" ht="15" customHeight="1" x14ac:dyDescent="0.25">
      <c r="B158" s="9"/>
      <c r="AI158" s="10"/>
      <c r="BJ158" s="10"/>
      <c r="BK158" s="5"/>
    </row>
    <row r="159" spans="2:63" ht="15" customHeight="1" x14ac:dyDescent="0.25">
      <c r="B159" s="9"/>
      <c r="AI159" s="10"/>
      <c r="BJ159" s="10"/>
      <c r="BK159" s="5"/>
    </row>
    <row r="160" spans="2:63" ht="15" customHeight="1" x14ac:dyDescent="0.25">
      <c r="B160" s="9"/>
      <c r="AI160" s="10"/>
      <c r="BJ160" s="10"/>
      <c r="BK160" s="5"/>
    </row>
    <row r="161" spans="2:63" ht="15" customHeight="1" x14ac:dyDescent="0.25">
      <c r="B161" s="9"/>
      <c r="AI161" s="10"/>
      <c r="BJ161" s="10"/>
      <c r="BK161" s="5"/>
    </row>
    <row r="162" spans="2:63" ht="15" customHeight="1" x14ac:dyDescent="0.25">
      <c r="B162" s="9"/>
      <c r="AI162" s="10"/>
      <c r="BJ162" s="10"/>
      <c r="BK162" s="5"/>
    </row>
    <row r="163" spans="2:63" ht="15" customHeight="1" x14ac:dyDescent="0.25">
      <c r="B163" s="9"/>
      <c r="AI163" s="10"/>
      <c r="BJ163" s="10"/>
      <c r="BK163" s="5"/>
    </row>
    <row r="164" spans="2:63" ht="15" customHeight="1" x14ac:dyDescent="0.25">
      <c r="B164" s="9"/>
      <c r="AI164" s="10"/>
      <c r="BJ164" s="10"/>
      <c r="BK164" s="5"/>
    </row>
    <row r="165" spans="2:63" ht="15" customHeight="1" x14ac:dyDescent="0.25">
      <c r="B165" s="9"/>
      <c r="AI165" s="10"/>
      <c r="BJ165" s="10"/>
      <c r="BK165" s="5"/>
    </row>
    <row r="166" spans="2:63" ht="15" customHeight="1" x14ac:dyDescent="0.25">
      <c r="B166" s="9"/>
      <c r="AI166" s="10"/>
      <c r="BJ166" s="10"/>
      <c r="BK166" s="5"/>
    </row>
    <row r="167" spans="2:63" ht="15" customHeight="1" x14ac:dyDescent="0.25">
      <c r="B167" s="9"/>
      <c r="AI167" s="10"/>
      <c r="BJ167" s="10"/>
      <c r="BK167" s="5"/>
    </row>
    <row r="168" spans="2:63" ht="15" customHeight="1" x14ac:dyDescent="0.25">
      <c r="B168" s="9"/>
      <c r="AI168" s="10"/>
      <c r="BJ168" s="10"/>
      <c r="BK168" s="5"/>
    </row>
    <row r="169" spans="2:63" ht="15" customHeight="1" x14ac:dyDescent="0.25">
      <c r="B169" s="9"/>
      <c r="AI169" s="10"/>
      <c r="BJ169" s="10"/>
      <c r="BK169" s="5"/>
    </row>
    <row r="170" spans="2:63" ht="15" customHeight="1" x14ac:dyDescent="0.25">
      <c r="B170" s="9"/>
      <c r="AI170" s="10"/>
      <c r="BJ170" s="10"/>
      <c r="BK170" s="5"/>
    </row>
    <row r="171" spans="2:63" ht="15" customHeight="1" x14ac:dyDescent="0.25">
      <c r="B171" s="9"/>
      <c r="AI171" s="10"/>
      <c r="BJ171" s="10"/>
      <c r="BK171" s="5"/>
    </row>
    <row r="172" spans="2:63" ht="15" customHeight="1" x14ac:dyDescent="0.25">
      <c r="B172" s="9"/>
      <c r="AI172" s="10"/>
      <c r="BJ172" s="10"/>
      <c r="BK172" s="5"/>
    </row>
    <row r="173" spans="2:63" ht="15" customHeight="1" x14ac:dyDescent="0.25">
      <c r="B173" s="9"/>
      <c r="AI173" s="10"/>
      <c r="BJ173" s="10"/>
      <c r="BK173" s="5"/>
    </row>
    <row r="174" spans="2:63" ht="15" customHeight="1" x14ac:dyDescent="0.25">
      <c r="B174" s="9"/>
      <c r="AI174" s="10"/>
      <c r="BJ174" s="10"/>
      <c r="BK174" s="5"/>
    </row>
    <row r="175" spans="2:63" ht="15" customHeight="1" x14ac:dyDescent="0.25">
      <c r="B175" s="9"/>
      <c r="AI175" s="10"/>
      <c r="BJ175" s="10"/>
      <c r="BK175" s="5"/>
    </row>
    <row r="176" spans="2:63" ht="15" customHeight="1" x14ac:dyDescent="0.25">
      <c r="B176" s="9"/>
      <c r="AI176" s="10"/>
      <c r="BJ176" s="10"/>
      <c r="BK176" s="5"/>
    </row>
    <row r="177" spans="2:63" ht="15" customHeight="1" x14ac:dyDescent="0.25">
      <c r="B177" s="9"/>
      <c r="AI177" s="10"/>
      <c r="BJ177" s="10"/>
      <c r="BK177" s="5"/>
    </row>
    <row r="178" spans="2:63" ht="15" customHeight="1" x14ac:dyDescent="0.25">
      <c r="B178" s="9"/>
      <c r="AI178" s="10"/>
      <c r="BJ178" s="10"/>
      <c r="BK178" s="5"/>
    </row>
    <row r="179" spans="2:63" ht="15" customHeight="1" x14ac:dyDescent="0.25">
      <c r="B179" s="9"/>
      <c r="AI179" s="10"/>
      <c r="BJ179" s="10"/>
      <c r="BK179" s="5"/>
    </row>
    <row r="180" spans="2:63" ht="15" customHeight="1" x14ac:dyDescent="0.25">
      <c r="B180" s="9"/>
      <c r="AI180" s="10"/>
      <c r="BJ180" s="10"/>
      <c r="BK180" s="5"/>
    </row>
    <row r="181" spans="2:63" ht="15" customHeight="1" x14ac:dyDescent="0.25">
      <c r="B181" s="9"/>
      <c r="AI181" s="10"/>
      <c r="BJ181" s="10"/>
      <c r="BK181" s="5"/>
    </row>
    <row r="182" spans="2:63" ht="15" customHeight="1" x14ac:dyDescent="0.25">
      <c r="B182" s="9"/>
      <c r="AI182" s="10"/>
      <c r="BJ182" s="10"/>
      <c r="BK182" s="5"/>
    </row>
    <row r="183" spans="2:63" ht="15" customHeight="1" x14ac:dyDescent="0.25">
      <c r="B183" s="9"/>
      <c r="AI183" s="10"/>
      <c r="BJ183" s="10"/>
      <c r="BK183" s="5"/>
    </row>
    <row r="184" spans="2:63" ht="15" customHeight="1" x14ac:dyDescent="0.25">
      <c r="B184" s="9"/>
      <c r="AI184" s="10"/>
      <c r="BJ184" s="10"/>
      <c r="BK184" s="5"/>
    </row>
    <row r="185" spans="2:63" ht="15" customHeight="1" x14ac:dyDescent="0.25">
      <c r="B185" s="9"/>
      <c r="AI185" s="10"/>
      <c r="BJ185" s="10"/>
      <c r="BK185" s="5"/>
    </row>
    <row r="186" spans="2:63" ht="15" customHeight="1" x14ac:dyDescent="0.25">
      <c r="B186" s="9"/>
      <c r="AI186" s="10"/>
      <c r="BJ186" s="10"/>
      <c r="BK186" s="5"/>
    </row>
    <row r="187" spans="2:63" ht="15" customHeight="1" x14ac:dyDescent="0.25">
      <c r="B187" s="9"/>
      <c r="AI187" s="10"/>
      <c r="BJ187" s="10"/>
      <c r="BK187" s="5"/>
    </row>
    <row r="188" spans="2:63" ht="15" customHeight="1" x14ac:dyDescent="0.25">
      <c r="B188" s="9"/>
      <c r="AI188" s="10"/>
      <c r="BJ188" s="10"/>
      <c r="BK188" s="5"/>
    </row>
    <row r="189" spans="2:63" ht="15" customHeight="1" x14ac:dyDescent="0.25">
      <c r="B189" s="9"/>
      <c r="AI189" s="10"/>
      <c r="BJ189" s="10"/>
      <c r="BK189" s="5"/>
    </row>
    <row r="190" spans="2:63" ht="15" customHeight="1" x14ac:dyDescent="0.25">
      <c r="B190" s="9"/>
      <c r="AI190" s="10"/>
      <c r="BJ190" s="10"/>
      <c r="BK190" s="5"/>
    </row>
    <row r="191" spans="2:63" ht="15" customHeight="1" x14ac:dyDescent="0.25">
      <c r="B191" s="9"/>
      <c r="AI191" s="10"/>
      <c r="BJ191" s="10"/>
      <c r="BK191" s="5"/>
    </row>
    <row r="192" spans="2:63" ht="15" customHeight="1" x14ac:dyDescent="0.25">
      <c r="B192" s="9"/>
      <c r="AI192" s="10"/>
      <c r="BJ192" s="10"/>
      <c r="BK192" s="5"/>
    </row>
    <row r="193" spans="2:63" ht="15" customHeight="1" x14ac:dyDescent="0.25">
      <c r="B193" s="9"/>
      <c r="AI193" s="10"/>
      <c r="BJ193" s="10"/>
      <c r="BK193" s="5"/>
    </row>
    <row r="194" spans="2:63" ht="15" customHeight="1" x14ac:dyDescent="0.25">
      <c r="B194" s="9"/>
      <c r="AI194" s="10"/>
      <c r="BJ194" s="10"/>
      <c r="BK194" s="5"/>
    </row>
    <row r="195" spans="2:63" ht="15" customHeight="1" x14ac:dyDescent="0.25">
      <c r="B195" s="9"/>
      <c r="AI195" s="10"/>
      <c r="BJ195" s="10"/>
      <c r="BK195" s="5"/>
    </row>
    <row r="196" spans="2:63" ht="15" customHeight="1" x14ac:dyDescent="0.25">
      <c r="B196" s="9"/>
      <c r="AI196" s="10"/>
      <c r="BJ196" s="10"/>
      <c r="BK196" s="5"/>
    </row>
    <row r="197" spans="2:63" ht="15" customHeight="1" x14ac:dyDescent="0.25">
      <c r="B197" s="9"/>
      <c r="AI197" s="10"/>
      <c r="BJ197" s="10"/>
      <c r="BK197" s="5"/>
    </row>
    <row r="198" spans="2:63" ht="15" customHeight="1" x14ac:dyDescent="0.25">
      <c r="B198" s="9"/>
      <c r="AI198" s="10"/>
      <c r="BJ198" s="10"/>
      <c r="BK198" s="5"/>
    </row>
    <row r="199" spans="2:63" ht="15" customHeight="1" x14ac:dyDescent="0.25">
      <c r="B199" s="9"/>
      <c r="AI199" s="10"/>
      <c r="BJ199" s="10"/>
      <c r="BK199" s="5"/>
    </row>
    <row r="200" spans="2:63" ht="15" customHeight="1" x14ac:dyDescent="0.25">
      <c r="B200" s="9"/>
      <c r="AI200" s="10"/>
      <c r="BJ200" s="10"/>
      <c r="BK200" s="5"/>
    </row>
    <row r="201" spans="2:63" ht="15" customHeight="1" x14ac:dyDescent="0.25">
      <c r="B201" s="9"/>
      <c r="AI201" s="10"/>
      <c r="BJ201" s="10"/>
      <c r="BK201" s="5"/>
    </row>
    <row r="202" spans="2:63" ht="15" customHeight="1" x14ac:dyDescent="0.25">
      <c r="B202" s="9"/>
      <c r="AI202" s="10"/>
      <c r="BJ202" s="10"/>
      <c r="BK202" s="5"/>
    </row>
    <row r="203" spans="2:63" ht="15" customHeight="1" x14ac:dyDescent="0.25">
      <c r="B203" s="9"/>
      <c r="AI203" s="10"/>
      <c r="BJ203" s="10"/>
      <c r="BK203" s="5"/>
    </row>
    <row r="204" spans="2:63" ht="15" customHeight="1" x14ac:dyDescent="0.25">
      <c r="B204" s="9"/>
      <c r="AI204" s="10"/>
      <c r="BJ204" s="10"/>
      <c r="BK204" s="5"/>
    </row>
    <row r="205" spans="2:63" ht="15" customHeight="1" x14ac:dyDescent="0.25">
      <c r="B205" s="9"/>
      <c r="AI205" s="10"/>
      <c r="BJ205" s="10"/>
      <c r="BK205" s="5"/>
    </row>
    <row r="206" spans="2:63" ht="15" customHeight="1" x14ac:dyDescent="0.25">
      <c r="B206" s="9"/>
      <c r="AI206" s="10"/>
      <c r="BJ206" s="10"/>
      <c r="BK206" s="5"/>
    </row>
    <row r="207" spans="2:63" ht="15" customHeight="1" x14ac:dyDescent="0.25">
      <c r="B207" s="9"/>
      <c r="AI207" s="10"/>
      <c r="BJ207" s="10"/>
      <c r="BK207" s="5"/>
    </row>
    <row r="208" spans="2:63" ht="15" customHeight="1" x14ac:dyDescent="0.25">
      <c r="B208" s="9"/>
      <c r="AI208" s="10"/>
      <c r="BJ208" s="10"/>
      <c r="BK208" s="5"/>
    </row>
    <row r="209" spans="2:63" ht="15" customHeight="1" x14ac:dyDescent="0.25">
      <c r="B209" s="9"/>
      <c r="AI209" s="10"/>
      <c r="BJ209" s="10"/>
      <c r="BK209" s="5"/>
    </row>
    <row r="210" spans="2:63" ht="15" customHeight="1" x14ac:dyDescent="0.25">
      <c r="B210" s="9"/>
      <c r="AI210" s="10"/>
      <c r="BJ210" s="10"/>
      <c r="BK210" s="5"/>
    </row>
    <row r="211" spans="2:63" ht="15" customHeight="1" x14ac:dyDescent="0.25">
      <c r="B211" s="9"/>
      <c r="AI211" s="10"/>
      <c r="BJ211" s="10"/>
      <c r="BK211" s="5"/>
    </row>
    <row r="212" spans="2:63" ht="15" customHeight="1" x14ac:dyDescent="0.25">
      <c r="B212" s="9"/>
      <c r="AI212" s="10"/>
      <c r="BJ212" s="10"/>
      <c r="BK212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3" t="s">
        <v>30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31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36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62" t="s">
        <v>33</v>
      </c>
      <c r="AQ1" s="63"/>
      <c r="AR1" s="63"/>
      <c r="AS1" s="64"/>
      <c r="AT1" s="62" t="s">
        <v>34</v>
      </c>
      <c r="AU1" s="63"/>
      <c r="AV1" s="63"/>
      <c r="AW1" s="63"/>
      <c r="AX1" s="64"/>
      <c r="AY1" s="62" t="s">
        <v>35</v>
      </c>
      <c r="AZ1" s="63"/>
      <c r="BA1" s="63"/>
      <c r="BB1" s="64"/>
      <c r="BC1" s="62" t="s">
        <v>36</v>
      </c>
      <c r="BD1" s="63"/>
      <c r="BE1" s="63"/>
      <c r="BF1" s="63"/>
      <c r="BG1" s="64"/>
      <c r="BH1" s="62" t="s">
        <v>37</v>
      </c>
      <c r="BI1" s="63"/>
      <c r="BJ1" s="63"/>
      <c r="BK1" s="64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POSサーバー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5" t="str">
        <f>IF(表紙!AP2="","",表紙!AP2)</f>
        <v>DuNT</v>
      </c>
      <c r="AQ2" s="66"/>
      <c r="AR2" s="66"/>
      <c r="AS2" s="67"/>
      <c r="AT2" s="93">
        <f>IF(表紙!AT2="","",表紙!AT2)</f>
        <v>45492</v>
      </c>
      <c r="AU2" s="94"/>
      <c r="AV2" s="94"/>
      <c r="AW2" s="94"/>
      <c r="AX2" s="95"/>
      <c r="AY2" s="65" t="str">
        <f>IF(表紙!AY2="","",表紙!AY2)</f>
        <v>AnhDD</v>
      </c>
      <c r="AZ2" s="66"/>
      <c r="BA2" s="66"/>
      <c r="BB2" s="67"/>
      <c r="BC2" s="93">
        <f>IF(表紙!BC2="","",表紙!BC2)</f>
        <v>45614</v>
      </c>
      <c r="BD2" s="94"/>
      <c r="BE2" s="94"/>
      <c r="BF2" s="94"/>
      <c r="BG2" s="95"/>
      <c r="BH2" s="65">
        <f>IF(表紙!BH2="","",表紙!BH2)</f>
        <v>0.6</v>
      </c>
      <c r="BI2" s="66"/>
      <c r="BJ2" s="66"/>
      <c r="BK2" s="67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68"/>
      <c r="AQ3" s="69"/>
      <c r="AR3" s="69"/>
      <c r="AS3" s="70"/>
      <c r="AT3" s="96"/>
      <c r="AU3" s="97"/>
      <c r="AV3" s="97"/>
      <c r="AW3" s="97"/>
      <c r="AX3" s="98"/>
      <c r="AY3" s="68"/>
      <c r="AZ3" s="69"/>
      <c r="BA3" s="69"/>
      <c r="BB3" s="70"/>
      <c r="BC3" s="96"/>
      <c r="BD3" s="97"/>
      <c r="BE3" s="97"/>
      <c r="BF3" s="97"/>
      <c r="BG3" s="98"/>
      <c r="BH3" s="68"/>
      <c r="BI3" s="69"/>
      <c r="BJ3" s="69"/>
      <c r="BK3" s="70"/>
    </row>
    <row r="4" spans="1:63" ht="24.95" customHeight="1" x14ac:dyDescent="0.25">
      <c r="A4" s="123" t="s">
        <v>39</v>
      </c>
      <c r="B4" s="124"/>
      <c r="C4" s="124"/>
      <c r="D4" s="124"/>
      <c r="E4" s="124"/>
      <c r="F4" s="124"/>
      <c r="G4" s="125"/>
      <c r="H4" s="126" t="str">
        <f>IF(表紙!H4="","",表紙!H4)</f>
        <v>AP7105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40</v>
      </c>
      <c r="V4" s="124"/>
      <c r="W4" s="124"/>
      <c r="X4" s="124"/>
      <c r="Y4" s="125"/>
      <c r="Z4" s="126" t="str">
        <f>IF(表紙!Z4="","",表紙!Z4)</f>
        <v>API設計書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9" t="str">
        <f ca="1">MID(CELL("filename",A1),FIND("]",CELL("filename",A1))+1,255)</f>
        <v>テンプレート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6" customFormat="1" ht="15" customHeight="1" x14ac:dyDescent="0.25">
      <c r="BK7" s="55"/>
    </row>
    <row r="8" spans="1:63" s="56" customFormat="1" ht="15" customHeight="1" x14ac:dyDescent="0.25">
      <c r="BK8" s="55"/>
    </row>
    <row r="9" spans="1:63" s="56" customFormat="1" ht="15" customHeight="1" x14ac:dyDescent="0.25">
      <c r="BK9" s="55"/>
    </row>
    <row r="10" spans="1:63" s="56" customFormat="1" ht="15" customHeight="1" x14ac:dyDescent="0.25">
      <c r="BK10" s="55"/>
    </row>
    <row r="11" spans="1:63" s="56" customFormat="1" ht="15" customHeight="1" x14ac:dyDescent="0.25">
      <c r="BK11" s="55"/>
    </row>
    <row r="12" spans="1:63" s="56" customFormat="1" ht="15" customHeight="1" x14ac:dyDescent="0.25">
      <c r="BK12" s="55"/>
    </row>
    <row r="13" spans="1:63" s="56" customFormat="1" ht="15" customHeight="1" x14ac:dyDescent="0.25">
      <c r="BK13" s="55"/>
    </row>
    <row r="14" spans="1:63" s="56" customFormat="1" ht="15" customHeight="1" x14ac:dyDescent="0.25">
      <c r="BK14" s="55"/>
    </row>
    <row r="15" spans="1:63" s="56" customFormat="1" ht="15" customHeight="1" x14ac:dyDescent="0.25">
      <c r="BK15" s="55"/>
    </row>
    <row r="16" spans="1:63" s="56" customFormat="1" ht="15" customHeight="1" x14ac:dyDescent="0.25">
      <c r="BK16" s="55"/>
    </row>
    <row r="17" spans="63:63" s="56" customFormat="1" ht="15" customHeight="1" x14ac:dyDescent="0.25">
      <c r="BK17" s="55"/>
    </row>
    <row r="18" spans="63:63" s="56" customFormat="1" ht="15" customHeight="1" x14ac:dyDescent="0.25">
      <c r="BK18" s="55"/>
    </row>
    <row r="19" spans="63:63" s="56" customFormat="1" ht="15" customHeight="1" x14ac:dyDescent="0.25">
      <c r="BK19" s="55"/>
    </row>
    <row r="20" spans="63:63" s="56" customFormat="1" ht="15" customHeight="1" x14ac:dyDescent="0.25">
      <c r="BK20" s="55"/>
    </row>
    <row r="21" spans="63:63" s="56" customFormat="1" ht="15" customHeight="1" x14ac:dyDescent="0.25">
      <c r="BK21" s="55"/>
    </row>
    <row r="22" spans="63:63" s="56" customFormat="1" ht="15" customHeight="1" x14ac:dyDescent="0.25">
      <c r="BK22" s="55"/>
    </row>
    <row r="23" spans="63:63" s="56" customFormat="1" ht="15" customHeight="1" x14ac:dyDescent="0.25">
      <c r="BK23" s="55"/>
    </row>
    <row r="24" spans="63:63" s="56" customFormat="1" ht="15" customHeight="1" x14ac:dyDescent="0.25">
      <c r="BK24" s="55"/>
    </row>
    <row r="25" spans="63:63" s="56" customFormat="1" ht="15" customHeight="1" x14ac:dyDescent="0.25">
      <c r="BK25" s="55"/>
    </row>
    <row r="26" spans="63:63" s="56" customFormat="1" ht="15" customHeight="1" x14ac:dyDescent="0.25">
      <c r="BK26" s="55"/>
    </row>
    <row r="27" spans="63:63" s="56" customFormat="1" ht="15" customHeight="1" x14ac:dyDescent="0.25">
      <c r="BK27" s="55"/>
    </row>
    <row r="28" spans="63:63" s="56" customFormat="1" ht="15" customHeight="1" x14ac:dyDescent="0.25">
      <c r="BK28" s="55"/>
    </row>
    <row r="29" spans="63:63" s="56" customFormat="1" ht="15" customHeight="1" x14ac:dyDescent="0.25">
      <c r="BK29" s="55"/>
    </row>
    <row r="30" spans="63:63" s="56" customFormat="1" ht="15" customHeight="1" x14ac:dyDescent="0.25">
      <c r="BK30" s="55"/>
    </row>
    <row r="31" spans="63:63" s="56" customFormat="1" ht="15" customHeight="1" x14ac:dyDescent="0.25">
      <c r="BK31" s="55"/>
    </row>
    <row r="32" spans="63:63" s="56" customFormat="1" ht="15" customHeight="1" x14ac:dyDescent="0.25">
      <c r="BK32" s="55"/>
    </row>
    <row r="33" spans="63:63" s="56" customFormat="1" ht="15" customHeight="1" x14ac:dyDescent="0.25">
      <c r="BK33" s="55"/>
    </row>
    <row r="34" spans="63:63" s="56" customFormat="1" ht="15" customHeight="1" x14ac:dyDescent="0.25">
      <c r="BK34" s="55"/>
    </row>
    <row r="35" spans="63:63" s="56" customFormat="1" ht="15" customHeight="1" x14ac:dyDescent="0.25">
      <c r="BK35" s="55"/>
    </row>
    <row r="36" spans="63:63" s="56" customFormat="1" ht="15" customHeight="1" x14ac:dyDescent="0.25">
      <c r="BK36" s="55"/>
    </row>
    <row r="37" spans="63:63" s="56" customFormat="1" ht="15" customHeight="1" x14ac:dyDescent="0.25">
      <c r="BK37" s="55"/>
    </row>
    <row r="38" spans="63:63" s="56" customFormat="1" ht="15" customHeight="1" x14ac:dyDescent="0.25">
      <c r="BK38" s="55"/>
    </row>
    <row r="39" spans="63:63" s="56" customFormat="1" ht="15" customHeight="1" x14ac:dyDescent="0.25">
      <c r="BK39" s="55"/>
    </row>
    <row r="40" spans="63:63" s="56" customFormat="1" ht="15" customHeight="1" x14ac:dyDescent="0.25">
      <c r="BK40" s="55"/>
    </row>
    <row r="41" spans="63:63" s="56" customFormat="1" ht="15" customHeight="1" x14ac:dyDescent="0.25">
      <c r="BK41" s="55"/>
    </row>
    <row r="42" spans="63:63" s="56" customFormat="1" ht="15" customHeight="1" x14ac:dyDescent="0.25">
      <c r="BK42" s="55"/>
    </row>
    <row r="43" spans="63:63" s="56" customFormat="1" ht="15" customHeight="1" x14ac:dyDescent="0.25">
      <c r="BK43" s="55"/>
    </row>
    <row r="44" spans="63:63" s="56" customFormat="1" ht="15" customHeight="1" x14ac:dyDescent="0.25">
      <c r="BK44" s="55"/>
    </row>
    <row r="45" spans="63:63" s="56" customFormat="1" ht="15" customHeight="1" x14ac:dyDescent="0.25">
      <c r="BK45" s="55"/>
    </row>
    <row r="46" spans="63:63" s="56" customFormat="1" ht="15" customHeight="1" x14ac:dyDescent="0.25">
      <c r="BK46" s="5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AP7105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2024-12-09T07:07:44Z</dcterms:modified>
  <cp:category/>
  <cp:contentStatus/>
</cp:coreProperties>
</file>