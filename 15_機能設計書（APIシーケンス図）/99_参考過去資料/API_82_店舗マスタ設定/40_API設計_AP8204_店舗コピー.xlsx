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82_店舗マスタ設定1\"/>
    </mc:Choice>
  </mc:AlternateContent>
  <xr:revisionPtr revIDLastSave="0" documentId="13_ncr:1_{940A2F9A-39DC-4B3B-985E-B881DBAC968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8204" sheetId="8" r:id="rId4"/>
    <sheet name="処理フロー" sheetId="9" r:id="rId5"/>
    <sheet name="テンプレート" sheetId="7" r:id="rId6"/>
  </sheets>
  <definedNames>
    <definedName name="_xlnm.Print_Area" localSheetId="3">'AP8204'!$A$1:$BK$56</definedName>
    <definedName name="_xlnm.Print_Area" localSheetId="5">テンプレート!$A$1:$BK$54</definedName>
    <definedName name="_xlnm.Print_Area" localSheetId="4">処理フロー!$A$1:$BK$55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P2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BC2" i="3" l="1"/>
  <c r="BC2" i="10"/>
  <c r="BH2" i="8"/>
  <c r="AY2" i="8"/>
  <c r="BC2" i="9"/>
  <c r="AP2" i="7"/>
  <c r="BH2" i="7"/>
  <c r="AY2" i="3"/>
  <c r="AY2" i="10"/>
  <c r="BC2" i="8"/>
  <c r="AP2" i="9"/>
  <c r="BH2" i="9"/>
  <c r="AT2" i="7"/>
  <c r="AY2" i="7"/>
  <c r="AP2" i="3"/>
  <c r="BH2" i="3"/>
</calcChain>
</file>

<file path=xl/sharedStrings.xml><?xml version="1.0" encoding="utf-8"?>
<sst xmlns="http://schemas.openxmlformats.org/spreadsheetml/2006/main" count="196" uniqueCount="90">
  <si>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</si>
  <si>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</si>
  <si>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</si>
  <si>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</si>
  <si>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</si>
  <si>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</si>
  <si>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</si>
  <si>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</si>
  <si>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</si>
  <si>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</si>
  <si>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</si>
  <si>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</si>
  <si>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</si>
  <si>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</si>
  <si>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</si>
  <si>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</si>
  <si>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</si>
  <si>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</si>
  <si>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</si>
  <si>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</si>
  <si>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</si>
  <si>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</si>
  <si>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short_name</t>
    </r>
  </si>
  <si>
    <r>
      <rPr>
        <sz val="11"/>
        <color rgb="FF000000"/>
        <rFont val="Meiryo UI"/>
        <family val="2"/>
      </rPr>
      <t>post_code</t>
    </r>
  </si>
  <si>
    <r>
      <rPr>
        <sz val="11"/>
        <color rgb="FF000000"/>
        <rFont val="Meiryo UI"/>
        <family val="2"/>
      </rPr>
      <t>address</t>
    </r>
  </si>
  <si>
    <r>
      <rPr>
        <sz val="11"/>
        <color rgb="FF000000"/>
        <rFont val="Meiryo UI"/>
        <family val="2"/>
      </rPr>
      <t>phone_number</t>
    </r>
  </si>
  <si>
    <r>
      <rPr>
        <sz val="11"/>
        <color rgb="FF000000"/>
        <rFont val="Meiryo UI"/>
        <family val="2"/>
      </rPr>
      <t>api/v1/stores</t>
    </r>
  </si>
  <si>
    <r>
      <rPr>
        <sz val="11"/>
        <color rgb="FF000000"/>
        <rFont val="Meiryo UI"/>
        <family val="2"/>
      </rPr>
      <t>start_hours</t>
    </r>
  </si>
  <si>
    <r>
      <rPr>
        <sz val="11"/>
        <color rgb="FF000000"/>
        <rFont val="Meiryo UI"/>
        <family val="2"/>
      </rPr>
      <t>end_hours</t>
    </r>
  </si>
  <si>
    <r>
      <rPr>
        <sz val="11"/>
        <color rgb="FF000000"/>
        <rFont val="Meiryo UI"/>
        <family val="2"/>
      </rPr>
      <t>GET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</si>
  <si>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</si>
  <si>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</si>
  <si>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</si>
  <si>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</si>
  <si>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</si>
  <si>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</si>
  <si>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</si>
  <si>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business_type_code</t>
    </r>
  </si>
  <si>
    <r>
      <rPr>
        <sz val="11"/>
        <color rgb="FF000000"/>
        <rFont val="Meiryo UI"/>
        <family val="2"/>
      </rPr>
      <t>default_point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</si>
  <si>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</si>
  <si>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m_store.PhoneNumber</t>
    </r>
  </si>
  <si>
    <r>
      <rPr>
        <sz val="11"/>
        <color rgb="FF000000"/>
        <rFont val="Meiryo UI"/>
        <family val="2"/>
      </rPr>
      <t>m_store.StartHours</t>
    </r>
  </si>
  <si>
    <r>
      <rPr>
        <sz val="11"/>
        <color rgb="FF000000"/>
        <rFont val="Meiryo UI"/>
        <family val="2"/>
      </rPr>
      <t>m_store.EndHours</t>
    </r>
  </si>
  <si>
    <r>
      <rPr>
        <sz val="11"/>
        <color rgb="FF000000"/>
        <rFont val="Meiryo UI"/>
        <family val="2"/>
      </rPr>
      <t>m_store.BusinessTypeCode</t>
    </r>
  </si>
  <si>
    <r>
      <rPr>
        <sz val="11"/>
        <color rgb="FF000000"/>
        <rFont val="Meiryo UI"/>
        <family val="2"/>
      </rPr>
      <t>m_store.DefaultPoint</t>
    </r>
  </si>
  <si>
    <r>
      <rPr>
        <sz val="11"/>
        <color rgb="FF000000"/>
        <rFont val="Meiryo UI"/>
        <family val="2"/>
      </rPr>
      <t>m_store.STORE_CODE</t>
    </r>
  </si>
  <si>
    <r>
      <rPr>
        <sz val="11"/>
        <color rgb="FF000000"/>
        <rFont val="Meiryo UI"/>
        <family val="2"/>
      </rPr>
      <t>m_store.TENNAME</t>
    </r>
  </si>
  <si>
    <r>
      <rPr>
        <sz val="11"/>
        <color rgb="FF000000"/>
        <rFont val="Meiryo UI"/>
        <family val="2"/>
      </rPr>
      <t>m_store.TENSHORTNM</t>
    </r>
  </si>
  <si>
    <r>
      <rPr>
        <sz val="11"/>
        <color rgb="FF000000"/>
        <rFont val="Meiryo UI"/>
        <family val="2"/>
      </rPr>
      <t>m_store.POSTCD</t>
    </r>
  </si>
  <si>
    <r>
      <rPr>
        <sz val="11"/>
        <color rgb="FF000000"/>
        <rFont val="Meiryo UI"/>
        <family val="2"/>
      </rPr>
      <t>m_store.ADDRESS1</t>
    </r>
  </si>
  <si>
    <r>
      <rPr>
        <sz val="11"/>
        <color rgb="FF000000"/>
        <rFont val="Meiryo UI"/>
        <family val="2"/>
      </rPr>
      <t>copy_source</t>
    </r>
  </si>
  <si>
    <r>
      <rPr>
        <sz val="11"/>
        <color rgb="FF000000"/>
        <rFont val="Meiryo UI"/>
        <family val="2"/>
      </rPr>
      <t>AP8204</t>
    </r>
  </si>
  <si>
    <r>
      <rPr>
        <sz val="11"/>
        <color rgb="FF000000"/>
        <rFont val="Meiryo UI"/>
        <family val="2"/>
      </rPr>
      <t>対象店舗とitem_master、promotion (99...で始まる) などの関連データから店舗をコピーする。</t>
    </r>
  </si>
  <si>
    <r>
      <rPr>
        <sz val="11"/>
        <color rgb="FF000000"/>
        <rFont val="Meiryo UI"/>
        <family val="2"/>
      </rPr>
      <t>バリデーションチェック：100000を超えた場合、エラーメッセージ = MSG_VAL_019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</si>
  <si>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</si>
  <si>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</si>
  <si>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</si>
  <si>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</si>
  <si>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</si>
  <si>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</si>
  <si>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</si>
  <si>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</si>
  <si>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</si>
  <si>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</si>
  <si>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</si>
  <si>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</si>
  <si>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</si>
  <si>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</si>
  <si>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</si>
  <si>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</si>
  <si>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</si>
  <si>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</si>
  <si>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</si>
  <si>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</si>
  <si>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</si>
  <si>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</si>
  <si>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</si>
  <si>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sz val="11"/>
        <color rgb="FF000000"/>
        <rFont val="Meiryo UI"/>
        <family val="2"/>
      </rPr>
      <t>・バリデーションチェック：桁数 = 7 。7桁以外の場合、エラーメッセージ = MSG_VAL_028</t>
    </r>
  </si>
  <si>
    <r>
      <rPr>
        <sz val="11"/>
        <color rgb="FF000000"/>
        <rFont val="Meiryo UI"/>
        <family val="2"/>
      </rPr>
      <t>形式: hh:mm。形式が不正な場合、エラーメッセージ = MSG_VAL_019</t>
    </r>
  </si>
  <si>
    <r>
      <rPr>
        <sz val="11"/>
        <color rgb="FF000000"/>
        <rFont val="Meiryo UI"/>
        <family val="2"/>
      </rPr>
      <t>「1」、「 2」、「3」の値のみ入力可能とする。上記以外値の場合、エラーメッセージ= MSG_VAL_019。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</si>
  <si>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</si>
  <si>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</si>
  <si>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</si>
  <si>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・バリデーションチェック：入力必須（エラーメッセージ = MSG_VAL_001）
・バリデーションチェック：数字であること（エラーメッセージ = MSG_VAL_006）
・バリデーションチェック：桁数 &lt;= 10。桁数 &gt; 10の場合、 エラーメッセージ = MSG_VAL_002
・店舗コード重複のバリデーションチェック 重複している場合、エラーメッセージ = MSG_VAL_032</t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</si>
  <si>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・バリデーションチェック：桁数 &lt;= 50。桁数 &gt; 50の場合、 エラーメッセージ = MSG_VAL_002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</si>
  <si>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・バリデーションチェック：桁数 &lt;= 30。桁数 &gt; 30の場合、 エラーメッセージ = MSG_VAL_002</t>
    </r>
  </si>
  <si>
    <r>
      <rPr>
        <sz val="11"/>
        <color rgb="FF000000"/>
        <rFont val="Meiryo UI"/>
        <family val="2"/>
      </rPr>
      <t>・バリデーションチェック：桁数 &lt;= 100。桁数 &gt; 100の場合、 エラーメッセージ = MSG_VAL_002</t>
    </r>
  </si>
  <si>
    <r>
      <rPr>
        <sz val="11"/>
        <color rgb="FF000000"/>
        <rFont val="Meiryo UI"/>
        <family val="2"/>
      </rPr>
      <t>・バリデーションチェック：桁数 &lt;= 13。桁数 &gt; 13の場合、 エラーメッセージ = MSG_VAL_002</t>
    </r>
  </si>
  <si>
    <r>
      <rPr>
        <sz val="11"/>
        <color rgb="FF000000"/>
        <rFont val="Meiryo UI"/>
        <family val="2"/>
      </rPr>
      <t xml:space="preserve">・バリデーションチェック：入力必須（エラーメッセージ = MSG_VAL_001）
・バリデーションチェック：数字であること（エラーメッセージ = MSG_VAL_006）
・バリデーションチェック：桁数 &lt;= 10。桁数 &gt; 10の場合、 エラーメッセージ = MSG_VAL_002
・m_storeテーブルの存在のバリデーションチェック：存在していない場合、エラーメッセージ =  MSG_VAL_019 </t>
    </r>
  </si>
  <si>
    <t>会社800の場合、店舗を作成する時にマスターメッセージのデフォルトレコードを作成する。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</si>
</sst>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name val="Meiryo UI"/>
      <family val="2"/>
    </font>
    <font>
      <sz val="1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8" fillId="0" borderId="0">
      <alignment vertical="center"/>
    </xf>
    <xf numFmtId="0" fontId="2" fillId="0" borderId="0">
      <alignment vertical="center"/>
    </xf>
  </cellStyleXfs>
  <cellXfs count="200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4" borderId="0" xfId="0" applyFont="1" applyFill="1" applyAlignment="1">
      <alignment vertical="center"/>
    </xf>
    <xf numFmtId="0" fontId="13" fillId="0" borderId="0" xfId="0" applyFont="1"/>
    <xf numFmtId="0" fontId="13" fillId="0" borderId="2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1" xfId="0" applyFont="1" applyBorder="1"/>
    <xf numFmtId="0" fontId="13" fillId="0" borderId="4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11" xfId="0" applyFont="1" applyBorder="1"/>
    <xf numFmtId="0" fontId="13" fillId="0" borderId="6" xfId="0" applyFont="1" applyBorder="1"/>
    <xf numFmtId="0" fontId="13" fillId="0" borderId="12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3" xfId="0" applyFont="1" applyBorder="1"/>
    <xf numFmtId="0" fontId="13" fillId="0" borderId="1" xfId="0" applyFont="1" applyBorder="1" applyAlignment="1">
      <alignment vertical="center"/>
    </xf>
    <xf numFmtId="0" fontId="10" fillId="3" borderId="19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21" xfId="0" applyFont="1" applyFill="1" applyBorder="1" applyAlignment="1">
      <alignment vertical="center"/>
    </xf>
    <xf numFmtId="0" fontId="9" fillId="3" borderId="19" xfId="0" applyFont="1" applyFill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6" applyFont="1" applyAlignment="1">
      <alignment vertical="center"/>
    </xf>
    <xf numFmtId="0" fontId="13" fillId="0" borderId="2" xfId="6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16" xfId="6" applyFont="1" applyBorder="1" applyAlignment="1">
      <alignment vertical="center"/>
    </xf>
    <xf numFmtId="0" fontId="13" fillId="0" borderId="17" xfId="6" applyFont="1" applyBorder="1" applyAlignment="1">
      <alignment vertical="center"/>
    </xf>
    <xf numFmtId="0" fontId="13" fillId="0" borderId="18" xfId="6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3" fillId="0" borderId="21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2" fontId="13" fillId="0" borderId="17" xfId="0" applyNumberFormat="1" applyFont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 vertical="center"/>
    </xf>
    <xf numFmtId="14" fontId="13" fillId="0" borderId="17" xfId="0" applyNumberFormat="1" applyFont="1" applyBorder="1" applyAlignment="1">
      <alignment horizontal="center" vertical="center"/>
    </xf>
    <xf numFmtId="14" fontId="13" fillId="0" borderId="18" xfId="0" applyNumberFormat="1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17" xfId="0" applyFont="1" applyBorder="1"/>
    <xf numFmtId="0" fontId="13" fillId="0" borderId="18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16" xfId="0" applyFont="1" applyBorder="1"/>
    <xf numFmtId="0" fontId="13" fillId="0" borderId="2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0" fontId="9" fillId="3" borderId="0" xfId="0" applyFont="1" applyFill="1"/>
    <xf numFmtId="0" fontId="12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9" fillId="3" borderId="23" xfId="6" applyFont="1" applyFill="1" applyBorder="1" applyAlignment="1">
      <alignment horizontal="center" vertical="center"/>
    </xf>
    <xf numFmtId="0" fontId="9" fillId="3" borderId="24" xfId="6" applyFont="1" applyFill="1" applyBorder="1" applyAlignment="1">
      <alignment horizontal="center" vertical="center"/>
    </xf>
    <xf numFmtId="0" fontId="9" fillId="3" borderId="25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/>
    </xf>
    <xf numFmtId="0" fontId="12" fillId="0" borderId="17" xfId="6" applyFont="1" applyBorder="1" applyAlignment="1">
      <alignment horizontal="center" vertical="center"/>
    </xf>
    <xf numFmtId="0" fontId="12" fillId="0" borderId="18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13" fillId="0" borderId="23" xfId="0" quotePrefix="1" applyFont="1" applyBorder="1" applyAlignment="1">
      <alignment horizontal="left" vertical="center"/>
    </xf>
    <xf numFmtId="0" fontId="13" fillId="0" borderId="24" xfId="0" quotePrefix="1" applyFont="1" applyBorder="1" applyAlignment="1">
      <alignment horizontal="left" vertical="center"/>
    </xf>
    <xf numFmtId="0" fontId="13" fillId="0" borderId="25" xfId="0" quotePrefix="1" applyFont="1" applyBorder="1" applyAlignment="1">
      <alignment horizontal="left" vertical="center"/>
    </xf>
    <xf numFmtId="0" fontId="13" fillId="0" borderId="23" xfId="0" quotePrefix="1" applyFont="1" applyBorder="1" applyAlignment="1">
      <alignment horizontal="left" vertical="center" wrapText="1"/>
    </xf>
    <xf numFmtId="20" fontId="13" fillId="0" borderId="23" xfId="0" quotePrefix="1" applyNumberFormat="1" applyFont="1" applyBorder="1" applyAlignment="1">
      <alignment horizontal="left" vertical="center"/>
    </xf>
    <xf numFmtId="0" fontId="13" fillId="5" borderId="23" xfId="0" applyFont="1" applyFill="1" applyBorder="1" applyAlignment="1">
      <alignment horizontal="left" vertical="center"/>
    </xf>
    <xf numFmtId="0" fontId="13" fillId="5" borderId="24" xfId="0" applyFont="1" applyFill="1" applyBorder="1" applyAlignment="1">
      <alignment horizontal="left" vertical="center"/>
    </xf>
    <xf numFmtId="0" fontId="13" fillId="5" borderId="25" xfId="0" applyFont="1" applyFill="1" applyBorder="1" applyAlignment="1">
      <alignment horizontal="left" vertical="center"/>
    </xf>
    <xf numFmtId="0" fontId="13" fillId="0" borderId="23" xfId="0" quotePrefix="1" applyFont="1" applyBorder="1" applyAlignment="1">
      <alignment horizontal="center" vertical="center"/>
    </xf>
    <xf numFmtId="0" fontId="13" fillId="0" borderId="16" xfId="0" quotePrefix="1" applyFont="1" applyBorder="1" applyAlignment="1">
      <alignment horizontal="center" vertical="center"/>
    </xf>
    <xf numFmtId="0" fontId="13" fillId="0" borderId="17" xfId="0" quotePrefix="1" applyFont="1" applyBorder="1" applyAlignment="1">
      <alignment horizontal="center" vertical="center"/>
    </xf>
    <xf numFmtId="0" fontId="13" fillId="0" borderId="18" xfId="0" quotePrefix="1" applyFont="1" applyBorder="1" applyAlignment="1">
      <alignment horizontal="center" vertical="center"/>
    </xf>
    <xf numFmtId="0" fontId="13" fillId="0" borderId="16" xfId="0" quotePrefix="1" applyFont="1" applyBorder="1" applyAlignment="1">
      <alignment horizontal="left" vertical="center"/>
    </xf>
    <xf numFmtId="0" fontId="13" fillId="0" borderId="17" xfId="0" quotePrefix="1" applyFont="1" applyBorder="1" applyAlignment="1">
      <alignment horizontal="left" vertical="center"/>
    </xf>
    <xf numFmtId="0" fontId="13" fillId="0" borderId="18" xfId="0" quotePrefix="1" applyFont="1" applyBorder="1" applyAlignment="1">
      <alignment horizontal="left" vertical="center"/>
    </xf>
    <xf numFmtId="0" fontId="13" fillId="0" borderId="16" xfId="0" applyFont="1" applyBorder="1" applyAlignment="1">
      <alignment horizontal="left" vertical="top"/>
    </xf>
    <xf numFmtId="0" fontId="13" fillId="0" borderId="17" xfId="0" applyFont="1" applyBorder="1" applyAlignment="1">
      <alignment horizontal="left" vertical="top"/>
    </xf>
    <xf numFmtId="0" fontId="13" fillId="0" borderId="18" xfId="0" applyFont="1" applyBorder="1" applyAlignment="1">
      <alignment horizontal="left" vertical="top"/>
    </xf>
    <xf numFmtId="0" fontId="13" fillId="0" borderId="17" xfId="0" quotePrefix="1" applyFont="1" applyBorder="1" applyAlignment="1">
      <alignment horizontal="left" vertical="top" wrapText="1"/>
    </xf>
    <xf numFmtId="0" fontId="13" fillId="0" borderId="18" xfId="0" quotePrefix="1" applyFont="1" applyBorder="1" applyAlignment="1">
      <alignment horizontal="left" vertical="top" wrapText="1"/>
    </xf>
    <xf numFmtId="0" fontId="13" fillId="0" borderId="16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3" fillId="0" borderId="23" xfId="6" applyFont="1" applyBorder="1" applyAlignment="1">
      <alignment horizontal="center" vertical="center"/>
    </xf>
    <xf numFmtId="0" fontId="13" fillId="0" borderId="24" xfId="6" applyFont="1" applyBorder="1" applyAlignment="1">
      <alignment horizontal="center" vertical="center"/>
    </xf>
    <xf numFmtId="0" fontId="13" fillId="0" borderId="25" xfId="6" applyFont="1" applyBorder="1" applyAlignment="1">
      <alignment horizontal="center" vertical="center"/>
    </xf>
    <xf numFmtId="0" fontId="13" fillId="0" borderId="16" xfId="6" applyFont="1" applyBorder="1" applyAlignment="1">
      <alignment horizontal="center" vertical="center"/>
    </xf>
    <xf numFmtId="0" fontId="13" fillId="0" borderId="17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4" fillId="4" borderId="23" xfId="0" quotePrefix="1" applyFont="1" applyFill="1" applyBorder="1" applyAlignment="1">
      <alignment horizontal="left" vertical="center" wrapText="1"/>
    </xf>
    <xf numFmtId="0" fontId="4" fillId="4" borderId="24" xfId="0" quotePrefix="1" applyFont="1" applyFill="1" applyBorder="1" applyAlignment="1">
      <alignment horizontal="left" vertical="center" wrapText="1"/>
    </xf>
    <xf numFmtId="0" fontId="4" fillId="4" borderId="25" xfId="0" quotePrefix="1" applyFont="1" applyFill="1" applyBorder="1" applyAlignment="1">
      <alignment horizontal="left" vertical="center" wrapText="1"/>
    </xf>
    <xf numFmtId="14" fontId="16" fillId="0" borderId="16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6" xfId="0" applyFont="1" applyBorder="1"/>
    <xf numFmtId="0" fontId="16" fillId="0" borderId="27" xfId="0" applyFont="1" applyBorder="1"/>
    <xf numFmtId="0" fontId="16" fillId="0" borderId="28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9" xfId="0" applyFont="1" applyBorder="1"/>
    <xf numFmtId="0" fontId="16" fillId="0" borderId="30" xfId="0" applyFont="1" applyBorder="1"/>
    <xf numFmtId="0" fontId="16" fillId="0" borderId="31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9</xdr:col>
      <xdr:colOff>0</xdr:colOff>
      <xdr:row>24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392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コピーバッチ起動</a:t>
          </a:r>
        </a:p>
      </xdr:txBody>
    </xdr:sp>
    <xdr:clientData/>
  </xdr:twoCellAnchor>
  <xdr:twoCellAnchor>
    <xdr:from>
      <xdr:col>4</xdr:col>
      <xdr:colOff>19976</xdr:colOff>
      <xdr:row>46</xdr:row>
      <xdr:rowOff>0</xdr:rowOff>
    </xdr:from>
    <xdr:to>
      <xdr:col>8</xdr:col>
      <xdr:colOff>488</xdr:colOff>
      <xdr:row>47</xdr:row>
      <xdr:rowOff>190499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085850" y="8877300"/>
          <a:ext cx="10477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24849</xdr:colOff>
      <xdr:row>35</xdr:row>
      <xdr:rowOff>0</xdr:rowOff>
    </xdr:from>
    <xdr:to>
      <xdr:col>8</xdr:col>
      <xdr:colOff>235812</xdr:colOff>
      <xdr:row>39</xdr:row>
      <xdr:rowOff>179294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28675" y="6781800"/>
          <a:ext cx="154305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15105</xdr:colOff>
      <xdr:row>39</xdr:row>
      <xdr:rowOff>179294</xdr:rowOff>
    </xdr:from>
    <xdr:to>
      <xdr:col>7</xdr:col>
      <xdr:colOff>5360</xdr:colOff>
      <xdr:row>40</xdr:row>
      <xdr:rowOff>179294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52550" y="7724775"/>
          <a:ext cx="5238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235812</xdr:colOff>
      <xdr:row>36</xdr:row>
      <xdr:rowOff>179294</xdr:rowOff>
    </xdr:from>
    <xdr:to>
      <xdr:col>10</xdr:col>
      <xdr:colOff>215347</xdr:colOff>
      <xdr:row>38</xdr:row>
      <xdr:rowOff>8282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371725" y="7153275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10232</xdr:colOff>
      <xdr:row>37</xdr:row>
      <xdr:rowOff>93788</xdr:rowOff>
    </xdr:from>
    <xdr:to>
      <xdr:col>10</xdr:col>
      <xdr:colOff>215347</xdr:colOff>
      <xdr:row>46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6" idx="0"/>
        </xdr:cNvCxnSpPr>
      </xdr:nvCxnSpPr>
      <xdr:spPr>
        <a:xfrm flipH="1">
          <a:off x="1609725" y="7258050"/>
          <a:ext cx="1276350" cy="1619250"/>
        </a:xfrm>
        <a:prstGeom prst="bentConnector4">
          <a:avLst>
            <a:gd name="adj1" fmla="val -19607"/>
            <a:gd name="adj2" fmla="val 5323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10232</xdr:colOff>
      <xdr:row>40</xdr:row>
      <xdr:rowOff>179294</xdr:rowOff>
    </xdr:from>
    <xdr:to>
      <xdr:col>6</xdr:col>
      <xdr:colOff>10233</xdr:colOff>
      <xdr:row>46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6" idx="0"/>
        </xdr:cNvCxnSpPr>
      </xdr:nvCxnSpPr>
      <xdr:spPr>
        <a:xfrm flipH="1">
          <a:off x="1609725" y="7915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24</xdr:row>
      <xdr:rowOff>0</xdr:rowOff>
    </xdr:from>
    <xdr:to>
      <xdr:col>6</xdr:col>
      <xdr:colOff>1</xdr:colOff>
      <xdr:row>27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36" idx="0"/>
        </xdr:cNvCxnSpPr>
      </xdr:nvCxnSpPr>
      <xdr:spPr>
        <a:xfrm>
          <a:off x="1600200" y="4686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39</xdr:row>
      <xdr:rowOff>11207</xdr:rowOff>
    </xdr:from>
    <xdr:to>
      <xdr:col>62</xdr:col>
      <xdr:colOff>0</xdr:colOff>
      <xdr:row>44</xdr:row>
      <xdr:rowOff>0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7553325"/>
          <a:ext cx="7200900" cy="942975"/>
        </a:xfrm>
        <a:prstGeom prst="borderCallout1">
          <a:avLst>
            <a:gd name="adj1" fmla="val 51887"/>
            <a:gd name="adj2" fmla="val 470"/>
            <a:gd name="adj3" fmla="val -12023"/>
            <a:gd name="adj4" fmla="val -1009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▪成功した場合、response code = 200、ボディが「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▪失敗した場合、response code = 500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11</xdr:row>
      <xdr:rowOff>11206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14" idx="0"/>
        </xdr:cNvCxnSpPr>
      </xdr:nvCxnSpPr>
      <xdr:spPr>
        <a:xfrm>
          <a:off x="1600200" y="1628775"/>
          <a:ext cx="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20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5" idx="2"/>
          <a:endCxn id="5" idx="0"/>
        </xdr:cNvCxnSpPr>
      </xdr:nvCxnSpPr>
      <xdr:spPr>
        <a:xfrm>
          <a:off x="1600200" y="3352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11206</xdr:rowOff>
    </xdr:from>
    <xdr:to>
      <xdr:col>9</xdr:col>
      <xdr:colOff>0</xdr:colOff>
      <xdr:row>16</xdr:row>
      <xdr:rowOff>0</xdr:rowOff>
    </xdr:to>
    <xdr:sp macro="" textlink="" fLocksText="0">
      <xdr:nvSpPr>
        <xdr:cNvPr id="14" name="Flowchart: Decisio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00100" y="2219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 anchorCtr="0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操作権限が持つ</a:t>
          </a:r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7</xdr:col>
      <xdr:colOff>0</xdr:colOff>
      <xdr:row>17</xdr:row>
      <xdr:rowOff>0</xdr:rowOff>
    </xdr:to>
    <xdr:sp macro="" textlink="" fLocksText="0">
      <xdr:nvSpPr>
        <xdr:cNvPr id="15" name="Flowchart: Process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333500" y="316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209505</xdr:colOff>
      <xdr:row>13</xdr:row>
      <xdr:rowOff>0</xdr:rowOff>
    </xdr:from>
    <xdr:to>
      <xdr:col>10</xdr:col>
      <xdr:colOff>189040</xdr:colOff>
      <xdr:row>14</xdr:row>
      <xdr:rowOff>19488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343150" y="2590800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34</xdr:col>
      <xdr:colOff>224118</xdr:colOff>
      <xdr:row>10</xdr:row>
      <xdr:rowOff>56030</xdr:rowOff>
    </xdr:from>
    <xdr:to>
      <xdr:col>61</xdr:col>
      <xdr:colOff>224118</xdr:colOff>
      <xdr:row>17</xdr:row>
      <xdr:rowOff>56030</xdr:rowOff>
    </xdr:to>
    <xdr:sp macro="" textlink="" fLocksText="0">
      <xdr:nvSpPr>
        <xdr:cNvPr id="20" name="吹き出し: 線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9296400" y="2076450"/>
          <a:ext cx="7200900" cy="1333500"/>
        </a:xfrm>
        <a:prstGeom prst="borderCallout1">
          <a:avLst>
            <a:gd name="adj1" fmla="val 49926"/>
            <a:gd name="adj2" fmla="val -59"/>
            <a:gd name="adj3" fmla="val 33179"/>
            <a:gd name="adj4" fmla="val -1011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1。ユーザーが操作権限を持っているかを確認する。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▪ユーザーが店舗権限を持っている場合、response code = 403を返し、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を終了する。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ユーザーがシステム権限を持っている場合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：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店舗データ配列内の全てのアイテムのcopy_source が、操作権限を持つ店舗ユーザー（UserStoreテーブル）に属している場合、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を実行する。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・copy_sourceがユーザーの操作権限に属さない場合、response code = 403を返し、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を終了する。</a:t>
          </a:r>
        </a:p>
      </xdr:txBody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179293</xdr:rowOff>
    </xdr:to>
    <xdr:sp macro="" textlink="" fLocksText="0">
      <xdr:nvSpPr>
        <xdr:cNvPr id="21" name="Flowchart: Process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7467600" y="7924800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189040</xdr:colOff>
      <xdr:row>13</xdr:row>
      <xdr:rowOff>104994</xdr:rowOff>
    </xdr:from>
    <xdr:to>
      <xdr:col>29</xdr:col>
      <xdr:colOff>1</xdr:colOff>
      <xdr:row>41</xdr:row>
      <xdr:rowOff>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8" idx="3"/>
          <a:endCxn id="21" idx="0"/>
        </xdr:cNvCxnSpPr>
      </xdr:nvCxnSpPr>
      <xdr:spPr>
        <a:xfrm>
          <a:off x="2857500" y="2695575"/>
          <a:ext cx="4876800" cy="52292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10233</xdr:colOff>
      <xdr:row>41</xdr:row>
      <xdr:rowOff>179292</xdr:rowOff>
    </xdr:from>
    <xdr:to>
      <xdr:col>29</xdr:col>
      <xdr:colOff>2</xdr:colOff>
      <xdr:row>45</xdr:row>
      <xdr:rowOff>190499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21" idx="2"/>
          <a:endCxn id="6" idx="0"/>
        </xdr:cNvCxnSpPr>
      </xdr:nvCxnSpPr>
      <xdr:spPr>
        <a:xfrm rot="5400000">
          <a:off x="1609725" y="8105775"/>
          <a:ext cx="6124575" cy="771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</xdr:row>
      <xdr:rowOff>0</xdr:rowOff>
    </xdr:from>
    <xdr:to>
      <xdr:col>9</xdr:col>
      <xdr:colOff>0</xdr:colOff>
      <xdr:row>31</xdr:row>
      <xdr:rowOff>0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00100" y="5257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新しいストアを作成する</a:t>
          </a:r>
        </a:p>
      </xdr:txBody>
    </xdr:sp>
    <xdr:clientData/>
  </xdr:twoCellAnchor>
  <xdr:twoCellAnchor>
    <xdr:from>
      <xdr:col>6</xdr:col>
      <xdr:colOff>1</xdr:colOff>
      <xdr:row>31</xdr:row>
      <xdr:rowOff>0</xdr:rowOff>
    </xdr:from>
    <xdr:to>
      <xdr:col>6</xdr:col>
      <xdr:colOff>12669</xdr:colOff>
      <xdr:row>35</xdr:row>
      <xdr:rowOff>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6" idx="2"/>
          <a:endCxn id="7" idx="0"/>
        </xdr:cNvCxnSpPr>
      </xdr:nvCxnSpPr>
      <xdr:spPr>
        <a:xfrm>
          <a:off x="1600200" y="6019800"/>
          <a:ext cx="9525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29</xdr:row>
      <xdr:rowOff>0</xdr:rowOff>
    </xdr:from>
    <xdr:to>
      <xdr:col>62</xdr:col>
      <xdr:colOff>0</xdr:colOff>
      <xdr:row>33</xdr:row>
      <xdr:rowOff>11205</xdr:rowOff>
    </xdr:to>
    <xdr:sp macro="" textlink="" fLocksText="0">
      <xdr:nvSpPr>
        <xdr:cNvPr id="42" name="吹き出し: 線 2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236324" y="5636559"/>
          <a:ext cx="6353735" cy="773205"/>
        </a:xfrm>
        <a:prstGeom prst="borderCallout1">
          <a:avLst>
            <a:gd name="adj1" fmla="val 51887"/>
            <a:gd name="adj2" fmla="val 470"/>
            <a:gd name="adj3" fmla="val -12023"/>
            <a:gd name="adj4" fmla="val -1009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リクエスト内の情報でレコードをm_storeテーブルに新規作成する。</a:t>
          </a:r>
        </a:p>
        <a:p>
          <a:pPr algn="l"/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会社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800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の場合、以下のマスターメッセージレコードを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1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件作成する。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 panose="020B0604030504040204" pitchFamily="34" charset="-128"/>
          </a:endParaRPr>
        </a:p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comany_code = 800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store_code = 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作成された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store_code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code = 99 </a:t>
          </a:r>
        </a:p>
        <a:p>
          <a:pPr algn="l"/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20</xdr:row>
      <xdr:rowOff>0</xdr:rowOff>
    </xdr:from>
    <xdr:to>
      <xdr:col>62</xdr:col>
      <xdr:colOff>0</xdr:colOff>
      <xdr:row>22</xdr:row>
      <xdr:rowOff>0</xdr:rowOff>
    </xdr:to>
    <xdr:sp macro="" textlink="" fLocksText="0">
      <xdr:nvSpPr>
        <xdr:cNvPr id="43" name="吹き出し: 線 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9334500" y="3924300"/>
          <a:ext cx="7200900" cy="381000"/>
        </a:xfrm>
        <a:prstGeom prst="borderCallout1">
          <a:avLst>
            <a:gd name="adj1" fmla="val 51887"/>
            <a:gd name="adj2" fmla="val 470"/>
            <a:gd name="adj3" fmla="val 96800"/>
            <a:gd name="adj4" fmla="val -9782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コピーバッチ起動 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2" customWidth="1"/>
    <col min="61" max="16384" width="2.77734375" style="22"/>
  </cols>
  <sheetData>
    <row r="1" spans="1:63" ht="24.95" customHeight="1" x14ac:dyDescent="0.25">
      <c r="A1" s="76" t="s">
        <v>54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55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98" t="s">
        <v>56</v>
      </c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  <c r="AP1" s="76" t="s">
        <v>57</v>
      </c>
      <c r="AQ1" s="77"/>
      <c r="AR1" s="77"/>
      <c r="AS1" s="78"/>
      <c r="AT1" s="76" t="s">
        <v>58</v>
      </c>
      <c r="AU1" s="77"/>
      <c r="AV1" s="77"/>
      <c r="AW1" s="77"/>
      <c r="AX1" s="78"/>
      <c r="AY1" s="76" t="s">
        <v>59</v>
      </c>
      <c r="AZ1" s="77"/>
      <c r="BA1" s="77"/>
      <c r="BB1" s="78"/>
      <c r="BC1" s="76" t="s">
        <v>60</v>
      </c>
      <c r="BD1" s="77"/>
      <c r="BE1" s="77"/>
      <c r="BF1" s="77"/>
      <c r="BG1" s="78"/>
      <c r="BH1" s="76" t="s">
        <v>61</v>
      </c>
      <c r="BI1" s="77"/>
      <c r="BJ1" s="77"/>
      <c r="BK1" s="78"/>
    </row>
    <row r="2" spans="1:63" ht="15" customHeight="1" x14ac:dyDescent="0.25">
      <c r="A2" s="97" t="s">
        <v>62</v>
      </c>
      <c r="B2" s="62"/>
      <c r="C2" s="62"/>
      <c r="D2" s="62"/>
      <c r="E2" s="62"/>
      <c r="F2" s="62"/>
      <c r="G2" s="62"/>
      <c r="H2" s="62"/>
      <c r="I2" s="62"/>
      <c r="J2" s="63"/>
      <c r="K2" s="61" t="s">
        <v>1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3"/>
      <c r="W2" s="101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3"/>
      <c r="AP2" s="61" t="str">
        <f>改訂履歴!$H$11</f>
        <v>DuNT</v>
      </c>
      <c r="AQ2" s="62"/>
      <c r="AR2" s="62"/>
      <c r="AS2" s="63"/>
      <c r="AT2" s="91">
        <f>改訂履歴!$B$11</f>
        <v>45617</v>
      </c>
      <c r="AU2" s="92"/>
      <c r="AV2" s="92"/>
      <c r="AW2" s="92"/>
      <c r="AX2" s="93"/>
      <c r="AY2" s="61" t="str">
        <f>LOOKUP(2,1/(改訂履歴!H11:H30000&lt;&gt;""),改訂履歴!H11:H30000)</f>
        <v>DuNT</v>
      </c>
      <c r="AZ2" s="62"/>
      <c r="BA2" s="62"/>
      <c r="BB2" s="63"/>
      <c r="BC2" s="91">
        <f>LOOKUP(2,1/(改訂履歴!B11:B30000&lt;&gt;""),改訂履歴!B11:B30000)</f>
        <v>45623</v>
      </c>
      <c r="BD2" s="92"/>
      <c r="BE2" s="92"/>
      <c r="BF2" s="92"/>
      <c r="BG2" s="93"/>
      <c r="BH2" s="85">
        <f>LOOKUP(2,1/(改訂履歴!O11:O30000&lt;&gt;""),改訂履歴!O11:O30000)</f>
        <v>0.11</v>
      </c>
      <c r="BI2" s="86"/>
      <c r="BJ2" s="86"/>
      <c r="BK2" s="87"/>
    </row>
    <row r="3" spans="1:63" ht="15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6"/>
      <c r="AP3" s="67"/>
      <c r="AQ3" s="68"/>
      <c r="AR3" s="68"/>
      <c r="AS3" s="69"/>
      <c r="AT3" s="94"/>
      <c r="AU3" s="95"/>
      <c r="AV3" s="95"/>
      <c r="AW3" s="95"/>
      <c r="AX3" s="96"/>
      <c r="AY3" s="67"/>
      <c r="AZ3" s="68"/>
      <c r="BA3" s="68"/>
      <c r="BB3" s="69"/>
      <c r="BC3" s="94"/>
      <c r="BD3" s="95"/>
      <c r="BE3" s="95"/>
      <c r="BF3" s="95"/>
      <c r="BG3" s="96"/>
      <c r="BH3" s="88"/>
      <c r="BI3" s="89"/>
      <c r="BJ3" s="89"/>
      <c r="BK3" s="90"/>
    </row>
    <row r="4" spans="1:63" ht="24.95" customHeight="1" x14ac:dyDescent="0.25">
      <c r="A4" s="76" t="s">
        <v>63</v>
      </c>
      <c r="B4" s="77"/>
      <c r="C4" s="77"/>
      <c r="D4" s="77"/>
      <c r="E4" s="77"/>
      <c r="F4" s="77"/>
      <c r="G4" s="78"/>
      <c r="H4" s="81" t="s">
        <v>51</v>
      </c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3"/>
      <c r="U4" s="76" t="s">
        <v>64</v>
      </c>
      <c r="V4" s="77"/>
      <c r="W4" s="77"/>
      <c r="X4" s="77"/>
      <c r="Y4" s="78"/>
      <c r="Z4" s="84" t="s">
        <v>65</v>
      </c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3"/>
      <c r="AP4" s="81" t="str">
        <f t="array" aca="1" ref="AP4" ca="1">RIGHT(CELL("filename",$A$1),LEN(CELL("filename",$A$1))-FIND("]",CELL("filename",$A$1)))</f>
        <v>表紙</v>
      </c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3"/>
    </row>
    <row r="5" spans="1:63" ht="5.0999999999999996" customHeight="1" x14ac:dyDescent="0.25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5"/>
    </row>
    <row r="6" spans="1:63" ht="15" customHeight="1" x14ac:dyDescent="0.25">
      <c r="A6" s="26"/>
      <c r="BK6" s="27"/>
    </row>
    <row r="7" spans="1:63" ht="15" customHeight="1" x14ac:dyDescent="0.25">
      <c r="A7" s="26"/>
      <c r="BK7" s="27"/>
    </row>
    <row r="8" spans="1:63" ht="15" customHeight="1" x14ac:dyDescent="0.25">
      <c r="A8" s="26"/>
      <c r="BK8" s="27"/>
    </row>
    <row r="9" spans="1:63" ht="15" customHeight="1" x14ac:dyDescent="0.25">
      <c r="A9" s="26"/>
      <c r="BK9" s="27"/>
    </row>
    <row r="10" spans="1:63" ht="15" customHeight="1" x14ac:dyDescent="0.25">
      <c r="A10" s="26"/>
      <c r="BK10" s="27"/>
    </row>
    <row r="11" spans="1:63" ht="15" customHeight="1" x14ac:dyDescent="0.25">
      <c r="A11" s="26"/>
      <c r="BK11" s="27"/>
    </row>
    <row r="12" spans="1:63" ht="15" customHeight="1" x14ac:dyDescent="0.25">
      <c r="A12" s="26"/>
      <c r="BK12" s="27"/>
    </row>
    <row r="13" spans="1:63" ht="15" customHeight="1" x14ac:dyDescent="0.25">
      <c r="A13" s="26"/>
      <c r="BK13" s="27"/>
    </row>
    <row r="14" spans="1:63" ht="15" customHeight="1" thickBot="1" x14ac:dyDescent="0.3">
      <c r="A14" s="26"/>
      <c r="BK14" s="27"/>
    </row>
    <row r="15" spans="1:63" ht="15" customHeight="1" thickTop="1" x14ac:dyDescent="0.25">
      <c r="A15" s="26"/>
      <c r="K15" s="28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30"/>
      <c r="BK15" s="27"/>
    </row>
    <row r="16" spans="1:63" ht="15" customHeight="1" x14ac:dyDescent="0.25">
      <c r="A16" s="26"/>
      <c r="K16" s="31"/>
      <c r="L16" s="79" t="s">
        <v>66</v>
      </c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32"/>
      <c r="BK16" s="27"/>
    </row>
    <row r="17" spans="1:63" ht="15" customHeight="1" x14ac:dyDescent="0.25">
      <c r="A17" s="26"/>
      <c r="K17" s="31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32"/>
      <c r="BK17" s="27"/>
    </row>
    <row r="18" spans="1:63" ht="15" customHeight="1" x14ac:dyDescent="0.25">
      <c r="A18" s="26"/>
      <c r="K18" s="31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32"/>
      <c r="BK18" s="27"/>
    </row>
    <row r="19" spans="1:63" ht="15" customHeight="1" x14ac:dyDescent="0.25">
      <c r="A19" s="26"/>
      <c r="K19" s="31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32"/>
      <c r="BK19" s="27"/>
    </row>
    <row r="20" spans="1:63" ht="15" customHeight="1" x14ac:dyDescent="0.25">
      <c r="A20" s="26"/>
      <c r="K20" s="31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32"/>
      <c r="BK20" s="27"/>
    </row>
    <row r="21" spans="1:63" ht="15" customHeight="1" x14ac:dyDescent="0.25">
      <c r="A21" s="26"/>
      <c r="K21" s="31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32"/>
      <c r="BK21" s="27"/>
    </row>
    <row r="22" spans="1:63" ht="15" customHeight="1" thickBot="1" x14ac:dyDescent="0.3">
      <c r="A22" s="26"/>
      <c r="K22" s="31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2"/>
      <c r="BK22" s="27"/>
    </row>
    <row r="23" spans="1:63" ht="15" customHeight="1" x14ac:dyDescent="0.25">
      <c r="A23" s="26"/>
      <c r="K23" s="31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2"/>
      <c r="BK23" s="27"/>
    </row>
    <row r="24" spans="1:63" ht="15" customHeight="1" x14ac:dyDescent="0.25">
      <c r="A24" s="26"/>
      <c r="K24" s="31"/>
      <c r="L24" s="80" t="str">
        <f>K2&amp;"/"&amp;H4&amp;"/"&amp;Z4</f>
        <v>POSサーバー/AP8204/API設計書</v>
      </c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32"/>
      <c r="BK24" s="27"/>
    </row>
    <row r="25" spans="1:63" ht="15" customHeight="1" x14ac:dyDescent="0.25">
      <c r="A25" s="26"/>
      <c r="K25" s="31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32"/>
      <c r="BK25" s="27"/>
    </row>
    <row r="26" spans="1:63" ht="15" customHeight="1" x14ac:dyDescent="0.25">
      <c r="A26" s="26"/>
      <c r="K26" s="31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32"/>
      <c r="BK26" s="27"/>
    </row>
    <row r="27" spans="1:63" ht="15" customHeight="1" x14ac:dyDescent="0.25">
      <c r="A27" s="26"/>
      <c r="K27" s="31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32"/>
      <c r="BK27" s="27"/>
    </row>
    <row r="28" spans="1:63" ht="15" customHeight="1" x14ac:dyDescent="0.25">
      <c r="A28" s="26"/>
      <c r="K28" s="31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32"/>
      <c r="BK28" s="27"/>
    </row>
    <row r="29" spans="1:63" ht="15" customHeight="1" x14ac:dyDescent="0.25">
      <c r="A29" s="26"/>
      <c r="K29" s="31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32"/>
      <c r="BK29" s="27"/>
    </row>
    <row r="30" spans="1:63" ht="15" customHeight="1" x14ac:dyDescent="0.25">
      <c r="A30" s="26"/>
      <c r="K30" s="31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32"/>
      <c r="BK30" s="27"/>
    </row>
    <row r="31" spans="1:63" ht="15" customHeight="1" x14ac:dyDescent="0.25">
      <c r="A31" s="26"/>
      <c r="K31" s="31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32"/>
      <c r="BK31" s="27"/>
    </row>
    <row r="32" spans="1:63" ht="15" customHeight="1" x14ac:dyDescent="0.25">
      <c r="A32" s="26"/>
      <c r="K32" s="31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32"/>
      <c r="BK32" s="27"/>
    </row>
    <row r="33" spans="1:63" ht="15" customHeight="1" x14ac:dyDescent="0.25">
      <c r="A33" s="26"/>
      <c r="K33" s="31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32"/>
      <c r="BK33" s="27"/>
    </row>
    <row r="34" spans="1:63" ht="15" customHeight="1" x14ac:dyDescent="0.25">
      <c r="A34" s="26"/>
      <c r="K34" s="31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32"/>
      <c r="BK34" s="27"/>
    </row>
    <row r="35" spans="1:63" ht="15" customHeight="1" x14ac:dyDescent="0.25">
      <c r="A35" s="26"/>
      <c r="K35" s="31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32"/>
      <c r="BK35" s="27"/>
    </row>
    <row r="36" spans="1:63" ht="15" customHeight="1" x14ac:dyDescent="0.25">
      <c r="A36" s="26"/>
      <c r="K36" s="31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32"/>
      <c r="BK36" s="27"/>
    </row>
    <row r="37" spans="1:63" ht="15" customHeight="1" thickBot="1" x14ac:dyDescent="0.3">
      <c r="A37" s="26"/>
      <c r="K37" s="3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7"/>
      <c r="BK37" s="27"/>
    </row>
    <row r="38" spans="1:63" ht="15" customHeight="1" thickTop="1" x14ac:dyDescent="0.25">
      <c r="A38" s="26"/>
      <c r="BK38" s="27"/>
    </row>
    <row r="39" spans="1:63" ht="15" customHeight="1" x14ac:dyDescent="0.25">
      <c r="A39" s="26"/>
      <c r="BK39" s="27"/>
    </row>
    <row r="40" spans="1:63" ht="15" customHeight="1" x14ac:dyDescent="0.25">
      <c r="A40" s="26"/>
      <c r="BK40" s="27"/>
    </row>
    <row r="41" spans="1:63" ht="15" customHeight="1" x14ac:dyDescent="0.25">
      <c r="A41" s="26"/>
      <c r="BK41" s="27"/>
    </row>
    <row r="42" spans="1:63" ht="15" customHeight="1" x14ac:dyDescent="0.25">
      <c r="A42" s="26"/>
      <c r="BK42" s="27"/>
    </row>
    <row r="43" spans="1:63" ht="15" customHeight="1" x14ac:dyDescent="0.25">
      <c r="A43" s="26"/>
      <c r="BK43" s="27"/>
    </row>
    <row r="44" spans="1:63" ht="15" customHeight="1" x14ac:dyDescent="0.25">
      <c r="A44" s="26"/>
      <c r="Q44" s="70" t="s">
        <v>67</v>
      </c>
      <c r="R44" s="71"/>
      <c r="S44" s="71"/>
      <c r="T44" s="71"/>
      <c r="U44" s="71"/>
      <c r="V44" s="71"/>
      <c r="W44" s="71"/>
      <c r="X44" s="71"/>
      <c r="Y44" s="71"/>
      <c r="Z44" s="72"/>
      <c r="AA44" s="70" t="s">
        <v>68</v>
      </c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2"/>
      <c r="AQ44" s="70" t="s">
        <v>61</v>
      </c>
      <c r="AR44" s="71"/>
      <c r="AS44" s="71"/>
      <c r="AT44" s="71"/>
      <c r="AU44" s="72"/>
      <c r="BK44" s="27"/>
    </row>
    <row r="45" spans="1:63" ht="15" customHeight="1" x14ac:dyDescent="0.25">
      <c r="A45" s="26"/>
      <c r="Q45" s="73"/>
      <c r="R45" s="74"/>
      <c r="S45" s="74"/>
      <c r="T45" s="74"/>
      <c r="U45" s="74"/>
      <c r="V45" s="74"/>
      <c r="W45" s="74"/>
      <c r="X45" s="74"/>
      <c r="Y45" s="74"/>
      <c r="Z45" s="75"/>
      <c r="AA45" s="73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5"/>
      <c r="AQ45" s="73"/>
      <c r="AR45" s="74"/>
      <c r="AS45" s="74"/>
      <c r="AT45" s="74"/>
      <c r="AU45" s="75"/>
      <c r="BK45" s="27"/>
    </row>
    <row r="46" spans="1:63" ht="15" customHeight="1" x14ac:dyDescent="0.25">
      <c r="A46" s="26"/>
      <c r="Q46" s="61"/>
      <c r="R46" s="62"/>
      <c r="S46" s="62"/>
      <c r="T46" s="62"/>
      <c r="U46" s="62"/>
      <c r="V46" s="62"/>
      <c r="W46" s="62"/>
      <c r="X46" s="62"/>
      <c r="Y46" s="62"/>
      <c r="Z46" s="63"/>
      <c r="AA46" s="61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3"/>
      <c r="AQ46" s="61"/>
      <c r="AR46" s="62"/>
      <c r="AS46" s="62"/>
      <c r="AT46" s="62"/>
      <c r="AU46" s="63"/>
      <c r="BK46" s="27"/>
    </row>
    <row r="47" spans="1:63" ht="15" customHeight="1" x14ac:dyDescent="0.25">
      <c r="A47" s="26"/>
      <c r="Q47" s="64"/>
      <c r="R47" s="65"/>
      <c r="S47" s="65"/>
      <c r="T47" s="65"/>
      <c r="U47" s="65"/>
      <c r="V47" s="65"/>
      <c r="W47" s="65"/>
      <c r="X47" s="65"/>
      <c r="Y47" s="65"/>
      <c r="Z47" s="66"/>
      <c r="AA47" s="64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6"/>
      <c r="AQ47" s="64"/>
      <c r="AR47" s="65"/>
      <c r="AS47" s="65"/>
      <c r="AT47" s="65"/>
      <c r="AU47" s="66"/>
      <c r="BK47" s="27"/>
    </row>
    <row r="48" spans="1:63" ht="15" customHeight="1" x14ac:dyDescent="0.25">
      <c r="A48" s="26"/>
      <c r="Q48" s="64"/>
      <c r="R48" s="65"/>
      <c r="S48" s="65"/>
      <c r="T48" s="65"/>
      <c r="U48" s="65"/>
      <c r="V48" s="65"/>
      <c r="W48" s="65"/>
      <c r="X48" s="65"/>
      <c r="Y48" s="65"/>
      <c r="Z48" s="66"/>
      <c r="AA48" s="64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6"/>
      <c r="AQ48" s="64"/>
      <c r="AR48" s="65"/>
      <c r="AS48" s="65"/>
      <c r="AT48" s="65"/>
      <c r="AU48" s="66"/>
      <c r="BK48" s="27"/>
    </row>
    <row r="49" spans="1:63" ht="15" customHeight="1" x14ac:dyDescent="0.25">
      <c r="A49" s="26"/>
      <c r="Q49" s="67"/>
      <c r="R49" s="68"/>
      <c r="S49" s="68"/>
      <c r="T49" s="68"/>
      <c r="U49" s="68"/>
      <c r="V49" s="68"/>
      <c r="W49" s="68"/>
      <c r="X49" s="68"/>
      <c r="Y49" s="68"/>
      <c r="Z49" s="69"/>
      <c r="AA49" s="67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9"/>
      <c r="AQ49" s="67"/>
      <c r="AR49" s="68"/>
      <c r="AS49" s="68"/>
      <c r="AT49" s="68"/>
      <c r="AU49" s="69"/>
      <c r="BK49" s="27"/>
    </row>
    <row r="50" spans="1:63" ht="15" customHeight="1" x14ac:dyDescent="0.25">
      <c r="A50" s="26"/>
      <c r="BK50" s="27"/>
    </row>
    <row r="51" spans="1:63" ht="15" customHeight="1" x14ac:dyDescent="0.25">
      <c r="A51" s="26"/>
      <c r="BK51" s="27"/>
    </row>
    <row r="52" spans="1:63" ht="15" customHeight="1" x14ac:dyDescent="0.25">
      <c r="A52" s="26"/>
      <c r="BK52" s="27"/>
    </row>
    <row r="53" spans="1:63" ht="15" customHeight="1" x14ac:dyDescent="0.25">
      <c r="A53" s="26"/>
      <c r="BK53" s="27"/>
    </row>
    <row r="54" spans="1:63" ht="15" customHeight="1" x14ac:dyDescent="0.25">
      <c r="A54" s="26"/>
      <c r="BK54" s="27"/>
    </row>
    <row r="55" spans="1:63" ht="15" customHeight="1" x14ac:dyDescent="0.25">
      <c r="A55" s="23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2" customWidth="1"/>
    <col min="61" max="16384" width="2.77734375" style="22"/>
  </cols>
  <sheetData>
    <row r="1" spans="1:63" ht="24.95" customHeight="1" x14ac:dyDescent="0.25">
      <c r="A1" s="76" t="s">
        <v>54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55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120" t="str">
        <f>IF(表紙!W1="","",表紙!W1)</f>
        <v>詳細設計書</v>
      </c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  <c r="AP1" s="76" t="s">
        <v>57</v>
      </c>
      <c r="AQ1" s="77"/>
      <c r="AR1" s="77"/>
      <c r="AS1" s="78"/>
      <c r="AT1" s="76" t="s">
        <v>58</v>
      </c>
      <c r="AU1" s="77"/>
      <c r="AV1" s="77"/>
      <c r="AW1" s="77"/>
      <c r="AX1" s="78"/>
      <c r="AY1" s="76" t="s">
        <v>59</v>
      </c>
      <c r="AZ1" s="77"/>
      <c r="BA1" s="77"/>
      <c r="BB1" s="78"/>
      <c r="BC1" s="76" t="s">
        <v>60</v>
      </c>
      <c r="BD1" s="77"/>
      <c r="BE1" s="77"/>
      <c r="BF1" s="77"/>
      <c r="BG1" s="78"/>
      <c r="BH1" s="76" t="s">
        <v>61</v>
      </c>
      <c r="BI1" s="77"/>
      <c r="BJ1" s="77"/>
      <c r="BK1" s="78"/>
    </row>
    <row r="2" spans="1:63" ht="15" customHeight="1" x14ac:dyDescent="0.25">
      <c r="A2" s="61" t="str">
        <f>IF(表紙!A2="","",表紙!A2)</f>
        <v>POSサーバー</v>
      </c>
      <c r="B2" s="62"/>
      <c r="C2" s="62"/>
      <c r="D2" s="62"/>
      <c r="E2" s="62"/>
      <c r="F2" s="62"/>
      <c r="G2" s="62"/>
      <c r="H2" s="62"/>
      <c r="I2" s="62"/>
      <c r="J2" s="63"/>
      <c r="K2" s="61" t="str">
        <f>IF(表紙!K2="","",表紙!K2)</f>
        <v>POSサーバー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3"/>
      <c r="W2" s="101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3"/>
      <c r="AP2" s="61" t="str">
        <f>IF(表紙!AP2="","",表紙!AP2)</f>
        <v>DuNT</v>
      </c>
      <c r="AQ2" s="62"/>
      <c r="AR2" s="62"/>
      <c r="AS2" s="63"/>
      <c r="AT2" s="91">
        <f>IF(表紙!AT2="","",表紙!AT2)</f>
        <v>45617</v>
      </c>
      <c r="AU2" s="92"/>
      <c r="AV2" s="92"/>
      <c r="AW2" s="92"/>
      <c r="AX2" s="93"/>
      <c r="AY2" s="61" t="str">
        <f>IF(表紙!AY2="","",表紙!AY2)</f>
        <v>DuNT</v>
      </c>
      <c r="AZ2" s="62"/>
      <c r="BA2" s="62"/>
      <c r="BB2" s="63"/>
      <c r="BC2" s="91">
        <f>IF(表紙!BC2="","",表紙!BC2)</f>
        <v>45623</v>
      </c>
      <c r="BD2" s="92"/>
      <c r="BE2" s="92"/>
      <c r="BF2" s="92"/>
      <c r="BG2" s="93"/>
      <c r="BH2" s="61">
        <f>IF(表紙!BH2="","",表紙!BH2)</f>
        <v>0.11</v>
      </c>
      <c r="BI2" s="62"/>
      <c r="BJ2" s="62"/>
      <c r="BK2" s="63"/>
    </row>
    <row r="3" spans="1:63" ht="15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6"/>
      <c r="AP3" s="67"/>
      <c r="AQ3" s="68"/>
      <c r="AR3" s="68"/>
      <c r="AS3" s="69"/>
      <c r="AT3" s="94"/>
      <c r="AU3" s="95"/>
      <c r="AV3" s="95"/>
      <c r="AW3" s="95"/>
      <c r="AX3" s="96"/>
      <c r="AY3" s="67"/>
      <c r="AZ3" s="68"/>
      <c r="BA3" s="68"/>
      <c r="BB3" s="69"/>
      <c r="BC3" s="94"/>
      <c r="BD3" s="95"/>
      <c r="BE3" s="95"/>
      <c r="BF3" s="95"/>
      <c r="BG3" s="96"/>
      <c r="BH3" s="67"/>
      <c r="BI3" s="68"/>
      <c r="BJ3" s="68"/>
      <c r="BK3" s="69"/>
    </row>
    <row r="4" spans="1:63" ht="24.95" customHeight="1" x14ac:dyDescent="0.25">
      <c r="A4" s="76" t="s">
        <v>63</v>
      </c>
      <c r="B4" s="77"/>
      <c r="C4" s="77"/>
      <c r="D4" s="77"/>
      <c r="E4" s="77"/>
      <c r="F4" s="77"/>
      <c r="G4" s="78"/>
      <c r="H4" s="81" t="str">
        <f>IF(表紙!H4="","",表紙!H4)</f>
        <v>AP8204</v>
      </c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3"/>
      <c r="U4" s="76" t="s">
        <v>64</v>
      </c>
      <c r="V4" s="77"/>
      <c r="W4" s="77"/>
      <c r="X4" s="77"/>
      <c r="Y4" s="78"/>
      <c r="Z4" s="81" t="str">
        <f>IF(表紙!Z4="","",表紙!Z4)</f>
        <v>API設計書</v>
      </c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3"/>
      <c r="AP4" s="81" t="str">
        <f t="array" aca="1" ref="AP4" ca="1">RIGHT(CELL("filename",$A$1),LEN(CELL("filename",$A$1))-FIND("]",CELL("filename",$A$1)))</f>
        <v>改訂履歴</v>
      </c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3"/>
    </row>
    <row r="5" spans="1:63" ht="5.0999999999999996" customHeight="1" x14ac:dyDescent="0.25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5"/>
    </row>
    <row r="6" spans="1:63" ht="15" customHeight="1" x14ac:dyDescent="0.25">
      <c r="A6" s="26"/>
      <c r="BK6" s="27"/>
    </row>
    <row r="7" spans="1:63" ht="15" customHeight="1" x14ac:dyDescent="0.25">
      <c r="A7" s="26"/>
      <c r="BK7" s="27"/>
    </row>
    <row r="8" spans="1:63" ht="15" customHeight="1" x14ac:dyDescent="0.25">
      <c r="A8" s="26"/>
      <c r="B8" s="22" t="s">
        <v>0</v>
      </c>
      <c r="BK8" s="27"/>
    </row>
    <row r="9" spans="1:63" ht="15" customHeight="1" x14ac:dyDescent="0.25">
      <c r="A9" s="26"/>
      <c r="BK9" s="27"/>
    </row>
    <row r="10" spans="1:63" ht="15" customHeight="1" x14ac:dyDescent="0.25">
      <c r="A10" s="26"/>
      <c r="B10" s="119" t="s">
        <v>60</v>
      </c>
      <c r="C10" s="119"/>
      <c r="D10" s="119"/>
      <c r="E10" s="119"/>
      <c r="F10" s="119"/>
      <c r="G10" s="119"/>
      <c r="H10" s="119" t="s">
        <v>59</v>
      </c>
      <c r="I10" s="119"/>
      <c r="J10" s="119"/>
      <c r="K10" s="119"/>
      <c r="L10" s="119"/>
      <c r="M10" s="119"/>
      <c r="N10" s="119"/>
      <c r="O10" s="119" t="s">
        <v>61</v>
      </c>
      <c r="P10" s="119"/>
      <c r="Q10" s="119"/>
      <c r="R10" s="119"/>
      <c r="S10" s="119" t="s">
        <v>69</v>
      </c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 t="s">
        <v>67</v>
      </c>
      <c r="AY10" s="119"/>
      <c r="AZ10" s="119"/>
      <c r="BA10" s="119"/>
      <c r="BB10" s="119"/>
      <c r="BC10" s="119"/>
      <c r="BD10" s="119" t="s">
        <v>68</v>
      </c>
      <c r="BE10" s="119"/>
      <c r="BF10" s="119"/>
      <c r="BG10" s="119"/>
      <c r="BH10" s="119"/>
      <c r="BI10" s="119"/>
      <c r="BJ10" s="119"/>
      <c r="BK10" s="27"/>
    </row>
    <row r="11" spans="1:63" ht="15" customHeight="1" x14ac:dyDescent="0.25">
      <c r="A11" s="26"/>
      <c r="B11" s="91">
        <v>45617</v>
      </c>
      <c r="C11" s="62"/>
      <c r="D11" s="62"/>
      <c r="E11" s="62"/>
      <c r="F11" s="62"/>
      <c r="G11" s="63"/>
      <c r="H11" s="97" t="s">
        <v>70</v>
      </c>
      <c r="I11" s="62"/>
      <c r="J11" s="62"/>
      <c r="K11" s="62"/>
      <c r="L11" s="62"/>
      <c r="M11" s="62"/>
      <c r="N11" s="63"/>
      <c r="O11" s="61">
        <v>0.1</v>
      </c>
      <c r="P11" s="62"/>
      <c r="Q11" s="62"/>
      <c r="R11" s="62"/>
      <c r="S11" s="107" t="s">
        <v>2</v>
      </c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9"/>
      <c r="AX11" s="110"/>
      <c r="AY11" s="110"/>
      <c r="AZ11" s="110"/>
      <c r="BA11" s="110"/>
      <c r="BB11" s="110"/>
      <c r="BC11" s="111"/>
      <c r="BD11" s="114"/>
      <c r="BE11" s="110"/>
      <c r="BF11" s="110"/>
      <c r="BG11" s="110"/>
      <c r="BH11" s="110"/>
      <c r="BI11" s="110"/>
      <c r="BJ11" s="111"/>
      <c r="BK11" s="27"/>
    </row>
    <row r="12" spans="1:63" ht="15" customHeight="1" x14ac:dyDescent="0.25">
      <c r="A12" s="26"/>
      <c r="B12" s="67"/>
      <c r="C12" s="68"/>
      <c r="D12" s="68"/>
      <c r="E12" s="68"/>
      <c r="F12" s="68"/>
      <c r="G12" s="69"/>
      <c r="H12" s="67"/>
      <c r="I12" s="68"/>
      <c r="J12" s="68"/>
      <c r="K12" s="68"/>
      <c r="L12" s="68"/>
      <c r="M12" s="68"/>
      <c r="N12" s="69"/>
      <c r="O12" s="67"/>
      <c r="P12" s="68"/>
      <c r="Q12" s="68"/>
      <c r="R12" s="68"/>
      <c r="S12" s="116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8"/>
      <c r="AX12" s="112"/>
      <c r="AY12" s="112"/>
      <c r="AZ12" s="112"/>
      <c r="BA12" s="112"/>
      <c r="BB12" s="112"/>
      <c r="BC12" s="113"/>
      <c r="BD12" s="115"/>
      <c r="BE12" s="112"/>
      <c r="BF12" s="112"/>
      <c r="BG12" s="112"/>
      <c r="BH12" s="112"/>
      <c r="BI12" s="112"/>
      <c r="BJ12" s="113"/>
      <c r="BK12" s="27"/>
    </row>
    <row r="13" spans="1:63" ht="15" customHeight="1" x14ac:dyDescent="0.25">
      <c r="A13" s="26"/>
      <c r="B13" s="187">
        <v>45623</v>
      </c>
      <c r="C13" s="188"/>
      <c r="D13" s="188"/>
      <c r="E13" s="188"/>
      <c r="F13" s="188"/>
      <c r="G13" s="189"/>
      <c r="H13" s="190" t="s">
        <v>70</v>
      </c>
      <c r="I13" s="188"/>
      <c r="J13" s="188"/>
      <c r="K13" s="188"/>
      <c r="L13" s="188"/>
      <c r="M13" s="188"/>
      <c r="N13" s="189"/>
      <c r="O13" s="190">
        <v>0.11</v>
      </c>
      <c r="P13" s="188"/>
      <c r="Q13" s="188"/>
      <c r="R13" s="188"/>
      <c r="S13" s="191" t="s">
        <v>89</v>
      </c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3"/>
      <c r="AX13" s="110"/>
      <c r="AY13" s="110"/>
      <c r="AZ13" s="110"/>
      <c r="BA13" s="110"/>
      <c r="BB13" s="110"/>
      <c r="BC13" s="111"/>
      <c r="BD13" s="114"/>
      <c r="BE13" s="110"/>
      <c r="BF13" s="110"/>
      <c r="BG13" s="110"/>
      <c r="BH13" s="110"/>
      <c r="BI13" s="110"/>
      <c r="BJ13" s="111"/>
      <c r="BK13" s="27"/>
    </row>
    <row r="14" spans="1:63" ht="15" customHeight="1" x14ac:dyDescent="0.25">
      <c r="A14" s="26"/>
      <c r="B14" s="194"/>
      <c r="C14" s="195"/>
      <c r="D14" s="195"/>
      <c r="E14" s="195"/>
      <c r="F14" s="195"/>
      <c r="G14" s="196"/>
      <c r="H14" s="194"/>
      <c r="I14" s="195"/>
      <c r="J14" s="195"/>
      <c r="K14" s="195"/>
      <c r="L14" s="195"/>
      <c r="M14" s="195"/>
      <c r="N14" s="196"/>
      <c r="O14" s="194"/>
      <c r="P14" s="195"/>
      <c r="Q14" s="195"/>
      <c r="R14" s="195"/>
      <c r="S14" s="197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  <c r="AS14" s="198"/>
      <c r="AT14" s="198"/>
      <c r="AU14" s="198"/>
      <c r="AV14" s="198"/>
      <c r="AW14" s="199"/>
      <c r="AX14" s="112"/>
      <c r="AY14" s="112"/>
      <c r="AZ14" s="112"/>
      <c r="BA14" s="112"/>
      <c r="BB14" s="112"/>
      <c r="BC14" s="113"/>
      <c r="BD14" s="115"/>
      <c r="BE14" s="112"/>
      <c r="BF14" s="112"/>
      <c r="BG14" s="112"/>
      <c r="BH14" s="112"/>
      <c r="BI14" s="112"/>
      <c r="BJ14" s="113"/>
      <c r="BK14" s="27"/>
    </row>
    <row r="15" spans="1:63" ht="15" customHeight="1" x14ac:dyDescent="0.25">
      <c r="A15" s="26"/>
      <c r="B15" s="61"/>
      <c r="C15" s="62"/>
      <c r="D15" s="62"/>
      <c r="E15" s="62"/>
      <c r="F15" s="62"/>
      <c r="G15" s="63"/>
      <c r="H15" s="61"/>
      <c r="I15" s="62"/>
      <c r="J15" s="62"/>
      <c r="K15" s="62"/>
      <c r="L15" s="62"/>
      <c r="M15" s="62"/>
      <c r="N15" s="63"/>
      <c r="O15" s="61"/>
      <c r="P15" s="62"/>
      <c r="Q15" s="62"/>
      <c r="R15" s="62"/>
      <c r="S15" s="107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9"/>
      <c r="AX15" s="110"/>
      <c r="AY15" s="110"/>
      <c r="AZ15" s="110"/>
      <c r="BA15" s="110"/>
      <c r="BB15" s="110"/>
      <c r="BC15" s="111"/>
      <c r="BD15" s="114"/>
      <c r="BE15" s="110"/>
      <c r="BF15" s="110"/>
      <c r="BG15" s="110"/>
      <c r="BH15" s="110"/>
      <c r="BI15" s="110"/>
      <c r="BJ15" s="111"/>
      <c r="BK15" s="27"/>
    </row>
    <row r="16" spans="1:63" ht="15" customHeight="1" x14ac:dyDescent="0.25">
      <c r="A16" s="26"/>
      <c r="B16" s="67"/>
      <c r="C16" s="68"/>
      <c r="D16" s="68"/>
      <c r="E16" s="68"/>
      <c r="F16" s="68"/>
      <c r="G16" s="69"/>
      <c r="H16" s="67"/>
      <c r="I16" s="68"/>
      <c r="J16" s="68"/>
      <c r="K16" s="68"/>
      <c r="L16" s="68"/>
      <c r="M16" s="68"/>
      <c r="N16" s="69"/>
      <c r="O16" s="67"/>
      <c r="P16" s="68"/>
      <c r="Q16" s="68"/>
      <c r="R16" s="68"/>
      <c r="S16" s="116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8"/>
      <c r="AX16" s="112"/>
      <c r="AY16" s="112"/>
      <c r="AZ16" s="112"/>
      <c r="BA16" s="112"/>
      <c r="BB16" s="112"/>
      <c r="BC16" s="113"/>
      <c r="BD16" s="115"/>
      <c r="BE16" s="112"/>
      <c r="BF16" s="112"/>
      <c r="BG16" s="112"/>
      <c r="BH16" s="112"/>
      <c r="BI16" s="112"/>
      <c r="BJ16" s="113"/>
      <c r="BK16" s="27"/>
    </row>
    <row r="17" spans="1:63" ht="15" customHeight="1" x14ac:dyDescent="0.25">
      <c r="A17" s="26"/>
      <c r="B17" s="61"/>
      <c r="C17" s="62"/>
      <c r="D17" s="62"/>
      <c r="E17" s="62"/>
      <c r="F17" s="62"/>
      <c r="G17" s="63"/>
      <c r="H17" s="61"/>
      <c r="I17" s="62"/>
      <c r="J17" s="62"/>
      <c r="K17" s="62"/>
      <c r="L17" s="62"/>
      <c r="M17" s="62"/>
      <c r="N17" s="63"/>
      <c r="O17" s="61"/>
      <c r="P17" s="62"/>
      <c r="Q17" s="62"/>
      <c r="R17" s="62"/>
      <c r="S17" s="107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9"/>
      <c r="AX17" s="110"/>
      <c r="AY17" s="110"/>
      <c r="AZ17" s="110"/>
      <c r="BA17" s="110"/>
      <c r="BB17" s="110"/>
      <c r="BC17" s="111"/>
      <c r="BD17" s="114"/>
      <c r="BE17" s="110"/>
      <c r="BF17" s="110"/>
      <c r="BG17" s="110"/>
      <c r="BH17" s="110"/>
      <c r="BI17" s="110"/>
      <c r="BJ17" s="111"/>
      <c r="BK17" s="27"/>
    </row>
    <row r="18" spans="1:63" ht="15" customHeight="1" x14ac:dyDescent="0.25">
      <c r="A18" s="26"/>
      <c r="B18" s="67"/>
      <c r="C18" s="68"/>
      <c r="D18" s="68"/>
      <c r="E18" s="68"/>
      <c r="F18" s="68"/>
      <c r="G18" s="69"/>
      <c r="H18" s="67"/>
      <c r="I18" s="68"/>
      <c r="J18" s="68"/>
      <c r="K18" s="68"/>
      <c r="L18" s="68"/>
      <c r="M18" s="68"/>
      <c r="N18" s="69"/>
      <c r="O18" s="67"/>
      <c r="P18" s="68"/>
      <c r="Q18" s="68"/>
      <c r="R18" s="68"/>
      <c r="S18" s="116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8"/>
      <c r="AX18" s="112"/>
      <c r="AY18" s="112"/>
      <c r="AZ18" s="112"/>
      <c r="BA18" s="112"/>
      <c r="BB18" s="112"/>
      <c r="BC18" s="113"/>
      <c r="BD18" s="115"/>
      <c r="BE18" s="112"/>
      <c r="BF18" s="112"/>
      <c r="BG18" s="112"/>
      <c r="BH18" s="112"/>
      <c r="BI18" s="112"/>
      <c r="BJ18" s="113"/>
      <c r="BK18" s="27"/>
    </row>
    <row r="19" spans="1:63" ht="15" customHeight="1" x14ac:dyDescent="0.25">
      <c r="A19" s="26"/>
      <c r="B19" s="61"/>
      <c r="C19" s="62"/>
      <c r="D19" s="62"/>
      <c r="E19" s="62"/>
      <c r="F19" s="62"/>
      <c r="G19" s="63"/>
      <c r="H19" s="61"/>
      <c r="I19" s="62"/>
      <c r="J19" s="62"/>
      <c r="K19" s="62"/>
      <c r="L19" s="62"/>
      <c r="M19" s="62"/>
      <c r="N19" s="63"/>
      <c r="O19" s="61"/>
      <c r="P19" s="62"/>
      <c r="Q19" s="62"/>
      <c r="R19" s="62"/>
      <c r="S19" s="107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9"/>
      <c r="AX19" s="110"/>
      <c r="AY19" s="110"/>
      <c r="AZ19" s="110"/>
      <c r="BA19" s="110"/>
      <c r="BB19" s="110"/>
      <c r="BC19" s="111"/>
      <c r="BD19" s="114"/>
      <c r="BE19" s="110"/>
      <c r="BF19" s="110"/>
      <c r="BG19" s="110"/>
      <c r="BH19" s="110"/>
      <c r="BI19" s="110"/>
      <c r="BJ19" s="111"/>
      <c r="BK19" s="27"/>
    </row>
    <row r="20" spans="1:63" ht="15" customHeight="1" x14ac:dyDescent="0.25">
      <c r="A20" s="26"/>
      <c r="B20" s="67"/>
      <c r="C20" s="68"/>
      <c r="D20" s="68"/>
      <c r="E20" s="68"/>
      <c r="F20" s="68"/>
      <c r="G20" s="69"/>
      <c r="H20" s="67"/>
      <c r="I20" s="68"/>
      <c r="J20" s="68"/>
      <c r="K20" s="68"/>
      <c r="L20" s="68"/>
      <c r="M20" s="68"/>
      <c r="N20" s="69"/>
      <c r="O20" s="67"/>
      <c r="P20" s="68"/>
      <c r="Q20" s="68"/>
      <c r="R20" s="68"/>
      <c r="S20" s="116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8"/>
      <c r="AX20" s="112"/>
      <c r="AY20" s="112"/>
      <c r="AZ20" s="112"/>
      <c r="BA20" s="112"/>
      <c r="BB20" s="112"/>
      <c r="BC20" s="113"/>
      <c r="BD20" s="115"/>
      <c r="BE20" s="112"/>
      <c r="BF20" s="112"/>
      <c r="BG20" s="112"/>
      <c r="BH20" s="112"/>
      <c r="BI20" s="112"/>
      <c r="BJ20" s="113"/>
      <c r="BK20" s="27"/>
    </row>
    <row r="21" spans="1:63" ht="15" customHeight="1" x14ac:dyDescent="0.25">
      <c r="A21" s="26"/>
      <c r="B21" s="61"/>
      <c r="C21" s="62"/>
      <c r="D21" s="62"/>
      <c r="E21" s="62"/>
      <c r="F21" s="62"/>
      <c r="G21" s="63"/>
      <c r="H21" s="61"/>
      <c r="I21" s="62"/>
      <c r="J21" s="62"/>
      <c r="K21" s="62"/>
      <c r="L21" s="62"/>
      <c r="M21" s="62"/>
      <c r="N21" s="63"/>
      <c r="O21" s="61"/>
      <c r="P21" s="62"/>
      <c r="Q21" s="62"/>
      <c r="R21" s="62"/>
      <c r="S21" s="107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9"/>
      <c r="AX21" s="110"/>
      <c r="AY21" s="110"/>
      <c r="AZ21" s="110"/>
      <c r="BA21" s="110"/>
      <c r="BB21" s="110"/>
      <c r="BC21" s="111"/>
      <c r="BD21" s="114"/>
      <c r="BE21" s="110"/>
      <c r="BF21" s="110"/>
      <c r="BG21" s="110"/>
      <c r="BH21" s="110"/>
      <c r="BI21" s="110"/>
      <c r="BJ21" s="111"/>
      <c r="BK21" s="27"/>
    </row>
    <row r="22" spans="1:63" ht="15" customHeight="1" x14ac:dyDescent="0.25">
      <c r="A22" s="26"/>
      <c r="B22" s="67"/>
      <c r="C22" s="68"/>
      <c r="D22" s="68"/>
      <c r="E22" s="68"/>
      <c r="F22" s="68"/>
      <c r="G22" s="69"/>
      <c r="H22" s="67"/>
      <c r="I22" s="68"/>
      <c r="J22" s="68"/>
      <c r="K22" s="68"/>
      <c r="L22" s="68"/>
      <c r="M22" s="68"/>
      <c r="N22" s="69"/>
      <c r="O22" s="67"/>
      <c r="P22" s="68"/>
      <c r="Q22" s="68"/>
      <c r="R22" s="68"/>
      <c r="S22" s="116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8"/>
      <c r="AX22" s="112"/>
      <c r="AY22" s="112"/>
      <c r="AZ22" s="112"/>
      <c r="BA22" s="112"/>
      <c r="BB22" s="112"/>
      <c r="BC22" s="113"/>
      <c r="BD22" s="115"/>
      <c r="BE22" s="112"/>
      <c r="BF22" s="112"/>
      <c r="BG22" s="112"/>
      <c r="BH22" s="112"/>
      <c r="BI22" s="112"/>
      <c r="BJ22" s="113"/>
      <c r="BK22" s="27"/>
    </row>
    <row r="23" spans="1:63" ht="15" customHeight="1" x14ac:dyDescent="0.25">
      <c r="A23" s="26"/>
      <c r="B23" s="61"/>
      <c r="C23" s="62"/>
      <c r="D23" s="62"/>
      <c r="E23" s="62"/>
      <c r="F23" s="62"/>
      <c r="G23" s="63"/>
      <c r="H23" s="61"/>
      <c r="I23" s="62"/>
      <c r="J23" s="62"/>
      <c r="K23" s="62"/>
      <c r="L23" s="62"/>
      <c r="M23" s="62"/>
      <c r="N23" s="63"/>
      <c r="O23" s="61"/>
      <c r="P23" s="62"/>
      <c r="Q23" s="62"/>
      <c r="R23" s="62"/>
      <c r="S23" s="107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9"/>
      <c r="AX23" s="110"/>
      <c r="AY23" s="110"/>
      <c r="AZ23" s="110"/>
      <c r="BA23" s="110"/>
      <c r="BB23" s="110"/>
      <c r="BC23" s="111"/>
      <c r="BD23" s="114"/>
      <c r="BE23" s="110"/>
      <c r="BF23" s="110"/>
      <c r="BG23" s="110"/>
      <c r="BH23" s="110"/>
      <c r="BI23" s="110"/>
      <c r="BJ23" s="111"/>
      <c r="BK23" s="27"/>
    </row>
    <row r="24" spans="1:63" ht="15" customHeight="1" x14ac:dyDescent="0.25">
      <c r="A24" s="26"/>
      <c r="B24" s="67"/>
      <c r="C24" s="68"/>
      <c r="D24" s="68"/>
      <c r="E24" s="68"/>
      <c r="F24" s="68"/>
      <c r="G24" s="69"/>
      <c r="H24" s="67"/>
      <c r="I24" s="68"/>
      <c r="J24" s="68"/>
      <c r="K24" s="68"/>
      <c r="L24" s="68"/>
      <c r="M24" s="68"/>
      <c r="N24" s="69"/>
      <c r="O24" s="67"/>
      <c r="P24" s="68"/>
      <c r="Q24" s="68"/>
      <c r="R24" s="68"/>
      <c r="S24" s="116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8"/>
      <c r="AX24" s="112"/>
      <c r="AY24" s="112"/>
      <c r="AZ24" s="112"/>
      <c r="BA24" s="112"/>
      <c r="BB24" s="112"/>
      <c r="BC24" s="113"/>
      <c r="BD24" s="115"/>
      <c r="BE24" s="112"/>
      <c r="BF24" s="112"/>
      <c r="BG24" s="112"/>
      <c r="BH24" s="112"/>
      <c r="BI24" s="112"/>
      <c r="BJ24" s="113"/>
      <c r="BK24" s="27"/>
    </row>
    <row r="25" spans="1:63" ht="15" customHeight="1" x14ac:dyDescent="0.25">
      <c r="A25" s="26"/>
      <c r="B25" s="61"/>
      <c r="C25" s="62"/>
      <c r="D25" s="62"/>
      <c r="E25" s="62"/>
      <c r="F25" s="62"/>
      <c r="G25" s="63"/>
      <c r="H25" s="61"/>
      <c r="I25" s="62"/>
      <c r="J25" s="62"/>
      <c r="K25" s="62"/>
      <c r="L25" s="62"/>
      <c r="M25" s="62"/>
      <c r="N25" s="63"/>
      <c r="O25" s="61"/>
      <c r="P25" s="62"/>
      <c r="Q25" s="62"/>
      <c r="R25" s="62"/>
      <c r="S25" s="107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9"/>
      <c r="AX25" s="110"/>
      <c r="AY25" s="110"/>
      <c r="AZ25" s="110"/>
      <c r="BA25" s="110"/>
      <c r="BB25" s="110"/>
      <c r="BC25" s="111"/>
      <c r="BD25" s="114"/>
      <c r="BE25" s="110"/>
      <c r="BF25" s="110"/>
      <c r="BG25" s="110"/>
      <c r="BH25" s="110"/>
      <c r="BI25" s="110"/>
      <c r="BJ25" s="111"/>
      <c r="BK25" s="27"/>
    </row>
    <row r="26" spans="1:63" ht="15" customHeight="1" x14ac:dyDescent="0.25">
      <c r="A26" s="26"/>
      <c r="B26" s="67"/>
      <c r="C26" s="68"/>
      <c r="D26" s="68"/>
      <c r="E26" s="68"/>
      <c r="F26" s="68"/>
      <c r="G26" s="69"/>
      <c r="H26" s="67"/>
      <c r="I26" s="68"/>
      <c r="J26" s="68"/>
      <c r="K26" s="68"/>
      <c r="L26" s="68"/>
      <c r="M26" s="68"/>
      <c r="N26" s="69"/>
      <c r="O26" s="67"/>
      <c r="P26" s="68"/>
      <c r="Q26" s="68"/>
      <c r="R26" s="68"/>
      <c r="S26" s="116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8"/>
      <c r="AX26" s="112"/>
      <c r="AY26" s="112"/>
      <c r="AZ26" s="112"/>
      <c r="BA26" s="112"/>
      <c r="BB26" s="112"/>
      <c r="BC26" s="113"/>
      <c r="BD26" s="115"/>
      <c r="BE26" s="112"/>
      <c r="BF26" s="112"/>
      <c r="BG26" s="112"/>
      <c r="BH26" s="112"/>
      <c r="BI26" s="112"/>
      <c r="BJ26" s="113"/>
      <c r="BK26" s="27"/>
    </row>
    <row r="27" spans="1:63" ht="15" customHeight="1" x14ac:dyDescent="0.25">
      <c r="A27" s="26"/>
      <c r="B27" s="61"/>
      <c r="C27" s="62"/>
      <c r="D27" s="62"/>
      <c r="E27" s="62"/>
      <c r="F27" s="62"/>
      <c r="G27" s="63"/>
      <c r="H27" s="61"/>
      <c r="I27" s="62"/>
      <c r="J27" s="62"/>
      <c r="K27" s="62"/>
      <c r="L27" s="62"/>
      <c r="M27" s="62"/>
      <c r="N27" s="63"/>
      <c r="O27" s="61"/>
      <c r="P27" s="62"/>
      <c r="Q27" s="62"/>
      <c r="R27" s="62"/>
      <c r="S27" s="107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9"/>
      <c r="AX27" s="110"/>
      <c r="AY27" s="110"/>
      <c r="AZ27" s="110"/>
      <c r="BA27" s="110"/>
      <c r="BB27" s="110"/>
      <c r="BC27" s="111"/>
      <c r="BD27" s="114"/>
      <c r="BE27" s="110"/>
      <c r="BF27" s="110"/>
      <c r="BG27" s="110"/>
      <c r="BH27" s="110"/>
      <c r="BI27" s="110"/>
      <c r="BJ27" s="111"/>
      <c r="BK27" s="27"/>
    </row>
    <row r="28" spans="1:63" ht="15" customHeight="1" x14ac:dyDescent="0.25">
      <c r="A28" s="26"/>
      <c r="B28" s="67"/>
      <c r="C28" s="68"/>
      <c r="D28" s="68"/>
      <c r="E28" s="68"/>
      <c r="F28" s="68"/>
      <c r="G28" s="69"/>
      <c r="H28" s="67"/>
      <c r="I28" s="68"/>
      <c r="J28" s="68"/>
      <c r="K28" s="68"/>
      <c r="L28" s="68"/>
      <c r="M28" s="68"/>
      <c r="N28" s="69"/>
      <c r="O28" s="67"/>
      <c r="P28" s="68"/>
      <c r="Q28" s="68"/>
      <c r="R28" s="68"/>
      <c r="S28" s="116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8"/>
      <c r="AX28" s="112"/>
      <c r="AY28" s="112"/>
      <c r="AZ28" s="112"/>
      <c r="BA28" s="112"/>
      <c r="BB28" s="112"/>
      <c r="BC28" s="113"/>
      <c r="BD28" s="115"/>
      <c r="BE28" s="112"/>
      <c r="BF28" s="112"/>
      <c r="BG28" s="112"/>
      <c r="BH28" s="112"/>
      <c r="BI28" s="112"/>
      <c r="BJ28" s="113"/>
      <c r="BK28" s="27"/>
    </row>
    <row r="29" spans="1:63" ht="15" customHeight="1" x14ac:dyDescent="0.25">
      <c r="A29" s="26"/>
      <c r="B29" s="61"/>
      <c r="C29" s="62"/>
      <c r="D29" s="62"/>
      <c r="E29" s="62"/>
      <c r="F29" s="62"/>
      <c r="G29" s="63"/>
      <c r="H29" s="61"/>
      <c r="I29" s="62"/>
      <c r="J29" s="62"/>
      <c r="K29" s="62"/>
      <c r="L29" s="62"/>
      <c r="M29" s="62"/>
      <c r="N29" s="63"/>
      <c r="O29" s="61"/>
      <c r="P29" s="62"/>
      <c r="Q29" s="62"/>
      <c r="R29" s="62"/>
      <c r="S29" s="107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9"/>
      <c r="AX29" s="110"/>
      <c r="AY29" s="110"/>
      <c r="AZ29" s="110"/>
      <c r="BA29" s="110"/>
      <c r="BB29" s="110"/>
      <c r="BC29" s="111"/>
      <c r="BD29" s="114"/>
      <c r="BE29" s="110"/>
      <c r="BF29" s="110"/>
      <c r="BG29" s="110"/>
      <c r="BH29" s="110"/>
      <c r="BI29" s="110"/>
      <c r="BJ29" s="111"/>
      <c r="BK29" s="27"/>
    </row>
    <row r="30" spans="1:63" ht="15" customHeight="1" x14ac:dyDescent="0.25">
      <c r="A30" s="26"/>
      <c r="B30" s="67"/>
      <c r="C30" s="68"/>
      <c r="D30" s="68"/>
      <c r="E30" s="68"/>
      <c r="F30" s="68"/>
      <c r="G30" s="69"/>
      <c r="H30" s="67"/>
      <c r="I30" s="68"/>
      <c r="J30" s="68"/>
      <c r="K30" s="68"/>
      <c r="L30" s="68"/>
      <c r="M30" s="68"/>
      <c r="N30" s="69"/>
      <c r="O30" s="67"/>
      <c r="P30" s="68"/>
      <c r="Q30" s="68"/>
      <c r="R30" s="68"/>
      <c r="S30" s="116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8"/>
      <c r="AX30" s="112"/>
      <c r="AY30" s="112"/>
      <c r="AZ30" s="112"/>
      <c r="BA30" s="112"/>
      <c r="BB30" s="112"/>
      <c r="BC30" s="113"/>
      <c r="BD30" s="115"/>
      <c r="BE30" s="112"/>
      <c r="BF30" s="112"/>
      <c r="BG30" s="112"/>
      <c r="BH30" s="112"/>
      <c r="BI30" s="112"/>
      <c r="BJ30" s="113"/>
      <c r="BK30" s="27"/>
    </row>
    <row r="31" spans="1:63" ht="15" customHeight="1" x14ac:dyDescent="0.25">
      <c r="A31" s="26"/>
      <c r="B31" s="61"/>
      <c r="C31" s="62"/>
      <c r="D31" s="62"/>
      <c r="E31" s="62"/>
      <c r="F31" s="62"/>
      <c r="G31" s="63"/>
      <c r="H31" s="61"/>
      <c r="I31" s="62"/>
      <c r="J31" s="62"/>
      <c r="K31" s="62"/>
      <c r="L31" s="62"/>
      <c r="M31" s="62"/>
      <c r="N31" s="63"/>
      <c r="O31" s="61"/>
      <c r="P31" s="62"/>
      <c r="Q31" s="62"/>
      <c r="R31" s="62"/>
      <c r="S31" s="107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9"/>
      <c r="AX31" s="110"/>
      <c r="AY31" s="110"/>
      <c r="AZ31" s="110"/>
      <c r="BA31" s="110"/>
      <c r="BB31" s="110"/>
      <c r="BC31" s="111"/>
      <c r="BD31" s="114"/>
      <c r="BE31" s="110"/>
      <c r="BF31" s="110"/>
      <c r="BG31" s="110"/>
      <c r="BH31" s="110"/>
      <c r="BI31" s="110"/>
      <c r="BJ31" s="111"/>
      <c r="BK31" s="27"/>
    </row>
    <row r="32" spans="1:63" ht="15" customHeight="1" x14ac:dyDescent="0.25">
      <c r="A32" s="26"/>
      <c r="B32" s="67"/>
      <c r="C32" s="68"/>
      <c r="D32" s="68"/>
      <c r="E32" s="68"/>
      <c r="F32" s="68"/>
      <c r="G32" s="69"/>
      <c r="H32" s="67"/>
      <c r="I32" s="68"/>
      <c r="J32" s="68"/>
      <c r="K32" s="68"/>
      <c r="L32" s="68"/>
      <c r="M32" s="68"/>
      <c r="N32" s="69"/>
      <c r="O32" s="67"/>
      <c r="P32" s="68"/>
      <c r="Q32" s="68"/>
      <c r="R32" s="68"/>
      <c r="S32" s="116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8"/>
      <c r="AX32" s="112"/>
      <c r="AY32" s="112"/>
      <c r="AZ32" s="112"/>
      <c r="BA32" s="112"/>
      <c r="BB32" s="112"/>
      <c r="BC32" s="113"/>
      <c r="BD32" s="115"/>
      <c r="BE32" s="112"/>
      <c r="BF32" s="112"/>
      <c r="BG32" s="112"/>
      <c r="BH32" s="112"/>
      <c r="BI32" s="112"/>
      <c r="BJ32" s="113"/>
      <c r="BK32" s="27"/>
    </row>
    <row r="33" spans="1:63" ht="15" customHeight="1" x14ac:dyDescent="0.25">
      <c r="A33" s="26"/>
      <c r="B33" s="61"/>
      <c r="C33" s="62"/>
      <c r="D33" s="62"/>
      <c r="E33" s="62"/>
      <c r="F33" s="62"/>
      <c r="G33" s="63"/>
      <c r="H33" s="61"/>
      <c r="I33" s="62"/>
      <c r="J33" s="62"/>
      <c r="K33" s="62"/>
      <c r="L33" s="62"/>
      <c r="M33" s="62"/>
      <c r="N33" s="63"/>
      <c r="O33" s="61"/>
      <c r="P33" s="62"/>
      <c r="Q33" s="62"/>
      <c r="R33" s="62"/>
      <c r="S33" s="107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9"/>
      <c r="AX33" s="110"/>
      <c r="AY33" s="110"/>
      <c r="AZ33" s="110"/>
      <c r="BA33" s="110"/>
      <c r="BB33" s="110"/>
      <c r="BC33" s="111"/>
      <c r="BD33" s="114"/>
      <c r="BE33" s="110"/>
      <c r="BF33" s="110"/>
      <c r="BG33" s="110"/>
      <c r="BH33" s="110"/>
      <c r="BI33" s="110"/>
      <c r="BJ33" s="111"/>
      <c r="BK33" s="27"/>
    </row>
    <row r="34" spans="1:63" ht="15" customHeight="1" x14ac:dyDescent="0.25">
      <c r="A34" s="26"/>
      <c r="B34" s="67"/>
      <c r="C34" s="68"/>
      <c r="D34" s="68"/>
      <c r="E34" s="68"/>
      <c r="F34" s="68"/>
      <c r="G34" s="69"/>
      <c r="H34" s="67"/>
      <c r="I34" s="68"/>
      <c r="J34" s="68"/>
      <c r="K34" s="68"/>
      <c r="L34" s="68"/>
      <c r="M34" s="68"/>
      <c r="N34" s="69"/>
      <c r="O34" s="67"/>
      <c r="P34" s="68"/>
      <c r="Q34" s="68"/>
      <c r="R34" s="68"/>
      <c r="S34" s="116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8"/>
      <c r="AX34" s="112"/>
      <c r="AY34" s="112"/>
      <c r="AZ34" s="112"/>
      <c r="BA34" s="112"/>
      <c r="BB34" s="112"/>
      <c r="BC34" s="113"/>
      <c r="BD34" s="115"/>
      <c r="BE34" s="112"/>
      <c r="BF34" s="112"/>
      <c r="BG34" s="112"/>
      <c r="BH34" s="112"/>
      <c r="BI34" s="112"/>
      <c r="BJ34" s="113"/>
      <c r="BK34" s="27"/>
    </row>
    <row r="35" spans="1:63" ht="15" customHeight="1" x14ac:dyDescent="0.25">
      <c r="A35" s="26"/>
      <c r="B35" s="61"/>
      <c r="C35" s="62"/>
      <c r="D35" s="62"/>
      <c r="E35" s="62"/>
      <c r="F35" s="62"/>
      <c r="G35" s="63"/>
      <c r="H35" s="61"/>
      <c r="I35" s="62"/>
      <c r="J35" s="62"/>
      <c r="K35" s="62"/>
      <c r="L35" s="62"/>
      <c r="M35" s="62"/>
      <c r="N35" s="63"/>
      <c r="O35" s="61"/>
      <c r="P35" s="62"/>
      <c r="Q35" s="62"/>
      <c r="R35" s="62"/>
      <c r="S35" s="107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9"/>
      <c r="AX35" s="110"/>
      <c r="AY35" s="110"/>
      <c r="AZ35" s="110"/>
      <c r="BA35" s="110"/>
      <c r="BB35" s="110"/>
      <c r="BC35" s="111"/>
      <c r="BD35" s="114"/>
      <c r="BE35" s="110"/>
      <c r="BF35" s="110"/>
      <c r="BG35" s="110"/>
      <c r="BH35" s="110"/>
      <c r="BI35" s="110"/>
      <c r="BJ35" s="111"/>
      <c r="BK35" s="27"/>
    </row>
    <row r="36" spans="1:63" ht="15" customHeight="1" x14ac:dyDescent="0.25">
      <c r="A36" s="26"/>
      <c r="B36" s="67"/>
      <c r="C36" s="68"/>
      <c r="D36" s="68"/>
      <c r="E36" s="68"/>
      <c r="F36" s="68"/>
      <c r="G36" s="69"/>
      <c r="H36" s="67"/>
      <c r="I36" s="68"/>
      <c r="J36" s="68"/>
      <c r="K36" s="68"/>
      <c r="L36" s="68"/>
      <c r="M36" s="68"/>
      <c r="N36" s="69"/>
      <c r="O36" s="67"/>
      <c r="P36" s="68"/>
      <c r="Q36" s="68"/>
      <c r="R36" s="68"/>
      <c r="S36" s="116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8"/>
      <c r="AX36" s="112"/>
      <c r="AY36" s="112"/>
      <c r="AZ36" s="112"/>
      <c r="BA36" s="112"/>
      <c r="BB36" s="112"/>
      <c r="BC36" s="113"/>
      <c r="BD36" s="115"/>
      <c r="BE36" s="112"/>
      <c r="BF36" s="112"/>
      <c r="BG36" s="112"/>
      <c r="BH36" s="112"/>
      <c r="BI36" s="112"/>
      <c r="BJ36" s="113"/>
      <c r="BK36" s="27"/>
    </row>
    <row r="37" spans="1:63" ht="15" customHeight="1" x14ac:dyDescent="0.25">
      <c r="A37" s="26"/>
      <c r="B37" s="61"/>
      <c r="C37" s="62"/>
      <c r="D37" s="62"/>
      <c r="E37" s="62"/>
      <c r="F37" s="62"/>
      <c r="G37" s="63"/>
      <c r="H37" s="61"/>
      <c r="I37" s="62"/>
      <c r="J37" s="62"/>
      <c r="K37" s="62"/>
      <c r="L37" s="62"/>
      <c r="M37" s="62"/>
      <c r="N37" s="63"/>
      <c r="O37" s="61"/>
      <c r="P37" s="62"/>
      <c r="Q37" s="62"/>
      <c r="R37" s="62"/>
      <c r="S37" s="107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9"/>
      <c r="AX37" s="110"/>
      <c r="AY37" s="110"/>
      <c r="AZ37" s="110"/>
      <c r="BA37" s="110"/>
      <c r="BB37" s="110"/>
      <c r="BC37" s="111"/>
      <c r="BD37" s="114"/>
      <c r="BE37" s="110"/>
      <c r="BF37" s="110"/>
      <c r="BG37" s="110"/>
      <c r="BH37" s="110"/>
      <c r="BI37" s="110"/>
      <c r="BJ37" s="111"/>
      <c r="BK37" s="27"/>
    </row>
    <row r="38" spans="1:63" ht="15" customHeight="1" x14ac:dyDescent="0.25">
      <c r="A38" s="26"/>
      <c r="B38" s="67"/>
      <c r="C38" s="68"/>
      <c r="D38" s="68"/>
      <c r="E38" s="68"/>
      <c r="F38" s="68"/>
      <c r="G38" s="69"/>
      <c r="H38" s="67"/>
      <c r="I38" s="68"/>
      <c r="J38" s="68"/>
      <c r="K38" s="68"/>
      <c r="L38" s="68"/>
      <c r="M38" s="68"/>
      <c r="N38" s="69"/>
      <c r="O38" s="67"/>
      <c r="P38" s="68"/>
      <c r="Q38" s="68"/>
      <c r="R38" s="68"/>
      <c r="S38" s="116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8"/>
      <c r="AX38" s="112"/>
      <c r="AY38" s="112"/>
      <c r="AZ38" s="112"/>
      <c r="BA38" s="112"/>
      <c r="BB38" s="112"/>
      <c r="BC38" s="113"/>
      <c r="BD38" s="115"/>
      <c r="BE38" s="112"/>
      <c r="BF38" s="112"/>
      <c r="BG38" s="112"/>
      <c r="BH38" s="112"/>
      <c r="BI38" s="112"/>
      <c r="BJ38" s="113"/>
      <c r="BK38" s="27"/>
    </row>
    <row r="39" spans="1:63" ht="15" customHeight="1" x14ac:dyDescent="0.25">
      <c r="A39" s="26"/>
      <c r="B39" s="61"/>
      <c r="C39" s="62"/>
      <c r="D39" s="62"/>
      <c r="E39" s="62"/>
      <c r="F39" s="62"/>
      <c r="G39" s="63"/>
      <c r="H39" s="61"/>
      <c r="I39" s="62"/>
      <c r="J39" s="62"/>
      <c r="K39" s="62"/>
      <c r="L39" s="62"/>
      <c r="M39" s="62"/>
      <c r="N39" s="63"/>
      <c r="O39" s="61"/>
      <c r="P39" s="62"/>
      <c r="Q39" s="62"/>
      <c r="R39" s="62"/>
      <c r="S39" s="107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9"/>
      <c r="AX39" s="110"/>
      <c r="AY39" s="110"/>
      <c r="AZ39" s="110"/>
      <c r="BA39" s="110"/>
      <c r="BB39" s="110"/>
      <c r="BC39" s="111"/>
      <c r="BD39" s="114"/>
      <c r="BE39" s="110"/>
      <c r="BF39" s="110"/>
      <c r="BG39" s="110"/>
      <c r="BH39" s="110"/>
      <c r="BI39" s="110"/>
      <c r="BJ39" s="111"/>
      <c r="BK39" s="27"/>
    </row>
    <row r="40" spans="1:63" ht="15" customHeight="1" x14ac:dyDescent="0.25">
      <c r="A40" s="26"/>
      <c r="B40" s="67"/>
      <c r="C40" s="68"/>
      <c r="D40" s="68"/>
      <c r="E40" s="68"/>
      <c r="F40" s="68"/>
      <c r="G40" s="69"/>
      <c r="H40" s="67"/>
      <c r="I40" s="68"/>
      <c r="J40" s="68"/>
      <c r="K40" s="68"/>
      <c r="L40" s="68"/>
      <c r="M40" s="68"/>
      <c r="N40" s="69"/>
      <c r="O40" s="67"/>
      <c r="P40" s="68"/>
      <c r="Q40" s="68"/>
      <c r="R40" s="68"/>
      <c r="S40" s="116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8"/>
      <c r="AX40" s="112"/>
      <c r="AY40" s="112"/>
      <c r="AZ40" s="112"/>
      <c r="BA40" s="112"/>
      <c r="BB40" s="112"/>
      <c r="BC40" s="113"/>
      <c r="BD40" s="115"/>
      <c r="BE40" s="112"/>
      <c r="BF40" s="112"/>
      <c r="BG40" s="112"/>
      <c r="BH40" s="112"/>
      <c r="BI40" s="112"/>
      <c r="BJ40" s="113"/>
      <c r="BK40" s="27"/>
    </row>
    <row r="41" spans="1:63" ht="15" customHeight="1" x14ac:dyDescent="0.25">
      <c r="A41" s="26"/>
      <c r="B41" s="61"/>
      <c r="C41" s="62"/>
      <c r="D41" s="62"/>
      <c r="E41" s="62"/>
      <c r="F41" s="62"/>
      <c r="G41" s="63"/>
      <c r="H41" s="61"/>
      <c r="I41" s="62"/>
      <c r="J41" s="62"/>
      <c r="K41" s="62"/>
      <c r="L41" s="62"/>
      <c r="M41" s="62"/>
      <c r="N41" s="63"/>
      <c r="O41" s="61"/>
      <c r="P41" s="62"/>
      <c r="Q41" s="62"/>
      <c r="R41" s="62"/>
      <c r="S41" s="107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9"/>
      <c r="AX41" s="110"/>
      <c r="AY41" s="110"/>
      <c r="AZ41" s="110"/>
      <c r="BA41" s="110"/>
      <c r="BB41" s="110"/>
      <c r="BC41" s="111"/>
      <c r="BD41" s="114"/>
      <c r="BE41" s="110"/>
      <c r="BF41" s="110"/>
      <c r="BG41" s="110"/>
      <c r="BH41" s="110"/>
      <c r="BI41" s="110"/>
      <c r="BJ41" s="111"/>
      <c r="BK41" s="27"/>
    </row>
    <row r="42" spans="1:63" ht="15" customHeight="1" x14ac:dyDescent="0.25">
      <c r="A42" s="26"/>
      <c r="B42" s="67"/>
      <c r="C42" s="68"/>
      <c r="D42" s="68"/>
      <c r="E42" s="68"/>
      <c r="F42" s="68"/>
      <c r="G42" s="69"/>
      <c r="H42" s="67"/>
      <c r="I42" s="68"/>
      <c r="J42" s="68"/>
      <c r="K42" s="68"/>
      <c r="L42" s="68"/>
      <c r="M42" s="68"/>
      <c r="N42" s="69"/>
      <c r="O42" s="67"/>
      <c r="P42" s="68"/>
      <c r="Q42" s="68"/>
      <c r="R42" s="68"/>
      <c r="S42" s="116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8"/>
      <c r="AX42" s="112"/>
      <c r="AY42" s="112"/>
      <c r="AZ42" s="112"/>
      <c r="BA42" s="112"/>
      <c r="BB42" s="112"/>
      <c r="BC42" s="113"/>
      <c r="BD42" s="115"/>
      <c r="BE42" s="112"/>
      <c r="BF42" s="112"/>
      <c r="BG42" s="112"/>
      <c r="BH42" s="112"/>
      <c r="BI42" s="112"/>
      <c r="BJ42" s="113"/>
      <c r="BK42" s="27"/>
    </row>
    <row r="43" spans="1:63" ht="15" customHeight="1" x14ac:dyDescent="0.25">
      <c r="A43" s="26"/>
      <c r="B43" s="61"/>
      <c r="C43" s="62"/>
      <c r="D43" s="62"/>
      <c r="E43" s="62"/>
      <c r="F43" s="62"/>
      <c r="G43" s="63"/>
      <c r="H43" s="61"/>
      <c r="I43" s="62"/>
      <c r="J43" s="62"/>
      <c r="K43" s="62"/>
      <c r="L43" s="62"/>
      <c r="M43" s="62"/>
      <c r="N43" s="63"/>
      <c r="O43" s="61"/>
      <c r="P43" s="62"/>
      <c r="Q43" s="62"/>
      <c r="R43" s="62"/>
      <c r="S43" s="107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9"/>
      <c r="AX43" s="110"/>
      <c r="AY43" s="110"/>
      <c r="AZ43" s="110"/>
      <c r="BA43" s="110"/>
      <c r="BB43" s="110"/>
      <c r="BC43" s="111"/>
      <c r="BD43" s="114"/>
      <c r="BE43" s="110"/>
      <c r="BF43" s="110"/>
      <c r="BG43" s="110"/>
      <c r="BH43" s="110"/>
      <c r="BI43" s="110"/>
      <c r="BJ43" s="111"/>
      <c r="BK43" s="27"/>
    </row>
    <row r="44" spans="1:63" ht="15" customHeight="1" x14ac:dyDescent="0.25">
      <c r="A44" s="26"/>
      <c r="B44" s="67"/>
      <c r="C44" s="68"/>
      <c r="D44" s="68"/>
      <c r="E44" s="68"/>
      <c r="F44" s="68"/>
      <c r="G44" s="69"/>
      <c r="H44" s="67"/>
      <c r="I44" s="68"/>
      <c r="J44" s="68"/>
      <c r="K44" s="68"/>
      <c r="L44" s="68"/>
      <c r="M44" s="68"/>
      <c r="N44" s="69"/>
      <c r="O44" s="67"/>
      <c r="P44" s="68"/>
      <c r="Q44" s="68"/>
      <c r="R44" s="68"/>
      <c r="S44" s="116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  <c r="AW44" s="118"/>
      <c r="AX44" s="112"/>
      <c r="AY44" s="112"/>
      <c r="AZ44" s="112"/>
      <c r="BA44" s="112"/>
      <c r="BB44" s="112"/>
      <c r="BC44" s="113"/>
      <c r="BD44" s="115"/>
      <c r="BE44" s="112"/>
      <c r="BF44" s="112"/>
      <c r="BG44" s="112"/>
      <c r="BH44" s="112"/>
      <c r="BI44" s="112"/>
      <c r="BJ44" s="113"/>
      <c r="BK44" s="27"/>
    </row>
    <row r="45" spans="1:63" ht="15" customHeight="1" x14ac:dyDescent="0.25">
      <c r="A45" s="26"/>
      <c r="B45" s="61"/>
      <c r="C45" s="62"/>
      <c r="D45" s="62"/>
      <c r="E45" s="62"/>
      <c r="F45" s="62"/>
      <c r="G45" s="63"/>
      <c r="H45" s="61"/>
      <c r="I45" s="62"/>
      <c r="J45" s="62"/>
      <c r="K45" s="62"/>
      <c r="L45" s="62"/>
      <c r="M45" s="62"/>
      <c r="N45" s="63"/>
      <c r="O45" s="61"/>
      <c r="P45" s="62"/>
      <c r="Q45" s="62"/>
      <c r="R45" s="62"/>
      <c r="S45" s="107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9"/>
      <c r="AX45" s="110"/>
      <c r="AY45" s="110"/>
      <c r="AZ45" s="110"/>
      <c r="BA45" s="110"/>
      <c r="BB45" s="110"/>
      <c r="BC45" s="111"/>
      <c r="BD45" s="114"/>
      <c r="BE45" s="110"/>
      <c r="BF45" s="110"/>
      <c r="BG45" s="110"/>
      <c r="BH45" s="110"/>
      <c r="BI45" s="110"/>
      <c r="BJ45" s="111"/>
      <c r="BK45" s="27"/>
    </row>
    <row r="46" spans="1:63" ht="15" customHeight="1" x14ac:dyDescent="0.25">
      <c r="A46" s="26"/>
      <c r="B46" s="67"/>
      <c r="C46" s="68"/>
      <c r="D46" s="68"/>
      <c r="E46" s="68"/>
      <c r="F46" s="68"/>
      <c r="G46" s="69"/>
      <c r="H46" s="67"/>
      <c r="I46" s="68"/>
      <c r="J46" s="68"/>
      <c r="K46" s="68"/>
      <c r="L46" s="68"/>
      <c r="M46" s="68"/>
      <c r="N46" s="69"/>
      <c r="O46" s="67"/>
      <c r="P46" s="68"/>
      <c r="Q46" s="68"/>
      <c r="R46" s="68"/>
      <c r="S46" s="116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8"/>
      <c r="AX46" s="112"/>
      <c r="AY46" s="112"/>
      <c r="AZ46" s="112"/>
      <c r="BA46" s="112"/>
      <c r="BB46" s="112"/>
      <c r="BC46" s="113"/>
      <c r="BD46" s="115"/>
      <c r="BE46" s="112"/>
      <c r="BF46" s="112"/>
      <c r="BG46" s="112"/>
      <c r="BH46" s="112"/>
      <c r="BI46" s="112"/>
      <c r="BJ46" s="113"/>
      <c r="BK46" s="27"/>
    </row>
    <row r="47" spans="1:63" ht="15" customHeight="1" x14ac:dyDescent="0.25">
      <c r="A47" s="26"/>
      <c r="B47" s="61"/>
      <c r="C47" s="62"/>
      <c r="D47" s="62"/>
      <c r="E47" s="62"/>
      <c r="F47" s="62"/>
      <c r="G47" s="63"/>
      <c r="H47" s="61"/>
      <c r="I47" s="62"/>
      <c r="J47" s="62"/>
      <c r="K47" s="62"/>
      <c r="L47" s="62"/>
      <c r="M47" s="62"/>
      <c r="N47" s="63"/>
      <c r="O47" s="61"/>
      <c r="P47" s="62"/>
      <c r="Q47" s="62"/>
      <c r="R47" s="62"/>
      <c r="S47" s="107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9"/>
      <c r="AX47" s="110"/>
      <c r="AY47" s="110"/>
      <c r="AZ47" s="110"/>
      <c r="BA47" s="110"/>
      <c r="BB47" s="110"/>
      <c r="BC47" s="111"/>
      <c r="BD47" s="114"/>
      <c r="BE47" s="110"/>
      <c r="BF47" s="110"/>
      <c r="BG47" s="110"/>
      <c r="BH47" s="110"/>
      <c r="BI47" s="110"/>
      <c r="BJ47" s="111"/>
      <c r="BK47" s="27"/>
    </row>
    <row r="48" spans="1:63" ht="15" customHeight="1" x14ac:dyDescent="0.25">
      <c r="A48" s="26"/>
      <c r="B48" s="67"/>
      <c r="C48" s="68"/>
      <c r="D48" s="68"/>
      <c r="E48" s="68"/>
      <c r="F48" s="68"/>
      <c r="G48" s="69"/>
      <c r="H48" s="67"/>
      <c r="I48" s="68"/>
      <c r="J48" s="68"/>
      <c r="K48" s="68"/>
      <c r="L48" s="68"/>
      <c r="M48" s="68"/>
      <c r="N48" s="69"/>
      <c r="O48" s="67"/>
      <c r="P48" s="68"/>
      <c r="Q48" s="68"/>
      <c r="R48" s="68"/>
      <c r="S48" s="116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8"/>
      <c r="AX48" s="112"/>
      <c r="AY48" s="112"/>
      <c r="AZ48" s="112"/>
      <c r="BA48" s="112"/>
      <c r="BB48" s="112"/>
      <c r="BC48" s="113"/>
      <c r="BD48" s="115"/>
      <c r="BE48" s="112"/>
      <c r="BF48" s="112"/>
      <c r="BG48" s="112"/>
      <c r="BH48" s="112"/>
      <c r="BI48" s="112"/>
      <c r="BJ48" s="113"/>
      <c r="BK48" s="27"/>
    </row>
    <row r="49" spans="1:63" ht="15" customHeight="1" x14ac:dyDescent="0.25">
      <c r="A49" s="26"/>
      <c r="B49" s="61"/>
      <c r="C49" s="62"/>
      <c r="D49" s="62"/>
      <c r="E49" s="62"/>
      <c r="F49" s="62"/>
      <c r="G49" s="63"/>
      <c r="H49" s="61"/>
      <c r="I49" s="62"/>
      <c r="J49" s="62"/>
      <c r="K49" s="62"/>
      <c r="L49" s="62"/>
      <c r="M49" s="62"/>
      <c r="N49" s="63"/>
      <c r="O49" s="61"/>
      <c r="P49" s="62"/>
      <c r="Q49" s="62"/>
      <c r="R49" s="62"/>
      <c r="S49" s="107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9"/>
      <c r="AX49" s="110"/>
      <c r="AY49" s="110"/>
      <c r="AZ49" s="110"/>
      <c r="BA49" s="110"/>
      <c r="BB49" s="110"/>
      <c r="BC49" s="111"/>
      <c r="BD49" s="114"/>
      <c r="BE49" s="110"/>
      <c r="BF49" s="110"/>
      <c r="BG49" s="110"/>
      <c r="BH49" s="110"/>
      <c r="BI49" s="110"/>
      <c r="BJ49" s="111"/>
      <c r="BK49" s="27"/>
    </row>
    <row r="50" spans="1:63" ht="15" customHeight="1" x14ac:dyDescent="0.25">
      <c r="A50" s="26"/>
      <c r="B50" s="67"/>
      <c r="C50" s="68"/>
      <c r="D50" s="68"/>
      <c r="E50" s="68"/>
      <c r="F50" s="68"/>
      <c r="G50" s="69"/>
      <c r="H50" s="67"/>
      <c r="I50" s="68"/>
      <c r="J50" s="68"/>
      <c r="K50" s="68"/>
      <c r="L50" s="68"/>
      <c r="M50" s="68"/>
      <c r="N50" s="69"/>
      <c r="O50" s="67"/>
      <c r="P50" s="68"/>
      <c r="Q50" s="68"/>
      <c r="R50" s="68"/>
      <c r="S50" s="116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8"/>
      <c r="AX50" s="112"/>
      <c r="AY50" s="112"/>
      <c r="AZ50" s="112"/>
      <c r="BA50" s="112"/>
      <c r="BB50" s="112"/>
      <c r="BC50" s="113"/>
      <c r="BD50" s="115"/>
      <c r="BE50" s="112"/>
      <c r="BF50" s="112"/>
      <c r="BG50" s="112"/>
      <c r="BH50" s="112"/>
      <c r="BI50" s="112"/>
      <c r="BJ50" s="113"/>
      <c r="BK50" s="27"/>
    </row>
    <row r="51" spans="1:63" ht="15" customHeight="1" x14ac:dyDescent="0.25">
      <c r="A51" s="26"/>
      <c r="B51" s="61"/>
      <c r="C51" s="62"/>
      <c r="D51" s="62"/>
      <c r="E51" s="62"/>
      <c r="F51" s="62"/>
      <c r="G51" s="63"/>
      <c r="H51" s="61"/>
      <c r="I51" s="62"/>
      <c r="J51" s="62"/>
      <c r="K51" s="62"/>
      <c r="L51" s="62"/>
      <c r="M51" s="62"/>
      <c r="N51" s="63"/>
      <c r="O51" s="61"/>
      <c r="P51" s="62"/>
      <c r="Q51" s="62"/>
      <c r="R51" s="62"/>
      <c r="S51" s="107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9"/>
      <c r="AX51" s="110"/>
      <c r="AY51" s="110"/>
      <c r="AZ51" s="110"/>
      <c r="BA51" s="110"/>
      <c r="BB51" s="110"/>
      <c r="BC51" s="111"/>
      <c r="BD51" s="114"/>
      <c r="BE51" s="110"/>
      <c r="BF51" s="110"/>
      <c r="BG51" s="110"/>
      <c r="BH51" s="110"/>
      <c r="BI51" s="110"/>
      <c r="BJ51" s="111"/>
      <c r="BK51" s="27"/>
    </row>
    <row r="52" spans="1:63" ht="15" customHeight="1" x14ac:dyDescent="0.25">
      <c r="A52" s="26"/>
      <c r="B52" s="67"/>
      <c r="C52" s="68"/>
      <c r="D52" s="68"/>
      <c r="E52" s="68"/>
      <c r="F52" s="68"/>
      <c r="G52" s="69"/>
      <c r="H52" s="67"/>
      <c r="I52" s="68"/>
      <c r="J52" s="68"/>
      <c r="K52" s="68"/>
      <c r="L52" s="68"/>
      <c r="M52" s="68"/>
      <c r="N52" s="69"/>
      <c r="O52" s="67"/>
      <c r="P52" s="68"/>
      <c r="Q52" s="68"/>
      <c r="R52" s="68"/>
      <c r="S52" s="116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  <c r="AW52" s="118"/>
      <c r="AX52" s="112"/>
      <c r="AY52" s="112"/>
      <c r="AZ52" s="112"/>
      <c r="BA52" s="112"/>
      <c r="BB52" s="112"/>
      <c r="BC52" s="113"/>
      <c r="BD52" s="115"/>
      <c r="BE52" s="112"/>
      <c r="BF52" s="112"/>
      <c r="BG52" s="112"/>
      <c r="BH52" s="112"/>
      <c r="BI52" s="112"/>
      <c r="BJ52" s="113"/>
      <c r="BK52" s="27"/>
    </row>
    <row r="53" spans="1:63" ht="15" customHeight="1" x14ac:dyDescent="0.25">
      <c r="A53" s="26"/>
      <c r="B53" s="61"/>
      <c r="C53" s="62"/>
      <c r="D53" s="62"/>
      <c r="E53" s="62"/>
      <c r="F53" s="62"/>
      <c r="G53" s="63"/>
      <c r="H53" s="61"/>
      <c r="I53" s="62"/>
      <c r="J53" s="62"/>
      <c r="K53" s="62"/>
      <c r="L53" s="62"/>
      <c r="M53" s="62"/>
      <c r="N53" s="63"/>
      <c r="O53" s="61"/>
      <c r="P53" s="62"/>
      <c r="Q53" s="62"/>
      <c r="R53" s="62"/>
      <c r="S53" s="107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9"/>
      <c r="AX53" s="110"/>
      <c r="AY53" s="110"/>
      <c r="AZ53" s="110"/>
      <c r="BA53" s="110"/>
      <c r="BB53" s="110"/>
      <c r="BC53" s="111"/>
      <c r="BD53" s="114"/>
      <c r="BE53" s="110"/>
      <c r="BF53" s="110"/>
      <c r="BG53" s="110"/>
      <c r="BH53" s="110"/>
      <c r="BI53" s="110"/>
      <c r="BJ53" s="111"/>
      <c r="BK53" s="27"/>
    </row>
    <row r="54" spans="1:63" ht="15" customHeight="1" x14ac:dyDescent="0.25">
      <c r="A54" s="26"/>
      <c r="B54" s="67"/>
      <c r="C54" s="68"/>
      <c r="D54" s="68"/>
      <c r="E54" s="68"/>
      <c r="F54" s="68"/>
      <c r="G54" s="69"/>
      <c r="H54" s="67"/>
      <c r="I54" s="68"/>
      <c r="J54" s="68"/>
      <c r="K54" s="68"/>
      <c r="L54" s="68"/>
      <c r="M54" s="68"/>
      <c r="N54" s="69"/>
      <c r="O54" s="67"/>
      <c r="P54" s="68"/>
      <c r="Q54" s="68"/>
      <c r="R54" s="68"/>
      <c r="S54" s="116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8"/>
      <c r="AX54" s="112"/>
      <c r="AY54" s="112"/>
      <c r="AZ54" s="112"/>
      <c r="BA54" s="112"/>
      <c r="BB54" s="112"/>
      <c r="BC54" s="113"/>
      <c r="BD54" s="115"/>
      <c r="BE54" s="112"/>
      <c r="BF54" s="112"/>
      <c r="BG54" s="112"/>
      <c r="BH54" s="112"/>
      <c r="BI54" s="112"/>
      <c r="BJ54" s="113"/>
      <c r="BK54" s="27"/>
    </row>
    <row r="55" spans="1:63" ht="15" customHeight="1" x14ac:dyDescent="0.25">
      <c r="A55" s="23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7" t="s">
        <v>54</v>
      </c>
      <c r="B1" s="128"/>
      <c r="C1" s="128"/>
      <c r="D1" s="128"/>
      <c r="E1" s="128"/>
      <c r="F1" s="128"/>
      <c r="G1" s="128"/>
      <c r="H1" s="128"/>
      <c r="I1" s="128"/>
      <c r="J1" s="129"/>
      <c r="K1" s="127" t="s">
        <v>55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9"/>
      <c r="W1" s="130" t="str">
        <f>IF(表紙!W1="","",表紙!W1)</f>
        <v>詳細設計書</v>
      </c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2"/>
      <c r="AP1" s="76" t="s">
        <v>57</v>
      </c>
      <c r="AQ1" s="77"/>
      <c r="AR1" s="77"/>
      <c r="AS1" s="78"/>
      <c r="AT1" s="76" t="s">
        <v>58</v>
      </c>
      <c r="AU1" s="77"/>
      <c r="AV1" s="77"/>
      <c r="AW1" s="77"/>
      <c r="AX1" s="78"/>
      <c r="AY1" s="76" t="s">
        <v>59</v>
      </c>
      <c r="AZ1" s="77"/>
      <c r="BA1" s="77"/>
      <c r="BB1" s="78"/>
      <c r="BC1" s="76" t="s">
        <v>60</v>
      </c>
      <c r="BD1" s="77"/>
      <c r="BE1" s="77"/>
      <c r="BF1" s="77"/>
      <c r="BG1" s="78"/>
      <c r="BH1" s="76" t="s">
        <v>61</v>
      </c>
      <c r="BI1" s="77"/>
      <c r="BJ1" s="77"/>
      <c r="BK1" s="78"/>
    </row>
    <row r="2" spans="1:63" ht="15" customHeight="1" x14ac:dyDescent="0.25">
      <c r="A2" s="121" t="str">
        <f>IF(表紙!A2="","",表紙!A2)</f>
        <v>POSサーバー</v>
      </c>
      <c r="B2" s="122"/>
      <c r="C2" s="122"/>
      <c r="D2" s="122"/>
      <c r="E2" s="122"/>
      <c r="F2" s="122"/>
      <c r="G2" s="122"/>
      <c r="H2" s="122"/>
      <c r="I2" s="122"/>
      <c r="J2" s="123"/>
      <c r="K2" s="121" t="str">
        <f>IF(表紙!K2="","",表紙!K2)</f>
        <v>POSサーバー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  <c r="W2" s="133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5"/>
      <c r="AP2" s="61" t="str">
        <f>IF(表紙!AP2="","",表紙!AP2)</f>
        <v>DuNT</v>
      </c>
      <c r="AQ2" s="62"/>
      <c r="AR2" s="62"/>
      <c r="AS2" s="63"/>
      <c r="AT2" s="91">
        <f>IF(表紙!AT2="","",表紙!AT2)</f>
        <v>45617</v>
      </c>
      <c r="AU2" s="92"/>
      <c r="AV2" s="92"/>
      <c r="AW2" s="92"/>
      <c r="AX2" s="93"/>
      <c r="AY2" s="61" t="str">
        <f>IF(表紙!AY2="","",表紙!AY2)</f>
        <v>DuNT</v>
      </c>
      <c r="AZ2" s="62"/>
      <c r="BA2" s="62"/>
      <c r="BB2" s="63"/>
      <c r="BC2" s="91">
        <f>IF(表紙!BC2="","",表紙!BC2)</f>
        <v>45623</v>
      </c>
      <c r="BD2" s="92"/>
      <c r="BE2" s="92"/>
      <c r="BF2" s="92"/>
      <c r="BG2" s="93"/>
      <c r="BH2" s="61">
        <f>IF(表紙!BH2="","",表紙!BH2)</f>
        <v>0.11</v>
      </c>
      <c r="BI2" s="62"/>
      <c r="BJ2" s="62"/>
      <c r="BK2" s="63"/>
    </row>
    <row r="3" spans="1:63" ht="15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6"/>
      <c r="K3" s="124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6"/>
      <c r="W3" s="13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8"/>
      <c r="AP3" s="67"/>
      <c r="AQ3" s="68"/>
      <c r="AR3" s="68"/>
      <c r="AS3" s="69"/>
      <c r="AT3" s="94"/>
      <c r="AU3" s="95"/>
      <c r="AV3" s="95"/>
      <c r="AW3" s="95"/>
      <c r="AX3" s="96"/>
      <c r="AY3" s="67"/>
      <c r="AZ3" s="68"/>
      <c r="BA3" s="68"/>
      <c r="BB3" s="69"/>
      <c r="BC3" s="94"/>
      <c r="BD3" s="95"/>
      <c r="BE3" s="95"/>
      <c r="BF3" s="95"/>
      <c r="BG3" s="96"/>
      <c r="BH3" s="67"/>
      <c r="BI3" s="68"/>
      <c r="BJ3" s="68"/>
      <c r="BK3" s="69"/>
    </row>
    <row r="4" spans="1:63" ht="24.95" customHeight="1" x14ac:dyDescent="0.25">
      <c r="A4" s="127" t="s">
        <v>63</v>
      </c>
      <c r="B4" s="128"/>
      <c r="C4" s="128"/>
      <c r="D4" s="128"/>
      <c r="E4" s="128"/>
      <c r="F4" s="128"/>
      <c r="G4" s="129"/>
      <c r="H4" s="139" t="str">
        <f>IF(表紙!H4="","",表紙!H4)</f>
        <v>AP8204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27" t="s">
        <v>64</v>
      </c>
      <c r="V4" s="128"/>
      <c r="W4" s="128"/>
      <c r="X4" s="128"/>
      <c r="Y4" s="129"/>
      <c r="Z4" s="139" t="str">
        <f>IF(表紙!Z4="","",表紙!Z4)</f>
        <v>API設計書</v>
      </c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1"/>
      <c r="AP4" s="142" t="str">
        <f ca="1">MID(CELL("filename",A1),FIND("]",CELL("filename",A1))+1,255)</f>
        <v>処理フロー凡例</v>
      </c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2" customFormat="1" ht="15" customHeight="1" x14ac:dyDescent="0.25">
      <c r="A7" s="38"/>
      <c r="B7" s="39" t="s">
        <v>71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1"/>
      <c r="AF7" s="42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1"/>
      <c r="BJ7" s="40"/>
      <c r="BK7" s="43"/>
    </row>
    <row r="8" spans="1:63" s="44" customFormat="1" ht="15" customHeight="1" x14ac:dyDescent="0.25">
      <c r="BK8" s="43"/>
    </row>
    <row r="9" spans="1:63" s="44" customFormat="1" ht="15" customHeight="1" x14ac:dyDescent="0.25">
      <c r="BK9" s="43"/>
    </row>
    <row r="10" spans="1:63" s="44" customFormat="1" ht="15" customHeight="1" x14ac:dyDescent="0.25">
      <c r="BK10" s="43"/>
    </row>
    <row r="11" spans="1:63" s="44" customFormat="1" ht="15" customHeight="1" x14ac:dyDescent="0.25">
      <c r="BK11" s="43"/>
    </row>
    <row r="12" spans="1:63" s="44" customFormat="1" ht="15" customHeight="1" x14ac:dyDescent="0.25">
      <c r="BK12" s="43"/>
    </row>
    <row r="13" spans="1:63" s="44" customFormat="1" ht="15" customHeight="1" x14ac:dyDescent="0.25">
      <c r="BK13" s="43"/>
    </row>
    <row r="14" spans="1:63" s="44" customFormat="1" ht="15" customHeight="1" x14ac:dyDescent="0.25">
      <c r="BK14" s="43"/>
    </row>
    <row r="15" spans="1:63" s="44" customFormat="1" ht="15" customHeight="1" x14ac:dyDescent="0.25">
      <c r="BK15" s="43"/>
    </row>
    <row r="16" spans="1:63" s="44" customFormat="1" ht="15" customHeight="1" x14ac:dyDescent="0.25">
      <c r="BK16" s="43"/>
    </row>
    <row r="17" spans="63:63" s="44" customFormat="1" ht="15" customHeight="1" x14ac:dyDescent="0.25">
      <c r="BK17" s="43"/>
    </row>
    <row r="18" spans="63:63" s="44" customFormat="1" ht="15" customHeight="1" x14ac:dyDescent="0.25">
      <c r="BK18" s="43"/>
    </row>
    <row r="19" spans="63:63" s="44" customFormat="1" ht="15" customHeight="1" x14ac:dyDescent="0.25">
      <c r="BK19" s="43"/>
    </row>
    <row r="20" spans="63:63" s="44" customFormat="1" ht="15" customHeight="1" x14ac:dyDescent="0.25">
      <c r="BK20" s="43"/>
    </row>
    <row r="21" spans="63:63" s="44" customFormat="1" ht="15" customHeight="1" x14ac:dyDescent="0.25">
      <c r="BK21" s="43"/>
    </row>
    <row r="22" spans="63:63" s="44" customFormat="1" ht="15" customHeight="1" x14ac:dyDescent="0.25">
      <c r="BK22" s="43"/>
    </row>
    <row r="23" spans="63:63" s="44" customFormat="1" ht="15" customHeight="1" x14ac:dyDescent="0.25">
      <c r="BK23" s="43"/>
    </row>
    <row r="24" spans="63:63" s="44" customFormat="1" ht="15" customHeight="1" x14ac:dyDescent="0.25">
      <c r="BK24" s="43"/>
    </row>
    <row r="25" spans="63:63" s="44" customFormat="1" ht="15" customHeight="1" x14ac:dyDescent="0.25">
      <c r="BK25" s="43"/>
    </row>
    <row r="26" spans="63:63" s="44" customFormat="1" ht="15" customHeight="1" x14ac:dyDescent="0.25">
      <c r="BK26" s="43"/>
    </row>
    <row r="27" spans="63:63" s="44" customFormat="1" ht="15" customHeight="1" x14ac:dyDescent="0.25">
      <c r="BK27" s="43"/>
    </row>
    <row r="28" spans="63:63" s="44" customFormat="1" ht="15" customHeight="1" x14ac:dyDescent="0.25">
      <c r="BK28" s="43"/>
    </row>
    <row r="29" spans="63:63" s="44" customFormat="1" ht="15" customHeight="1" x14ac:dyDescent="0.25">
      <c r="BK29" s="43"/>
    </row>
    <row r="30" spans="63:63" s="44" customFormat="1" ht="15" customHeight="1" x14ac:dyDescent="0.25">
      <c r="BK30" s="43"/>
    </row>
    <row r="31" spans="63:63" s="44" customFormat="1" ht="15" customHeight="1" x14ac:dyDescent="0.25">
      <c r="BK31" s="43"/>
    </row>
    <row r="32" spans="63:63" s="44" customFormat="1" ht="15" customHeight="1" x14ac:dyDescent="0.25">
      <c r="BK32" s="43"/>
    </row>
    <row r="33" spans="63:63" s="44" customFormat="1" ht="15" customHeight="1" x14ac:dyDescent="0.25">
      <c r="BK33" s="43"/>
    </row>
    <row r="34" spans="63:63" s="44" customFormat="1" ht="15" customHeight="1" x14ac:dyDescent="0.25">
      <c r="BK34" s="43"/>
    </row>
    <row r="35" spans="63:63" s="44" customFormat="1" ht="15" customHeight="1" x14ac:dyDescent="0.25">
      <c r="BK35" s="43"/>
    </row>
    <row r="36" spans="63:63" s="44" customFormat="1" ht="15" customHeight="1" x14ac:dyDescent="0.25">
      <c r="BK36" s="43"/>
    </row>
    <row r="37" spans="63:63" s="44" customFormat="1" ht="15" customHeight="1" x14ac:dyDescent="0.25">
      <c r="BK37" s="43"/>
    </row>
    <row r="38" spans="63:63" s="44" customFormat="1" ht="15" customHeight="1" x14ac:dyDescent="0.25">
      <c r="BK38" s="43"/>
    </row>
    <row r="39" spans="63:63" s="44" customFormat="1" ht="15" customHeight="1" x14ac:dyDescent="0.25">
      <c r="BK39" s="43"/>
    </row>
    <row r="40" spans="63:63" s="44" customFormat="1" ht="15" customHeight="1" x14ac:dyDescent="0.25">
      <c r="BK40" s="43"/>
    </row>
    <row r="41" spans="63:63" s="44" customFormat="1" ht="15" customHeight="1" x14ac:dyDescent="0.25">
      <c r="BK41" s="43"/>
    </row>
    <row r="42" spans="63:63" s="44" customFormat="1" ht="15" customHeight="1" x14ac:dyDescent="0.25">
      <c r="BK42" s="43"/>
    </row>
    <row r="43" spans="63:63" s="44" customFormat="1" ht="15" customHeight="1" x14ac:dyDescent="0.25">
      <c r="BK43" s="43"/>
    </row>
    <row r="44" spans="63:63" s="44" customFormat="1" ht="15" customHeight="1" x14ac:dyDescent="0.25">
      <c r="BK44" s="43"/>
    </row>
    <row r="45" spans="63:63" s="44" customFormat="1" ht="15" customHeight="1" x14ac:dyDescent="0.25">
      <c r="BK45" s="43"/>
    </row>
    <row r="46" spans="63:63" s="44" customFormat="1" ht="15" customHeight="1" x14ac:dyDescent="0.25">
      <c r="BK46" s="4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45" customWidth="1"/>
    <col min="64" max="16384" width="10.109375" style="45"/>
  </cols>
  <sheetData>
    <row r="1" spans="1:63" ht="24.95" customHeight="1" x14ac:dyDescent="0.25">
      <c r="A1" s="127" t="s">
        <v>54</v>
      </c>
      <c r="B1" s="128"/>
      <c r="C1" s="128"/>
      <c r="D1" s="128"/>
      <c r="E1" s="128"/>
      <c r="F1" s="128"/>
      <c r="G1" s="128"/>
      <c r="H1" s="128"/>
      <c r="I1" s="128"/>
      <c r="J1" s="129"/>
      <c r="K1" s="127" t="s">
        <v>55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9"/>
      <c r="W1" s="130" t="str">
        <f>IF(表紙!W1="","",表紙!W1)</f>
        <v>詳細設計書</v>
      </c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2"/>
      <c r="AP1" s="76" t="s">
        <v>57</v>
      </c>
      <c r="AQ1" s="77"/>
      <c r="AR1" s="77"/>
      <c r="AS1" s="78"/>
      <c r="AT1" s="76" t="s">
        <v>58</v>
      </c>
      <c r="AU1" s="77"/>
      <c r="AV1" s="77"/>
      <c r="AW1" s="77"/>
      <c r="AX1" s="78"/>
      <c r="AY1" s="76" t="s">
        <v>59</v>
      </c>
      <c r="AZ1" s="77"/>
      <c r="BA1" s="77"/>
      <c r="BB1" s="78"/>
      <c r="BC1" s="76" t="s">
        <v>60</v>
      </c>
      <c r="BD1" s="77"/>
      <c r="BE1" s="77"/>
      <c r="BF1" s="77"/>
      <c r="BG1" s="78"/>
      <c r="BH1" s="76" t="s">
        <v>61</v>
      </c>
      <c r="BI1" s="77"/>
      <c r="BJ1" s="77"/>
      <c r="BK1" s="78"/>
    </row>
    <row r="2" spans="1:63" ht="15" customHeight="1" x14ac:dyDescent="0.25">
      <c r="A2" s="178" t="str">
        <f>IF(表紙!A2="","",表紙!A2)</f>
        <v>POSサーバー</v>
      </c>
      <c r="B2" s="179"/>
      <c r="C2" s="179"/>
      <c r="D2" s="179"/>
      <c r="E2" s="179"/>
      <c r="F2" s="179"/>
      <c r="G2" s="179"/>
      <c r="H2" s="179"/>
      <c r="I2" s="179"/>
      <c r="J2" s="180"/>
      <c r="K2" s="178" t="str">
        <f>IF(表紙!K2="","",表紙!K2)</f>
        <v>POSサーバー</v>
      </c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/>
      <c r="W2" s="133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5"/>
      <c r="AP2" s="61" t="str">
        <f>IF(表紙!AP2="","",表紙!AP2)</f>
        <v>DuNT</v>
      </c>
      <c r="AQ2" s="62"/>
      <c r="AR2" s="62"/>
      <c r="AS2" s="63"/>
      <c r="AT2" s="91">
        <f>IF(表紙!AT2="","",表紙!AT2)</f>
        <v>45617</v>
      </c>
      <c r="AU2" s="92"/>
      <c r="AV2" s="92"/>
      <c r="AW2" s="92"/>
      <c r="AX2" s="93"/>
      <c r="AY2" s="61" t="str">
        <f>IF(表紙!AY2="","",表紙!AY2)</f>
        <v>DuNT</v>
      </c>
      <c r="AZ2" s="62"/>
      <c r="BA2" s="62"/>
      <c r="BB2" s="63"/>
      <c r="BC2" s="91">
        <f>IF(表紙!BC2="","",表紙!BC2)</f>
        <v>45623</v>
      </c>
      <c r="BD2" s="92"/>
      <c r="BE2" s="92"/>
      <c r="BF2" s="92"/>
      <c r="BG2" s="93"/>
      <c r="BH2" s="61">
        <f>IF(表紙!BH2="","",表紙!BH2)</f>
        <v>0.11</v>
      </c>
      <c r="BI2" s="62"/>
      <c r="BJ2" s="62"/>
      <c r="BK2" s="63"/>
    </row>
    <row r="3" spans="1:63" ht="15" customHeight="1" x14ac:dyDescent="0.25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3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8"/>
      <c r="AP3" s="67"/>
      <c r="AQ3" s="68"/>
      <c r="AR3" s="68"/>
      <c r="AS3" s="69"/>
      <c r="AT3" s="94"/>
      <c r="AU3" s="95"/>
      <c r="AV3" s="95"/>
      <c r="AW3" s="95"/>
      <c r="AX3" s="96"/>
      <c r="AY3" s="67"/>
      <c r="AZ3" s="68"/>
      <c r="BA3" s="68"/>
      <c r="BB3" s="69"/>
      <c r="BC3" s="94"/>
      <c r="BD3" s="95"/>
      <c r="BE3" s="95"/>
      <c r="BF3" s="95"/>
      <c r="BG3" s="96"/>
      <c r="BH3" s="67"/>
      <c r="BI3" s="68"/>
      <c r="BJ3" s="68"/>
      <c r="BK3" s="69"/>
    </row>
    <row r="4" spans="1:63" ht="24.95" customHeight="1" x14ac:dyDescent="0.25">
      <c r="A4" s="127" t="s">
        <v>63</v>
      </c>
      <c r="B4" s="128"/>
      <c r="C4" s="128"/>
      <c r="D4" s="128"/>
      <c r="E4" s="128"/>
      <c r="F4" s="128"/>
      <c r="G4" s="129"/>
      <c r="H4" s="175" t="str">
        <f>IF(表紙!H4="","",表紙!H4)</f>
        <v>AP8204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27" t="s">
        <v>64</v>
      </c>
      <c r="V4" s="128"/>
      <c r="W4" s="128"/>
      <c r="X4" s="128"/>
      <c r="Y4" s="129"/>
      <c r="Z4" s="175" t="str">
        <f>IF(表紙!Z4="","",表紙!Z4)</f>
        <v>API設計書</v>
      </c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7"/>
      <c r="AP4" s="175" t="str">
        <f ca="1">MID(CELL("filename",A1),FIND("]",CELL("filename",A1))+1,255)</f>
        <v>AP8204</v>
      </c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7"/>
    </row>
    <row r="5" spans="1:63" ht="5.0999999999999996" customHeight="1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 x14ac:dyDescent="0.25">
      <c r="A6" s="49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1"/>
    </row>
    <row r="7" spans="1:63" s="55" customFormat="1" ht="15" customHeight="1" x14ac:dyDescent="0.25">
      <c r="A7" s="52"/>
      <c r="B7" s="15" t="s">
        <v>72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  <c r="BI7" s="54"/>
      <c r="BJ7" s="54"/>
      <c r="BK7" s="43"/>
    </row>
    <row r="8" spans="1:63" s="55" customFormat="1" ht="15" customHeight="1" x14ac:dyDescent="0.25">
      <c r="A8" s="52"/>
      <c r="B8" s="1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44"/>
      <c r="BI8" s="44"/>
      <c r="BJ8" s="44"/>
      <c r="BK8" s="43"/>
    </row>
    <row r="9" spans="1:63" s="55" customFormat="1" ht="15" customHeight="1" x14ac:dyDescent="0.25">
      <c r="A9" s="52"/>
      <c r="B9" s="16"/>
      <c r="C9" s="56" t="s">
        <v>52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44"/>
      <c r="BI9" s="44"/>
      <c r="BJ9" s="44"/>
      <c r="BK9" s="43"/>
    </row>
    <row r="10" spans="1:63" s="55" customFormat="1" ht="15" customHeight="1" x14ac:dyDescent="0.25">
      <c r="A10" s="52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44"/>
      <c r="BI10" s="44"/>
      <c r="BJ10" s="44"/>
      <c r="BK10" s="43"/>
    </row>
    <row r="11" spans="1:63" s="55" customFormat="1" ht="15" customHeight="1" x14ac:dyDescent="0.25">
      <c r="A11" s="52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44"/>
      <c r="BI11" s="44"/>
      <c r="BJ11" s="44"/>
      <c r="BK11" s="43"/>
    </row>
    <row r="12" spans="1:63" s="55" customFormat="1" ht="15" customHeight="1" x14ac:dyDescent="0.25">
      <c r="A12" s="52"/>
      <c r="B12" s="15" t="s">
        <v>73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  <c r="BI12" s="54"/>
      <c r="BJ12" s="54"/>
      <c r="BK12" s="43"/>
    </row>
    <row r="13" spans="1:63" s="55" customFormat="1" ht="15" customHeight="1" x14ac:dyDescent="0.25">
      <c r="A13" s="52"/>
      <c r="B13" s="56"/>
      <c r="C13" s="1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44"/>
      <c r="BI13" s="44"/>
      <c r="BJ13" s="44"/>
      <c r="BK13" s="43"/>
    </row>
    <row r="14" spans="1:63" s="55" customFormat="1" ht="15" customHeight="1" x14ac:dyDescent="0.25">
      <c r="A14" s="52"/>
      <c r="B14" s="56"/>
      <c r="C14" s="16" t="s">
        <v>74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44"/>
      <c r="BI14" s="44"/>
      <c r="BJ14" s="44"/>
      <c r="BK14" s="43"/>
    </row>
    <row r="15" spans="1:63" s="55" customFormat="1" ht="15" customHeight="1" x14ac:dyDescent="0.25">
      <c r="A15" s="52"/>
      <c r="B15" s="56"/>
      <c r="C15" s="1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44"/>
      <c r="BI15" s="44"/>
      <c r="BJ15" s="44"/>
      <c r="BK15" s="43"/>
    </row>
    <row r="16" spans="1:63" s="55" customFormat="1" ht="15" customHeight="1" x14ac:dyDescent="0.25">
      <c r="A16" s="52"/>
      <c r="B16" s="56"/>
      <c r="C16" s="149" t="s">
        <v>13</v>
      </c>
      <c r="D16" s="151"/>
      <c r="E16" s="149" t="s">
        <v>30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1"/>
      <c r="AG16" s="149" t="s">
        <v>31</v>
      </c>
      <c r="AH16" s="150"/>
      <c r="AI16" s="150"/>
      <c r="AJ16" s="150"/>
      <c r="AK16" s="150"/>
      <c r="AL16" s="150"/>
      <c r="AM16" s="150"/>
      <c r="AN16" s="150"/>
      <c r="AO16" s="150"/>
      <c r="AP16" s="151"/>
      <c r="AQ16" s="149" t="s">
        <v>32</v>
      </c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1"/>
      <c r="BK16" s="43"/>
    </row>
    <row r="17" spans="1:63" s="55" customFormat="1" ht="15" customHeight="1" x14ac:dyDescent="0.25">
      <c r="A17" s="52"/>
      <c r="B17" s="56"/>
      <c r="C17" s="143">
        <v>1</v>
      </c>
      <c r="D17" s="145"/>
      <c r="E17" s="152" t="s">
        <v>26</v>
      </c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4"/>
      <c r="AG17" s="143" t="s">
        <v>29</v>
      </c>
      <c r="AH17" s="144"/>
      <c r="AI17" s="144"/>
      <c r="AJ17" s="144"/>
      <c r="AK17" s="144"/>
      <c r="AL17" s="144"/>
      <c r="AM17" s="144"/>
      <c r="AN17" s="144"/>
      <c r="AO17" s="144"/>
      <c r="AP17" s="145"/>
      <c r="AQ17" s="143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5"/>
      <c r="BK17" s="43"/>
    </row>
    <row r="18" spans="1:63" s="55" customFormat="1" ht="15" customHeight="1" x14ac:dyDescent="0.25">
      <c r="A18" s="52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44"/>
      <c r="BI18" s="44"/>
      <c r="BJ18" s="44"/>
      <c r="BK18" s="43"/>
    </row>
    <row r="19" spans="1:63" s="55" customFormat="1" ht="15" customHeight="1" x14ac:dyDescent="0.25">
      <c r="A19" s="52"/>
      <c r="B19" s="56"/>
      <c r="C19" s="16" t="s">
        <v>75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44"/>
      <c r="BI19" s="44"/>
      <c r="BJ19" s="44"/>
      <c r="BK19" s="43"/>
    </row>
    <row r="20" spans="1:63" s="55" customFormat="1" ht="15" customHeight="1" x14ac:dyDescent="0.25">
      <c r="A20" s="52"/>
      <c r="B20" s="56"/>
      <c r="C20" s="1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44"/>
      <c r="BI20" s="44"/>
      <c r="BJ20" s="44"/>
      <c r="BK20" s="43"/>
    </row>
    <row r="21" spans="1:63" s="55" customFormat="1" ht="15" customHeight="1" x14ac:dyDescent="0.25">
      <c r="A21" s="52"/>
      <c r="B21" s="56"/>
      <c r="C21" s="149" t="s">
        <v>13</v>
      </c>
      <c r="D21" s="151"/>
      <c r="E21" s="149" t="s">
        <v>3</v>
      </c>
      <c r="F21" s="150"/>
      <c r="G21" s="150"/>
      <c r="H21" s="150"/>
      <c r="I21" s="150"/>
      <c r="J21" s="150"/>
      <c r="K21" s="151"/>
      <c r="L21" s="149" t="s">
        <v>33</v>
      </c>
      <c r="M21" s="150"/>
      <c r="N21" s="151"/>
      <c r="O21" s="149" t="s">
        <v>34</v>
      </c>
      <c r="P21" s="150"/>
      <c r="Q21" s="150"/>
      <c r="R21" s="151"/>
      <c r="S21" s="149" t="s">
        <v>35</v>
      </c>
      <c r="T21" s="150"/>
      <c r="U21" s="150"/>
      <c r="V21" s="150"/>
      <c r="W21" s="150"/>
      <c r="X21" s="150"/>
      <c r="Y21" s="151"/>
      <c r="Z21" s="149" t="s">
        <v>15</v>
      </c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1"/>
      <c r="AQ21" s="149" t="s">
        <v>32</v>
      </c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0"/>
      <c r="BF21" s="150"/>
      <c r="BG21" s="150"/>
      <c r="BH21" s="150"/>
      <c r="BI21" s="150"/>
      <c r="BJ21" s="151"/>
      <c r="BK21" s="43"/>
    </row>
    <row r="22" spans="1:63" s="55" customFormat="1" ht="15" customHeight="1" x14ac:dyDescent="0.25">
      <c r="A22" s="52"/>
      <c r="B22" s="56"/>
      <c r="C22" s="143">
        <v>1</v>
      </c>
      <c r="D22" s="145"/>
      <c r="E22" s="143" t="s">
        <v>4</v>
      </c>
      <c r="F22" s="144"/>
      <c r="G22" s="144"/>
      <c r="H22" s="144"/>
      <c r="I22" s="144"/>
      <c r="J22" s="144"/>
      <c r="K22" s="145"/>
      <c r="L22" s="81" t="s">
        <v>5</v>
      </c>
      <c r="M22" s="82"/>
      <c r="N22" s="83"/>
      <c r="O22" s="143" t="s">
        <v>6</v>
      </c>
      <c r="P22" s="144"/>
      <c r="Q22" s="144"/>
      <c r="R22" s="145"/>
      <c r="S22" s="143" t="s">
        <v>7</v>
      </c>
      <c r="T22" s="144"/>
      <c r="U22" s="144"/>
      <c r="V22" s="144"/>
      <c r="W22" s="144"/>
      <c r="X22" s="144"/>
      <c r="Y22" s="145"/>
      <c r="Z22" s="143" t="s">
        <v>8</v>
      </c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5"/>
      <c r="AQ22" s="152" t="s">
        <v>76</v>
      </c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4"/>
      <c r="BK22" s="43"/>
    </row>
    <row r="23" spans="1:63" s="55" customFormat="1" ht="15" customHeight="1" x14ac:dyDescent="0.25">
      <c r="A23" s="52"/>
      <c r="B23" s="56"/>
      <c r="C23" s="143">
        <v>2</v>
      </c>
      <c r="D23" s="145"/>
      <c r="E23" s="143" t="s">
        <v>9</v>
      </c>
      <c r="F23" s="144"/>
      <c r="G23" s="144"/>
      <c r="H23" s="144"/>
      <c r="I23" s="144"/>
      <c r="J23" s="144"/>
      <c r="K23" s="145"/>
      <c r="L23" s="81" t="s">
        <v>7</v>
      </c>
      <c r="M23" s="82"/>
      <c r="N23" s="83"/>
      <c r="O23" s="143" t="s">
        <v>6</v>
      </c>
      <c r="P23" s="144"/>
      <c r="Q23" s="144"/>
      <c r="R23" s="145"/>
      <c r="S23" s="143" t="s">
        <v>7</v>
      </c>
      <c r="T23" s="144"/>
      <c r="U23" s="144"/>
      <c r="V23" s="144"/>
      <c r="W23" s="144"/>
      <c r="X23" s="144"/>
      <c r="Y23" s="145"/>
      <c r="Z23" s="143" t="s">
        <v>9</v>
      </c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5"/>
      <c r="AQ23" s="152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4"/>
      <c r="BK23" s="43"/>
    </row>
    <row r="24" spans="1:63" s="55" customFormat="1" ht="15" customHeight="1" x14ac:dyDescent="0.25">
      <c r="A24" s="52"/>
      <c r="B24" s="56"/>
      <c r="C24" s="172">
        <v>3</v>
      </c>
      <c r="D24" s="173"/>
      <c r="E24" s="172" t="s">
        <v>10</v>
      </c>
      <c r="F24" s="174"/>
      <c r="G24" s="174"/>
      <c r="H24" s="174"/>
      <c r="I24" s="174"/>
      <c r="J24" s="174"/>
      <c r="K24" s="173"/>
      <c r="L24" s="161" t="s">
        <v>5</v>
      </c>
      <c r="M24" s="162"/>
      <c r="N24" s="163"/>
      <c r="O24" s="164" t="s">
        <v>6</v>
      </c>
      <c r="P24" s="165"/>
      <c r="Q24" s="165"/>
      <c r="R24" s="166"/>
      <c r="S24" s="164" t="s">
        <v>17</v>
      </c>
      <c r="T24" s="165"/>
      <c r="U24" s="165"/>
      <c r="V24" s="165"/>
      <c r="W24" s="165"/>
      <c r="X24" s="165"/>
      <c r="Y24" s="166"/>
      <c r="Z24" s="167" t="s">
        <v>17</v>
      </c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9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1"/>
      <c r="BK24" s="43"/>
    </row>
    <row r="25" spans="1:63" s="55" customFormat="1" ht="15" customHeight="1" x14ac:dyDescent="0.25">
      <c r="A25" s="52"/>
      <c r="B25" s="56"/>
      <c r="C25" s="143">
        <v>4</v>
      </c>
      <c r="D25" s="145"/>
      <c r="E25" s="143" t="s">
        <v>11</v>
      </c>
      <c r="F25" s="144"/>
      <c r="G25" s="144"/>
      <c r="H25" s="144"/>
      <c r="I25" s="144"/>
      <c r="J25" s="144"/>
      <c r="K25" s="145"/>
      <c r="L25" s="81" t="s">
        <v>7</v>
      </c>
      <c r="M25" s="82"/>
      <c r="N25" s="83"/>
      <c r="O25" s="143" t="s">
        <v>6</v>
      </c>
      <c r="P25" s="144"/>
      <c r="Q25" s="144"/>
      <c r="R25" s="145"/>
      <c r="S25" s="143" t="s">
        <v>7</v>
      </c>
      <c r="T25" s="144"/>
      <c r="U25" s="144"/>
      <c r="V25" s="144"/>
      <c r="W25" s="144"/>
      <c r="X25" s="144"/>
      <c r="Y25" s="145"/>
      <c r="Z25" s="143" t="s">
        <v>11</v>
      </c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5"/>
      <c r="AQ25" s="152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H25" s="153"/>
      <c r="BI25" s="153"/>
      <c r="BJ25" s="154"/>
      <c r="BK25" s="43"/>
    </row>
    <row r="26" spans="1:63" s="55" customFormat="1" ht="15" customHeight="1" x14ac:dyDescent="0.25">
      <c r="A26" s="52"/>
      <c r="B26" s="56"/>
      <c r="C26" s="143">
        <v>5</v>
      </c>
      <c r="D26" s="145"/>
      <c r="E26" s="143" t="s">
        <v>12</v>
      </c>
      <c r="F26" s="144"/>
      <c r="G26" s="144"/>
      <c r="H26" s="144"/>
      <c r="I26" s="144"/>
      <c r="J26" s="144"/>
      <c r="K26" s="145"/>
      <c r="L26" s="81" t="s">
        <v>7</v>
      </c>
      <c r="M26" s="82"/>
      <c r="N26" s="83"/>
      <c r="O26" s="143" t="s">
        <v>6</v>
      </c>
      <c r="P26" s="144"/>
      <c r="Q26" s="144"/>
      <c r="R26" s="145"/>
      <c r="S26" s="143" t="s">
        <v>7</v>
      </c>
      <c r="T26" s="144"/>
      <c r="U26" s="144"/>
      <c r="V26" s="144"/>
      <c r="W26" s="144"/>
      <c r="X26" s="144"/>
      <c r="Y26" s="145"/>
      <c r="Z26" s="143" t="s">
        <v>12</v>
      </c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5"/>
      <c r="AQ26" s="152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3"/>
      <c r="BF26" s="153"/>
      <c r="BG26" s="153"/>
      <c r="BH26" s="153"/>
      <c r="BI26" s="153"/>
      <c r="BJ26" s="154"/>
      <c r="BK26" s="43"/>
    </row>
    <row r="27" spans="1:63" s="55" customFormat="1" ht="15" customHeight="1" x14ac:dyDescent="0.25">
      <c r="A27" s="52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7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7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44"/>
      <c r="BI27" s="44"/>
      <c r="BJ27" s="44"/>
      <c r="BK27" s="43"/>
    </row>
    <row r="28" spans="1:63" s="55" customFormat="1" ht="15" customHeight="1" x14ac:dyDescent="0.25">
      <c r="A28" s="52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7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7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44"/>
      <c r="BI28" s="44"/>
      <c r="BJ28" s="44"/>
      <c r="BK28" s="43"/>
    </row>
    <row r="29" spans="1:63" s="55" customFormat="1" ht="15" customHeight="1" x14ac:dyDescent="0.25">
      <c r="A29" s="52"/>
      <c r="B29" s="56"/>
      <c r="C29" s="16" t="s">
        <v>16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44"/>
      <c r="BI29" s="44"/>
      <c r="BJ29" s="44"/>
      <c r="BK29" s="43"/>
    </row>
    <row r="30" spans="1:63" s="55" customFormat="1" ht="15" customHeight="1" x14ac:dyDescent="0.25">
      <c r="A30" s="52"/>
      <c r="B30" s="56"/>
      <c r="C30" s="16"/>
      <c r="D30" s="56"/>
      <c r="E30" s="56" t="s">
        <v>18</v>
      </c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44"/>
      <c r="BI30" s="44"/>
      <c r="BJ30" s="44"/>
      <c r="BK30" s="43"/>
    </row>
    <row r="31" spans="1:63" s="55" customFormat="1" ht="15" customHeight="1" x14ac:dyDescent="0.25">
      <c r="A31" s="52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44"/>
      <c r="BI31" s="44"/>
      <c r="BJ31" s="44"/>
      <c r="BK31" s="43"/>
    </row>
    <row r="32" spans="1:63" s="55" customFormat="1" ht="15" customHeight="1" x14ac:dyDescent="0.25">
      <c r="A32" s="52"/>
      <c r="B32" s="56"/>
      <c r="C32" s="16" t="s">
        <v>14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44"/>
      <c r="BI32" s="44"/>
      <c r="BJ32" s="44"/>
      <c r="BK32" s="43"/>
    </row>
    <row r="33" spans="1:63" s="55" customFormat="1" ht="15" customHeight="1" x14ac:dyDescent="0.25">
      <c r="A33" s="52"/>
      <c r="B33" s="56"/>
      <c r="C33" s="1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44"/>
      <c r="BI33" s="44"/>
      <c r="BJ33" s="44"/>
      <c r="BK33" s="43"/>
    </row>
    <row r="34" spans="1:63" s="55" customFormat="1" ht="15" customHeight="1" x14ac:dyDescent="0.25">
      <c r="A34" s="52"/>
      <c r="B34" s="56"/>
      <c r="C34" s="157" t="s">
        <v>13</v>
      </c>
      <c r="D34" s="159"/>
      <c r="E34" s="157" t="s">
        <v>36</v>
      </c>
      <c r="F34" s="158"/>
      <c r="G34" s="158"/>
      <c r="H34" s="158"/>
      <c r="I34" s="158"/>
      <c r="J34" s="158"/>
      <c r="K34" s="159"/>
      <c r="L34" s="149" t="s">
        <v>33</v>
      </c>
      <c r="M34" s="150"/>
      <c r="N34" s="151"/>
      <c r="O34" s="149" t="s">
        <v>34</v>
      </c>
      <c r="P34" s="150"/>
      <c r="Q34" s="150"/>
      <c r="R34" s="151"/>
      <c r="S34" s="149" t="s">
        <v>35</v>
      </c>
      <c r="T34" s="150"/>
      <c r="U34" s="150"/>
      <c r="V34" s="150"/>
      <c r="W34" s="150"/>
      <c r="X34" s="150"/>
      <c r="Y34" s="151"/>
      <c r="Z34" s="149" t="s">
        <v>15</v>
      </c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1"/>
      <c r="AQ34" s="157" t="s">
        <v>32</v>
      </c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  <c r="BI34" s="158"/>
      <c r="BJ34" s="159"/>
      <c r="BK34" s="43"/>
    </row>
    <row r="35" spans="1:63" s="55" customFormat="1" ht="96.75" customHeight="1" x14ac:dyDescent="0.25">
      <c r="A35" s="52"/>
      <c r="B35" s="56"/>
      <c r="C35" s="143">
        <v>1</v>
      </c>
      <c r="D35" s="145"/>
      <c r="E35" s="143" t="s">
        <v>19</v>
      </c>
      <c r="F35" s="144"/>
      <c r="G35" s="144"/>
      <c r="H35" s="144"/>
      <c r="I35" s="144"/>
      <c r="J35" s="144"/>
      <c r="K35" s="145"/>
      <c r="L35" s="160" t="s">
        <v>5</v>
      </c>
      <c r="M35" s="82"/>
      <c r="N35" s="83"/>
      <c r="O35" s="143" t="s">
        <v>6</v>
      </c>
      <c r="P35" s="144"/>
      <c r="Q35" s="144"/>
      <c r="R35" s="145"/>
      <c r="S35" s="152" t="s">
        <v>7</v>
      </c>
      <c r="T35" s="144"/>
      <c r="U35" s="144"/>
      <c r="V35" s="144"/>
      <c r="W35" s="144"/>
      <c r="X35" s="144"/>
      <c r="Y35" s="145"/>
      <c r="Z35" s="143" t="s">
        <v>45</v>
      </c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5"/>
      <c r="AQ35" s="184" t="s">
        <v>83</v>
      </c>
      <c r="AR35" s="185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/>
      <c r="BD35" s="185"/>
      <c r="BE35" s="185"/>
      <c r="BF35" s="185"/>
      <c r="BG35" s="185"/>
      <c r="BH35" s="185"/>
      <c r="BI35" s="185"/>
      <c r="BJ35" s="186"/>
      <c r="BK35" s="43"/>
    </row>
    <row r="36" spans="1:63" s="55" customFormat="1" ht="48" customHeight="1" x14ac:dyDescent="0.25">
      <c r="A36" s="52"/>
      <c r="B36" s="56"/>
      <c r="C36" s="143">
        <v>2</v>
      </c>
      <c r="D36" s="145"/>
      <c r="E36" s="143" t="s">
        <v>21</v>
      </c>
      <c r="F36" s="144"/>
      <c r="G36" s="144"/>
      <c r="H36" s="144"/>
      <c r="I36" s="144"/>
      <c r="J36" s="144"/>
      <c r="K36" s="145"/>
      <c r="L36" s="160" t="s">
        <v>5</v>
      </c>
      <c r="M36" s="82"/>
      <c r="N36" s="83"/>
      <c r="O36" s="143" t="s">
        <v>6</v>
      </c>
      <c r="P36" s="144"/>
      <c r="Q36" s="144"/>
      <c r="R36" s="145"/>
      <c r="S36" s="152" t="s">
        <v>7</v>
      </c>
      <c r="T36" s="144"/>
      <c r="U36" s="144"/>
      <c r="V36" s="144"/>
      <c r="W36" s="144"/>
      <c r="X36" s="144"/>
      <c r="Y36" s="145"/>
      <c r="Z36" s="143" t="s">
        <v>46</v>
      </c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5"/>
      <c r="AQ36" s="155" t="s">
        <v>84</v>
      </c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5"/>
      <c r="BK36" s="43"/>
    </row>
    <row r="37" spans="1:63" s="55" customFormat="1" ht="47.25" customHeight="1" x14ac:dyDescent="0.25">
      <c r="A37" s="52"/>
      <c r="B37" s="56"/>
      <c r="C37" s="143">
        <v>3</v>
      </c>
      <c r="D37" s="145"/>
      <c r="E37" s="143" t="s">
        <v>22</v>
      </c>
      <c r="F37" s="144"/>
      <c r="G37" s="144"/>
      <c r="H37" s="144"/>
      <c r="I37" s="144"/>
      <c r="J37" s="144"/>
      <c r="K37" s="145"/>
      <c r="L37" s="160" t="s">
        <v>5</v>
      </c>
      <c r="M37" s="82"/>
      <c r="N37" s="83"/>
      <c r="O37" s="143" t="s">
        <v>6</v>
      </c>
      <c r="P37" s="144"/>
      <c r="Q37" s="144"/>
      <c r="R37" s="145"/>
      <c r="S37" s="152" t="s">
        <v>7</v>
      </c>
      <c r="T37" s="144"/>
      <c r="U37" s="144"/>
      <c r="V37" s="144"/>
      <c r="W37" s="144"/>
      <c r="X37" s="144"/>
      <c r="Y37" s="145"/>
      <c r="Z37" s="143" t="s">
        <v>47</v>
      </c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5"/>
      <c r="AQ37" s="155" t="s">
        <v>85</v>
      </c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5"/>
      <c r="BK37" s="43"/>
    </row>
    <row r="38" spans="1:63" s="55" customFormat="1" ht="34.5" customHeight="1" x14ac:dyDescent="0.25">
      <c r="A38" s="52"/>
      <c r="B38" s="56"/>
      <c r="C38" s="143">
        <v>4</v>
      </c>
      <c r="D38" s="145"/>
      <c r="E38" s="143" t="s">
        <v>23</v>
      </c>
      <c r="F38" s="144"/>
      <c r="G38" s="144"/>
      <c r="H38" s="144"/>
      <c r="I38" s="144"/>
      <c r="J38" s="144"/>
      <c r="K38" s="145"/>
      <c r="L38" s="81" t="s">
        <v>7</v>
      </c>
      <c r="M38" s="82"/>
      <c r="N38" s="83"/>
      <c r="O38" s="143" t="s">
        <v>6</v>
      </c>
      <c r="P38" s="144"/>
      <c r="Q38" s="144"/>
      <c r="R38" s="145"/>
      <c r="S38" s="152" t="s">
        <v>7</v>
      </c>
      <c r="T38" s="144"/>
      <c r="U38" s="144"/>
      <c r="V38" s="144"/>
      <c r="W38" s="144"/>
      <c r="X38" s="144"/>
      <c r="Y38" s="145"/>
      <c r="Z38" s="143" t="s">
        <v>48</v>
      </c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5"/>
      <c r="AQ38" s="155" t="s">
        <v>77</v>
      </c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5"/>
      <c r="BK38" s="43"/>
    </row>
    <row r="39" spans="1:63" s="55" customFormat="1" ht="31.5" customHeight="1" x14ac:dyDescent="0.25">
      <c r="A39" s="52"/>
      <c r="B39" s="56"/>
      <c r="C39" s="143">
        <v>5</v>
      </c>
      <c r="D39" s="145"/>
      <c r="E39" s="143" t="s">
        <v>24</v>
      </c>
      <c r="F39" s="144"/>
      <c r="G39" s="144"/>
      <c r="H39" s="144"/>
      <c r="I39" s="144"/>
      <c r="J39" s="144"/>
      <c r="K39" s="145"/>
      <c r="L39" s="81" t="s">
        <v>7</v>
      </c>
      <c r="M39" s="82"/>
      <c r="N39" s="83"/>
      <c r="O39" s="143" t="s">
        <v>6</v>
      </c>
      <c r="P39" s="144"/>
      <c r="Q39" s="144"/>
      <c r="R39" s="145"/>
      <c r="S39" s="152" t="s">
        <v>7</v>
      </c>
      <c r="T39" s="144"/>
      <c r="U39" s="144"/>
      <c r="V39" s="144"/>
      <c r="W39" s="144"/>
      <c r="X39" s="144"/>
      <c r="Y39" s="145"/>
      <c r="Z39" s="143" t="s">
        <v>49</v>
      </c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5"/>
      <c r="AQ39" s="155" t="s">
        <v>86</v>
      </c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8"/>
      <c r="BK39" s="43"/>
    </row>
    <row r="40" spans="1:63" s="55" customFormat="1" ht="31.5" customHeight="1" x14ac:dyDescent="0.25">
      <c r="A40" s="52"/>
      <c r="B40" s="56"/>
      <c r="C40" s="143">
        <v>6</v>
      </c>
      <c r="D40" s="145"/>
      <c r="E40" s="143" t="s">
        <v>25</v>
      </c>
      <c r="F40" s="144"/>
      <c r="G40" s="144"/>
      <c r="H40" s="144"/>
      <c r="I40" s="144"/>
      <c r="J40" s="144"/>
      <c r="K40" s="145"/>
      <c r="L40" s="81" t="s">
        <v>7</v>
      </c>
      <c r="M40" s="82"/>
      <c r="N40" s="83"/>
      <c r="O40" s="143" t="s">
        <v>6</v>
      </c>
      <c r="P40" s="144"/>
      <c r="Q40" s="144"/>
      <c r="R40" s="145"/>
      <c r="S40" s="152" t="s">
        <v>7</v>
      </c>
      <c r="T40" s="144"/>
      <c r="U40" s="144"/>
      <c r="V40" s="144"/>
      <c r="W40" s="144"/>
      <c r="X40" s="144"/>
      <c r="Y40" s="145"/>
      <c r="Z40" s="143" t="s">
        <v>40</v>
      </c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5"/>
      <c r="AQ40" s="155" t="s">
        <v>87</v>
      </c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5"/>
      <c r="BK40" s="43"/>
    </row>
    <row r="41" spans="1:63" s="55" customFormat="1" x14ac:dyDescent="0.25">
      <c r="A41" s="52"/>
      <c r="B41" s="56"/>
      <c r="C41" s="143">
        <v>7</v>
      </c>
      <c r="D41" s="145"/>
      <c r="E41" s="143" t="s">
        <v>27</v>
      </c>
      <c r="F41" s="144"/>
      <c r="G41" s="144"/>
      <c r="H41" s="144"/>
      <c r="I41" s="144"/>
      <c r="J41" s="144"/>
      <c r="K41" s="145"/>
      <c r="L41" s="81" t="s">
        <v>7</v>
      </c>
      <c r="M41" s="82"/>
      <c r="N41" s="83"/>
      <c r="O41" s="143" t="s">
        <v>6</v>
      </c>
      <c r="P41" s="144"/>
      <c r="Q41" s="144"/>
      <c r="R41" s="145"/>
      <c r="S41" s="156">
        <v>0.375</v>
      </c>
      <c r="T41" s="144"/>
      <c r="U41" s="144"/>
      <c r="V41" s="144"/>
      <c r="W41" s="144"/>
      <c r="X41" s="144"/>
      <c r="Y41" s="145"/>
      <c r="Z41" s="143" t="s">
        <v>41</v>
      </c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5"/>
      <c r="AQ41" s="146" t="s">
        <v>78</v>
      </c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8"/>
      <c r="BK41" s="43"/>
    </row>
    <row r="42" spans="1:63" s="55" customFormat="1" x14ac:dyDescent="0.25">
      <c r="A42" s="52"/>
      <c r="B42" s="56"/>
      <c r="C42" s="143">
        <v>8</v>
      </c>
      <c r="D42" s="145"/>
      <c r="E42" s="143" t="s">
        <v>28</v>
      </c>
      <c r="F42" s="144"/>
      <c r="G42" s="144"/>
      <c r="H42" s="144"/>
      <c r="I42" s="144"/>
      <c r="J42" s="144"/>
      <c r="K42" s="145"/>
      <c r="L42" s="81" t="s">
        <v>7</v>
      </c>
      <c r="M42" s="82"/>
      <c r="N42" s="83"/>
      <c r="O42" s="143" t="s">
        <v>6</v>
      </c>
      <c r="P42" s="144"/>
      <c r="Q42" s="144"/>
      <c r="R42" s="145"/>
      <c r="S42" s="156">
        <v>0.91666666666666663</v>
      </c>
      <c r="T42" s="144"/>
      <c r="U42" s="144"/>
      <c r="V42" s="144"/>
      <c r="W42" s="144"/>
      <c r="X42" s="144"/>
      <c r="Y42" s="145"/>
      <c r="Z42" s="143" t="s">
        <v>42</v>
      </c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5"/>
      <c r="AQ42" s="146" t="s">
        <v>78</v>
      </c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8"/>
      <c r="BK42" s="43"/>
    </row>
    <row r="43" spans="1:63" s="55" customFormat="1" ht="31.5" customHeight="1" x14ac:dyDescent="0.25">
      <c r="A43" s="52"/>
      <c r="B43" s="56"/>
      <c r="C43" s="143">
        <v>9</v>
      </c>
      <c r="D43" s="145"/>
      <c r="E43" s="143" t="s">
        <v>37</v>
      </c>
      <c r="F43" s="144"/>
      <c r="G43" s="144"/>
      <c r="H43" s="144"/>
      <c r="I43" s="144"/>
      <c r="J43" s="144"/>
      <c r="K43" s="145"/>
      <c r="L43" s="81" t="s">
        <v>7</v>
      </c>
      <c r="M43" s="82"/>
      <c r="N43" s="83"/>
      <c r="O43" s="143" t="s">
        <v>6</v>
      </c>
      <c r="P43" s="144"/>
      <c r="Q43" s="144"/>
      <c r="R43" s="145"/>
      <c r="S43" s="152" t="s">
        <v>7</v>
      </c>
      <c r="T43" s="144"/>
      <c r="U43" s="144"/>
      <c r="V43" s="144"/>
      <c r="W43" s="144"/>
      <c r="X43" s="144"/>
      <c r="Y43" s="145"/>
      <c r="Z43" s="143" t="s">
        <v>43</v>
      </c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5"/>
      <c r="AQ43" s="146" t="s">
        <v>79</v>
      </c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8"/>
      <c r="BK43" s="43"/>
    </row>
    <row r="44" spans="1:63" s="55" customFormat="1" x14ac:dyDescent="0.25">
      <c r="A44" s="52"/>
      <c r="B44" s="56"/>
      <c r="C44" s="143">
        <v>10</v>
      </c>
      <c r="D44" s="145"/>
      <c r="E44" s="143" t="s">
        <v>38</v>
      </c>
      <c r="F44" s="144"/>
      <c r="G44" s="144"/>
      <c r="H44" s="144"/>
      <c r="I44" s="144"/>
      <c r="J44" s="144"/>
      <c r="K44" s="145"/>
      <c r="L44" s="81" t="s">
        <v>7</v>
      </c>
      <c r="M44" s="82"/>
      <c r="N44" s="83"/>
      <c r="O44" s="143" t="s">
        <v>39</v>
      </c>
      <c r="P44" s="144"/>
      <c r="Q44" s="144"/>
      <c r="R44" s="145"/>
      <c r="S44" s="152">
        <v>0</v>
      </c>
      <c r="T44" s="144"/>
      <c r="U44" s="144"/>
      <c r="V44" s="144"/>
      <c r="W44" s="144"/>
      <c r="X44" s="144"/>
      <c r="Y44" s="145"/>
      <c r="Z44" s="143" t="s">
        <v>44</v>
      </c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5"/>
      <c r="AQ44" s="155" t="s">
        <v>53</v>
      </c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4"/>
      <c r="BJ44" s="145"/>
      <c r="BK44" s="43"/>
    </row>
    <row r="45" spans="1:63" s="55" customFormat="1" ht="107.25" customHeight="1" x14ac:dyDescent="0.25">
      <c r="A45" s="52"/>
      <c r="B45" s="56"/>
      <c r="C45" s="143">
        <v>11</v>
      </c>
      <c r="D45" s="145"/>
      <c r="E45" s="143" t="s">
        <v>50</v>
      </c>
      <c r="F45" s="144"/>
      <c r="G45" s="144"/>
      <c r="H45" s="144"/>
      <c r="I45" s="144"/>
      <c r="J45" s="144"/>
      <c r="K45" s="145"/>
      <c r="L45" s="160" t="s">
        <v>5</v>
      </c>
      <c r="M45" s="82"/>
      <c r="N45" s="83"/>
      <c r="O45" s="143" t="s">
        <v>6</v>
      </c>
      <c r="P45" s="144"/>
      <c r="Q45" s="144"/>
      <c r="R45" s="145"/>
      <c r="S45" s="152" t="s">
        <v>7</v>
      </c>
      <c r="T45" s="144"/>
      <c r="U45" s="144"/>
      <c r="V45" s="144"/>
      <c r="W45" s="144"/>
      <c r="X45" s="144"/>
      <c r="Y45" s="145"/>
      <c r="Z45" s="143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5"/>
      <c r="AQ45" s="155" t="s">
        <v>88</v>
      </c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45"/>
      <c r="BK45" s="43"/>
    </row>
    <row r="46" spans="1:63" s="55" customFormat="1" ht="15" customHeight="1" x14ac:dyDescent="0.25">
      <c r="A46" s="52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44"/>
      <c r="BI46" s="44"/>
      <c r="BJ46" s="44"/>
      <c r="BK46" s="43"/>
    </row>
    <row r="47" spans="1:63" s="55" customFormat="1" ht="15" customHeight="1" x14ac:dyDescent="0.25">
      <c r="A47" s="52"/>
      <c r="B47" s="15" t="s">
        <v>80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4"/>
      <c r="BI47" s="54"/>
      <c r="BJ47" s="54"/>
      <c r="BK47" s="43"/>
    </row>
    <row r="48" spans="1:63" s="55" customFormat="1" ht="15" customHeight="1" x14ac:dyDescent="0.25">
      <c r="A48" s="52"/>
      <c r="B48" s="16"/>
      <c r="C48" s="1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44"/>
      <c r="BI48" s="44"/>
      <c r="BJ48" s="44"/>
      <c r="BK48" s="43"/>
    </row>
    <row r="49" spans="1:63" s="55" customFormat="1" ht="15" customHeight="1" x14ac:dyDescent="0.25">
      <c r="A49" s="52"/>
      <c r="B49" s="16"/>
      <c r="C49" s="16" t="s">
        <v>81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44"/>
      <c r="BI49" s="44"/>
      <c r="BJ49" s="44"/>
      <c r="BK49" s="43"/>
    </row>
    <row r="50" spans="1:63" s="55" customFormat="1" ht="15" customHeight="1" x14ac:dyDescent="0.25">
      <c r="A50" s="52"/>
      <c r="B50" s="16"/>
      <c r="C50" s="1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44"/>
      <c r="BI50" s="44"/>
      <c r="BJ50" s="44"/>
      <c r="BK50" s="43"/>
    </row>
    <row r="51" spans="1:63" s="55" customFormat="1" ht="15" customHeight="1" x14ac:dyDescent="0.25">
      <c r="A51" s="52"/>
      <c r="B51" s="16"/>
      <c r="C51" s="16" t="s">
        <v>20</v>
      </c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44"/>
      <c r="BI51" s="44"/>
      <c r="BJ51" s="44"/>
      <c r="BK51" s="43"/>
    </row>
    <row r="52" spans="1:63" s="55" customFormat="1" ht="15" customHeight="1" x14ac:dyDescent="0.25">
      <c r="A52" s="52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44"/>
      <c r="BI52" s="44"/>
      <c r="BJ52" s="44"/>
      <c r="BK52" s="43"/>
    </row>
    <row r="53" spans="1:63" s="55" customFormat="1" ht="15" customHeight="1" x14ac:dyDescent="0.25">
      <c r="A53" s="52"/>
      <c r="B53" s="56"/>
      <c r="C53" s="16" t="s">
        <v>82</v>
      </c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44"/>
      <c r="BI53" s="44"/>
      <c r="BJ53" s="44"/>
      <c r="BK53" s="43"/>
    </row>
    <row r="54" spans="1:63" s="55" customFormat="1" ht="15" customHeight="1" x14ac:dyDescent="0.25">
      <c r="A54" s="52"/>
      <c r="B54" s="56"/>
      <c r="C54" s="1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44"/>
      <c r="BI54" s="44"/>
      <c r="BJ54" s="44"/>
      <c r="BK54" s="43"/>
    </row>
    <row r="55" spans="1:63" s="55" customFormat="1" ht="15" customHeight="1" x14ac:dyDescent="0.25">
      <c r="A55" s="52"/>
      <c r="B55" s="56"/>
      <c r="C55" s="16" t="s">
        <v>20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44"/>
      <c r="BI55" s="44"/>
      <c r="BJ55" s="44"/>
      <c r="BK55" s="43"/>
    </row>
    <row r="56" spans="1:63" s="21" customFormat="1" ht="15" customHeight="1" x14ac:dyDescent="0.25">
      <c r="A56" s="17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9"/>
      <c r="BI56" s="19"/>
      <c r="BJ56" s="19"/>
      <c r="BK56" s="20"/>
    </row>
  </sheetData>
  <mergeCells count="154">
    <mergeCell ref="Z45:AP45"/>
    <mergeCell ref="AQ45:BJ45"/>
    <mergeCell ref="Z43:AP43"/>
    <mergeCell ref="AQ43:BJ43"/>
    <mergeCell ref="C44:D44"/>
    <mergeCell ref="E44:K44"/>
    <mergeCell ref="L44:N44"/>
    <mergeCell ref="O44:R44"/>
    <mergeCell ref="S44:Y44"/>
    <mergeCell ref="Z44:AP44"/>
    <mergeCell ref="AQ44:BJ44"/>
    <mergeCell ref="C45:D45"/>
    <mergeCell ref="E45:K45"/>
    <mergeCell ref="L45:N45"/>
    <mergeCell ref="O45:R45"/>
    <mergeCell ref="S45:Y45"/>
    <mergeCell ref="C37:D37"/>
    <mergeCell ref="E37:K37"/>
    <mergeCell ref="L37:N37"/>
    <mergeCell ref="O37:R37"/>
    <mergeCell ref="S37:Y37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S35:Y35"/>
    <mergeCell ref="Z35:AP35"/>
    <mergeCell ref="AQ35:BJ35"/>
    <mergeCell ref="C36:D36"/>
    <mergeCell ref="E36:K36"/>
    <mergeCell ref="L36:N36"/>
    <mergeCell ref="O36:R36"/>
    <mergeCell ref="S36:Y36"/>
    <mergeCell ref="Z36:AP36"/>
    <mergeCell ref="AQ36:BJ3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E22:K22"/>
    <mergeCell ref="E23:K23"/>
    <mergeCell ref="C22:D22"/>
    <mergeCell ref="O23:R23"/>
    <mergeCell ref="L22:N22"/>
    <mergeCell ref="L23:N23"/>
    <mergeCell ref="E25:K25"/>
    <mergeCell ref="O21:R21"/>
    <mergeCell ref="L21:N21"/>
    <mergeCell ref="C24:D24"/>
    <mergeCell ref="E24:K24"/>
    <mergeCell ref="C25:D25"/>
    <mergeCell ref="C23:D23"/>
    <mergeCell ref="S23:Y23"/>
    <mergeCell ref="S22:Y22"/>
    <mergeCell ref="Z22:AP22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AQ34:BJ34"/>
    <mergeCell ref="C34:D34"/>
    <mergeCell ref="E34:K34"/>
    <mergeCell ref="S34:Y34"/>
    <mergeCell ref="E40:K40"/>
    <mergeCell ref="S40:Y40"/>
    <mergeCell ref="S42:Y42"/>
    <mergeCell ref="L42:N42"/>
    <mergeCell ref="Z42:AP42"/>
    <mergeCell ref="L39:N39"/>
    <mergeCell ref="L34:N34"/>
    <mergeCell ref="O34:R34"/>
    <mergeCell ref="Z34:AP34"/>
    <mergeCell ref="AQ42:BJ42"/>
    <mergeCell ref="O41:R41"/>
    <mergeCell ref="C41:D41"/>
    <mergeCell ref="E41:K41"/>
    <mergeCell ref="C39:D39"/>
    <mergeCell ref="C35:D35"/>
    <mergeCell ref="E35:K35"/>
    <mergeCell ref="L35:N35"/>
    <mergeCell ref="O35:R35"/>
    <mergeCell ref="C40:D40"/>
    <mergeCell ref="O40:R40"/>
    <mergeCell ref="C42:D42"/>
    <mergeCell ref="E42:K42"/>
    <mergeCell ref="L41:N41"/>
    <mergeCell ref="S41:Y41"/>
    <mergeCell ref="L40:N40"/>
    <mergeCell ref="O42:R42"/>
    <mergeCell ref="C43:D43"/>
    <mergeCell ref="E43:K43"/>
    <mergeCell ref="L43:N43"/>
    <mergeCell ref="O43:R43"/>
    <mergeCell ref="S43:Y43"/>
    <mergeCell ref="Z40:AP40"/>
    <mergeCell ref="Z41:AP41"/>
    <mergeCell ref="AQ41:BJ41"/>
    <mergeCell ref="AQ21:BJ21"/>
    <mergeCell ref="AQ23:BJ23"/>
    <mergeCell ref="AQ22:BJ22"/>
    <mergeCell ref="E21:K21"/>
    <mergeCell ref="C21:D21"/>
    <mergeCell ref="S21:Y21"/>
    <mergeCell ref="Z21:AP21"/>
    <mergeCell ref="O22:R22"/>
    <mergeCell ref="AQ39:BJ39"/>
    <mergeCell ref="Z39:AP39"/>
    <mergeCell ref="C26:D26"/>
    <mergeCell ref="E26:K26"/>
    <mergeCell ref="L26:N26"/>
    <mergeCell ref="O26:R26"/>
    <mergeCell ref="S26:Y26"/>
    <mergeCell ref="Z26:AP26"/>
    <mergeCell ref="AQ26:BJ26"/>
    <mergeCell ref="AQ40:BJ40"/>
    <mergeCell ref="E39:K39"/>
    <mergeCell ref="S39:Y39"/>
    <mergeCell ref="O39:R39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7" t="s">
        <v>54</v>
      </c>
      <c r="B1" s="128"/>
      <c r="C1" s="128"/>
      <c r="D1" s="128"/>
      <c r="E1" s="128"/>
      <c r="F1" s="128"/>
      <c r="G1" s="128"/>
      <c r="H1" s="128"/>
      <c r="I1" s="128"/>
      <c r="J1" s="129"/>
      <c r="K1" s="127" t="s">
        <v>55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9"/>
      <c r="W1" s="130" t="str">
        <f>IF(表紙!W1="","",表紙!W1)</f>
        <v>詳細設計書</v>
      </c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2"/>
      <c r="AP1" s="76" t="s">
        <v>57</v>
      </c>
      <c r="AQ1" s="77"/>
      <c r="AR1" s="77"/>
      <c r="AS1" s="78"/>
      <c r="AT1" s="76" t="s">
        <v>58</v>
      </c>
      <c r="AU1" s="77"/>
      <c r="AV1" s="77"/>
      <c r="AW1" s="77"/>
      <c r="AX1" s="78"/>
      <c r="AY1" s="76" t="s">
        <v>59</v>
      </c>
      <c r="AZ1" s="77"/>
      <c r="BA1" s="77"/>
      <c r="BB1" s="78"/>
      <c r="BC1" s="76" t="s">
        <v>60</v>
      </c>
      <c r="BD1" s="77"/>
      <c r="BE1" s="77"/>
      <c r="BF1" s="77"/>
      <c r="BG1" s="78"/>
      <c r="BH1" s="76" t="s">
        <v>61</v>
      </c>
      <c r="BI1" s="77"/>
      <c r="BJ1" s="77"/>
      <c r="BK1" s="78"/>
    </row>
    <row r="2" spans="1:63" ht="15" customHeight="1" x14ac:dyDescent="0.25">
      <c r="A2" s="121" t="str">
        <f>IF(表紙!A2="","",表紙!A2)</f>
        <v>POSサーバー</v>
      </c>
      <c r="B2" s="122"/>
      <c r="C2" s="122"/>
      <c r="D2" s="122"/>
      <c r="E2" s="122"/>
      <c r="F2" s="122"/>
      <c r="G2" s="122"/>
      <c r="H2" s="122"/>
      <c r="I2" s="122"/>
      <c r="J2" s="123"/>
      <c r="K2" s="121" t="str">
        <f>IF(表紙!K2="","",表紙!K2)</f>
        <v>POSサーバー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  <c r="W2" s="133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5"/>
      <c r="AP2" s="61" t="str">
        <f>IF(表紙!AP2="","",表紙!AP2)</f>
        <v>DuNT</v>
      </c>
      <c r="AQ2" s="62"/>
      <c r="AR2" s="62"/>
      <c r="AS2" s="63"/>
      <c r="AT2" s="91">
        <f>IF(表紙!AT2="","",表紙!AT2)</f>
        <v>45617</v>
      </c>
      <c r="AU2" s="92"/>
      <c r="AV2" s="92"/>
      <c r="AW2" s="92"/>
      <c r="AX2" s="93"/>
      <c r="AY2" s="61" t="str">
        <f>IF(表紙!AY2="","",表紙!AY2)</f>
        <v>DuNT</v>
      </c>
      <c r="AZ2" s="62"/>
      <c r="BA2" s="62"/>
      <c r="BB2" s="63"/>
      <c r="BC2" s="91">
        <f>IF(表紙!BC2="","",表紙!BC2)</f>
        <v>45623</v>
      </c>
      <c r="BD2" s="92"/>
      <c r="BE2" s="92"/>
      <c r="BF2" s="92"/>
      <c r="BG2" s="93"/>
      <c r="BH2" s="61">
        <f>IF(表紙!BH2="","",表紙!BH2)</f>
        <v>0.11</v>
      </c>
      <c r="BI2" s="62"/>
      <c r="BJ2" s="62"/>
      <c r="BK2" s="63"/>
    </row>
    <row r="3" spans="1:63" ht="15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6"/>
      <c r="K3" s="124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6"/>
      <c r="W3" s="13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8"/>
      <c r="AP3" s="67"/>
      <c r="AQ3" s="68"/>
      <c r="AR3" s="68"/>
      <c r="AS3" s="69"/>
      <c r="AT3" s="94"/>
      <c r="AU3" s="95"/>
      <c r="AV3" s="95"/>
      <c r="AW3" s="95"/>
      <c r="AX3" s="96"/>
      <c r="AY3" s="67"/>
      <c r="AZ3" s="68"/>
      <c r="BA3" s="68"/>
      <c r="BB3" s="69"/>
      <c r="BC3" s="94"/>
      <c r="BD3" s="95"/>
      <c r="BE3" s="95"/>
      <c r="BF3" s="95"/>
      <c r="BG3" s="96"/>
      <c r="BH3" s="67"/>
      <c r="BI3" s="68"/>
      <c r="BJ3" s="68"/>
      <c r="BK3" s="69"/>
    </row>
    <row r="4" spans="1:63" ht="24.95" customHeight="1" x14ac:dyDescent="0.25">
      <c r="A4" s="127" t="s">
        <v>63</v>
      </c>
      <c r="B4" s="128"/>
      <c r="C4" s="128"/>
      <c r="D4" s="128"/>
      <c r="E4" s="128"/>
      <c r="F4" s="128"/>
      <c r="G4" s="129"/>
      <c r="H4" s="139" t="str">
        <f>IF(表紙!H4="","",表紙!H4)</f>
        <v>AP8204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27" t="s">
        <v>64</v>
      </c>
      <c r="V4" s="128"/>
      <c r="W4" s="128"/>
      <c r="X4" s="128"/>
      <c r="Y4" s="129"/>
      <c r="Z4" s="139" t="str">
        <f>IF(表紙!Z4="","",表紙!Z4)</f>
        <v>API設計書</v>
      </c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1"/>
      <c r="AP4" s="142" t="str">
        <f ca="1">MID(CELL("filename",A1),FIND("]",CELL("filename",A1))+1,255)</f>
        <v>処理フロー</v>
      </c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4" customFormat="1" ht="15" customHeight="1" x14ac:dyDescent="0.25">
      <c r="B7" s="14"/>
      <c r="C7" s="13"/>
      <c r="D7" s="13"/>
      <c r="E7" s="13"/>
      <c r="F7" s="13"/>
      <c r="G7" s="13"/>
      <c r="AI7" s="59"/>
      <c r="BJ7" s="59"/>
      <c r="BK7" s="43"/>
    </row>
    <row r="8" spans="1:63" s="44" customFormat="1" ht="15" customHeight="1" x14ac:dyDescent="0.25">
      <c r="B8" s="14"/>
      <c r="C8" s="13"/>
      <c r="D8" s="13"/>
      <c r="E8" s="13"/>
      <c r="F8" s="13"/>
      <c r="G8" s="13"/>
      <c r="AI8" s="59"/>
      <c r="BJ8" s="59"/>
      <c r="BK8" s="43"/>
    </row>
    <row r="9" spans="1:63" s="44" customFormat="1" ht="15" customHeight="1" x14ac:dyDescent="0.25">
      <c r="B9" s="14"/>
      <c r="C9" s="13"/>
      <c r="D9" s="13"/>
      <c r="E9" s="13"/>
      <c r="F9" s="13"/>
      <c r="G9" s="13"/>
      <c r="AI9" s="59"/>
      <c r="BJ9" s="59"/>
      <c r="BK9" s="43"/>
    </row>
    <row r="10" spans="1:63" s="44" customFormat="1" ht="15" customHeight="1" x14ac:dyDescent="0.25">
      <c r="B10" s="60"/>
      <c r="AI10" s="59"/>
      <c r="BJ10" s="59"/>
      <c r="BK10" s="43"/>
    </row>
    <row r="11" spans="1:63" s="44" customFormat="1" ht="15" customHeight="1" x14ac:dyDescent="0.25">
      <c r="B11" s="60"/>
      <c r="AI11" s="59"/>
      <c r="BJ11" s="59"/>
      <c r="BK11" s="43"/>
    </row>
    <row r="12" spans="1:63" s="44" customFormat="1" ht="15" customHeight="1" x14ac:dyDescent="0.25">
      <c r="B12" s="60"/>
      <c r="AI12" s="59"/>
      <c r="BJ12" s="59"/>
      <c r="BK12" s="43"/>
    </row>
    <row r="13" spans="1:63" s="44" customFormat="1" ht="15" customHeight="1" x14ac:dyDescent="0.25">
      <c r="B13" s="60"/>
      <c r="AI13" s="59"/>
      <c r="BJ13" s="59"/>
      <c r="BK13" s="43"/>
    </row>
    <row r="14" spans="1:63" s="44" customFormat="1" ht="15" customHeight="1" x14ac:dyDescent="0.25">
      <c r="B14" s="60"/>
      <c r="AI14" s="59"/>
      <c r="BJ14" s="59"/>
      <c r="BK14" s="43"/>
    </row>
    <row r="15" spans="1:63" s="44" customFormat="1" ht="15" customHeight="1" x14ac:dyDescent="0.25">
      <c r="B15" s="60"/>
      <c r="AI15" s="59"/>
      <c r="BJ15" s="59"/>
      <c r="BK15" s="43"/>
    </row>
    <row r="16" spans="1:63" s="44" customFormat="1" ht="15" customHeight="1" x14ac:dyDescent="0.25">
      <c r="B16" s="60"/>
      <c r="AI16" s="59"/>
      <c r="BJ16" s="59"/>
      <c r="BK16" s="43"/>
    </row>
    <row r="17" spans="2:63" s="44" customFormat="1" ht="15" customHeight="1" x14ac:dyDescent="0.25">
      <c r="B17" s="60"/>
      <c r="AI17" s="59"/>
      <c r="BJ17" s="59"/>
      <c r="BK17" s="43"/>
    </row>
    <row r="18" spans="2:63" s="44" customFormat="1" ht="15" customHeight="1" x14ac:dyDescent="0.25">
      <c r="B18" s="60"/>
      <c r="AI18" s="59"/>
      <c r="BJ18" s="59"/>
      <c r="BK18" s="43"/>
    </row>
    <row r="19" spans="2:63" s="44" customFormat="1" ht="15" customHeight="1" x14ac:dyDescent="0.25">
      <c r="B19" s="60"/>
      <c r="AI19" s="59"/>
      <c r="BJ19" s="59"/>
      <c r="BK19" s="43"/>
    </row>
    <row r="20" spans="2:63" s="44" customFormat="1" ht="15" customHeight="1" x14ac:dyDescent="0.25">
      <c r="B20" s="60"/>
      <c r="AI20" s="59"/>
      <c r="BJ20" s="59"/>
      <c r="BK20" s="43"/>
    </row>
    <row r="21" spans="2:63" s="44" customFormat="1" ht="15" customHeight="1" x14ac:dyDescent="0.25">
      <c r="B21" s="60"/>
      <c r="AI21" s="59"/>
      <c r="BJ21" s="59"/>
      <c r="BK21" s="43"/>
    </row>
    <row r="22" spans="2:63" s="44" customFormat="1" ht="15" customHeight="1" x14ac:dyDescent="0.25">
      <c r="B22" s="60"/>
      <c r="AI22" s="59"/>
      <c r="BJ22" s="59"/>
      <c r="BK22" s="43"/>
    </row>
    <row r="23" spans="2:63" s="44" customFormat="1" ht="15" customHeight="1" x14ac:dyDescent="0.25">
      <c r="B23" s="60"/>
      <c r="AI23" s="59"/>
      <c r="BJ23" s="59"/>
      <c r="BK23" s="43"/>
    </row>
    <row r="24" spans="2:63" s="44" customFormat="1" ht="15" customHeight="1" x14ac:dyDescent="0.25">
      <c r="B24" s="60"/>
      <c r="AI24" s="59"/>
      <c r="BJ24" s="59"/>
      <c r="BK24" s="43"/>
    </row>
    <row r="25" spans="2:63" s="44" customFormat="1" ht="15" customHeight="1" x14ac:dyDescent="0.25">
      <c r="B25" s="60"/>
      <c r="AI25" s="59"/>
      <c r="BJ25" s="59"/>
      <c r="BK25" s="43"/>
    </row>
    <row r="26" spans="2:63" s="44" customFormat="1" ht="15" customHeight="1" x14ac:dyDescent="0.25">
      <c r="B26" s="60"/>
      <c r="AI26" s="59"/>
      <c r="BJ26" s="59"/>
      <c r="BK26" s="43"/>
    </row>
    <row r="27" spans="2:63" s="44" customFormat="1" ht="15" customHeight="1" x14ac:dyDescent="0.25">
      <c r="B27" s="60"/>
      <c r="AI27" s="59"/>
      <c r="BJ27" s="59"/>
      <c r="BK27" s="43"/>
    </row>
    <row r="28" spans="2:63" s="44" customFormat="1" ht="15" customHeight="1" x14ac:dyDescent="0.25">
      <c r="B28" s="60"/>
      <c r="AI28" s="59"/>
      <c r="BJ28" s="59"/>
      <c r="BK28" s="43"/>
    </row>
    <row r="29" spans="2:63" s="44" customFormat="1" ht="15" customHeight="1" x14ac:dyDescent="0.25">
      <c r="B29" s="60"/>
      <c r="AI29" s="59"/>
      <c r="BJ29" s="59"/>
      <c r="BK29" s="43"/>
    </row>
    <row r="30" spans="2:63" s="44" customFormat="1" ht="15" customHeight="1" x14ac:dyDescent="0.25">
      <c r="B30" s="60"/>
      <c r="AI30" s="59"/>
      <c r="BJ30" s="59"/>
      <c r="BK30" s="43"/>
    </row>
    <row r="31" spans="2:63" s="44" customFormat="1" ht="15" customHeight="1" x14ac:dyDescent="0.25">
      <c r="B31" s="60"/>
      <c r="AI31" s="59"/>
      <c r="BJ31" s="59"/>
      <c r="BK31" s="43"/>
    </row>
    <row r="32" spans="2:63" s="44" customFormat="1" ht="15" customHeight="1" x14ac:dyDescent="0.25">
      <c r="B32" s="60"/>
      <c r="AI32" s="59"/>
      <c r="BJ32" s="59"/>
      <c r="BK32" s="43"/>
    </row>
    <row r="33" spans="2:63" s="44" customFormat="1" ht="15" customHeight="1" x14ac:dyDescent="0.25">
      <c r="B33" s="60"/>
      <c r="AI33" s="59"/>
      <c r="BJ33" s="59"/>
      <c r="BK33" s="43"/>
    </row>
    <row r="34" spans="2:63" s="44" customFormat="1" ht="15" customHeight="1" x14ac:dyDescent="0.25">
      <c r="B34" s="60"/>
      <c r="AI34" s="59"/>
      <c r="BJ34" s="59"/>
      <c r="BK34" s="43"/>
    </row>
    <row r="35" spans="2:63" s="44" customFormat="1" ht="15" customHeight="1" x14ac:dyDescent="0.25">
      <c r="B35" s="60"/>
      <c r="AI35" s="59"/>
      <c r="BJ35" s="59"/>
      <c r="BK35" s="43"/>
    </row>
    <row r="36" spans="2:63" s="44" customFormat="1" ht="15" customHeight="1" x14ac:dyDescent="0.25">
      <c r="B36" s="60"/>
      <c r="AI36" s="59"/>
      <c r="BJ36" s="59"/>
      <c r="BK36" s="43"/>
    </row>
    <row r="37" spans="2:63" s="44" customFormat="1" ht="15" customHeight="1" x14ac:dyDescent="0.25">
      <c r="B37" s="60"/>
      <c r="AI37" s="59"/>
      <c r="BJ37" s="59"/>
      <c r="BK37" s="43"/>
    </row>
    <row r="38" spans="2:63" s="44" customFormat="1" ht="15" customHeight="1" x14ac:dyDescent="0.25">
      <c r="B38" s="60"/>
      <c r="AI38" s="59"/>
      <c r="BJ38" s="59"/>
      <c r="BK38" s="43"/>
    </row>
    <row r="39" spans="2:63" s="44" customFormat="1" ht="15" customHeight="1" x14ac:dyDescent="0.25">
      <c r="B39" s="60"/>
      <c r="AI39" s="59"/>
      <c r="BJ39" s="59"/>
      <c r="BK39" s="43"/>
    </row>
    <row r="40" spans="2:63" s="44" customFormat="1" ht="15" customHeight="1" x14ac:dyDescent="0.25">
      <c r="B40" s="60"/>
      <c r="AI40" s="59"/>
      <c r="BJ40" s="59"/>
      <c r="BK40" s="43"/>
    </row>
    <row r="41" spans="2:63" s="44" customFormat="1" ht="15" customHeight="1" x14ac:dyDescent="0.25">
      <c r="B41" s="60"/>
      <c r="AI41" s="59"/>
      <c r="BJ41" s="59"/>
      <c r="BK41" s="43"/>
    </row>
    <row r="42" spans="2:63" s="44" customFormat="1" ht="15" customHeight="1" x14ac:dyDescent="0.25">
      <c r="B42" s="60"/>
      <c r="AI42" s="59"/>
      <c r="BJ42" s="59"/>
      <c r="BK42" s="43"/>
    </row>
    <row r="43" spans="2:63" s="44" customFormat="1" ht="15" customHeight="1" x14ac:dyDescent="0.25">
      <c r="B43" s="60"/>
      <c r="AI43" s="59"/>
      <c r="BJ43" s="59"/>
      <c r="BK43" s="43"/>
    </row>
    <row r="44" spans="2:63" s="44" customFormat="1" ht="15" customHeight="1" x14ac:dyDescent="0.25">
      <c r="B44" s="60"/>
      <c r="AI44" s="59"/>
      <c r="BJ44" s="59"/>
      <c r="BK44" s="43"/>
    </row>
    <row r="45" spans="2:63" s="44" customFormat="1" ht="15" customHeight="1" x14ac:dyDescent="0.25">
      <c r="B45" s="60"/>
      <c r="AI45" s="59"/>
      <c r="BJ45" s="59"/>
      <c r="BK45" s="43"/>
    </row>
    <row r="46" spans="2:63" s="44" customFormat="1" ht="15" customHeight="1" x14ac:dyDescent="0.25">
      <c r="B46" s="60"/>
      <c r="AI46" s="59"/>
      <c r="BJ46" s="59"/>
      <c r="BK46" s="43"/>
    </row>
    <row r="47" spans="2:63" s="44" customFormat="1" ht="15" customHeight="1" x14ac:dyDescent="0.25">
      <c r="B47" s="60"/>
      <c r="AI47" s="59"/>
      <c r="BJ47" s="59"/>
      <c r="BK47" s="43"/>
    </row>
    <row r="48" spans="2:63" s="44" customFormat="1" ht="15" customHeight="1" x14ac:dyDescent="0.25">
      <c r="B48" s="60"/>
      <c r="AI48" s="59"/>
      <c r="BJ48" s="59"/>
      <c r="BK48" s="43"/>
    </row>
    <row r="49" spans="1:63" s="44" customFormat="1" ht="15" customHeight="1" x14ac:dyDescent="0.25">
      <c r="B49" s="60"/>
      <c r="AI49" s="59"/>
      <c r="BJ49" s="59"/>
      <c r="BK49" s="43"/>
    </row>
    <row r="50" spans="1:63" s="44" customFormat="1" ht="15" customHeight="1" x14ac:dyDescent="0.25">
      <c r="B50" s="60"/>
      <c r="AI50" s="59"/>
      <c r="BJ50" s="59"/>
      <c r="BK50" s="43"/>
    </row>
    <row r="51" spans="1:63" s="44" customFormat="1" ht="15" customHeight="1" x14ac:dyDescent="0.25">
      <c r="B51" s="60"/>
      <c r="AI51" s="59"/>
      <c r="BJ51" s="59"/>
      <c r="BK51" s="43"/>
    </row>
    <row r="52" spans="1:63" s="44" customFormat="1" ht="15" customHeight="1" x14ac:dyDescent="0.25">
      <c r="B52" s="60"/>
      <c r="AI52" s="59"/>
      <c r="BJ52" s="59"/>
      <c r="BK52" s="43"/>
    </row>
    <row r="53" spans="1:63" s="44" customFormat="1" ht="15" customHeight="1" x14ac:dyDescent="0.25">
      <c r="B53" s="60"/>
      <c r="AI53" s="59"/>
      <c r="BJ53" s="59"/>
      <c r="BK53" s="43"/>
    </row>
    <row r="54" spans="1:63" ht="15" customHeight="1" x14ac:dyDescent="0.25">
      <c r="B54" s="9"/>
      <c r="AI54" s="11"/>
      <c r="BJ54" s="11"/>
      <c r="BK54" s="5"/>
    </row>
    <row r="55" spans="1:63" ht="15" customHeight="1" x14ac:dyDescent="0.25">
      <c r="A55" s="3"/>
      <c r="B55" s="1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12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12"/>
      <c r="BK55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7" t="s">
        <v>54</v>
      </c>
      <c r="B1" s="128"/>
      <c r="C1" s="128"/>
      <c r="D1" s="128"/>
      <c r="E1" s="128"/>
      <c r="F1" s="128"/>
      <c r="G1" s="128"/>
      <c r="H1" s="128"/>
      <c r="I1" s="128"/>
      <c r="J1" s="129"/>
      <c r="K1" s="127" t="s">
        <v>55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9"/>
      <c r="W1" s="130" t="str">
        <f>IF(表紙!W1="","",表紙!W1)</f>
        <v>詳細設計書</v>
      </c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2"/>
      <c r="AP1" s="76" t="s">
        <v>57</v>
      </c>
      <c r="AQ1" s="77"/>
      <c r="AR1" s="77"/>
      <c r="AS1" s="78"/>
      <c r="AT1" s="76" t="s">
        <v>58</v>
      </c>
      <c r="AU1" s="77"/>
      <c r="AV1" s="77"/>
      <c r="AW1" s="77"/>
      <c r="AX1" s="78"/>
      <c r="AY1" s="76" t="s">
        <v>59</v>
      </c>
      <c r="AZ1" s="77"/>
      <c r="BA1" s="77"/>
      <c r="BB1" s="78"/>
      <c r="BC1" s="76" t="s">
        <v>60</v>
      </c>
      <c r="BD1" s="77"/>
      <c r="BE1" s="77"/>
      <c r="BF1" s="77"/>
      <c r="BG1" s="78"/>
      <c r="BH1" s="76" t="s">
        <v>61</v>
      </c>
      <c r="BI1" s="77"/>
      <c r="BJ1" s="77"/>
      <c r="BK1" s="78"/>
    </row>
    <row r="2" spans="1:63" ht="15" customHeight="1" x14ac:dyDescent="0.25">
      <c r="A2" s="121" t="str">
        <f>IF(表紙!A2="","",表紙!A2)</f>
        <v>POSサーバー</v>
      </c>
      <c r="B2" s="122"/>
      <c r="C2" s="122"/>
      <c r="D2" s="122"/>
      <c r="E2" s="122"/>
      <c r="F2" s="122"/>
      <c r="G2" s="122"/>
      <c r="H2" s="122"/>
      <c r="I2" s="122"/>
      <c r="J2" s="123"/>
      <c r="K2" s="121" t="str">
        <f>IF(表紙!K2="","",表紙!K2)</f>
        <v>POSサーバー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  <c r="W2" s="133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5"/>
      <c r="AP2" s="61" t="str">
        <f>IF(表紙!AP2="","",表紙!AP2)</f>
        <v>DuNT</v>
      </c>
      <c r="AQ2" s="62"/>
      <c r="AR2" s="62"/>
      <c r="AS2" s="63"/>
      <c r="AT2" s="91">
        <f>IF(表紙!AT2="","",表紙!AT2)</f>
        <v>45617</v>
      </c>
      <c r="AU2" s="92"/>
      <c r="AV2" s="92"/>
      <c r="AW2" s="92"/>
      <c r="AX2" s="93"/>
      <c r="AY2" s="61" t="str">
        <f>IF(表紙!AY2="","",表紙!AY2)</f>
        <v>DuNT</v>
      </c>
      <c r="AZ2" s="62"/>
      <c r="BA2" s="62"/>
      <c r="BB2" s="63"/>
      <c r="BC2" s="91">
        <f>IF(表紙!BC2="","",表紙!BC2)</f>
        <v>45623</v>
      </c>
      <c r="BD2" s="92"/>
      <c r="BE2" s="92"/>
      <c r="BF2" s="92"/>
      <c r="BG2" s="93"/>
      <c r="BH2" s="61">
        <f>IF(表紙!BH2="","",表紙!BH2)</f>
        <v>0.11</v>
      </c>
      <c r="BI2" s="62"/>
      <c r="BJ2" s="62"/>
      <c r="BK2" s="63"/>
    </row>
    <row r="3" spans="1:63" ht="15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6"/>
      <c r="K3" s="124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6"/>
      <c r="W3" s="13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8"/>
      <c r="AP3" s="67"/>
      <c r="AQ3" s="68"/>
      <c r="AR3" s="68"/>
      <c r="AS3" s="69"/>
      <c r="AT3" s="94"/>
      <c r="AU3" s="95"/>
      <c r="AV3" s="95"/>
      <c r="AW3" s="95"/>
      <c r="AX3" s="96"/>
      <c r="AY3" s="67"/>
      <c r="AZ3" s="68"/>
      <c r="BA3" s="68"/>
      <c r="BB3" s="69"/>
      <c r="BC3" s="94"/>
      <c r="BD3" s="95"/>
      <c r="BE3" s="95"/>
      <c r="BF3" s="95"/>
      <c r="BG3" s="96"/>
      <c r="BH3" s="67"/>
      <c r="BI3" s="68"/>
      <c r="BJ3" s="68"/>
      <c r="BK3" s="69"/>
    </row>
    <row r="4" spans="1:63" ht="24.95" customHeight="1" x14ac:dyDescent="0.25">
      <c r="A4" s="127" t="s">
        <v>63</v>
      </c>
      <c r="B4" s="128"/>
      <c r="C4" s="128"/>
      <c r="D4" s="128"/>
      <c r="E4" s="128"/>
      <c r="F4" s="128"/>
      <c r="G4" s="129"/>
      <c r="H4" s="139" t="str">
        <f>IF(表紙!H4="","",表紙!H4)</f>
        <v>AP8204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27" t="s">
        <v>64</v>
      </c>
      <c r="V4" s="128"/>
      <c r="W4" s="128"/>
      <c r="X4" s="128"/>
      <c r="Y4" s="129"/>
      <c r="Z4" s="139" t="str">
        <f>IF(表紙!Z4="","",表紙!Z4)</f>
        <v>API設計書</v>
      </c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1"/>
      <c r="AP4" s="142" t="str">
        <f ca="1">MID(CELL("filename",A1),FIND("]",CELL("filename",A1))+1,255)</f>
        <v>テンプレート</v>
      </c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4" customFormat="1" ht="15" customHeight="1" x14ac:dyDescent="0.25">
      <c r="BK7" s="43"/>
    </row>
    <row r="8" spans="1:63" s="44" customFormat="1" ht="15" customHeight="1" x14ac:dyDescent="0.25">
      <c r="BK8" s="43"/>
    </row>
    <row r="9" spans="1:63" s="44" customFormat="1" ht="15" customHeight="1" x14ac:dyDescent="0.25">
      <c r="BK9" s="43"/>
    </row>
    <row r="10" spans="1:63" s="44" customFormat="1" ht="15" customHeight="1" x14ac:dyDescent="0.25">
      <c r="BK10" s="43"/>
    </row>
    <row r="11" spans="1:63" s="44" customFormat="1" ht="15" customHeight="1" x14ac:dyDescent="0.25">
      <c r="BK11" s="43"/>
    </row>
    <row r="12" spans="1:63" s="44" customFormat="1" ht="15" customHeight="1" x14ac:dyDescent="0.25">
      <c r="BK12" s="43"/>
    </row>
    <row r="13" spans="1:63" s="44" customFormat="1" ht="15" customHeight="1" x14ac:dyDescent="0.25">
      <c r="BK13" s="43"/>
    </row>
    <row r="14" spans="1:63" s="44" customFormat="1" ht="15" customHeight="1" x14ac:dyDescent="0.25">
      <c r="BK14" s="43"/>
    </row>
    <row r="15" spans="1:63" s="44" customFormat="1" ht="15" customHeight="1" x14ac:dyDescent="0.25">
      <c r="BK15" s="43"/>
    </row>
    <row r="16" spans="1:63" s="44" customFormat="1" ht="15" customHeight="1" x14ac:dyDescent="0.25">
      <c r="BK16" s="43"/>
    </row>
    <row r="17" spans="63:63" s="44" customFormat="1" ht="15" customHeight="1" x14ac:dyDescent="0.25">
      <c r="BK17" s="43"/>
    </row>
    <row r="18" spans="63:63" s="44" customFormat="1" ht="15" customHeight="1" x14ac:dyDescent="0.25">
      <c r="BK18" s="43"/>
    </row>
    <row r="19" spans="63:63" s="44" customFormat="1" ht="15" customHeight="1" x14ac:dyDescent="0.25">
      <c r="BK19" s="43"/>
    </row>
    <row r="20" spans="63:63" s="44" customFormat="1" ht="15" customHeight="1" x14ac:dyDescent="0.25">
      <c r="BK20" s="43"/>
    </row>
    <row r="21" spans="63:63" s="44" customFormat="1" ht="15" customHeight="1" x14ac:dyDescent="0.25">
      <c r="BK21" s="43"/>
    </row>
    <row r="22" spans="63:63" s="44" customFormat="1" ht="15" customHeight="1" x14ac:dyDescent="0.25">
      <c r="BK22" s="43"/>
    </row>
    <row r="23" spans="63:63" s="44" customFormat="1" ht="15" customHeight="1" x14ac:dyDescent="0.25">
      <c r="BK23" s="43"/>
    </row>
    <row r="24" spans="63:63" s="44" customFormat="1" ht="15" customHeight="1" x14ac:dyDescent="0.25">
      <c r="BK24" s="43"/>
    </row>
    <row r="25" spans="63:63" s="44" customFormat="1" ht="15" customHeight="1" x14ac:dyDescent="0.25">
      <c r="BK25" s="43"/>
    </row>
    <row r="26" spans="63:63" s="44" customFormat="1" ht="15" customHeight="1" x14ac:dyDescent="0.25">
      <c r="BK26" s="43"/>
    </row>
    <row r="27" spans="63:63" s="44" customFormat="1" ht="15" customHeight="1" x14ac:dyDescent="0.25">
      <c r="BK27" s="43"/>
    </row>
    <row r="28" spans="63:63" s="44" customFormat="1" ht="15" customHeight="1" x14ac:dyDescent="0.25">
      <c r="BK28" s="43"/>
    </row>
    <row r="29" spans="63:63" s="44" customFormat="1" ht="15" customHeight="1" x14ac:dyDescent="0.25">
      <c r="BK29" s="43"/>
    </row>
    <row r="30" spans="63:63" s="44" customFormat="1" ht="15" customHeight="1" x14ac:dyDescent="0.25">
      <c r="BK30" s="43"/>
    </row>
    <row r="31" spans="63:63" s="44" customFormat="1" ht="15" customHeight="1" x14ac:dyDescent="0.25">
      <c r="BK31" s="43"/>
    </row>
    <row r="32" spans="63:63" s="44" customFormat="1" ht="15" customHeight="1" x14ac:dyDescent="0.25">
      <c r="BK32" s="43"/>
    </row>
    <row r="33" spans="63:63" s="44" customFormat="1" ht="15" customHeight="1" x14ac:dyDescent="0.25">
      <c r="BK33" s="43"/>
    </row>
    <row r="34" spans="63:63" s="44" customFormat="1" ht="15" customHeight="1" x14ac:dyDescent="0.25">
      <c r="BK34" s="43"/>
    </row>
    <row r="35" spans="63:63" s="44" customFormat="1" ht="15" customHeight="1" x14ac:dyDescent="0.25">
      <c r="BK35" s="43"/>
    </row>
    <row r="36" spans="63:63" s="44" customFormat="1" ht="15" customHeight="1" x14ac:dyDescent="0.25">
      <c r="BK36" s="43"/>
    </row>
    <row r="37" spans="63:63" s="44" customFormat="1" ht="15" customHeight="1" x14ac:dyDescent="0.25">
      <c r="BK37" s="43"/>
    </row>
    <row r="38" spans="63:63" s="44" customFormat="1" ht="15" customHeight="1" x14ac:dyDescent="0.25">
      <c r="BK38" s="43"/>
    </row>
    <row r="39" spans="63:63" s="44" customFormat="1" ht="15" customHeight="1" x14ac:dyDescent="0.25">
      <c r="BK39" s="43"/>
    </row>
    <row r="40" spans="63:63" s="44" customFormat="1" ht="15" customHeight="1" x14ac:dyDescent="0.25">
      <c r="BK40" s="43"/>
    </row>
    <row r="41" spans="63:63" s="44" customFormat="1" ht="15" customHeight="1" x14ac:dyDescent="0.25">
      <c r="BK41" s="43"/>
    </row>
    <row r="42" spans="63:63" s="44" customFormat="1" ht="15" customHeight="1" x14ac:dyDescent="0.25">
      <c r="BK42" s="43"/>
    </row>
    <row r="43" spans="63:63" s="44" customFormat="1" ht="15" customHeight="1" x14ac:dyDescent="0.25">
      <c r="BK43" s="43"/>
    </row>
    <row r="44" spans="63:63" s="44" customFormat="1" ht="15" customHeight="1" x14ac:dyDescent="0.25">
      <c r="BK44" s="43"/>
    </row>
    <row r="45" spans="63:63" s="44" customFormat="1" ht="15" customHeight="1" x14ac:dyDescent="0.25">
      <c r="BK45" s="43"/>
    </row>
    <row r="46" spans="63:63" s="44" customFormat="1" ht="15" customHeight="1" x14ac:dyDescent="0.25">
      <c r="BK46" s="4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530F9E-8820-41B9-8B09-1BFC126E6F74}"/>
</file>

<file path=customXml/itemProps2.xml><?xml version="1.0" encoding="utf-8"?>
<ds:datastoreItem xmlns:ds="http://schemas.openxmlformats.org/officeDocument/2006/customXml" ds:itemID="{A17ED244-BEEF-4203-946E-2CE60BADA2A3}"/>
</file>

<file path=customXml/itemProps3.xml><?xml version="1.0" encoding="utf-8"?>
<ds:datastoreItem xmlns:ds="http://schemas.openxmlformats.org/officeDocument/2006/customXml" ds:itemID="{2C786864-F33A-47B8-BB8C-3F2F88717A8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AP8204</vt:lpstr>
      <vt:lpstr>処理フロー</vt:lpstr>
      <vt:lpstr>テンプレート</vt:lpstr>
      <vt:lpstr>'AP8204'!Print_Area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2024-12-11T08:36:56Z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