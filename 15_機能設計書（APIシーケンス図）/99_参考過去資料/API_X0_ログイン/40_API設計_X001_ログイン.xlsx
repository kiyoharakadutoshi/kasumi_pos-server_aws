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40_API設計\API_X0_ログイン\"/>
    </mc:Choice>
  </mc:AlternateContent>
  <xr:revisionPtr revIDLastSave="0" documentId="13_ncr:1_{C5000D91-EC75-4813-8E20-30588399BE5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X001" sheetId="8" r:id="rId4"/>
    <sheet name="処理フロー" sheetId="9" r:id="rId5"/>
    <sheet name="テンプレート" sheetId="7" r:id="rId6"/>
  </sheets>
  <definedNames>
    <definedName name="_xlnm.Print_Area" localSheetId="3">'APX001'!$A$1:$BK$88</definedName>
    <definedName name="_xlnm.Print_Area" localSheetId="5">テンプレート!$A$1:$BK$54</definedName>
    <definedName name="_xlnm.Print_Area" localSheetId="4">処理フロー!$A$1:$BK$58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T2" i="7"/>
  <c r="K2" i="7"/>
  <c r="A2" i="7"/>
  <c r="W1" i="7"/>
  <c r="AP4" i="9"/>
  <c r="Z4" i="9"/>
  <c r="H4" i="9"/>
  <c r="K2" i="9"/>
  <c r="A2" i="9"/>
  <c r="W1" i="9"/>
  <c r="C49" i="8"/>
  <c r="C50" i="8" s="1"/>
  <c r="C51" i="8" s="1"/>
  <c r="C52" i="8" s="1"/>
  <c r="C53" i="8" s="1"/>
  <c r="C47" i="8"/>
  <c r="C37" i="8"/>
  <c r="C38" i="8" s="1"/>
  <c r="AP4" i="8"/>
  <c r="Z4" i="8"/>
  <c r="H4" i="8"/>
  <c r="AT2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8" s="1"/>
  <c r="BC2" i="4"/>
  <c r="BC2" i="7" s="1"/>
  <c r="AY2" i="4"/>
  <c r="AY2" i="9" s="1"/>
  <c r="AT2" i="4"/>
  <c r="AT2" i="9" s="1"/>
  <c r="AP2" i="4"/>
  <c r="AP2" i="8" s="1"/>
  <c r="C54" i="8" l="1"/>
  <c r="C55" i="8" s="1"/>
  <c r="C56" i="8" s="1"/>
  <c r="C57" i="8" s="1"/>
  <c r="C58" i="8" s="1"/>
  <c r="C59" i="8" s="1"/>
  <c r="AP2" i="3"/>
  <c r="BH2" i="3"/>
  <c r="AP2" i="10"/>
  <c r="BH2" i="10"/>
  <c r="BC2" i="9"/>
  <c r="AP2" i="7"/>
  <c r="BH2" i="7"/>
  <c r="AY2" i="8"/>
  <c r="AP2" i="9"/>
  <c r="BH2" i="9"/>
  <c r="AY2" i="3"/>
  <c r="AY2" i="10"/>
  <c r="BC2" i="8"/>
  <c r="AY2" i="7"/>
  <c r="BC2" i="3"/>
  <c r="BC2" i="10"/>
</calcChain>
</file>

<file path=xl/sharedStrings.xml><?xml version="1.0" encoding="utf-8"?>
<sst xmlns="http://schemas.openxmlformats.org/spreadsheetml/2006/main" count="231" uniqueCount="128">
  <si>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</si>
  <si>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</si>
  <si>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</si>
  <si>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</si>
  <si>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</si>
  <si>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</si>
  <si>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</si>
  <si>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</si>
  <si>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</si>
  <si>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</si>
  <si>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</si>
  <si>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</si>
  <si>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</si>
  <si>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</si>
  <si>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</si>
  <si>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</si>
  <si>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</si>
  <si>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</si>
  <si>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</si>
  <si>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</si>
  <si>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</si>
  <si>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</si>
  <si>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</si>
  <si>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</si>
  <si>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name</t>
    </r>
  </si>
  <si>
    <t>{</t>
  </si>
  <si>
    <t>}</t>
  </si>
  <si>
    <t>]</t>
  </si>
  <si>
    <r>
      <rPr>
        <sz val="11"/>
        <color rgb="FF000000"/>
        <rFont val="Meiryo UI"/>
        <family val="2"/>
      </rPr>
      <t>APX001</t>
    </r>
  </si>
  <si>
    <r>
      <rPr>
        <sz val="11"/>
        <color rgb="FF000000"/>
        <rFont val="Meiryo UI"/>
        <family val="2"/>
      </rPr>
      <t>ユーザーログインを実行する。</t>
    </r>
  </si>
  <si>
    <r>
      <rPr>
        <sz val="11"/>
        <color rgb="FF000000"/>
        <rFont val="Meiryo UI"/>
        <family val="2"/>
      </rPr>
      <t>api/v1/login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</si>
  <si>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</si>
  <si>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</si>
  <si>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</si>
  <si>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ログインユーザーが所属する企業コード</t>
    </r>
  </si>
  <si>
    <r>
      <rPr>
        <sz val="11"/>
        <color rgb="FF000000"/>
        <rFont val="Meiryo UI"/>
        <family val="2"/>
      </rPr>
      <t>ログイン名</t>
    </r>
  </si>
  <si>
    <r>
      <rPr>
        <sz val="11"/>
        <color rgb="FF000000"/>
        <rFont val="Meiryo UI"/>
        <family val="2"/>
      </rPr>
      <t>パスワード</t>
    </r>
  </si>
  <si>
    <r>
      <rPr>
        <sz val="11"/>
        <color rgb="FF000000"/>
        <rFont val="Meiryo UI"/>
        <family val="2"/>
      </rPr>
      <t>access_token</t>
    </r>
  </si>
  <si>
    <r>
      <rPr>
        <sz val="11"/>
        <color rgb="FF000000"/>
        <rFont val="Meiryo UI"/>
        <family val="2"/>
      </rPr>
      <t>refresh_token</t>
    </r>
  </si>
  <si>
    <r>
      <rPr>
        <sz val="11"/>
        <color rgb="FF000000"/>
        <rFont val="Meiryo UI"/>
        <family val="2"/>
      </rPr>
      <t>access token</t>
    </r>
  </si>
  <si>
    <r>
      <rPr>
        <sz val="11"/>
        <color rgb="FF000000"/>
        <rFont val="Meiryo UI"/>
        <family val="2"/>
      </rPr>
      <t>refresh token</t>
    </r>
  </si>
  <si>
    <r>
      <rPr>
        <sz val="11"/>
        <color rgb="FF000000"/>
        <rFont val="Meiryo UI"/>
        <family val="2"/>
      </rPr>
      <t>user_name</t>
    </r>
  </si>
  <si>
    <r>
      <rPr>
        <sz val="11"/>
        <color rgb="FF000000"/>
        <rFont val="Meiryo UI"/>
        <family val="2"/>
      </rPr>
      <t>role_code</t>
    </r>
  </si>
  <si>
    <r>
      <rPr>
        <sz val="11"/>
        <color rgb="FF000000"/>
        <rFont val="Meiryo UI"/>
        <family val="2"/>
      </rPr>
      <t>role_name</t>
    </r>
  </si>
  <si>
    <r>
      <rPr>
        <sz val="11"/>
        <color rgb="FF000000"/>
        <rFont val="Meiryo UI"/>
        <family val="2"/>
      </rPr>
      <t>有効期限：1日</t>
    </r>
  </si>
  <si>
    <r>
      <rPr>
        <sz val="11"/>
        <color rgb="FF000000"/>
        <rFont val="Meiryo UI"/>
        <family val="2"/>
      </rPr>
      <t>user_detail</t>
    </r>
  </si>
  <si>
    <r>
      <rPr>
        <sz val="11"/>
        <color rgb="FF000000"/>
        <rFont val="Meiryo UI"/>
        <family val="2"/>
      </rPr>
      <t>Object</t>
    </r>
  </si>
  <si>
    <r>
      <rPr>
        <sz val="11"/>
        <color rgb="FF000000"/>
        <rFont val="Meiryo UI"/>
        <family val="2"/>
      </rPr>
      <t>ユーザー詳細情報</t>
    </r>
  </si>
  <si>
    <r>
      <rPr>
        <sz val="11"/>
        <color rgb="FF000000"/>
        <rFont val="Meiryo UI"/>
        <family val="2"/>
      </rPr>
      <t>ユーザーログイン名</t>
    </r>
  </si>
  <si>
    <r>
      <rPr>
        <sz val="11"/>
        <color rgb="FF000000"/>
        <rFont val="Meiryo UI"/>
        <family val="2"/>
      </rPr>
      <t>表示に使用されるユーザー名</t>
    </r>
  </si>
  <si>
    <r>
      <rPr>
        <sz val="11"/>
        <color rgb="FF000000"/>
        <rFont val="Meiryo UI"/>
        <family val="2"/>
      </rPr>
      <t>ユーザーロールコード</t>
    </r>
  </si>
  <si>
    <r>
      <rPr>
        <sz val="11"/>
        <color rgb="FF000000"/>
        <rFont val="Meiryo UI"/>
        <family val="2"/>
      </rPr>
      <t>ユーザーロール名</t>
    </r>
  </si>
  <si>
    <r>
      <rPr>
        <sz val="11"/>
        <color rgb="FF000000"/>
        <rFont val="Meiryo UI"/>
        <family val="2"/>
      </rPr>
      <t>権限コード</t>
    </r>
  </si>
  <si>
    <r>
      <rPr>
        <sz val="11"/>
        <color rgb="FF000000"/>
        <rFont val="Meiryo UI"/>
        <family val="2"/>
      </rPr>
      <t>alias_name</t>
    </r>
  </si>
  <si>
    <r>
      <rPr>
        <sz val="11"/>
        <color rgb="FF000000"/>
        <rFont val="Meiryo UI"/>
        <family val="2"/>
      </rPr>
      <t>権限エイリアス名称</t>
    </r>
  </si>
  <si>
    <r>
      <rPr>
        <sz val="11"/>
        <color rgb="FF000000"/>
        <rFont val="Meiryo UI"/>
        <family val="2"/>
      </rPr>
      <t>01～99の機能のエイリアス名称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</si>
  <si>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</si>
  <si>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permissions</t>
    </r>
  </si>
  <si>
    <r>
      <rPr>
        <sz val="11"/>
        <color rgb="FF000000"/>
        <rFont val="Meiryo UI"/>
        <family val="2"/>
      </rPr>
      <t>アクセス可能権限一覧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</si>
  <si>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</si>
  <si>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</si>
  <si>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</si>
  <si>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</si>
  <si>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</si>
  <si>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</si>
  <si>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</si>
  <si>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</si>
  <si>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</si>
  <si>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</si>
  <si>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</si>
  <si>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</si>
  <si>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</si>
  <si>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</si>
  <si>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</si>
  <si>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</si>
  <si>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</si>
  <si>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LoiLV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</si>
  <si>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</si>
  <si>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</si>
  <si>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</si>
  <si>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</si>
  <si>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</si>
  <si>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</si>
  <si>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</si>
  <si>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</si>
  <si>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</si>
  <si>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</si>
  <si>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</si>
  <si>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2.4 Request Body</t>
  </si>
  <si>
    <t>100: カスミ, 800：いなげや</t>
  </si>
  <si>
    <t>入力バリデーションチェック：MSG_VAL_001。その中、{0}がuser_nameである。</t>
  </si>
  <si>
    <t>入力バリデーションチェック：MSG_VAL_001。その中、{0}がpasswordである。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</si>
  <si>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</si>
  <si>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</si>
  <si>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</si>
  <si>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>3つのユーザーロールがある：
・00: System administrator (企業の全て店舗にアクセスする権限)
・01 : Headquarters user (複数の店舗にアクセスする権限)
・02 : Store user (1つの店舗のみにアクセスする権限)</t>
    </r>
  </si>
  <si>
    <r>
      <rPr>
        <sz val="11"/>
        <color rgb="FF000000"/>
        <rFont val="Meiryo UI"/>
        <family val="2"/>
      </rPr>
      <t>01 - 99: 01～99の機能に該当する。</t>
    </r>
  </si>
  <si>
    <t>※サンプル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</si>
  <si>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</si>
  <si>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AnhDD</t>
  </si>
  <si>
    <t>トークンアクセスの有効期限の修正</t>
  </si>
  <si>
    <r>
      <t>有効期限：</t>
    </r>
    <r>
      <rPr>
        <sz val="11"/>
        <color rgb="FFFF0000"/>
        <rFont val="Meiryo UI"/>
        <family val="2"/>
      </rPr>
      <t>5分</t>
    </r>
  </si>
  <si>
    <t>company_name</t>
  </si>
  <si>
    <t>string</t>
  </si>
  <si>
    <t>store_code</t>
  </si>
  <si>
    <t>StoreMaster.Code</t>
  </si>
  <si>
    <t>store_name</t>
  </si>
  <si>
    <t>StoreMaster.Name</t>
  </si>
  <si>
    <t>100: カスミ, 800：いなげや
Company.Code</t>
  </si>
  <si>
    <t>100: カスミ、800：いなげや
Company.Name</t>
  </si>
  <si>
    <t>会社名</t>
  </si>
  <si>
    <t>会社コード</t>
  </si>
  <si>
    <t>店舗コード</t>
  </si>
  <si>
    <t>店舗名</t>
  </si>
  <si>
    <t>"access_token": "eyJhbGciOiJIUzI1NiIsInR5cCI6IkpXVCJ9.eyJpc3MiOiJodHRwczovL2V4YW1wbGUuYXV0aDAuY29tLyIsImF1ZCI6Imh0dHBzOi8vYXBpLmV4YW1wbGUuY29tL2NhbGFuZGFyL3YxLyIsInN1YiI6InVzcl8xMjMiLCJpYXQiOjE0NTg3ODU3OTYsImV4cCI6MTQ1ODg3MjE5Nn0.CA7eaHjIHz5NxeIJoFK9krqaeZrPLwmMmgI_XiQiIkQ",</t>
  </si>
  <si>
    <t>"refresh_token": "i6mapTIAVSp2oJkgUnCACKKfZxt_H5MBLiqcybBBd04",</t>
  </si>
  <si>
    <t>"user_detail": {</t>
  </si>
  <si>
    <t>"user_name": "LUVINA02"</t>
  </si>
  <si>
    <t>"name": "Luvina Test"</t>
  </si>
  <si>
    <t>"role_code": "02"</t>
  </si>
  <si>
    <t>"role_name": "Store User"</t>
  </si>
  <si>
    <t>"company_code": "100",</t>
  </si>
  <si>
    <t>"company_name": "Kasumi",</t>
  </si>
  <si>
    <t>"store_code": "09176",</t>
  </si>
  <si>
    <t>"store_name": "湖北店",</t>
  </si>
  <si>
    <t>"permisisons": [</t>
  </si>
  <si>
    <t>code: "01"</t>
  </si>
  <si>
    <t>"alias_name": "Product_managerment"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</si>
</sst>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i/>
      <sz val="11"/>
      <color theme="1"/>
      <name val="Meiryo UI"/>
      <family val="2"/>
    </font>
    <font>
      <i/>
      <sz val="11"/>
      <name val="Meiryo UI"/>
      <family val="2"/>
    </font>
    <font>
      <sz val="10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5" fillId="0" borderId="0">
      <alignment vertical="center"/>
    </xf>
    <xf numFmtId="0" fontId="2" fillId="0" borderId="0">
      <alignment vertical="center"/>
    </xf>
  </cellStyleXfs>
  <cellXfs count="284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center"/>
    </xf>
    <xf numFmtId="0" fontId="12" fillId="3" borderId="0" xfId="0" applyFont="1" applyFill="1" applyAlignment="1">
      <alignment vertical="center"/>
    </xf>
    <xf numFmtId="0" fontId="14" fillId="0" borderId="0" xfId="0" applyFont="1" applyAlignment="1">
      <alignment horizontal="left" vertical="center"/>
    </xf>
    <xf numFmtId="0" fontId="20" fillId="0" borderId="0" xfId="0" applyFont="1"/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6" xfId="0" applyFont="1" applyBorder="1"/>
    <xf numFmtId="0" fontId="20" fillId="0" borderId="2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16" fillId="4" borderId="0" xfId="0" applyFont="1" applyFill="1"/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19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vertical="center"/>
    </xf>
    <xf numFmtId="0" fontId="6" fillId="5" borderId="24" xfId="0" applyFont="1" applyFill="1" applyBorder="1" applyAlignment="1">
      <alignment vertical="center"/>
    </xf>
    <xf numFmtId="0" fontId="6" fillId="5" borderId="25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3" fillId="0" borderId="23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center" indent="2"/>
    </xf>
    <xf numFmtId="0" fontId="3" fillId="0" borderId="24" xfId="0" applyFont="1" applyBorder="1" applyAlignment="1">
      <alignment horizontal="left" vertical="center" indent="2"/>
    </xf>
    <xf numFmtId="0" fontId="3" fillId="0" borderId="25" xfId="0" applyFont="1" applyBorder="1" applyAlignment="1">
      <alignment horizontal="left" vertical="center" indent="2"/>
    </xf>
    <xf numFmtId="0" fontId="3" fillId="0" borderId="0" xfId="0" applyFont="1" applyAlignment="1">
      <alignment horizontal="left" vertical="top" wrapText="1"/>
    </xf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 indent="1"/>
    </xf>
    <xf numFmtId="0" fontId="8" fillId="0" borderId="24" xfId="0" applyFont="1" applyBorder="1" applyAlignment="1">
      <alignment horizontal="left" vertical="center" indent="1"/>
    </xf>
    <xf numFmtId="0" fontId="8" fillId="0" borderId="25" xfId="0" applyFont="1" applyBorder="1" applyAlignment="1">
      <alignment horizontal="left" vertical="center" inden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3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33</xdr:row>
      <xdr:rowOff>0</xdr:rowOff>
    </xdr:from>
    <xdr:to>
      <xdr:col>62</xdr:col>
      <xdr:colOff>0</xdr:colOff>
      <xdr:row>38</xdr:row>
      <xdr:rowOff>0</xdr:rowOff>
    </xdr:to>
    <xdr:sp macro="" textlink="" fLocksText="0">
      <xdr:nvSpPr>
        <xdr:cNvPr id="78" name="吹き出し: 線 2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9334500" y="6400800"/>
          <a:ext cx="7200900" cy="952500"/>
        </a:xfrm>
        <a:prstGeom prst="borderCallout1">
          <a:avLst>
            <a:gd name="adj1" fmla="val 51887"/>
            <a:gd name="adj2" fmla="val 470"/>
            <a:gd name="adj3" fmla="val 70510"/>
            <a:gd name="adj4" fmla="val -9958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・2つのパスワードが同じ場合、「5. レスポンス情報取得」を実行する。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・2つのパスワードが異なっている場合、ログを記録し、以下のレスポンスを返す。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401, message = MSG_ERR_005</a:t>
          </a:r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62</xdr:col>
      <xdr:colOff>0</xdr:colOff>
      <xdr:row>17</xdr:row>
      <xdr:rowOff>0</xdr:rowOff>
    </xdr:to>
    <xdr:sp macro="" textlink="" fLocksText="0">
      <xdr:nvSpPr>
        <xdr:cNvPr id="10" name="吹き出し: 線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334500" y="2590800"/>
          <a:ext cx="7200900" cy="762000"/>
        </a:xfrm>
        <a:prstGeom prst="borderCallout1">
          <a:avLst>
            <a:gd name="adj1" fmla="val 51887"/>
            <a:gd name="adj2" fmla="val 470"/>
            <a:gd name="adj3" fmla="val 48697"/>
            <a:gd name="adj4" fmla="val -971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以下を満たすUsersテーブルのユーザーを取得する。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・Users.UserName = Request.user_name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・Users.CompanyCode = Request.company_code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29</xdr:row>
      <xdr:rowOff>0</xdr:rowOff>
    </xdr:from>
    <xdr:to>
      <xdr:col>62</xdr:col>
      <xdr:colOff>0</xdr:colOff>
      <xdr:row>32</xdr:row>
      <xdr:rowOff>0</xdr:rowOff>
    </xdr:to>
    <xdr:sp macro="" textlink="" fLocksText="0">
      <xdr:nvSpPr>
        <xdr:cNvPr id="38" name="吹き出し: 線 2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9334500" y="5638800"/>
          <a:ext cx="7200900" cy="571500"/>
        </a:xfrm>
        <a:prstGeom prst="borderCallout1">
          <a:avLst>
            <a:gd name="adj1" fmla="val 51887"/>
            <a:gd name="adj2" fmla="val 470"/>
            <a:gd name="adj3" fmla="val 41098"/>
            <a:gd name="adj4" fmla="val -969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リクエストからパスワードをBcrypt形式で暗号化する。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「1.企業コートとIDの参照」で取得されたuser.Passwordを確認する。</a:t>
          </a:r>
        </a:p>
      </xdr:txBody>
    </xdr:sp>
    <xdr:clientData/>
  </xdr:twoCellAnchor>
  <xdr:twoCellAnchor>
    <xdr:from>
      <xdr:col>35</xdr:col>
      <xdr:colOff>0</xdr:colOff>
      <xdr:row>20</xdr:row>
      <xdr:rowOff>0</xdr:rowOff>
    </xdr:from>
    <xdr:to>
      <xdr:col>62</xdr:col>
      <xdr:colOff>0</xdr:colOff>
      <xdr:row>24</xdr:row>
      <xdr:rowOff>156882</xdr:rowOff>
    </xdr:to>
    <xdr:sp macro="" textlink="" fLocksText="0">
      <xdr:nvSpPr>
        <xdr:cNvPr id="36" name="吹き出し: 線 2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236324" y="3922059"/>
          <a:ext cx="6353735" cy="918882"/>
        </a:xfrm>
        <a:prstGeom prst="borderCallout1">
          <a:avLst>
            <a:gd name="adj1" fmla="val 51887"/>
            <a:gd name="adj2" fmla="val 470"/>
            <a:gd name="adj3" fmla="val 34921"/>
            <a:gd name="adj4" fmla="val -993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・レコードが存在している場合、「3. パスワード参照」を実行する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・レコードが存在していない場合、ログを記録し、以下のレスポンスを返す。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401, message = MSG_ERR_005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0</xdr:colOff>
      <xdr:row>10</xdr:row>
      <xdr:rowOff>11206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</xdr:row>
      <xdr:rowOff>11206</xdr:rowOff>
    </xdr:from>
    <xdr:to>
      <xdr:col>8</xdr:col>
      <xdr:colOff>0</xdr:colOff>
      <xdr:row>11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2028825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10</xdr:row>
      <xdr:rowOff>0</xdr:rowOff>
    </xdr:to>
    <xdr:sp macro="" textlink="" fLocksText="0">
      <xdr:nvSpPr>
        <xdr:cNvPr id="7" name="吹き出し: 線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9334500" y="1638300"/>
          <a:ext cx="7200900" cy="381000"/>
        </a:xfrm>
        <a:prstGeom prst="borderCallout1">
          <a:avLst>
            <a:gd name="adj1" fmla="val 51887"/>
            <a:gd name="adj2" fmla="val 470"/>
            <a:gd name="adj3" fmla="val 118745"/>
            <a:gd name="adj4" fmla="val -100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1.企業コートとIDの参照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0</xdr:colOff>
      <xdr:row>13</xdr:row>
      <xdr:rowOff>22412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1600200" y="2209800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0</xdr:rowOff>
    </xdr:from>
    <xdr:to>
      <xdr:col>9</xdr:col>
      <xdr:colOff>0</xdr:colOff>
      <xdr:row>23</xdr:row>
      <xdr:rowOff>179294</xdr:rowOff>
    </xdr:to>
    <xdr:sp macro="" textlink="" fLocksText="0">
      <xdr:nvSpPr>
        <xdr:cNvPr id="11" name="Flowchart: Decisio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00100" y="373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19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8" idx="2"/>
          <a:endCxn id="11" idx="0"/>
        </xdr:cNvCxnSpPr>
      </xdr:nvCxnSpPr>
      <xdr:spPr>
        <a:xfrm>
          <a:off x="1600200" y="3352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25</xdr:row>
      <xdr:rowOff>0</xdr:rowOff>
    </xdr:to>
    <xdr:sp macro="" textlink="" fLocksText="0">
      <xdr:nvSpPr>
        <xdr:cNvPr id="16" name="Flowchart: Process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333500" y="4686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0</xdr:rowOff>
    </xdr:from>
    <xdr:to>
      <xdr:col>11</xdr:col>
      <xdr:colOff>0</xdr:colOff>
      <xdr:row>22</xdr:row>
      <xdr:rowOff>0</xdr:rowOff>
    </xdr:to>
    <xdr:sp macro="" textlink="" fLocksText="0">
      <xdr:nvSpPr>
        <xdr:cNvPr id="17" name="Flowchart: Process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400300" y="411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8</xdr:col>
      <xdr:colOff>0</xdr:colOff>
      <xdr:row>51</xdr:row>
      <xdr:rowOff>0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66800" y="96393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4</xdr:col>
      <xdr:colOff>0</xdr:colOff>
      <xdr:row>53</xdr:row>
      <xdr:rowOff>22412</xdr:rowOff>
    </xdr:from>
    <xdr:to>
      <xdr:col>8</xdr:col>
      <xdr:colOff>0</xdr:colOff>
      <xdr:row>55</xdr:row>
      <xdr:rowOff>0</xdr:rowOff>
    </xdr:to>
    <xdr:sp macro="" textlink="" fLocksText="0">
      <xdr:nvSpPr>
        <xdr:cNvPr id="20" name="Oval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066800" y="10229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1</xdr:colOff>
      <xdr:row>25</xdr:row>
      <xdr:rowOff>0</xdr:rowOff>
    </xdr:from>
    <xdr:to>
      <xdr:col>6</xdr:col>
      <xdr:colOff>1</xdr:colOff>
      <xdr:row>28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16" idx="2"/>
          <a:endCxn id="28" idx="0"/>
        </xdr:cNvCxnSpPr>
      </xdr:nvCxnSpPr>
      <xdr:spPr>
        <a:xfrm>
          <a:off x="1600200" y="4876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51</xdr:row>
      <xdr:rowOff>0</xdr:rowOff>
    </xdr:from>
    <xdr:to>
      <xdr:col>6</xdr:col>
      <xdr:colOff>0</xdr:colOff>
      <xdr:row>53</xdr:row>
      <xdr:rowOff>22412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>
          <a:stCxn id="19" idx="2"/>
          <a:endCxn id="20" idx="0"/>
        </xdr:cNvCxnSpPr>
      </xdr:nvCxnSpPr>
      <xdr:spPr>
        <a:xfrm>
          <a:off x="1600200" y="9829800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</xdr:row>
      <xdr:rowOff>95250</xdr:rowOff>
    </xdr:from>
    <xdr:to>
      <xdr:col>11</xdr:col>
      <xdr:colOff>0</xdr:colOff>
      <xdr:row>50</xdr:row>
      <xdr:rowOff>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17" idx="3"/>
          <a:endCxn id="19" idx="0"/>
        </xdr:cNvCxnSpPr>
      </xdr:nvCxnSpPr>
      <xdr:spPr>
        <a:xfrm flipH="1">
          <a:off x="1600200" y="4210050"/>
          <a:ext cx="1333500" cy="5429250"/>
        </a:xfrm>
        <a:prstGeom prst="bentConnector4">
          <a:avLst>
            <a:gd name="adj1" fmla="val -19429"/>
            <a:gd name="adj2" fmla="val 92776"/>
          </a:avLst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28</xdr:row>
      <xdr:rowOff>0</xdr:rowOff>
    </xdr:from>
    <xdr:to>
      <xdr:col>9</xdr:col>
      <xdr:colOff>0</xdr:colOff>
      <xdr:row>32</xdr:row>
      <xdr:rowOff>0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00100" y="5448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3.パスワード参照</a:t>
          </a:r>
        </a:p>
      </xdr:txBody>
    </xdr:sp>
    <xdr:clientData/>
  </xdr:twoCellAnchor>
  <xdr:twoCellAnchor>
    <xdr:from>
      <xdr:col>3</xdr:col>
      <xdr:colOff>0</xdr:colOff>
      <xdr:row>34</xdr:row>
      <xdr:rowOff>0</xdr:rowOff>
    </xdr:from>
    <xdr:to>
      <xdr:col>9</xdr:col>
      <xdr:colOff>0</xdr:colOff>
      <xdr:row>38</xdr:row>
      <xdr:rowOff>179294</xdr:rowOff>
    </xdr:to>
    <xdr:sp macro="" textlink="" fLocksText="0">
      <xdr:nvSpPr>
        <xdr:cNvPr id="33" name="Flowchart: Decision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00100" y="6591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4.パスワードが同じ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39</xdr:row>
      <xdr:rowOff>0</xdr:rowOff>
    </xdr:from>
    <xdr:to>
      <xdr:col>7</xdr:col>
      <xdr:colOff>0</xdr:colOff>
      <xdr:row>40</xdr:row>
      <xdr:rowOff>0</xdr:rowOff>
    </xdr:to>
    <xdr:sp macro="" textlink="" fLocksText="0">
      <xdr:nvSpPr>
        <xdr:cNvPr id="34" name="Flowchart: Process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1333500" y="7543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37</xdr:row>
      <xdr:rowOff>0</xdr:rowOff>
    </xdr:to>
    <xdr:sp macro="" textlink="" fLocksText="0">
      <xdr:nvSpPr>
        <xdr:cNvPr id="35" name="Flowchart: Process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2400300" y="6972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</xdr:colOff>
      <xdr:row>32</xdr:row>
      <xdr:rowOff>0</xdr:rowOff>
    </xdr:from>
    <xdr:to>
      <xdr:col>6</xdr:col>
      <xdr:colOff>1</xdr:colOff>
      <xdr:row>34</xdr:row>
      <xdr:rowOff>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28" idx="2"/>
          <a:endCxn id="33" idx="0"/>
        </xdr:cNvCxnSpPr>
      </xdr:nvCxnSpPr>
      <xdr:spPr>
        <a:xfrm>
          <a:off x="1600200" y="6210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36</xdr:row>
      <xdr:rowOff>95250</xdr:rowOff>
    </xdr:from>
    <xdr:to>
      <xdr:col>11</xdr:col>
      <xdr:colOff>0</xdr:colOff>
      <xdr:row>50</xdr:row>
      <xdr:rowOff>0</xdr:rowOff>
    </xdr:to>
    <xdr:cxnSp macro="">
      <xdr:nvCxnSpPr>
        <xdr:cNvPr id="45" name="Straight Arrow Connector 31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35" idx="3"/>
          <a:endCxn id="19" idx="0"/>
        </xdr:cNvCxnSpPr>
      </xdr:nvCxnSpPr>
      <xdr:spPr>
        <a:xfrm flipH="1">
          <a:off x="1600200" y="7067550"/>
          <a:ext cx="1333500" cy="2571750"/>
        </a:xfrm>
        <a:prstGeom prst="bentConnector4">
          <a:avLst>
            <a:gd name="adj1" fmla="val -19429"/>
            <a:gd name="adj2" fmla="val 84532"/>
          </a:avLst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40</xdr:row>
      <xdr:rowOff>0</xdr:rowOff>
    </xdr:from>
    <xdr:to>
      <xdr:col>6</xdr:col>
      <xdr:colOff>1</xdr:colOff>
      <xdr:row>42</xdr:row>
      <xdr:rowOff>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stCxn id="34" idx="2"/>
          <a:endCxn id="61" idx="0"/>
        </xdr:cNvCxnSpPr>
      </xdr:nvCxnSpPr>
      <xdr:spPr>
        <a:xfrm>
          <a:off x="1600200" y="7734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42</xdr:row>
      <xdr:rowOff>0</xdr:rowOff>
    </xdr:from>
    <xdr:to>
      <xdr:col>9</xdr:col>
      <xdr:colOff>0</xdr:colOff>
      <xdr:row>46</xdr:row>
      <xdr:rowOff>0</xdr:rowOff>
    </xdr:to>
    <xdr:sp macro="" textlink="" fLocksText="0">
      <xdr:nvSpPr>
        <xdr:cNvPr id="61" name="Rectangle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800100" y="8115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5.レスポンス情報取得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46</xdr:row>
      <xdr:rowOff>0</xdr:rowOff>
    </xdr:from>
    <xdr:to>
      <xdr:col>6</xdr:col>
      <xdr:colOff>1</xdr:colOff>
      <xdr:row>50</xdr:row>
      <xdr:rowOff>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CxnSpPr>
          <a:stCxn id="61" idx="2"/>
          <a:endCxn id="19" idx="0"/>
        </xdr:cNvCxnSpPr>
      </xdr:nvCxnSpPr>
      <xdr:spPr>
        <a:xfrm flipH="1">
          <a:off x="1600200" y="8877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39</xdr:row>
      <xdr:rowOff>0</xdr:rowOff>
    </xdr:from>
    <xdr:to>
      <xdr:col>62</xdr:col>
      <xdr:colOff>0</xdr:colOff>
      <xdr:row>51</xdr:row>
      <xdr:rowOff>0</xdr:rowOff>
    </xdr:to>
    <xdr:sp macro="" textlink="" fLocksText="0">
      <xdr:nvSpPr>
        <xdr:cNvPr id="79" name="吹き出し: 線 2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9334500" y="7543800"/>
          <a:ext cx="7200900" cy="2286000"/>
        </a:xfrm>
        <a:prstGeom prst="borderCallout1">
          <a:avLst>
            <a:gd name="adj1" fmla="val 51887"/>
            <a:gd name="adj2" fmla="val 470"/>
            <a:gd name="adj3" fmla="val 41784"/>
            <a:gd name="adj4" fmla="val -9693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・access_token, refresh_tokenを生成する。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・以下を満たすPermissionsテーブルから1～99の機能のpermissionsを取得する。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SELECT FROM PermissionRole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INNER JOIN Permissions ON Permissions.Code = PermissionRole.PermissionCode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WHERE PermissionRole.RoleCode = user.RoleCode AND PermisisonRole.status 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・以下を満たすRolesテーブルからRoleNameを取得する。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Roles.Code = user.RoleCode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・レスポンス情報を取得し、permissionsがない場合は空のpermission一覧を返す -&gt;ログを記録し、レスポンスを返す。</a:t>
          </a:r>
        </a:p>
      </xdr:txBody>
    </xdr:sp>
    <xdr:clientData/>
  </xdr:twoCellAnchor>
  <xdr:twoCellAnchor>
    <xdr:from>
      <xdr:col>35</xdr:col>
      <xdr:colOff>0</xdr:colOff>
      <xdr:row>52</xdr:row>
      <xdr:rowOff>0</xdr:rowOff>
    </xdr:from>
    <xdr:to>
      <xdr:col>62</xdr:col>
      <xdr:colOff>0</xdr:colOff>
      <xdr:row>54</xdr:row>
      <xdr:rowOff>0</xdr:rowOff>
    </xdr:to>
    <xdr:sp macro="" textlink="" fLocksText="0">
      <xdr:nvSpPr>
        <xdr:cNvPr id="80" name="吹き出し: 線 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9334500" y="10020300"/>
          <a:ext cx="7200900" cy="381000"/>
        </a:xfrm>
        <a:prstGeom prst="borderCallout1">
          <a:avLst>
            <a:gd name="adj1" fmla="val 46004"/>
            <a:gd name="adj2" fmla="val 117"/>
            <a:gd name="adj3" fmla="val -75372"/>
            <a:gd name="adj4" fmla="val -10071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50" customWidth="1"/>
    <col min="61" max="16384" width="2.77734375" style="50"/>
  </cols>
  <sheetData>
    <row r="1" spans="1:63" ht="24.95" customHeight="1" x14ac:dyDescent="0.25">
      <c r="A1" s="96" t="s">
        <v>59</v>
      </c>
      <c r="B1" s="97"/>
      <c r="C1" s="97"/>
      <c r="D1" s="97"/>
      <c r="E1" s="97"/>
      <c r="F1" s="97"/>
      <c r="G1" s="97"/>
      <c r="H1" s="97"/>
      <c r="I1" s="97"/>
      <c r="J1" s="98"/>
      <c r="K1" s="96" t="s">
        <v>60</v>
      </c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118" t="s">
        <v>61</v>
      </c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20"/>
      <c r="AP1" s="96" t="s">
        <v>62</v>
      </c>
      <c r="AQ1" s="97"/>
      <c r="AR1" s="97"/>
      <c r="AS1" s="98"/>
      <c r="AT1" s="96" t="s">
        <v>63</v>
      </c>
      <c r="AU1" s="97"/>
      <c r="AV1" s="97"/>
      <c r="AW1" s="97"/>
      <c r="AX1" s="98"/>
      <c r="AY1" s="96" t="s">
        <v>64</v>
      </c>
      <c r="AZ1" s="97"/>
      <c r="BA1" s="97"/>
      <c r="BB1" s="98"/>
      <c r="BC1" s="96" t="s">
        <v>65</v>
      </c>
      <c r="BD1" s="97"/>
      <c r="BE1" s="97"/>
      <c r="BF1" s="97"/>
      <c r="BG1" s="98"/>
      <c r="BH1" s="96" t="s">
        <v>66</v>
      </c>
      <c r="BI1" s="97"/>
      <c r="BJ1" s="97"/>
      <c r="BK1" s="98"/>
    </row>
    <row r="2" spans="1:63" ht="15" customHeight="1" x14ac:dyDescent="0.25">
      <c r="A2" s="117" t="s">
        <v>67</v>
      </c>
      <c r="B2" s="82"/>
      <c r="C2" s="82"/>
      <c r="D2" s="82"/>
      <c r="E2" s="82"/>
      <c r="F2" s="82"/>
      <c r="G2" s="82"/>
      <c r="H2" s="82"/>
      <c r="I2" s="82"/>
      <c r="J2" s="83"/>
      <c r="K2" s="81" t="s">
        <v>1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21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3"/>
      <c r="AP2" s="81" t="str">
        <f>改訂履歴!$H$11</f>
        <v>LoiLV</v>
      </c>
      <c r="AQ2" s="82"/>
      <c r="AR2" s="82"/>
      <c r="AS2" s="83"/>
      <c r="AT2" s="111">
        <f>改訂履歴!$B$11</f>
        <v>45467</v>
      </c>
      <c r="AU2" s="112"/>
      <c r="AV2" s="112"/>
      <c r="AW2" s="112"/>
      <c r="AX2" s="113"/>
      <c r="AY2" s="81" t="str">
        <f>LOOKUP(2,1/(改訂履歴!H11:H30000&lt;&gt;""),改訂履歴!H11:H30000)</f>
        <v>AnhDD</v>
      </c>
      <c r="AZ2" s="82"/>
      <c r="BA2" s="82"/>
      <c r="BB2" s="83"/>
      <c r="BC2" s="111">
        <f>LOOKUP(2,1/(改訂履歴!B11:B30000&lt;&gt;""),改訂履歴!B11:B30000)</f>
        <v>45483</v>
      </c>
      <c r="BD2" s="112"/>
      <c r="BE2" s="112"/>
      <c r="BF2" s="112"/>
      <c r="BG2" s="113"/>
      <c r="BH2" s="105">
        <f>LOOKUP(2,1/(改訂履歴!O11:O30000&lt;&gt;""),改訂履歴!O11:O30000)</f>
        <v>0.11</v>
      </c>
      <c r="BI2" s="106"/>
      <c r="BJ2" s="106"/>
      <c r="BK2" s="107"/>
    </row>
    <row r="3" spans="1:63" ht="15" customHeight="1" x14ac:dyDescent="0.25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124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6"/>
      <c r="AP3" s="87"/>
      <c r="AQ3" s="88"/>
      <c r="AR3" s="88"/>
      <c r="AS3" s="89"/>
      <c r="AT3" s="114"/>
      <c r="AU3" s="115"/>
      <c r="AV3" s="115"/>
      <c r="AW3" s="115"/>
      <c r="AX3" s="116"/>
      <c r="AY3" s="87"/>
      <c r="AZ3" s="88"/>
      <c r="BA3" s="88"/>
      <c r="BB3" s="89"/>
      <c r="BC3" s="114"/>
      <c r="BD3" s="115"/>
      <c r="BE3" s="115"/>
      <c r="BF3" s="115"/>
      <c r="BG3" s="116"/>
      <c r="BH3" s="108"/>
      <c r="BI3" s="109"/>
      <c r="BJ3" s="109"/>
      <c r="BK3" s="110"/>
    </row>
    <row r="4" spans="1:63" ht="24.95" customHeight="1" x14ac:dyDescent="0.25">
      <c r="A4" s="96" t="s">
        <v>68</v>
      </c>
      <c r="B4" s="97"/>
      <c r="C4" s="97"/>
      <c r="D4" s="97"/>
      <c r="E4" s="97"/>
      <c r="F4" s="97"/>
      <c r="G4" s="98"/>
      <c r="H4" s="101" t="s">
        <v>28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3"/>
      <c r="U4" s="96" t="s">
        <v>69</v>
      </c>
      <c r="V4" s="97"/>
      <c r="W4" s="97"/>
      <c r="X4" s="97"/>
      <c r="Y4" s="98"/>
      <c r="Z4" s="104" t="s">
        <v>70</v>
      </c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3"/>
      <c r="AP4" s="101" t="str">
        <f t="array" aca="1" ref="AP4" ca="1">RIGHT(CELL("filename",$A$1),LEN(CELL("filename",$A$1))-FIND("]",CELL("filename",$A$1)))</f>
        <v>表紙</v>
      </c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3"/>
    </row>
    <row r="5" spans="1:63" ht="5.0999999999999996" customHeight="1" x14ac:dyDescent="0.25">
      <c r="A5" s="51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3"/>
    </row>
    <row r="6" spans="1:63" ht="15" customHeight="1" x14ac:dyDescent="0.25">
      <c r="A6" s="54"/>
      <c r="BK6" s="55"/>
    </row>
    <row r="7" spans="1:63" ht="15" customHeight="1" x14ac:dyDescent="0.25">
      <c r="A7" s="54"/>
      <c r="BK7" s="55"/>
    </row>
    <row r="8" spans="1:63" ht="15" customHeight="1" x14ac:dyDescent="0.25">
      <c r="A8" s="54"/>
      <c r="BK8" s="55"/>
    </row>
    <row r="9" spans="1:63" ht="15" customHeight="1" x14ac:dyDescent="0.25">
      <c r="A9" s="54"/>
      <c r="BK9" s="55"/>
    </row>
    <row r="10" spans="1:63" ht="15" customHeight="1" x14ac:dyDescent="0.25">
      <c r="A10" s="54"/>
      <c r="BK10" s="55"/>
    </row>
    <row r="11" spans="1:63" ht="15" customHeight="1" x14ac:dyDescent="0.25">
      <c r="A11" s="54"/>
      <c r="BK11" s="55"/>
    </row>
    <row r="12" spans="1:63" ht="15" customHeight="1" x14ac:dyDescent="0.25">
      <c r="A12" s="54"/>
      <c r="BK12" s="55"/>
    </row>
    <row r="13" spans="1:63" ht="15" customHeight="1" x14ac:dyDescent="0.25">
      <c r="A13" s="54"/>
      <c r="BK13" s="55"/>
    </row>
    <row r="14" spans="1:63" ht="15" customHeight="1" thickBot="1" x14ac:dyDescent="0.3">
      <c r="A14" s="54"/>
      <c r="BK14" s="55"/>
    </row>
    <row r="15" spans="1:63" ht="15" customHeight="1" thickTop="1" x14ac:dyDescent="0.25">
      <c r="A15" s="54"/>
      <c r="K15" s="56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8"/>
      <c r="BK15" s="55"/>
    </row>
    <row r="16" spans="1:63" ht="15" customHeight="1" x14ac:dyDescent="0.25">
      <c r="A16" s="54"/>
      <c r="K16" s="59"/>
      <c r="L16" s="99" t="s">
        <v>71</v>
      </c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60"/>
      <c r="BK16" s="55"/>
    </row>
    <row r="17" spans="1:63" ht="15" customHeight="1" x14ac:dyDescent="0.25">
      <c r="A17" s="54"/>
      <c r="K17" s="59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60"/>
      <c r="BK17" s="55"/>
    </row>
    <row r="18" spans="1:63" ht="15" customHeight="1" x14ac:dyDescent="0.25">
      <c r="A18" s="54"/>
      <c r="K18" s="59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60"/>
      <c r="BK18" s="55"/>
    </row>
    <row r="19" spans="1:63" ht="15" customHeight="1" x14ac:dyDescent="0.25">
      <c r="A19" s="54"/>
      <c r="K19" s="59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60"/>
      <c r="BK19" s="55"/>
    </row>
    <row r="20" spans="1:63" ht="15" customHeight="1" x14ac:dyDescent="0.25">
      <c r="A20" s="54"/>
      <c r="K20" s="59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60"/>
      <c r="BK20" s="55"/>
    </row>
    <row r="21" spans="1:63" ht="15" customHeight="1" x14ac:dyDescent="0.25">
      <c r="A21" s="54"/>
      <c r="K21" s="59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60"/>
      <c r="BK21" s="55"/>
    </row>
    <row r="22" spans="1:63" ht="15" customHeight="1" thickBot="1" x14ac:dyDescent="0.3">
      <c r="A22" s="54"/>
      <c r="K22" s="59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0"/>
      <c r="BK22" s="55"/>
    </row>
    <row r="23" spans="1:63" ht="15" customHeight="1" x14ac:dyDescent="0.25">
      <c r="A23" s="54"/>
      <c r="K23" s="59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0"/>
      <c r="BK23" s="55"/>
    </row>
    <row r="24" spans="1:63" ht="15" customHeight="1" x14ac:dyDescent="0.25">
      <c r="A24" s="54"/>
      <c r="K24" s="59"/>
      <c r="L24" s="100" t="str">
        <f>K2&amp;"/"&amp;H4&amp;"/"&amp;Z4</f>
        <v>POSサーバー/APX001/API設計書</v>
      </c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60"/>
      <c r="BK24" s="55"/>
    </row>
    <row r="25" spans="1:63" ht="15" customHeight="1" x14ac:dyDescent="0.25">
      <c r="A25" s="54"/>
      <c r="K25" s="59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60"/>
      <c r="BK25" s="55"/>
    </row>
    <row r="26" spans="1:63" ht="15" customHeight="1" x14ac:dyDescent="0.25">
      <c r="A26" s="54"/>
      <c r="K26" s="5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60"/>
      <c r="BK26" s="55"/>
    </row>
    <row r="27" spans="1:63" ht="15" customHeight="1" x14ac:dyDescent="0.25">
      <c r="A27" s="54"/>
      <c r="K27" s="59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60"/>
      <c r="BK27" s="55"/>
    </row>
    <row r="28" spans="1:63" ht="15" customHeight="1" x14ac:dyDescent="0.25">
      <c r="A28" s="54"/>
      <c r="K28" s="59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60"/>
      <c r="BK28" s="55"/>
    </row>
    <row r="29" spans="1:63" ht="15" customHeight="1" x14ac:dyDescent="0.25">
      <c r="A29" s="54"/>
      <c r="K29" s="59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60"/>
      <c r="BK29" s="55"/>
    </row>
    <row r="30" spans="1:63" ht="15" customHeight="1" x14ac:dyDescent="0.25">
      <c r="A30" s="54"/>
      <c r="K30" s="59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60"/>
      <c r="BK30" s="55"/>
    </row>
    <row r="31" spans="1:63" ht="15" customHeight="1" x14ac:dyDescent="0.25">
      <c r="A31" s="54"/>
      <c r="K31" s="59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60"/>
      <c r="BK31" s="55"/>
    </row>
    <row r="32" spans="1:63" ht="15" customHeight="1" x14ac:dyDescent="0.25">
      <c r="A32" s="54"/>
      <c r="K32" s="59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60"/>
      <c r="BK32" s="55"/>
    </row>
    <row r="33" spans="1:63" ht="15" customHeight="1" x14ac:dyDescent="0.25">
      <c r="A33" s="54"/>
      <c r="K33" s="59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60"/>
      <c r="BK33" s="55"/>
    </row>
    <row r="34" spans="1:63" ht="15" customHeight="1" x14ac:dyDescent="0.25">
      <c r="A34" s="54"/>
      <c r="K34" s="59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60"/>
      <c r="BK34" s="55"/>
    </row>
    <row r="35" spans="1:63" ht="15" customHeight="1" x14ac:dyDescent="0.25">
      <c r="A35" s="54"/>
      <c r="K35" s="59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60"/>
      <c r="BK35" s="55"/>
    </row>
    <row r="36" spans="1:63" ht="15" customHeight="1" x14ac:dyDescent="0.25">
      <c r="A36" s="54"/>
      <c r="K36" s="59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60"/>
      <c r="BK36" s="55"/>
    </row>
    <row r="37" spans="1:63" ht="15" customHeight="1" thickBot="1" x14ac:dyDescent="0.3">
      <c r="A37" s="54"/>
      <c r="K37" s="63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5"/>
      <c r="BK37" s="55"/>
    </row>
    <row r="38" spans="1:63" ht="15" customHeight="1" thickTop="1" x14ac:dyDescent="0.25">
      <c r="A38" s="54"/>
      <c r="BK38" s="55"/>
    </row>
    <row r="39" spans="1:63" ht="15" customHeight="1" x14ac:dyDescent="0.25">
      <c r="A39" s="54"/>
      <c r="BK39" s="55"/>
    </row>
    <row r="40" spans="1:63" ht="15" customHeight="1" x14ac:dyDescent="0.25">
      <c r="A40" s="54"/>
      <c r="BK40" s="55"/>
    </row>
    <row r="41" spans="1:63" ht="15" customHeight="1" x14ac:dyDescent="0.25">
      <c r="A41" s="54"/>
      <c r="BK41" s="55"/>
    </row>
    <row r="42" spans="1:63" ht="15" customHeight="1" x14ac:dyDescent="0.25">
      <c r="A42" s="54"/>
      <c r="BK42" s="55"/>
    </row>
    <row r="43" spans="1:63" ht="15" customHeight="1" x14ac:dyDescent="0.25">
      <c r="A43" s="54"/>
      <c r="BK43" s="55"/>
    </row>
    <row r="44" spans="1:63" ht="15" customHeight="1" x14ac:dyDescent="0.25">
      <c r="A44" s="54"/>
      <c r="Q44" s="90" t="s">
        <v>72</v>
      </c>
      <c r="R44" s="91"/>
      <c r="S44" s="91"/>
      <c r="T44" s="91"/>
      <c r="U44" s="91"/>
      <c r="V44" s="91"/>
      <c r="W44" s="91"/>
      <c r="X44" s="91"/>
      <c r="Y44" s="91"/>
      <c r="Z44" s="92"/>
      <c r="AA44" s="90" t="s">
        <v>73</v>
      </c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2"/>
      <c r="AQ44" s="90" t="s">
        <v>66</v>
      </c>
      <c r="AR44" s="91"/>
      <c r="AS44" s="91"/>
      <c r="AT44" s="91"/>
      <c r="AU44" s="92"/>
      <c r="BK44" s="55"/>
    </row>
    <row r="45" spans="1:63" ht="15" customHeight="1" x14ac:dyDescent="0.25">
      <c r="A45" s="54"/>
      <c r="Q45" s="93"/>
      <c r="R45" s="94"/>
      <c r="S45" s="94"/>
      <c r="T45" s="94"/>
      <c r="U45" s="94"/>
      <c r="V45" s="94"/>
      <c r="W45" s="94"/>
      <c r="X45" s="94"/>
      <c r="Y45" s="94"/>
      <c r="Z45" s="95"/>
      <c r="AA45" s="93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5"/>
      <c r="AQ45" s="93"/>
      <c r="AR45" s="94"/>
      <c r="AS45" s="94"/>
      <c r="AT45" s="94"/>
      <c r="AU45" s="95"/>
      <c r="BK45" s="55"/>
    </row>
    <row r="46" spans="1:63" ht="15" customHeight="1" x14ac:dyDescent="0.25">
      <c r="A46" s="54"/>
      <c r="Q46" s="81"/>
      <c r="R46" s="82"/>
      <c r="S46" s="82"/>
      <c r="T46" s="82"/>
      <c r="U46" s="82"/>
      <c r="V46" s="82"/>
      <c r="W46" s="82"/>
      <c r="X46" s="82"/>
      <c r="Y46" s="82"/>
      <c r="Z46" s="83"/>
      <c r="AA46" s="81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3"/>
      <c r="AQ46" s="81"/>
      <c r="AR46" s="82"/>
      <c r="AS46" s="82"/>
      <c r="AT46" s="82"/>
      <c r="AU46" s="83"/>
      <c r="BK46" s="55"/>
    </row>
    <row r="47" spans="1:63" ht="15" customHeight="1" x14ac:dyDescent="0.25">
      <c r="A47" s="54"/>
      <c r="Q47" s="84"/>
      <c r="R47" s="85"/>
      <c r="S47" s="85"/>
      <c r="T47" s="85"/>
      <c r="U47" s="85"/>
      <c r="V47" s="85"/>
      <c r="W47" s="85"/>
      <c r="X47" s="85"/>
      <c r="Y47" s="85"/>
      <c r="Z47" s="86"/>
      <c r="AA47" s="84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6"/>
      <c r="AQ47" s="84"/>
      <c r="AR47" s="85"/>
      <c r="AS47" s="85"/>
      <c r="AT47" s="85"/>
      <c r="AU47" s="86"/>
      <c r="BK47" s="55"/>
    </row>
    <row r="48" spans="1:63" ht="15" customHeight="1" x14ac:dyDescent="0.25">
      <c r="A48" s="54"/>
      <c r="Q48" s="84"/>
      <c r="R48" s="85"/>
      <c r="S48" s="85"/>
      <c r="T48" s="85"/>
      <c r="U48" s="85"/>
      <c r="V48" s="85"/>
      <c r="W48" s="85"/>
      <c r="X48" s="85"/>
      <c r="Y48" s="85"/>
      <c r="Z48" s="86"/>
      <c r="AA48" s="84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6"/>
      <c r="AQ48" s="84"/>
      <c r="AR48" s="85"/>
      <c r="AS48" s="85"/>
      <c r="AT48" s="85"/>
      <c r="AU48" s="86"/>
      <c r="BK48" s="55"/>
    </row>
    <row r="49" spans="1:63" ht="15" customHeight="1" x14ac:dyDescent="0.25">
      <c r="A49" s="54"/>
      <c r="Q49" s="87"/>
      <c r="R49" s="88"/>
      <c r="S49" s="88"/>
      <c r="T49" s="88"/>
      <c r="U49" s="88"/>
      <c r="V49" s="88"/>
      <c r="W49" s="88"/>
      <c r="X49" s="88"/>
      <c r="Y49" s="88"/>
      <c r="Z49" s="89"/>
      <c r="AA49" s="87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9"/>
      <c r="AQ49" s="87"/>
      <c r="AR49" s="88"/>
      <c r="AS49" s="88"/>
      <c r="AT49" s="88"/>
      <c r="AU49" s="89"/>
      <c r="BK49" s="55"/>
    </row>
    <row r="50" spans="1:63" ht="15" customHeight="1" x14ac:dyDescent="0.25">
      <c r="A50" s="54"/>
      <c r="BK50" s="55"/>
    </row>
    <row r="51" spans="1:63" ht="15" customHeight="1" x14ac:dyDescent="0.25">
      <c r="A51" s="54"/>
      <c r="BK51" s="55"/>
    </row>
    <row r="52" spans="1:63" ht="15" customHeight="1" x14ac:dyDescent="0.25">
      <c r="A52" s="54"/>
      <c r="BK52" s="55"/>
    </row>
    <row r="53" spans="1:63" ht="15" customHeight="1" x14ac:dyDescent="0.25">
      <c r="A53" s="54"/>
      <c r="BK53" s="55"/>
    </row>
    <row r="54" spans="1:63" ht="15" customHeight="1" x14ac:dyDescent="0.25">
      <c r="A54" s="54"/>
      <c r="BK54" s="55"/>
    </row>
    <row r="55" spans="1:63" ht="15" customHeight="1" x14ac:dyDescent="0.25">
      <c r="A55" s="5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3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0" customWidth="1"/>
    <col min="61" max="16384" width="2.77734375" style="50"/>
  </cols>
  <sheetData>
    <row r="1" spans="1:63" ht="24.95" customHeight="1" x14ac:dyDescent="0.25">
      <c r="A1" s="96" t="s">
        <v>59</v>
      </c>
      <c r="B1" s="97"/>
      <c r="C1" s="97"/>
      <c r="D1" s="97"/>
      <c r="E1" s="97"/>
      <c r="F1" s="97"/>
      <c r="G1" s="97"/>
      <c r="H1" s="97"/>
      <c r="I1" s="97"/>
      <c r="J1" s="98"/>
      <c r="K1" s="96" t="s">
        <v>60</v>
      </c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153" t="str">
        <f>IF(表紙!W1="","",表紙!W1)</f>
        <v>詳細設計書</v>
      </c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20"/>
      <c r="AP1" s="96" t="s">
        <v>62</v>
      </c>
      <c r="AQ1" s="97"/>
      <c r="AR1" s="97"/>
      <c r="AS1" s="98"/>
      <c r="AT1" s="96" t="s">
        <v>63</v>
      </c>
      <c r="AU1" s="97"/>
      <c r="AV1" s="97"/>
      <c r="AW1" s="97"/>
      <c r="AX1" s="98"/>
      <c r="AY1" s="96" t="s">
        <v>64</v>
      </c>
      <c r="AZ1" s="97"/>
      <c r="BA1" s="97"/>
      <c r="BB1" s="98"/>
      <c r="BC1" s="96" t="s">
        <v>65</v>
      </c>
      <c r="BD1" s="97"/>
      <c r="BE1" s="97"/>
      <c r="BF1" s="97"/>
      <c r="BG1" s="98"/>
      <c r="BH1" s="96" t="s">
        <v>66</v>
      </c>
      <c r="BI1" s="97"/>
      <c r="BJ1" s="97"/>
      <c r="BK1" s="98"/>
    </row>
    <row r="2" spans="1:63" ht="15" customHeight="1" x14ac:dyDescent="0.25">
      <c r="A2" s="81" t="str">
        <f>IF(表紙!A2="","",表紙!A2)</f>
        <v>POSサーバー</v>
      </c>
      <c r="B2" s="82"/>
      <c r="C2" s="82"/>
      <c r="D2" s="82"/>
      <c r="E2" s="82"/>
      <c r="F2" s="82"/>
      <c r="G2" s="82"/>
      <c r="H2" s="82"/>
      <c r="I2" s="82"/>
      <c r="J2" s="83"/>
      <c r="K2" s="81" t="str">
        <f>IF(表紙!K2="","",表紙!K2)</f>
        <v>POSサーバー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21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3"/>
      <c r="AP2" s="81" t="str">
        <f>IF(表紙!AP2="","",表紙!AP2)</f>
        <v>LoiLV</v>
      </c>
      <c r="AQ2" s="82"/>
      <c r="AR2" s="82"/>
      <c r="AS2" s="83"/>
      <c r="AT2" s="111">
        <f>IF(表紙!AT2="","",表紙!AT2)</f>
        <v>45467</v>
      </c>
      <c r="AU2" s="112"/>
      <c r="AV2" s="112"/>
      <c r="AW2" s="112"/>
      <c r="AX2" s="113"/>
      <c r="AY2" s="81" t="str">
        <f>IF(表紙!AY2="","",表紙!AY2)</f>
        <v>AnhDD</v>
      </c>
      <c r="AZ2" s="82"/>
      <c r="BA2" s="82"/>
      <c r="BB2" s="83"/>
      <c r="BC2" s="111">
        <f>IF(表紙!BC2="","",表紙!BC2)</f>
        <v>45483</v>
      </c>
      <c r="BD2" s="112"/>
      <c r="BE2" s="112"/>
      <c r="BF2" s="112"/>
      <c r="BG2" s="113"/>
      <c r="BH2" s="81">
        <f>IF(表紙!BH2="","",表紙!BH2)</f>
        <v>0.11</v>
      </c>
      <c r="BI2" s="82"/>
      <c r="BJ2" s="82"/>
      <c r="BK2" s="83"/>
    </row>
    <row r="3" spans="1:63" ht="15" customHeight="1" x14ac:dyDescent="0.25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124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6"/>
      <c r="AP3" s="87"/>
      <c r="AQ3" s="88"/>
      <c r="AR3" s="88"/>
      <c r="AS3" s="89"/>
      <c r="AT3" s="114"/>
      <c r="AU3" s="115"/>
      <c r="AV3" s="115"/>
      <c r="AW3" s="115"/>
      <c r="AX3" s="116"/>
      <c r="AY3" s="87"/>
      <c r="AZ3" s="88"/>
      <c r="BA3" s="88"/>
      <c r="BB3" s="89"/>
      <c r="BC3" s="114"/>
      <c r="BD3" s="115"/>
      <c r="BE3" s="115"/>
      <c r="BF3" s="115"/>
      <c r="BG3" s="116"/>
      <c r="BH3" s="87"/>
      <c r="BI3" s="88"/>
      <c r="BJ3" s="88"/>
      <c r="BK3" s="89"/>
    </row>
    <row r="4" spans="1:63" ht="24.95" customHeight="1" x14ac:dyDescent="0.25">
      <c r="A4" s="96" t="s">
        <v>74</v>
      </c>
      <c r="B4" s="97"/>
      <c r="C4" s="97"/>
      <c r="D4" s="97"/>
      <c r="E4" s="97"/>
      <c r="F4" s="97"/>
      <c r="G4" s="98"/>
      <c r="H4" s="101" t="str">
        <f>IF(表紙!H4="","",表紙!H4)</f>
        <v>APX001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3"/>
      <c r="U4" s="96" t="s">
        <v>69</v>
      </c>
      <c r="V4" s="97"/>
      <c r="W4" s="97"/>
      <c r="X4" s="97"/>
      <c r="Y4" s="98"/>
      <c r="Z4" s="101" t="str">
        <f>IF(表紙!Z4="","",表紙!Z4)</f>
        <v>API設計書</v>
      </c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3"/>
      <c r="AP4" s="101" t="str">
        <f t="array" aca="1" ref="AP4" ca="1">RIGHT(CELL("filename",$A$1),LEN(CELL("filename",$A$1))-FIND("]",CELL("filename",$A$1)))</f>
        <v>改訂履歴</v>
      </c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3"/>
    </row>
    <row r="5" spans="1:63" ht="5.0999999999999996" customHeight="1" x14ac:dyDescent="0.25">
      <c r="A5" s="51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3"/>
    </row>
    <row r="6" spans="1:63" ht="15" customHeight="1" x14ac:dyDescent="0.25">
      <c r="A6" s="54"/>
      <c r="BK6" s="55"/>
    </row>
    <row r="7" spans="1:63" ht="15" customHeight="1" x14ac:dyDescent="0.25">
      <c r="A7" s="54"/>
      <c r="BK7" s="55"/>
    </row>
    <row r="8" spans="1:63" ht="15" customHeight="1" x14ac:dyDescent="0.25">
      <c r="A8" s="54"/>
      <c r="B8" s="50" t="s">
        <v>0</v>
      </c>
      <c r="BK8" s="55"/>
    </row>
    <row r="9" spans="1:63" ht="15" customHeight="1" x14ac:dyDescent="0.25">
      <c r="A9" s="54"/>
      <c r="BK9" s="55"/>
    </row>
    <row r="10" spans="1:63" ht="15" customHeight="1" x14ac:dyDescent="0.25">
      <c r="A10" s="54"/>
      <c r="B10" s="139" t="s">
        <v>65</v>
      </c>
      <c r="C10" s="139"/>
      <c r="D10" s="139"/>
      <c r="E10" s="139"/>
      <c r="F10" s="139"/>
      <c r="G10" s="139"/>
      <c r="H10" s="139" t="s">
        <v>64</v>
      </c>
      <c r="I10" s="139"/>
      <c r="J10" s="139"/>
      <c r="K10" s="139"/>
      <c r="L10" s="139"/>
      <c r="M10" s="139"/>
      <c r="N10" s="139"/>
      <c r="O10" s="139" t="s">
        <v>66</v>
      </c>
      <c r="P10" s="139"/>
      <c r="Q10" s="139"/>
      <c r="R10" s="139"/>
      <c r="S10" s="139" t="s">
        <v>75</v>
      </c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 t="s">
        <v>72</v>
      </c>
      <c r="AY10" s="139"/>
      <c r="AZ10" s="139"/>
      <c r="BA10" s="139"/>
      <c r="BB10" s="139"/>
      <c r="BC10" s="139"/>
      <c r="BD10" s="139" t="s">
        <v>73</v>
      </c>
      <c r="BE10" s="139"/>
      <c r="BF10" s="139"/>
      <c r="BG10" s="139"/>
      <c r="BH10" s="139"/>
      <c r="BI10" s="139"/>
      <c r="BJ10" s="139"/>
      <c r="BK10" s="55"/>
    </row>
    <row r="11" spans="1:63" ht="15" customHeight="1" x14ac:dyDescent="0.25">
      <c r="A11" s="54"/>
      <c r="B11" s="111">
        <v>45467</v>
      </c>
      <c r="C11" s="82"/>
      <c r="D11" s="82"/>
      <c r="E11" s="82"/>
      <c r="F11" s="82"/>
      <c r="G11" s="83"/>
      <c r="H11" s="117" t="s">
        <v>76</v>
      </c>
      <c r="I11" s="82"/>
      <c r="J11" s="82"/>
      <c r="K11" s="82"/>
      <c r="L11" s="82"/>
      <c r="M11" s="82"/>
      <c r="N11" s="83"/>
      <c r="O11" s="81">
        <v>0.1</v>
      </c>
      <c r="P11" s="82"/>
      <c r="Q11" s="82"/>
      <c r="R11" s="82"/>
      <c r="S11" s="127" t="s">
        <v>2</v>
      </c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9"/>
      <c r="AX11" s="130"/>
      <c r="AY11" s="130"/>
      <c r="AZ11" s="130"/>
      <c r="BA11" s="130"/>
      <c r="BB11" s="130"/>
      <c r="BC11" s="131"/>
      <c r="BD11" s="134"/>
      <c r="BE11" s="130"/>
      <c r="BF11" s="130"/>
      <c r="BG11" s="130"/>
      <c r="BH11" s="130"/>
      <c r="BI11" s="130"/>
      <c r="BJ11" s="131"/>
      <c r="BK11" s="55"/>
    </row>
    <row r="12" spans="1:63" ht="15" customHeight="1" x14ac:dyDescent="0.25">
      <c r="A12" s="54"/>
      <c r="B12" s="87"/>
      <c r="C12" s="88"/>
      <c r="D12" s="88"/>
      <c r="E12" s="88"/>
      <c r="F12" s="88"/>
      <c r="G12" s="89"/>
      <c r="H12" s="87"/>
      <c r="I12" s="88"/>
      <c r="J12" s="88"/>
      <c r="K12" s="88"/>
      <c r="L12" s="88"/>
      <c r="M12" s="88"/>
      <c r="N12" s="89"/>
      <c r="O12" s="87"/>
      <c r="P12" s="88"/>
      <c r="Q12" s="88"/>
      <c r="R12" s="88"/>
      <c r="S12" s="136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8"/>
      <c r="AX12" s="132"/>
      <c r="AY12" s="132"/>
      <c r="AZ12" s="132"/>
      <c r="BA12" s="132"/>
      <c r="BB12" s="132"/>
      <c r="BC12" s="133"/>
      <c r="BD12" s="135"/>
      <c r="BE12" s="132"/>
      <c r="BF12" s="132"/>
      <c r="BG12" s="132"/>
      <c r="BH12" s="132"/>
      <c r="BI12" s="132"/>
      <c r="BJ12" s="133"/>
      <c r="BK12" s="55"/>
    </row>
    <row r="13" spans="1:63" ht="15" customHeight="1" x14ac:dyDescent="0.25">
      <c r="A13" s="54"/>
      <c r="B13" s="143">
        <v>45483</v>
      </c>
      <c r="C13" s="144"/>
      <c r="D13" s="144"/>
      <c r="E13" s="144"/>
      <c r="F13" s="144"/>
      <c r="G13" s="145"/>
      <c r="H13" s="149" t="s">
        <v>99</v>
      </c>
      <c r="I13" s="144"/>
      <c r="J13" s="144"/>
      <c r="K13" s="144"/>
      <c r="L13" s="144"/>
      <c r="M13" s="144"/>
      <c r="N13" s="145"/>
      <c r="O13" s="149">
        <v>0.11</v>
      </c>
      <c r="P13" s="144"/>
      <c r="Q13" s="144"/>
      <c r="R13" s="144"/>
      <c r="S13" s="150" t="s">
        <v>100</v>
      </c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2"/>
      <c r="AX13" s="130"/>
      <c r="AY13" s="130"/>
      <c r="AZ13" s="130"/>
      <c r="BA13" s="130"/>
      <c r="BB13" s="130"/>
      <c r="BC13" s="131"/>
      <c r="BD13" s="134"/>
      <c r="BE13" s="130"/>
      <c r="BF13" s="130"/>
      <c r="BG13" s="130"/>
      <c r="BH13" s="130"/>
      <c r="BI13" s="130"/>
      <c r="BJ13" s="131"/>
      <c r="BK13" s="55"/>
    </row>
    <row r="14" spans="1:63" ht="15" customHeight="1" x14ac:dyDescent="0.25">
      <c r="A14" s="54"/>
      <c r="B14" s="146"/>
      <c r="C14" s="147"/>
      <c r="D14" s="147"/>
      <c r="E14" s="147"/>
      <c r="F14" s="147"/>
      <c r="G14" s="148"/>
      <c r="H14" s="146"/>
      <c r="I14" s="147"/>
      <c r="J14" s="147"/>
      <c r="K14" s="147"/>
      <c r="L14" s="147"/>
      <c r="M14" s="147"/>
      <c r="N14" s="148"/>
      <c r="O14" s="146"/>
      <c r="P14" s="147"/>
      <c r="Q14" s="147"/>
      <c r="R14" s="147"/>
      <c r="S14" s="140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2"/>
      <c r="AX14" s="132"/>
      <c r="AY14" s="132"/>
      <c r="AZ14" s="132"/>
      <c r="BA14" s="132"/>
      <c r="BB14" s="132"/>
      <c r="BC14" s="133"/>
      <c r="BD14" s="135"/>
      <c r="BE14" s="132"/>
      <c r="BF14" s="132"/>
      <c r="BG14" s="132"/>
      <c r="BH14" s="132"/>
      <c r="BI14" s="132"/>
      <c r="BJ14" s="133"/>
      <c r="BK14" s="55"/>
    </row>
    <row r="15" spans="1:63" ht="15" customHeight="1" x14ac:dyDescent="0.25">
      <c r="A15" s="54"/>
      <c r="B15" s="81"/>
      <c r="C15" s="82"/>
      <c r="D15" s="82"/>
      <c r="E15" s="82"/>
      <c r="F15" s="82"/>
      <c r="G15" s="83"/>
      <c r="H15" s="81"/>
      <c r="I15" s="82"/>
      <c r="J15" s="82"/>
      <c r="K15" s="82"/>
      <c r="L15" s="82"/>
      <c r="M15" s="82"/>
      <c r="N15" s="83"/>
      <c r="O15" s="81"/>
      <c r="P15" s="82"/>
      <c r="Q15" s="82"/>
      <c r="R15" s="82"/>
      <c r="S15" s="127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9"/>
      <c r="AX15" s="130"/>
      <c r="AY15" s="130"/>
      <c r="AZ15" s="130"/>
      <c r="BA15" s="130"/>
      <c r="BB15" s="130"/>
      <c r="BC15" s="131"/>
      <c r="BD15" s="134"/>
      <c r="BE15" s="130"/>
      <c r="BF15" s="130"/>
      <c r="BG15" s="130"/>
      <c r="BH15" s="130"/>
      <c r="BI15" s="130"/>
      <c r="BJ15" s="131"/>
      <c r="BK15" s="55"/>
    </row>
    <row r="16" spans="1:63" ht="15" customHeight="1" x14ac:dyDescent="0.25">
      <c r="A16" s="54"/>
      <c r="B16" s="87"/>
      <c r="C16" s="88"/>
      <c r="D16" s="88"/>
      <c r="E16" s="88"/>
      <c r="F16" s="88"/>
      <c r="G16" s="89"/>
      <c r="H16" s="87"/>
      <c r="I16" s="88"/>
      <c r="J16" s="88"/>
      <c r="K16" s="88"/>
      <c r="L16" s="88"/>
      <c r="M16" s="88"/>
      <c r="N16" s="89"/>
      <c r="O16" s="87"/>
      <c r="P16" s="88"/>
      <c r="Q16" s="88"/>
      <c r="R16" s="88"/>
      <c r="S16" s="136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8"/>
      <c r="AX16" s="132"/>
      <c r="AY16" s="132"/>
      <c r="AZ16" s="132"/>
      <c r="BA16" s="132"/>
      <c r="BB16" s="132"/>
      <c r="BC16" s="133"/>
      <c r="BD16" s="135"/>
      <c r="BE16" s="132"/>
      <c r="BF16" s="132"/>
      <c r="BG16" s="132"/>
      <c r="BH16" s="132"/>
      <c r="BI16" s="132"/>
      <c r="BJ16" s="133"/>
      <c r="BK16" s="55"/>
    </row>
    <row r="17" spans="1:63" ht="15" customHeight="1" x14ac:dyDescent="0.25">
      <c r="A17" s="54"/>
      <c r="B17" s="81"/>
      <c r="C17" s="82"/>
      <c r="D17" s="82"/>
      <c r="E17" s="82"/>
      <c r="F17" s="82"/>
      <c r="G17" s="83"/>
      <c r="H17" s="81"/>
      <c r="I17" s="82"/>
      <c r="J17" s="82"/>
      <c r="K17" s="82"/>
      <c r="L17" s="82"/>
      <c r="M17" s="82"/>
      <c r="N17" s="83"/>
      <c r="O17" s="81"/>
      <c r="P17" s="82"/>
      <c r="Q17" s="82"/>
      <c r="R17" s="82"/>
      <c r="S17" s="127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9"/>
      <c r="AX17" s="130"/>
      <c r="AY17" s="130"/>
      <c r="AZ17" s="130"/>
      <c r="BA17" s="130"/>
      <c r="BB17" s="130"/>
      <c r="BC17" s="131"/>
      <c r="BD17" s="134"/>
      <c r="BE17" s="130"/>
      <c r="BF17" s="130"/>
      <c r="BG17" s="130"/>
      <c r="BH17" s="130"/>
      <c r="BI17" s="130"/>
      <c r="BJ17" s="131"/>
      <c r="BK17" s="55"/>
    </row>
    <row r="18" spans="1:63" ht="15" customHeight="1" x14ac:dyDescent="0.25">
      <c r="A18" s="54"/>
      <c r="B18" s="87"/>
      <c r="C18" s="88"/>
      <c r="D18" s="88"/>
      <c r="E18" s="88"/>
      <c r="F18" s="88"/>
      <c r="G18" s="89"/>
      <c r="H18" s="87"/>
      <c r="I18" s="88"/>
      <c r="J18" s="88"/>
      <c r="K18" s="88"/>
      <c r="L18" s="88"/>
      <c r="M18" s="88"/>
      <c r="N18" s="89"/>
      <c r="O18" s="87"/>
      <c r="P18" s="88"/>
      <c r="Q18" s="88"/>
      <c r="R18" s="88"/>
      <c r="S18" s="136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8"/>
      <c r="AX18" s="132"/>
      <c r="AY18" s="132"/>
      <c r="AZ18" s="132"/>
      <c r="BA18" s="132"/>
      <c r="BB18" s="132"/>
      <c r="BC18" s="133"/>
      <c r="BD18" s="135"/>
      <c r="BE18" s="132"/>
      <c r="BF18" s="132"/>
      <c r="BG18" s="132"/>
      <c r="BH18" s="132"/>
      <c r="BI18" s="132"/>
      <c r="BJ18" s="133"/>
      <c r="BK18" s="55"/>
    </row>
    <row r="19" spans="1:63" ht="15" customHeight="1" x14ac:dyDescent="0.25">
      <c r="A19" s="54"/>
      <c r="B19" s="81"/>
      <c r="C19" s="82"/>
      <c r="D19" s="82"/>
      <c r="E19" s="82"/>
      <c r="F19" s="82"/>
      <c r="G19" s="83"/>
      <c r="H19" s="81"/>
      <c r="I19" s="82"/>
      <c r="J19" s="82"/>
      <c r="K19" s="82"/>
      <c r="L19" s="82"/>
      <c r="M19" s="82"/>
      <c r="N19" s="83"/>
      <c r="O19" s="81"/>
      <c r="P19" s="82"/>
      <c r="Q19" s="82"/>
      <c r="R19" s="82"/>
      <c r="S19" s="127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9"/>
      <c r="AX19" s="130"/>
      <c r="AY19" s="130"/>
      <c r="AZ19" s="130"/>
      <c r="BA19" s="130"/>
      <c r="BB19" s="130"/>
      <c r="BC19" s="131"/>
      <c r="BD19" s="134"/>
      <c r="BE19" s="130"/>
      <c r="BF19" s="130"/>
      <c r="BG19" s="130"/>
      <c r="BH19" s="130"/>
      <c r="BI19" s="130"/>
      <c r="BJ19" s="131"/>
      <c r="BK19" s="55"/>
    </row>
    <row r="20" spans="1:63" ht="15" customHeight="1" x14ac:dyDescent="0.25">
      <c r="A20" s="54"/>
      <c r="B20" s="87"/>
      <c r="C20" s="88"/>
      <c r="D20" s="88"/>
      <c r="E20" s="88"/>
      <c r="F20" s="88"/>
      <c r="G20" s="89"/>
      <c r="H20" s="87"/>
      <c r="I20" s="88"/>
      <c r="J20" s="88"/>
      <c r="K20" s="88"/>
      <c r="L20" s="88"/>
      <c r="M20" s="88"/>
      <c r="N20" s="89"/>
      <c r="O20" s="87"/>
      <c r="P20" s="88"/>
      <c r="Q20" s="88"/>
      <c r="R20" s="88"/>
      <c r="S20" s="136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8"/>
      <c r="AX20" s="132"/>
      <c r="AY20" s="132"/>
      <c r="AZ20" s="132"/>
      <c r="BA20" s="132"/>
      <c r="BB20" s="132"/>
      <c r="BC20" s="133"/>
      <c r="BD20" s="135"/>
      <c r="BE20" s="132"/>
      <c r="BF20" s="132"/>
      <c r="BG20" s="132"/>
      <c r="BH20" s="132"/>
      <c r="BI20" s="132"/>
      <c r="BJ20" s="133"/>
      <c r="BK20" s="55"/>
    </row>
    <row r="21" spans="1:63" ht="15" customHeight="1" x14ac:dyDescent="0.25">
      <c r="A21" s="54"/>
      <c r="B21" s="81"/>
      <c r="C21" s="82"/>
      <c r="D21" s="82"/>
      <c r="E21" s="82"/>
      <c r="F21" s="82"/>
      <c r="G21" s="83"/>
      <c r="H21" s="81"/>
      <c r="I21" s="82"/>
      <c r="J21" s="82"/>
      <c r="K21" s="82"/>
      <c r="L21" s="82"/>
      <c r="M21" s="82"/>
      <c r="N21" s="83"/>
      <c r="O21" s="81"/>
      <c r="P21" s="82"/>
      <c r="Q21" s="82"/>
      <c r="R21" s="82"/>
      <c r="S21" s="127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9"/>
      <c r="AX21" s="130"/>
      <c r="AY21" s="130"/>
      <c r="AZ21" s="130"/>
      <c r="BA21" s="130"/>
      <c r="BB21" s="130"/>
      <c r="BC21" s="131"/>
      <c r="BD21" s="134"/>
      <c r="BE21" s="130"/>
      <c r="BF21" s="130"/>
      <c r="BG21" s="130"/>
      <c r="BH21" s="130"/>
      <c r="BI21" s="130"/>
      <c r="BJ21" s="131"/>
      <c r="BK21" s="55"/>
    </row>
    <row r="22" spans="1:63" ht="15" customHeight="1" x14ac:dyDescent="0.25">
      <c r="A22" s="54"/>
      <c r="B22" s="87"/>
      <c r="C22" s="88"/>
      <c r="D22" s="88"/>
      <c r="E22" s="88"/>
      <c r="F22" s="88"/>
      <c r="G22" s="89"/>
      <c r="H22" s="87"/>
      <c r="I22" s="88"/>
      <c r="J22" s="88"/>
      <c r="K22" s="88"/>
      <c r="L22" s="88"/>
      <c r="M22" s="88"/>
      <c r="N22" s="89"/>
      <c r="O22" s="87"/>
      <c r="P22" s="88"/>
      <c r="Q22" s="88"/>
      <c r="R22" s="88"/>
      <c r="S22" s="136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8"/>
      <c r="AX22" s="132"/>
      <c r="AY22" s="132"/>
      <c r="AZ22" s="132"/>
      <c r="BA22" s="132"/>
      <c r="BB22" s="132"/>
      <c r="BC22" s="133"/>
      <c r="BD22" s="135"/>
      <c r="BE22" s="132"/>
      <c r="BF22" s="132"/>
      <c r="BG22" s="132"/>
      <c r="BH22" s="132"/>
      <c r="BI22" s="132"/>
      <c r="BJ22" s="133"/>
      <c r="BK22" s="55"/>
    </row>
    <row r="23" spans="1:63" ht="15" customHeight="1" x14ac:dyDescent="0.25">
      <c r="A23" s="54"/>
      <c r="B23" s="81"/>
      <c r="C23" s="82"/>
      <c r="D23" s="82"/>
      <c r="E23" s="82"/>
      <c r="F23" s="82"/>
      <c r="G23" s="83"/>
      <c r="H23" s="81"/>
      <c r="I23" s="82"/>
      <c r="J23" s="82"/>
      <c r="K23" s="82"/>
      <c r="L23" s="82"/>
      <c r="M23" s="82"/>
      <c r="N23" s="83"/>
      <c r="O23" s="81"/>
      <c r="P23" s="82"/>
      <c r="Q23" s="82"/>
      <c r="R23" s="82"/>
      <c r="S23" s="127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9"/>
      <c r="AX23" s="130"/>
      <c r="AY23" s="130"/>
      <c r="AZ23" s="130"/>
      <c r="BA23" s="130"/>
      <c r="BB23" s="130"/>
      <c r="BC23" s="131"/>
      <c r="BD23" s="134"/>
      <c r="BE23" s="130"/>
      <c r="BF23" s="130"/>
      <c r="BG23" s="130"/>
      <c r="BH23" s="130"/>
      <c r="BI23" s="130"/>
      <c r="BJ23" s="131"/>
      <c r="BK23" s="55"/>
    </row>
    <row r="24" spans="1:63" ht="15" customHeight="1" x14ac:dyDescent="0.25">
      <c r="A24" s="54"/>
      <c r="B24" s="87"/>
      <c r="C24" s="88"/>
      <c r="D24" s="88"/>
      <c r="E24" s="88"/>
      <c r="F24" s="88"/>
      <c r="G24" s="89"/>
      <c r="H24" s="87"/>
      <c r="I24" s="88"/>
      <c r="J24" s="88"/>
      <c r="K24" s="88"/>
      <c r="L24" s="88"/>
      <c r="M24" s="88"/>
      <c r="N24" s="89"/>
      <c r="O24" s="87"/>
      <c r="P24" s="88"/>
      <c r="Q24" s="88"/>
      <c r="R24" s="88"/>
      <c r="S24" s="136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8"/>
      <c r="AX24" s="132"/>
      <c r="AY24" s="132"/>
      <c r="AZ24" s="132"/>
      <c r="BA24" s="132"/>
      <c r="BB24" s="132"/>
      <c r="BC24" s="133"/>
      <c r="BD24" s="135"/>
      <c r="BE24" s="132"/>
      <c r="BF24" s="132"/>
      <c r="BG24" s="132"/>
      <c r="BH24" s="132"/>
      <c r="BI24" s="132"/>
      <c r="BJ24" s="133"/>
      <c r="BK24" s="55"/>
    </row>
    <row r="25" spans="1:63" ht="15" customHeight="1" x14ac:dyDescent="0.25">
      <c r="A25" s="54"/>
      <c r="B25" s="81"/>
      <c r="C25" s="82"/>
      <c r="D25" s="82"/>
      <c r="E25" s="82"/>
      <c r="F25" s="82"/>
      <c r="G25" s="83"/>
      <c r="H25" s="81"/>
      <c r="I25" s="82"/>
      <c r="J25" s="82"/>
      <c r="K25" s="82"/>
      <c r="L25" s="82"/>
      <c r="M25" s="82"/>
      <c r="N25" s="83"/>
      <c r="O25" s="81"/>
      <c r="P25" s="82"/>
      <c r="Q25" s="82"/>
      <c r="R25" s="82"/>
      <c r="S25" s="127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9"/>
      <c r="AX25" s="130"/>
      <c r="AY25" s="130"/>
      <c r="AZ25" s="130"/>
      <c r="BA25" s="130"/>
      <c r="BB25" s="130"/>
      <c r="BC25" s="131"/>
      <c r="BD25" s="134"/>
      <c r="BE25" s="130"/>
      <c r="BF25" s="130"/>
      <c r="BG25" s="130"/>
      <c r="BH25" s="130"/>
      <c r="BI25" s="130"/>
      <c r="BJ25" s="131"/>
      <c r="BK25" s="55"/>
    </row>
    <row r="26" spans="1:63" ht="15" customHeight="1" x14ac:dyDescent="0.25">
      <c r="A26" s="54"/>
      <c r="B26" s="87"/>
      <c r="C26" s="88"/>
      <c r="D26" s="88"/>
      <c r="E26" s="88"/>
      <c r="F26" s="88"/>
      <c r="G26" s="89"/>
      <c r="H26" s="87"/>
      <c r="I26" s="88"/>
      <c r="J26" s="88"/>
      <c r="K26" s="88"/>
      <c r="L26" s="88"/>
      <c r="M26" s="88"/>
      <c r="N26" s="89"/>
      <c r="O26" s="87"/>
      <c r="P26" s="88"/>
      <c r="Q26" s="88"/>
      <c r="R26" s="88"/>
      <c r="S26" s="136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8"/>
      <c r="AX26" s="132"/>
      <c r="AY26" s="132"/>
      <c r="AZ26" s="132"/>
      <c r="BA26" s="132"/>
      <c r="BB26" s="132"/>
      <c r="BC26" s="133"/>
      <c r="BD26" s="135"/>
      <c r="BE26" s="132"/>
      <c r="BF26" s="132"/>
      <c r="BG26" s="132"/>
      <c r="BH26" s="132"/>
      <c r="BI26" s="132"/>
      <c r="BJ26" s="133"/>
      <c r="BK26" s="55"/>
    </row>
    <row r="27" spans="1:63" ht="15" customHeight="1" x14ac:dyDescent="0.25">
      <c r="A27" s="54"/>
      <c r="B27" s="81"/>
      <c r="C27" s="82"/>
      <c r="D27" s="82"/>
      <c r="E27" s="82"/>
      <c r="F27" s="82"/>
      <c r="G27" s="83"/>
      <c r="H27" s="81"/>
      <c r="I27" s="82"/>
      <c r="J27" s="82"/>
      <c r="K27" s="82"/>
      <c r="L27" s="82"/>
      <c r="M27" s="82"/>
      <c r="N27" s="83"/>
      <c r="O27" s="81"/>
      <c r="P27" s="82"/>
      <c r="Q27" s="82"/>
      <c r="R27" s="82"/>
      <c r="S27" s="127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9"/>
      <c r="AX27" s="130"/>
      <c r="AY27" s="130"/>
      <c r="AZ27" s="130"/>
      <c r="BA27" s="130"/>
      <c r="BB27" s="130"/>
      <c r="BC27" s="131"/>
      <c r="BD27" s="134"/>
      <c r="BE27" s="130"/>
      <c r="BF27" s="130"/>
      <c r="BG27" s="130"/>
      <c r="BH27" s="130"/>
      <c r="BI27" s="130"/>
      <c r="BJ27" s="131"/>
      <c r="BK27" s="55"/>
    </row>
    <row r="28" spans="1:63" ht="15" customHeight="1" x14ac:dyDescent="0.25">
      <c r="A28" s="54"/>
      <c r="B28" s="87"/>
      <c r="C28" s="88"/>
      <c r="D28" s="88"/>
      <c r="E28" s="88"/>
      <c r="F28" s="88"/>
      <c r="G28" s="89"/>
      <c r="H28" s="87"/>
      <c r="I28" s="88"/>
      <c r="J28" s="88"/>
      <c r="K28" s="88"/>
      <c r="L28" s="88"/>
      <c r="M28" s="88"/>
      <c r="N28" s="89"/>
      <c r="O28" s="87"/>
      <c r="P28" s="88"/>
      <c r="Q28" s="88"/>
      <c r="R28" s="88"/>
      <c r="S28" s="136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8"/>
      <c r="AX28" s="132"/>
      <c r="AY28" s="132"/>
      <c r="AZ28" s="132"/>
      <c r="BA28" s="132"/>
      <c r="BB28" s="132"/>
      <c r="BC28" s="133"/>
      <c r="BD28" s="135"/>
      <c r="BE28" s="132"/>
      <c r="BF28" s="132"/>
      <c r="BG28" s="132"/>
      <c r="BH28" s="132"/>
      <c r="BI28" s="132"/>
      <c r="BJ28" s="133"/>
      <c r="BK28" s="55"/>
    </row>
    <row r="29" spans="1:63" ht="15" customHeight="1" x14ac:dyDescent="0.25">
      <c r="A29" s="54"/>
      <c r="B29" s="81"/>
      <c r="C29" s="82"/>
      <c r="D29" s="82"/>
      <c r="E29" s="82"/>
      <c r="F29" s="82"/>
      <c r="G29" s="83"/>
      <c r="H29" s="81"/>
      <c r="I29" s="82"/>
      <c r="J29" s="82"/>
      <c r="K29" s="82"/>
      <c r="L29" s="82"/>
      <c r="M29" s="82"/>
      <c r="N29" s="83"/>
      <c r="O29" s="81"/>
      <c r="P29" s="82"/>
      <c r="Q29" s="82"/>
      <c r="R29" s="82"/>
      <c r="S29" s="127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9"/>
      <c r="AX29" s="130"/>
      <c r="AY29" s="130"/>
      <c r="AZ29" s="130"/>
      <c r="BA29" s="130"/>
      <c r="BB29" s="130"/>
      <c r="BC29" s="131"/>
      <c r="BD29" s="134"/>
      <c r="BE29" s="130"/>
      <c r="BF29" s="130"/>
      <c r="BG29" s="130"/>
      <c r="BH29" s="130"/>
      <c r="BI29" s="130"/>
      <c r="BJ29" s="131"/>
      <c r="BK29" s="55"/>
    </row>
    <row r="30" spans="1:63" ht="15" customHeight="1" x14ac:dyDescent="0.25">
      <c r="A30" s="54"/>
      <c r="B30" s="87"/>
      <c r="C30" s="88"/>
      <c r="D30" s="88"/>
      <c r="E30" s="88"/>
      <c r="F30" s="88"/>
      <c r="G30" s="89"/>
      <c r="H30" s="87"/>
      <c r="I30" s="88"/>
      <c r="J30" s="88"/>
      <c r="K30" s="88"/>
      <c r="L30" s="88"/>
      <c r="M30" s="88"/>
      <c r="N30" s="89"/>
      <c r="O30" s="87"/>
      <c r="P30" s="88"/>
      <c r="Q30" s="88"/>
      <c r="R30" s="88"/>
      <c r="S30" s="136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8"/>
      <c r="AX30" s="132"/>
      <c r="AY30" s="132"/>
      <c r="AZ30" s="132"/>
      <c r="BA30" s="132"/>
      <c r="BB30" s="132"/>
      <c r="BC30" s="133"/>
      <c r="BD30" s="135"/>
      <c r="BE30" s="132"/>
      <c r="BF30" s="132"/>
      <c r="BG30" s="132"/>
      <c r="BH30" s="132"/>
      <c r="BI30" s="132"/>
      <c r="BJ30" s="133"/>
      <c r="BK30" s="55"/>
    </row>
    <row r="31" spans="1:63" ht="15" customHeight="1" x14ac:dyDescent="0.25">
      <c r="A31" s="54"/>
      <c r="B31" s="81"/>
      <c r="C31" s="82"/>
      <c r="D31" s="82"/>
      <c r="E31" s="82"/>
      <c r="F31" s="82"/>
      <c r="G31" s="83"/>
      <c r="H31" s="81"/>
      <c r="I31" s="82"/>
      <c r="J31" s="82"/>
      <c r="K31" s="82"/>
      <c r="L31" s="82"/>
      <c r="M31" s="82"/>
      <c r="N31" s="83"/>
      <c r="O31" s="81"/>
      <c r="P31" s="82"/>
      <c r="Q31" s="82"/>
      <c r="R31" s="82"/>
      <c r="S31" s="127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9"/>
      <c r="AX31" s="130"/>
      <c r="AY31" s="130"/>
      <c r="AZ31" s="130"/>
      <c r="BA31" s="130"/>
      <c r="BB31" s="130"/>
      <c r="BC31" s="131"/>
      <c r="BD31" s="134"/>
      <c r="BE31" s="130"/>
      <c r="BF31" s="130"/>
      <c r="BG31" s="130"/>
      <c r="BH31" s="130"/>
      <c r="BI31" s="130"/>
      <c r="BJ31" s="131"/>
      <c r="BK31" s="55"/>
    </row>
    <row r="32" spans="1:63" ht="15" customHeight="1" x14ac:dyDescent="0.25">
      <c r="A32" s="54"/>
      <c r="B32" s="87"/>
      <c r="C32" s="88"/>
      <c r="D32" s="88"/>
      <c r="E32" s="88"/>
      <c r="F32" s="88"/>
      <c r="G32" s="89"/>
      <c r="H32" s="87"/>
      <c r="I32" s="88"/>
      <c r="J32" s="88"/>
      <c r="K32" s="88"/>
      <c r="L32" s="88"/>
      <c r="M32" s="88"/>
      <c r="N32" s="89"/>
      <c r="O32" s="87"/>
      <c r="P32" s="88"/>
      <c r="Q32" s="88"/>
      <c r="R32" s="88"/>
      <c r="S32" s="136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8"/>
      <c r="AX32" s="132"/>
      <c r="AY32" s="132"/>
      <c r="AZ32" s="132"/>
      <c r="BA32" s="132"/>
      <c r="BB32" s="132"/>
      <c r="BC32" s="133"/>
      <c r="BD32" s="135"/>
      <c r="BE32" s="132"/>
      <c r="BF32" s="132"/>
      <c r="BG32" s="132"/>
      <c r="BH32" s="132"/>
      <c r="BI32" s="132"/>
      <c r="BJ32" s="133"/>
      <c r="BK32" s="55"/>
    </row>
    <row r="33" spans="1:63" ht="15" customHeight="1" x14ac:dyDescent="0.25">
      <c r="A33" s="54"/>
      <c r="B33" s="81"/>
      <c r="C33" s="82"/>
      <c r="D33" s="82"/>
      <c r="E33" s="82"/>
      <c r="F33" s="82"/>
      <c r="G33" s="83"/>
      <c r="H33" s="81"/>
      <c r="I33" s="82"/>
      <c r="J33" s="82"/>
      <c r="K33" s="82"/>
      <c r="L33" s="82"/>
      <c r="M33" s="82"/>
      <c r="N33" s="83"/>
      <c r="O33" s="81"/>
      <c r="P33" s="82"/>
      <c r="Q33" s="82"/>
      <c r="R33" s="82"/>
      <c r="S33" s="127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9"/>
      <c r="AX33" s="130"/>
      <c r="AY33" s="130"/>
      <c r="AZ33" s="130"/>
      <c r="BA33" s="130"/>
      <c r="BB33" s="130"/>
      <c r="BC33" s="131"/>
      <c r="BD33" s="134"/>
      <c r="BE33" s="130"/>
      <c r="BF33" s="130"/>
      <c r="BG33" s="130"/>
      <c r="BH33" s="130"/>
      <c r="BI33" s="130"/>
      <c r="BJ33" s="131"/>
      <c r="BK33" s="55"/>
    </row>
    <row r="34" spans="1:63" ht="15" customHeight="1" x14ac:dyDescent="0.25">
      <c r="A34" s="54"/>
      <c r="B34" s="87"/>
      <c r="C34" s="88"/>
      <c r="D34" s="88"/>
      <c r="E34" s="88"/>
      <c r="F34" s="88"/>
      <c r="G34" s="89"/>
      <c r="H34" s="87"/>
      <c r="I34" s="88"/>
      <c r="J34" s="88"/>
      <c r="K34" s="88"/>
      <c r="L34" s="88"/>
      <c r="M34" s="88"/>
      <c r="N34" s="89"/>
      <c r="O34" s="87"/>
      <c r="P34" s="88"/>
      <c r="Q34" s="88"/>
      <c r="R34" s="88"/>
      <c r="S34" s="136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8"/>
      <c r="AX34" s="132"/>
      <c r="AY34" s="132"/>
      <c r="AZ34" s="132"/>
      <c r="BA34" s="132"/>
      <c r="BB34" s="132"/>
      <c r="BC34" s="133"/>
      <c r="BD34" s="135"/>
      <c r="BE34" s="132"/>
      <c r="BF34" s="132"/>
      <c r="BG34" s="132"/>
      <c r="BH34" s="132"/>
      <c r="BI34" s="132"/>
      <c r="BJ34" s="133"/>
      <c r="BK34" s="55"/>
    </row>
    <row r="35" spans="1:63" ht="15" customHeight="1" x14ac:dyDescent="0.25">
      <c r="A35" s="54"/>
      <c r="B35" s="81"/>
      <c r="C35" s="82"/>
      <c r="D35" s="82"/>
      <c r="E35" s="82"/>
      <c r="F35" s="82"/>
      <c r="G35" s="83"/>
      <c r="H35" s="81"/>
      <c r="I35" s="82"/>
      <c r="J35" s="82"/>
      <c r="K35" s="82"/>
      <c r="L35" s="82"/>
      <c r="M35" s="82"/>
      <c r="N35" s="83"/>
      <c r="O35" s="81"/>
      <c r="P35" s="82"/>
      <c r="Q35" s="82"/>
      <c r="R35" s="82"/>
      <c r="S35" s="127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9"/>
      <c r="AX35" s="130"/>
      <c r="AY35" s="130"/>
      <c r="AZ35" s="130"/>
      <c r="BA35" s="130"/>
      <c r="BB35" s="130"/>
      <c r="BC35" s="131"/>
      <c r="BD35" s="134"/>
      <c r="BE35" s="130"/>
      <c r="BF35" s="130"/>
      <c r="BG35" s="130"/>
      <c r="BH35" s="130"/>
      <c r="BI35" s="130"/>
      <c r="BJ35" s="131"/>
      <c r="BK35" s="55"/>
    </row>
    <row r="36" spans="1:63" ht="15" customHeight="1" x14ac:dyDescent="0.25">
      <c r="A36" s="54"/>
      <c r="B36" s="87"/>
      <c r="C36" s="88"/>
      <c r="D36" s="88"/>
      <c r="E36" s="88"/>
      <c r="F36" s="88"/>
      <c r="G36" s="89"/>
      <c r="H36" s="87"/>
      <c r="I36" s="88"/>
      <c r="J36" s="88"/>
      <c r="K36" s="88"/>
      <c r="L36" s="88"/>
      <c r="M36" s="88"/>
      <c r="N36" s="89"/>
      <c r="O36" s="87"/>
      <c r="P36" s="88"/>
      <c r="Q36" s="88"/>
      <c r="R36" s="88"/>
      <c r="S36" s="136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8"/>
      <c r="AX36" s="132"/>
      <c r="AY36" s="132"/>
      <c r="AZ36" s="132"/>
      <c r="BA36" s="132"/>
      <c r="BB36" s="132"/>
      <c r="BC36" s="133"/>
      <c r="BD36" s="135"/>
      <c r="BE36" s="132"/>
      <c r="BF36" s="132"/>
      <c r="BG36" s="132"/>
      <c r="BH36" s="132"/>
      <c r="BI36" s="132"/>
      <c r="BJ36" s="133"/>
      <c r="BK36" s="55"/>
    </row>
    <row r="37" spans="1:63" ht="15" customHeight="1" x14ac:dyDescent="0.25">
      <c r="A37" s="54"/>
      <c r="B37" s="81"/>
      <c r="C37" s="82"/>
      <c r="D37" s="82"/>
      <c r="E37" s="82"/>
      <c r="F37" s="82"/>
      <c r="G37" s="83"/>
      <c r="H37" s="81"/>
      <c r="I37" s="82"/>
      <c r="J37" s="82"/>
      <c r="K37" s="82"/>
      <c r="L37" s="82"/>
      <c r="M37" s="82"/>
      <c r="N37" s="83"/>
      <c r="O37" s="81"/>
      <c r="P37" s="82"/>
      <c r="Q37" s="82"/>
      <c r="R37" s="82"/>
      <c r="S37" s="127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9"/>
      <c r="AX37" s="130"/>
      <c r="AY37" s="130"/>
      <c r="AZ37" s="130"/>
      <c r="BA37" s="130"/>
      <c r="BB37" s="130"/>
      <c r="BC37" s="131"/>
      <c r="BD37" s="134"/>
      <c r="BE37" s="130"/>
      <c r="BF37" s="130"/>
      <c r="BG37" s="130"/>
      <c r="BH37" s="130"/>
      <c r="BI37" s="130"/>
      <c r="BJ37" s="131"/>
      <c r="BK37" s="55"/>
    </row>
    <row r="38" spans="1:63" ht="15" customHeight="1" x14ac:dyDescent="0.25">
      <c r="A38" s="54"/>
      <c r="B38" s="87"/>
      <c r="C38" s="88"/>
      <c r="D38" s="88"/>
      <c r="E38" s="88"/>
      <c r="F38" s="88"/>
      <c r="G38" s="89"/>
      <c r="H38" s="87"/>
      <c r="I38" s="88"/>
      <c r="J38" s="88"/>
      <c r="K38" s="88"/>
      <c r="L38" s="88"/>
      <c r="M38" s="88"/>
      <c r="N38" s="89"/>
      <c r="O38" s="87"/>
      <c r="P38" s="88"/>
      <c r="Q38" s="88"/>
      <c r="R38" s="88"/>
      <c r="S38" s="136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8"/>
      <c r="AX38" s="132"/>
      <c r="AY38" s="132"/>
      <c r="AZ38" s="132"/>
      <c r="BA38" s="132"/>
      <c r="BB38" s="132"/>
      <c r="BC38" s="133"/>
      <c r="BD38" s="135"/>
      <c r="BE38" s="132"/>
      <c r="BF38" s="132"/>
      <c r="BG38" s="132"/>
      <c r="BH38" s="132"/>
      <c r="BI38" s="132"/>
      <c r="BJ38" s="133"/>
      <c r="BK38" s="55"/>
    </row>
    <row r="39" spans="1:63" ht="15" customHeight="1" x14ac:dyDescent="0.25">
      <c r="A39" s="54"/>
      <c r="B39" s="81"/>
      <c r="C39" s="82"/>
      <c r="D39" s="82"/>
      <c r="E39" s="82"/>
      <c r="F39" s="82"/>
      <c r="G39" s="83"/>
      <c r="H39" s="81"/>
      <c r="I39" s="82"/>
      <c r="J39" s="82"/>
      <c r="K39" s="82"/>
      <c r="L39" s="82"/>
      <c r="M39" s="82"/>
      <c r="N39" s="83"/>
      <c r="O39" s="81"/>
      <c r="P39" s="82"/>
      <c r="Q39" s="82"/>
      <c r="R39" s="82"/>
      <c r="S39" s="127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9"/>
      <c r="AX39" s="130"/>
      <c r="AY39" s="130"/>
      <c r="AZ39" s="130"/>
      <c r="BA39" s="130"/>
      <c r="BB39" s="130"/>
      <c r="BC39" s="131"/>
      <c r="BD39" s="134"/>
      <c r="BE39" s="130"/>
      <c r="BF39" s="130"/>
      <c r="BG39" s="130"/>
      <c r="BH39" s="130"/>
      <c r="BI39" s="130"/>
      <c r="BJ39" s="131"/>
      <c r="BK39" s="55"/>
    </row>
    <row r="40" spans="1:63" ht="15" customHeight="1" x14ac:dyDescent="0.25">
      <c r="A40" s="54"/>
      <c r="B40" s="87"/>
      <c r="C40" s="88"/>
      <c r="D40" s="88"/>
      <c r="E40" s="88"/>
      <c r="F40" s="88"/>
      <c r="G40" s="89"/>
      <c r="H40" s="87"/>
      <c r="I40" s="88"/>
      <c r="J40" s="88"/>
      <c r="K40" s="88"/>
      <c r="L40" s="88"/>
      <c r="M40" s="88"/>
      <c r="N40" s="89"/>
      <c r="O40" s="87"/>
      <c r="P40" s="88"/>
      <c r="Q40" s="88"/>
      <c r="R40" s="88"/>
      <c r="S40" s="136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8"/>
      <c r="AX40" s="132"/>
      <c r="AY40" s="132"/>
      <c r="AZ40" s="132"/>
      <c r="BA40" s="132"/>
      <c r="BB40" s="132"/>
      <c r="BC40" s="133"/>
      <c r="BD40" s="135"/>
      <c r="BE40" s="132"/>
      <c r="BF40" s="132"/>
      <c r="BG40" s="132"/>
      <c r="BH40" s="132"/>
      <c r="BI40" s="132"/>
      <c r="BJ40" s="133"/>
      <c r="BK40" s="55"/>
    </row>
    <row r="41" spans="1:63" ht="15" customHeight="1" x14ac:dyDescent="0.25">
      <c r="A41" s="54"/>
      <c r="B41" s="81"/>
      <c r="C41" s="82"/>
      <c r="D41" s="82"/>
      <c r="E41" s="82"/>
      <c r="F41" s="82"/>
      <c r="G41" s="83"/>
      <c r="H41" s="81"/>
      <c r="I41" s="82"/>
      <c r="J41" s="82"/>
      <c r="K41" s="82"/>
      <c r="L41" s="82"/>
      <c r="M41" s="82"/>
      <c r="N41" s="83"/>
      <c r="O41" s="81"/>
      <c r="P41" s="82"/>
      <c r="Q41" s="82"/>
      <c r="R41" s="82"/>
      <c r="S41" s="127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9"/>
      <c r="AX41" s="130"/>
      <c r="AY41" s="130"/>
      <c r="AZ41" s="130"/>
      <c r="BA41" s="130"/>
      <c r="BB41" s="130"/>
      <c r="BC41" s="131"/>
      <c r="BD41" s="134"/>
      <c r="BE41" s="130"/>
      <c r="BF41" s="130"/>
      <c r="BG41" s="130"/>
      <c r="BH41" s="130"/>
      <c r="BI41" s="130"/>
      <c r="BJ41" s="131"/>
      <c r="BK41" s="55"/>
    </row>
    <row r="42" spans="1:63" ht="15" customHeight="1" x14ac:dyDescent="0.25">
      <c r="A42" s="54"/>
      <c r="B42" s="87"/>
      <c r="C42" s="88"/>
      <c r="D42" s="88"/>
      <c r="E42" s="88"/>
      <c r="F42" s="88"/>
      <c r="G42" s="89"/>
      <c r="H42" s="87"/>
      <c r="I42" s="88"/>
      <c r="J42" s="88"/>
      <c r="K42" s="88"/>
      <c r="L42" s="88"/>
      <c r="M42" s="88"/>
      <c r="N42" s="89"/>
      <c r="O42" s="87"/>
      <c r="P42" s="88"/>
      <c r="Q42" s="88"/>
      <c r="R42" s="88"/>
      <c r="S42" s="136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8"/>
      <c r="AX42" s="132"/>
      <c r="AY42" s="132"/>
      <c r="AZ42" s="132"/>
      <c r="BA42" s="132"/>
      <c r="BB42" s="132"/>
      <c r="BC42" s="133"/>
      <c r="BD42" s="135"/>
      <c r="BE42" s="132"/>
      <c r="BF42" s="132"/>
      <c r="BG42" s="132"/>
      <c r="BH42" s="132"/>
      <c r="BI42" s="132"/>
      <c r="BJ42" s="133"/>
      <c r="BK42" s="55"/>
    </row>
    <row r="43" spans="1:63" ht="15" customHeight="1" x14ac:dyDescent="0.25">
      <c r="A43" s="54"/>
      <c r="B43" s="81"/>
      <c r="C43" s="82"/>
      <c r="D43" s="82"/>
      <c r="E43" s="82"/>
      <c r="F43" s="82"/>
      <c r="G43" s="83"/>
      <c r="H43" s="81"/>
      <c r="I43" s="82"/>
      <c r="J43" s="82"/>
      <c r="K43" s="82"/>
      <c r="L43" s="82"/>
      <c r="M43" s="82"/>
      <c r="N43" s="83"/>
      <c r="O43" s="81"/>
      <c r="P43" s="82"/>
      <c r="Q43" s="82"/>
      <c r="R43" s="82"/>
      <c r="S43" s="127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9"/>
      <c r="AX43" s="130"/>
      <c r="AY43" s="130"/>
      <c r="AZ43" s="130"/>
      <c r="BA43" s="130"/>
      <c r="BB43" s="130"/>
      <c r="BC43" s="131"/>
      <c r="BD43" s="134"/>
      <c r="BE43" s="130"/>
      <c r="BF43" s="130"/>
      <c r="BG43" s="130"/>
      <c r="BH43" s="130"/>
      <c r="BI43" s="130"/>
      <c r="BJ43" s="131"/>
      <c r="BK43" s="55"/>
    </row>
    <row r="44" spans="1:63" ht="15" customHeight="1" x14ac:dyDescent="0.25">
      <c r="A44" s="54"/>
      <c r="B44" s="87"/>
      <c r="C44" s="88"/>
      <c r="D44" s="88"/>
      <c r="E44" s="88"/>
      <c r="F44" s="88"/>
      <c r="G44" s="89"/>
      <c r="H44" s="87"/>
      <c r="I44" s="88"/>
      <c r="J44" s="88"/>
      <c r="K44" s="88"/>
      <c r="L44" s="88"/>
      <c r="M44" s="88"/>
      <c r="N44" s="89"/>
      <c r="O44" s="87"/>
      <c r="P44" s="88"/>
      <c r="Q44" s="88"/>
      <c r="R44" s="88"/>
      <c r="S44" s="136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8"/>
      <c r="AX44" s="132"/>
      <c r="AY44" s="132"/>
      <c r="AZ44" s="132"/>
      <c r="BA44" s="132"/>
      <c r="BB44" s="132"/>
      <c r="BC44" s="133"/>
      <c r="BD44" s="135"/>
      <c r="BE44" s="132"/>
      <c r="BF44" s="132"/>
      <c r="BG44" s="132"/>
      <c r="BH44" s="132"/>
      <c r="BI44" s="132"/>
      <c r="BJ44" s="133"/>
      <c r="BK44" s="55"/>
    </row>
    <row r="45" spans="1:63" ht="15" customHeight="1" x14ac:dyDescent="0.25">
      <c r="A45" s="54"/>
      <c r="B45" s="81"/>
      <c r="C45" s="82"/>
      <c r="D45" s="82"/>
      <c r="E45" s="82"/>
      <c r="F45" s="82"/>
      <c r="G45" s="83"/>
      <c r="H45" s="81"/>
      <c r="I45" s="82"/>
      <c r="J45" s="82"/>
      <c r="K45" s="82"/>
      <c r="L45" s="82"/>
      <c r="M45" s="82"/>
      <c r="N45" s="83"/>
      <c r="O45" s="81"/>
      <c r="P45" s="82"/>
      <c r="Q45" s="82"/>
      <c r="R45" s="82"/>
      <c r="S45" s="127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9"/>
      <c r="AX45" s="130"/>
      <c r="AY45" s="130"/>
      <c r="AZ45" s="130"/>
      <c r="BA45" s="130"/>
      <c r="BB45" s="130"/>
      <c r="BC45" s="131"/>
      <c r="BD45" s="134"/>
      <c r="BE45" s="130"/>
      <c r="BF45" s="130"/>
      <c r="BG45" s="130"/>
      <c r="BH45" s="130"/>
      <c r="BI45" s="130"/>
      <c r="BJ45" s="131"/>
      <c r="BK45" s="55"/>
    </row>
    <row r="46" spans="1:63" ht="15" customHeight="1" x14ac:dyDescent="0.25">
      <c r="A46" s="54"/>
      <c r="B46" s="87"/>
      <c r="C46" s="88"/>
      <c r="D46" s="88"/>
      <c r="E46" s="88"/>
      <c r="F46" s="88"/>
      <c r="G46" s="89"/>
      <c r="H46" s="87"/>
      <c r="I46" s="88"/>
      <c r="J46" s="88"/>
      <c r="K46" s="88"/>
      <c r="L46" s="88"/>
      <c r="M46" s="88"/>
      <c r="N46" s="89"/>
      <c r="O46" s="87"/>
      <c r="P46" s="88"/>
      <c r="Q46" s="88"/>
      <c r="R46" s="88"/>
      <c r="S46" s="136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8"/>
      <c r="AX46" s="132"/>
      <c r="AY46" s="132"/>
      <c r="AZ46" s="132"/>
      <c r="BA46" s="132"/>
      <c r="BB46" s="132"/>
      <c r="BC46" s="133"/>
      <c r="BD46" s="135"/>
      <c r="BE46" s="132"/>
      <c r="BF46" s="132"/>
      <c r="BG46" s="132"/>
      <c r="BH46" s="132"/>
      <c r="BI46" s="132"/>
      <c r="BJ46" s="133"/>
      <c r="BK46" s="55"/>
    </row>
    <row r="47" spans="1:63" ht="15" customHeight="1" x14ac:dyDescent="0.25">
      <c r="A47" s="54"/>
      <c r="B47" s="81"/>
      <c r="C47" s="82"/>
      <c r="D47" s="82"/>
      <c r="E47" s="82"/>
      <c r="F47" s="82"/>
      <c r="G47" s="83"/>
      <c r="H47" s="81"/>
      <c r="I47" s="82"/>
      <c r="J47" s="82"/>
      <c r="K47" s="82"/>
      <c r="L47" s="82"/>
      <c r="M47" s="82"/>
      <c r="N47" s="83"/>
      <c r="O47" s="81"/>
      <c r="P47" s="82"/>
      <c r="Q47" s="82"/>
      <c r="R47" s="82"/>
      <c r="S47" s="127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9"/>
      <c r="AX47" s="130"/>
      <c r="AY47" s="130"/>
      <c r="AZ47" s="130"/>
      <c r="BA47" s="130"/>
      <c r="BB47" s="130"/>
      <c r="BC47" s="131"/>
      <c r="BD47" s="134"/>
      <c r="BE47" s="130"/>
      <c r="BF47" s="130"/>
      <c r="BG47" s="130"/>
      <c r="BH47" s="130"/>
      <c r="BI47" s="130"/>
      <c r="BJ47" s="131"/>
      <c r="BK47" s="55"/>
    </row>
    <row r="48" spans="1:63" ht="15" customHeight="1" x14ac:dyDescent="0.25">
      <c r="A48" s="54"/>
      <c r="B48" s="87"/>
      <c r="C48" s="88"/>
      <c r="D48" s="88"/>
      <c r="E48" s="88"/>
      <c r="F48" s="88"/>
      <c r="G48" s="89"/>
      <c r="H48" s="87"/>
      <c r="I48" s="88"/>
      <c r="J48" s="88"/>
      <c r="K48" s="88"/>
      <c r="L48" s="88"/>
      <c r="M48" s="88"/>
      <c r="N48" s="89"/>
      <c r="O48" s="87"/>
      <c r="P48" s="88"/>
      <c r="Q48" s="88"/>
      <c r="R48" s="88"/>
      <c r="S48" s="136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8"/>
      <c r="AX48" s="132"/>
      <c r="AY48" s="132"/>
      <c r="AZ48" s="132"/>
      <c r="BA48" s="132"/>
      <c r="BB48" s="132"/>
      <c r="BC48" s="133"/>
      <c r="BD48" s="135"/>
      <c r="BE48" s="132"/>
      <c r="BF48" s="132"/>
      <c r="BG48" s="132"/>
      <c r="BH48" s="132"/>
      <c r="BI48" s="132"/>
      <c r="BJ48" s="133"/>
      <c r="BK48" s="55"/>
    </row>
    <row r="49" spans="1:63" ht="15" customHeight="1" x14ac:dyDescent="0.25">
      <c r="A49" s="54"/>
      <c r="B49" s="81"/>
      <c r="C49" s="82"/>
      <c r="D49" s="82"/>
      <c r="E49" s="82"/>
      <c r="F49" s="82"/>
      <c r="G49" s="83"/>
      <c r="H49" s="81"/>
      <c r="I49" s="82"/>
      <c r="J49" s="82"/>
      <c r="K49" s="82"/>
      <c r="L49" s="82"/>
      <c r="M49" s="82"/>
      <c r="N49" s="83"/>
      <c r="O49" s="81"/>
      <c r="P49" s="82"/>
      <c r="Q49" s="82"/>
      <c r="R49" s="82"/>
      <c r="S49" s="127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9"/>
      <c r="AX49" s="130"/>
      <c r="AY49" s="130"/>
      <c r="AZ49" s="130"/>
      <c r="BA49" s="130"/>
      <c r="BB49" s="130"/>
      <c r="BC49" s="131"/>
      <c r="BD49" s="134"/>
      <c r="BE49" s="130"/>
      <c r="BF49" s="130"/>
      <c r="BG49" s="130"/>
      <c r="BH49" s="130"/>
      <c r="BI49" s="130"/>
      <c r="BJ49" s="131"/>
      <c r="BK49" s="55"/>
    </row>
    <row r="50" spans="1:63" ht="15" customHeight="1" x14ac:dyDescent="0.25">
      <c r="A50" s="54"/>
      <c r="B50" s="87"/>
      <c r="C50" s="88"/>
      <c r="D50" s="88"/>
      <c r="E50" s="88"/>
      <c r="F50" s="88"/>
      <c r="G50" s="89"/>
      <c r="H50" s="87"/>
      <c r="I50" s="88"/>
      <c r="J50" s="88"/>
      <c r="K50" s="88"/>
      <c r="L50" s="88"/>
      <c r="M50" s="88"/>
      <c r="N50" s="89"/>
      <c r="O50" s="87"/>
      <c r="P50" s="88"/>
      <c r="Q50" s="88"/>
      <c r="R50" s="88"/>
      <c r="S50" s="136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8"/>
      <c r="AX50" s="132"/>
      <c r="AY50" s="132"/>
      <c r="AZ50" s="132"/>
      <c r="BA50" s="132"/>
      <c r="BB50" s="132"/>
      <c r="BC50" s="133"/>
      <c r="BD50" s="135"/>
      <c r="BE50" s="132"/>
      <c r="BF50" s="132"/>
      <c r="BG50" s="132"/>
      <c r="BH50" s="132"/>
      <c r="BI50" s="132"/>
      <c r="BJ50" s="133"/>
      <c r="BK50" s="55"/>
    </row>
    <row r="51" spans="1:63" ht="15" customHeight="1" x14ac:dyDescent="0.25">
      <c r="A51" s="54"/>
      <c r="B51" s="81"/>
      <c r="C51" s="82"/>
      <c r="D51" s="82"/>
      <c r="E51" s="82"/>
      <c r="F51" s="82"/>
      <c r="G51" s="83"/>
      <c r="H51" s="81"/>
      <c r="I51" s="82"/>
      <c r="J51" s="82"/>
      <c r="K51" s="82"/>
      <c r="L51" s="82"/>
      <c r="M51" s="82"/>
      <c r="N51" s="83"/>
      <c r="O51" s="81"/>
      <c r="P51" s="82"/>
      <c r="Q51" s="82"/>
      <c r="R51" s="82"/>
      <c r="S51" s="127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9"/>
      <c r="AX51" s="130"/>
      <c r="AY51" s="130"/>
      <c r="AZ51" s="130"/>
      <c r="BA51" s="130"/>
      <c r="BB51" s="130"/>
      <c r="BC51" s="131"/>
      <c r="BD51" s="134"/>
      <c r="BE51" s="130"/>
      <c r="BF51" s="130"/>
      <c r="BG51" s="130"/>
      <c r="BH51" s="130"/>
      <c r="BI51" s="130"/>
      <c r="BJ51" s="131"/>
      <c r="BK51" s="55"/>
    </row>
    <row r="52" spans="1:63" ht="15" customHeight="1" x14ac:dyDescent="0.25">
      <c r="A52" s="54"/>
      <c r="B52" s="87"/>
      <c r="C52" s="88"/>
      <c r="D52" s="88"/>
      <c r="E52" s="88"/>
      <c r="F52" s="88"/>
      <c r="G52" s="89"/>
      <c r="H52" s="87"/>
      <c r="I52" s="88"/>
      <c r="J52" s="88"/>
      <c r="K52" s="88"/>
      <c r="L52" s="88"/>
      <c r="M52" s="88"/>
      <c r="N52" s="89"/>
      <c r="O52" s="87"/>
      <c r="P52" s="88"/>
      <c r="Q52" s="88"/>
      <c r="R52" s="88"/>
      <c r="S52" s="136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8"/>
      <c r="AX52" s="132"/>
      <c r="AY52" s="132"/>
      <c r="AZ52" s="132"/>
      <c r="BA52" s="132"/>
      <c r="BB52" s="132"/>
      <c r="BC52" s="133"/>
      <c r="BD52" s="135"/>
      <c r="BE52" s="132"/>
      <c r="BF52" s="132"/>
      <c r="BG52" s="132"/>
      <c r="BH52" s="132"/>
      <c r="BI52" s="132"/>
      <c r="BJ52" s="133"/>
      <c r="BK52" s="55"/>
    </row>
    <row r="53" spans="1:63" ht="15" customHeight="1" x14ac:dyDescent="0.25">
      <c r="A53" s="54"/>
      <c r="B53" s="81"/>
      <c r="C53" s="82"/>
      <c r="D53" s="82"/>
      <c r="E53" s="82"/>
      <c r="F53" s="82"/>
      <c r="G53" s="83"/>
      <c r="H53" s="81"/>
      <c r="I53" s="82"/>
      <c r="J53" s="82"/>
      <c r="K53" s="82"/>
      <c r="L53" s="82"/>
      <c r="M53" s="82"/>
      <c r="N53" s="83"/>
      <c r="O53" s="81"/>
      <c r="P53" s="82"/>
      <c r="Q53" s="82"/>
      <c r="R53" s="82"/>
      <c r="S53" s="127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9"/>
      <c r="AX53" s="130"/>
      <c r="AY53" s="130"/>
      <c r="AZ53" s="130"/>
      <c r="BA53" s="130"/>
      <c r="BB53" s="130"/>
      <c r="BC53" s="131"/>
      <c r="BD53" s="134"/>
      <c r="BE53" s="130"/>
      <c r="BF53" s="130"/>
      <c r="BG53" s="130"/>
      <c r="BH53" s="130"/>
      <c r="BI53" s="130"/>
      <c r="BJ53" s="131"/>
      <c r="BK53" s="55"/>
    </row>
    <row r="54" spans="1:63" ht="15" customHeight="1" x14ac:dyDescent="0.25">
      <c r="A54" s="54"/>
      <c r="B54" s="87"/>
      <c r="C54" s="88"/>
      <c r="D54" s="88"/>
      <c r="E54" s="88"/>
      <c r="F54" s="88"/>
      <c r="G54" s="89"/>
      <c r="H54" s="87"/>
      <c r="I54" s="88"/>
      <c r="J54" s="88"/>
      <c r="K54" s="88"/>
      <c r="L54" s="88"/>
      <c r="M54" s="88"/>
      <c r="N54" s="89"/>
      <c r="O54" s="87"/>
      <c r="P54" s="88"/>
      <c r="Q54" s="88"/>
      <c r="R54" s="88"/>
      <c r="S54" s="136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8"/>
      <c r="AX54" s="132"/>
      <c r="AY54" s="132"/>
      <c r="AZ54" s="132"/>
      <c r="BA54" s="132"/>
      <c r="BB54" s="132"/>
      <c r="BC54" s="133"/>
      <c r="BD54" s="135"/>
      <c r="BE54" s="132"/>
      <c r="BF54" s="132"/>
      <c r="BG54" s="132"/>
      <c r="BH54" s="132"/>
      <c r="BI54" s="132"/>
      <c r="BJ54" s="133"/>
      <c r="BK54" s="55"/>
    </row>
    <row r="55" spans="1:63" ht="15" customHeight="1" x14ac:dyDescent="0.25">
      <c r="A55" s="51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3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60" t="s">
        <v>59</v>
      </c>
      <c r="B1" s="161"/>
      <c r="C1" s="161"/>
      <c r="D1" s="161"/>
      <c r="E1" s="161"/>
      <c r="F1" s="161"/>
      <c r="G1" s="161"/>
      <c r="H1" s="161"/>
      <c r="I1" s="161"/>
      <c r="J1" s="162"/>
      <c r="K1" s="160" t="s">
        <v>60</v>
      </c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2"/>
      <c r="W1" s="163" t="str">
        <f>IF(表紙!W1="","",表紙!W1)</f>
        <v>詳細設計書</v>
      </c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5"/>
      <c r="AP1" s="96" t="s">
        <v>62</v>
      </c>
      <c r="AQ1" s="97"/>
      <c r="AR1" s="97"/>
      <c r="AS1" s="98"/>
      <c r="AT1" s="96" t="s">
        <v>63</v>
      </c>
      <c r="AU1" s="97"/>
      <c r="AV1" s="97"/>
      <c r="AW1" s="97"/>
      <c r="AX1" s="98"/>
      <c r="AY1" s="96" t="s">
        <v>64</v>
      </c>
      <c r="AZ1" s="97"/>
      <c r="BA1" s="97"/>
      <c r="BB1" s="98"/>
      <c r="BC1" s="96" t="s">
        <v>65</v>
      </c>
      <c r="BD1" s="97"/>
      <c r="BE1" s="97"/>
      <c r="BF1" s="97"/>
      <c r="BG1" s="98"/>
      <c r="BH1" s="96" t="s">
        <v>66</v>
      </c>
      <c r="BI1" s="97"/>
      <c r="BJ1" s="97"/>
      <c r="BK1" s="98"/>
    </row>
    <row r="2" spans="1:63" ht="15" customHeight="1" x14ac:dyDescent="0.25">
      <c r="A2" s="154" t="str">
        <f>IF(表紙!A2="","",表紙!A2)</f>
        <v>POSサーバー</v>
      </c>
      <c r="B2" s="155"/>
      <c r="C2" s="155"/>
      <c r="D2" s="155"/>
      <c r="E2" s="155"/>
      <c r="F2" s="155"/>
      <c r="G2" s="155"/>
      <c r="H2" s="155"/>
      <c r="I2" s="155"/>
      <c r="J2" s="156"/>
      <c r="K2" s="154" t="str">
        <f>IF(表紙!K2="","",表紙!K2)</f>
        <v>POSサーバー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6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8"/>
      <c r="AP2" s="81" t="str">
        <f>IF(表紙!AP2="","",表紙!AP2)</f>
        <v>LoiLV</v>
      </c>
      <c r="AQ2" s="82"/>
      <c r="AR2" s="82"/>
      <c r="AS2" s="83"/>
      <c r="AT2" s="111">
        <f>IF(表紙!AT2="","",表紙!AT2)</f>
        <v>45467</v>
      </c>
      <c r="AU2" s="112"/>
      <c r="AV2" s="112"/>
      <c r="AW2" s="112"/>
      <c r="AX2" s="113"/>
      <c r="AY2" s="81" t="str">
        <f>IF(表紙!AY2="","",表紙!AY2)</f>
        <v>AnhDD</v>
      </c>
      <c r="AZ2" s="82"/>
      <c r="BA2" s="82"/>
      <c r="BB2" s="83"/>
      <c r="BC2" s="111">
        <f>IF(表紙!BC2="","",表紙!BC2)</f>
        <v>45483</v>
      </c>
      <c r="BD2" s="112"/>
      <c r="BE2" s="112"/>
      <c r="BF2" s="112"/>
      <c r="BG2" s="113"/>
      <c r="BH2" s="81">
        <f>IF(表紙!BH2="","",表紙!BH2)</f>
        <v>0.11</v>
      </c>
      <c r="BI2" s="82"/>
      <c r="BJ2" s="82"/>
      <c r="BK2" s="83"/>
    </row>
    <row r="3" spans="1:63" ht="15" customHeight="1" x14ac:dyDescent="0.25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69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1"/>
      <c r="AP3" s="87"/>
      <c r="AQ3" s="88"/>
      <c r="AR3" s="88"/>
      <c r="AS3" s="89"/>
      <c r="AT3" s="114"/>
      <c r="AU3" s="115"/>
      <c r="AV3" s="115"/>
      <c r="AW3" s="115"/>
      <c r="AX3" s="116"/>
      <c r="AY3" s="87"/>
      <c r="AZ3" s="88"/>
      <c r="BA3" s="88"/>
      <c r="BB3" s="89"/>
      <c r="BC3" s="114"/>
      <c r="BD3" s="115"/>
      <c r="BE3" s="115"/>
      <c r="BF3" s="115"/>
      <c r="BG3" s="116"/>
      <c r="BH3" s="87"/>
      <c r="BI3" s="88"/>
      <c r="BJ3" s="88"/>
      <c r="BK3" s="89"/>
    </row>
    <row r="4" spans="1:63" ht="24.95" customHeight="1" x14ac:dyDescent="0.25">
      <c r="A4" s="160" t="s">
        <v>68</v>
      </c>
      <c r="B4" s="161"/>
      <c r="C4" s="161"/>
      <c r="D4" s="161"/>
      <c r="E4" s="161"/>
      <c r="F4" s="161"/>
      <c r="G4" s="162"/>
      <c r="H4" s="172" t="str">
        <f>IF(表紙!H4="","",表紙!H4)</f>
        <v>APX001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60" t="s">
        <v>69</v>
      </c>
      <c r="V4" s="161"/>
      <c r="W4" s="161"/>
      <c r="X4" s="161"/>
      <c r="Y4" s="162"/>
      <c r="Z4" s="172" t="str">
        <f>IF(表紙!Z4="","",表紙!Z4)</f>
        <v>API設計書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5" t="str">
        <f ca="1">MID(CELL("filename",A1),FIND("]",CELL("filename",A1))+1,255)</f>
        <v>処理フロー凡例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0" customFormat="1" ht="15" customHeight="1" x14ac:dyDescent="0.25">
      <c r="A7" s="66"/>
      <c r="B7" s="67" t="s">
        <v>77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9"/>
      <c r="AF7" s="70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9"/>
      <c r="BJ7" s="68"/>
      <c r="BK7" s="71"/>
    </row>
    <row r="8" spans="1:63" s="72" customFormat="1" ht="15" customHeight="1" x14ac:dyDescent="0.25">
      <c r="BK8" s="71"/>
    </row>
    <row r="9" spans="1:63" s="72" customFormat="1" ht="15" customHeight="1" x14ac:dyDescent="0.25">
      <c r="BK9" s="71"/>
    </row>
    <row r="10" spans="1:63" s="72" customFormat="1" ht="15" customHeight="1" x14ac:dyDescent="0.25">
      <c r="BK10" s="71"/>
    </row>
    <row r="11" spans="1:63" s="72" customFormat="1" ht="15" customHeight="1" x14ac:dyDescent="0.25">
      <c r="BK11" s="71"/>
    </row>
    <row r="12" spans="1:63" s="72" customFormat="1" ht="15" customHeight="1" x14ac:dyDescent="0.25">
      <c r="BK12" s="71"/>
    </row>
    <row r="13" spans="1:63" s="72" customFormat="1" ht="15" customHeight="1" x14ac:dyDescent="0.25">
      <c r="BK13" s="71"/>
    </row>
    <row r="14" spans="1:63" s="72" customFormat="1" ht="15" customHeight="1" x14ac:dyDescent="0.25">
      <c r="BK14" s="71"/>
    </row>
    <row r="15" spans="1:63" s="72" customFormat="1" ht="15" customHeight="1" x14ac:dyDescent="0.25">
      <c r="BK15" s="71"/>
    </row>
    <row r="16" spans="1:63" s="72" customFormat="1" ht="15" customHeight="1" x14ac:dyDescent="0.25">
      <c r="BK16" s="71"/>
    </row>
    <row r="17" spans="63:63" s="72" customFormat="1" ht="15" customHeight="1" x14ac:dyDescent="0.25">
      <c r="BK17" s="71"/>
    </row>
    <row r="18" spans="63:63" s="72" customFormat="1" ht="15" customHeight="1" x14ac:dyDescent="0.25">
      <c r="BK18" s="71"/>
    </row>
    <row r="19" spans="63:63" s="72" customFormat="1" ht="15" customHeight="1" x14ac:dyDescent="0.25">
      <c r="BK19" s="71"/>
    </row>
    <row r="20" spans="63:63" s="72" customFormat="1" ht="15" customHeight="1" x14ac:dyDescent="0.25">
      <c r="BK20" s="71"/>
    </row>
    <row r="21" spans="63:63" s="72" customFormat="1" ht="15" customHeight="1" x14ac:dyDescent="0.25">
      <c r="BK21" s="71"/>
    </row>
    <row r="22" spans="63:63" s="72" customFormat="1" ht="15" customHeight="1" x14ac:dyDescent="0.25">
      <c r="BK22" s="71"/>
    </row>
    <row r="23" spans="63:63" s="72" customFormat="1" ht="15" customHeight="1" x14ac:dyDescent="0.25">
      <c r="BK23" s="71"/>
    </row>
    <row r="24" spans="63:63" s="72" customFormat="1" ht="15" customHeight="1" x14ac:dyDescent="0.25">
      <c r="BK24" s="71"/>
    </row>
    <row r="25" spans="63:63" s="72" customFormat="1" ht="15" customHeight="1" x14ac:dyDescent="0.25">
      <c r="BK25" s="71"/>
    </row>
    <row r="26" spans="63:63" s="72" customFormat="1" ht="15" customHeight="1" x14ac:dyDescent="0.25">
      <c r="BK26" s="71"/>
    </row>
    <row r="27" spans="63:63" s="72" customFormat="1" ht="15" customHeight="1" x14ac:dyDescent="0.25">
      <c r="BK27" s="71"/>
    </row>
    <row r="28" spans="63:63" s="72" customFormat="1" ht="15" customHeight="1" x14ac:dyDescent="0.25">
      <c r="BK28" s="71"/>
    </row>
    <row r="29" spans="63:63" s="72" customFormat="1" ht="15" customHeight="1" x14ac:dyDescent="0.25">
      <c r="BK29" s="71"/>
    </row>
    <row r="30" spans="63:63" s="72" customFormat="1" ht="15" customHeight="1" x14ac:dyDescent="0.25">
      <c r="BK30" s="71"/>
    </row>
    <row r="31" spans="63:63" s="72" customFormat="1" ht="15" customHeight="1" x14ac:dyDescent="0.25">
      <c r="BK31" s="71"/>
    </row>
    <row r="32" spans="63:63" s="72" customFormat="1" ht="15" customHeight="1" x14ac:dyDescent="0.25">
      <c r="BK32" s="71"/>
    </row>
    <row r="33" spans="63:63" s="72" customFormat="1" ht="15" customHeight="1" x14ac:dyDescent="0.25">
      <c r="BK33" s="71"/>
    </row>
    <row r="34" spans="63:63" s="72" customFormat="1" ht="15" customHeight="1" x14ac:dyDescent="0.25">
      <c r="BK34" s="71"/>
    </row>
    <row r="35" spans="63:63" s="72" customFormat="1" ht="15" customHeight="1" x14ac:dyDescent="0.25">
      <c r="BK35" s="71"/>
    </row>
    <row r="36" spans="63:63" s="72" customFormat="1" ht="15" customHeight="1" x14ac:dyDescent="0.25">
      <c r="BK36" s="71"/>
    </row>
    <row r="37" spans="63:63" s="72" customFormat="1" ht="15" customHeight="1" x14ac:dyDescent="0.25">
      <c r="BK37" s="71"/>
    </row>
    <row r="38" spans="63:63" s="72" customFormat="1" ht="15" customHeight="1" x14ac:dyDescent="0.25">
      <c r="BK38" s="71"/>
    </row>
    <row r="39" spans="63:63" s="72" customFormat="1" ht="15" customHeight="1" x14ac:dyDescent="0.25">
      <c r="BK39" s="71"/>
    </row>
    <row r="40" spans="63:63" s="72" customFormat="1" ht="15" customHeight="1" x14ac:dyDescent="0.25">
      <c r="BK40" s="71"/>
    </row>
    <row r="41" spans="63:63" s="72" customFormat="1" ht="15" customHeight="1" x14ac:dyDescent="0.25">
      <c r="BK41" s="71"/>
    </row>
    <row r="42" spans="63:63" s="72" customFormat="1" ht="15" customHeight="1" x14ac:dyDescent="0.25">
      <c r="BK42" s="71"/>
    </row>
    <row r="43" spans="63:63" s="72" customFormat="1" ht="15" customHeight="1" x14ac:dyDescent="0.25">
      <c r="BK43" s="71"/>
    </row>
    <row r="44" spans="63:63" s="72" customFormat="1" ht="15" customHeight="1" x14ac:dyDescent="0.25">
      <c r="BK44" s="71"/>
    </row>
    <row r="45" spans="63:63" s="72" customFormat="1" ht="15" customHeight="1" x14ac:dyDescent="0.25">
      <c r="BK45" s="71"/>
    </row>
    <row r="46" spans="63:63" s="72" customFormat="1" ht="15" customHeight="1" x14ac:dyDescent="0.25">
      <c r="BK46" s="71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FF0000"/>
    <pageSetUpPr fitToPage="1"/>
  </sheetPr>
  <dimension ref="A1:BK8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" customWidth="1"/>
    <col min="43" max="62" width="3.6640625" style="1" customWidth="1"/>
    <col min="63" max="63" width="2.77734375" style="1" customWidth="1"/>
    <col min="64" max="16384" width="10.109375" style="1"/>
  </cols>
  <sheetData>
    <row r="1" spans="1:63" ht="24.95" customHeight="1" x14ac:dyDescent="0.25">
      <c r="A1" s="160" t="s">
        <v>59</v>
      </c>
      <c r="B1" s="161"/>
      <c r="C1" s="161"/>
      <c r="D1" s="161"/>
      <c r="E1" s="161"/>
      <c r="F1" s="161"/>
      <c r="G1" s="161"/>
      <c r="H1" s="161"/>
      <c r="I1" s="161"/>
      <c r="J1" s="162"/>
      <c r="K1" s="160" t="s">
        <v>60</v>
      </c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2"/>
      <c r="W1" s="163" t="str">
        <f>IF(表紙!W1="","",表紙!W1)</f>
        <v>詳細設計書</v>
      </c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5"/>
      <c r="AP1" s="96" t="s">
        <v>62</v>
      </c>
      <c r="AQ1" s="97"/>
      <c r="AR1" s="97"/>
      <c r="AS1" s="98"/>
      <c r="AT1" s="96" t="s">
        <v>63</v>
      </c>
      <c r="AU1" s="97"/>
      <c r="AV1" s="97"/>
      <c r="AW1" s="97"/>
      <c r="AX1" s="98"/>
      <c r="AY1" s="96" t="s">
        <v>64</v>
      </c>
      <c r="AZ1" s="97"/>
      <c r="BA1" s="97"/>
      <c r="BB1" s="98"/>
      <c r="BC1" s="96" t="s">
        <v>65</v>
      </c>
      <c r="BD1" s="97"/>
      <c r="BE1" s="97"/>
      <c r="BF1" s="97"/>
      <c r="BG1" s="98"/>
      <c r="BH1" s="96" t="s">
        <v>66</v>
      </c>
      <c r="BI1" s="97"/>
      <c r="BJ1" s="97"/>
      <c r="BK1" s="98"/>
    </row>
    <row r="2" spans="1:63" ht="15" customHeight="1" x14ac:dyDescent="0.25">
      <c r="A2" s="154" t="str">
        <f>IF(表紙!A2="","",表紙!A2)</f>
        <v>POSサーバー</v>
      </c>
      <c r="B2" s="155"/>
      <c r="C2" s="155"/>
      <c r="D2" s="155"/>
      <c r="E2" s="155"/>
      <c r="F2" s="155"/>
      <c r="G2" s="155"/>
      <c r="H2" s="155"/>
      <c r="I2" s="155"/>
      <c r="J2" s="156"/>
      <c r="K2" s="154" t="str">
        <f>IF(表紙!K2="","",表紙!K2)</f>
        <v>POSサーバー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6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8"/>
      <c r="AP2" s="81" t="str">
        <f>IF(表紙!AP2="","",表紙!AP2)</f>
        <v>LoiLV</v>
      </c>
      <c r="AQ2" s="82"/>
      <c r="AR2" s="82"/>
      <c r="AS2" s="83"/>
      <c r="AT2" s="111">
        <f>IF(表紙!AT2="","",表紙!AT2)</f>
        <v>45467</v>
      </c>
      <c r="AU2" s="112"/>
      <c r="AV2" s="112"/>
      <c r="AW2" s="112"/>
      <c r="AX2" s="113"/>
      <c r="AY2" s="81" t="str">
        <f>IF(表紙!AY2="","",表紙!AY2)</f>
        <v>AnhDD</v>
      </c>
      <c r="AZ2" s="82"/>
      <c r="BA2" s="82"/>
      <c r="BB2" s="83"/>
      <c r="BC2" s="111">
        <f>IF(表紙!BC2="","",表紙!BC2)</f>
        <v>45483</v>
      </c>
      <c r="BD2" s="112"/>
      <c r="BE2" s="112"/>
      <c r="BF2" s="112"/>
      <c r="BG2" s="113"/>
      <c r="BH2" s="81">
        <f>IF(表紙!BH2="","",表紙!BH2)</f>
        <v>0.11</v>
      </c>
      <c r="BI2" s="82"/>
      <c r="BJ2" s="82"/>
      <c r="BK2" s="83"/>
    </row>
    <row r="3" spans="1:63" ht="15" customHeight="1" x14ac:dyDescent="0.25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69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1"/>
      <c r="AP3" s="87"/>
      <c r="AQ3" s="88"/>
      <c r="AR3" s="88"/>
      <c r="AS3" s="89"/>
      <c r="AT3" s="114"/>
      <c r="AU3" s="115"/>
      <c r="AV3" s="115"/>
      <c r="AW3" s="115"/>
      <c r="AX3" s="116"/>
      <c r="AY3" s="87"/>
      <c r="AZ3" s="88"/>
      <c r="BA3" s="88"/>
      <c r="BB3" s="89"/>
      <c r="BC3" s="114"/>
      <c r="BD3" s="115"/>
      <c r="BE3" s="115"/>
      <c r="BF3" s="115"/>
      <c r="BG3" s="116"/>
      <c r="BH3" s="87"/>
      <c r="BI3" s="88"/>
      <c r="BJ3" s="88"/>
      <c r="BK3" s="89"/>
    </row>
    <row r="4" spans="1:63" ht="24.95" customHeight="1" x14ac:dyDescent="0.25">
      <c r="A4" s="160" t="s">
        <v>68</v>
      </c>
      <c r="B4" s="161"/>
      <c r="C4" s="161"/>
      <c r="D4" s="161"/>
      <c r="E4" s="161"/>
      <c r="F4" s="161"/>
      <c r="G4" s="162"/>
      <c r="H4" s="172" t="str">
        <f>IF(表紙!H4="","",表紙!H4)</f>
        <v>APX001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60" t="s">
        <v>69</v>
      </c>
      <c r="V4" s="161"/>
      <c r="W4" s="161"/>
      <c r="X4" s="161"/>
      <c r="Y4" s="162"/>
      <c r="Z4" s="172" t="str">
        <f>IF(表紙!Z4="","",表紙!Z4)</f>
        <v>API設計書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5" t="str">
        <f ca="1">MID(CELL("filename",A1),FIND("]",CELL("filename",A1))+1,255)</f>
        <v>APX001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78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73"/>
      <c r="AQ7" s="73"/>
      <c r="AR7" s="73"/>
      <c r="AS7" s="73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41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74"/>
      <c r="AQ8" s="74"/>
      <c r="AR8" s="74"/>
      <c r="AS8" s="74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29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74"/>
      <c r="AQ9" s="74"/>
      <c r="AR9" s="74"/>
      <c r="AS9" s="74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74"/>
      <c r="AQ10" s="74"/>
      <c r="AR10" s="74"/>
      <c r="AS10" s="74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79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80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76" t="s">
        <v>12</v>
      </c>
      <c r="D15" s="178"/>
      <c r="E15" s="176" t="s">
        <v>13</v>
      </c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8"/>
      <c r="AG15" s="176" t="s">
        <v>14</v>
      </c>
      <c r="AH15" s="177"/>
      <c r="AI15" s="177"/>
      <c r="AJ15" s="177"/>
      <c r="AK15" s="177"/>
      <c r="AL15" s="177"/>
      <c r="AM15" s="177"/>
      <c r="AN15" s="177"/>
      <c r="AO15" s="177"/>
      <c r="AP15" s="178"/>
      <c r="AQ15" s="176" t="s">
        <v>15</v>
      </c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8"/>
      <c r="BK15" s="17"/>
    </row>
    <row r="16" spans="1:63" s="18" customFormat="1" ht="15" customHeight="1" x14ac:dyDescent="0.25">
      <c r="A16" s="13"/>
      <c r="B16" s="20"/>
      <c r="C16" s="182">
        <v>1</v>
      </c>
      <c r="D16" s="181"/>
      <c r="E16" s="227" t="s">
        <v>30</v>
      </c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9"/>
      <c r="AG16" s="182" t="s">
        <v>31</v>
      </c>
      <c r="AH16" s="180"/>
      <c r="AI16" s="180"/>
      <c r="AJ16" s="180"/>
      <c r="AK16" s="180"/>
      <c r="AL16" s="180"/>
      <c r="AM16" s="180"/>
      <c r="AN16" s="180"/>
      <c r="AO16" s="180"/>
      <c r="AP16" s="181"/>
      <c r="AQ16" s="179" t="s">
        <v>5</v>
      </c>
      <c r="AR16" s="230"/>
      <c r="AS16" s="230"/>
      <c r="AT16" s="230"/>
      <c r="AU16" s="230"/>
      <c r="AV16" s="230"/>
      <c r="AW16" s="230"/>
      <c r="AX16" s="230"/>
      <c r="AY16" s="230"/>
      <c r="AZ16" s="230"/>
      <c r="BA16" s="230"/>
      <c r="BB16" s="230"/>
      <c r="BC16" s="230"/>
      <c r="BD16" s="230"/>
      <c r="BE16" s="230"/>
      <c r="BF16" s="230"/>
      <c r="BG16" s="230"/>
      <c r="BH16" s="230"/>
      <c r="BI16" s="230"/>
      <c r="BJ16" s="231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81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204" t="s">
        <v>82</v>
      </c>
      <c r="D20" s="206"/>
      <c r="E20" s="204" t="s">
        <v>83</v>
      </c>
      <c r="F20" s="205"/>
      <c r="G20" s="205"/>
      <c r="H20" s="205"/>
      <c r="I20" s="205"/>
      <c r="J20" s="205"/>
      <c r="K20" s="206"/>
      <c r="L20" s="176" t="s">
        <v>16</v>
      </c>
      <c r="M20" s="177"/>
      <c r="N20" s="178"/>
      <c r="O20" s="176" t="s">
        <v>17</v>
      </c>
      <c r="P20" s="177"/>
      <c r="Q20" s="177"/>
      <c r="R20" s="178"/>
      <c r="S20" s="176" t="s">
        <v>18</v>
      </c>
      <c r="T20" s="177"/>
      <c r="U20" s="177"/>
      <c r="V20" s="177"/>
      <c r="W20" s="177"/>
      <c r="X20" s="177"/>
      <c r="Y20" s="178"/>
      <c r="Z20" s="204" t="s">
        <v>84</v>
      </c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6"/>
      <c r="AQ20" s="176" t="s">
        <v>15</v>
      </c>
      <c r="AR20" s="177"/>
      <c r="AS20" s="177"/>
      <c r="AT20" s="177"/>
      <c r="AU20" s="177"/>
      <c r="AV20" s="177"/>
      <c r="AW20" s="177"/>
      <c r="AX20" s="177"/>
      <c r="AY20" s="177"/>
      <c r="AZ20" s="177"/>
      <c r="BA20" s="177"/>
      <c r="BB20" s="177"/>
      <c r="BC20" s="177"/>
      <c r="BD20" s="177"/>
      <c r="BE20" s="177"/>
      <c r="BF20" s="177"/>
      <c r="BG20" s="177"/>
      <c r="BH20" s="177"/>
      <c r="BI20" s="177"/>
      <c r="BJ20" s="178"/>
      <c r="BK20" s="17"/>
    </row>
    <row r="21" spans="1:63" s="18" customFormat="1" ht="15" customHeight="1" x14ac:dyDescent="0.25">
      <c r="A21" s="13"/>
      <c r="B21" s="20"/>
      <c r="C21" s="182">
        <v>1</v>
      </c>
      <c r="D21" s="181"/>
      <c r="E21" s="192" t="s">
        <v>6</v>
      </c>
      <c r="F21" s="193"/>
      <c r="G21" s="193"/>
      <c r="H21" s="193"/>
      <c r="I21" s="193"/>
      <c r="J21" s="193"/>
      <c r="K21" s="194"/>
      <c r="L21" s="219" t="s">
        <v>5</v>
      </c>
      <c r="M21" s="220"/>
      <c r="N21" s="221"/>
      <c r="O21" s="182" t="s">
        <v>4</v>
      </c>
      <c r="P21" s="180"/>
      <c r="Q21" s="180"/>
      <c r="R21" s="181"/>
      <c r="S21" s="182" t="s">
        <v>5</v>
      </c>
      <c r="T21" s="180"/>
      <c r="U21" s="180"/>
      <c r="V21" s="180"/>
      <c r="W21" s="180"/>
      <c r="X21" s="180"/>
      <c r="Y21" s="181"/>
      <c r="Z21" s="192" t="s">
        <v>6</v>
      </c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4"/>
      <c r="AQ21" s="232" t="s">
        <v>7</v>
      </c>
      <c r="AR21" s="233"/>
      <c r="AS21" s="233"/>
      <c r="AT21" s="233"/>
      <c r="AU21" s="233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33"/>
      <c r="BG21" s="233"/>
      <c r="BH21" s="233"/>
      <c r="BI21" s="233"/>
      <c r="BJ21" s="234"/>
      <c r="BK21" s="17"/>
    </row>
    <row r="22" spans="1:63" s="18" customFormat="1" ht="18" customHeight="1" x14ac:dyDescent="0.25">
      <c r="A22" s="13"/>
      <c r="B22" s="20"/>
      <c r="C22" s="213">
        <v>2</v>
      </c>
      <c r="D22" s="214"/>
      <c r="E22" s="250" t="s">
        <v>8</v>
      </c>
      <c r="F22" s="251"/>
      <c r="G22" s="251"/>
      <c r="H22" s="251"/>
      <c r="I22" s="251"/>
      <c r="J22" s="251"/>
      <c r="K22" s="252"/>
      <c r="L22" s="241" t="s">
        <v>5</v>
      </c>
      <c r="M22" s="242"/>
      <c r="N22" s="243"/>
      <c r="O22" s="183" t="s">
        <v>4</v>
      </c>
      <c r="P22" s="184"/>
      <c r="Q22" s="184"/>
      <c r="R22" s="185"/>
      <c r="S22" s="183" t="s">
        <v>5</v>
      </c>
      <c r="T22" s="184"/>
      <c r="U22" s="184"/>
      <c r="V22" s="184"/>
      <c r="W22" s="184"/>
      <c r="X22" s="184"/>
      <c r="Y22" s="185"/>
      <c r="Z22" s="195" t="s">
        <v>8</v>
      </c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  <c r="AL22" s="196"/>
      <c r="AM22" s="196"/>
      <c r="AN22" s="196"/>
      <c r="AO22" s="196"/>
      <c r="AP22" s="197"/>
      <c r="AQ22" s="235" t="s">
        <v>85</v>
      </c>
      <c r="AR22" s="235"/>
      <c r="AS22" s="235"/>
      <c r="AT22" s="235"/>
      <c r="AU22" s="235"/>
      <c r="AV22" s="235"/>
      <c r="AW22" s="235"/>
      <c r="AX22" s="235"/>
      <c r="AY22" s="235"/>
      <c r="AZ22" s="235"/>
      <c r="BA22" s="235"/>
      <c r="BB22" s="235"/>
      <c r="BC22" s="235"/>
      <c r="BD22" s="235"/>
      <c r="BE22" s="235"/>
      <c r="BF22" s="235"/>
      <c r="BG22" s="235"/>
      <c r="BH22" s="235"/>
      <c r="BI22" s="235"/>
      <c r="BJ22" s="236"/>
      <c r="BK22" s="17"/>
    </row>
    <row r="23" spans="1:63" s="18" customFormat="1" ht="18" customHeight="1" x14ac:dyDescent="0.25">
      <c r="A23" s="13"/>
      <c r="B23" s="20"/>
      <c r="C23" s="215"/>
      <c r="D23" s="216"/>
      <c r="E23" s="253"/>
      <c r="F23" s="254"/>
      <c r="G23" s="254"/>
      <c r="H23" s="254"/>
      <c r="I23" s="254"/>
      <c r="J23" s="254"/>
      <c r="K23" s="255"/>
      <c r="L23" s="244"/>
      <c r="M23" s="245"/>
      <c r="N23" s="246"/>
      <c r="O23" s="186"/>
      <c r="P23" s="187"/>
      <c r="Q23" s="187"/>
      <c r="R23" s="188"/>
      <c r="S23" s="186"/>
      <c r="T23" s="187"/>
      <c r="U23" s="187"/>
      <c r="V23" s="187"/>
      <c r="W23" s="187"/>
      <c r="X23" s="187"/>
      <c r="Y23" s="188"/>
      <c r="Z23" s="198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  <c r="AK23" s="199"/>
      <c r="AL23" s="199"/>
      <c r="AM23" s="199"/>
      <c r="AN23" s="199"/>
      <c r="AO23" s="199"/>
      <c r="AP23" s="200"/>
      <c r="AQ23" s="237"/>
      <c r="AR23" s="237"/>
      <c r="AS23" s="237"/>
      <c r="AT23" s="237"/>
      <c r="AU23" s="237"/>
      <c r="AV23" s="237"/>
      <c r="AW23" s="237"/>
      <c r="AX23" s="237"/>
      <c r="AY23" s="237"/>
      <c r="AZ23" s="237"/>
      <c r="BA23" s="237"/>
      <c r="BB23" s="237"/>
      <c r="BC23" s="237"/>
      <c r="BD23" s="237"/>
      <c r="BE23" s="237"/>
      <c r="BF23" s="237"/>
      <c r="BG23" s="237"/>
      <c r="BH23" s="237"/>
      <c r="BI23" s="237"/>
      <c r="BJ23" s="238"/>
      <c r="BK23" s="17"/>
    </row>
    <row r="24" spans="1:63" s="18" customFormat="1" ht="18" customHeight="1" x14ac:dyDescent="0.25">
      <c r="A24" s="13"/>
      <c r="B24" s="20"/>
      <c r="C24" s="217"/>
      <c r="D24" s="218"/>
      <c r="E24" s="256"/>
      <c r="F24" s="257"/>
      <c r="G24" s="257"/>
      <c r="H24" s="257"/>
      <c r="I24" s="257"/>
      <c r="J24" s="257"/>
      <c r="K24" s="258"/>
      <c r="L24" s="247"/>
      <c r="M24" s="248"/>
      <c r="N24" s="249"/>
      <c r="O24" s="189"/>
      <c r="P24" s="190"/>
      <c r="Q24" s="190"/>
      <c r="R24" s="191"/>
      <c r="S24" s="189"/>
      <c r="T24" s="190"/>
      <c r="U24" s="190"/>
      <c r="V24" s="190"/>
      <c r="W24" s="190"/>
      <c r="X24" s="190"/>
      <c r="Y24" s="191"/>
      <c r="Z24" s="201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3"/>
      <c r="AQ24" s="239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9"/>
      <c r="BE24" s="239"/>
      <c r="BF24" s="239"/>
      <c r="BG24" s="239"/>
      <c r="BH24" s="239"/>
      <c r="BI24" s="239"/>
      <c r="BJ24" s="240"/>
      <c r="BK24" s="17"/>
    </row>
    <row r="25" spans="1:63" s="18" customFormat="1" ht="15" customHeight="1" x14ac:dyDescent="0.25">
      <c r="A25" s="13"/>
      <c r="B25" s="20"/>
      <c r="C25" s="182">
        <v>3</v>
      </c>
      <c r="D25" s="181"/>
      <c r="E25" s="192" t="s">
        <v>9</v>
      </c>
      <c r="F25" s="193"/>
      <c r="G25" s="193"/>
      <c r="H25" s="193"/>
      <c r="I25" s="193"/>
      <c r="J25" s="193"/>
      <c r="K25" s="194"/>
      <c r="L25" s="219" t="s">
        <v>5</v>
      </c>
      <c r="M25" s="220"/>
      <c r="N25" s="221"/>
      <c r="O25" s="182" t="s">
        <v>4</v>
      </c>
      <c r="P25" s="180"/>
      <c r="Q25" s="180"/>
      <c r="R25" s="181"/>
      <c r="S25" s="182" t="s">
        <v>5</v>
      </c>
      <c r="T25" s="180"/>
      <c r="U25" s="180"/>
      <c r="V25" s="180"/>
      <c r="W25" s="180"/>
      <c r="X25" s="180"/>
      <c r="Y25" s="181"/>
      <c r="Z25" s="192" t="s">
        <v>9</v>
      </c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4"/>
      <c r="AQ25" s="232" t="s">
        <v>10</v>
      </c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4"/>
      <c r="BK25" s="17"/>
    </row>
    <row r="26" spans="1:63" s="18" customFormat="1" ht="15" customHeight="1" x14ac:dyDescent="0.25">
      <c r="A26" s="13"/>
      <c r="B26" s="20"/>
      <c r="C26" s="182">
        <v>4</v>
      </c>
      <c r="D26" s="181"/>
      <c r="E26" s="192" t="s">
        <v>11</v>
      </c>
      <c r="F26" s="193"/>
      <c r="G26" s="193"/>
      <c r="H26" s="193"/>
      <c r="I26" s="193"/>
      <c r="J26" s="193"/>
      <c r="K26" s="194"/>
      <c r="L26" s="219" t="s">
        <v>5</v>
      </c>
      <c r="M26" s="220"/>
      <c r="N26" s="221"/>
      <c r="O26" s="182" t="s">
        <v>4</v>
      </c>
      <c r="P26" s="180"/>
      <c r="Q26" s="180"/>
      <c r="R26" s="181"/>
      <c r="S26" s="182" t="s">
        <v>5</v>
      </c>
      <c r="T26" s="180"/>
      <c r="U26" s="180"/>
      <c r="V26" s="180"/>
      <c r="W26" s="180"/>
      <c r="X26" s="180"/>
      <c r="Y26" s="181"/>
      <c r="Z26" s="192" t="s">
        <v>11</v>
      </c>
      <c r="AA26" s="193"/>
      <c r="AB26" s="193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193"/>
      <c r="AN26" s="193"/>
      <c r="AO26" s="193"/>
      <c r="AP26" s="194"/>
      <c r="AQ26" s="232" t="s">
        <v>86</v>
      </c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4"/>
      <c r="BK26" s="17"/>
    </row>
    <row r="27" spans="1:63" s="18" customFormat="1" ht="15" customHeight="1" x14ac:dyDescent="0.25">
      <c r="A27" s="13"/>
      <c r="B27" s="20"/>
      <c r="C27" s="20"/>
      <c r="D27" s="20"/>
      <c r="E27" s="74"/>
      <c r="F27" s="74"/>
      <c r="G27" s="74"/>
      <c r="H27" s="74"/>
      <c r="I27" s="20"/>
      <c r="J27" s="20"/>
      <c r="K27" s="20"/>
      <c r="L27" s="77"/>
      <c r="M27" s="74"/>
      <c r="N27" s="74"/>
      <c r="O27" s="74"/>
      <c r="P27" s="74"/>
      <c r="Q27" s="20"/>
      <c r="R27" s="20"/>
      <c r="S27" s="20"/>
      <c r="T27" s="20"/>
      <c r="U27" s="20"/>
      <c r="V27" s="20"/>
      <c r="W27" s="20"/>
      <c r="X27" s="20"/>
      <c r="Y27" s="20"/>
      <c r="Z27" s="27"/>
      <c r="AA27" s="20"/>
      <c r="AB27" s="20"/>
      <c r="AC27" s="20"/>
      <c r="AD27" s="20"/>
      <c r="AE27" s="20"/>
      <c r="AF27" s="20"/>
      <c r="AG27" s="74"/>
      <c r="AH27" s="74"/>
      <c r="AI27" s="74"/>
      <c r="AJ27" s="74"/>
      <c r="AK27" s="74"/>
      <c r="AL27" s="74"/>
      <c r="AM27" s="74"/>
      <c r="AN27" s="74"/>
      <c r="AO27" s="74"/>
      <c r="AP27" s="20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1"/>
      <c r="BI27" s="21"/>
      <c r="BJ27" s="21"/>
      <c r="BK27" s="17"/>
    </row>
    <row r="28" spans="1:63" s="18" customFormat="1" ht="15" customHeight="1" x14ac:dyDescent="0.25">
      <c r="A28" s="13"/>
      <c r="B28" s="20"/>
      <c r="C28" s="20"/>
      <c r="D28" s="20"/>
      <c r="E28" s="74"/>
      <c r="F28" s="74"/>
      <c r="G28" s="74"/>
      <c r="H28" s="74"/>
      <c r="I28" s="20"/>
      <c r="J28" s="20"/>
      <c r="K28" s="20"/>
      <c r="L28" s="29"/>
      <c r="M28" s="74"/>
      <c r="N28" s="74"/>
      <c r="O28" s="74"/>
      <c r="P28" s="74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74"/>
      <c r="AH28" s="74"/>
      <c r="AI28" s="74"/>
      <c r="AJ28" s="74"/>
      <c r="AK28" s="74"/>
      <c r="AL28" s="74"/>
      <c r="AM28" s="74"/>
      <c r="AN28" s="74"/>
      <c r="AO28" s="74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3" t="s">
        <v>87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20"/>
      <c r="D31" s="20" t="s">
        <v>22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1"/>
      <c r="BI31" s="21"/>
      <c r="BJ31" s="21"/>
      <c r="BK31" s="17"/>
    </row>
    <row r="32" spans="1:63" s="18" customFormat="1" ht="15" customHeight="1" x14ac:dyDescent="0.25">
      <c r="A32" s="13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1"/>
      <c r="BI32" s="21"/>
      <c r="BJ32" s="21"/>
      <c r="BK32" s="17"/>
    </row>
    <row r="33" spans="1:63" s="18" customFormat="1" ht="15" customHeight="1" x14ac:dyDescent="0.25">
      <c r="A33" s="13"/>
      <c r="B33" s="20"/>
      <c r="C33" s="23" t="s">
        <v>88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1"/>
      <c r="BI33" s="21"/>
      <c r="BJ33" s="21"/>
      <c r="BK33" s="17"/>
    </row>
    <row r="34" spans="1:63" s="18" customFormat="1" ht="15" customHeight="1" x14ac:dyDescent="0.25">
      <c r="A34" s="13"/>
      <c r="B34" s="20"/>
      <c r="C34" s="23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222" t="s">
        <v>12</v>
      </c>
      <c r="D35" s="223"/>
      <c r="E35" s="224" t="s">
        <v>19</v>
      </c>
      <c r="F35" s="225"/>
      <c r="G35" s="225"/>
      <c r="H35" s="225"/>
      <c r="I35" s="225"/>
      <c r="J35" s="225"/>
      <c r="K35" s="226"/>
      <c r="L35" s="176" t="s">
        <v>16</v>
      </c>
      <c r="M35" s="177"/>
      <c r="N35" s="178"/>
      <c r="O35" s="176" t="s">
        <v>17</v>
      </c>
      <c r="P35" s="177"/>
      <c r="Q35" s="177"/>
      <c r="R35" s="178"/>
      <c r="S35" s="176" t="s">
        <v>18</v>
      </c>
      <c r="T35" s="177"/>
      <c r="U35" s="177"/>
      <c r="V35" s="177"/>
      <c r="W35" s="177"/>
      <c r="X35" s="177"/>
      <c r="Y35" s="178"/>
      <c r="Z35" s="204" t="s">
        <v>84</v>
      </c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6"/>
      <c r="AQ35" s="259" t="s">
        <v>15</v>
      </c>
      <c r="AR35" s="260"/>
      <c r="AS35" s="260"/>
      <c r="AT35" s="260"/>
      <c r="AU35" s="260"/>
      <c r="AV35" s="260"/>
      <c r="AW35" s="260"/>
      <c r="AX35" s="260"/>
      <c r="AY35" s="260"/>
      <c r="AZ35" s="260"/>
      <c r="BA35" s="260"/>
      <c r="BB35" s="260"/>
      <c r="BC35" s="260"/>
      <c r="BD35" s="260"/>
      <c r="BE35" s="260"/>
      <c r="BF35" s="260"/>
      <c r="BG35" s="260"/>
      <c r="BH35" s="260"/>
      <c r="BI35" s="260"/>
      <c r="BJ35" s="261"/>
      <c r="BK35" s="17"/>
    </row>
    <row r="36" spans="1:63" s="18" customFormat="1" ht="15" customHeight="1" x14ac:dyDescent="0.25">
      <c r="A36" s="13"/>
      <c r="B36" s="20"/>
      <c r="C36" s="182">
        <v>1</v>
      </c>
      <c r="D36" s="181"/>
      <c r="E36" s="192" t="s">
        <v>32</v>
      </c>
      <c r="F36" s="193"/>
      <c r="G36" s="193"/>
      <c r="H36" s="193"/>
      <c r="I36" s="193"/>
      <c r="J36" s="193"/>
      <c r="K36" s="194"/>
      <c r="L36" s="219" t="s">
        <v>3</v>
      </c>
      <c r="M36" s="220"/>
      <c r="N36" s="221"/>
      <c r="O36" s="182" t="s">
        <v>20</v>
      </c>
      <c r="P36" s="180"/>
      <c r="Q36" s="180"/>
      <c r="R36" s="181"/>
      <c r="S36" s="227" t="s">
        <v>5</v>
      </c>
      <c r="T36" s="180"/>
      <c r="U36" s="180"/>
      <c r="V36" s="180"/>
      <c r="W36" s="180"/>
      <c r="X36" s="180"/>
      <c r="Y36" s="181"/>
      <c r="Z36" s="192" t="s">
        <v>34</v>
      </c>
      <c r="AA36" s="193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4"/>
      <c r="AQ36" s="179" t="s">
        <v>89</v>
      </c>
      <c r="AR36" s="230"/>
      <c r="AS36" s="230"/>
      <c r="AT36" s="230"/>
      <c r="AU36" s="230"/>
      <c r="AV36" s="230"/>
      <c r="AW36" s="230"/>
      <c r="AX36" s="230"/>
      <c r="AY36" s="230"/>
      <c r="AZ36" s="230"/>
      <c r="BA36" s="230"/>
      <c r="BB36" s="230"/>
      <c r="BC36" s="230"/>
      <c r="BD36" s="230"/>
      <c r="BE36" s="230"/>
      <c r="BF36" s="230"/>
      <c r="BG36" s="230"/>
      <c r="BH36" s="230"/>
      <c r="BI36" s="230"/>
      <c r="BJ36" s="231"/>
      <c r="BK36" s="17"/>
    </row>
    <row r="37" spans="1:63" s="18" customFormat="1" ht="15" customHeight="1" x14ac:dyDescent="0.25">
      <c r="A37" s="13"/>
      <c r="B37" s="20"/>
      <c r="C37" s="182">
        <f>C36+1</f>
        <v>2</v>
      </c>
      <c r="D37" s="181"/>
      <c r="E37" s="192" t="s">
        <v>41</v>
      </c>
      <c r="F37" s="193"/>
      <c r="G37" s="193"/>
      <c r="H37" s="193"/>
      <c r="I37" s="193"/>
      <c r="J37" s="193"/>
      <c r="K37" s="194"/>
      <c r="L37" s="219" t="s">
        <v>3</v>
      </c>
      <c r="M37" s="220"/>
      <c r="N37" s="221"/>
      <c r="O37" s="182" t="s">
        <v>20</v>
      </c>
      <c r="P37" s="180"/>
      <c r="Q37" s="180"/>
      <c r="R37" s="181"/>
      <c r="S37" s="227" t="s">
        <v>5</v>
      </c>
      <c r="T37" s="180"/>
      <c r="U37" s="180"/>
      <c r="V37" s="180"/>
      <c r="W37" s="180"/>
      <c r="X37" s="180"/>
      <c r="Y37" s="181"/>
      <c r="Z37" s="192" t="s">
        <v>35</v>
      </c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4"/>
      <c r="AQ37" s="179" t="s">
        <v>90</v>
      </c>
      <c r="AR37" s="230"/>
      <c r="AS37" s="230"/>
      <c r="AT37" s="230"/>
      <c r="AU37" s="230"/>
      <c r="AV37" s="230"/>
      <c r="AW37" s="230"/>
      <c r="AX37" s="230"/>
      <c r="AY37" s="230"/>
      <c r="AZ37" s="230"/>
      <c r="BA37" s="230"/>
      <c r="BB37" s="230"/>
      <c r="BC37" s="230"/>
      <c r="BD37" s="230"/>
      <c r="BE37" s="230"/>
      <c r="BF37" s="230"/>
      <c r="BG37" s="230"/>
      <c r="BH37" s="230"/>
      <c r="BI37" s="230"/>
      <c r="BJ37" s="231"/>
      <c r="BK37" s="17"/>
    </row>
    <row r="38" spans="1:63" s="18" customFormat="1" ht="15" customHeight="1" x14ac:dyDescent="0.25">
      <c r="A38" s="13"/>
      <c r="B38" s="20"/>
      <c r="C38" s="182">
        <f t="shared" ref="C38" si="0">C37+1</f>
        <v>3</v>
      </c>
      <c r="D38" s="181"/>
      <c r="E38" s="192" t="s">
        <v>33</v>
      </c>
      <c r="F38" s="193"/>
      <c r="G38" s="193"/>
      <c r="H38" s="193"/>
      <c r="I38" s="193"/>
      <c r="J38" s="193"/>
      <c r="K38" s="194"/>
      <c r="L38" s="219" t="s">
        <v>3</v>
      </c>
      <c r="M38" s="220"/>
      <c r="N38" s="221"/>
      <c r="O38" s="182" t="s">
        <v>20</v>
      </c>
      <c r="P38" s="180"/>
      <c r="Q38" s="180"/>
      <c r="R38" s="181"/>
      <c r="S38" s="227" t="s">
        <v>5</v>
      </c>
      <c r="T38" s="180"/>
      <c r="U38" s="180"/>
      <c r="V38" s="180"/>
      <c r="W38" s="180"/>
      <c r="X38" s="180"/>
      <c r="Y38" s="181"/>
      <c r="Z38" s="192" t="s">
        <v>36</v>
      </c>
      <c r="AA38" s="193"/>
      <c r="AB38" s="193"/>
      <c r="AC38" s="193"/>
      <c r="AD38" s="193"/>
      <c r="AE38" s="193"/>
      <c r="AF38" s="193"/>
      <c r="AG38" s="193"/>
      <c r="AH38" s="193"/>
      <c r="AI38" s="193"/>
      <c r="AJ38" s="193"/>
      <c r="AK38" s="193"/>
      <c r="AL38" s="193"/>
      <c r="AM38" s="193"/>
      <c r="AN38" s="193"/>
      <c r="AO38" s="193"/>
      <c r="AP38" s="194"/>
      <c r="AQ38" s="179" t="s">
        <v>91</v>
      </c>
      <c r="AR38" s="230"/>
      <c r="AS38" s="230"/>
      <c r="AT38" s="230"/>
      <c r="AU38" s="230"/>
      <c r="AV38" s="230"/>
      <c r="AW38" s="230"/>
      <c r="AX38" s="230"/>
      <c r="AY38" s="230"/>
      <c r="AZ38" s="230"/>
      <c r="BA38" s="230"/>
      <c r="BB38" s="230"/>
      <c r="BC38" s="230"/>
      <c r="BD38" s="230"/>
      <c r="BE38" s="230"/>
      <c r="BF38" s="230"/>
      <c r="BG38" s="230"/>
      <c r="BH38" s="230"/>
      <c r="BI38" s="230"/>
      <c r="BJ38" s="231"/>
      <c r="BK38" s="17"/>
    </row>
    <row r="39" spans="1:63" s="18" customFormat="1" ht="15" customHeight="1" x14ac:dyDescent="0.25">
      <c r="A39" s="13"/>
      <c r="B39" s="20"/>
      <c r="C39" s="19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1"/>
      <c r="BI39" s="21"/>
      <c r="BJ39" s="21"/>
      <c r="BK39" s="17"/>
    </row>
    <row r="40" spans="1:63" s="18" customFormat="1" ht="15" customHeight="1" x14ac:dyDescent="0.25">
      <c r="A40" s="13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1"/>
      <c r="BI40" s="21"/>
      <c r="BJ40" s="21"/>
      <c r="BK40" s="17"/>
    </row>
    <row r="41" spans="1:63" s="18" customFormat="1" ht="15" customHeight="1" x14ac:dyDescent="0.25">
      <c r="A41" s="13"/>
      <c r="B41" s="14" t="s">
        <v>92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6"/>
      <c r="BI41" s="16"/>
      <c r="BJ41" s="16"/>
      <c r="BK41" s="17"/>
    </row>
    <row r="42" spans="1:63" s="18" customFormat="1" ht="15" customHeight="1" x14ac:dyDescent="0.25">
      <c r="A42" s="13"/>
      <c r="B42" s="19"/>
      <c r="C42" s="23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1"/>
      <c r="BI42" s="21"/>
      <c r="BJ42" s="21"/>
      <c r="BK42" s="17"/>
    </row>
    <row r="43" spans="1:63" s="18" customFormat="1" ht="15" customHeight="1" x14ac:dyDescent="0.25">
      <c r="A43" s="13"/>
      <c r="B43" s="19"/>
      <c r="C43" s="23" t="s">
        <v>93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1"/>
      <c r="BI43" s="21"/>
      <c r="BJ43" s="21"/>
      <c r="BK43" s="17"/>
    </row>
    <row r="44" spans="1:63" s="18" customFormat="1" ht="15" customHeight="1" x14ac:dyDescent="0.25">
      <c r="A44" s="13"/>
      <c r="B44" s="19"/>
      <c r="C44" s="23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1"/>
      <c r="BI44" s="21"/>
      <c r="BJ44" s="21"/>
      <c r="BK44" s="17"/>
    </row>
    <row r="45" spans="1:63" s="18" customFormat="1" ht="15" customHeight="1" x14ac:dyDescent="0.25">
      <c r="A45" s="13"/>
      <c r="B45" s="20"/>
      <c r="C45" s="176" t="s">
        <v>12</v>
      </c>
      <c r="D45" s="178"/>
      <c r="E45" s="204" t="s">
        <v>94</v>
      </c>
      <c r="F45" s="205"/>
      <c r="G45" s="205"/>
      <c r="H45" s="205"/>
      <c r="I45" s="205"/>
      <c r="J45" s="205"/>
      <c r="K45" s="206"/>
      <c r="L45" s="176" t="s">
        <v>17</v>
      </c>
      <c r="M45" s="177"/>
      <c r="N45" s="177"/>
      <c r="O45" s="177"/>
      <c r="P45" s="177"/>
      <c r="Q45" s="177"/>
      <c r="R45" s="178"/>
      <c r="S45" s="207" t="s">
        <v>84</v>
      </c>
      <c r="T45" s="208"/>
      <c r="U45" s="208"/>
      <c r="V45" s="208"/>
      <c r="W45" s="208"/>
      <c r="X45" s="208"/>
      <c r="Y45" s="208"/>
      <c r="Z45" s="208"/>
      <c r="AA45" s="208"/>
      <c r="AB45" s="209"/>
      <c r="AC45" s="176" t="s">
        <v>15</v>
      </c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177"/>
      <c r="AT45" s="177"/>
      <c r="AU45" s="178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1"/>
      <c r="BI45" s="21"/>
      <c r="BJ45" s="21"/>
      <c r="BK45" s="17"/>
    </row>
    <row r="46" spans="1:63" s="18" customFormat="1" ht="15" customHeight="1" x14ac:dyDescent="0.25">
      <c r="A46" s="13"/>
      <c r="B46" s="20"/>
      <c r="C46" s="182">
        <v>1</v>
      </c>
      <c r="D46" s="181"/>
      <c r="E46" s="182" t="s">
        <v>37</v>
      </c>
      <c r="F46" s="180"/>
      <c r="G46" s="180"/>
      <c r="H46" s="180"/>
      <c r="I46" s="180"/>
      <c r="J46" s="180"/>
      <c r="K46" s="181"/>
      <c r="L46" s="182" t="s">
        <v>20</v>
      </c>
      <c r="M46" s="180"/>
      <c r="N46" s="180"/>
      <c r="O46" s="180"/>
      <c r="P46" s="180"/>
      <c r="Q46" s="180"/>
      <c r="R46" s="181"/>
      <c r="S46" s="210" t="s">
        <v>39</v>
      </c>
      <c r="T46" s="211"/>
      <c r="U46" s="211"/>
      <c r="V46" s="211"/>
      <c r="W46" s="211"/>
      <c r="X46" s="211"/>
      <c r="Y46" s="211"/>
      <c r="Z46" s="211"/>
      <c r="AA46" s="211"/>
      <c r="AB46" s="212"/>
      <c r="AC46" s="179" t="s">
        <v>101</v>
      </c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1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1"/>
      <c r="BI46" s="21"/>
      <c r="BJ46" s="21"/>
      <c r="BK46" s="17"/>
    </row>
    <row r="47" spans="1:63" s="18" customFormat="1" ht="15" customHeight="1" x14ac:dyDescent="0.25">
      <c r="A47" s="13"/>
      <c r="B47" s="20"/>
      <c r="C47" s="182">
        <f>C46+1</f>
        <v>2</v>
      </c>
      <c r="D47" s="181"/>
      <c r="E47" s="182" t="s">
        <v>38</v>
      </c>
      <c r="F47" s="180"/>
      <c r="G47" s="180"/>
      <c r="H47" s="180"/>
      <c r="I47" s="180"/>
      <c r="J47" s="180"/>
      <c r="K47" s="181"/>
      <c r="L47" s="182" t="s">
        <v>20</v>
      </c>
      <c r="M47" s="180"/>
      <c r="N47" s="180"/>
      <c r="O47" s="180"/>
      <c r="P47" s="180"/>
      <c r="Q47" s="180"/>
      <c r="R47" s="181"/>
      <c r="S47" s="210" t="s">
        <v>40</v>
      </c>
      <c r="T47" s="211"/>
      <c r="U47" s="211"/>
      <c r="V47" s="211"/>
      <c r="W47" s="211"/>
      <c r="X47" s="211"/>
      <c r="Y47" s="211"/>
      <c r="Z47" s="211"/>
      <c r="AA47" s="211"/>
      <c r="AB47" s="212"/>
      <c r="AC47" s="182" t="s">
        <v>44</v>
      </c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80"/>
      <c r="AS47" s="180"/>
      <c r="AT47" s="180"/>
      <c r="AU47" s="181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1"/>
      <c r="BI47" s="21"/>
      <c r="BJ47" s="21"/>
      <c r="BK47" s="17"/>
    </row>
    <row r="48" spans="1:63" s="18" customFormat="1" ht="15" customHeight="1" x14ac:dyDescent="0.25">
      <c r="A48" s="13"/>
      <c r="B48" s="20"/>
      <c r="C48" s="182">
        <v>3</v>
      </c>
      <c r="D48" s="181"/>
      <c r="E48" s="182" t="s">
        <v>45</v>
      </c>
      <c r="F48" s="180"/>
      <c r="G48" s="180"/>
      <c r="H48" s="180"/>
      <c r="I48" s="180"/>
      <c r="J48" s="180"/>
      <c r="K48" s="181"/>
      <c r="L48" s="182" t="s">
        <v>46</v>
      </c>
      <c r="M48" s="180"/>
      <c r="N48" s="180"/>
      <c r="O48" s="180"/>
      <c r="P48" s="180"/>
      <c r="Q48" s="180"/>
      <c r="R48" s="181"/>
      <c r="S48" s="210" t="s">
        <v>47</v>
      </c>
      <c r="T48" s="211"/>
      <c r="U48" s="211"/>
      <c r="V48" s="211"/>
      <c r="W48" s="211"/>
      <c r="X48" s="211"/>
      <c r="Y48" s="211"/>
      <c r="Z48" s="211"/>
      <c r="AA48" s="211"/>
      <c r="AB48" s="212"/>
      <c r="AC48" s="182" t="s">
        <v>5</v>
      </c>
      <c r="AD48" s="180"/>
      <c r="AE48" s="180"/>
      <c r="AF48" s="180"/>
      <c r="AG48" s="180"/>
      <c r="AH48" s="180"/>
      <c r="AI48" s="180"/>
      <c r="AJ48" s="180"/>
      <c r="AK48" s="180"/>
      <c r="AL48" s="180"/>
      <c r="AM48" s="180"/>
      <c r="AN48" s="180"/>
      <c r="AO48" s="180"/>
      <c r="AP48" s="180"/>
      <c r="AQ48" s="180"/>
      <c r="AR48" s="180"/>
      <c r="AS48" s="180"/>
      <c r="AT48" s="180"/>
      <c r="AU48" s="181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1"/>
      <c r="BI48" s="21"/>
      <c r="BJ48" s="21"/>
      <c r="BK48" s="17"/>
    </row>
    <row r="49" spans="1:63" s="18" customFormat="1" ht="15" customHeight="1" x14ac:dyDescent="0.25">
      <c r="A49" s="13"/>
      <c r="B49" s="20"/>
      <c r="C49" s="182">
        <f t="shared" ref="C49:C59" si="1">C48+1</f>
        <v>4</v>
      </c>
      <c r="D49" s="181"/>
      <c r="E49" s="262" t="s">
        <v>41</v>
      </c>
      <c r="F49" s="263"/>
      <c r="G49" s="263"/>
      <c r="H49" s="263"/>
      <c r="I49" s="263"/>
      <c r="J49" s="263"/>
      <c r="K49" s="264"/>
      <c r="L49" s="182" t="s">
        <v>20</v>
      </c>
      <c r="M49" s="180"/>
      <c r="N49" s="180"/>
      <c r="O49" s="180"/>
      <c r="P49" s="180"/>
      <c r="Q49" s="180"/>
      <c r="R49" s="181"/>
      <c r="S49" s="210" t="s">
        <v>48</v>
      </c>
      <c r="T49" s="211"/>
      <c r="U49" s="211"/>
      <c r="V49" s="211"/>
      <c r="W49" s="211"/>
      <c r="X49" s="211"/>
      <c r="Y49" s="211"/>
      <c r="Z49" s="211"/>
      <c r="AA49" s="211"/>
      <c r="AB49" s="212"/>
      <c r="AC49" s="182" t="s">
        <v>5</v>
      </c>
      <c r="AD49" s="180"/>
      <c r="AE49" s="180"/>
      <c r="AF49" s="180"/>
      <c r="AG49" s="180"/>
      <c r="AH49" s="180"/>
      <c r="AI49" s="180"/>
      <c r="AJ49" s="180"/>
      <c r="AK49" s="180"/>
      <c r="AL49" s="180"/>
      <c r="AM49" s="180"/>
      <c r="AN49" s="180"/>
      <c r="AO49" s="180"/>
      <c r="AP49" s="180"/>
      <c r="AQ49" s="180"/>
      <c r="AR49" s="180"/>
      <c r="AS49" s="180"/>
      <c r="AT49" s="180"/>
      <c r="AU49" s="181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1"/>
      <c r="BI49" s="21"/>
      <c r="BJ49" s="21"/>
      <c r="BK49" s="17"/>
    </row>
    <row r="50" spans="1:63" s="18" customFormat="1" ht="15" customHeight="1" x14ac:dyDescent="0.25">
      <c r="A50" s="13"/>
      <c r="B50" s="20"/>
      <c r="C50" s="182">
        <f t="shared" si="1"/>
        <v>5</v>
      </c>
      <c r="D50" s="181"/>
      <c r="E50" s="262" t="s">
        <v>24</v>
      </c>
      <c r="F50" s="263"/>
      <c r="G50" s="263"/>
      <c r="H50" s="263"/>
      <c r="I50" s="263"/>
      <c r="J50" s="263"/>
      <c r="K50" s="264"/>
      <c r="L50" s="182" t="s">
        <v>20</v>
      </c>
      <c r="M50" s="180"/>
      <c r="N50" s="180"/>
      <c r="O50" s="180"/>
      <c r="P50" s="180"/>
      <c r="Q50" s="180"/>
      <c r="R50" s="181"/>
      <c r="S50" s="210" t="s">
        <v>49</v>
      </c>
      <c r="T50" s="211"/>
      <c r="U50" s="211"/>
      <c r="V50" s="211"/>
      <c r="W50" s="211"/>
      <c r="X50" s="211"/>
      <c r="Y50" s="211"/>
      <c r="Z50" s="211"/>
      <c r="AA50" s="211"/>
      <c r="AB50" s="212"/>
      <c r="AC50" s="182" t="s">
        <v>5</v>
      </c>
      <c r="AD50" s="180"/>
      <c r="AE50" s="180"/>
      <c r="AF50" s="180"/>
      <c r="AG50" s="180"/>
      <c r="AH50" s="180"/>
      <c r="AI50" s="180"/>
      <c r="AJ50" s="180"/>
      <c r="AK50" s="180"/>
      <c r="AL50" s="180"/>
      <c r="AM50" s="180"/>
      <c r="AN50" s="180"/>
      <c r="AO50" s="180"/>
      <c r="AP50" s="180"/>
      <c r="AQ50" s="180"/>
      <c r="AR50" s="180"/>
      <c r="AS50" s="180"/>
      <c r="AT50" s="180"/>
      <c r="AU50" s="181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1"/>
      <c r="BI50" s="21"/>
      <c r="BJ50" s="21"/>
      <c r="BK50" s="17"/>
    </row>
    <row r="51" spans="1:63" s="18" customFormat="1" ht="86.25" customHeight="1" x14ac:dyDescent="0.25">
      <c r="A51" s="13"/>
      <c r="B51" s="20"/>
      <c r="C51" s="182">
        <f t="shared" si="1"/>
        <v>6</v>
      </c>
      <c r="D51" s="181"/>
      <c r="E51" s="262" t="s">
        <v>42</v>
      </c>
      <c r="F51" s="263"/>
      <c r="G51" s="263"/>
      <c r="H51" s="263"/>
      <c r="I51" s="263"/>
      <c r="J51" s="263"/>
      <c r="K51" s="264"/>
      <c r="L51" s="182" t="s">
        <v>20</v>
      </c>
      <c r="M51" s="180"/>
      <c r="N51" s="180"/>
      <c r="O51" s="180"/>
      <c r="P51" s="180"/>
      <c r="Q51" s="180"/>
      <c r="R51" s="181"/>
      <c r="S51" s="210" t="s">
        <v>50</v>
      </c>
      <c r="T51" s="211"/>
      <c r="U51" s="211"/>
      <c r="V51" s="211"/>
      <c r="W51" s="211"/>
      <c r="X51" s="211"/>
      <c r="Y51" s="211"/>
      <c r="Z51" s="211"/>
      <c r="AA51" s="211"/>
      <c r="AB51" s="212"/>
      <c r="AC51" s="265" t="s">
        <v>95</v>
      </c>
      <c r="AD51" s="266"/>
      <c r="AE51" s="266"/>
      <c r="AF51" s="266"/>
      <c r="AG51" s="266"/>
      <c r="AH51" s="266"/>
      <c r="AI51" s="266"/>
      <c r="AJ51" s="266"/>
      <c r="AK51" s="266"/>
      <c r="AL51" s="266"/>
      <c r="AM51" s="266"/>
      <c r="AN51" s="266"/>
      <c r="AO51" s="266"/>
      <c r="AP51" s="266"/>
      <c r="AQ51" s="266"/>
      <c r="AR51" s="266"/>
      <c r="AS51" s="266"/>
      <c r="AT51" s="266"/>
      <c r="AU51" s="267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1"/>
      <c r="BI51" s="21"/>
      <c r="BJ51" s="21"/>
      <c r="BK51" s="17"/>
    </row>
    <row r="52" spans="1:63" s="18" customFormat="1" ht="15" customHeight="1" x14ac:dyDescent="0.25">
      <c r="A52" s="13"/>
      <c r="B52" s="20"/>
      <c r="C52" s="182">
        <f t="shared" si="1"/>
        <v>7</v>
      </c>
      <c r="D52" s="181"/>
      <c r="E52" s="262" t="s">
        <v>43</v>
      </c>
      <c r="F52" s="263"/>
      <c r="G52" s="263"/>
      <c r="H52" s="263"/>
      <c r="I52" s="263"/>
      <c r="J52" s="263"/>
      <c r="K52" s="264"/>
      <c r="L52" s="182" t="s">
        <v>20</v>
      </c>
      <c r="M52" s="180"/>
      <c r="N52" s="180"/>
      <c r="O52" s="180"/>
      <c r="P52" s="180"/>
      <c r="Q52" s="180"/>
      <c r="R52" s="181"/>
      <c r="S52" s="210" t="s">
        <v>51</v>
      </c>
      <c r="T52" s="211"/>
      <c r="U52" s="211"/>
      <c r="V52" s="211"/>
      <c r="W52" s="211"/>
      <c r="X52" s="211"/>
      <c r="Y52" s="211"/>
      <c r="Z52" s="211"/>
      <c r="AA52" s="211"/>
      <c r="AB52" s="212"/>
      <c r="AC52" s="182" t="s">
        <v>5</v>
      </c>
      <c r="AD52" s="180"/>
      <c r="AE52" s="180"/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  <c r="AR52" s="180"/>
      <c r="AS52" s="180"/>
      <c r="AT52" s="180"/>
      <c r="AU52" s="181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1"/>
      <c r="BI52" s="21"/>
      <c r="BJ52" s="21"/>
      <c r="BK52" s="17"/>
    </row>
    <row r="53" spans="1:63" s="18" customFormat="1" ht="33.75" customHeight="1" x14ac:dyDescent="0.25">
      <c r="A53" s="13"/>
      <c r="B53" s="20"/>
      <c r="C53" s="182">
        <f t="shared" si="1"/>
        <v>8</v>
      </c>
      <c r="D53" s="181"/>
      <c r="E53" s="262" t="s">
        <v>32</v>
      </c>
      <c r="F53" s="263"/>
      <c r="G53" s="263"/>
      <c r="H53" s="263"/>
      <c r="I53" s="263"/>
      <c r="J53" s="263"/>
      <c r="K53" s="264"/>
      <c r="L53" s="182" t="s">
        <v>20</v>
      </c>
      <c r="M53" s="180"/>
      <c r="N53" s="180"/>
      <c r="O53" s="180"/>
      <c r="P53" s="180"/>
      <c r="Q53" s="180"/>
      <c r="R53" s="181"/>
      <c r="S53" s="283" t="s">
        <v>111</v>
      </c>
      <c r="T53" s="211"/>
      <c r="U53" s="211"/>
      <c r="V53" s="211"/>
      <c r="W53" s="211"/>
      <c r="X53" s="211"/>
      <c r="Y53" s="211"/>
      <c r="Z53" s="211"/>
      <c r="AA53" s="211"/>
      <c r="AB53" s="212"/>
      <c r="AC53" s="282" t="s">
        <v>108</v>
      </c>
      <c r="AD53" s="180"/>
      <c r="AE53" s="180"/>
      <c r="AF53" s="180"/>
      <c r="AG53" s="180"/>
      <c r="AH53" s="180"/>
      <c r="AI53" s="180"/>
      <c r="AJ53" s="180"/>
      <c r="AK53" s="180"/>
      <c r="AL53" s="180"/>
      <c r="AM53" s="180"/>
      <c r="AN53" s="180"/>
      <c r="AO53" s="180"/>
      <c r="AP53" s="180"/>
      <c r="AQ53" s="180"/>
      <c r="AR53" s="180"/>
      <c r="AS53" s="180"/>
      <c r="AT53" s="180"/>
      <c r="AU53" s="181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1"/>
      <c r="BI53" s="21"/>
      <c r="BJ53" s="21"/>
      <c r="BK53" s="17"/>
    </row>
    <row r="54" spans="1:63" s="18" customFormat="1" ht="33" customHeight="1" x14ac:dyDescent="0.25">
      <c r="A54" s="13"/>
      <c r="B54" s="20"/>
      <c r="C54" s="275">
        <f t="shared" si="1"/>
        <v>9</v>
      </c>
      <c r="D54" s="276"/>
      <c r="E54" s="277" t="s">
        <v>102</v>
      </c>
      <c r="F54" s="278"/>
      <c r="G54" s="278"/>
      <c r="H54" s="278"/>
      <c r="I54" s="278"/>
      <c r="J54" s="278"/>
      <c r="K54" s="279"/>
      <c r="L54" s="182" t="s">
        <v>103</v>
      </c>
      <c r="M54" s="180"/>
      <c r="N54" s="180"/>
      <c r="O54" s="180"/>
      <c r="P54" s="180"/>
      <c r="Q54" s="180"/>
      <c r="R54" s="181"/>
      <c r="S54" s="210" t="s">
        <v>110</v>
      </c>
      <c r="T54" s="211"/>
      <c r="U54" s="211"/>
      <c r="V54" s="211"/>
      <c r="W54" s="211"/>
      <c r="X54" s="211"/>
      <c r="Y54" s="211"/>
      <c r="Z54" s="211"/>
      <c r="AA54" s="211"/>
      <c r="AB54" s="212"/>
      <c r="AC54" s="280" t="s">
        <v>109</v>
      </c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81"/>
      <c r="AO54" s="281"/>
      <c r="AP54" s="281"/>
      <c r="AQ54" s="281"/>
      <c r="AR54" s="281"/>
      <c r="AS54" s="281"/>
      <c r="AT54" s="281"/>
      <c r="AU54" s="276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1"/>
      <c r="BI54" s="21"/>
      <c r="BJ54" s="21"/>
      <c r="BK54" s="17"/>
    </row>
    <row r="55" spans="1:63" s="18" customFormat="1" ht="15" customHeight="1" x14ac:dyDescent="0.25">
      <c r="A55" s="13"/>
      <c r="B55" s="20"/>
      <c r="C55" s="275">
        <f t="shared" si="1"/>
        <v>10</v>
      </c>
      <c r="D55" s="276"/>
      <c r="E55" s="277" t="s">
        <v>104</v>
      </c>
      <c r="F55" s="278"/>
      <c r="G55" s="278"/>
      <c r="H55" s="278"/>
      <c r="I55" s="278"/>
      <c r="J55" s="278"/>
      <c r="K55" s="279"/>
      <c r="L55" s="182" t="s">
        <v>103</v>
      </c>
      <c r="M55" s="180"/>
      <c r="N55" s="180"/>
      <c r="O55" s="180"/>
      <c r="P55" s="180"/>
      <c r="Q55" s="180"/>
      <c r="R55" s="181"/>
      <c r="S55" s="210" t="s">
        <v>112</v>
      </c>
      <c r="T55" s="211"/>
      <c r="U55" s="211"/>
      <c r="V55" s="211"/>
      <c r="W55" s="211"/>
      <c r="X55" s="211"/>
      <c r="Y55" s="211"/>
      <c r="Z55" s="211"/>
      <c r="AA55" s="211"/>
      <c r="AB55" s="212"/>
      <c r="AC55" s="275" t="s">
        <v>105</v>
      </c>
      <c r="AD55" s="281"/>
      <c r="AE55" s="281"/>
      <c r="AF55" s="281"/>
      <c r="AG55" s="281"/>
      <c r="AH55" s="281"/>
      <c r="AI55" s="281"/>
      <c r="AJ55" s="281"/>
      <c r="AK55" s="281"/>
      <c r="AL55" s="281"/>
      <c r="AM55" s="281"/>
      <c r="AN55" s="281"/>
      <c r="AO55" s="281"/>
      <c r="AP55" s="281"/>
      <c r="AQ55" s="281"/>
      <c r="AR55" s="281"/>
      <c r="AS55" s="281"/>
      <c r="AT55" s="281"/>
      <c r="AU55" s="276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3" s="18" customFormat="1" x14ac:dyDescent="0.25">
      <c r="A56" s="13"/>
      <c r="B56" s="20"/>
      <c r="C56" s="275">
        <f t="shared" si="1"/>
        <v>11</v>
      </c>
      <c r="D56" s="276"/>
      <c r="E56" s="277" t="s">
        <v>106</v>
      </c>
      <c r="F56" s="278"/>
      <c r="G56" s="278"/>
      <c r="H56" s="278"/>
      <c r="I56" s="278"/>
      <c r="J56" s="278"/>
      <c r="K56" s="279"/>
      <c r="L56" s="182" t="s">
        <v>103</v>
      </c>
      <c r="M56" s="180"/>
      <c r="N56" s="180"/>
      <c r="O56" s="180"/>
      <c r="P56" s="180"/>
      <c r="Q56" s="180"/>
      <c r="R56" s="181"/>
      <c r="S56" s="210" t="s">
        <v>113</v>
      </c>
      <c r="T56" s="211"/>
      <c r="U56" s="211"/>
      <c r="V56" s="211"/>
      <c r="W56" s="211"/>
      <c r="X56" s="211"/>
      <c r="Y56" s="211"/>
      <c r="Z56" s="211"/>
      <c r="AA56" s="211"/>
      <c r="AB56" s="212"/>
      <c r="AC56" s="275" t="s">
        <v>107</v>
      </c>
      <c r="AD56" s="281"/>
      <c r="AE56" s="281"/>
      <c r="AF56" s="281"/>
      <c r="AG56" s="281"/>
      <c r="AH56" s="281"/>
      <c r="AI56" s="281"/>
      <c r="AJ56" s="281"/>
      <c r="AK56" s="281"/>
      <c r="AL56" s="281"/>
      <c r="AM56" s="281"/>
      <c r="AN56" s="281"/>
      <c r="AO56" s="281"/>
      <c r="AP56" s="281"/>
      <c r="AQ56" s="281"/>
      <c r="AR56" s="281"/>
      <c r="AS56" s="281"/>
      <c r="AT56" s="281"/>
      <c r="AU56" s="276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1"/>
      <c r="BI56" s="21"/>
      <c r="BJ56" s="21"/>
      <c r="BK56" s="17"/>
    </row>
    <row r="57" spans="1:63" s="18" customFormat="1" ht="33" customHeight="1" x14ac:dyDescent="0.25">
      <c r="A57" s="13"/>
      <c r="B57" s="20"/>
      <c r="C57" s="275">
        <f t="shared" si="1"/>
        <v>12</v>
      </c>
      <c r="D57" s="276"/>
      <c r="E57" s="262" t="s">
        <v>57</v>
      </c>
      <c r="F57" s="263"/>
      <c r="G57" s="263"/>
      <c r="H57" s="263"/>
      <c r="I57" s="263"/>
      <c r="J57" s="263"/>
      <c r="K57" s="264"/>
      <c r="L57" s="182" t="s">
        <v>21</v>
      </c>
      <c r="M57" s="180"/>
      <c r="N57" s="180"/>
      <c r="O57" s="180"/>
      <c r="P57" s="180"/>
      <c r="Q57" s="180"/>
      <c r="R57" s="181"/>
      <c r="S57" s="272" t="s">
        <v>58</v>
      </c>
      <c r="T57" s="273"/>
      <c r="U57" s="273"/>
      <c r="V57" s="273"/>
      <c r="W57" s="273"/>
      <c r="X57" s="273"/>
      <c r="Y57" s="273"/>
      <c r="Z57" s="273"/>
      <c r="AA57" s="273"/>
      <c r="AB57" s="274"/>
      <c r="AC57" s="182" t="s">
        <v>5</v>
      </c>
      <c r="AD57" s="180"/>
      <c r="AE57" s="180"/>
      <c r="AF57" s="180"/>
      <c r="AG57" s="180"/>
      <c r="AH57" s="180"/>
      <c r="AI57" s="180"/>
      <c r="AJ57" s="180"/>
      <c r="AK57" s="180"/>
      <c r="AL57" s="180"/>
      <c r="AM57" s="180"/>
      <c r="AN57" s="180"/>
      <c r="AO57" s="180"/>
      <c r="AP57" s="180"/>
      <c r="AQ57" s="180"/>
      <c r="AR57" s="180"/>
      <c r="AS57" s="180"/>
      <c r="AT57" s="180"/>
      <c r="AU57" s="181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 x14ac:dyDescent="0.25">
      <c r="A58" s="13"/>
      <c r="B58" s="20"/>
      <c r="C58" s="275">
        <f t="shared" si="1"/>
        <v>13</v>
      </c>
      <c r="D58" s="276"/>
      <c r="E58" s="268" t="s">
        <v>23</v>
      </c>
      <c r="F58" s="269"/>
      <c r="G58" s="269"/>
      <c r="H58" s="269"/>
      <c r="I58" s="269"/>
      <c r="J58" s="269"/>
      <c r="K58" s="270"/>
      <c r="L58" s="182" t="s">
        <v>20</v>
      </c>
      <c r="M58" s="180"/>
      <c r="N58" s="180"/>
      <c r="O58" s="180"/>
      <c r="P58" s="180"/>
      <c r="Q58" s="180"/>
      <c r="R58" s="181"/>
      <c r="S58" s="210" t="s">
        <v>52</v>
      </c>
      <c r="T58" s="211"/>
      <c r="U58" s="211"/>
      <c r="V58" s="211"/>
      <c r="W58" s="211"/>
      <c r="X58" s="211"/>
      <c r="Y58" s="211"/>
      <c r="Z58" s="211"/>
      <c r="AA58" s="211"/>
      <c r="AB58" s="212"/>
      <c r="AC58" s="182" t="s">
        <v>96</v>
      </c>
      <c r="AD58" s="180"/>
      <c r="AE58" s="180"/>
      <c r="AF58" s="180"/>
      <c r="AG58" s="180"/>
      <c r="AH58" s="180"/>
      <c r="AI58" s="180"/>
      <c r="AJ58" s="180"/>
      <c r="AK58" s="180"/>
      <c r="AL58" s="180"/>
      <c r="AM58" s="180"/>
      <c r="AN58" s="180"/>
      <c r="AO58" s="180"/>
      <c r="AP58" s="180"/>
      <c r="AQ58" s="180"/>
      <c r="AR58" s="180"/>
      <c r="AS58" s="180"/>
      <c r="AT58" s="180"/>
      <c r="AU58" s="181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 x14ac:dyDescent="0.25">
      <c r="A59" s="13"/>
      <c r="B59" s="20"/>
      <c r="C59" s="275">
        <f t="shared" si="1"/>
        <v>14</v>
      </c>
      <c r="D59" s="276"/>
      <c r="E59" s="268" t="s">
        <v>53</v>
      </c>
      <c r="F59" s="269"/>
      <c r="G59" s="269"/>
      <c r="H59" s="269"/>
      <c r="I59" s="269"/>
      <c r="J59" s="269"/>
      <c r="K59" s="270"/>
      <c r="L59" s="182" t="s">
        <v>20</v>
      </c>
      <c r="M59" s="180"/>
      <c r="N59" s="180"/>
      <c r="O59" s="180"/>
      <c r="P59" s="180"/>
      <c r="Q59" s="180"/>
      <c r="R59" s="181"/>
      <c r="S59" s="210" t="s">
        <v>54</v>
      </c>
      <c r="T59" s="211"/>
      <c r="U59" s="211"/>
      <c r="V59" s="211"/>
      <c r="W59" s="211"/>
      <c r="X59" s="211"/>
      <c r="Y59" s="211"/>
      <c r="Z59" s="211"/>
      <c r="AA59" s="211"/>
      <c r="AB59" s="212"/>
      <c r="AC59" s="182" t="s">
        <v>55</v>
      </c>
      <c r="AD59" s="180"/>
      <c r="AE59" s="180"/>
      <c r="AF59" s="180"/>
      <c r="AG59" s="180"/>
      <c r="AH59" s="180"/>
      <c r="AI59" s="180"/>
      <c r="AJ59" s="180"/>
      <c r="AK59" s="180"/>
      <c r="AL59" s="180"/>
      <c r="AM59" s="180"/>
      <c r="AN59" s="180"/>
      <c r="AO59" s="180"/>
      <c r="AP59" s="180"/>
      <c r="AQ59" s="180"/>
      <c r="AR59" s="180"/>
      <c r="AS59" s="180"/>
      <c r="AT59" s="180"/>
      <c r="AU59" s="181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 x14ac:dyDescent="0.25">
      <c r="A60" s="13"/>
      <c r="B60" s="20"/>
      <c r="C60" s="20"/>
      <c r="D60" s="20"/>
      <c r="E60" s="74"/>
      <c r="F60" s="74"/>
      <c r="G60" s="74"/>
      <c r="H60" s="74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74"/>
      <c r="T60" s="74"/>
      <c r="U60" s="74"/>
      <c r="V60" s="74"/>
      <c r="W60" s="74"/>
      <c r="X60" s="74"/>
      <c r="Y60" s="74"/>
      <c r="Z60" s="74"/>
      <c r="AA60" s="74"/>
      <c r="AB60" s="20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18" customFormat="1" ht="15" customHeight="1" x14ac:dyDescent="0.25">
      <c r="A61" s="13"/>
      <c r="B61" s="20"/>
      <c r="C61" s="23" t="s">
        <v>97</v>
      </c>
      <c r="D61" s="20"/>
      <c r="E61" s="74"/>
      <c r="F61" s="20"/>
      <c r="G61" s="74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3" s="18" customFormat="1" ht="15" customHeight="1" x14ac:dyDescent="0.25">
      <c r="A62" s="13"/>
      <c r="B62" s="20"/>
      <c r="C62" s="23"/>
      <c r="D62" s="74"/>
      <c r="E62" s="74"/>
      <c r="F62" s="20"/>
      <c r="G62" s="74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 x14ac:dyDescent="0.25">
      <c r="A63" s="13"/>
      <c r="B63" s="20"/>
      <c r="C63" s="75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24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18" customFormat="1" ht="15" customHeight="1" x14ac:dyDescent="0.25">
      <c r="A64" s="13"/>
      <c r="B64" s="20"/>
      <c r="C64" s="76"/>
      <c r="D64" s="20" t="s">
        <v>25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5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1"/>
      <c r="BI64" s="21"/>
      <c r="BJ64" s="21"/>
      <c r="BK64" s="17"/>
    </row>
    <row r="65" spans="1:63" s="18" customFormat="1" ht="70.5" customHeight="1" x14ac:dyDescent="0.25">
      <c r="A65" s="13"/>
      <c r="B65" s="20"/>
      <c r="C65" s="76"/>
      <c r="D65" s="20"/>
      <c r="E65" s="271" t="s">
        <v>114</v>
      </c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  <c r="AM65" s="271"/>
      <c r="AN65" s="271"/>
      <c r="AO65" s="271"/>
      <c r="AP65" s="271"/>
      <c r="AQ65" s="271"/>
      <c r="AR65" s="271"/>
      <c r="AS65" s="271"/>
      <c r="AT65" s="20"/>
      <c r="AU65" s="25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1"/>
      <c r="BI65" s="21"/>
      <c r="BJ65" s="21"/>
      <c r="BK65" s="17"/>
    </row>
    <row r="66" spans="1:63" s="18" customFormat="1" ht="15" customHeight="1" x14ac:dyDescent="0.25">
      <c r="A66" s="13"/>
      <c r="B66" s="20"/>
      <c r="C66" s="76"/>
      <c r="D66" s="20"/>
      <c r="E66" s="20" t="s">
        <v>115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5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1"/>
      <c r="BI66" s="21"/>
      <c r="BJ66" s="21"/>
      <c r="BK66" s="17"/>
    </row>
    <row r="67" spans="1:63" s="48" customFormat="1" ht="15" customHeight="1" x14ac:dyDescent="0.25">
      <c r="A67" s="42"/>
      <c r="B67" s="43"/>
      <c r="C67" s="44"/>
      <c r="D67" s="43"/>
      <c r="E67" s="20" t="s">
        <v>116</v>
      </c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5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6"/>
      <c r="BI67" s="46"/>
      <c r="BJ67" s="46"/>
      <c r="BK67" s="47"/>
    </row>
    <row r="68" spans="1:63" s="48" customFormat="1" ht="15" customHeight="1" x14ac:dyDescent="0.25">
      <c r="A68" s="42"/>
      <c r="B68" s="43"/>
      <c r="C68" s="44"/>
      <c r="D68" s="43"/>
      <c r="E68" s="43"/>
      <c r="F68" s="43" t="s">
        <v>117</v>
      </c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5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6"/>
      <c r="BI68" s="46"/>
      <c r="BJ68" s="46"/>
      <c r="BK68" s="47"/>
    </row>
    <row r="69" spans="1:63" s="48" customFormat="1" ht="15" customHeight="1" x14ac:dyDescent="0.25">
      <c r="A69" s="42"/>
      <c r="B69" s="43"/>
      <c r="C69" s="44"/>
      <c r="D69" s="43"/>
      <c r="E69" s="43"/>
      <c r="F69" s="43" t="s">
        <v>118</v>
      </c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5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6"/>
      <c r="BI69" s="46"/>
      <c r="BJ69" s="46"/>
      <c r="BK69" s="47"/>
    </row>
    <row r="70" spans="1:63" s="48" customFormat="1" ht="15" customHeight="1" x14ac:dyDescent="0.25">
      <c r="A70" s="42"/>
      <c r="B70" s="43"/>
      <c r="C70" s="44"/>
      <c r="D70" s="43"/>
      <c r="E70" s="43"/>
      <c r="F70" s="43" t="s">
        <v>119</v>
      </c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5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6"/>
      <c r="BI70" s="46"/>
      <c r="BJ70" s="46"/>
      <c r="BK70" s="47"/>
    </row>
    <row r="71" spans="1:63" s="48" customFormat="1" ht="15" customHeight="1" x14ac:dyDescent="0.25">
      <c r="A71" s="42"/>
      <c r="B71" s="43"/>
      <c r="C71" s="44"/>
      <c r="D71" s="43"/>
      <c r="E71" s="43"/>
      <c r="F71" s="43" t="s">
        <v>120</v>
      </c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5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6"/>
      <c r="BI71" s="46"/>
      <c r="BJ71" s="46"/>
      <c r="BK71" s="47"/>
    </row>
    <row r="72" spans="1:63" s="48" customFormat="1" ht="14.25" customHeight="1" x14ac:dyDescent="0.25">
      <c r="A72" s="42"/>
      <c r="B72" s="43"/>
      <c r="C72" s="44"/>
      <c r="D72" s="43"/>
      <c r="E72" s="43"/>
      <c r="F72" s="43" t="s">
        <v>121</v>
      </c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5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6"/>
      <c r="BI72" s="46"/>
      <c r="BJ72" s="46"/>
      <c r="BK72" s="47"/>
    </row>
    <row r="73" spans="1:63" s="48" customFormat="1" ht="14.25" customHeight="1" x14ac:dyDescent="0.25">
      <c r="A73" s="42"/>
      <c r="B73" s="43"/>
      <c r="C73" s="44"/>
      <c r="D73" s="43"/>
      <c r="E73" s="43"/>
      <c r="F73" s="43" t="s">
        <v>122</v>
      </c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5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6"/>
      <c r="BI73" s="46"/>
      <c r="BJ73" s="46"/>
      <c r="BK73" s="47"/>
    </row>
    <row r="74" spans="1:63" s="48" customFormat="1" ht="14.25" customHeight="1" x14ac:dyDescent="0.25">
      <c r="A74" s="42"/>
      <c r="B74" s="43"/>
      <c r="C74" s="44"/>
      <c r="D74" s="43"/>
      <c r="E74" s="43"/>
      <c r="F74" s="43" t="s">
        <v>123</v>
      </c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5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6"/>
      <c r="BI74" s="46"/>
      <c r="BJ74" s="46"/>
      <c r="BK74" s="47"/>
    </row>
    <row r="75" spans="1:63" s="48" customFormat="1" ht="15" customHeight="1" x14ac:dyDescent="0.25">
      <c r="A75" s="42"/>
      <c r="B75" s="43"/>
      <c r="C75" s="44"/>
      <c r="D75" s="43"/>
      <c r="E75" s="43"/>
      <c r="F75" s="43" t="s">
        <v>124</v>
      </c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5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6"/>
      <c r="BI75" s="46"/>
      <c r="BJ75" s="46"/>
      <c r="BK75" s="47"/>
    </row>
    <row r="76" spans="1:63" s="18" customFormat="1" ht="15" customHeight="1" x14ac:dyDescent="0.25">
      <c r="A76" s="13"/>
      <c r="B76" s="20"/>
      <c r="C76" s="76"/>
      <c r="D76" s="20"/>
      <c r="E76" s="20"/>
      <c r="F76" s="20" t="s">
        <v>125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5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3" s="48" customFormat="1" ht="15" customHeight="1" x14ac:dyDescent="0.25">
      <c r="A77" s="42"/>
      <c r="B77" s="43"/>
      <c r="C77" s="44"/>
      <c r="D77" s="43"/>
      <c r="E77" s="43"/>
      <c r="F77" s="43"/>
      <c r="G77" s="43" t="s">
        <v>25</v>
      </c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5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6"/>
      <c r="BI77" s="46"/>
      <c r="BJ77" s="46"/>
      <c r="BK77" s="47"/>
    </row>
    <row r="78" spans="1:63" s="48" customFormat="1" ht="15" customHeight="1" x14ac:dyDescent="0.25">
      <c r="A78" s="42"/>
      <c r="B78" s="43"/>
      <c r="C78" s="44"/>
      <c r="D78" s="43"/>
      <c r="E78" s="43"/>
      <c r="F78" s="43"/>
      <c r="G78" s="43"/>
      <c r="H78" s="43" t="s">
        <v>126</v>
      </c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5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6"/>
      <c r="BI78" s="46"/>
      <c r="BJ78" s="46"/>
      <c r="BK78" s="47"/>
    </row>
    <row r="79" spans="1:63" s="48" customFormat="1" ht="15" customHeight="1" x14ac:dyDescent="0.25">
      <c r="A79" s="42"/>
      <c r="B79" s="43"/>
      <c r="C79" s="44"/>
      <c r="D79" s="43"/>
      <c r="E79" s="43"/>
      <c r="F79" s="43"/>
      <c r="G79" s="43"/>
      <c r="H79" s="43" t="s">
        <v>127</v>
      </c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5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6"/>
      <c r="BI79" s="46"/>
      <c r="BJ79" s="46"/>
      <c r="BK79" s="47"/>
    </row>
    <row r="80" spans="1:63" s="48" customFormat="1" ht="15" customHeight="1" x14ac:dyDescent="0.25">
      <c r="A80" s="42"/>
      <c r="B80" s="43"/>
      <c r="C80" s="44"/>
      <c r="D80" s="43"/>
      <c r="E80" s="43"/>
      <c r="F80" s="43"/>
      <c r="G80" s="43" t="s">
        <v>26</v>
      </c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5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6"/>
      <c r="BI80" s="46"/>
      <c r="BJ80" s="46"/>
      <c r="BK80" s="47"/>
    </row>
    <row r="81" spans="1:63" s="18" customFormat="1" ht="15" customHeight="1" x14ac:dyDescent="0.25">
      <c r="A81" s="13"/>
      <c r="B81" s="20"/>
      <c r="C81" s="76"/>
      <c r="D81" s="20"/>
      <c r="E81" s="20"/>
      <c r="F81" s="20" t="s">
        <v>27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5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1"/>
      <c r="BI81" s="21"/>
      <c r="BJ81" s="21"/>
      <c r="BK81" s="17"/>
    </row>
    <row r="82" spans="1:63" s="18" customFormat="1" ht="15" customHeight="1" x14ac:dyDescent="0.25">
      <c r="A82" s="13"/>
      <c r="B82" s="20"/>
      <c r="C82" s="76"/>
      <c r="D82" s="20" t="s">
        <v>26</v>
      </c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5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1"/>
      <c r="BI82" s="21"/>
      <c r="BJ82" s="21"/>
      <c r="BK82" s="17"/>
    </row>
    <row r="83" spans="1:63" s="18" customFormat="1" ht="15" customHeight="1" x14ac:dyDescent="0.25">
      <c r="A83" s="13"/>
      <c r="B83" s="20"/>
      <c r="C83" s="78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26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1"/>
      <c r="BI83" s="21"/>
      <c r="BJ83" s="21"/>
      <c r="BK83" s="17"/>
    </row>
    <row r="84" spans="1:63" s="18" customFormat="1" ht="15" customHeight="1" x14ac:dyDescent="0.25">
      <c r="A84" s="13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1"/>
      <c r="BI84" s="21"/>
      <c r="BJ84" s="21"/>
      <c r="BK84" s="17"/>
    </row>
    <row r="85" spans="1:63" s="18" customFormat="1" ht="15" customHeight="1" x14ac:dyDescent="0.25">
      <c r="A85" s="13"/>
      <c r="B85" s="20"/>
      <c r="C85" s="19" t="s">
        <v>98</v>
      </c>
      <c r="D85" s="20"/>
      <c r="E85" s="74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1"/>
      <c r="BI85" s="21"/>
      <c r="BJ85" s="21"/>
      <c r="BK85" s="17"/>
    </row>
    <row r="86" spans="1:63" s="18" customFormat="1" ht="15" customHeight="1" x14ac:dyDescent="0.25">
      <c r="A86" s="13"/>
      <c r="B86" s="20"/>
      <c r="C86" s="19"/>
      <c r="D86" s="20"/>
      <c r="E86" s="74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1"/>
      <c r="BI86" s="21"/>
      <c r="BJ86" s="21"/>
      <c r="BK86" s="17"/>
    </row>
    <row r="87" spans="1:63" s="18" customFormat="1" ht="15" customHeight="1" x14ac:dyDescent="0.25">
      <c r="A87" s="13"/>
      <c r="B87" s="20"/>
      <c r="C87" s="20" t="s">
        <v>56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1"/>
      <c r="BI87" s="21"/>
      <c r="BJ87" s="21"/>
      <c r="BK87" s="17"/>
    </row>
    <row r="88" spans="1:63" s="39" customFormat="1" ht="15" customHeight="1" x14ac:dyDescent="0.25">
      <c r="A88" s="34"/>
      <c r="B88" s="35"/>
      <c r="C88" s="35"/>
      <c r="D88" s="35"/>
      <c r="E88" s="36"/>
      <c r="F88" s="36"/>
      <c r="G88" s="36"/>
      <c r="H88" s="36"/>
      <c r="I88" s="36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7"/>
      <c r="BI88" s="37"/>
      <c r="BJ88" s="37"/>
      <c r="BK88" s="38"/>
    </row>
  </sheetData>
  <mergeCells count="167">
    <mergeCell ref="C56:D56"/>
    <mergeCell ref="E56:K56"/>
    <mergeCell ref="L56:R56"/>
    <mergeCell ref="S56:AB56"/>
    <mergeCell ref="AC56:AU56"/>
    <mergeCell ref="E65:AS65"/>
    <mergeCell ref="C54:D54"/>
    <mergeCell ref="E54:K54"/>
    <mergeCell ref="L54:R54"/>
    <mergeCell ref="S54:AB54"/>
    <mergeCell ref="AC54:AU54"/>
    <mergeCell ref="C55:D55"/>
    <mergeCell ref="E55:K55"/>
    <mergeCell ref="L55:R55"/>
    <mergeCell ref="S55:AB55"/>
    <mergeCell ref="AC55:AU55"/>
    <mergeCell ref="C59:D59"/>
    <mergeCell ref="E59:K59"/>
    <mergeCell ref="L59:R59"/>
    <mergeCell ref="S59:AB59"/>
    <mergeCell ref="AC59:AU59"/>
    <mergeCell ref="C57:D57"/>
    <mergeCell ref="E57:K57"/>
    <mergeCell ref="L57:R57"/>
    <mergeCell ref="S57:AB57"/>
    <mergeCell ref="AC57:AU57"/>
    <mergeCell ref="C58:D58"/>
    <mergeCell ref="E58:K58"/>
    <mergeCell ref="L58:R58"/>
    <mergeCell ref="S58:AB58"/>
    <mergeCell ref="AC58:AU58"/>
    <mergeCell ref="C52:D52"/>
    <mergeCell ref="E52:K52"/>
    <mergeCell ref="L52:R52"/>
    <mergeCell ref="S52:AB52"/>
    <mergeCell ref="AC52:AU52"/>
    <mergeCell ref="C53:D53"/>
    <mergeCell ref="E53:K53"/>
    <mergeCell ref="L53:R53"/>
    <mergeCell ref="S53:AB53"/>
    <mergeCell ref="AC53:AU53"/>
    <mergeCell ref="C50:D50"/>
    <mergeCell ref="E50:K50"/>
    <mergeCell ref="L50:R50"/>
    <mergeCell ref="S50:AB50"/>
    <mergeCell ref="AC50:AU50"/>
    <mergeCell ref="C51:D51"/>
    <mergeCell ref="E51:K51"/>
    <mergeCell ref="L51:R51"/>
    <mergeCell ref="S51:AB51"/>
    <mergeCell ref="AC51:AU51"/>
    <mergeCell ref="C48:D48"/>
    <mergeCell ref="E48:K48"/>
    <mergeCell ref="L48:R48"/>
    <mergeCell ref="S48:AB48"/>
    <mergeCell ref="AC48:AU48"/>
    <mergeCell ref="C49:D49"/>
    <mergeCell ref="E49:K49"/>
    <mergeCell ref="L49:R49"/>
    <mergeCell ref="S49:AB49"/>
    <mergeCell ref="AC49:AU49"/>
    <mergeCell ref="Z37:AP37"/>
    <mergeCell ref="AQ37:BJ37"/>
    <mergeCell ref="C38:D38"/>
    <mergeCell ref="E38:K38"/>
    <mergeCell ref="L38:N38"/>
    <mergeCell ref="O38:R38"/>
    <mergeCell ref="S38:Y38"/>
    <mergeCell ref="Z38:AP38"/>
    <mergeCell ref="AQ38:BJ38"/>
    <mergeCell ref="Z35:AP35"/>
    <mergeCell ref="AQ35:BJ35"/>
    <mergeCell ref="C36:D36"/>
    <mergeCell ref="E36:K36"/>
    <mergeCell ref="L36:N36"/>
    <mergeCell ref="O36:R36"/>
    <mergeCell ref="S36:Y36"/>
    <mergeCell ref="Z36:AP36"/>
    <mergeCell ref="AQ36:BJ36"/>
    <mergeCell ref="O21:R21"/>
    <mergeCell ref="L21:N21"/>
    <mergeCell ref="O26:R26"/>
    <mergeCell ref="O22:R24"/>
    <mergeCell ref="L22:N24"/>
    <mergeCell ref="E22:K24"/>
    <mergeCell ref="E25:K25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46:D46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G16:AP16"/>
    <mergeCell ref="Z25:AP25"/>
    <mergeCell ref="E20:K20"/>
    <mergeCell ref="C20:D20"/>
    <mergeCell ref="S20:Y20"/>
    <mergeCell ref="AQ25:BJ25"/>
    <mergeCell ref="AQ26:BJ26"/>
    <mergeCell ref="AQ21:BJ21"/>
    <mergeCell ref="Z20:AP20"/>
    <mergeCell ref="AQ22:BJ24"/>
    <mergeCell ref="Z21:AP21"/>
    <mergeCell ref="S35:Y35"/>
    <mergeCell ref="C37:D37"/>
    <mergeCell ref="E37:K37"/>
    <mergeCell ref="L37:N37"/>
    <mergeCell ref="O37:R37"/>
    <mergeCell ref="S37:Y37"/>
    <mergeCell ref="E26:K26"/>
    <mergeCell ref="O25:R25"/>
    <mergeCell ref="C45:D45"/>
    <mergeCell ref="C26:D26"/>
    <mergeCell ref="L25:N25"/>
    <mergeCell ref="L26:N26"/>
    <mergeCell ref="C25:D25"/>
    <mergeCell ref="L45:R45"/>
    <mergeCell ref="C35:D35"/>
    <mergeCell ref="E35:K35"/>
    <mergeCell ref="L35:N35"/>
    <mergeCell ref="O35:R35"/>
    <mergeCell ref="AC45:AU45"/>
    <mergeCell ref="AC46:AU46"/>
    <mergeCell ref="AC47:AU47"/>
    <mergeCell ref="E46:K46"/>
    <mergeCell ref="E47:K47"/>
    <mergeCell ref="C21:D21"/>
    <mergeCell ref="AQ20:BJ20"/>
    <mergeCell ref="O20:R20"/>
    <mergeCell ref="L20:N20"/>
    <mergeCell ref="S21:Y21"/>
    <mergeCell ref="S22:Y24"/>
    <mergeCell ref="Z26:AP26"/>
    <mergeCell ref="Z22:AP24"/>
    <mergeCell ref="E21:K21"/>
    <mergeCell ref="L46:R46"/>
    <mergeCell ref="L47:R47"/>
    <mergeCell ref="E45:K45"/>
    <mergeCell ref="S45:AB45"/>
    <mergeCell ref="S46:AB46"/>
    <mergeCell ref="S47:AB47"/>
    <mergeCell ref="C22:D24"/>
    <mergeCell ref="C47:D47"/>
    <mergeCell ref="S25:Y25"/>
    <mergeCell ref="S26:Y26"/>
  </mergeCells>
  <pageMargins left="0.7" right="0.7" top="0.75" bottom="0.75" header="0.3" footer="0.3"/>
  <pageSetup scale="3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60" t="s">
        <v>59</v>
      </c>
      <c r="B1" s="161"/>
      <c r="C1" s="161"/>
      <c r="D1" s="161"/>
      <c r="E1" s="161"/>
      <c r="F1" s="161"/>
      <c r="G1" s="161"/>
      <c r="H1" s="161"/>
      <c r="I1" s="161"/>
      <c r="J1" s="162"/>
      <c r="K1" s="160" t="s">
        <v>60</v>
      </c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2"/>
      <c r="W1" s="163" t="str">
        <f>IF(表紙!W1="","",表紙!W1)</f>
        <v>詳細設計書</v>
      </c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5"/>
      <c r="AP1" s="96" t="s">
        <v>62</v>
      </c>
      <c r="AQ1" s="97"/>
      <c r="AR1" s="97"/>
      <c r="AS1" s="98"/>
      <c r="AT1" s="96" t="s">
        <v>63</v>
      </c>
      <c r="AU1" s="97"/>
      <c r="AV1" s="97"/>
      <c r="AW1" s="97"/>
      <c r="AX1" s="98"/>
      <c r="AY1" s="96" t="s">
        <v>64</v>
      </c>
      <c r="AZ1" s="97"/>
      <c r="BA1" s="97"/>
      <c r="BB1" s="98"/>
      <c r="BC1" s="96" t="s">
        <v>65</v>
      </c>
      <c r="BD1" s="97"/>
      <c r="BE1" s="97"/>
      <c r="BF1" s="97"/>
      <c r="BG1" s="98"/>
      <c r="BH1" s="96" t="s">
        <v>66</v>
      </c>
      <c r="BI1" s="97"/>
      <c r="BJ1" s="97"/>
      <c r="BK1" s="98"/>
    </row>
    <row r="2" spans="1:63" ht="15" customHeight="1" x14ac:dyDescent="0.25">
      <c r="A2" s="154" t="str">
        <f>IF(表紙!A2="","",表紙!A2)</f>
        <v>POSサーバー</v>
      </c>
      <c r="B2" s="155"/>
      <c r="C2" s="155"/>
      <c r="D2" s="155"/>
      <c r="E2" s="155"/>
      <c r="F2" s="155"/>
      <c r="G2" s="155"/>
      <c r="H2" s="155"/>
      <c r="I2" s="155"/>
      <c r="J2" s="156"/>
      <c r="K2" s="154" t="str">
        <f>IF(表紙!K2="","",表紙!K2)</f>
        <v>POSサーバー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6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8"/>
      <c r="AP2" s="81" t="str">
        <f>IF(表紙!AP2="","",表紙!AP2)</f>
        <v>LoiLV</v>
      </c>
      <c r="AQ2" s="82"/>
      <c r="AR2" s="82"/>
      <c r="AS2" s="83"/>
      <c r="AT2" s="111">
        <f>IF(表紙!AT2="","",表紙!AT2)</f>
        <v>45467</v>
      </c>
      <c r="AU2" s="112"/>
      <c r="AV2" s="112"/>
      <c r="AW2" s="112"/>
      <c r="AX2" s="113"/>
      <c r="AY2" s="81" t="str">
        <f>IF(表紙!AY2="","",表紙!AY2)</f>
        <v>AnhDD</v>
      </c>
      <c r="AZ2" s="82"/>
      <c r="BA2" s="82"/>
      <c r="BB2" s="83"/>
      <c r="BC2" s="111">
        <f>IF(表紙!BC2="","",表紙!BC2)</f>
        <v>45483</v>
      </c>
      <c r="BD2" s="112"/>
      <c r="BE2" s="112"/>
      <c r="BF2" s="112"/>
      <c r="BG2" s="113"/>
      <c r="BH2" s="81">
        <f>IF(表紙!BH2="","",表紙!BH2)</f>
        <v>0.11</v>
      </c>
      <c r="BI2" s="82"/>
      <c r="BJ2" s="82"/>
      <c r="BK2" s="83"/>
    </row>
    <row r="3" spans="1:63" ht="15" customHeight="1" x14ac:dyDescent="0.25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69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1"/>
      <c r="AP3" s="87"/>
      <c r="AQ3" s="88"/>
      <c r="AR3" s="88"/>
      <c r="AS3" s="89"/>
      <c r="AT3" s="114"/>
      <c r="AU3" s="115"/>
      <c r="AV3" s="115"/>
      <c r="AW3" s="115"/>
      <c r="AX3" s="116"/>
      <c r="AY3" s="87"/>
      <c r="AZ3" s="88"/>
      <c r="BA3" s="88"/>
      <c r="BB3" s="89"/>
      <c r="BC3" s="114"/>
      <c r="BD3" s="115"/>
      <c r="BE3" s="115"/>
      <c r="BF3" s="115"/>
      <c r="BG3" s="116"/>
      <c r="BH3" s="87"/>
      <c r="BI3" s="88"/>
      <c r="BJ3" s="88"/>
      <c r="BK3" s="89"/>
    </row>
    <row r="4" spans="1:63" ht="24.95" customHeight="1" x14ac:dyDescent="0.25">
      <c r="A4" s="160" t="s">
        <v>68</v>
      </c>
      <c r="B4" s="161"/>
      <c r="C4" s="161"/>
      <c r="D4" s="161"/>
      <c r="E4" s="161"/>
      <c r="F4" s="161"/>
      <c r="G4" s="162"/>
      <c r="H4" s="172" t="str">
        <f>IF(表紙!H4="","",表紙!H4)</f>
        <v>APX001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60" t="s">
        <v>69</v>
      </c>
      <c r="V4" s="161"/>
      <c r="W4" s="161"/>
      <c r="X4" s="161"/>
      <c r="Y4" s="162"/>
      <c r="Z4" s="172" t="str">
        <f>IF(表紙!Z4="","",表紙!Z4)</f>
        <v>API設計書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5" t="str">
        <f ca="1">MID(CELL("filename",A1),FIND("]",CELL("filename",A1))+1,255)</f>
        <v>処理フロー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2" customFormat="1" ht="15" customHeight="1" x14ac:dyDescent="0.25">
      <c r="B7" s="40"/>
      <c r="C7" s="21"/>
      <c r="D7" s="21"/>
      <c r="E7" s="21"/>
      <c r="F7" s="21"/>
      <c r="G7" s="21"/>
      <c r="AI7" s="79"/>
      <c r="BJ7" s="79"/>
      <c r="BK7" s="71"/>
    </row>
    <row r="8" spans="1:63" s="72" customFormat="1" ht="15" customHeight="1" x14ac:dyDescent="0.25">
      <c r="B8" s="40"/>
      <c r="C8" s="21"/>
      <c r="D8" s="21"/>
      <c r="E8" s="21"/>
      <c r="F8" s="21"/>
      <c r="G8" s="21"/>
      <c r="AI8" s="79"/>
      <c r="BJ8" s="79"/>
      <c r="BK8" s="71"/>
    </row>
    <row r="9" spans="1:63" s="72" customFormat="1" ht="15" customHeight="1" x14ac:dyDescent="0.25">
      <c r="B9" s="40"/>
      <c r="C9" s="21"/>
      <c r="D9" s="21"/>
      <c r="E9" s="21"/>
      <c r="F9" s="21"/>
      <c r="G9" s="21"/>
      <c r="AI9" s="79"/>
      <c r="BJ9" s="79"/>
      <c r="BK9" s="71"/>
    </row>
    <row r="10" spans="1:63" s="72" customFormat="1" ht="15" customHeight="1" x14ac:dyDescent="0.25">
      <c r="B10" s="40"/>
      <c r="C10" s="21"/>
      <c r="D10" s="21"/>
      <c r="E10" s="21"/>
      <c r="F10" s="21"/>
      <c r="G10" s="21"/>
      <c r="AI10" s="79"/>
      <c r="BJ10" s="79"/>
      <c r="BK10" s="71"/>
    </row>
    <row r="11" spans="1:63" s="72" customFormat="1" ht="15" customHeight="1" x14ac:dyDescent="0.25">
      <c r="B11" s="80"/>
      <c r="AI11" s="79"/>
      <c r="BJ11" s="79"/>
      <c r="BK11" s="71"/>
    </row>
    <row r="12" spans="1:63" s="72" customFormat="1" ht="15" customHeight="1" x14ac:dyDescent="0.25">
      <c r="B12" s="80"/>
      <c r="AI12" s="79"/>
      <c r="BJ12" s="79"/>
      <c r="BK12" s="71"/>
    </row>
    <row r="13" spans="1:63" s="72" customFormat="1" ht="15" customHeight="1" x14ac:dyDescent="0.25">
      <c r="B13" s="80"/>
      <c r="AI13" s="79"/>
      <c r="BJ13" s="79"/>
      <c r="BK13" s="71"/>
    </row>
    <row r="14" spans="1:63" s="72" customFormat="1" ht="15" customHeight="1" x14ac:dyDescent="0.25">
      <c r="B14" s="80"/>
      <c r="AI14" s="79"/>
      <c r="BJ14" s="79"/>
      <c r="BK14" s="71"/>
    </row>
    <row r="15" spans="1:63" s="72" customFormat="1" ht="15" customHeight="1" x14ac:dyDescent="0.25">
      <c r="B15" s="80"/>
      <c r="AI15" s="79"/>
      <c r="BJ15" s="79"/>
      <c r="BK15" s="71"/>
    </row>
    <row r="16" spans="1:63" s="72" customFormat="1" ht="15" customHeight="1" x14ac:dyDescent="0.25">
      <c r="B16" s="80"/>
      <c r="AI16" s="79"/>
      <c r="BJ16" s="79"/>
      <c r="BK16" s="71"/>
    </row>
    <row r="17" spans="2:63" s="72" customFormat="1" ht="15" customHeight="1" x14ac:dyDescent="0.25">
      <c r="B17" s="80"/>
      <c r="AI17" s="79"/>
      <c r="BJ17" s="79"/>
      <c r="BK17" s="71"/>
    </row>
    <row r="18" spans="2:63" s="72" customFormat="1" ht="15" customHeight="1" x14ac:dyDescent="0.25">
      <c r="B18" s="80"/>
      <c r="AI18" s="79"/>
      <c r="BJ18" s="79"/>
      <c r="BK18" s="71"/>
    </row>
    <row r="19" spans="2:63" s="72" customFormat="1" ht="15" customHeight="1" x14ac:dyDescent="0.25">
      <c r="B19" s="80"/>
      <c r="AI19" s="79"/>
      <c r="BJ19" s="79"/>
      <c r="BK19" s="71"/>
    </row>
    <row r="20" spans="2:63" s="72" customFormat="1" ht="15" customHeight="1" x14ac:dyDescent="0.25">
      <c r="B20" s="80"/>
      <c r="AI20" s="79"/>
      <c r="BJ20" s="79"/>
      <c r="BK20" s="71"/>
    </row>
    <row r="21" spans="2:63" s="72" customFormat="1" ht="15" customHeight="1" x14ac:dyDescent="0.25">
      <c r="B21" s="80"/>
      <c r="AI21" s="79"/>
      <c r="BJ21" s="79"/>
      <c r="BK21" s="71"/>
    </row>
    <row r="22" spans="2:63" s="72" customFormat="1" ht="15" customHeight="1" x14ac:dyDescent="0.25">
      <c r="B22" s="80"/>
      <c r="AI22" s="79"/>
      <c r="BJ22" s="79"/>
      <c r="BK22" s="71"/>
    </row>
    <row r="23" spans="2:63" s="72" customFormat="1" ht="15" customHeight="1" x14ac:dyDescent="0.25">
      <c r="B23" s="80"/>
      <c r="AI23" s="79"/>
      <c r="BJ23" s="79"/>
      <c r="BK23" s="71"/>
    </row>
    <row r="24" spans="2:63" s="72" customFormat="1" ht="15" customHeight="1" x14ac:dyDescent="0.25">
      <c r="B24" s="80"/>
      <c r="AI24" s="79"/>
      <c r="BJ24" s="79"/>
      <c r="BK24" s="71"/>
    </row>
    <row r="25" spans="2:63" s="72" customFormat="1" ht="15" customHeight="1" x14ac:dyDescent="0.25">
      <c r="B25" s="80"/>
      <c r="AI25" s="79"/>
      <c r="BJ25" s="79"/>
      <c r="BK25" s="71"/>
    </row>
    <row r="26" spans="2:63" s="72" customFormat="1" ht="15" customHeight="1" x14ac:dyDescent="0.25">
      <c r="B26" s="80"/>
      <c r="AI26" s="79"/>
      <c r="BJ26" s="79"/>
      <c r="BK26" s="71"/>
    </row>
    <row r="27" spans="2:63" s="72" customFormat="1" ht="15" customHeight="1" x14ac:dyDescent="0.25">
      <c r="B27" s="80"/>
      <c r="AI27" s="79"/>
      <c r="BJ27" s="79"/>
      <c r="BK27" s="71"/>
    </row>
    <row r="28" spans="2:63" s="72" customFormat="1" ht="15" customHeight="1" x14ac:dyDescent="0.25">
      <c r="B28" s="80"/>
      <c r="AI28" s="79"/>
      <c r="BJ28" s="79"/>
      <c r="BK28" s="71"/>
    </row>
    <row r="29" spans="2:63" s="72" customFormat="1" ht="15" customHeight="1" x14ac:dyDescent="0.25">
      <c r="B29" s="80"/>
      <c r="AI29" s="79"/>
      <c r="BJ29" s="79"/>
      <c r="BK29" s="71"/>
    </row>
    <row r="30" spans="2:63" s="72" customFormat="1" ht="15" customHeight="1" x14ac:dyDescent="0.25">
      <c r="B30" s="80"/>
      <c r="AI30" s="79"/>
      <c r="BJ30" s="79"/>
      <c r="BK30" s="71"/>
    </row>
    <row r="31" spans="2:63" s="72" customFormat="1" ht="15" customHeight="1" x14ac:dyDescent="0.25">
      <c r="B31" s="80"/>
      <c r="AI31" s="79"/>
      <c r="BJ31" s="79"/>
      <c r="BK31" s="71"/>
    </row>
    <row r="32" spans="2:63" s="72" customFormat="1" ht="15" customHeight="1" x14ac:dyDescent="0.25">
      <c r="B32" s="80"/>
      <c r="AI32" s="79"/>
      <c r="BJ32" s="79"/>
      <c r="BK32" s="71"/>
    </row>
    <row r="33" spans="2:63" s="72" customFormat="1" ht="15" customHeight="1" x14ac:dyDescent="0.25">
      <c r="B33" s="80"/>
      <c r="AI33" s="79"/>
      <c r="BJ33" s="79"/>
      <c r="BK33" s="71"/>
    </row>
    <row r="34" spans="2:63" s="72" customFormat="1" ht="15" customHeight="1" x14ac:dyDescent="0.25">
      <c r="B34" s="80"/>
      <c r="AI34" s="79"/>
      <c r="BJ34" s="79"/>
      <c r="BK34" s="71"/>
    </row>
    <row r="35" spans="2:63" s="72" customFormat="1" ht="15" customHeight="1" x14ac:dyDescent="0.25">
      <c r="B35" s="80"/>
      <c r="AI35" s="79"/>
      <c r="BJ35" s="79"/>
      <c r="BK35" s="71"/>
    </row>
    <row r="36" spans="2:63" s="72" customFormat="1" ht="15" customHeight="1" x14ac:dyDescent="0.25">
      <c r="B36" s="80"/>
      <c r="AI36" s="79"/>
      <c r="BJ36" s="79"/>
      <c r="BK36" s="71"/>
    </row>
    <row r="37" spans="2:63" s="72" customFormat="1" ht="15" customHeight="1" x14ac:dyDescent="0.25">
      <c r="B37" s="80"/>
      <c r="AI37" s="79"/>
      <c r="BJ37" s="79"/>
      <c r="BK37" s="71"/>
    </row>
    <row r="38" spans="2:63" s="72" customFormat="1" ht="15" customHeight="1" x14ac:dyDescent="0.25">
      <c r="B38" s="80"/>
      <c r="AI38" s="79"/>
      <c r="BJ38" s="79"/>
      <c r="BK38" s="71"/>
    </row>
    <row r="39" spans="2:63" s="72" customFormat="1" ht="15" customHeight="1" x14ac:dyDescent="0.25">
      <c r="B39" s="80"/>
      <c r="AI39" s="79"/>
      <c r="BJ39" s="79"/>
      <c r="BK39" s="71"/>
    </row>
    <row r="40" spans="2:63" s="72" customFormat="1" ht="15" customHeight="1" x14ac:dyDescent="0.25">
      <c r="B40" s="80"/>
      <c r="AI40" s="79"/>
      <c r="BJ40" s="79"/>
      <c r="BK40" s="71"/>
    </row>
    <row r="41" spans="2:63" s="72" customFormat="1" ht="15" customHeight="1" x14ac:dyDescent="0.25">
      <c r="B41" s="80"/>
      <c r="AI41" s="79"/>
      <c r="BJ41" s="79"/>
      <c r="BK41" s="71"/>
    </row>
    <row r="42" spans="2:63" s="72" customFormat="1" ht="15" customHeight="1" x14ac:dyDescent="0.25">
      <c r="B42" s="80"/>
      <c r="AG42" s="49"/>
      <c r="AI42" s="79"/>
      <c r="BJ42" s="79"/>
      <c r="BK42" s="71"/>
    </row>
    <row r="43" spans="2:63" s="72" customFormat="1" ht="15" customHeight="1" x14ac:dyDescent="0.25">
      <c r="B43" s="80"/>
      <c r="AG43" s="49"/>
      <c r="AI43" s="79"/>
      <c r="BJ43" s="79"/>
      <c r="BK43" s="71"/>
    </row>
    <row r="44" spans="2:63" s="72" customFormat="1" ht="15" customHeight="1" x14ac:dyDescent="0.25">
      <c r="B44" s="80"/>
      <c r="AI44" s="79"/>
      <c r="BJ44" s="79"/>
      <c r="BK44" s="71"/>
    </row>
    <row r="45" spans="2:63" s="72" customFormat="1" ht="15" customHeight="1" x14ac:dyDescent="0.25">
      <c r="B45" s="80"/>
      <c r="AI45" s="79"/>
      <c r="BJ45" s="79"/>
      <c r="BK45" s="71"/>
    </row>
    <row r="46" spans="2:63" s="72" customFormat="1" ht="15" customHeight="1" x14ac:dyDescent="0.25">
      <c r="B46" s="80"/>
      <c r="AI46" s="79"/>
      <c r="BJ46" s="79"/>
      <c r="BK46" s="71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1:63" ht="15" customHeight="1" x14ac:dyDescent="0.25">
      <c r="B49" s="9"/>
      <c r="AI49" s="11"/>
      <c r="BJ49" s="11"/>
      <c r="BK49" s="5"/>
    </row>
    <row r="50" spans="1:63" ht="15" customHeight="1" x14ac:dyDescent="0.25">
      <c r="B50" s="9"/>
      <c r="AI50" s="11"/>
      <c r="BJ50" s="11"/>
      <c r="BK50" s="5"/>
    </row>
    <row r="51" spans="1:63" ht="15" customHeight="1" x14ac:dyDescent="0.25">
      <c r="B51" s="9"/>
      <c r="AI51" s="11"/>
      <c r="BJ51" s="11"/>
      <c r="BK51" s="5"/>
    </row>
    <row r="52" spans="1:63" ht="15" customHeight="1" x14ac:dyDescent="0.25">
      <c r="B52" s="9"/>
      <c r="AI52" s="11"/>
      <c r="BJ52" s="11"/>
      <c r="BK52" s="5"/>
    </row>
    <row r="53" spans="1:63" ht="15" customHeight="1" x14ac:dyDescent="0.25">
      <c r="B53" s="9"/>
      <c r="AI53" s="11"/>
      <c r="BJ53" s="11"/>
      <c r="BK53" s="5"/>
    </row>
    <row r="54" spans="1:63" ht="15" customHeight="1" x14ac:dyDescent="0.25">
      <c r="B54" s="9"/>
      <c r="AI54" s="11"/>
      <c r="BJ54" s="11"/>
      <c r="BK54" s="5"/>
    </row>
    <row r="55" spans="1:63" ht="15" customHeight="1" x14ac:dyDescent="0.25">
      <c r="B55" s="9"/>
      <c r="AI55" s="11"/>
      <c r="BJ55" s="11"/>
      <c r="BK55" s="5"/>
    </row>
    <row r="56" spans="1:63" ht="15" customHeight="1" x14ac:dyDescent="0.25">
      <c r="B56" s="9"/>
      <c r="AI56" s="11"/>
      <c r="BJ56" s="11"/>
      <c r="BK56" s="5"/>
    </row>
    <row r="57" spans="1:63" ht="15" customHeight="1" x14ac:dyDescent="0.25">
      <c r="B57" s="9"/>
      <c r="AI57" s="11"/>
      <c r="BJ57" s="11"/>
      <c r="BK57" s="5"/>
    </row>
    <row r="58" spans="1:63" ht="15" customHeight="1" x14ac:dyDescent="0.25">
      <c r="A58" s="3"/>
      <c r="B58" s="1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12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12"/>
      <c r="BK58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60" t="s">
        <v>59</v>
      </c>
      <c r="B1" s="161"/>
      <c r="C1" s="161"/>
      <c r="D1" s="161"/>
      <c r="E1" s="161"/>
      <c r="F1" s="161"/>
      <c r="G1" s="161"/>
      <c r="H1" s="161"/>
      <c r="I1" s="161"/>
      <c r="J1" s="162"/>
      <c r="K1" s="160" t="s">
        <v>60</v>
      </c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2"/>
      <c r="W1" s="163" t="str">
        <f>IF(表紙!W1="","",表紙!W1)</f>
        <v>詳細設計書</v>
      </c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5"/>
      <c r="AP1" s="96" t="s">
        <v>62</v>
      </c>
      <c r="AQ1" s="97"/>
      <c r="AR1" s="97"/>
      <c r="AS1" s="98"/>
      <c r="AT1" s="96" t="s">
        <v>63</v>
      </c>
      <c r="AU1" s="97"/>
      <c r="AV1" s="97"/>
      <c r="AW1" s="97"/>
      <c r="AX1" s="98"/>
      <c r="AY1" s="96" t="s">
        <v>64</v>
      </c>
      <c r="AZ1" s="97"/>
      <c r="BA1" s="97"/>
      <c r="BB1" s="98"/>
      <c r="BC1" s="96" t="s">
        <v>65</v>
      </c>
      <c r="BD1" s="97"/>
      <c r="BE1" s="97"/>
      <c r="BF1" s="97"/>
      <c r="BG1" s="98"/>
      <c r="BH1" s="96" t="s">
        <v>66</v>
      </c>
      <c r="BI1" s="97"/>
      <c r="BJ1" s="97"/>
      <c r="BK1" s="98"/>
    </row>
    <row r="2" spans="1:63" ht="15" customHeight="1" x14ac:dyDescent="0.25">
      <c r="A2" s="154" t="str">
        <f>IF(表紙!A2="","",表紙!A2)</f>
        <v>POSサーバー</v>
      </c>
      <c r="B2" s="155"/>
      <c r="C2" s="155"/>
      <c r="D2" s="155"/>
      <c r="E2" s="155"/>
      <c r="F2" s="155"/>
      <c r="G2" s="155"/>
      <c r="H2" s="155"/>
      <c r="I2" s="155"/>
      <c r="J2" s="156"/>
      <c r="K2" s="154" t="str">
        <f>IF(表紙!K2="","",表紙!K2)</f>
        <v>POSサーバー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66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8"/>
      <c r="AP2" s="81" t="str">
        <f>IF(表紙!AP2="","",表紙!AP2)</f>
        <v>LoiLV</v>
      </c>
      <c r="AQ2" s="82"/>
      <c r="AR2" s="82"/>
      <c r="AS2" s="83"/>
      <c r="AT2" s="111">
        <f>IF(表紙!AT2="","",表紙!AT2)</f>
        <v>45467</v>
      </c>
      <c r="AU2" s="112"/>
      <c r="AV2" s="112"/>
      <c r="AW2" s="112"/>
      <c r="AX2" s="113"/>
      <c r="AY2" s="81" t="str">
        <f>IF(表紙!AY2="","",表紙!AY2)</f>
        <v>AnhDD</v>
      </c>
      <c r="AZ2" s="82"/>
      <c r="BA2" s="82"/>
      <c r="BB2" s="83"/>
      <c r="BC2" s="111">
        <f>IF(表紙!BC2="","",表紙!BC2)</f>
        <v>45483</v>
      </c>
      <c r="BD2" s="112"/>
      <c r="BE2" s="112"/>
      <c r="BF2" s="112"/>
      <c r="BG2" s="113"/>
      <c r="BH2" s="81">
        <f>IF(表紙!BH2="","",表紙!BH2)</f>
        <v>0.11</v>
      </c>
      <c r="BI2" s="82"/>
      <c r="BJ2" s="82"/>
      <c r="BK2" s="83"/>
    </row>
    <row r="3" spans="1:63" ht="15" customHeight="1" x14ac:dyDescent="0.25">
      <c r="A3" s="157"/>
      <c r="B3" s="158"/>
      <c r="C3" s="158"/>
      <c r="D3" s="158"/>
      <c r="E3" s="158"/>
      <c r="F3" s="158"/>
      <c r="G3" s="158"/>
      <c r="H3" s="158"/>
      <c r="I3" s="158"/>
      <c r="J3" s="159"/>
      <c r="K3" s="157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69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1"/>
      <c r="AP3" s="87"/>
      <c r="AQ3" s="88"/>
      <c r="AR3" s="88"/>
      <c r="AS3" s="89"/>
      <c r="AT3" s="114"/>
      <c r="AU3" s="115"/>
      <c r="AV3" s="115"/>
      <c r="AW3" s="115"/>
      <c r="AX3" s="116"/>
      <c r="AY3" s="87"/>
      <c r="AZ3" s="88"/>
      <c r="BA3" s="88"/>
      <c r="BB3" s="89"/>
      <c r="BC3" s="114"/>
      <c r="BD3" s="115"/>
      <c r="BE3" s="115"/>
      <c r="BF3" s="115"/>
      <c r="BG3" s="116"/>
      <c r="BH3" s="87"/>
      <c r="BI3" s="88"/>
      <c r="BJ3" s="88"/>
      <c r="BK3" s="89"/>
    </row>
    <row r="4" spans="1:63" ht="24.95" customHeight="1" x14ac:dyDescent="0.25">
      <c r="A4" s="160" t="s">
        <v>68</v>
      </c>
      <c r="B4" s="161"/>
      <c r="C4" s="161"/>
      <c r="D4" s="161"/>
      <c r="E4" s="161"/>
      <c r="F4" s="161"/>
      <c r="G4" s="162"/>
      <c r="H4" s="172" t="str">
        <f>IF(表紙!H4="","",表紙!H4)</f>
        <v>APX001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60" t="s">
        <v>69</v>
      </c>
      <c r="V4" s="161"/>
      <c r="W4" s="161"/>
      <c r="X4" s="161"/>
      <c r="Y4" s="162"/>
      <c r="Z4" s="172" t="str">
        <f>IF(表紙!Z4="","",表紙!Z4)</f>
        <v>API設計書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5" t="str">
        <f ca="1">MID(CELL("filename",A1),FIND("]",CELL("filename",A1))+1,255)</f>
        <v>テンプレート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2" customFormat="1" ht="15" customHeight="1" x14ac:dyDescent="0.25">
      <c r="BK7" s="71"/>
    </row>
    <row r="8" spans="1:63" s="72" customFormat="1" ht="15" customHeight="1" x14ac:dyDescent="0.25">
      <c r="BK8" s="71"/>
    </row>
    <row r="9" spans="1:63" s="72" customFormat="1" ht="15" customHeight="1" x14ac:dyDescent="0.25">
      <c r="BK9" s="71"/>
    </row>
    <row r="10" spans="1:63" s="72" customFormat="1" ht="15" customHeight="1" x14ac:dyDescent="0.25">
      <c r="BK10" s="71"/>
    </row>
    <row r="11" spans="1:63" s="72" customFormat="1" ht="15" customHeight="1" x14ac:dyDescent="0.25">
      <c r="BK11" s="71"/>
    </row>
    <row r="12" spans="1:63" s="72" customFormat="1" ht="15" customHeight="1" x14ac:dyDescent="0.25">
      <c r="BK12" s="71"/>
    </row>
    <row r="13" spans="1:63" s="72" customFormat="1" ht="15" customHeight="1" x14ac:dyDescent="0.25">
      <c r="BK13" s="71"/>
    </row>
    <row r="14" spans="1:63" s="72" customFormat="1" ht="15" customHeight="1" x14ac:dyDescent="0.25">
      <c r="BK14" s="71"/>
    </row>
    <row r="15" spans="1:63" s="72" customFormat="1" ht="15" customHeight="1" x14ac:dyDescent="0.25">
      <c r="BK15" s="71"/>
    </row>
    <row r="16" spans="1:63" s="72" customFormat="1" ht="15" customHeight="1" x14ac:dyDescent="0.25">
      <c r="BK16" s="71"/>
    </row>
    <row r="17" spans="63:63" s="72" customFormat="1" ht="15" customHeight="1" x14ac:dyDescent="0.25">
      <c r="BK17" s="71"/>
    </row>
    <row r="18" spans="63:63" s="72" customFormat="1" ht="15" customHeight="1" x14ac:dyDescent="0.25">
      <c r="BK18" s="71"/>
    </row>
    <row r="19" spans="63:63" s="72" customFormat="1" ht="15" customHeight="1" x14ac:dyDescent="0.25">
      <c r="BK19" s="71"/>
    </row>
    <row r="20" spans="63:63" s="72" customFormat="1" ht="15" customHeight="1" x14ac:dyDescent="0.25">
      <c r="BK20" s="71"/>
    </row>
    <row r="21" spans="63:63" s="72" customFormat="1" ht="15" customHeight="1" x14ac:dyDescent="0.25">
      <c r="BK21" s="71"/>
    </row>
    <row r="22" spans="63:63" s="72" customFormat="1" ht="15" customHeight="1" x14ac:dyDescent="0.25">
      <c r="BK22" s="71"/>
    </row>
    <row r="23" spans="63:63" s="72" customFormat="1" ht="15" customHeight="1" x14ac:dyDescent="0.25">
      <c r="BK23" s="71"/>
    </row>
    <row r="24" spans="63:63" s="72" customFormat="1" ht="15" customHeight="1" x14ac:dyDescent="0.25">
      <c r="BK24" s="71"/>
    </row>
    <row r="25" spans="63:63" s="72" customFormat="1" ht="15" customHeight="1" x14ac:dyDescent="0.25">
      <c r="BK25" s="71"/>
    </row>
    <row r="26" spans="63:63" s="72" customFormat="1" ht="15" customHeight="1" x14ac:dyDescent="0.25">
      <c r="BK26" s="71"/>
    </row>
    <row r="27" spans="63:63" s="72" customFormat="1" ht="15" customHeight="1" x14ac:dyDescent="0.25">
      <c r="BK27" s="71"/>
    </row>
    <row r="28" spans="63:63" s="72" customFormat="1" ht="15" customHeight="1" x14ac:dyDescent="0.25">
      <c r="BK28" s="71"/>
    </row>
    <row r="29" spans="63:63" s="72" customFormat="1" ht="15" customHeight="1" x14ac:dyDescent="0.25">
      <c r="BK29" s="71"/>
    </row>
    <row r="30" spans="63:63" s="72" customFormat="1" ht="15" customHeight="1" x14ac:dyDescent="0.25">
      <c r="BK30" s="71"/>
    </row>
    <row r="31" spans="63:63" s="72" customFormat="1" ht="15" customHeight="1" x14ac:dyDescent="0.25">
      <c r="BK31" s="71"/>
    </row>
    <row r="32" spans="63:63" s="72" customFormat="1" ht="15" customHeight="1" x14ac:dyDescent="0.25">
      <c r="BK32" s="71"/>
    </row>
    <row r="33" spans="63:63" s="72" customFormat="1" ht="15" customHeight="1" x14ac:dyDescent="0.25">
      <c r="BK33" s="71"/>
    </row>
    <row r="34" spans="63:63" s="72" customFormat="1" ht="15" customHeight="1" x14ac:dyDescent="0.25">
      <c r="BK34" s="71"/>
    </row>
    <row r="35" spans="63:63" s="72" customFormat="1" ht="15" customHeight="1" x14ac:dyDescent="0.25">
      <c r="BK35" s="71"/>
    </row>
    <row r="36" spans="63:63" s="72" customFormat="1" ht="15" customHeight="1" x14ac:dyDescent="0.25">
      <c r="BK36" s="71"/>
    </row>
    <row r="37" spans="63:63" s="72" customFormat="1" ht="15" customHeight="1" x14ac:dyDescent="0.25">
      <c r="BK37" s="71"/>
    </row>
    <row r="38" spans="63:63" s="72" customFormat="1" ht="15" customHeight="1" x14ac:dyDescent="0.25">
      <c r="BK38" s="71"/>
    </row>
    <row r="39" spans="63:63" s="72" customFormat="1" ht="15" customHeight="1" x14ac:dyDescent="0.25">
      <c r="BK39" s="71"/>
    </row>
    <row r="40" spans="63:63" s="72" customFormat="1" ht="15" customHeight="1" x14ac:dyDescent="0.25">
      <c r="BK40" s="71"/>
    </row>
    <row r="41" spans="63:63" s="72" customFormat="1" ht="15" customHeight="1" x14ac:dyDescent="0.25">
      <c r="BK41" s="71"/>
    </row>
    <row r="42" spans="63:63" s="72" customFormat="1" ht="15" customHeight="1" x14ac:dyDescent="0.25">
      <c r="BK42" s="71"/>
    </row>
    <row r="43" spans="63:63" s="72" customFormat="1" ht="15" customHeight="1" x14ac:dyDescent="0.25">
      <c r="BK43" s="71"/>
    </row>
    <row r="44" spans="63:63" s="72" customFormat="1" ht="15" customHeight="1" x14ac:dyDescent="0.25">
      <c r="BK44" s="71"/>
    </row>
    <row r="45" spans="63:63" s="72" customFormat="1" ht="15" customHeight="1" x14ac:dyDescent="0.25">
      <c r="BK45" s="71"/>
    </row>
    <row r="46" spans="63:63" s="72" customFormat="1" ht="15" customHeight="1" x14ac:dyDescent="0.25">
      <c r="BK46" s="71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APX001</vt:lpstr>
      <vt:lpstr>処理フロー</vt:lpstr>
      <vt:lpstr>テンプレート</vt:lpstr>
      <vt:lpstr>'APX001'!Print_Area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2024-11-07T07:38:40Z</dcterms:modified>
  <cp:category/>
  <cp:contentStatus/>
</cp:coreProperties>
</file>