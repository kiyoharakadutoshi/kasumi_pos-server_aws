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X0_ログイン\"/>
    </mc:Choice>
  </mc:AlternateContent>
  <xr:revisionPtr revIDLastSave="0" documentId="13_ncr:1_{319DE530-C7A8-4976-BC23-5BC589FFC2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X002" sheetId="8" r:id="rId4"/>
    <sheet name="処理フロー" sheetId="9" r:id="rId5"/>
    <sheet name="テンプレート" sheetId="7" r:id="rId6"/>
  </sheets>
  <definedNames>
    <definedName name="_xlnm.Print_Area" localSheetId="3">'APX002'!$A$1:$BK$82</definedName>
    <definedName name="_xlnm.Print_Area" localSheetId="5">テンプレート!$A$1:$BK$54</definedName>
    <definedName name="_xlnm.Print_Area" localSheetId="4">処理フロー!$A$1:$BK$58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8" l="1"/>
  <c r="C55" i="8" s="1"/>
  <c r="C56" i="8" s="1"/>
  <c r="AP4" i="7"/>
  <c r="Z4" i="7"/>
  <c r="H4" i="7"/>
  <c r="K2" i="7"/>
  <c r="A2" i="7"/>
  <c r="W1" i="7"/>
  <c r="AP4" i="9"/>
  <c r="Z4" i="9"/>
  <c r="H4" i="9"/>
  <c r="K2" i="9"/>
  <c r="A2" i="9"/>
  <c r="W1" i="9"/>
  <c r="C46" i="8"/>
  <c r="C47" i="8" s="1"/>
  <c r="C48" i="8" s="1"/>
  <c r="C49" i="8" s="1"/>
  <c r="C50" i="8" s="1"/>
  <c r="C44" i="8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C51" i="8" l="1"/>
  <c r="C52" i="8" s="1"/>
  <c r="C53" i="8" s="1"/>
  <c r="AY2" i="3"/>
  <c r="AY2" i="10"/>
  <c r="BC2" i="8"/>
  <c r="BC2" i="9"/>
  <c r="AP2" i="7"/>
  <c r="BH2" i="7"/>
  <c r="BC2" i="3"/>
  <c r="BC2" i="10"/>
  <c r="AP2" i="8"/>
  <c r="BH2" i="8"/>
  <c r="AP2" i="9"/>
  <c r="BH2" i="9"/>
  <c r="AT2" i="7"/>
  <c r="AP2" i="3"/>
  <c r="BH2" i="3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<sst xmlns="http://schemas.openxmlformats.org/spreadsheetml/2006/main" count="213" uniqueCount="120">
  <si>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</si>
  <si>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</si>
  <si>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新規作成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</si>
  <si>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</si>
  <si>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</si>
  <si>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</si>
  <si>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</si>
  <si>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</si>
  <si>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</si>
  <si>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</si>
  <si>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</si>
  <si>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</si>
  <si>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</si>
  <si>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</si>
  <si>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</si>
  <si>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</si>
  <si>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</si>
  <si>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</si>
  <si>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</si>
  <si>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NA</t>
    </r>
  </si>
  <si>
    <t>{</t>
  </si>
  <si>
    <t>}</t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</si>
  <si>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</si>
  <si>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access_token</t>
    </r>
  </si>
  <si>
    <r>
      <rPr>
        <sz val="11"/>
        <color rgb="FF000000"/>
        <rFont val="Meiryo UI"/>
        <family val="2"/>
      </rPr>
      <t>refresh_token</t>
    </r>
  </si>
  <si>
    <r>
      <rPr>
        <sz val="11"/>
        <color rgb="FF000000"/>
        <rFont val="Meiryo UI"/>
        <family val="2"/>
      </rPr>
      <t>access token</t>
    </r>
  </si>
  <si>
    <r>
      <rPr>
        <sz val="11"/>
        <color rgb="FF000000"/>
        <rFont val="Meiryo UI"/>
        <family val="2"/>
      </rPr>
      <t>refresh token</t>
    </r>
  </si>
  <si>
    <r>
      <rPr>
        <sz val="11"/>
        <color rgb="FF000000"/>
        <rFont val="Meiryo UI"/>
        <family val="2"/>
      </rPr>
      <t>有効期限：1日</t>
    </r>
  </si>
  <si>
    <r>
      <rPr>
        <sz val="11"/>
        <color rgb="FF000000"/>
        <rFont val="Meiryo UI"/>
        <family val="2"/>
      </rPr>
      <t>"access_token": "eyJhbGciOiJIUzI1NiIsInR5cCI6IkpXVCJ9.eyJpc3MiOiJodHRwczovL2V4YW1wbGUuYXV0aDAuY29tLyIsImF1ZCI6Imh0dHBzOi8vYXBpLmV4YW1wbGUuY29tL2NhbGFuZGFyL3YxLyIsInN1YiI6InVzcl8xMjMiLCJpYXQiOjE0NTg3ODU3OTYsImV4cCI6MTQ1ODg3MjE5Nn0.CA7eaHjIHz5NxeIJoFK9krqaeZrPLwmMmgI_XiQiIkQ",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</si>
  <si>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</si>
  <si>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Refresh-Token</t>
    </r>
  </si>
  <si>
    <r>
      <rPr>
        <sz val="11"/>
        <color rgb="FF000000"/>
        <rFont val="Meiryo UI"/>
        <family val="2"/>
      </rPr>
      <t>APX002</t>
    </r>
  </si>
  <si>
    <r>
      <rPr>
        <sz val="11"/>
        <color rgb="FF000000"/>
        <rFont val="Meiryo UI"/>
        <family val="2"/>
      </rPr>
      <t>トークンアクセス対象APIが401エラーになっている場合、新しいトークンをリフレッシュする。</t>
    </r>
  </si>
  <si>
    <r>
      <rPr>
        <sz val="11"/>
        <color rgb="FF000000"/>
        <rFont val="Meiryo UI"/>
        <family val="2"/>
      </rPr>
      <t>api/v1/auth/refresh</t>
    </r>
  </si>
  <si>
    <r>
      <rPr>
        <sz val="11"/>
        <color rgb="FF000000"/>
        <rFont val="Meiryo UI"/>
        <family val="2"/>
      </rPr>
      <t>"refresh_token": "i6mapTIAVSp2oJkgUnCACKKfZxt_H5MBLiqcybBBd04",</t>
    </r>
  </si>
  <si>
    <t>]</t>
  </si>
  <si>
    <r>
      <rPr>
        <sz val="11"/>
        <color rgb="FF000000"/>
        <rFont val="Meiryo UI"/>
        <family val="2"/>
      </rPr>
      <t xml:space="preserve">有効期限： </t>
    </r>
    <r>
      <rPr>
        <sz val="11"/>
        <color rgb="FFFF0000"/>
        <rFont val="Meiryo UI"/>
        <family val="2"/>
      </rPr>
      <t>5分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</si>
  <si>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</si>
  <si>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</si>
  <si>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</si>
  <si>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</si>
  <si>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</si>
  <si>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</si>
  <si>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</si>
  <si>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</si>
  <si>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</si>
  <si>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</si>
  <si>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</si>
  <si>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</si>
  <si>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</si>
  <si>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</si>
  <si>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</si>
  <si>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</si>
  <si>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</si>
  <si>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</si>
  <si>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</si>
  <si>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レスポンス成功の更新</t>
  </si>
  <si>
    <t>AnhDD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</si>
  <si>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</si>
  <si>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</si>
  <si>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</si>
  <si>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</si>
  <si>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</si>
  <si>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</si>
  <si>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</si>
  <si>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</si>
  <si>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</si>
  <si>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</si>
  <si>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</si>
  <si>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</si>
  <si>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</si>
  <si>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</si>
  <si>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</si>
  <si>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user_detail</t>
  </si>
  <si>
    <t>Object</t>
  </si>
  <si>
    <t>ユーザー詳細情報</t>
  </si>
  <si>
    <t>user_name</t>
  </si>
  <si>
    <t>string</t>
  </si>
  <si>
    <t>ユーザーログイン名</t>
  </si>
  <si>
    <t>name</t>
  </si>
  <si>
    <t>表示に使用されるユーザー名</t>
  </si>
  <si>
    <t>role_code</t>
  </si>
  <si>
    <t>ユーザーロールコード</t>
  </si>
  <si>
    <t>3つのユーザーロールがある：
・00: System administrator (企業の全て店舗にアクセスする権限)
・01 : Headquarters user (複数の店舗にアクセスする権限)
・02 : Store user (1つの店舗のみにアクセスする権限)</t>
  </si>
  <si>
    <t>role_name</t>
  </si>
  <si>
    <t>ユーザーロール名</t>
  </si>
  <si>
    <t>company_code</t>
  </si>
  <si>
    <t>100: カスミ、800：いなげや</t>
  </si>
  <si>
    <t>permissions</t>
  </si>
  <si>
    <t>List&lt;Object&gt;</t>
  </si>
  <si>
    <t>アクセス可能権限一覧</t>
  </si>
  <si>
    <t>code</t>
  </si>
  <si>
    <t>権限コード</t>
  </si>
  <si>
    <t>01 - 99: 01～99の機能に該当する。</t>
  </si>
  <si>
    <t>alias_name</t>
  </si>
  <si>
    <t>権限エイリアス名称</t>
  </si>
  <si>
    <t>01～99の機能のエイリアス名称</t>
  </si>
  <si>
    <t>※サンプル</t>
  </si>
  <si>
    <t>"user_detail": {</t>
  </si>
  <si>
    <t>"user_name": "LUVINA02"</t>
  </si>
  <si>
    <t>"name": "Luvina Test"</t>
  </si>
  <si>
    <t>"role_code": "02"</t>
  </si>
  <si>
    <t>"role_name": "Store User"</t>
  </si>
  <si>
    <t>"company_code": "100",</t>
  </si>
  <si>
    <t>"permisisons": [</t>
  </si>
  <si>
    <t>code: "01"</t>
  </si>
  <si>
    <t>"alias_name": "Product_managerment"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</si>
  <si>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</si>
  <si>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APX002</t>
  </si>
  <si>
    <t>トークンアクセスの有効期限を修正する
ユーザーから返された情報を追加する</t>
  </si>
  <si>
    <t>company_name</t>
  </si>
  <si>
    <t>store_code</t>
  </si>
  <si>
    <t>StoreMaster.Code</t>
  </si>
  <si>
    <t>store_name</t>
  </si>
  <si>
    <t>StoreMaster.Name</t>
  </si>
  <si>
    <t>会社コード</t>
  </si>
  <si>
    <t>会社名</t>
  </si>
  <si>
    <t>店舗コード</t>
  </si>
  <si>
    <t>店舗名</t>
  </si>
  <si>
    <t>100：カスミ、800：いなげや
Company.Name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</si>
</sst>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0"/>
      <color rgb="FF000000"/>
      <name val="Meiryo UI"/>
      <family val="2"/>
    </font>
    <font>
      <sz val="11"/>
      <color rgb="FF0070C0"/>
      <name val="Meiryo UI"/>
      <family val="2"/>
    </font>
    <font>
      <i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301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3" borderId="0" xfId="0" applyFont="1" applyFill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20" fillId="0" borderId="0" xfId="0" applyFont="1"/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16" fillId="4" borderId="0" xfId="0" applyFont="1" applyFill="1"/>
    <xf numFmtId="0" fontId="13" fillId="0" borderId="29" xfId="0" applyFont="1" applyBorder="1"/>
    <xf numFmtId="0" fontId="13" fillId="0" borderId="30" xfId="0" applyFont="1" applyBorder="1"/>
    <xf numFmtId="0" fontId="13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14" fontId="13" fillId="0" borderId="16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9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 indent="1"/>
    </xf>
    <xf numFmtId="0" fontId="13" fillId="0" borderId="24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left" vertical="top" wrapText="1"/>
    </xf>
    <xf numFmtId="0" fontId="13" fillId="0" borderId="25" xfId="0" applyFont="1" applyBorder="1" applyAlignment="1">
      <alignment horizontal="left" vertical="top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13" fillId="0" borderId="23" xfId="0" applyFont="1" applyBorder="1" applyAlignment="1">
      <alignment horizontal="left" vertical="center" indent="2"/>
    </xf>
    <xf numFmtId="0" fontId="13" fillId="0" borderId="24" xfId="0" applyFont="1" applyBorder="1" applyAlignment="1">
      <alignment horizontal="left" vertical="center" indent="2"/>
    </xf>
    <xf numFmtId="0" fontId="13" fillId="0" borderId="25" xfId="0" applyFont="1" applyBorder="1" applyAlignment="1">
      <alignment horizontal="left" vertical="center" indent="2"/>
    </xf>
    <xf numFmtId="0" fontId="8" fillId="0" borderId="30" xfId="0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8" fillId="0" borderId="29" xfId="0" applyFont="1" applyBorder="1" applyAlignment="1">
      <alignment vertical="top" wrapText="1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5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38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7353300"/>
          <a:ext cx="7200900" cy="381000"/>
        </a:xfrm>
        <a:prstGeom prst="borderCallout1">
          <a:avLst>
            <a:gd name="adj1" fmla="val 46004"/>
            <a:gd name="adj2" fmla="val 117"/>
            <a:gd name="adj3" fmla="val -25372"/>
            <a:gd name="adj4" fmla="val -1005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14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781300"/>
          <a:ext cx="7200900" cy="381000"/>
        </a:xfrm>
        <a:prstGeom prst="borderCallout1">
          <a:avLst>
            <a:gd name="adj1" fmla="val 51887"/>
            <a:gd name="adj2" fmla="val 470"/>
            <a:gd name="adj3" fmla="val 48697"/>
            <a:gd name="adj4" fmla="val -971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送信されたリクエストのリフレッシュトークンを復号化し、有効期限が切れていないリフレッシュトークンを確認する。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37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5067300"/>
          <a:ext cx="7200900" cy="2095500"/>
        </a:xfrm>
        <a:prstGeom prst="borderCallout1">
          <a:avLst>
            <a:gd name="adj1" fmla="val 51887"/>
            <a:gd name="adj2" fmla="val 470"/>
            <a:gd name="adj3" fmla="val 41098"/>
            <a:gd name="adj4" fmla="val -969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・新しいaccess_tokenを生成する。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・以下を満たすPermissionsテーブルから1～99の機能のpermissionsを取得する。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SELECT FROM PermissionRole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INNER JOIN Permissions ON Permissions.Code = PermissionRole.PermissionCode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WHERE PermissionRole.RoleCode = user.RoleCode AND PermisisonRole.status = 1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・以下を満たすRolesテーブルからRoleNameを取得する。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Roles.Code = user.RoleCode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70C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・レスポンス情報を取得し、permissionsがない場合は空のpermission一覧を返す -&gt;ログを記録し、レスポンスを返す。</a:t>
          </a:r>
        </a:p>
        <a:p>
          <a:pPr>
            <a:defRPr lang="en-US" altLang="ja-JP" sz="1000" b="0" i="0" u="none" baseline="0">
              <a:solidFill>
                <a:srgbClr val="0070C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134470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236324" y="3922059"/>
          <a:ext cx="6353735" cy="896470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・有効期限が切れていない場合、「3. レスポンス情報取得」を取得する。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・有効期限が切れた場合、ログを記録し、以下のレスポンスを返す。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status_code = 401, message: MSG_ERR_006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51887"/>
            <a:gd name="adj2" fmla="val 470"/>
            <a:gd name="adj3" fmla="val 86392"/>
            <a:gd name="adj4" fmla="val -1001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1.リフレッシュトークンの有効期限が切れていないかを確認する。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</xdr:row>
      <xdr:rowOff>0</xdr:rowOff>
    </xdr:from>
    <xdr:to>
      <xdr:col>10</xdr:col>
      <xdr:colOff>0</xdr:colOff>
      <xdr:row>24</xdr:row>
      <xdr:rowOff>0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470647" y="3731559"/>
          <a:ext cx="1882588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2.リフレッシュトークンの有効期限が切れていない。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 flipH="1"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0</xdr:rowOff>
    </xdr:from>
    <xdr:to>
      <xdr:col>7</xdr:col>
      <xdr:colOff>0</xdr:colOff>
      <xdr:row>26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6670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8</xdr:col>
      <xdr:colOff>0</xdr:colOff>
      <xdr:row>38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7162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40</xdr:row>
      <xdr:rowOff>22412</xdr:rowOff>
    </xdr:from>
    <xdr:to>
      <xdr:col>8</xdr:col>
      <xdr:colOff>0</xdr:colOff>
      <xdr:row>42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7753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1</xdr:colOff>
      <xdr:row>26</xdr:row>
      <xdr:rowOff>0</xdr:rowOff>
    </xdr:from>
    <xdr:to>
      <xdr:col>6</xdr:col>
      <xdr:colOff>1</xdr:colOff>
      <xdr:row>28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28" idx="0"/>
        </xdr:cNvCxnSpPr>
      </xdr:nvCxnSpPr>
      <xdr:spPr>
        <a:xfrm>
          <a:off x="1600200" y="5067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0</xdr:colOff>
      <xdr:row>40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73533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12</xdr:col>
      <xdr:colOff>0</xdr:colOff>
      <xdr:row>37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19" idx="0"/>
        </xdr:cNvCxnSpPr>
      </xdr:nvCxnSpPr>
      <xdr:spPr>
        <a:xfrm flipH="1">
          <a:off x="1600200" y="4210050"/>
          <a:ext cx="1600200" cy="2952750"/>
        </a:xfrm>
        <a:prstGeom prst="bentConnector4">
          <a:avLst>
            <a:gd name="adj1" fmla="val -16190"/>
            <a:gd name="adj2" fmla="val 80456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0</xdr:rowOff>
    </xdr:from>
    <xdr:to>
      <xdr:col>9</xdr:col>
      <xdr:colOff>0</xdr:colOff>
      <xdr:row>32</xdr:row>
      <xdr:rowOff>0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5448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3.レスポンス情報取得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</xdr:colOff>
      <xdr:row>37</xdr:row>
      <xdr:rowOff>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28" idx="2"/>
          <a:endCxn id="19" idx="0"/>
        </xdr:cNvCxnSpPr>
      </xdr:nvCxnSpPr>
      <xdr:spPr>
        <a:xfrm flipH="1">
          <a:off x="1600200" y="6210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55" customWidth="1"/>
    <col min="61" max="16384" width="2.77734375" style="55"/>
  </cols>
  <sheetData>
    <row r="1" spans="1:63" ht="24.95" customHeight="1" x14ac:dyDescent="0.25">
      <c r="A1" s="101" t="s">
        <v>38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39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23" t="s">
        <v>40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22" t="s">
        <v>46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1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86" t="str">
        <f>改訂履歴!$H$11</f>
        <v>LoiLV</v>
      </c>
      <c r="AQ2" s="87"/>
      <c r="AR2" s="87"/>
      <c r="AS2" s="88"/>
      <c r="AT2" s="116">
        <f>改訂履歴!$B$11</f>
        <v>45468</v>
      </c>
      <c r="AU2" s="117"/>
      <c r="AV2" s="117"/>
      <c r="AW2" s="117"/>
      <c r="AX2" s="118"/>
      <c r="AY2" s="86" t="str">
        <f>LOOKUP(2,1/(改訂履歴!H11:H30000&lt;&gt;""),改訂履歴!H11:H30000)</f>
        <v>AnhDD</v>
      </c>
      <c r="AZ2" s="87"/>
      <c r="BA2" s="87"/>
      <c r="BB2" s="88"/>
      <c r="BC2" s="116">
        <f>LOOKUP(2,1/(改訂履歴!B11:B30000&lt;&gt;""),改訂履歴!B11:B30000)</f>
        <v>45515</v>
      </c>
      <c r="BD2" s="117"/>
      <c r="BE2" s="117"/>
      <c r="BF2" s="117"/>
      <c r="BG2" s="118"/>
      <c r="BH2" s="110">
        <f>LOOKUP(2,1/(改訂履歴!O11:O30000&lt;&gt;""),改訂履歴!O11:O30000)</f>
        <v>0.12</v>
      </c>
      <c r="BI2" s="111"/>
      <c r="BJ2" s="111"/>
      <c r="BK2" s="112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01" t="s">
        <v>47</v>
      </c>
      <c r="B4" s="102"/>
      <c r="C4" s="102"/>
      <c r="D4" s="102"/>
      <c r="E4" s="102"/>
      <c r="F4" s="102"/>
      <c r="G4" s="103"/>
      <c r="H4" s="106" t="s">
        <v>31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8"/>
      <c r="U4" s="101" t="s">
        <v>48</v>
      </c>
      <c r="V4" s="102"/>
      <c r="W4" s="102"/>
      <c r="X4" s="102"/>
      <c r="Y4" s="103"/>
      <c r="Z4" s="109" t="s">
        <v>49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6" t="str">
        <f t="array" aca="1" ref="AP4" ca="1">RIGHT(CELL("filename",$A$1),LEN(CELL("filename",$A$1))-FIND("]",CELL("filename",$A$1)))</f>
        <v>表紙</v>
      </c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</row>
    <row r="5" spans="1:63" ht="5.0999999999999996" customHeight="1" x14ac:dyDescent="0.2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8"/>
    </row>
    <row r="6" spans="1:63" ht="15" customHeight="1" x14ac:dyDescent="0.25">
      <c r="A6" s="59"/>
      <c r="BK6" s="60"/>
    </row>
    <row r="7" spans="1:63" ht="15" customHeight="1" x14ac:dyDescent="0.25">
      <c r="A7" s="59"/>
      <c r="BK7" s="60"/>
    </row>
    <row r="8" spans="1:63" ht="15" customHeight="1" x14ac:dyDescent="0.25">
      <c r="A8" s="59"/>
      <c r="BK8" s="60"/>
    </row>
    <row r="9" spans="1:63" ht="15" customHeight="1" x14ac:dyDescent="0.25">
      <c r="A9" s="59"/>
      <c r="BK9" s="60"/>
    </row>
    <row r="10" spans="1:63" ht="15" customHeight="1" x14ac:dyDescent="0.25">
      <c r="A10" s="59"/>
      <c r="BK10" s="60"/>
    </row>
    <row r="11" spans="1:63" ht="15" customHeight="1" x14ac:dyDescent="0.25">
      <c r="A11" s="59"/>
      <c r="BK11" s="60"/>
    </row>
    <row r="12" spans="1:63" ht="15" customHeight="1" x14ac:dyDescent="0.25">
      <c r="A12" s="59"/>
      <c r="BK12" s="60"/>
    </row>
    <row r="13" spans="1:63" ht="15" customHeight="1" x14ac:dyDescent="0.25">
      <c r="A13" s="59"/>
      <c r="BK13" s="60"/>
    </row>
    <row r="14" spans="1:63" ht="15" customHeight="1" thickBot="1" x14ac:dyDescent="0.3">
      <c r="A14" s="59"/>
      <c r="BK14" s="60"/>
    </row>
    <row r="15" spans="1:63" ht="15" customHeight="1" thickTop="1" x14ac:dyDescent="0.25">
      <c r="A15" s="59"/>
      <c r="K15" s="61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3"/>
      <c r="BK15" s="60"/>
    </row>
    <row r="16" spans="1:63" ht="15" customHeight="1" x14ac:dyDescent="0.25">
      <c r="A16" s="59"/>
      <c r="K16" s="64"/>
      <c r="L16" s="104" t="s">
        <v>50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65"/>
      <c r="BK16" s="60"/>
    </row>
    <row r="17" spans="1:63" ht="15" customHeight="1" x14ac:dyDescent="0.25">
      <c r="A17" s="59"/>
      <c r="K17" s="64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65"/>
      <c r="BK17" s="60"/>
    </row>
    <row r="18" spans="1:63" ht="15" customHeight="1" x14ac:dyDescent="0.25">
      <c r="A18" s="59"/>
      <c r="K18" s="64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65"/>
      <c r="BK18" s="60"/>
    </row>
    <row r="19" spans="1:63" ht="15" customHeight="1" x14ac:dyDescent="0.25">
      <c r="A19" s="59"/>
      <c r="K19" s="64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65"/>
      <c r="BK19" s="60"/>
    </row>
    <row r="20" spans="1:63" ht="15" customHeight="1" x14ac:dyDescent="0.25">
      <c r="A20" s="59"/>
      <c r="K20" s="64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65"/>
      <c r="BK20" s="60"/>
    </row>
    <row r="21" spans="1:63" ht="15" customHeight="1" x14ac:dyDescent="0.25">
      <c r="A21" s="59"/>
      <c r="K21" s="64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65"/>
      <c r="BK21" s="60"/>
    </row>
    <row r="22" spans="1:63" ht="15" customHeight="1" thickBot="1" x14ac:dyDescent="0.3">
      <c r="A22" s="59"/>
      <c r="K22" s="64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5"/>
      <c r="BK22" s="60"/>
    </row>
    <row r="23" spans="1:63" ht="15" customHeight="1" x14ac:dyDescent="0.25">
      <c r="A23" s="59"/>
      <c r="K23" s="64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5"/>
      <c r="BK23" s="60"/>
    </row>
    <row r="24" spans="1:63" ht="15" customHeight="1" x14ac:dyDescent="0.25">
      <c r="A24" s="59"/>
      <c r="K24" s="64"/>
      <c r="L24" s="105" t="str">
        <f>K2&amp;"/"&amp;H4&amp;"/"&amp;Z4</f>
        <v>POSサーバ/APX002/API設計書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65"/>
      <c r="BK24" s="60"/>
    </row>
    <row r="25" spans="1:63" ht="15" customHeight="1" x14ac:dyDescent="0.25">
      <c r="A25" s="59"/>
      <c r="K25" s="64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65"/>
      <c r="BK25" s="60"/>
    </row>
    <row r="26" spans="1:63" ht="15" customHeight="1" x14ac:dyDescent="0.25">
      <c r="A26" s="59"/>
      <c r="K26" s="64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65"/>
      <c r="BK26" s="60"/>
    </row>
    <row r="27" spans="1:63" ht="15" customHeight="1" x14ac:dyDescent="0.25">
      <c r="A27" s="59"/>
      <c r="K27" s="64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65"/>
      <c r="BK27" s="60"/>
    </row>
    <row r="28" spans="1:63" ht="15" customHeight="1" x14ac:dyDescent="0.25">
      <c r="A28" s="59"/>
      <c r="K28" s="64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65"/>
      <c r="BK28" s="60"/>
    </row>
    <row r="29" spans="1:63" ht="15" customHeight="1" x14ac:dyDescent="0.25">
      <c r="A29" s="59"/>
      <c r="K29" s="64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65"/>
      <c r="BK29" s="60"/>
    </row>
    <row r="30" spans="1:63" ht="15" customHeight="1" x14ac:dyDescent="0.25">
      <c r="A30" s="59"/>
      <c r="K30" s="64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65"/>
      <c r="BK30" s="60"/>
    </row>
    <row r="31" spans="1:63" ht="15" customHeight="1" x14ac:dyDescent="0.25">
      <c r="A31" s="59"/>
      <c r="K31" s="64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65"/>
      <c r="BK31" s="60"/>
    </row>
    <row r="32" spans="1:63" ht="15" customHeight="1" x14ac:dyDescent="0.25">
      <c r="A32" s="59"/>
      <c r="K32" s="64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65"/>
      <c r="BK32" s="60"/>
    </row>
    <row r="33" spans="1:63" ht="15" customHeight="1" x14ac:dyDescent="0.25">
      <c r="A33" s="59"/>
      <c r="K33" s="64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65"/>
      <c r="BK33" s="60"/>
    </row>
    <row r="34" spans="1:63" ht="15" customHeight="1" x14ac:dyDescent="0.25">
      <c r="A34" s="59"/>
      <c r="K34" s="64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65"/>
      <c r="BK34" s="60"/>
    </row>
    <row r="35" spans="1:63" ht="15" customHeight="1" x14ac:dyDescent="0.25">
      <c r="A35" s="59"/>
      <c r="K35" s="64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65"/>
      <c r="BK35" s="60"/>
    </row>
    <row r="36" spans="1:63" ht="15" customHeight="1" x14ac:dyDescent="0.25">
      <c r="A36" s="59"/>
      <c r="K36" s="64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65"/>
      <c r="BK36" s="60"/>
    </row>
    <row r="37" spans="1:63" ht="15" customHeight="1" thickBot="1" x14ac:dyDescent="0.3">
      <c r="A37" s="59"/>
      <c r="K37" s="68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70"/>
      <c r="BK37" s="60"/>
    </row>
    <row r="38" spans="1:63" ht="15" customHeight="1" thickTop="1" x14ac:dyDescent="0.25">
      <c r="A38" s="59"/>
      <c r="BK38" s="60"/>
    </row>
    <row r="39" spans="1:63" ht="15" customHeight="1" x14ac:dyDescent="0.25">
      <c r="A39" s="59"/>
      <c r="BK39" s="60"/>
    </row>
    <row r="40" spans="1:63" ht="15" customHeight="1" x14ac:dyDescent="0.25">
      <c r="A40" s="59"/>
      <c r="BK40" s="60"/>
    </row>
    <row r="41" spans="1:63" ht="15" customHeight="1" x14ac:dyDescent="0.25">
      <c r="A41" s="59"/>
      <c r="BK41" s="60"/>
    </row>
    <row r="42" spans="1:63" ht="15" customHeight="1" x14ac:dyDescent="0.25">
      <c r="A42" s="59"/>
      <c r="BK42" s="60"/>
    </row>
    <row r="43" spans="1:63" ht="15" customHeight="1" x14ac:dyDescent="0.25">
      <c r="A43" s="59"/>
      <c r="BK43" s="60"/>
    </row>
    <row r="44" spans="1:63" ht="15" customHeight="1" x14ac:dyDescent="0.25">
      <c r="A44" s="59"/>
      <c r="Q44" s="95" t="s">
        <v>51</v>
      </c>
      <c r="R44" s="96"/>
      <c r="S44" s="96"/>
      <c r="T44" s="96"/>
      <c r="U44" s="96"/>
      <c r="V44" s="96"/>
      <c r="W44" s="96"/>
      <c r="X44" s="96"/>
      <c r="Y44" s="96"/>
      <c r="Z44" s="97"/>
      <c r="AA44" s="95" t="s">
        <v>52</v>
      </c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7"/>
      <c r="AQ44" s="95" t="s">
        <v>45</v>
      </c>
      <c r="AR44" s="96"/>
      <c r="AS44" s="96"/>
      <c r="AT44" s="96"/>
      <c r="AU44" s="97"/>
      <c r="BK44" s="60"/>
    </row>
    <row r="45" spans="1:63" ht="15" customHeight="1" x14ac:dyDescent="0.25">
      <c r="A45" s="59"/>
      <c r="Q45" s="98"/>
      <c r="R45" s="99"/>
      <c r="S45" s="99"/>
      <c r="T45" s="99"/>
      <c r="U45" s="99"/>
      <c r="V45" s="99"/>
      <c r="W45" s="99"/>
      <c r="X45" s="99"/>
      <c r="Y45" s="99"/>
      <c r="Z45" s="100"/>
      <c r="AA45" s="98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100"/>
      <c r="AQ45" s="98"/>
      <c r="AR45" s="99"/>
      <c r="AS45" s="99"/>
      <c r="AT45" s="99"/>
      <c r="AU45" s="100"/>
      <c r="BK45" s="60"/>
    </row>
    <row r="46" spans="1:63" ht="15" customHeight="1" x14ac:dyDescent="0.25">
      <c r="A46" s="59"/>
      <c r="Q46" s="86"/>
      <c r="R46" s="87"/>
      <c r="S46" s="87"/>
      <c r="T46" s="87"/>
      <c r="U46" s="87"/>
      <c r="V46" s="87"/>
      <c r="W46" s="87"/>
      <c r="X46" s="87"/>
      <c r="Y46" s="87"/>
      <c r="Z46" s="88"/>
      <c r="AA46" s="86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8"/>
      <c r="AQ46" s="86"/>
      <c r="AR46" s="87"/>
      <c r="AS46" s="87"/>
      <c r="AT46" s="87"/>
      <c r="AU46" s="88"/>
      <c r="BK46" s="60"/>
    </row>
    <row r="47" spans="1:63" ht="15" customHeight="1" x14ac:dyDescent="0.25">
      <c r="A47" s="59"/>
      <c r="Q47" s="89"/>
      <c r="R47" s="90"/>
      <c r="S47" s="90"/>
      <c r="T47" s="90"/>
      <c r="U47" s="90"/>
      <c r="V47" s="90"/>
      <c r="W47" s="90"/>
      <c r="X47" s="90"/>
      <c r="Y47" s="90"/>
      <c r="Z47" s="91"/>
      <c r="AA47" s="89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1"/>
      <c r="AQ47" s="89"/>
      <c r="AR47" s="90"/>
      <c r="AS47" s="90"/>
      <c r="AT47" s="90"/>
      <c r="AU47" s="91"/>
      <c r="BK47" s="60"/>
    </row>
    <row r="48" spans="1:63" ht="15" customHeight="1" x14ac:dyDescent="0.25">
      <c r="A48" s="59"/>
      <c r="Q48" s="89"/>
      <c r="R48" s="90"/>
      <c r="S48" s="90"/>
      <c r="T48" s="90"/>
      <c r="U48" s="90"/>
      <c r="V48" s="90"/>
      <c r="W48" s="90"/>
      <c r="X48" s="90"/>
      <c r="Y48" s="90"/>
      <c r="Z48" s="91"/>
      <c r="AA48" s="89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1"/>
      <c r="AQ48" s="89"/>
      <c r="AR48" s="90"/>
      <c r="AS48" s="90"/>
      <c r="AT48" s="90"/>
      <c r="AU48" s="91"/>
      <c r="BK48" s="60"/>
    </row>
    <row r="49" spans="1:63" ht="15" customHeight="1" x14ac:dyDescent="0.25">
      <c r="A49" s="59"/>
      <c r="Q49" s="92"/>
      <c r="R49" s="93"/>
      <c r="S49" s="93"/>
      <c r="T49" s="93"/>
      <c r="U49" s="93"/>
      <c r="V49" s="93"/>
      <c r="W49" s="93"/>
      <c r="X49" s="93"/>
      <c r="Y49" s="93"/>
      <c r="Z49" s="94"/>
      <c r="AA49" s="92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4"/>
      <c r="AQ49" s="92"/>
      <c r="AR49" s="93"/>
      <c r="AS49" s="93"/>
      <c r="AT49" s="93"/>
      <c r="AU49" s="94"/>
      <c r="BK49" s="60"/>
    </row>
    <row r="50" spans="1:63" ht="15" customHeight="1" x14ac:dyDescent="0.25">
      <c r="A50" s="59"/>
      <c r="BK50" s="60"/>
    </row>
    <row r="51" spans="1:63" ht="15" customHeight="1" x14ac:dyDescent="0.25">
      <c r="A51" s="59"/>
      <c r="BK51" s="60"/>
    </row>
    <row r="52" spans="1:63" ht="15" customHeight="1" x14ac:dyDescent="0.25">
      <c r="A52" s="59"/>
      <c r="BK52" s="60"/>
    </row>
    <row r="53" spans="1:63" ht="15" customHeight="1" x14ac:dyDescent="0.25">
      <c r="A53" s="59"/>
      <c r="BK53" s="60"/>
    </row>
    <row r="54" spans="1:63" ht="15" customHeight="1" x14ac:dyDescent="0.25">
      <c r="A54" s="59"/>
      <c r="BK54" s="60"/>
    </row>
    <row r="55" spans="1:63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8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55" customWidth="1"/>
    <col min="61" max="16384" width="2.77734375" style="55"/>
  </cols>
  <sheetData>
    <row r="1" spans="1:63" ht="24.95" customHeight="1" x14ac:dyDescent="0.25">
      <c r="A1" s="101" t="s">
        <v>38</v>
      </c>
      <c r="B1" s="102"/>
      <c r="C1" s="102"/>
      <c r="D1" s="102"/>
      <c r="E1" s="102"/>
      <c r="F1" s="102"/>
      <c r="G1" s="102"/>
      <c r="H1" s="102"/>
      <c r="I1" s="102"/>
      <c r="J1" s="103"/>
      <c r="K1" s="101" t="s">
        <v>39</v>
      </c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3"/>
      <c r="W1" s="168" t="str">
        <f>IF(表紙!W1="","",表紙!W1)</f>
        <v>詳細設計書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5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126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8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92"/>
      <c r="B3" s="93"/>
      <c r="C3" s="93"/>
      <c r="D3" s="93"/>
      <c r="E3" s="93"/>
      <c r="F3" s="93"/>
      <c r="G3" s="93"/>
      <c r="H3" s="93"/>
      <c r="I3" s="93"/>
      <c r="J3" s="94"/>
      <c r="K3" s="92"/>
      <c r="L3" s="93"/>
      <c r="M3" s="93"/>
      <c r="N3" s="93"/>
      <c r="O3" s="93"/>
      <c r="P3" s="93"/>
      <c r="Q3" s="93"/>
      <c r="R3" s="93"/>
      <c r="S3" s="93"/>
      <c r="T3" s="93"/>
      <c r="U3" s="93"/>
      <c r="V3" s="94"/>
      <c r="W3" s="129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1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01" t="s">
        <v>53</v>
      </c>
      <c r="B4" s="102"/>
      <c r="C4" s="102"/>
      <c r="D4" s="102"/>
      <c r="E4" s="102"/>
      <c r="F4" s="102"/>
      <c r="G4" s="103"/>
      <c r="H4" s="106" t="str">
        <f>IF(表紙!H4="","",表紙!H4)</f>
        <v>APX002</v>
      </c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8"/>
      <c r="U4" s="101" t="s">
        <v>48</v>
      </c>
      <c r="V4" s="102"/>
      <c r="W4" s="102"/>
      <c r="X4" s="102"/>
      <c r="Y4" s="103"/>
      <c r="Z4" s="106" t="str">
        <f>IF(表紙!Z4="","",表紙!Z4)</f>
        <v>API設計書</v>
      </c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8"/>
      <c r="AP4" s="106" t="str">
        <f t="array" aca="1" ref="AP4" ca="1">RIGHT(CELL("filename",$A$1),LEN(CELL("filename",$A$1))-FIND("]",CELL("filename",$A$1)))</f>
        <v>改訂履歴</v>
      </c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8"/>
    </row>
    <row r="5" spans="1:63" ht="5.0999999999999996" customHeight="1" x14ac:dyDescent="0.2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8"/>
    </row>
    <row r="6" spans="1:63" ht="15" customHeight="1" x14ac:dyDescent="0.25">
      <c r="A6" s="59"/>
      <c r="BK6" s="60"/>
    </row>
    <row r="7" spans="1:63" ht="15" customHeight="1" x14ac:dyDescent="0.25">
      <c r="A7" s="59"/>
      <c r="BK7" s="60"/>
    </row>
    <row r="8" spans="1:63" ht="15" customHeight="1" x14ac:dyDescent="0.25">
      <c r="A8" s="59"/>
      <c r="B8" s="55" t="s">
        <v>0</v>
      </c>
      <c r="BK8" s="60"/>
    </row>
    <row r="9" spans="1:63" ht="15" customHeight="1" x14ac:dyDescent="0.25">
      <c r="A9" s="59"/>
      <c r="BK9" s="60"/>
    </row>
    <row r="10" spans="1:63" ht="15" customHeight="1" x14ac:dyDescent="0.25">
      <c r="A10" s="59"/>
      <c r="B10" s="144" t="s">
        <v>44</v>
      </c>
      <c r="C10" s="144"/>
      <c r="D10" s="144"/>
      <c r="E10" s="144"/>
      <c r="F10" s="144"/>
      <c r="G10" s="144"/>
      <c r="H10" s="144" t="s">
        <v>43</v>
      </c>
      <c r="I10" s="144"/>
      <c r="J10" s="144"/>
      <c r="K10" s="144"/>
      <c r="L10" s="144"/>
      <c r="M10" s="144"/>
      <c r="N10" s="144"/>
      <c r="O10" s="144" t="s">
        <v>45</v>
      </c>
      <c r="P10" s="144"/>
      <c r="Q10" s="144"/>
      <c r="R10" s="144"/>
      <c r="S10" s="144" t="s">
        <v>54</v>
      </c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 t="s">
        <v>51</v>
      </c>
      <c r="AY10" s="144"/>
      <c r="AZ10" s="144"/>
      <c r="BA10" s="144"/>
      <c r="BB10" s="144"/>
      <c r="BC10" s="144"/>
      <c r="BD10" s="144" t="s">
        <v>52</v>
      </c>
      <c r="BE10" s="144"/>
      <c r="BF10" s="144"/>
      <c r="BG10" s="144"/>
      <c r="BH10" s="144"/>
      <c r="BI10" s="144"/>
      <c r="BJ10" s="144"/>
      <c r="BK10" s="60"/>
    </row>
    <row r="11" spans="1:63" ht="15" customHeight="1" x14ac:dyDescent="0.25">
      <c r="A11" s="59"/>
      <c r="B11" s="116">
        <v>45468</v>
      </c>
      <c r="C11" s="87"/>
      <c r="D11" s="87"/>
      <c r="E11" s="87"/>
      <c r="F11" s="87"/>
      <c r="G11" s="88"/>
      <c r="H11" s="122" t="s">
        <v>55</v>
      </c>
      <c r="I11" s="87"/>
      <c r="J11" s="87"/>
      <c r="K11" s="87"/>
      <c r="L11" s="87"/>
      <c r="M11" s="87"/>
      <c r="N11" s="88"/>
      <c r="O11" s="86">
        <v>0.1</v>
      </c>
      <c r="P11" s="87"/>
      <c r="Q11" s="87"/>
      <c r="R11" s="87"/>
      <c r="S11" s="132" t="s">
        <v>2</v>
      </c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  <c r="AX11" s="135"/>
      <c r="AY11" s="135"/>
      <c r="AZ11" s="135"/>
      <c r="BA11" s="135"/>
      <c r="BB11" s="135"/>
      <c r="BC11" s="136"/>
      <c r="BD11" s="139"/>
      <c r="BE11" s="135"/>
      <c r="BF11" s="135"/>
      <c r="BG11" s="135"/>
      <c r="BH11" s="135"/>
      <c r="BI11" s="135"/>
      <c r="BJ11" s="136"/>
      <c r="BK11" s="60"/>
    </row>
    <row r="12" spans="1:63" ht="15" customHeight="1" x14ac:dyDescent="0.25">
      <c r="A12" s="59"/>
      <c r="B12" s="92"/>
      <c r="C12" s="93"/>
      <c r="D12" s="93"/>
      <c r="E12" s="93"/>
      <c r="F12" s="93"/>
      <c r="G12" s="94"/>
      <c r="H12" s="92"/>
      <c r="I12" s="93"/>
      <c r="J12" s="93"/>
      <c r="K12" s="93"/>
      <c r="L12" s="93"/>
      <c r="M12" s="93"/>
      <c r="N12" s="94"/>
      <c r="O12" s="92"/>
      <c r="P12" s="93"/>
      <c r="Q12" s="93"/>
      <c r="R12" s="93"/>
      <c r="S12" s="141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3"/>
      <c r="AX12" s="137"/>
      <c r="AY12" s="137"/>
      <c r="AZ12" s="137"/>
      <c r="BA12" s="137"/>
      <c r="BB12" s="137"/>
      <c r="BC12" s="138"/>
      <c r="BD12" s="140"/>
      <c r="BE12" s="137"/>
      <c r="BF12" s="137"/>
      <c r="BG12" s="137"/>
      <c r="BH12" s="137"/>
      <c r="BI12" s="137"/>
      <c r="BJ12" s="138"/>
      <c r="BK12" s="60"/>
    </row>
    <row r="13" spans="1:63" ht="15" customHeight="1" x14ac:dyDescent="0.25">
      <c r="A13" s="59"/>
      <c r="B13" s="158">
        <v>45476</v>
      </c>
      <c r="C13" s="159"/>
      <c r="D13" s="159"/>
      <c r="E13" s="159"/>
      <c r="F13" s="159"/>
      <c r="G13" s="160"/>
      <c r="H13" s="164" t="s">
        <v>55</v>
      </c>
      <c r="I13" s="159"/>
      <c r="J13" s="159"/>
      <c r="K13" s="159"/>
      <c r="L13" s="159"/>
      <c r="M13" s="159"/>
      <c r="N13" s="160"/>
      <c r="O13" s="164">
        <v>0.11</v>
      </c>
      <c r="P13" s="159"/>
      <c r="Q13" s="159"/>
      <c r="R13" s="159"/>
      <c r="S13" s="165" t="s">
        <v>56</v>
      </c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7"/>
      <c r="AX13" s="135"/>
      <c r="AY13" s="135"/>
      <c r="AZ13" s="135"/>
      <c r="BA13" s="135"/>
      <c r="BB13" s="135"/>
      <c r="BC13" s="136"/>
      <c r="BD13" s="139"/>
      <c r="BE13" s="135"/>
      <c r="BF13" s="135"/>
      <c r="BG13" s="135"/>
      <c r="BH13" s="135"/>
      <c r="BI13" s="135"/>
      <c r="BJ13" s="136"/>
      <c r="BK13" s="60"/>
    </row>
    <row r="14" spans="1:63" ht="15" customHeight="1" x14ac:dyDescent="0.25">
      <c r="A14" s="59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145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7"/>
      <c r="AX14" s="137"/>
      <c r="AY14" s="137"/>
      <c r="AZ14" s="137"/>
      <c r="BA14" s="137"/>
      <c r="BB14" s="137"/>
      <c r="BC14" s="138"/>
      <c r="BD14" s="140"/>
      <c r="BE14" s="137"/>
      <c r="BF14" s="137"/>
      <c r="BG14" s="137"/>
      <c r="BH14" s="137"/>
      <c r="BI14" s="137"/>
      <c r="BJ14" s="138"/>
      <c r="BK14" s="60"/>
    </row>
    <row r="15" spans="1:63" ht="15" customHeight="1" x14ac:dyDescent="0.25">
      <c r="A15" s="59"/>
      <c r="B15" s="148">
        <v>45515</v>
      </c>
      <c r="C15" s="149"/>
      <c r="D15" s="149"/>
      <c r="E15" s="149"/>
      <c r="F15" s="149"/>
      <c r="G15" s="150"/>
      <c r="H15" s="154" t="s">
        <v>57</v>
      </c>
      <c r="I15" s="149"/>
      <c r="J15" s="149"/>
      <c r="K15" s="149"/>
      <c r="L15" s="149"/>
      <c r="M15" s="149"/>
      <c r="N15" s="150"/>
      <c r="O15" s="154">
        <v>0.12</v>
      </c>
      <c r="P15" s="149"/>
      <c r="Q15" s="149"/>
      <c r="R15" s="149"/>
      <c r="S15" s="155" t="s">
        <v>108</v>
      </c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7"/>
      <c r="AX15" s="135"/>
      <c r="AY15" s="135"/>
      <c r="AZ15" s="135"/>
      <c r="BA15" s="135"/>
      <c r="BB15" s="135"/>
      <c r="BC15" s="136"/>
      <c r="BD15" s="139"/>
      <c r="BE15" s="135"/>
      <c r="BF15" s="135"/>
      <c r="BG15" s="135"/>
      <c r="BH15" s="135"/>
      <c r="BI15" s="135"/>
      <c r="BJ15" s="136"/>
      <c r="BK15" s="60"/>
    </row>
    <row r="16" spans="1:63" ht="39" customHeight="1" x14ac:dyDescent="0.25">
      <c r="A16" s="59"/>
      <c r="B16" s="151"/>
      <c r="C16" s="152"/>
      <c r="D16" s="152"/>
      <c r="E16" s="152"/>
      <c r="F16" s="152"/>
      <c r="G16" s="153"/>
      <c r="H16" s="151"/>
      <c r="I16" s="152"/>
      <c r="J16" s="152"/>
      <c r="K16" s="152"/>
      <c r="L16" s="152"/>
      <c r="M16" s="152"/>
      <c r="N16" s="153"/>
      <c r="O16" s="151"/>
      <c r="P16" s="152"/>
      <c r="Q16" s="152"/>
      <c r="R16" s="152"/>
      <c r="S16" s="290" t="s">
        <v>109</v>
      </c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9"/>
      <c r="AX16" s="137"/>
      <c r="AY16" s="137"/>
      <c r="AZ16" s="137"/>
      <c r="BA16" s="137"/>
      <c r="BB16" s="137"/>
      <c r="BC16" s="138"/>
      <c r="BD16" s="140"/>
      <c r="BE16" s="137"/>
      <c r="BF16" s="137"/>
      <c r="BG16" s="137"/>
      <c r="BH16" s="137"/>
      <c r="BI16" s="137"/>
      <c r="BJ16" s="138"/>
      <c r="BK16" s="60"/>
    </row>
    <row r="17" spans="1:63" ht="15" customHeight="1" x14ac:dyDescent="0.25">
      <c r="A17" s="59"/>
      <c r="B17" s="86"/>
      <c r="C17" s="87"/>
      <c r="D17" s="87"/>
      <c r="E17" s="87"/>
      <c r="F17" s="87"/>
      <c r="G17" s="88"/>
      <c r="H17" s="86"/>
      <c r="I17" s="87"/>
      <c r="J17" s="87"/>
      <c r="K17" s="87"/>
      <c r="L17" s="87"/>
      <c r="M17" s="87"/>
      <c r="N17" s="88"/>
      <c r="O17" s="86"/>
      <c r="P17" s="87"/>
      <c r="Q17" s="87"/>
      <c r="R17" s="87"/>
      <c r="S17" s="132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4"/>
      <c r="AX17" s="135"/>
      <c r="AY17" s="135"/>
      <c r="AZ17" s="135"/>
      <c r="BA17" s="135"/>
      <c r="BB17" s="135"/>
      <c r="BC17" s="136"/>
      <c r="BD17" s="139"/>
      <c r="BE17" s="135"/>
      <c r="BF17" s="135"/>
      <c r="BG17" s="135"/>
      <c r="BH17" s="135"/>
      <c r="BI17" s="135"/>
      <c r="BJ17" s="136"/>
      <c r="BK17" s="60"/>
    </row>
    <row r="18" spans="1:63" ht="15" customHeight="1" x14ac:dyDescent="0.25">
      <c r="A18" s="59"/>
      <c r="B18" s="92"/>
      <c r="C18" s="93"/>
      <c r="D18" s="93"/>
      <c r="E18" s="93"/>
      <c r="F18" s="93"/>
      <c r="G18" s="94"/>
      <c r="H18" s="92"/>
      <c r="I18" s="93"/>
      <c r="J18" s="93"/>
      <c r="K18" s="93"/>
      <c r="L18" s="93"/>
      <c r="M18" s="93"/>
      <c r="N18" s="94"/>
      <c r="O18" s="92"/>
      <c r="P18" s="93"/>
      <c r="Q18" s="93"/>
      <c r="R18" s="93"/>
      <c r="S18" s="141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3"/>
      <c r="AX18" s="137"/>
      <c r="AY18" s="137"/>
      <c r="AZ18" s="137"/>
      <c r="BA18" s="137"/>
      <c r="BB18" s="137"/>
      <c r="BC18" s="138"/>
      <c r="BD18" s="140"/>
      <c r="BE18" s="137"/>
      <c r="BF18" s="137"/>
      <c r="BG18" s="137"/>
      <c r="BH18" s="137"/>
      <c r="BI18" s="137"/>
      <c r="BJ18" s="138"/>
      <c r="BK18" s="60"/>
    </row>
    <row r="19" spans="1:63" ht="15" customHeight="1" x14ac:dyDescent="0.25">
      <c r="A19" s="59"/>
      <c r="B19" s="86"/>
      <c r="C19" s="87"/>
      <c r="D19" s="87"/>
      <c r="E19" s="87"/>
      <c r="F19" s="87"/>
      <c r="G19" s="88"/>
      <c r="H19" s="86"/>
      <c r="I19" s="87"/>
      <c r="J19" s="87"/>
      <c r="K19" s="87"/>
      <c r="L19" s="87"/>
      <c r="M19" s="87"/>
      <c r="N19" s="88"/>
      <c r="O19" s="86"/>
      <c r="P19" s="87"/>
      <c r="Q19" s="87"/>
      <c r="R19" s="87"/>
      <c r="S19" s="132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4"/>
      <c r="AX19" s="135"/>
      <c r="AY19" s="135"/>
      <c r="AZ19" s="135"/>
      <c r="BA19" s="135"/>
      <c r="BB19" s="135"/>
      <c r="BC19" s="136"/>
      <c r="BD19" s="139"/>
      <c r="BE19" s="135"/>
      <c r="BF19" s="135"/>
      <c r="BG19" s="135"/>
      <c r="BH19" s="135"/>
      <c r="BI19" s="135"/>
      <c r="BJ19" s="136"/>
      <c r="BK19" s="60"/>
    </row>
    <row r="20" spans="1:63" ht="15" customHeight="1" x14ac:dyDescent="0.25">
      <c r="A20" s="59"/>
      <c r="B20" s="92"/>
      <c r="C20" s="93"/>
      <c r="D20" s="93"/>
      <c r="E20" s="93"/>
      <c r="F20" s="93"/>
      <c r="G20" s="94"/>
      <c r="H20" s="92"/>
      <c r="I20" s="93"/>
      <c r="J20" s="93"/>
      <c r="K20" s="93"/>
      <c r="L20" s="93"/>
      <c r="M20" s="93"/>
      <c r="N20" s="94"/>
      <c r="O20" s="92"/>
      <c r="P20" s="93"/>
      <c r="Q20" s="93"/>
      <c r="R20" s="93"/>
      <c r="S20" s="141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3"/>
      <c r="AX20" s="137"/>
      <c r="AY20" s="137"/>
      <c r="AZ20" s="137"/>
      <c r="BA20" s="137"/>
      <c r="BB20" s="137"/>
      <c r="BC20" s="138"/>
      <c r="BD20" s="140"/>
      <c r="BE20" s="137"/>
      <c r="BF20" s="137"/>
      <c r="BG20" s="137"/>
      <c r="BH20" s="137"/>
      <c r="BI20" s="137"/>
      <c r="BJ20" s="138"/>
      <c r="BK20" s="60"/>
    </row>
    <row r="21" spans="1:63" ht="15" customHeight="1" x14ac:dyDescent="0.25">
      <c r="A21" s="59"/>
      <c r="B21" s="86"/>
      <c r="C21" s="87"/>
      <c r="D21" s="87"/>
      <c r="E21" s="87"/>
      <c r="F21" s="87"/>
      <c r="G21" s="88"/>
      <c r="H21" s="86"/>
      <c r="I21" s="87"/>
      <c r="J21" s="87"/>
      <c r="K21" s="87"/>
      <c r="L21" s="87"/>
      <c r="M21" s="87"/>
      <c r="N21" s="88"/>
      <c r="O21" s="86"/>
      <c r="P21" s="87"/>
      <c r="Q21" s="87"/>
      <c r="R21" s="87"/>
      <c r="S21" s="132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4"/>
      <c r="AX21" s="135"/>
      <c r="AY21" s="135"/>
      <c r="AZ21" s="135"/>
      <c r="BA21" s="135"/>
      <c r="BB21" s="135"/>
      <c r="BC21" s="136"/>
      <c r="BD21" s="139"/>
      <c r="BE21" s="135"/>
      <c r="BF21" s="135"/>
      <c r="BG21" s="135"/>
      <c r="BH21" s="135"/>
      <c r="BI21" s="135"/>
      <c r="BJ21" s="136"/>
      <c r="BK21" s="60"/>
    </row>
    <row r="22" spans="1:63" ht="15" customHeight="1" x14ac:dyDescent="0.25">
      <c r="A22" s="59"/>
      <c r="B22" s="92"/>
      <c r="C22" s="93"/>
      <c r="D22" s="93"/>
      <c r="E22" s="93"/>
      <c r="F22" s="93"/>
      <c r="G22" s="94"/>
      <c r="H22" s="92"/>
      <c r="I22" s="93"/>
      <c r="J22" s="93"/>
      <c r="K22" s="93"/>
      <c r="L22" s="93"/>
      <c r="M22" s="93"/>
      <c r="N22" s="94"/>
      <c r="O22" s="92"/>
      <c r="P22" s="93"/>
      <c r="Q22" s="93"/>
      <c r="R22" s="93"/>
      <c r="S22" s="141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3"/>
      <c r="AX22" s="137"/>
      <c r="AY22" s="137"/>
      <c r="AZ22" s="137"/>
      <c r="BA22" s="137"/>
      <c r="BB22" s="137"/>
      <c r="BC22" s="138"/>
      <c r="BD22" s="140"/>
      <c r="BE22" s="137"/>
      <c r="BF22" s="137"/>
      <c r="BG22" s="137"/>
      <c r="BH22" s="137"/>
      <c r="BI22" s="137"/>
      <c r="BJ22" s="138"/>
      <c r="BK22" s="60"/>
    </row>
    <row r="23" spans="1:63" ht="15" customHeight="1" x14ac:dyDescent="0.25">
      <c r="A23" s="59"/>
      <c r="B23" s="86"/>
      <c r="C23" s="87"/>
      <c r="D23" s="87"/>
      <c r="E23" s="87"/>
      <c r="F23" s="87"/>
      <c r="G23" s="88"/>
      <c r="H23" s="86"/>
      <c r="I23" s="87"/>
      <c r="J23" s="87"/>
      <c r="K23" s="87"/>
      <c r="L23" s="87"/>
      <c r="M23" s="87"/>
      <c r="N23" s="88"/>
      <c r="O23" s="86"/>
      <c r="P23" s="87"/>
      <c r="Q23" s="87"/>
      <c r="R23" s="87"/>
      <c r="S23" s="132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4"/>
      <c r="AX23" s="135"/>
      <c r="AY23" s="135"/>
      <c r="AZ23" s="135"/>
      <c r="BA23" s="135"/>
      <c r="BB23" s="135"/>
      <c r="BC23" s="136"/>
      <c r="BD23" s="139"/>
      <c r="BE23" s="135"/>
      <c r="BF23" s="135"/>
      <c r="BG23" s="135"/>
      <c r="BH23" s="135"/>
      <c r="BI23" s="135"/>
      <c r="BJ23" s="136"/>
      <c r="BK23" s="60"/>
    </row>
    <row r="24" spans="1:63" ht="15" customHeight="1" x14ac:dyDescent="0.25">
      <c r="A24" s="59"/>
      <c r="B24" s="92"/>
      <c r="C24" s="93"/>
      <c r="D24" s="93"/>
      <c r="E24" s="93"/>
      <c r="F24" s="93"/>
      <c r="G24" s="94"/>
      <c r="H24" s="92"/>
      <c r="I24" s="93"/>
      <c r="J24" s="93"/>
      <c r="K24" s="93"/>
      <c r="L24" s="93"/>
      <c r="M24" s="93"/>
      <c r="N24" s="94"/>
      <c r="O24" s="92"/>
      <c r="P24" s="93"/>
      <c r="Q24" s="93"/>
      <c r="R24" s="93"/>
      <c r="S24" s="141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3"/>
      <c r="AX24" s="137"/>
      <c r="AY24" s="137"/>
      <c r="AZ24" s="137"/>
      <c r="BA24" s="137"/>
      <c r="BB24" s="137"/>
      <c r="BC24" s="138"/>
      <c r="BD24" s="140"/>
      <c r="BE24" s="137"/>
      <c r="BF24" s="137"/>
      <c r="BG24" s="137"/>
      <c r="BH24" s="137"/>
      <c r="BI24" s="137"/>
      <c r="BJ24" s="138"/>
      <c r="BK24" s="60"/>
    </row>
    <row r="25" spans="1:63" ht="15" customHeight="1" x14ac:dyDescent="0.25">
      <c r="A25" s="59"/>
      <c r="B25" s="86"/>
      <c r="C25" s="87"/>
      <c r="D25" s="87"/>
      <c r="E25" s="87"/>
      <c r="F25" s="87"/>
      <c r="G25" s="88"/>
      <c r="H25" s="86"/>
      <c r="I25" s="87"/>
      <c r="J25" s="87"/>
      <c r="K25" s="87"/>
      <c r="L25" s="87"/>
      <c r="M25" s="87"/>
      <c r="N25" s="88"/>
      <c r="O25" s="86"/>
      <c r="P25" s="87"/>
      <c r="Q25" s="87"/>
      <c r="R25" s="87"/>
      <c r="S25" s="132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4"/>
      <c r="AX25" s="135"/>
      <c r="AY25" s="135"/>
      <c r="AZ25" s="135"/>
      <c r="BA25" s="135"/>
      <c r="BB25" s="135"/>
      <c r="BC25" s="136"/>
      <c r="BD25" s="139"/>
      <c r="BE25" s="135"/>
      <c r="BF25" s="135"/>
      <c r="BG25" s="135"/>
      <c r="BH25" s="135"/>
      <c r="BI25" s="135"/>
      <c r="BJ25" s="136"/>
      <c r="BK25" s="60"/>
    </row>
    <row r="26" spans="1:63" ht="15" customHeight="1" x14ac:dyDescent="0.25">
      <c r="A26" s="59"/>
      <c r="B26" s="92"/>
      <c r="C26" s="93"/>
      <c r="D26" s="93"/>
      <c r="E26" s="93"/>
      <c r="F26" s="93"/>
      <c r="G26" s="94"/>
      <c r="H26" s="92"/>
      <c r="I26" s="93"/>
      <c r="J26" s="93"/>
      <c r="K26" s="93"/>
      <c r="L26" s="93"/>
      <c r="M26" s="93"/>
      <c r="N26" s="94"/>
      <c r="O26" s="92"/>
      <c r="P26" s="93"/>
      <c r="Q26" s="93"/>
      <c r="R26" s="93"/>
      <c r="S26" s="141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3"/>
      <c r="AX26" s="137"/>
      <c r="AY26" s="137"/>
      <c r="AZ26" s="137"/>
      <c r="BA26" s="137"/>
      <c r="BB26" s="137"/>
      <c r="BC26" s="138"/>
      <c r="BD26" s="140"/>
      <c r="BE26" s="137"/>
      <c r="BF26" s="137"/>
      <c r="BG26" s="137"/>
      <c r="BH26" s="137"/>
      <c r="BI26" s="137"/>
      <c r="BJ26" s="138"/>
      <c r="BK26" s="60"/>
    </row>
    <row r="27" spans="1:63" ht="15" customHeight="1" x14ac:dyDescent="0.25">
      <c r="A27" s="59"/>
      <c r="B27" s="86"/>
      <c r="C27" s="87"/>
      <c r="D27" s="87"/>
      <c r="E27" s="87"/>
      <c r="F27" s="87"/>
      <c r="G27" s="88"/>
      <c r="H27" s="86"/>
      <c r="I27" s="87"/>
      <c r="J27" s="87"/>
      <c r="K27" s="87"/>
      <c r="L27" s="87"/>
      <c r="M27" s="87"/>
      <c r="N27" s="88"/>
      <c r="O27" s="86"/>
      <c r="P27" s="87"/>
      <c r="Q27" s="87"/>
      <c r="R27" s="87"/>
      <c r="S27" s="132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4"/>
      <c r="AX27" s="135"/>
      <c r="AY27" s="135"/>
      <c r="AZ27" s="135"/>
      <c r="BA27" s="135"/>
      <c r="BB27" s="135"/>
      <c r="BC27" s="136"/>
      <c r="BD27" s="139"/>
      <c r="BE27" s="135"/>
      <c r="BF27" s="135"/>
      <c r="BG27" s="135"/>
      <c r="BH27" s="135"/>
      <c r="BI27" s="135"/>
      <c r="BJ27" s="136"/>
      <c r="BK27" s="60"/>
    </row>
    <row r="28" spans="1:63" ht="15" customHeight="1" x14ac:dyDescent="0.25">
      <c r="A28" s="59"/>
      <c r="B28" s="92"/>
      <c r="C28" s="93"/>
      <c r="D28" s="93"/>
      <c r="E28" s="93"/>
      <c r="F28" s="93"/>
      <c r="G28" s="94"/>
      <c r="H28" s="92"/>
      <c r="I28" s="93"/>
      <c r="J28" s="93"/>
      <c r="K28" s="93"/>
      <c r="L28" s="93"/>
      <c r="M28" s="93"/>
      <c r="N28" s="94"/>
      <c r="O28" s="92"/>
      <c r="P28" s="93"/>
      <c r="Q28" s="93"/>
      <c r="R28" s="93"/>
      <c r="S28" s="141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3"/>
      <c r="AX28" s="137"/>
      <c r="AY28" s="137"/>
      <c r="AZ28" s="137"/>
      <c r="BA28" s="137"/>
      <c r="BB28" s="137"/>
      <c r="BC28" s="138"/>
      <c r="BD28" s="140"/>
      <c r="BE28" s="137"/>
      <c r="BF28" s="137"/>
      <c r="BG28" s="137"/>
      <c r="BH28" s="137"/>
      <c r="BI28" s="137"/>
      <c r="BJ28" s="138"/>
      <c r="BK28" s="60"/>
    </row>
    <row r="29" spans="1:63" ht="15" customHeight="1" x14ac:dyDescent="0.25">
      <c r="A29" s="59"/>
      <c r="B29" s="86"/>
      <c r="C29" s="87"/>
      <c r="D29" s="87"/>
      <c r="E29" s="87"/>
      <c r="F29" s="87"/>
      <c r="G29" s="88"/>
      <c r="H29" s="86"/>
      <c r="I29" s="87"/>
      <c r="J29" s="87"/>
      <c r="K29" s="87"/>
      <c r="L29" s="87"/>
      <c r="M29" s="87"/>
      <c r="N29" s="88"/>
      <c r="O29" s="86"/>
      <c r="P29" s="87"/>
      <c r="Q29" s="87"/>
      <c r="R29" s="87"/>
      <c r="S29" s="132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4"/>
      <c r="AX29" s="135"/>
      <c r="AY29" s="135"/>
      <c r="AZ29" s="135"/>
      <c r="BA29" s="135"/>
      <c r="BB29" s="135"/>
      <c r="BC29" s="136"/>
      <c r="BD29" s="139"/>
      <c r="BE29" s="135"/>
      <c r="BF29" s="135"/>
      <c r="BG29" s="135"/>
      <c r="BH29" s="135"/>
      <c r="BI29" s="135"/>
      <c r="BJ29" s="136"/>
      <c r="BK29" s="60"/>
    </row>
    <row r="30" spans="1:63" ht="15" customHeight="1" x14ac:dyDescent="0.25">
      <c r="A30" s="59"/>
      <c r="B30" s="92"/>
      <c r="C30" s="93"/>
      <c r="D30" s="93"/>
      <c r="E30" s="93"/>
      <c r="F30" s="93"/>
      <c r="G30" s="94"/>
      <c r="H30" s="92"/>
      <c r="I30" s="93"/>
      <c r="J30" s="93"/>
      <c r="K30" s="93"/>
      <c r="L30" s="93"/>
      <c r="M30" s="93"/>
      <c r="N30" s="94"/>
      <c r="O30" s="92"/>
      <c r="P30" s="93"/>
      <c r="Q30" s="93"/>
      <c r="R30" s="93"/>
      <c r="S30" s="141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3"/>
      <c r="AX30" s="137"/>
      <c r="AY30" s="137"/>
      <c r="AZ30" s="137"/>
      <c r="BA30" s="137"/>
      <c r="BB30" s="137"/>
      <c r="BC30" s="138"/>
      <c r="BD30" s="140"/>
      <c r="BE30" s="137"/>
      <c r="BF30" s="137"/>
      <c r="BG30" s="137"/>
      <c r="BH30" s="137"/>
      <c r="BI30" s="137"/>
      <c r="BJ30" s="138"/>
      <c r="BK30" s="60"/>
    </row>
    <row r="31" spans="1:63" ht="15" customHeight="1" x14ac:dyDescent="0.25">
      <c r="A31" s="59"/>
      <c r="B31" s="86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86"/>
      <c r="P31" s="87"/>
      <c r="Q31" s="87"/>
      <c r="R31" s="87"/>
      <c r="S31" s="132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4"/>
      <c r="AX31" s="135"/>
      <c r="AY31" s="135"/>
      <c r="AZ31" s="135"/>
      <c r="BA31" s="135"/>
      <c r="BB31" s="135"/>
      <c r="BC31" s="136"/>
      <c r="BD31" s="139"/>
      <c r="BE31" s="135"/>
      <c r="BF31" s="135"/>
      <c r="BG31" s="135"/>
      <c r="BH31" s="135"/>
      <c r="BI31" s="135"/>
      <c r="BJ31" s="136"/>
      <c r="BK31" s="60"/>
    </row>
    <row r="32" spans="1:63" ht="15" customHeight="1" x14ac:dyDescent="0.25">
      <c r="A32" s="59"/>
      <c r="B32" s="92"/>
      <c r="C32" s="93"/>
      <c r="D32" s="93"/>
      <c r="E32" s="93"/>
      <c r="F32" s="93"/>
      <c r="G32" s="94"/>
      <c r="H32" s="92"/>
      <c r="I32" s="93"/>
      <c r="J32" s="93"/>
      <c r="K32" s="93"/>
      <c r="L32" s="93"/>
      <c r="M32" s="93"/>
      <c r="N32" s="94"/>
      <c r="O32" s="92"/>
      <c r="P32" s="93"/>
      <c r="Q32" s="93"/>
      <c r="R32" s="93"/>
      <c r="S32" s="141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3"/>
      <c r="AX32" s="137"/>
      <c r="AY32" s="137"/>
      <c r="AZ32" s="137"/>
      <c r="BA32" s="137"/>
      <c r="BB32" s="137"/>
      <c r="BC32" s="138"/>
      <c r="BD32" s="140"/>
      <c r="BE32" s="137"/>
      <c r="BF32" s="137"/>
      <c r="BG32" s="137"/>
      <c r="BH32" s="137"/>
      <c r="BI32" s="137"/>
      <c r="BJ32" s="138"/>
      <c r="BK32" s="60"/>
    </row>
    <row r="33" spans="1:63" ht="15" customHeight="1" x14ac:dyDescent="0.25">
      <c r="A33" s="59"/>
      <c r="B33" s="86"/>
      <c r="C33" s="87"/>
      <c r="D33" s="87"/>
      <c r="E33" s="87"/>
      <c r="F33" s="87"/>
      <c r="G33" s="88"/>
      <c r="H33" s="86"/>
      <c r="I33" s="87"/>
      <c r="J33" s="87"/>
      <c r="K33" s="87"/>
      <c r="L33" s="87"/>
      <c r="M33" s="87"/>
      <c r="N33" s="88"/>
      <c r="O33" s="86"/>
      <c r="P33" s="87"/>
      <c r="Q33" s="87"/>
      <c r="R33" s="87"/>
      <c r="S33" s="132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4"/>
      <c r="AX33" s="135"/>
      <c r="AY33" s="135"/>
      <c r="AZ33" s="135"/>
      <c r="BA33" s="135"/>
      <c r="BB33" s="135"/>
      <c r="BC33" s="136"/>
      <c r="BD33" s="139"/>
      <c r="BE33" s="135"/>
      <c r="BF33" s="135"/>
      <c r="BG33" s="135"/>
      <c r="BH33" s="135"/>
      <c r="BI33" s="135"/>
      <c r="BJ33" s="136"/>
      <c r="BK33" s="60"/>
    </row>
    <row r="34" spans="1:63" ht="15" customHeight="1" x14ac:dyDescent="0.25">
      <c r="A34" s="59"/>
      <c r="B34" s="92"/>
      <c r="C34" s="93"/>
      <c r="D34" s="93"/>
      <c r="E34" s="93"/>
      <c r="F34" s="93"/>
      <c r="G34" s="94"/>
      <c r="H34" s="92"/>
      <c r="I34" s="93"/>
      <c r="J34" s="93"/>
      <c r="K34" s="93"/>
      <c r="L34" s="93"/>
      <c r="M34" s="93"/>
      <c r="N34" s="94"/>
      <c r="O34" s="92"/>
      <c r="P34" s="93"/>
      <c r="Q34" s="93"/>
      <c r="R34" s="93"/>
      <c r="S34" s="141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3"/>
      <c r="AX34" s="137"/>
      <c r="AY34" s="137"/>
      <c r="AZ34" s="137"/>
      <c r="BA34" s="137"/>
      <c r="BB34" s="137"/>
      <c r="BC34" s="138"/>
      <c r="BD34" s="140"/>
      <c r="BE34" s="137"/>
      <c r="BF34" s="137"/>
      <c r="BG34" s="137"/>
      <c r="BH34" s="137"/>
      <c r="BI34" s="137"/>
      <c r="BJ34" s="138"/>
      <c r="BK34" s="60"/>
    </row>
    <row r="35" spans="1:63" ht="15" customHeight="1" x14ac:dyDescent="0.25">
      <c r="A35" s="59"/>
      <c r="B35" s="86"/>
      <c r="C35" s="87"/>
      <c r="D35" s="87"/>
      <c r="E35" s="87"/>
      <c r="F35" s="87"/>
      <c r="G35" s="88"/>
      <c r="H35" s="86"/>
      <c r="I35" s="87"/>
      <c r="J35" s="87"/>
      <c r="K35" s="87"/>
      <c r="L35" s="87"/>
      <c r="M35" s="87"/>
      <c r="N35" s="88"/>
      <c r="O35" s="86"/>
      <c r="P35" s="87"/>
      <c r="Q35" s="87"/>
      <c r="R35" s="87"/>
      <c r="S35" s="132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4"/>
      <c r="AX35" s="135"/>
      <c r="AY35" s="135"/>
      <c r="AZ35" s="135"/>
      <c r="BA35" s="135"/>
      <c r="BB35" s="135"/>
      <c r="BC35" s="136"/>
      <c r="BD35" s="139"/>
      <c r="BE35" s="135"/>
      <c r="BF35" s="135"/>
      <c r="BG35" s="135"/>
      <c r="BH35" s="135"/>
      <c r="BI35" s="135"/>
      <c r="BJ35" s="136"/>
      <c r="BK35" s="60"/>
    </row>
    <row r="36" spans="1:63" ht="15" customHeight="1" x14ac:dyDescent="0.25">
      <c r="A36" s="59"/>
      <c r="B36" s="92"/>
      <c r="C36" s="93"/>
      <c r="D36" s="93"/>
      <c r="E36" s="93"/>
      <c r="F36" s="93"/>
      <c r="G36" s="94"/>
      <c r="H36" s="92"/>
      <c r="I36" s="93"/>
      <c r="J36" s="93"/>
      <c r="K36" s="93"/>
      <c r="L36" s="93"/>
      <c r="M36" s="93"/>
      <c r="N36" s="94"/>
      <c r="O36" s="92"/>
      <c r="P36" s="93"/>
      <c r="Q36" s="93"/>
      <c r="R36" s="93"/>
      <c r="S36" s="141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3"/>
      <c r="AX36" s="137"/>
      <c r="AY36" s="137"/>
      <c r="AZ36" s="137"/>
      <c r="BA36" s="137"/>
      <c r="BB36" s="137"/>
      <c r="BC36" s="138"/>
      <c r="BD36" s="140"/>
      <c r="BE36" s="137"/>
      <c r="BF36" s="137"/>
      <c r="BG36" s="137"/>
      <c r="BH36" s="137"/>
      <c r="BI36" s="137"/>
      <c r="BJ36" s="138"/>
      <c r="BK36" s="60"/>
    </row>
    <row r="37" spans="1:63" ht="15" customHeight="1" x14ac:dyDescent="0.25">
      <c r="A37" s="59"/>
      <c r="B37" s="86"/>
      <c r="C37" s="87"/>
      <c r="D37" s="87"/>
      <c r="E37" s="87"/>
      <c r="F37" s="87"/>
      <c r="G37" s="88"/>
      <c r="H37" s="86"/>
      <c r="I37" s="87"/>
      <c r="J37" s="87"/>
      <c r="K37" s="87"/>
      <c r="L37" s="87"/>
      <c r="M37" s="87"/>
      <c r="N37" s="88"/>
      <c r="O37" s="86"/>
      <c r="P37" s="87"/>
      <c r="Q37" s="87"/>
      <c r="R37" s="87"/>
      <c r="S37" s="132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4"/>
      <c r="AX37" s="135"/>
      <c r="AY37" s="135"/>
      <c r="AZ37" s="135"/>
      <c r="BA37" s="135"/>
      <c r="BB37" s="135"/>
      <c r="BC37" s="136"/>
      <c r="BD37" s="139"/>
      <c r="BE37" s="135"/>
      <c r="BF37" s="135"/>
      <c r="BG37" s="135"/>
      <c r="BH37" s="135"/>
      <c r="BI37" s="135"/>
      <c r="BJ37" s="136"/>
      <c r="BK37" s="60"/>
    </row>
    <row r="38" spans="1:63" ht="15" customHeight="1" x14ac:dyDescent="0.25">
      <c r="A38" s="59"/>
      <c r="B38" s="92"/>
      <c r="C38" s="93"/>
      <c r="D38" s="93"/>
      <c r="E38" s="93"/>
      <c r="F38" s="93"/>
      <c r="G38" s="94"/>
      <c r="H38" s="92"/>
      <c r="I38" s="93"/>
      <c r="J38" s="93"/>
      <c r="K38" s="93"/>
      <c r="L38" s="93"/>
      <c r="M38" s="93"/>
      <c r="N38" s="94"/>
      <c r="O38" s="92"/>
      <c r="P38" s="93"/>
      <c r="Q38" s="93"/>
      <c r="R38" s="93"/>
      <c r="S38" s="141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3"/>
      <c r="AX38" s="137"/>
      <c r="AY38" s="137"/>
      <c r="AZ38" s="137"/>
      <c r="BA38" s="137"/>
      <c r="BB38" s="137"/>
      <c r="BC38" s="138"/>
      <c r="BD38" s="140"/>
      <c r="BE38" s="137"/>
      <c r="BF38" s="137"/>
      <c r="BG38" s="137"/>
      <c r="BH38" s="137"/>
      <c r="BI38" s="137"/>
      <c r="BJ38" s="138"/>
      <c r="BK38" s="60"/>
    </row>
    <row r="39" spans="1:63" ht="15" customHeight="1" x14ac:dyDescent="0.25">
      <c r="A39" s="59"/>
      <c r="B39" s="86"/>
      <c r="C39" s="87"/>
      <c r="D39" s="87"/>
      <c r="E39" s="87"/>
      <c r="F39" s="87"/>
      <c r="G39" s="88"/>
      <c r="H39" s="86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132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4"/>
      <c r="AX39" s="135"/>
      <c r="AY39" s="135"/>
      <c r="AZ39" s="135"/>
      <c r="BA39" s="135"/>
      <c r="BB39" s="135"/>
      <c r="BC39" s="136"/>
      <c r="BD39" s="139"/>
      <c r="BE39" s="135"/>
      <c r="BF39" s="135"/>
      <c r="BG39" s="135"/>
      <c r="BH39" s="135"/>
      <c r="BI39" s="135"/>
      <c r="BJ39" s="136"/>
      <c r="BK39" s="60"/>
    </row>
    <row r="40" spans="1:63" ht="15" customHeight="1" x14ac:dyDescent="0.25">
      <c r="A40" s="59"/>
      <c r="B40" s="92"/>
      <c r="C40" s="93"/>
      <c r="D40" s="93"/>
      <c r="E40" s="93"/>
      <c r="F40" s="93"/>
      <c r="G40" s="94"/>
      <c r="H40" s="92"/>
      <c r="I40" s="93"/>
      <c r="J40" s="93"/>
      <c r="K40" s="93"/>
      <c r="L40" s="93"/>
      <c r="M40" s="93"/>
      <c r="N40" s="94"/>
      <c r="O40" s="92"/>
      <c r="P40" s="93"/>
      <c r="Q40" s="93"/>
      <c r="R40" s="93"/>
      <c r="S40" s="141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3"/>
      <c r="AX40" s="137"/>
      <c r="AY40" s="137"/>
      <c r="AZ40" s="137"/>
      <c r="BA40" s="137"/>
      <c r="BB40" s="137"/>
      <c r="BC40" s="138"/>
      <c r="BD40" s="140"/>
      <c r="BE40" s="137"/>
      <c r="BF40" s="137"/>
      <c r="BG40" s="137"/>
      <c r="BH40" s="137"/>
      <c r="BI40" s="137"/>
      <c r="BJ40" s="138"/>
      <c r="BK40" s="60"/>
    </row>
    <row r="41" spans="1:63" ht="15" customHeight="1" x14ac:dyDescent="0.25">
      <c r="A41" s="59"/>
      <c r="B41" s="86"/>
      <c r="C41" s="87"/>
      <c r="D41" s="87"/>
      <c r="E41" s="87"/>
      <c r="F41" s="87"/>
      <c r="G41" s="88"/>
      <c r="H41" s="86"/>
      <c r="I41" s="87"/>
      <c r="J41" s="87"/>
      <c r="K41" s="87"/>
      <c r="L41" s="87"/>
      <c r="M41" s="87"/>
      <c r="N41" s="88"/>
      <c r="O41" s="86"/>
      <c r="P41" s="87"/>
      <c r="Q41" s="87"/>
      <c r="R41" s="87"/>
      <c r="S41" s="132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4"/>
      <c r="AX41" s="135"/>
      <c r="AY41" s="135"/>
      <c r="AZ41" s="135"/>
      <c r="BA41" s="135"/>
      <c r="BB41" s="135"/>
      <c r="BC41" s="136"/>
      <c r="BD41" s="139"/>
      <c r="BE41" s="135"/>
      <c r="BF41" s="135"/>
      <c r="BG41" s="135"/>
      <c r="BH41" s="135"/>
      <c r="BI41" s="135"/>
      <c r="BJ41" s="136"/>
      <c r="BK41" s="60"/>
    </row>
    <row r="42" spans="1:63" ht="15" customHeight="1" x14ac:dyDescent="0.25">
      <c r="A42" s="59"/>
      <c r="B42" s="92"/>
      <c r="C42" s="93"/>
      <c r="D42" s="93"/>
      <c r="E42" s="93"/>
      <c r="F42" s="93"/>
      <c r="G42" s="94"/>
      <c r="H42" s="92"/>
      <c r="I42" s="93"/>
      <c r="J42" s="93"/>
      <c r="K42" s="93"/>
      <c r="L42" s="93"/>
      <c r="M42" s="93"/>
      <c r="N42" s="94"/>
      <c r="O42" s="92"/>
      <c r="P42" s="93"/>
      <c r="Q42" s="93"/>
      <c r="R42" s="93"/>
      <c r="S42" s="141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3"/>
      <c r="AX42" s="137"/>
      <c r="AY42" s="137"/>
      <c r="AZ42" s="137"/>
      <c r="BA42" s="137"/>
      <c r="BB42" s="137"/>
      <c r="BC42" s="138"/>
      <c r="BD42" s="140"/>
      <c r="BE42" s="137"/>
      <c r="BF42" s="137"/>
      <c r="BG42" s="137"/>
      <c r="BH42" s="137"/>
      <c r="BI42" s="137"/>
      <c r="BJ42" s="138"/>
      <c r="BK42" s="60"/>
    </row>
    <row r="43" spans="1:63" ht="15" customHeight="1" x14ac:dyDescent="0.25">
      <c r="A43" s="59"/>
      <c r="B43" s="86"/>
      <c r="C43" s="87"/>
      <c r="D43" s="87"/>
      <c r="E43" s="87"/>
      <c r="F43" s="87"/>
      <c r="G43" s="88"/>
      <c r="H43" s="86"/>
      <c r="I43" s="87"/>
      <c r="J43" s="87"/>
      <c r="K43" s="87"/>
      <c r="L43" s="87"/>
      <c r="M43" s="87"/>
      <c r="N43" s="88"/>
      <c r="O43" s="86"/>
      <c r="P43" s="87"/>
      <c r="Q43" s="87"/>
      <c r="R43" s="87"/>
      <c r="S43" s="132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4"/>
      <c r="AX43" s="135"/>
      <c r="AY43" s="135"/>
      <c r="AZ43" s="135"/>
      <c r="BA43" s="135"/>
      <c r="BB43" s="135"/>
      <c r="BC43" s="136"/>
      <c r="BD43" s="139"/>
      <c r="BE43" s="135"/>
      <c r="BF43" s="135"/>
      <c r="BG43" s="135"/>
      <c r="BH43" s="135"/>
      <c r="BI43" s="135"/>
      <c r="BJ43" s="136"/>
      <c r="BK43" s="60"/>
    </row>
    <row r="44" spans="1:63" ht="15" customHeight="1" x14ac:dyDescent="0.25">
      <c r="A44" s="59"/>
      <c r="B44" s="92"/>
      <c r="C44" s="93"/>
      <c r="D44" s="93"/>
      <c r="E44" s="93"/>
      <c r="F44" s="93"/>
      <c r="G44" s="94"/>
      <c r="H44" s="92"/>
      <c r="I44" s="93"/>
      <c r="J44" s="93"/>
      <c r="K44" s="93"/>
      <c r="L44" s="93"/>
      <c r="M44" s="93"/>
      <c r="N44" s="94"/>
      <c r="O44" s="92"/>
      <c r="P44" s="93"/>
      <c r="Q44" s="93"/>
      <c r="R44" s="93"/>
      <c r="S44" s="141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3"/>
      <c r="AX44" s="137"/>
      <c r="AY44" s="137"/>
      <c r="AZ44" s="137"/>
      <c r="BA44" s="137"/>
      <c r="BB44" s="137"/>
      <c r="BC44" s="138"/>
      <c r="BD44" s="140"/>
      <c r="BE44" s="137"/>
      <c r="BF44" s="137"/>
      <c r="BG44" s="137"/>
      <c r="BH44" s="137"/>
      <c r="BI44" s="137"/>
      <c r="BJ44" s="138"/>
      <c r="BK44" s="60"/>
    </row>
    <row r="45" spans="1:63" ht="15" customHeight="1" x14ac:dyDescent="0.25">
      <c r="A45" s="59"/>
      <c r="B45" s="86"/>
      <c r="C45" s="87"/>
      <c r="D45" s="87"/>
      <c r="E45" s="87"/>
      <c r="F45" s="87"/>
      <c r="G45" s="88"/>
      <c r="H45" s="86"/>
      <c r="I45" s="87"/>
      <c r="J45" s="87"/>
      <c r="K45" s="87"/>
      <c r="L45" s="87"/>
      <c r="M45" s="87"/>
      <c r="N45" s="88"/>
      <c r="O45" s="86"/>
      <c r="P45" s="87"/>
      <c r="Q45" s="87"/>
      <c r="R45" s="87"/>
      <c r="S45" s="132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4"/>
      <c r="AX45" s="135"/>
      <c r="AY45" s="135"/>
      <c r="AZ45" s="135"/>
      <c r="BA45" s="135"/>
      <c r="BB45" s="135"/>
      <c r="BC45" s="136"/>
      <c r="BD45" s="139"/>
      <c r="BE45" s="135"/>
      <c r="BF45" s="135"/>
      <c r="BG45" s="135"/>
      <c r="BH45" s="135"/>
      <c r="BI45" s="135"/>
      <c r="BJ45" s="136"/>
      <c r="BK45" s="60"/>
    </row>
    <row r="46" spans="1:63" ht="15" customHeight="1" x14ac:dyDescent="0.25">
      <c r="A46" s="59"/>
      <c r="B46" s="92"/>
      <c r="C46" s="93"/>
      <c r="D46" s="93"/>
      <c r="E46" s="93"/>
      <c r="F46" s="93"/>
      <c r="G46" s="94"/>
      <c r="H46" s="92"/>
      <c r="I46" s="93"/>
      <c r="J46" s="93"/>
      <c r="K46" s="93"/>
      <c r="L46" s="93"/>
      <c r="M46" s="93"/>
      <c r="N46" s="94"/>
      <c r="O46" s="92"/>
      <c r="P46" s="93"/>
      <c r="Q46" s="93"/>
      <c r="R46" s="93"/>
      <c r="S46" s="141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3"/>
      <c r="AX46" s="137"/>
      <c r="AY46" s="137"/>
      <c r="AZ46" s="137"/>
      <c r="BA46" s="137"/>
      <c r="BB46" s="137"/>
      <c r="BC46" s="138"/>
      <c r="BD46" s="140"/>
      <c r="BE46" s="137"/>
      <c r="BF46" s="137"/>
      <c r="BG46" s="137"/>
      <c r="BH46" s="137"/>
      <c r="BI46" s="137"/>
      <c r="BJ46" s="138"/>
      <c r="BK46" s="60"/>
    </row>
    <row r="47" spans="1:63" ht="15" customHeight="1" x14ac:dyDescent="0.25">
      <c r="A47" s="59"/>
      <c r="B47" s="86"/>
      <c r="C47" s="87"/>
      <c r="D47" s="87"/>
      <c r="E47" s="87"/>
      <c r="F47" s="87"/>
      <c r="G47" s="88"/>
      <c r="H47" s="86"/>
      <c r="I47" s="87"/>
      <c r="J47" s="87"/>
      <c r="K47" s="87"/>
      <c r="L47" s="87"/>
      <c r="M47" s="87"/>
      <c r="N47" s="88"/>
      <c r="O47" s="86"/>
      <c r="P47" s="87"/>
      <c r="Q47" s="87"/>
      <c r="R47" s="87"/>
      <c r="S47" s="132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4"/>
      <c r="AX47" s="135"/>
      <c r="AY47" s="135"/>
      <c r="AZ47" s="135"/>
      <c r="BA47" s="135"/>
      <c r="BB47" s="135"/>
      <c r="BC47" s="136"/>
      <c r="BD47" s="139"/>
      <c r="BE47" s="135"/>
      <c r="BF47" s="135"/>
      <c r="BG47" s="135"/>
      <c r="BH47" s="135"/>
      <c r="BI47" s="135"/>
      <c r="BJ47" s="136"/>
      <c r="BK47" s="60"/>
    </row>
    <row r="48" spans="1:63" ht="15" customHeight="1" x14ac:dyDescent="0.25">
      <c r="A48" s="59"/>
      <c r="B48" s="92"/>
      <c r="C48" s="93"/>
      <c r="D48" s="93"/>
      <c r="E48" s="93"/>
      <c r="F48" s="93"/>
      <c r="G48" s="94"/>
      <c r="H48" s="92"/>
      <c r="I48" s="93"/>
      <c r="J48" s="93"/>
      <c r="K48" s="93"/>
      <c r="L48" s="93"/>
      <c r="M48" s="93"/>
      <c r="N48" s="94"/>
      <c r="O48" s="92"/>
      <c r="P48" s="93"/>
      <c r="Q48" s="93"/>
      <c r="R48" s="93"/>
      <c r="S48" s="141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3"/>
      <c r="AX48" s="137"/>
      <c r="AY48" s="137"/>
      <c r="AZ48" s="137"/>
      <c r="BA48" s="137"/>
      <c r="BB48" s="137"/>
      <c r="BC48" s="138"/>
      <c r="BD48" s="140"/>
      <c r="BE48" s="137"/>
      <c r="BF48" s="137"/>
      <c r="BG48" s="137"/>
      <c r="BH48" s="137"/>
      <c r="BI48" s="137"/>
      <c r="BJ48" s="138"/>
      <c r="BK48" s="60"/>
    </row>
    <row r="49" spans="1:63" ht="15" customHeight="1" x14ac:dyDescent="0.25">
      <c r="A49" s="59"/>
      <c r="B49" s="86"/>
      <c r="C49" s="87"/>
      <c r="D49" s="87"/>
      <c r="E49" s="87"/>
      <c r="F49" s="87"/>
      <c r="G49" s="88"/>
      <c r="H49" s="86"/>
      <c r="I49" s="87"/>
      <c r="J49" s="87"/>
      <c r="K49" s="87"/>
      <c r="L49" s="87"/>
      <c r="M49" s="87"/>
      <c r="N49" s="88"/>
      <c r="O49" s="86"/>
      <c r="P49" s="87"/>
      <c r="Q49" s="87"/>
      <c r="R49" s="87"/>
      <c r="S49" s="132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4"/>
      <c r="AX49" s="135"/>
      <c r="AY49" s="135"/>
      <c r="AZ49" s="135"/>
      <c r="BA49" s="135"/>
      <c r="BB49" s="135"/>
      <c r="BC49" s="136"/>
      <c r="BD49" s="139"/>
      <c r="BE49" s="135"/>
      <c r="BF49" s="135"/>
      <c r="BG49" s="135"/>
      <c r="BH49" s="135"/>
      <c r="BI49" s="135"/>
      <c r="BJ49" s="136"/>
      <c r="BK49" s="60"/>
    </row>
    <row r="50" spans="1:63" ht="15" customHeight="1" x14ac:dyDescent="0.25">
      <c r="A50" s="59"/>
      <c r="B50" s="92"/>
      <c r="C50" s="93"/>
      <c r="D50" s="93"/>
      <c r="E50" s="93"/>
      <c r="F50" s="93"/>
      <c r="G50" s="94"/>
      <c r="H50" s="92"/>
      <c r="I50" s="93"/>
      <c r="J50" s="93"/>
      <c r="K50" s="93"/>
      <c r="L50" s="93"/>
      <c r="M50" s="93"/>
      <c r="N50" s="94"/>
      <c r="O50" s="92"/>
      <c r="P50" s="93"/>
      <c r="Q50" s="93"/>
      <c r="R50" s="93"/>
      <c r="S50" s="141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3"/>
      <c r="AX50" s="137"/>
      <c r="AY50" s="137"/>
      <c r="AZ50" s="137"/>
      <c r="BA50" s="137"/>
      <c r="BB50" s="137"/>
      <c r="BC50" s="138"/>
      <c r="BD50" s="140"/>
      <c r="BE50" s="137"/>
      <c r="BF50" s="137"/>
      <c r="BG50" s="137"/>
      <c r="BH50" s="137"/>
      <c r="BI50" s="137"/>
      <c r="BJ50" s="138"/>
      <c r="BK50" s="60"/>
    </row>
    <row r="51" spans="1:63" ht="15" customHeight="1" x14ac:dyDescent="0.25">
      <c r="A51" s="59"/>
      <c r="B51" s="86"/>
      <c r="C51" s="87"/>
      <c r="D51" s="87"/>
      <c r="E51" s="87"/>
      <c r="F51" s="87"/>
      <c r="G51" s="88"/>
      <c r="H51" s="86"/>
      <c r="I51" s="87"/>
      <c r="J51" s="87"/>
      <c r="K51" s="87"/>
      <c r="L51" s="87"/>
      <c r="M51" s="87"/>
      <c r="N51" s="88"/>
      <c r="O51" s="86"/>
      <c r="P51" s="87"/>
      <c r="Q51" s="87"/>
      <c r="R51" s="87"/>
      <c r="S51" s="132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4"/>
      <c r="AX51" s="135"/>
      <c r="AY51" s="135"/>
      <c r="AZ51" s="135"/>
      <c r="BA51" s="135"/>
      <c r="BB51" s="135"/>
      <c r="BC51" s="136"/>
      <c r="BD51" s="139"/>
      <c r="BE51" s="135"/>
      <c r="BF51" s="135"/>
      <c r="BG51" s="135"/>
      <c r="BH51" s="135"/>
      <c r="BI51" s="135"/>
      <c r="BJ51" s="136"/>
      <c r="BK51" s="60"/>
    </row>
    <row r="52" spans="1:63" ht="15" customHeight="1" x14ac:dyDescent="0.25">
      <c r="A52" s="59"/>
      <c r="B52" s="92"/>
      <c r="C52" s="93"/>
      <c r="D52" s="93"/>
      <c r="E52" s="93"/>
      <c r="F52" s="93"/>
      <c r="G52" s="94"/>
      <c r="H52" s="92"/>
      <c r="I52" s="93"/>
      <c r="J52" s="93"/>
      <c r="K52" s="93"/>
      <c r="L52" s="93"/>
      <c r="M52" s="93"/>
      <c r="N52" s="94"/>
      <c r="O52" s="92"/>
      <c r="P52" s="93"/>
      <c r="Q52" s="93"/>
      <c r="R52" s="93"/>
      <c r="S52" s="141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3"/>
      <c r="AX52" s="137"/>
      <c r="AY52" s="137"/>
      <c r="AZ52" s="137"/>
      <c r="BA52" s="137"/>
      <c r="BB52" s="137"/>
      <c r="BC52" s="138"/>
      <c r="BD52" s="140"/>
      <c r="BE52" s="137"/>
      <c r="BF52" s="137"/>
      <c r="BG52" s="137"/>
      <c r="BH52" s="137"/>
      <c r="BI52" s="137"/>
      <c r="BJ52" s="138"/>
      <c r="BK52" s="60"/>
    </row>
    <row r="53" spans="1:63" ht="15" customHeight="1" x14ac:dyDescent="0.25">
      <c r="A53" s="59"/>
      <c r="B53" s="86"/>
      <c r="C53" s="87"/>
      <c r="D53" s="87"/>
      <c r="E53" s="87"/>
      <c r="F53" s="87"/>
      <c r="G53" s="88"/>
      <c r="H53" s="86"/>
      <c r="I53" s="87"/>
      <c r="J53" s="87"/>
      <c r="K53" s="87"/>
      <c r="L53" s="87"/>
      <c r="M53" s="87"/>
      <c r="N53" s="88"/>
      <c r="O53" s="86"/>
      <c r="P53" s="87"/>
      <c r="Q53" s="87"/>
      <c r="R53" s="87"/>
      <c r="S53" s="132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4"/>
      <c r="AX53" s="135"/>
      <c r="AY53" s="135"/>
      <c r="AZ53" s="135"/>
      <c r="BA53" s="135"/>
      <c r="BB53" s="135"/>
      <c r="BC53" s="136"/>
      <c r="BD53" s="139"/>
      <c r="BE53" s="135"/>
      <c r="BF53" s="135"/>
      <c r="BG53" s="135"/>
      <c r="BH53" s="135"/>
      <c r="BI53" s="135"/>
      <c r="BJ53" s="136"/>
      <c r="BK53" s="60"/>
    </row>
    <row r="54" spans="1:63" ht="15" customHeight="1" x14ac:dyDescent="0.25">
      <c r="A54" s="59"/>
      <c r="B54" s="92"/>
      <c r="C54" s="93"/>
      <c r="D54" s="93"/>
      <c r="E54" s="93"/>
      <c r="F54" s="93"/>
      <c r="G54" s="94"/>
      <c r="H54" s="92"/>
      <c r="I54" s="93"/>
      <c r="J54" s="93"/>
      <c r="K54" s="93"/>
      <c r="L54" s="93"/>
      <c r="M54" s="93"/>
      <c r="N54" s="94"/>
      <c r="O54" s="92"/>
      <c r="P54" s="93"/>
      <c r="Q54" s="93"/>
      <c r="R54" s="93"/>
      <c r="S54" s="141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3"/>
      <c r="AX54" s="137"/>
      <c r="AY54" s="137"/>
      <c r="AZ54" s="137"/>
      <c r="BA54" s="137"/>
      <c r="BB54" s="137"/>
      <c r="BC54" s="138"/>
      <c r="BD54" s="140"/>
      <c r="BE54" s="137"/>
      <c r="BF54" s="137"/>
      <c r="BG54" s="137"/>
      <c r="BH54" s="137"/>
      <c r="BI54" s="137"/>
      <c r="BJ54" s="138"/>
      <c r="BK54" s="60"/>
    </row>
    <row r="55" spans="1:63" ht="15" customHeight="1" x14ac:dyDescent="0.25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7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処理フロー凡例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5" customFormat="1" ht="15" customHeight="1" x14ac:dyDescent="0.25">
      <c r="A7" s="71"/>
      <c r="B7" s="72" t="s">
        <v>58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4"/>
      <c r="AF7" s="75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4"/>
      <c r="BJ7" s="73"/>
      <c r="BK7" s="76"/>
    </row>
    <row r="8" spans="1:63" s="77" customFormat="1" ht="15" customHeight="1" x14ac:dyDescent="0.25">
      <c r="BK8" s="76"/>
    </row>
    <row r="9" spans="1:63" s="77" customFormat="1" ht="15" customHeight="1" x14ac:dyDescent="0.25">
      <c r="BK9" s="76"/>
    </row>
    <row r="10" spans="1:63" s="77" customFormat="1" ht="15" customHeight="1" x14ac:dyDescent="0.25">
      <c r="BK10" s="76"/>
    </row>
    <row r="11" spans="1:63" s="77" customFormat="1" ht="15" customHeight="1" x14ac:dyDescent="0.25">
      <c r="BK11" s="76"/>
    </row>
    <row r="12" spans="1:63" s="77" customFormat="1" ht="15" customHeight="1" x14ac:dyDescent="0.25">
      <c r="BK12" s="76"/>
    </row>
    <row r="13" spans="1:63" s="77" customFormat="1" ht="15" customHeight="1" x14ac:dyDescent="0.25">
      <c r="BK13" s="76"/>
    </row>
    <row r="14" spans="1:63" s="77" customFormat="1" ht="15" customHeight="1" x14ac:dyDescent="0.25">
      <c r="BK14" s="76"/>
    </row>
    <row r="15" spans="1:63" s="77" customFormat="1" ht="15" customHeight="1" x14ac:dyDescent="0.25">
      <c r="BK15" s="76"/>
    </row>
    <row r="16" spans="1:63" s="77" customFormat="1" ht="15" customHeight="1" x14ac:dyDescent="0.25">
      <c r="BK16" s="76"/>
    </row>
    <row r="17" spans="63:63" s="77" customFormat="1" ht="15" customHeight="1" x14ac:dyDescent="0.25">
      <c r="BK17" s="76"/>
    </row>
    <row r="18" spans="63:63" s="77" customFormat="1" ht="15" customHeight="1" x14ac:dyDescent="0.25">
      <c r="BK18" s="76"/>
    </row>
    <row r="19" spans="63:63" s="77" customFormat="1" ht="15" customHeight="1" x14ac:dyDescent="0.25">
      <c r="BK19" s="76"/>
    </row>
    <row r="20" spans="63:63" s="77" customFormat="1" ht="15" customHeight="1" x14ac:dyDescent="0.25">
      <c r="BK20" s="76"/>
    </row>
    <row r="21" spans="63:63" s="77" customFormat="1" ht="15" customHeight="1" x14ac:dyDescent="0.25">
      <c r="BK21" s="76"/>
    </row>
    <row r="22" spans="63:63" s="77" customFormat="1" ht="15" customHeight="1" x14ac:dyDescent="0.25">
      <c r="BK22" s="76"/>
    </row>
    <row r="23" spans="63:63" s="77" customFormat="1" ht="15" customHeight="1" x14ac:dyDescent="0.25">
      <c r="BK23" s="76"/>
    </row>
    <row r="24" spans="63:63" s="77" customFormat="1" ht="15" customHeight="1" x14ac:dyDescent="0.25">
      <c r="BK24" s="76"/>
    </row>
    <row r="25" spans="63:63" s="77" customFormat="1" ht="15" customHeight="1" x14ac:dyDescent="0.25">
      <c r="BK25" s="76"/>
    </row>
    <row r="26" spans="63:63" s="77" customFormat="1" ht="15" customHeight="1" x14ac:dyDescent="0.25">
      <c r="BK26" s="76"/>
    </row>
    <row r="27" spans="63:63" s="77" customFormat="1" ht="15" customHeight="1" x14ac:dyDescent="0.25">
      <c r="BK27" s="76"/>
    </row>
    <row r="28" spans="63:63" s="77" customFormat="1" ht="15" customHeight="1" x14ac:dyDescent="0.25">
      <c r="BK28" s="76"/>
    </row>
    <row r="29" spans="63:63" s="77" customFormat="1" ht="15" customHeight="1" x14ac:dyDescent="0.25">
      <c r="BK29" s="76"/>
    </row>
    <row r="30" spans="63:63" s="77" customFormat="1" ht="15" customHeight="1" x14ac:dyDescent="0.25">
      <c r="BK30" s="76"/>
    </row>
    <row r="31" spans="63:63" s="77" customFormat="1" ht="15" customHeight="1" x14ac:dyDescent="0.25">
      <c r="BK31" s="76"/>
    </row>
    <row r="32" spans="63:63" s="77" customFormat="1" ht="15" customHeight="1" x14ac:dyDescent="0.25">
      <c r="BK32" s="76"/>
    </row>
    <row r="33" spans="63:63" s="77" customFormat="1" ht="15" customHeight="1" x14ac:dyDescent="0.25">
      <c r="BK33" s="76"/>
    </row>
    <row r="34" spans="63:63" s="77" customFormat="1" ht="15" customHeight="1" x14ac:dyDescent="0.25">
      <c r="BK34" s="76"/>
    </row>
    <row r="35" spans="63:63" s="77" customFormat="1" ht="15" customHeight="1" x14ac:dyDescent="0.25">
      <c r="BK35" s="76"/>
    </row>
    <row r="36" spans="63:63" s="77" customFormat="1" ht="15" customHeight="1" x14ac:dyDescent="0.25">
      <c r="BK36" s="76"/>
    </row>
    <row r="37" spans="63:63" s="77" customFormat="1" ht="15" customHeight="1" x14ac:dyDescent="0.25">
      <c r="BK37" s="76"/>
    </row>
    <row r="38" spans="63:63" s="77" customFormat="1" ht="15" customHeight="1" x14ac:dyDescent="0.25">
      <c r="BK38" s="76"/>
    </row>
    <row r="39" spans="63:63" s="77" customFormat="1" ht="15" customHeight="1" x14ac:dyDescent="0.25">
      <c r="BK39" s="76"/>
    </row>
    <row r="40" spans="63:63" s="77" customFormat="1" ht="15" customHeight="1" x14ac:dyDescent="0.25">
      <c r="BK40" s="76"/>
    </row>
    <row r="41" spans="63:63" s="77" customFormat="1" ht="15" customHeight="1" x14ac:dyDescent="0.25">
      <c r="BK41" s="76"/>
    </row>
    <row r="42" spans="63:63" s="77" customFormat="1" ht="15" customHeight="1" x14ac:dyDescent="0.25">
      <c r="BK42" s="76"/>
    </row>
    <row r="43" spans="63:63" s="77" customFormat="1" ht="15" customHeight="1" x14ac:dyDescent="0.25">
      <c r="BK43" s="76"/>
    </row>
    <row r="44" spans="63:63" s="77" customFormat="1" ht="15" customHeight="1" x14ac:dyDescent="0.25">
      <c r="BK44" s="76"/>
    </row>
    <row r="45" spans="63:63" s="77" customFormat="1" ht="15" customHeight="1" x14ac:dyDescent="0.25">
      <c r="BK45" s="76"/>
    </row>
    <row r="46" spans="63:63" s="77" customFormat="1" ht="15" customHeight="1" x14ac:dyDescent="0.25">
      <c r="BK46" s="7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1" customWidth="1"/>
    <col min="43" max="62" width="4.109375" style="1" customWidth="1"/>
    <col min="63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APX002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59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78"/>
      <c r="AQ7" s="78"/>
      <c r="AR7" s="78"/>
      <c r="AS7" s="78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4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79"/>
      <c r="AQ8" s="79"/>
      <c r="AR8" s="79"/>
      <c r="AS8" s="79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79"/>
      <c r="AQ9" s="79"/>
      <c r="AR9" s="79"/>
      <c r="AS9" s="79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79"/>
      <c r="AQ10" s="79"/>
      <c r="AR10" s="79"/>
      <c r="AS10" s="79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60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61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94" t="s">
        <v>12</v>
      </c>
      <c r="D15" s="195"/>
      <c r="E15" s="194" t="s">
        <v>13</v>
      </c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95"/>
      <c r="AG15" s="194" t="s">
        <v>14</v>
      </c>
      <c r="AH15" s="196"/>
      <c r="AI15" s="196"/>
      <c r="AJ15" s="196"/>
      <c r="AK15" s="196"/>
      <c r="AL15" s="196"/>
      <c r="AM15" s="196"/>
      <c r="AN15" s="196"/>
      <c r="AO15" s="196"/>
      <c r="AP15" s="195"/>
      <c r="AQ15" s="194" t="s">
        <v>15</v>
      </c>
      <c r="AR15" s="196"/>
      <c r="AS15" s="196"/>
      <c r="AT15" s="196"/>
      <c r="AU15" s="196"/>
      <c r="AV15" s="196"/>
      <c r="AW15" s="196"/>
      <c r="AX15" s="196"/>
      <c r="AY15" s="196"/>
      <c r="AZ15" s="196"/>
      <c r="BA15" s="196"/>
      <c r="BB15" s="196"/>
      <c r="BC15" s="196"/>
      <c r="BD15" s="196"/>
      <c r="BE15" s="196"/>
      <c r="BF15" s="196"/>
      <c r="BG15" s="196"/>
      <c r="BH15" s="196"/>
      <c r="BI15" s="196"/>
      <c r="BJ15" s="195"/>
      <c r="BK15" s="17"/>
    </row>
    <row r="16" spans="1:63" s="18" customFormat="1" ht="15" customHeight="1" x14ac:dyDescent="0.25">
      <c r="A16" s="13"/>
      <c r="B16" s="20"/>
      <c r="C16" s="191">
        <v>1</v>
      </c>
      <c r="D16" s="193"/>
      <c r="E16" s="221" t="s">
        <v>33</v>
      </c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222"/>
      <c r="Z16" s="222"/>
      <c r="AA16" s="222"/>
      <c r="AB16" s="222"/>
      <c r="AC16" s="222"/>
      <c r="AD16" s="222"/>
      <c r="AE16" s="222"/>
      <c r="AF16" s="223"/>
      <c r="AG16" s="191" t="s">
        <v>22</v>
      </c>
      <c r="AH16" s="192"/>
      <c r="AI16" s="192"/>
      <c r="AJ16" s="192"/>
      <c r="AK16" s="192"/>
      <c r="AL16" s="192"/>
      <c r="AM16" s="192"/>
      <c r="AN16" s="192"/>
      <c r="AO16" s="192"/>
      <c r="AP16" s="193"/>
      <c r="AQ16" s="224" t="s">
        <v>5</v>
      </c>
      <c r="AR16" s="225"/>
      <c r="AS16" s="225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6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62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200" t="s">
        <v>63</v>
      </c>
      <c r="D20" s="202"/>
      <c r="E20" s="200" t="s">
        <v>64</v>
      </c>
      <c r="F20" s="201"/>
      <c r="G20" s="201"/>
      <c r="H20" s="201"/>
      <c r="I20" s="201"/>
      <c r="J20" s="201"/>
      <c r="K20" s="202"/>
      <c r="L20" s="194" t="s">
        <v>16</v>
      </c>
      <c r="M20" s="196"/>
      <c r="N20" s="195"/>
      <c r="O20" s="194" t="s">
        <v>17</v>
      </c>
      <c r="P20" s="196"/>
      <c r="Q20" s="196"/>
      <c r="R20" s="195"/>
      <c r="S20" s="194" t="s">
        <v>18</v>
      </c>
      <c r="T20" s="196"/>
      <c r="U20" s="196"/>
      <c r="V20" s="196"/>
      <c r="W20" s="196"/>
      <c r="X20" s="196"/>
      <c r="Y20" s="195"/>
      <c r="Z20" s="200" t="s">
        <v>65</v>
      </c>
      <c r="AA20" s="201"/>
      <c r="AB20" s="201"/>
      <c r="AC20" s="201"/>
      <c r="AD20" s="201"/>
      <c r="AE20" s="201"/>
      <c r="AF20" s="201"/>
      <c r="AG20" s="201"/>
      <c r="AH20" s="201"/>
      <c r="AI20" s="201"/>
      <c r="AJ20" s="201"/>
      <c r="AK20" s="201"/>
      <c r="AL20" s="201"/>
      <c r="AM20" s="201"/>
      <c r="AN20" s="201"/>
      <c r="AO20" s="201"/>
      <c r="AP20" s="202"/>
      <c r="AQ20" s="194" t="s">
        <v>15</v>
      </c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  <c r="BH20" s="196"/>
      <c r="BI20" s="196"/>
      <c r="BJ20" s="195"/>
      <c r="BK20" s="17"/>
    </row>
    <row r="21" spans="1:63" s="18" customFormat="1" ht="15" customHeight="1" x14ac:dyDescent="0.25">
      <c r="A21" s="13"/>
      <c r="B21" s="20"/>
      <c r="C21" s="191">
        <v>1</v>
      </c>
      <c r="D21" s="193"/>
      <c r="E21" s="206" t="s">
        <v>30</v>
      </c>
      <c r="F21" s="207"/>
      <c r="G21" s="207"/>
      <c r="H21" s="207"/>
      <c r="I21" s="207"/>
      <c r="J21" s="207"/>
      <c r="K21" s="208"/>
      <c r="L21" s="257" t="s">
        <v>3</v>
      </c>
      <c r="M21" s="258"/>
      <c r="N21" s="259"/>
      <c r="O21" s="191" t="s">
        <v>4</v>
      </c>
      <c r="P21" s="192"/>
      <c r="Q21" s="192"/>
      <c r="R21" s="193"/>
      <c r="S21" s="191" t="s">
        <v>5</v>
      </c>
      <c r="T21" s="192"/>
      <c r="U21" s="192"/>
      <c r="V21" s="192"/>
      <c r="W21" s="192"/>
      <c r="X21" s="192"/>
      <c r="Y21" s="193"/>
      <c r="Z21" s="206" t="s">
        <v>30</v>
      </c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209" t="s">
        <v>5</v>
      </c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1"/>
      <c r="BK21" s="17"/>
    </row>
    <row r="22" spans="1:63" s="18" customFormat="1" ht="15" customHeight="1" x14ac:dyDescent="0.25">
      <c r="A22" s="13"/>
      <c r="B22" s="20"/>
      <c r="C22" s="191">
        <v>2</v>
      </c>
      <c r="D22" s="193"/>
      <c r="E22" s="206" t="s">
        <v>6</v>
      </c>
      <c r="F22" s="207"/>
      <c r="G22" s="207"/>
      <c r="H22" s="207"/>
      <c r="I22" s="207"/>
      <c r="J22" s="207"/>
      <c r="K22" s="208"/>
      <c r="L22" s="257" t="s">
        <v>5</v>
      </c>
      <c r="M22" s="258"/>
      <c r="N22" s="259"/>
      <c r="O22" s="191" t="s">
        <v>4</v>
      </c>
      <c r="P22" s="192"/>
      <c r="Q22" s="192"/>
      <c r="R22" s="193"/>
      <c r="S22" s="191" t="s">
        <v>5</v>
      </c>
      <c r="T22" s="192"/>
      <c r="U22" s="192"/>
      <c r="V22" s="192"/>
      <c r="W22" s="192"/>
      <c r="X22" s="192"/>
      <c r="Y22" s="193"/>
      <c r="Z22" s="206" t="s">
        <v>6</v>
      </c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209" t="s">
        <v>7</v>
      </c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1"/>
      <c r="BK22" s="17"/>
    </row>
    <row r="23" spans="1:63" s="18" customFormat="1" ht="15" customHeight="1" x14ac:dyDescent="0.25">
      <c r="A23" s="13"/>
      <c r="B23" s="20"/>
      <c r="C23" s="245">
        <v>3</v>
      </c>
      <c r="D23" s="246"/>
      <c r="E23" s="236" t="s">
        <v>8</v>
      </c>
      <c r="F23" s="237"/>
      <c r="G23" s="237"/>
      <c r="H23" s="237"/>
      <c r="I23" s="237"/>
      <c r="J23" s="237"/>
      <c r="K23" s="238"/>
      <c r="L23" s="212" t="s">
        <v>5</v>
      </c>
      <c r="M23" s="213"/>
      <c r="N23" s="214"/>
      <c r="O23" s="266" t="s">
        <v>4</v>
      </c>
      <c r="P23" s="267"/>
      <c r="Q23" s="267"/>
      <c r="R23" s="268"/>
      <c r="S23" s="266" t="s">
        <v>5</v>
      </c>
      <c r="T23" s="267"/>
      <c r="U23" s="267"/>
      <c r="V23" s="267"/>
      <c r="W23" s="267"/>
      <c r="X23" s="267"/>
      <c r="Y23" s="268"/>
      <c r="Z23" s="227" t="s">
        <v>8</v>
      </c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9"/>
      <c r="AQ23" s="260" t="s">
        <v>66</v>
      </c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1"/>
      <c r="BK23" s="17"/>
    </row>
    <row r="24" spans="1:63" s="18" customFormat="1" ht="15" customHeight="1" x14ac:dyDescent="0.25">
      <c r="A24" s="13"/>
      <c r="B24" s="20"/>
      <c r="C24" s="247"/>
      <c r="D24" s="248"/>
      <c r="E24" s="239"/>
      <c r="F24" s="240"/>
      <c r="G24" s="240"/>
      <c r="H24" s="240"/>
      <c r="I24" s="240"/>
      <c r="J24" s="240"/>
      <c r="K24" s="241"/>
      <c r="L24" s="215"/>
      <c r="M24" s="216"/>
      <c r="N24" s="217"/>
      <c r="O24" s="269"/>
      <c r="P24" s="270"/>
      <c r="Q24" s="270"/>
      <c r="R24" s="271"/>
      <c r="S24" s="269"/>
      <c r="T24" s="270"/>
      <c r="U24" s="270"/>
      <c r="V24" s="270"/>
      <c r="W24" s="270"/>
      <c r="X24" s="270"/>
      <c r="Y24" s="271"/>
      <c r="Z24" s="230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3"/>
      <c r="BK24" s="17"/>
    </row>
    <row r="25" spans="1:63" s="18" customFormat="1" ht="25.5" customHeight="1" x14ac:dyDescent="0.25">
      <c r="A25" s="13"/>
      <c r="B25" s="20"/>
      <c r="C25" s="249"/>
      <c r="D25" s="250"/>
      <c r="E25" s="242"/>
      <c r="F25" s="243"/>
      <c r="G25" s="243"/>
      <c r="H25" s="243"/>
      <c r="I25" s="243"/>
      <c r="J25" s="243"/>
      <c r="K25" s="244"/>
      <c r="L25" s="218"/>
      <c r="M25" s="219"/>
      <c r="N25" s="220"/>
      <c r="O25" s="272"/>
      <c r="P25" s="273"/>
      <c r="Q25" s="273"/>
      <c r="R25" s="274"/>
      <c r="S25" s="272"/>
      <c r="T25" s="273"/>
      <c r="U25" s="273"/>
      <c r="V25" s="273"/>
      <c r="W25" s="273"/>
      <c r="X25" s="273"/>
      <c r="Y25" s="274"/>
      <c r="Z25" s="233"/>
      <c r="AA25" s="234"/>
      <c r="AB25" s="234"/>
      <c r="AC25" s="234"/>
      <c r="AD25" s="234"/>
      <c r="AE25" s="234"/>
      <c r="AF25" s="234"/>
      <c r="AG25" s="234"/>
      <c r="AH25" s="234"/>
      <c r="AI25" s="234"/>
      <c r="AJ25" s="234"/>
      <c r="AK25" s="234"/>
      <c r="AL25" s="234"/>
      <c r="AM25" s="234"/>
      <c r="AN25" s="234"/>
      <c r="AO25" s="234"/>
      <c r="AP25" s="235"/>
      <c r="AQ25" s="264"/>
      <c r="AR25" s="264"/>
      <c r="AS25" s="264"/>
      <c r="AT25" s="264"/>
      <c r="AU25" s="264"/>
      <c r="AV25" s="264"/>
      <c r="AW25" s="264"/>
      <c r="AX25" s="264"/>
      <c r="AY25" s="264"/>
      <c r="AZ25" s="264"/>
      <c r="BA25" s="264"/>
      <c r="BB25" s="264"/>
      <c r="BC25" s="264"/>
      <c r="BD25" s="264"/>
      <c r="BE25" s="264"/>
      <c r="BF25" s="264"/>
      <c r="BG25" s="264"/>
      <c r="BH25" s="264"/>
      <c r="BI25" s="264"/>
      <c r="BJ25" s="265"/>
      <c r="BK25" s="17"/>
    </row>
    <row r="26" spans="1:63" s="18" customFormat="1" ht="15" customHeight="1" x14ac:dyDescent="0.25">
      <c r="A26" s="13"/>
      <c r="B26" s="20"/>
      <c r="C26" s="191">
        <v>4</v>
      </c>
      <c r="D26" s="193"/>
      <c r="E26" s="206" t="s">
        <v>9</v>
      </c>
      <c r="F26" s="207"/>
      <c r="G26" s="207"/>
      <c r="H26" s="207"/>
      <c r="I26" s="207"/>
      <c r="J26" s="207"/>
      <c r="K26" s="208"/>
      <c r="L26" s="257" t="s">
        <v>5</v>
      </c>
      <c r="M26" s="258"/>
      <c r="N26" s="259"/>
      <c r="O26" s="191" t="s">
        <v>4</v>
      </c>
      <c r="P26" s="192"/>
      <c r="Q26" s="192"/>
      <c r="R26" s="193"/>
      <c r="S26" s="191" t="s">
        <v>5</v>
      </c>
      <c r="T26" s="192"/>
      <c r="U26" s="192"/>
      <c r="V26" s="192"/>
      <c r="W26" s="192"/>
      <c r="X26" s="192"/>
      <c r="Y26" s="193"/>
      <c r="Z26" s="206" t="s">
        <v>9</v>
      </c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209" t="s">
        <v>10</v>
      </c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  <c r="BK26" s="17"/>
    </row>
    <row r="27" spans="1:63" s="18" customFormat="1" ht="15" customHeight="1" x14ac:dyDescent="0.25">
      <c r="A27" s="13"/>
      <c r="B27" s="20"/>
      <c r="C27" s="191">
        <v>5</v>
      </c>
      <c r="D27" s="193"/>
      <c r="E27" s="206" t="s">
        <v>11</v>
      </c>
      <c r="F27" s="207"/>
      <c r="G27" s="207"/>
      <c r="H27" s="207"/>
      <c r="I27" s="207"/>
      <c r="J27" s="207"/>
      <c r="K27" s="208"/>
      <c r="L27" s="257" t="s">
        <v>5</v>
      </c>
      <c r="M27" s="258"/>
      <c r="N27" s="259"/>
      <c r="O27" s="191" t="s">
        <v>4</v>
      </c>
      <c r="P27" s="192"/>
      <c r="Q27" s="192"/>
      <c r="R27" s="193"/>
      <c r="S27" s="191" t="s">
        <v>5</v>
      </c>
      <c r="T27" s="192"/>
      <c r="U27" s="192"/>
      <c r="V27" s="192"/>
      <c r="W27" s="192"/>
      <c r="X27" s="192"/>
      <c r="Y27" s="193"/>
      <c r="Z27" s="206" t="s">
        <v>11</v>
      </c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209" t="s">
        <v>67</v>
      </c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1"/>
      <c r="BK27" s="17"/>
    </row>
    <row r="28" spans="1:63" s="18" customFormat="1" ht="15" customHeight="1" x14ac:dyDescent="0.25">
      <c r="A28" s="13"/>
      <c r="B28" s="20"/>
      <c r="C28" s="20"/>
      <c r="D28" s="20"/>
      <c r="E28" s="79"/>
      <c r="F28" s="79"/>
      <c r="G28" s="79"/>
      <c r="H28" s="79"/>
      <c r="I28" s="20"/>
      <c r="J28" s="20"/>
      <c r="K28" s="20"/>
      <c r="L28" s="82"/>
      <c r="M28" s="79"/>
      <c r="N28" s="79"/>
      <c r="O28" s="79"/>
      <c r="P28" s="79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79"/>
      <c r="AH28" s="79"/>
      <c r="AI28" s="79"/>
      <c r="AJ28" s="79"/>
      <c r="AK28" s="79"/>
      <c r="AL28" s="79"/>
      <c r="AM28" s="79"/>
      <c r="AN28" s="79"/>
      <c r="AO28" s="79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79"/>
      <c r="F29" s="79"/>
      <c r="G29" s="79"/>
      <c r="H29" s="79"/>
      <c r="I29" s="20"/>
      <c r="J29" s="20"/>
      <c r="K29" s="20"/>
      <c r="L29" s="29"/>
      <c r="M29" s="79"/>
      <c r="N29" s="79"/>
      <c r="O29" s="79"/>
      <c r="P29" s="79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79"/>
      <c r="AH29" s="79"/>
      <c r="AI29" s="79"/>
      <c r="AJ29" s="79"/>
      <c r="AK29" s="79"/>
      <c r="AL29" s="79"/>
      <c r="AM29" s="79"/>
      <c r="AN29" s="79"/>
      <c r="AO29" s="79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68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 t="s">
        <v>19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23" t="s">
        <v>69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23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 x14ac:dyDescent="0.25">
      <c r="A36" s="13"/>
      <c r="B36" s="20"/>
      <c r="C36" s="20"/>
      <c r="D36" s="20" t="s">
        <v>19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 x14ac:dyDescent="0.25">
      <c r="A37" s="1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 x14ac:dyDescent="0.25">
      <c r="A38" s="13"/>
      <c r="B38" s="14" t="s">
        <v>70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6"/>
      <c r="BI38" s="16"/>
      <c r="BJ38" s="16"/>
      <c r="BK38" s="17"/>
    </row>
    <row r="39" spans="1:63" s="18" customFormat="1" ht="15" customHeight="1" x14ac:dyDescent="0.25">
      <c r="A39" s="13"/>
      <c r="B39" s="19"/>
      <c r="C39" s="23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1"/>
      <c r="BK39" s="17"/>
    </row>
    <row r="40" spans="1:63" s="18" customFormat="1" ht="15" customHeight="1" x14ac:dyDescent="0.25">
      <c r="A40" s="13"/>
      <c r="B40" s="19"/>
      <c r="C40" s="23" t="s">
        <v>71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 x14ac:dyDescent="0.25">
      <c r="A41" s="13"/>
      <c r="B41" s="19"/>
      <c r="C41" s="23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 x14ac:dyDescent="0.25">
      <c r="A42" s="13"/>
      <c r="B42" s="20"/>
      <c r="C42" s="194" t="s">
        <v>12</v>
      </c>
      <c r="D42" s="195"/>
      <c r="E42" s="200" t="s">
        <v>72</v>
      </c>
      <c r="F42" s="201"/>
      <c r="G42" s="201"/>
      <c r="H42" s="201"/>
      <c r="I42" s="201"/>
      <c r="J42" s="201"/>
      <c r="K42" s="202"/>
      <c r="L42" s="194" t="s">
        <v>17</v>
      </c>
      <c r="M42" s="196"/>
      <c r="N42" s="196"/>
      <c r="O42" s="196"/>
      <c r="P42" s="196"/>
      <c r="Q42" s="196"/>
      <c r="R42" s="195"/>
      <c r="S42" s="203" t="s">
        <v>65</v>
      </c>
      <c r="T42" s="204"/>
      <c r="U42" s="204"/>
      <c r="V42" s="204"/>
      <c r="W42" s="204"/>
      <c r="X42" s="204"/>
      <c r="Y42" s="204"/>
      <c r="Z42" s="204"/>
      <c r="AA42" s="204"/>
      <c r="AB42" s="205"/>
      <c r="AC42" s="194" t="s">
        <v>15</v>
      </c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5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 x14ac:dyDescent="0.25">
      <c r="A43" s="13"/>
      <c r="B43" s="20"/>
      <c r="C43" s="191">
        <v>1</v>
      </c>
      <c r="D43" s="193"/>
      <c r="E43" s="191" t="s">
        <v>23</v>
      </c>
      <c r="F43" s="192"/>
      <c r="G43" s="192"/>
      <c r="H43" s="192"/>
      <c r="I43" s="192"/>
      <c r="J43" s="192"/>
      <c r="K43" s="193"/>
      <c r="L43" s="191" t="s">
        <v>37</v>
      </c>
      <c r="M43" s="192"/>
      <c r="N43" s="192"/>
      <c r="O43" s="192"/>
      <c r="P43" s="192"/>
      <c r="Q43" s="192"/>
      <c r="R43" s="193"/>
      <c r="S43" s="197" t="s">
        <v>25</v>
      </c>
      <c r="T43" s="198"/>
      <c r="U43" s="198"/>
      <c r="V43" s="198"/>
      <c r="W43" s="198"/>
      <c r="X43" s="198"/>
      <c r="Y43" s="198"/>
      <c r="Z43" s="198"/>
      <c r="AA43" s="198"/>
      <c r="AB43" s="199"/>
      <c r="AC43" s="191" t="s">
        <v>36</v>
      </c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3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 x14ac:dyDescent="0.25">
      <c r="A44" s="13"/>
      <c r="B44" s="20"/>
      <c r="C44" s="191">
        <f>C43+1</f>
        <v>2</v>
      </c>
      <c r="D44" s="193"/>
      <c r="E44" s="191" t="s">
        <v>24</v>
      </c>
      <c r="F44" s="192"/>
      <c r="G44" s="192"/>
      <c r="H44" s="192"/>
      <c r="I44" s="192"/>
      <c r="J44" s="192"/>
      <c r="K44" s="193"/>
      <c r="L44" s="191" t="s">
        <v>37</v>
      </c>
      <c r="M44" s="192"/>
      <c r="N44" s="192"/>
      <c r="O44" s="192"/>
      <c r="P44" s="192"/>
      <c r="Q44" s="192"/>
      <c r="R44" s="193"/>
      <c r="S44" s="197" t="s">
        <v>26</v>
      </c>
      <c r="T44" s="198"/>
      <c r="U44" s="198"/>
      <c r="V44" s="198"/>
      <c r="W44" s="198"/>
      <c r="X44" s="198"/>
      <c r="Y44" s="198"/>
      <c r="Z44" s="198"/>
      <c r="AA44" s="198"/>
      <c r="AB44" s="199"/>
      <c r="AC44" s="191" t="s">
        <v>27</v>
      </c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3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47" customFormat="1" ht="15" customHeight="1" x14ac:dyDescent="0.25">
      <c r="A45" s="43"/>
      <c r="B45" s="44"/>
      <c r="C45" s="251">
        <v>3</v>
      </c>
      <c r="D45" s="252"/>
      <c r="E45" s="251" t="s">
        <v>73</v>
      </c>
      <c r="F45" s="253"/>
      <c r="G45" s="253"/>
      <c r="H45" s="253"/>
      <c r="I45" s="253"/>
      <c r="J45" s="253"/>
      <c r="K45" s="252"/>
      <c r="L45" s="251" t="s">
        <v>74</v>
      </c>
      <c r="M45" s="253"/>
      <c r="N45" s="253"/>
      <c r="O45" s="253"/>
      <c r="P45" s="253"/>
      <c r="Q45" s="253"/>
      <c r="R45" s="252"/>
      <c r="S45" s="254" t="s">
        <v>75</v>
      </c>
      <c r="T45" s="255"/>
      <c r="U45" s="255"/>
      <c r="V45" s="255"/>
      <c r="W45" s="255"/>
      <c r="X45" s="255"/>
      <c r="Y45" s="255"/>
      <c r="Z45" s="255"/>
      <c r="AA45" s="255"/>
      <c r="AB45" s="256"/>
      <c r="AC45" s="251" t="s">
        <v>5</v>
      </c>
      <c r="AD45" s="253"/>
      <c r="AE45" s="253"/>
      <c r="AF45" s="253"/>
      <c r="AG45" s="253"/>
      <c r="AH45" s="253"/>
      <c r="AI45" s="253"/>
      <c r="AJ45" s="253"/>
      <c r="AK45" s="253"/>
      <c r="AL45" s="253"/>
      <c r="AM45" s="253"/>
      <c r="AN45" s="253"/>
      <c r="AO45" s="253"/>
      <c r="AP45" s="253"/>
      <c r="AQ45" s="253"/>
      <c r="AR45" s="253"/>
      <c r="AS45" s="253"/>
      <c r="AT45" s="253"/>
      <c r="AU45" s="252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5"/>
      <c r="BI45" s="45"/>
      <c r="BJ45" s="45"/>
      <c r="BK45" s="46"/>
    </row>
    <row r="46" spans="1:63" s="47" customFormat="1" ht="15" customHeight="1" x14ac:dyDescent="0.25">
      <c r="A46" s="43"/>
      <c r="B46" s="44"/>
      <c r="C46" s="251">
        <f t="shared" ref="C46:C56" si="0">C45+1</f>
        <v>4</v>
      </c>
      <c r="D46" s="252"/>
      <c r="E46" s="275" t="s">
        <v>76</v>
      </c>
      <c r="F46" s="276"/>
      <c r="G46" s="276"/>
      <c r="H46" s="276"/>
      <c r="I46" s="276"/>
      <c r="J46" s="276"/>
      <c r="K46" s="277"/>
      <c r="L46" s="251" t="s">
        <v>77</v>
      </c>
      <c r="M46" s="253"/>
      <c r="N46" s="253"/>
      <c r="O46" s="253"/>
      <c r="P46" s="253"/>
      <c r="Q46" s="253"/>
      <c r="R46" s="252"/>
      <c r="S46" s="254" t="s">
        <v>78</v>
      </c>
      <c r="T46" s="255"/>
      <c r="U46" s="255"/>
      <c r="V46" s="255"/>
      <c r="W46" s="255"/>
      <c r="X46" s="255"/>
      <c r="Y46" s="255"/>
      <c r="Z46" s="255"/>
      <c r="AA46" s="255"/>
      <c r="AB46" s="256"/>
      <c r="AC46" s="251" t="s">
        <v>5</v>
      </c>
      <c r="AD46" s="253"/>
      <c r="AE46" s="253"/>
      <c r="AF46" s="253"/>
      <c r="AG46" s="253"/>
      <c r="AH46" s="253"/>
      <c r="AI46" s="253"/>
      <c r="AJ46" s="253"/>
      <c r="AK46" s="253"/>
      <c r="AL46" s="253"/>
      <c r="AM46" s="253"/>
      <c r="AN46" s="253"/>
      <c r="AO46" s="253"/>
      <c r="AP46" s="253"/>
      <c r="AQ46" s="253"/>
      <c r="AR46" s="253"/>
      <c r="AS46" s="253"/>
      <c r="AT46" s="253"/>
      <c r="AU46" s="252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5"/>
      <c r="BI46" s="45"/>
      <c r="BJ46" s="45"/>
      <c r="BK46" s="46"/>
    </row>
    <row r="47" spans="1:63" s="47" customFormat="1" ht="15" customHeight="1" x14ac:dyDescent="0.25">
      <c r="A47" s="43"/>
      <c r="B47" s="44"/>
      <c r="C47" s="251">
        <f t="shared" si="0"/>
        <v>5</v>
      </c>
      <c r="D47" s="252"/>
      <c r="E47" s="275" t="s">
        <v>79</v>
      </c>
      <c r="F47" s="276"/>
      <c r="G47" s="276"/>
      <c r="H47" s="276"/>
      <c r="I47" s="276"/>
      <c r="J47" s="276"/>
      <c r="K47" s="277"/>
      <c r="L47" s="251" t="s">
        <v>77</v>
      </c>
      <c r="M47" s="253"/>
      <c r="N47" s="253"/>
      <c r="O47" s="253"/>
      <c r="P47" s="253"/>
      <c r="Q47" s="253"/>
      <c r="R47" s="252"/>
      <c r="S47" s="254" t="s">
        <v>80</v>
      </c>
      <c r="T47" s="255"/>
      <c r="U47" s="255"/>
      <c r="V47" s="255"/>
      <c r="W47" s="255"/>
      <c r="X47" s="255"/>
      <c r="Y47" s="255"/>
      <c r="Z47" s="255"/>
      <c r="AA47" s="255"/>
      <c r="AB47" s="256"/>
      <c r="AC47" s="251" t="s">
        <v>5</v>
      </c>
      <c r="AD47" s="253"/>
      <c r="AE47" s="253"/>
      <c r="AF47" s="253"/>
      <c r="AG47" s="253"/>
      <c r="AH47" s="253"/>
      <c r="AI47" s="253"/>
      <c r="AJ47" s="253"/>
      <c r="AK47" s="253"/>
      <c r="AL47" s="253"/>
      <c r="AM47" s="253"/>
      <c r="AN47" s="253"/>
      <c r="AO47" s="253"/>
      <c r="AP47" s="253"/>
      <c r="AQ47" s="253"/>
      <c r="AR47" s="253"/>
      <c r="AS47" s="253"/>
      <c r="AT47" s="253"/>
      <c r="AU47" s="252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5"/>
      <c r="BI47" s="45"/>
      <c r="BJ47" s="45"/>
      <c r="BK47" s="46"/>
    </row>
    <row r="48" spans="1:63" s="47" customFormat="1" ht="86.25" customHeight="1" x14ac:dyDescent="0.25">
      <c r="A48" s="43"/>
      <c r="B48" s="44"/>
      <c r="C48" s="251">
        <f t="shared" si="0"/>
        <v>6</v>
      </c>
      <c r="D48" s="252"/>
      <c r="E48" s="275" t="s">
        <v>81</v>
      </c>
      <c r="F48" s="276"/>
      <c r="G48" s="276"/>
      <c r="H48" s="276"/>
      <c r="I48" s="276"/>
      <c r="J48" s="276"/>
      <c r="K48" s="277"/>
      <c r="L48" s="251" t="s">
        <v>77</v>
      </c>
      <c r="M48" s="253"/>
      <c r="N48" s="253"/>
      <c r="O48" s="253"/>
      <c r="P48" s="253"/>
      <c r="Q48" s="253"/>
      <c r="R48" s="252"/>
      <c r="S48" s="254" t="s">
        <v>82</v>
      </c>
      <c r="T48" s="255"/>
      <c r="U48" s="255"/>
      <c r="V48" s="255"/>
      <c r="W48" s="255"/>
      <c r="X48" s="255"/>
      <c r="Y48" s="255"/>
      <c r="Z48" s="255"/>
      <c r="AA48" s="255"/>
      <c r="AB48" s="256"/>
      <c r="AC48" s="278" t="s">
        <v>83</v>
      </c>
      <c r="AD48" s="279"/>
      <c r="AE48" s="279"/>
      <c r="AF48" s="279"/>
      <c r="AG48" s="279"/>
      <c r="AH48" s="279"/>
      <c r="AI48" s="279"/>
      <c r="AJ48" s="279"/>
      <c r="AK48" s="279"/>
      <c r="AL48" s="279"/>
      <c r="AM48" s="279"/>
      <c r="AN48" s="279"/>
      <c r="AO48" s="279"/>
      <c r="AP48" s="279"/>
      <c r="AQ48" s="279"/>
      <c r="AR48" s="279"/>
      <c r="AS48" s="279"/>
      <c r="AT48" s="279"/>
      <c r="AU48" s="280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5"/>
      <c r="BI48" s="45"/>
      <c r="BJ48" s="45"/>
      <c r="BK48" s="46"/>
    </row>
    <row r="49" spans="1:63" s="47" customFormat="1" ht="15" customHeight="1" x14ac:dyDescent="0.25">
      <c r="A49" s="43"/>
      <c r="B49" s="44"/>
      <c r="C49" s="251">
        <f t="shared" si="0"/>
        <v>7</v>
      </c>
      <c r="D49" s="252"/>
      <c r="E49" s="275" t="s">
        <v>84</v>
      </c>
      <c r="F49" s="276"/>
      <c r="G49" s="276"/>
      <c r="H49" s="276"/>
      <c r="I49" s="276"/>
      <c r="J49" s="276"/>
      <c r="K49" s="277"/>
      <c r="L49" s="251" t="s">
        <v>77</v>
      </c>
      <c r="M49" s="253"/>
      <c r="N49" s="253"/>
      <c r="O49" s="253"/>
      <c r="P49" s="253"/>
      <c r="Q49" s="253"/>
      <c r="R49" s="252"/>
      <c r="S49" s="254" t="s">
        <v>85</v>
      </c>
      <c r="T49" s="255"/>
      <c r="U49" s="255"/>
      <c r="V49" s="255"/>
      <c r="W49" s="255"/>
      <c r="X49" s="255"/>
      <c r="Y49" s="255"/>
      <c r="Z49" s="255"/>
      <c r="AA49" s="255"/>
      <c r="AB49" s="256"/>
      <c r="AC49" s="251" t="s">
        <v>5</v>
      </c>
      <c r="AD49" s="253"/>
      <c r="AE49" s="253"/>
      <c r="AF49" s="253"/>
      <c r="AG49" s="253"/>
      <c r="AH49" s="253"/>
      <c r="AI49" s="253"/>
      <c r="AJ49" s="253"/>
      <c r="AK49" s="253"/>
      <c r="AL49" s="253"/>
      <c r="AM49" s="253"/>
      <c r="AN49" s="253"/>
      <c r="AO49" s="253"/>
      <c r="AP49" s="253"/>
      <c r="AQ49" s="253"/>
      <c r="AR49" s="253"/>
      <c r="AS49" s="253"/>
      <c r="AT49" s="253"/>
      <c r="AU49" s="252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5"/>
      <c r="BI49" s="45"/>
      <c r="BJ49" s="45"/>
      <c r="BK49" s="46"/>
    </row>
    <row r="50" spans="1:63" s="47" customFormat="1" ht="15" customHeight="1" x14ac:dyDescent="0.25">
      <c r="A50" s="43"/>
      <c r="B50" s="44"/>
      <c r="C50" s="251">
        <f t="shared" si="0"/>
        <v>8</v>
      </c>
      <c r="D50" s="252"/>
      <c r="E50" s="275" t="s">
        <v>86</v>
      </c>
      <c r="F50" s="276"/>
      <c r="G50" s="276"/>
      <c r="H50" s="276"/>
      <c r="I50" s="276"/>
      <c r="J50" s="276"/>
      <c r="K50" s="277"/>
      <c r="L50" s="251" t="s">
        <v>77</v>
      </c>
      <c r="M50" s="253"/>
      <c r="N50" s="253"/>
      <c r="O50" s="253"/>
      <c r="P50" s="253"/>
      <c r="Q50" s="253"/>
      <c r="R50" s="252"/>
      <c r="S50" s="254" t="s">
        <v>115</v>
      </c>
      <c r="T50" s="255"/>
      <c r="U50" s="255"/>
      <c r="V50" s="255"/>
      <c r="W50" s="255"/>
      <c r="X50" s="255"/>
      <c r="Y50" s="255"/>
      <c r="Z50" s="255"/>
      <c r="AA50" s="255"/>
      <c r="AB50" s="256"/>
      <c r="AC50" s="251" t="s">
        <v>87</v>
      </c>
      <c r="AD50" s="253"/>
      <c r="AE50" s="253"/>
      <c r="AF50" s="253"/>
      <c r="AG50" s="253"/>
      <c r="AH50" s="253"/>
      <c r="AI50" s="253"/>
      <c r="AJ50" s="253"/>
      <c r="AK50" s="253"/>
      <c r="AL50" s="253"/>
      <c r="AM50" s="253"/>
      <c r="AN50" s="253"/>
      <c r="AO50" s="253"/>
      <c r="AP50" s="253"/>
      <c r="AQ50" s="253"/>
      <c r="AR50" s="253"/>
      <c r="AS50" s="253"/>
      <c r="AT50" s="253"/>
      <c r="AU50" s="252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5"/>
      <c r="BI50" s="45"/>
      <c r="BJ50" s="45"/>
      <c r="BK50" s="46"/>
    </row>
    <row r="51" spans="1:63" s="47" customFormat="1" ht="38.25" customHeight="1" x14ac:dyDescent="0.25">
      <c r="A51" s="43"/>
      <c r="B51" s="44"/>
      <c r="C51" s="291">
        <f t="shared" si="0"/>
        <v>9</v>
      </c>
      <c r="D51" s="292"/>
      <c r="E51" s="293" t="s">
        <v>110</v>
      </c>
      <c r="F51" s="294"/>
      <c r="G51" s="294"/>
      <c r="H51" s="294"/>
      <c r="I51" s="294"/>
      <c r="J51" s="294"/>
      <c r="K51" s="295"/>
      <c r="L51" s="291" t="s">
        <v>77</v>
      </c>
      <c r="M51" s="297"/>
      <c r="N51" s="297"/>
      <c r="O51" s="297"/>
      <c r="P51" s="297"/>
      <c r="Q51" s="297"/>
      <c r="R51" s="292"/>
      <c r="S51" s="298" t="s">
        <v>116</v>
      </c>
      <c r="T51" s="299"/>
      <c r="U51" s="299"/>
      <c r="V51" s="299"/>
      <c r="W51" s="299"/>
      <c r="X51" s="299"/>
      <c r="Y51" s="299"/>
      <c r="Z51" s="299"/>
      <c r="AA51" s="299"/>
      <c r="AB51" s="300"/>
      <c r="AC51" s="296" t="s">
        <v>119</v>
      </c>
      <c r="AD51" s="297"/>
      <c r="AE51" s="297"/>
      <c r="AF51" s="297"/>
      <c r="AG51" s="297"/>
      <c r="AH51" s="297"/>
      <c r="AI51" s="297"/>
      <c r="AJ51" s="297"/>
      <c r="AK51" s="297"/>
      <c r="AL51" s="297"/>
      <c r="AM51" s="297"/>
      <c r="AN51" s="297"/>
      <c r="AO51" s="297"/>
      <c r="AP51" s="297"/>
      <c r="AQ51" s="297"/>
      <c r="AR51" s="297"/>
      <c r="AS51" s="297"/>
      <c r="AT51" s="297"/>
      <c r="AU51" s="292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5"/>
      <c r="BI51" s="45"/>
      <c r="BJ51" s="45"/>
      <c r="BK51" s="46"/>
    </row>
    <row r="52" spans="1:63" s="47" customFormat="1" ht="15" customHeight="1" x14ac:dyDescent="0.25">
      <c r="A52" s="43"/>
      <c r="B52" s="44"/>
      <c r="C52" s="291">
        <f t="shared" si="0"/>
        <v>10</v>
      </c>
      <c r="D52" s="292"/>
      <c r="E52" s="293" t="s">
        <v>111</v>
      </c>
      <c r="F52" s="294"/>
      <c r="G52" s="294"/>
      <c r="H52" s="294"/>
      <c r="I52" s="294"/>
      <c r="J52" s="294"/>
      <c r="K52" s="295"/>
      <c r="L52" s="291" t="s">
        <v>77</v>
      </c>
      <c r="M52" s="297"/>
      <c r="N52" s="297"/>
      <c r="O52" s="297"/>
      <c r="P52" s="297"/>
      <c r="Q52" s="297"/>
      <c r="R52" s="292"/>
      <c r="S52" s="298" t="s">
        <v>117</v>
      </c>
      <c r="T52" s="299"/>
      <c r="U52" s="299"/>
      <c r="V52" s="299"/>
      <c r="W52" s="299"/>
      <c r="X52" s="299"/>
      <c r="Y52" s="299"/>
      <c r="Z52" s="299"/>
      <c r="AA52" s="299"/>
      <c r="AB52" s="300"/>
      <c r="AC52" s="291" t="s">
        <v>112</v>
      </c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297"/>
      <c r="AT52" s="297"/>
      <c r="AU52" s="292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5"/>
      <c r="BI52" s="45"/>
      <c r="BJ52" s="45"/>
      <c r="BK52" s="46"/>
    </row>
    <row r="53" spans="1:63" s="47" customFormat="1" ht="15" customHeight="1" x14ac:dyDescent="0.25">
      <c r="A53" s="43"/>
      <c r="B53" s="44"/>
      <c r="C53" s="291">
        <f t="shared" si="0"/>
        <v>11</v>
      </c>
      <c r="D53" s="292"/>
      <c r="E53" s="293" t="s">
        <v>113</v>
      </c>
      <c r="F53" s="294"/>
      <c r="G53" s="294"/>
      <c r="H53" s="294"/>
      <c r="I53" s="294"/>
      <c r="J53" s="294"/>
      <c r="K53" s="295"/>
      <c r="L53" s="291" t="s">
        <v>77</v>
      </c>
      <c r="M53" s="297"/>
      <c r="N53" s="297"/>
      <c r="O53" s="297"/>
      <c r="P53" s="297"/>
      <c r="Q53" s="297"/>
      <c r="R53" s="292"/>
      <c r="S53" s="298" t="s">
        <v>118</v>
      </c>
      <c r="T53" s="299"/>
      <c r="U53" s="299"/>
      <c r="V53" s="299"/>
      <c r="W53" s="299"/>
      <c r="X53" s="299"/>
      <c r="Y53" s="299"/>
      <c r="Z53" s="299"/>
      <c r="AA53" s="299"/>
      <c r="AB53" s="300"/>
      <c r="AC53" s="291" t="s">
        <v>114</v>
      </c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297"/>
      <c r="AT53" s="297"/>
      <c r="AU53" s="292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5"/>
      <c r="BI53" s="45"/>
      <c r="BJ53" s="45"/>
      <c r="BK53" s="46"/>
    </row>
    <row r="54" spans="1:63" s="47" customFormat="1" ht="33" customHeight="1" x14ac:dyDescent="0.25">
      <c r="A54" s="43"/>
      <c r="B54" s="44"/>
      <c r="C54" s="291">
        <f t="shared" si="0"/>
        <v>12</v>
      </c>
      <c r="D54" s="292"/>
      <c r="E54" s="275" t="s">
        <v>88</v>
      </c>
      <c r="F54" s="276"/>
      <c r="G54" s="276"/>
      <c r="H54" s="276"/>
      <c r="I54" s="276"/>
      <c r="J54" s="276"/>
      <c r="K54" s="277"/>
      <c r="L54" s="251" t="s">
        <v>89</v>
      </c>
      <c r="M54" s="253"/>
      <c r="N54" s="253"/>
      <c r="O54" s="253"/>
      <c r="P54" s="253"/>
      <c r="Q54" s="253"/>
      <c r="R54" s="252"/>
      <c r="S54" s="281" t="s">
        <v>90</v>
      </c>
      <c r="T54" s="282"/>
      <c r="U54" s="282"/>
      <c r="V54" s="282"/>
      <c r="W54" s="282"/>
      <c r="X54" s="282"/>
      <c r="Y54" s="282"/>
      <c r="Z54" s="282"/>
      <c r="AA54" s="282"/>
      <c r="AB54" s="283"/>
      <c r="AC54" s="251" t="s">
        <v>5</v>
      </c>
      <c r="AD54" s="253"/>
      <c r="AE54" s="253"/>
      <c r="AF54" s="253"/>
      <c r="AG54" s="253"/>
      <c r="AH54" s="253"/>
      <c r="AI54" s="253"/>
      <c r="AJ54" s="253"/>
      <c r="AK54" s="253"/>
      <c r="AL54" s="253"/>
      <c r="AM54" s="253"/>
      <c r="AN54" s="253"/>
      <c r="AO54" s="253"/>
      <c r="AP54" s="253"/>
      <c r="AQ54" s="253"/>
      <c r="AR54" s="253"/>
      <c r="AS54" s="253"/>
      <c r="AT54" s="253"/>
      <c r="AU54" s="252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5"/>
      <c r="BI54" s="45"/>
      <c r="BJ54" s="45"/>
      <c r="BK54" s="46"/>
    </row>
    <row r="55" spans="1:63" s="47" customFormat="1" ht="15" customHeight="1" x14ac:dyDescent="0.25">
      <c r="A55" s="43"/>
      <c r="B55" s="44"/>
      <c r="C55" s="291">
        <f t="shared" si="0"/>
        <v>13</v>
      </c>
      <c r="D55" s="292"/>
      <c r="E55" s="285" t="s">
        <v>91</v>
      </c>
      <c r="F55" s="286"/>
      <c r="G55" s="286"/>
      <c r="H55" s="286"/>
      <c r="I55" s="286"/>
      <c r="J55" s="286"/>
      <c r="K55" s="287"/>
      <c r="L55" s="251" t="s">
        <v>77</v>
      </c>
      <c r="M55" s="253"/>
      <c r="N55" s="253"/>
      <c r="O55" s="253"/>
      <c r="P55" s="253"/>
      <c r="Q55" s="253"/>
      <c r="R55" s="252"/>
      <c r="S55" s="254" t="s">
        <v>92</v>
      </c>
      <c r="T55" s="255"/>
      <c r="U55" s="255"/>
      <c r="V55" s="255"/>
      <c r="W55" s="255"/>
      <c r="X55" s="255"/>
      <c r="Y55" s="255"/>
      <c r="Z55" s="255"/>
      <c r="AA55" s="255"/>
      <c r="AB55" s="256"/>
      <c r="AC55" s="251" t="s">
        <v>93</v>
      </c>
      <c r="AD55" s="253"/>
      <c r="AE55" s="253"/>
      <c r="AF55" s="253"/>
      <c r="AG55" s="253"/>
      <c r="AH55" s="253"/>
      <c r="AI55" s="253"/>
      <c r="AJ55" s="253"/>
      <c r="AK55" s="253"/>
      <c r="AL55" s="253"/>
      <c r="AM55" s="253"/>
      <c r="AN55" s="253"/>
      <c r="AO55" s="253"/>
      <c r="AP55" s="253"/>
      <c r="AQ55" s="253"/>
      <c r="AR55" s="253"/>
      <c r="AS55" s="253"/>
      <c r="AT55" s="253"/>
      <c r="AU55" s="252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5"/>
      <c r="BI55" s="45"/>
      <c r="BJ55" s="45"/>
      <c r="BK55" s="46"/>
    </row>
    <row r="56" spans="1:63" s="47" customFormat="1" ht="15" customHeight="1" x14ac:dyDescent="0.25">
      <c r="A56" s="43"/>
      <c r="B56" s="44"/>
      <c r="C56" s="291">
        <f t="shared" si="0"/>
        <v>14</v>
      </c>
      <c r="D56" s="292"/>
      <c r="E56" s="285" t="s">
        <v>94</v>
      </c>
      <c r="F56" s="286"/>
      <c r="G56" s="286"/>
      <c r="H56" s="286"/>
      <c r="I56" s="286"/>
      <c r="J56" s="286"/>
      <c r="K56" s="287"/>
      <c r="L56" s="251" t="s">
        <v>77</v>
      </c>
      <c r="M56" s="253"/>
      <c r="N56" s="253"/>
      <c r="O56" s="253"/>
      <c r="P56" s="253"/>
      <c r="Q56" s="253"/>
      <c r="R56" s="252"/>
      <c r="S56" s="254" t="s">
        <v>95</v>
      </c>
      <c r="T56" s="255"/>
      <c r="U56" s="255"/>
      <c r="V56" s="255"/>
      <c r="W56" s="255"/>
      <c r="X56" s="255"/>
      <c r="Y56" s="255"/>
      <c r="Z56" s="255"/>
      <c r="AA56" s="255"/>
      <c r="AB56" s="256"/>
      <c r="AC56" s="251" t="s">
        <v>96</v>
      </c>
      <c r="AD56" s="253"/>
      <c r="AE56" s="253"/>
      <c r="AF56" s="253"/>
      <c r="AG56" s="253"/>
      <c r="AH56" s="253"/>
      <c r="AI56" s="253"/>
      <c r="AJ56" s="253"/>
      <c r="AK56" s="253"/>
      <c r="AL56" s="253"/>
      <c r="AM56" s="253"/>
      <c r="AN56" s="253"/>
      <c r="AO56" s="253"/>
      <c r="AP56" s="253"/>
      <c r="AQ56" s="253"/>
      <c r="AR56" s="253"/>
      <c r="AS56" s="253"/>
      <c r="AT56" s="253"/>
      <c r="AU56" s="252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5"/>
      <c r="BI56" s="45"/>
      <c r="BJ56" s="45"/>
      <c r="BK56" s="46"/>
    </row>
    <row r="57" spans="1:63" s="18" customFormat="1" ht="15" customHeight="1" x14ac:dyDescent="0.25">
      <c r="A57" s="13"/>
      <c r="B57" s="20"/>
      <c r="C57" s="20"/>
      <c r="D57" s="20"/>
      <c r="E57" s="79"/>
      <c r="F57" s="79"/>
      <c r="G57" s="79"/>
      <c r="H57" s="7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79"/>
      <c r="T57" s="79"/>
      <c r="U57" s="79"/>
      <c r="V57" s="79"/>
      <c r="W57" s="79"/>
      <c r="X57" s="79"/>
      <c r="Y57" s="79"/>
      <c r="Z57" s="79"/>
      <c r="AA57" s="79"/>
      <c r="AB57" s="20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20"/>
      <c r="C58" s="23" t="s">
        <v>97</v>
      </c>
      <c r="D58" s="20"/>
      <c r="E58" s="79"/>
      <c r="F58" s="20"/>
      <c r="G58" s="7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20"/>
      <c r="C59" s="23"/>
      <c r="D59" s="79"/>
      <c r="E59" s="79"/>
      <c r="F59" s="20"/>
      <c r="G59" s="7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8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24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 x14ac:dyDescent="0.25">
      <c r="A61" s="13"/>
      <c r="B61" s="20"/>
      <c r="C61" s="81"/>
      <c r="D61" s="20" t="s">
        <v>20</v>
      </c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70.5" customHeight="1" x14ac:dyDescent="0.25">
      <c r="A62" s="13"/>
      <c r="B62" s="20"/>
      <c r="C62" s="81"/>
      <c r="D62" s="20"/>
      <c r="E62" s="284" t="s">
        <v>28</v>
      </c>
      <c r="F62" s="284"/>
      <c r="G62" s="284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4"/>
      <c r="AO62" s="284"/>
      <c r="AP62" s="284"/>
      <c r="AQ62" s="284"/>
      <c r="AR62" s="284"/>
      <c r="AS62" s="284"/>
      <c r="AT62" s="20"/>
      <c r="AU62" s="25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81"/>
      <c r="D63" s="20"/>
      <c r="E63" s="20" t="s">
        <v>34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53" customFormat="1" ht="15" customHeight="1" x14ac:dyDescent="0.25">
      <c r="A64" s="48"/>
      <c r="B64" s="49"/>
      <c r="C64" s="48"/>
      <c r="D64" s="49"/>
      <c r="E64" s="44" t="s">
        <v>98</v>
      </c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50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51"/>
      <c r="BI64" s="51"/>
      <c r="BJ64" s="51"/>
      <c r="BK64" s="52"/>
    </row>
    <row r="65" spans="1:63" s="53" customFormat="1" ht="15" customHeight="1" x14ac:dyDescent="0.25">
      <c r="A65" s="48"/>
      <c r="B65" s="49"/>
      <c r="C65" s="48"/>
      <c r="D65" s="49"/>
      <c r="E65" s="49"/>
      <c r="F65" s="49" t="s">
        <v>99</v>
      </c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50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51"/>
      <c r="BI65" s="51"/>
      <c r="BJ65" s="51"/>
      <c r="BK65" s="52"/>
    </row>
    <row r="66" spans="1:63" s="53" customFormat="1" ht="15" customHeight="1" x14ac:dyDescent="0.25">
      <c r="A66" s="48"/>
      <c r="B66" s="49"/>
      <c r="C66" s="48"/>
      <c r="D66" s="49"/>
      <c r="E66" s="49"/>
      <c r="F66" s="49" t="s">
        <v>100</v>
      </c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50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51"/>
      <c r="BI66" s="51"/>
      <c r="BJ66" s="51"/>
      <c r="BK66" s="52"/>
    </row>
    <row r="67" spans="1:63" s="53" customFormat="1" ht="15" customHeight="1" x14ac:dyDescent="0.25">
      <c r="A67" s="48"/>
      <c r="B67" s="49"/>
      <c r="C67" s="48"/>
      <c r="D67" s="49"/>
      <c r="E67" s="49"/>
      <c r="F67" s="49" t="s">
        <v>101</v>
      </c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50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51"/>
      <c r="BI67" s="51"/>
      <c r="BJ67" s="51"/>
      <c r="BK67" s="52"/>
    </row>
    <row r="68" spans="1:63" s="53" customFormat="1" ht="15" customHeight="1" x14ac:dyDescent="0.25">
      <c r="A68" s="48"/>
      <c r="B68" s="49"/>
      <c r="C68" s="48"/>
      <c r="D68" s="49"/>
      <c r="E68" s="49"/>
      <c r="F68" s="49" t="s">
        <v>102</v>
      </c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50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51"/>
      <c r="BI68" s="51"/>
      <c r="BJ68" s="51"/>
      <c r="BK68" s="52"/>
    </row>
    <row r="69" spans="1:63" s="53" customFormat="1" ht="15" customHeight="1" x14ac:dyDescent="0.25">
      <c r="A69" s="48"/>
      <c r="B69" s="49"/>
      <c r="C69" s="48"/>
      <c r="D69" s="49"/>
      <c r="E69" s="49"/>
      <c r="F69" s="49" t="s">
        <v>103</v>
      </c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50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51"/>
      <c r="BI69" s="51"/>
      <c r="BJ69" s="51"/>
      <c r="BK69" s="52"/>
    </row>
    <row r="70" spans="1:63" s="47" customFormat="1" ht="15" customHeight="1" x14ac:dyDescent="0.25">
      <c r="A70" s="43"/>
      <c r="B70" s="44"/>
      <c r="C70" s="43"/>
      <c r="D70" s="44"/>
      <c r="E70" s="44"/>
      <c r="F70" s="44" t="s">
        <v>104</v>
      </c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5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5"/>
      <c r="BI70" s="45"/>
      <c r="BJ70" s="45"/>
      <c r="BK70" s="46"/>
    </row>
    <row r="71" spans="1:63" s="53" customFormat="1" ht="15" customHeight="1" x14ac:dyDescent="0.25">
      <c r="A71" s="48"/>
      <c r="B71" s="49"/>
      <c r="C71" s="48"/>
      <c r="D71" s="49"/>
      <c r="E71" s="49"/>
      <c r="F71" s="49"/>
      <c r="G71" s="49" t="s">
        <v>20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50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51"/>
      <c r="BI71" s="51"/>
      <c r="BJ71" s="51"/>
      <c r="BK71" s="52"/>
    </row>
    <row r="72" spans="1:63" s="53" customFormat="1" ht="15" customHeight="1" x14ac:dyDescent="0.25">
      <c r="A72" s="48"/>
      <c r="B72" s="49"/>
      <c r="C72" s="48"/>
      <c r="D72" s="49"/>
      <c r="E72" s="49"/>
      <c r="F72" s="49"/>
      <c r="G72" s="49"/>
      <c r="H72" s="49" t="s">
        <v>105</v>
      </c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50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51"/>
      <c r="BI72" s="51"/>
      <c r="BJ72" s="51"/>
      <c r="BK72" s="52"/>
    </row>
    <row r="73" spans="1:63" s="53" customFormat="1" ht="15" customHeight="1" x14ac:dyDescent="0.25">
      <c r="A73" s="48"/>
      <c r="B73" s="49"/>
      <c r="C73" s="48"/>
      <c r="D73" s="49"/>
      <c r="E73" s="49"/>
      <c r="F73" s="49"/>
      <c r="G73" s="49"/>
      <c r="H73" s="49" t="s">
        <v>106</v>
      </c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50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51"/>
      <c r="BI73" s="51"/>
      <c r="BJ73" s="51"/>
      <c r="BK73" s="52"/>
    </row>
    <row r="74" spans="1:63" s="53" customFormat="1" ht="15" customHeight="1" x14ac:dyDescent="0.25">
      <c r="A74" s="48"/>
      <c r="B74" s="49"/>
      <c r="C74" s="48"/>
      <c r="D74" s="49"/>
      <c r="E74" s="49"/>
      <c r="F74" s="49"/>
      <c r="G74" s="49" t="s">
        <v>21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50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51"/>
      <c r="BI74" s="51"/>
      <c r="BJ74" s="51"/>
      <c r="BK74" s="52"/>
    </row>
    <row r="75" spans="1:63" s="47" customFormat="1" ht="15" customHeight="1" x14ac:dyDescent="0.25">
      <c r="A75" s="43"/>
      <c r="B75" s="44"/>
      <c r="C75" s="43"/>
      <c r="D75" s="44"/>
      <c r="E75" s="44"/>
      <c r="F75" s="44" t="s">
        <v>35</v>
      </c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5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5"/>
      <c r="BI75" s="45"/>
      <c r="BJ75" s="45"/>
      <c r="BK75" s="46"/>
    </row>
    <row r="76" spans="1:63" s="18" customFormat="1" ht="15" customHeight="1" x14ac:dyDescent="0.25">
      <c r="A76" s="13"/>
      <c r="B76" s="20"/>
      <c r="C76" s="81"/>
      <c r="D76" s="20" t="s">
        <v>21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8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26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19" t="s">
        <v>107</v>
      </c>
      <c r="D79" s="20"/>
      <c r="E79" s="79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19"/>
      <c r="D80" s="20"/>
      <c r="E80" s="79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0" t="s">
        <v>29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39" customFormat="1" ht="15" customHeight="1" x14ac:dyDescent="0.25">
      <c r="A82" s="34"/>
      <c r="B82" s="35"/>
      <c r="C82" s="35"/>
      <c r="D82" s="35"/>
      <c r="E82" s="36"/>
      <c r="F82" s="36"/>
      <c r="G82" s="36"/>
      <c r="H82" s="36"/>
      <c r="I82" s="36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7"/>
      <c r="BI82" s="37"/>
      <c r="BJ82" s="37"/>
      <c r="BK82" s="38"/>
    </row>
  </sheetData>
  <mergeCells count="146">
    <mergeCell ref="AC53:AU53"/>
    <mergeCell ref="E62:AS62"/>
    <mergeCell ref="C56:D56"/>
    <mergeCell ref="E56:K56"/>
    <mergeCell ref="L56:R56"/>
    <mergeCell ref="S56:AB56"/>
    <mergeCell ref="AC56:AU56"/>
    <mergeCell ref="C55:D55"/>
    <mergeCell ref="E55:K55"/>
    <mergeCell ref="L55:R55"/>
    <mergeCell ref="S55:AB55"/>
    <mergeCell ref="AC55:AU55"/>
    <mergeCell ref="C54:D54"/>
    <mergeCell ref="E54:K54"/>
    <mergeCell ref="L54:R54"/>
    <mergeCell ref="S54:AB54"/>
    <mergeCell ref="AC54:AU54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C49:D49"/>
    <mergeCell ref="E49:K49"/>
    <mergeCell ref="L49:R49"/>
    <mergeCell ref="S49:AB49"/>
    <mergeCell ref="AC49:AU49"/>
    <mergeCell ref="C48:D48"/>
    <mergeCell ref="E48:K48"/>
    <mergeCell ref="L48:R48"/>
    <mergeCell ref="S48:AB48"/>
    <mergeCell ref="AC48:AU48"/>
    <mergeCell ref="L20:N20"/>
    <mergeCell ref="S22:Y22"/>
    <mergeCell ref="S23:Y25"/>
    <mergeCell ref="C47:D47"/>
    <mergeCell ref="E47:K47"/>
    <mergeCell ref="L47:R47"/>
    <mergeCell ref="S47:AB47"/>
    <mergeCell ref="AC47:AU47"/>
    <mergeCell ref="C46:D46"/>
    <mergeCell ref="E46:K46"/>
    <mergeCell ref="L46:R46"/>
    <mergeCell ref="S46:AB46"/>
    <mergeCell ref="AC46:AU4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5:D45"/>
    <mergeCell ref="E45:K45"/>
    <mergeCell ref="L45:R45"/>
    <mergeCell ref="S45:AB45"/>
    <mergeCell ref="AQ27:BJ27"/>
    <mergeCell ref="AQ22:BJ22"/>
    <mergeCell ref="Z20:AP20"/>
    <mergeCell ref="C21:D21"/>
    <mergeCell ref="E21:K21"/>
    <mergeCell ref="L21:N21"/>
    <mergeCell ref="O21:R21"/>
    <mergeCell ref="S21:Y21"/>
    <mergeCell ref="Z21:AP21"/>
    <mergeCell ref="AQ21:BJ21"/>
    <mergeCell ref="AQ23:BJ25"/>
    <mergeCell ref="Z22:AP22"/>
    <mergeCell ref="O22:R22"/>
    <mergeCell ref="L22:N22"/>
    <mergeCell ref="O23:R25"/>
    <mergeCell ref="C27:D27"/>
    <mergeCell ref="L26:N26"/>
    <mergeCell ref="L27:N27"/>
    <mergeCell ref="C26:D26"/>
    <mergeCell ref="AC45:AU45"/>
    <mergeCell ref="L23:N25"/>
    <mergeCell ref="C22:D22"/>
    <mergeCell ref="AQ20:BJ20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AG16:AP16"/>
    <mergeCell ref="Z23:AP25"/>
    <mergeCell ref="E22:K22"/>
    <mergeCell ref="E23:K25"/>
    <mergeCell ref="C23:D25"/>
    <mergeCell ref="E20:K20"/>
    <mergeCell ref="C20:D20"/>
    <mergeCell ref="S20:Y20"/>
    <mergeCell ref="O20:R20"/>
    <mergeCell ref="S27:Y27"/>
    <mergeCell ref="O26:R26"/>
    <mergeCell ref="O27:R27"/>
    <mergeCell ref="C42:D42"/>
    <mergeCell ref="C43:D43"/>
    <mergeCell ref="AC42:AU42"/>
    <mergeCell ref="AC43:AU43"/>
    <mergeCell ref="AC44:AU44"/>
    <mergeCell ref="E43:K43"/>
    <mergeCell ref="E44:K44"/>
    <mergeCell ref="L44:R44"/>
    <mergeCell ref="S44:AB44"/>
    <mergeCell ref="C44:D44"/>
    <mergeCell ref="L42:R42"/>
    <mergeCell ref="L43:R43"/>
    <mergeCell ref="E42:K42"/>
    <mergeCell ref="S42:AB42"/>
    <mergeCell ref="S43:AB43"/>
    <mergeCell ref="E27:K27"/>
    <mergeCell ref="AQ26:BJ26"/>
    <mergeCell ref="Z27:AP27"/>
    <mergeCell ref="E26:K26"/>
    <mergeCell ref="S26:Y26"/>
    <mergeCell ref="Z26:AP26"/>
  </mergeCells>
  <pageMargins left="0.7" right="0.7" top="0.75" bottom="0.75" header="0.3" footer="0.3"/>
  <pageSetup scale="3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70C0"/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処理フロー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7" customFormat="1" ht="15" customHeight="1" x14ac:dyDescent="0.25">
      <c r="B7" s="40"/>
      <c r="C7" s="21"/>
      <c r="D7" s="21"/>
      <c r="E7" s="21"/>
      <c r="F7" s="21"/>
      <c r="G7" s="21"/>
      <c r="AI7" s="84"/>
      <c r="BJ7" s="84"/>
      <c r="BK7" s="76"/>
    </row>
    <row r="8" spans="1:63" s="77" customFormat="1" ht="15" customHeight="1" x14ac:dyDescent="0.25">
      <c r="B8" s="40"/>
      <c r="C8" s="21"/>
      <c r="D8" s="21"/>
      <c r="E8" s="21"/>
      <c r="F8" s="21"/>
      <c r="G8" s="21"/>
      <c r="AI8" s="84"/>
      <c r="BJ8" s="84"/>
      <c r="BK8" s="76"/>
    </row>
    <row r="9" spans="1:63" s="77" customFormat="1" ht="15" customHeight="1" x14ac:dyDescent="0.25">
      <c r="B9" s="40"/>
      <c r="C9" s="21"/>
      <c r="D9" s="21"/>
      <c r="E9" s="21"/>
      <c r="F9" s="21"/>
      <c r="G9" s="21"/>
      <c r="AI9" s="84"/>
      <c r="BJ9" s="84"/>
      <c r="BK9" s="76"/>
    </row>
    <row r="10" spans="1:63" s="77" customFormat="1" ht="15" customHeight="1" x14ac:dyDescent="0.25">
      <c r="B10" s="40"/>
      <c r="C10" s="21"/>
      <c r="D10" s="21"/>
      <c r="E10" s="21"/>
      <c r="F10" s="21"/>
      <c r="G10" s="21"/>
      <c r="AI10" s="84"/>
      <c r="BJ10" s="84"/>
      <c r="BK10" s="76"/>
    </row>
    <row r="11" spans="1:63" s="77" customFormat="1" ht="15" customHeight="1" x14ac:dyDescent="0.25">
      <c r="B11" s="85"/>
      <c r="AI11" s="84"/>
      <c r="BJ11" s="84"/>
      <c r="BK11" s="76"/>
    </row>
    <row r="12" spans="1:63" s="77" customFormat="1" ht="15" customHeight="1" x14ac:dyDescent="0.25">
      <c r="B12" s="85"/>
      <c r="AI12" s="84"/>
      <c r="BJ12" s="84"/>
      <c r="BK12" s="76"/>
    </row>
    <row r="13" spans="1:63" s="77" customFormat="1" ht="15" customHeight="1" x14ac:dyDescent="0.25">
      <c r="B13" s="85"/>
      <c r="AI13" s="84"/>
      <c r="BJ13" s="84"/>
      <c r="BK13" s="76"/>
    </row>
    <row r="14" spans="1:63" s="77" customFormat="1" ht="15" customHeight="1" x14ac:dyDescent="0.25">
      <c r="B14" s="85"/>
      <c r="AI14" s="84"/>
      <c r="BJ14" s="84"/>
      <c r="BK14" s="76"/>
    </row>
    <row r="15" spans="1:63" s="77" customFormat="1" ht="15" customHeight="1" x14ac:dyDescent="0.25">
      <c r="B15" s="85"/>
      <c r="AI15" s="84"/>
      <c r="BJ15" s="84"/>
      <c r="BK15" s="76"/>
    </row>
    <row r="16" spans="1:63" s="77" customFormat="1" ht="15" customHeight="1" x14ac:dyDescent="0.25">
      <c r="B16" s="85"/>
      <c r="AI16" s="84"/>
      <c r="BJ16" s="84"/>
      <c r="BK16" s="76"/>
    </row>
    <row r="17" spans="2:63" s="77" customFormat="1" ht="15" customHeight="1" x14ac:dyDescent="0.25">
      <c r="B17" s="85"/>
      <c r="AI17" s="84"/>
      <c r="BJ17" s="84"/>
      <c r="BK17" s="76"/>
    </row>
    <row r="18" spans="2:63" s="77" customFormat="1" ht="15" customHeight="1" x14ac:dyDescent="0.25">
      <c r="B18" s="85"/>
      <c r="AI18" s="84"/>
      <c r="BJ18" s="84"/>
      <c r="BK18" s="76"/>
    </row>
    <row r="19" spans="2:63" s="77" customFormat="1" ht="15" customHeight="1" x14ac:dyDescent="0.25">
      <c r="B19" s="85"/>
      <c r="AI19" s="84"/>
      <c r="BJ19" s="84"/>
      <c r="BK19" s="76"/>
    </row>
    <row r="20" spans="2:63" s="77" customFormat="1" ht="15" customHeight="1" x14ac:dyDescent="0.25">
      <c r="B20" s="85"/>
      <c r="AI20" s="84"/>
      <c r="BJ20" s="84"/>
      <c r="BK20" s="76"/>
    </row>
    <row r="21" spans="2:63" s="77" customFormat="1" ht="15" customHeight="1" x14ac:dyDescent="0.25">
      <c r="B21" s="85"/>
      <c r="AI21" s="84"/>
      <c r="BJ21" s="84"/>
      <c r="BK21" s="76"/>
    </row>
    <row r="22" spans="2:63" s="77" customFormat="1" ht="15" customHeight="1" x14ac:dyDescent="0.25">
      <c r="B22" s="85"/>
      <c r="AI22" s="84"/>
      <c r="BJ22" s="84"/>
      <c r="BK22" s="76"/>
    </row>
    <row r="23" spans="2:63" s="77" customFormat="1" ht="15" customHeight="1" x14ac:dyDescent="0.25">
      <c r="B23" s="85"/>
      <c r="AI23" s="84"/>
      <c r="BJ23" s="84"/>
      <c r="BK23" s="76"/>
    </row>
    <row r="24" spans="2:63" s="77" customFormat="1" ht="15" customHeight="1" x14ac:dyDescent="0.25">
      <c r="B24" s="85"/>
      <c r="AI24" s="84"/>
      <c r="BJ24" s="84"/>
      <c r="BK24" s="76"/>
    </row>
    <row r="25" spans="2:63" s="77" customFormat="1" ht="15" customHeight="1" x14ac:dyDescent="0.25">
      <c r="B25" s="85"/>
      <c r="AI25" s="84"/>
      <c r="BJ25" s="84"/>
      <c r="BK25" s="76"/>
    </row>
    <row r="26" spans="2:63" s="77" customFormat="1" ht="15" customHeight="1" x14ac:dyDescent="0.25">
      <c r="B26" s="85"/>
      <c r="AI26" s="84"/>
      <c r="BJ26" s="84"/>
      <c r="BK26" s="76"/>
    </row>
    <row r="27" spans="2:63" s="77" customFormat="1" ht="15" customHeight="1" x14ac:dyDescent="0.25">
      <c r="B27" s="85"/>
      <c r="AI27" s="84"/>
      <c r="BJ27" s="84"/>
      <c r="BK27" s="76"/>
    </row>
    <row r="28" spans="2:63" s="77" customFormat="1" ht="15" customHeight="1" x14ac:dyDescent="0.25">
      <c r="B28" s="85"/>
      <c r="AI28" s="84"/>
      <c r="BJ28" s="84"/>
      <c r="BK28" s="76"/>
    </row>
    <row r="29" spans="2:63" s="77" customFormat="1" ht="15" customHeight="1" x14ac:dyDescent="0.25">
      <c r="B29" s="85"/>
      <c r="AI29" s="84"/>
      <c r="BJ29" s="84"/>
      <c r="BK29" s="76"/>
    </row>
    <row r="30" spans="2:63" s="77" customFormat="1" ht="15" customHeight="1" x14ac:dyDescent="0.25">
      <c r="B30" s="85"/>
      <c r="AI30" s="84"/>
      <c r="BJ30" s="84"/>
      <c r="BK30" s="76"/>
    </row>
    <row r="31" spans="2:63" s="77" customFormat="1" ht="15" customHeight="1" x14ac:dyDescent="0.25">
      <c r="B31" s="85"/>
      <c r="AI31" s="84"/>
      <c r="BJ31" s="84"/>
      <c r="BK31" s="76"/>
    </row>
    <row r="32" spans="2:63" s="77" customFormat="1" ht="15" customHeight="1" x14ac:dyDescent="0.25">
      <c r="B32" s="85"/>
      <c r="AI32" s="84"/>
      <c r="BJ32" s="84"/>
      <c r="BK32" s="76"/>
    </row>
    <row r="33" spans="2:63" s="77" customFormat="1" ht="15" customHeight="1" x14ac:dyDescent="0.25">
      <c r="B33" s="85"/>
      <c r="AI33" s="84"/>
      <c r="BJ33" s="84"/>
      <c r="BK33" s="76"/>
    </row>
    <row r="34" spans="2:63" s="77" customFormat="1" ht="15" customHeight="1" x14ac:dyDescent="0.25">
      <c r="B34" s="85"/>
      <c r="AI34" s="84"/>
      <c r="BJ34" s="84"/>
      <c r="BK34" s="76"/>
    </row>
    <row r="35" spans="2:63" s="77" customFormat="1" ht="15" customHeight="1" x14ac:dyDescent="0.25">
      <c r="B35" s="85"/>
      <c r="AI35" s="84"/>
      <c r="BJ35" s="84"/>
      <c r="BK35" s="76"/>
    </row>
    <row r="36" spans="2:63" s="77" customFormat="1" ht="15" customHeight="1" x14ac:dyDescent="0.25">
      <c r="B36" s="85"/>
      <c r="AI36" s="84"/>
      <c r="BJ36" s="84"/>
      <c r="BK36" s="76"/>
    </row>
    <row r="37" spans="2:63" s="77" customFormat="1" ht="15" customHeight="1" x14ac:dyDescent="0.25">
      <c r="B37" s="85"/>
      <c r="AI37" s="84"/>
      <c r="BJ37" s="84"/>
      <c r="BK37" s="76"/>
    </row>
    <row r="38" spans="2:63" s="77" customFormat="1" ht="15" customHeight="1" x14ac:dyDescent="0.25">
      <c r="B38" s="85"/>
      <c r="AI38" s="84"/>
      <c r="BJ38" s="84"/>
      <c r="BK38" s="76"/>
    </row>
    <row r="39" spans="2:63" s="77" customFormat="1" ht="15" customHeight="1" x14ac:dyDescent="0.25">
      <c r="B39" s="85"/>
      <c r="AI39" s="84"/>
      <c r="BJ39" s="84"/>
      <c r="BK39" s="76"/>
    </row>
    <row r="40" spans="2:63" s="77" customFormat="1" ht="15" customHeight="1" x14ac:dyDescent="0.25">
      <c r="B40" s="85"/>
      <c r="AI40" s="84"/>
      <c r="BJ40" s="84"/>
      <c r="BK40" s="76"/>
    </row>
    <row r="41" spans="2:63" s="77" customFormat="1" ht="15" customHeight="1" x14ac:dyDescent="0.25">
      <c r="B41" s="85"/>
      <c r="AI41" s="84"/>
      <c r="BJ41" s="84"/>
      <c r="BK41" s="76"/>
    </row>
    <row r="42" spans="2:63" s="77" customFormat="1" ht="15" customHeight="1" x14ac:dyDescent="0.25">
      <c r="B42" s="85"/>
      <c r="AG42" s="42"/>
      <c r="AI42" s="84"/>
      <c r="BJ42" s="84"/>
      <c r="BK42" s="76"/>
    </row>
    <row r="43" spans="2:63" s="77" customFormat="1" ht="15" customHeight="1" x14ac:dyDescent="0.25">
      <c r="B43" s="85"/>
      <c r="AG43" s="42"/>
      <c r="AI43" s="84"/>
      <c r="BJ43" s="84"/>
      <c r="BK43" s="76"/>
    </row>
    <row r="44" spans="2:63" s="77" customFormat="1" ht="15" customHeight="1" x14ac:dyDescent="0.25">
      <c r="B44" s="85"/>
      <c r="AI44" s="84"/>
      <c r="BJ44" s="84"/>
      <c r="BK44" s="76"/>
    </row>
    <row r="45" spans="2:63" s="77" customFormat="1" ht="15" customHeight="1" x14ac:dyDescent="0.25">
      <c r="B45" s="85"/>
      <c r="AI45" s="84"/>
      <c r="BJ45" s="84"/>
      <c r="BK45" s="76"/>
    </row>
    <row r="46" spans="2:63" s="77" customFormat="1" ht="15" customHeight="1" x14ac:dyDescent="0.25">
      <c r="B46" s="85"/>
      <c r="AI46" s="84"/>
      <c r="BJ46" s="84"/>
      <c r="BK46" s="76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1:63" ht="15" customHeight="1" x14ac:dyDescent="0.25">
      <c r="B49" s="9"/>
      <c r="AI49" s="11"/>
      <c r="BJ49" s="11"/>
      <c r="BK49" s="5"/>
    </row>
    <row r="50" spans="1:63" ht="15" customHeight="1" x14ac:dyDescent="0.25">
      <c r="B50" s="9"/>
      <c r="AI50" s="11"/>
      <c r="BJ50" s="11"/>
      <c r="BK50" s="5"/>
    </row>
    <row r="51" spans="1:63" ht="15" customHeight="1" x14ac:dyDescent="0.25">
      <c r="B51" s="9"/>
      <c r="AI51" s="11"/>
      <c r="BJ51" s="11"/>
      <c r="BK51" s="5"/>
    </row>
    <row r="52" spans="1:63" ht="15" customHeight="1" x14ac:dyDescent="0.25">
      <c r="B52" s="9"/>
      <c r="AI52" s="11"/>
      <c r="BJ52" s="11"/>
      <c r="BK52" s="5"/>
    </row>
    <row r="53" spans="1:63" ht="15" customHeight="1" x14ac:dyDescent="0.25">
      <c r="B53" s="9"/>
      <c r="AI53" s="11"/>
      <c r="BJ53" s="11"/>
      <c r="BK53" s="5"/>
    </row>
    <row r="54" spans="1:63" ht="15" customHeight="1" x14ac:dyDescent="0.25">
      <c r="B54" s="9"/>
      <c r="AI54" s="11"/>
      <c r="BJ54" s="11"/>
      <c r="BK54" s="5"/>
    </row>
    <row r="55" spans="1:63" ht="15" customHeight="1" x14ac:dyDescent="0.25">
      <c r="B55" s="9"/>
      <c r="AI55" s="11"/>
      <c r="BJ55" s="11"/>
      <c r="BK55" s="5"/>
    </row>
    <row r="56" spans="1:63" ht="15" customHeight="1" x14ac:dyDescent="0.25">
      <c r="B56" s="9"/>
      <c r="AI56" s="11"/>
      <c r="BJ56" s="11"/>
      <c r="BK56" s="5"/>
    </row>
    <row r="57" spans="1:63" ht="15" customHeight="1" x14ac:dyDescent="0.25">
      <c r="B57" s="9"/>
      <c r="AI57" s="11"/>
      <c r="BJ57" s="11"/>
      <c r="BK57" s="5"/>
    </row>
    <row r="58" spans="1:63" ht="15" customHeight="1" x14ac:dyDescent="0.25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2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12"/>
      <c r="BK58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75" t="s">
        <v>38</v>
      </c>
      <c r="B1" s="176"/>
      <c r="C1" s="176"/>
      <c r="D1" s="176"/>
      <c r="E1" s="176"/>
      <c r="F1" s="176"/>
      <c r="G1" s="176"/>
      <c r="H1" s="176"/>
      <c r="I1" s="176"/>
      <c r="J1" s="177"/>
      <c r="K1" s="175" t="s">
        <v>39</v>
      </c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7"/>
      <c r="W1" s="178" t="str">
        <f>IF(表紙!W1="","",表紙!W1)</f>
        <v>詳細設計書</v>
      </c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80"/>
      <c r="AP1" s="101" t="s">
        <v>41</v>
      </c>
      <c r="AQ1" s="102"/>
      <c r="AR1" s="102"/>
      <c r="AS1" s="103"/>
      <c r="AT1" s="101" t="s">
        <v>42</v>
      </c>
      <c r="AU1" s="102"/>
      <c r="AV1" s="102"/>
      <c r="AW1" s="102"/>
      <c r="AX1" s="103"/>
      <c r="AY1" s="101" t="s">
        <v>43</v>
      </c>
      <c r="AZ1" s="102"/>
      <c r="BA1" s="102"/>
      <c r="BB1" s="103"/>
      <c r="BC1" s="101" t="s">
        <v>44</v>
      </c>
      <c r="BD1" s="102"/>
      <c r="BE1" s="102"/>
      <c r="BF1" s="102"/>
      <c r="BG1" s="103"/>
      <c r="BH1" s="101" t="s">
        <v>45</v>
      </c>
      <c r="BI1" s="102"/>
      <c r="BJ1" s="102"/>
      <c r="BK1" s="103"/>
    </row>
    <row r="2" spans="1:63" ht="15" customHeight="1" x14ac:dyDescent="0.25">
      <c r="A2" s="169" t="str">
        <f>IF(表紙!A2="","",表紙!A2)</f>
        <v>POSサーバー</v>
      </c>
      <c r="B2" s="170"/>
      <c r="C2" s="170"/>
      <c r="D2" s="170"/>
      <c r="E2" s="170"/>
      <c r="F2" s="170"/>
      <c r="G2" s="170"/>
      <c r="H2" s="170"/>
      <c r="I2" s="170"/>
      <c r="J2" s="171"/>
      <c r="K2" s="169" t="str">
        <f>IF(表紙!K2="","",表紙!K2)</f>
        <v>POSサーバ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81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3"/>
      <c r="AP2" s="86" t="str">
        <f>IF(表紙!AP2="","",表紙!AP2)</f>
        <v>LoiLV</v>
      </c>
      <c r="AQ2" s="87"/>
      <c r="AR2" s="87"/>
      <c r="AS2" s="88"/>
      <c r="AT2" s="116">
        <f>IF(表紙!AT2="","",表紙!AT2)</f>
        <v>45468</v>
      </c>
      <c r="AU2" s="117"/>
      <c r="AV2" s="117"/>
      <c r="AW2" s="117"/>
      <c r="AX2" s="118"/>
      <c r="AY2" s="86" t="str">
        <f>IF(表紙!AY2="","",表紙!AY2)</f>
        <v>AnhDD</v>
      </c>
      <c r="AZ2" s="87"/>
      <c r="BA2" s="87"/>
      <c r="BB2" s="88"/>
      <c r="BC2" s="116">
        <f>IF(表紙!BC2="","",表紙!BC2)</f>
        <v>45515</v>
      </c>
      <c r="BD2" s="117"/>
      <c r="BE2" s="117"/>
      <c r="BF2" s="117"/>
      <c r="BG2" s="118"/>
      <c r="BH2" s="86">
        <f>IF(表紙!BH2="","",表紙!BH2)</f>
        <v>0.12</v>
      </c>
      <c r="BI2" s="87"/>
      <c r="BJ2" s="87"/>
      <c r="BK2" s="88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84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6"/>
      <c r="AP3" s="92"/>
      <c r="AQ3" s="93"/>
      <c r="AR3" s="93"/>
      <c r="AS3" s="94"/>
      <c r="AT3" s="119"/>
      <c r="AU3" s="120"/>
      <c r="AV3" s="120"/>
      <c r="AW3" s="120"/>
      <c r="AX3" s="121"/>
      <c r="AY3" s="92"/>
      <c r="AZ3" s="93"/>
      <c r="BA3" s="93"/>
      <c r="BB3" s="94"/>
      <c r="BC3" s="119"/>
      <c r="BD3" s="120"/>
      <c r="BE3" s="120"/>
      <c r="BF3" s="120"/>
      <c r="BG3" s="121"/>
      <c r="BH3" s="92"/>
      <c r="BI3" s="93"/>
      <c r="BJ3" s="93"/>
      <c r="BK3" s="94"/>
    </row>
    <row r="4" spans="1:63" ht="24.95" customHeight="1" x14ac:dyDescent="0.25">
      <c r="A4" s="175" t="s">
        <v>47</v>
      </c>
      <c r="B4" s="176"/>
      <c r="C4" s="176"/>
      <c r="D4" s="176"/>
      <c r="E4" s="176"/>
      <c r="F4" s="176"/>
      <c r="G4" s="177"/>
      <c r="H4" s="187" t="str">
        <f>IF(表紙!H4="","",表紙!H4)</f>
        <v>APX002</v>
      </c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9"/>
      <c r="U4" s="175" t="s">
        <v>48</v>
      </c>
      <c r="V4" s="176"/>
      <c r="W4" s="176"/>
      <c r="X4" s="176"/>
      <c r="Y4" s="177"/>
      <c r="Z4" s="187" t="str">
        <f>IF(表紙!Z4="","",表紙!Z4)</f>
        <v>API設計書</v>
      </c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9"/>
      <c r="AP4" s="190" t="str">
        <f ca="1">MID(CELL("filename",A1),FIND("]",CELL("filename",A1))+1,255)</f>
        <v>テンプレート</v>
      </c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77" customFormat="1" ht="15" customHeight="1" x14ac:dyDescent="0.25">
      <c r="BK7" s="76"/>
    </row>
    <row r="8" spans="1:63" s="77" customFormat="1" ht="15" customHeight="1" x14ac:dyDescent="0.25">
      <c r="BK8" s="76"/>
    </row>
    <row r="9" spans="1:63" s="77" customFormat="1" ht="15" customHeight="1" x14ac:dyDescent="0.25">
      <c r="BK9" s="76"/>
    </row>
    <row r="10" spans="1:63" s="77" customFormat="1" ht="15" customHeight="1" x14ac:dyDescent="0.25">
      <c r="BK10" s="76"/>
    </row>
    <row r="11" spans="1:63" s="77" customFormat="1" ht="15" customHeight="1" x14ac:dyDescent="0.25">
      <c r="BK11" s="76"/>
    </row>
    <row r="12" spans="1:63" s="77" customFormat="1" ht="15" customHeight="1" x14ac:dyDescent="0.25">
      <c r="BK12" s="76"/>
    </row>
    <row r="13" spans="1:63" s="77" customFormat="1" ht="15" customHeight="1" x14ac:dyDescent="0.25">
      <c r="BK13" s="76"/>
    </row>
    <row r="14" spans="1:63" s="77" customFormat="1" ht="15" customHeight="1" x14ac:dyDescent="0.25">
      <c r="BK14" s="76"/>
    </row>
    <row r="15" spans="1:63" s="77" customFormat="1" ht="15" customHeight="1" x14ac:dyDescent="0.25">
      <c r="BK15" s="76"/>
    </row>
    <row r="16" spans="1:63" s="77" customFormat="1" ht="15" customHeight="1" x14ac:dyDescent="0.25">
      <c r="BK16" s="76"/>
    </row>
    <row r="17" spans="63:63" s="77" customFormat="1" ht="15" customHeight="1" x14ac:dyDescent="0.25">
      <c r="BK17" s="76"/>
    </row>
    <row r="18" spans="63:63" s="77" customFormat="1" ht="15" customHeight="1" x14ac:dyDescent="0.25">
      <c r="BK18" s="76"/>
    </row>
    <row r="19" spans="63:63" s="77" customFormat="1" ht="15" customHeight="1" x14ac:dyDescent="0.25">
      <c r="BK19" s="76"/>
    </row>
    <row r="20" spans="63:63" s="77" customFormat="1" ht="15" customHeight="1" x14ac:dyDescent="0.25">
      <c r="BK20" s="76"/>
    </row>
    <row r="21" spans="63:63" s="77" customFormat="1" ht="15" customHeight="1" x14ac:dyDescent="0.25">
      <c r="BK21" s="76"/>
    </row>
    <row r="22" spans="63:63" s="77" customFormat="1" ht="15" customHeight="1" x14ac:dyDescent="0.25">
      <c r="BK22" s="76"/>
    </row>
    <row r="23" spans="63:63" s="77" customFormat="1" ht="15" customHeight="1" x14ac:dyDescent="0.25">
      <c r="BK23" s="76"/>
    </row>
    <row r="24" spans="63:63" s="77" customFormat="1" ht="15" customHeight="1" x14ac:dyDescent="0.25">
      <c r="BK24" s="76"/>
    </row>
    <row r="25" spans="63:63" s="77" customFormat="1" ht="15" customHeight="1" x14ac:dyDescent="0.25">
      <c r="BK25" s="76"/>
    </row>
    <row r="26" spans="63:63" s="77" customFormat="1" ht="15" customHeight="1" x14ac:dyDescent="0.25">
      <c r="BK26" s="76"/>
    </row>
    <row r="27" spans="63:63" s="77" customFormat="1" ht="15" customHeight="1" x14ac:dyDescent="0.25">
      <c r="BK27" s="76"/>
    </row>
    <row r="28" spans="63:63" s="77" customFormat="1" ht="15" customHeight="1" x14ac:dyDescent="0.25">
      <c r="BK28" s="76"/>
    </row>
    <row r="29" spans="63:63" s="77" customFormat="1" ht="15" customHeight="1" x14ac:dyDescent="0.25">
      <c r="BK29" s="76"/>
    </row>
    <row r="30" spans="63:63" s="77" customFormat="1" ht="15" customHeight="1" x14ac:dyDescent="0.25">
      <c r="BK30" s="76"/>
    </row>
    <row r="31" spans="63:63" s="77" customFormat="1" ht="15" customHeight="1" x14ac:dyDescent="0.25">
      <c r="BK31" s="76"/>
    </row>
    <row r="32" spans="63:63" s="77" customFormat="1" ht="15" customHeight="1" x14ac:dyDescent="0.25">
      <c r="BK32" s="76"/>
    </row>
    <row r="33" spans="63:63" s="77" customFormat="1" ht="15" customHeight="1" x14ac:dyDescent="0.25">
      <c r="BK33" s="76"/>
    </row>
    <row r="34" spans="63:63" s="77" customFormat="1" ht="15" customHeight="1" x14ac:dyDescent="0.25">
      <c r="BK34" s="76"/>
    </row>
    <row r="35" spans="63:63" s="77" customFormat="1" ht="15" customHeight="1" x14ac:dyDescent="0.25">
      <c r="BK35" s="76"/>
    </row>
    <row r="36" spans="63:63" s="77" customFormat="1" ht="15" customHeight="1" x14ac:dyDescent="0.25">
      <c r="BK36" s="76"/>
    </row>
    <row r="37" spans="63:63" s="77" customFormat="1" ht="15" customHeight="1" x14ac:dyDescent="0.25">
      <c r="BK37" s="76"/>
    </row>
    <row r="38" spans="63:63" s="77" customFormat="1" ht="15" customHeight="1" x14ac:dyDescent="0.25">
      <c r="BK38" s="76"/>
    </row>
    <row r="39" spans="63:63" s="77" customFormat="1" ht="15" customHeight="1" x14ac:dyDescent="0.25">
      <c r="BK39" s="76"/>
    </row>
    <row r="40" spans="63:63" s="77" customFormat="1" ht="15" customHeight="1" x14ac:dyDescent="0.25">
      <c r="BK40" s="76"/>
    </row>
    <row r="41" spans="63:63" s="77" customFormat="1" ht="15" customHeight="1" x14ac:dyDescent="0.25">
      <c r="BK41" s="76"/>
    </row>
    <row r="42" spans="63:63" s="77" customFormat="1" ht="15" customHeight="1" x14ac:dyDescent="0.25">
      <c r="BK42" s="76"/>
    </row>
    <row r="43" spans="63:63" s="77" customFormat="1" ht="15" customHeight="1" x14ac:dyDescent="0.25">
      <c r="BK43" s="76"/>
    </row>
    <row r="44" spans="63:63" s="77" customFormat="1" ht="15" customHeight="1" x14ac:dyDescent="0.25">
      <c r="BK44" s="76"/>
    </row>
    <row r="45" spans="63:63" s="77" customFormat="1" ht="15" customHeight="1" x14ac:dyDescent="0.25">
      <c r="BK45" s="76"/>
    </row>
    <row r="46" spans="63:63" s="77" customFormat="1" ht="15" customHeight="1" x14ac:dyDescent="0.25">
      <c r="BK46" s="7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APX002</vt:lpstr>
      <vt:lpstr>処理フロー</vt:lpstr>
      <vt:lpstr>テンプレート</vt:lpstr>
      <vt:lpstr>'APX002'!Print_Area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2024-11-07T07:52:01Z</dcterms:modified>
  <cp:category/>
  <cp:contentStatus/>
</cp:coreProperties>
</file>