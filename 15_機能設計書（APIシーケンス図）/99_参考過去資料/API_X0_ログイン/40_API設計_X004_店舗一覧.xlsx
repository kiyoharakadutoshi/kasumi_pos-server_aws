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C04E5BA5-F014-402E-839D-7BC39EA738C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X004" sheetId="8" r:id="rId4"/>
    <sheet name="処理フロー" sheetId="9" r:id="rId5"/>
    <sheet name="テンプレート" sheetId="7" r:id="rId6"/>
  </sheets>
  <definedNames>
    <definedName name="_xlnm.Print_Area" localSheetId="3">'APX004'!$A$1:$BK$93</definedName>
    <definedName name="_xlnm.Print_Area" localSheetId="5">テンプレート!$A$1:$BK$54</definedName>
    <definedName name="_xlnm.Print_Area" localSheetId="4">処理フロー!$A$1:$BK$28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C47" i="8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10" s="1"/>
  <c r="AP2" i="4"/>
  <c r="AP2" i="10" s="1"/>
  <c r="AY2" i="3" l="1"/>
  <c r="AY2" i="10"/>
  <c r="BC2" i="8"/>
  <c r="BC2" i="9"/>
  <c r="AP2" i="7"/>
  <c r="BH2" i="7"/>
  <c r="BC2" i="3"/>
  <c r="BC2" i="10"/>
  <c r="AP2" i="8"/>
  <c r="BH2" i="8"/>
  <c r="AP2" i="9"/>
  <c r="BH2" i="9"/>
  <c r="AT2" i="7"/>
  <c r="AP2" i="3"/>
  <c r="BH2" i="3"/>
  <c r="AT2" i="8"/>
  <c r="AT2" i="9"/>
  <c r="AY2" i="7"/>
  <c r="AT2" i="3"/>
  <c r="AY2" i="8"/>
</calcChain>
</file>

<file path=xl/sharedStrings.xml><?xml version="1.0" encoding="utf-8"?>
<sst xmlns="http://schemas.openxmlformats.org/spreadsheetml/2006/main" count="209" uniqueCount="124">
  <si>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</si>
  <si>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</si>
  <si>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</si>
  <si>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</si>
  <si>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</si>
  <si>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</si>
  <si>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</si>
  <si>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</si>
  <si>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</si>
  <si>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</si>
  <si>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</si>
  <si>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</si>
  <si>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</si>
  <si>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</si>
  <si>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</si>
  <si>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</si>
  <si>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</si>
  <si>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</si>
  <si>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</si>
  <si>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</si>
  <si>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</si>
  <si>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</si>
  <si>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</si>
  <si>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</si>
  <si>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</si>
  <si>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</si>
  <si>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</si>
  <si>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</si>
  <si>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</si>
  <si>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</si>
  <si>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</si>
  <si>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</si>
  <si>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</si>
  <si>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</si>
  <si>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</si>
  <si>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</si>
  <si>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</si>
  <si>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NA</t>
    </r>
  </si>
  <si>
    <t>{</t>
  </si>
  <si>
    <t>}</t>
  </si>
  <si>
    <t>]</t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</si>
  <si>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</si>
  <si>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</si>
  <si>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</si>
  <si>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store_name</t>
    </r>
  </si>
  <si>
    <r>
      <rPr>
        <sz val="11"/>
        <color rgb="FF000000"/>
        <rFont val="Meiryo UI"/>
        <family val="2"/>
      </rPr>
      <t>ユーザーが操作権限を持つ店舗一覧を取得する。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</si>
  <si>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</si>
  <si>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api/v1/users/stores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</si>
  <si>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</si>
  <si>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ユーザーが操作権限を持つ店舗一覧</t>
    </r>
  </si>
  <si>
    <r>
      <rPr>
        <sz val="11"/>
        <color rgb="FF000000"/>
        <rFont val="Meiryo UI"/>
        <family val="2"/>
      </rPr>
      <t>APX004</t>
    </r>
  </si>
  <si>
    <r>
      <rPr>
        <sz val="11"/>
        <color rgb="FF000000"/>
        <rFont val="Meiryo UI"/>
        <family val="2"/>
      </rPr>
      <t>"items": [</t>
    </r>
  </si>
  <si>
    <r>
      <rPr>
        <sz val="11"/>
        <color rgb="FF000000"/>
        <rFont val="Meiryo UI"/>
        <family val="2"/>
      </rPr>
      <t>UserStore.StoreCode</t>
    </r>
  </si>
  <si>
    <r>
      <rPr>
        <sz val="11"/>
        <color rgb="FF000000"/>
        <rFont val="Meiryo UI"/>
        <family val="2"/>
      </rPr>
      <t>"store_name": "湖北店"</t>
    </r>
  </si>
  <si>
    <t>},</t>
  </si>
  <si>
    <r>
      <rPr>
        <sz val="11"/>
        <color rgb="FF000000"/>
        <rFont val="Meiryo UI"/>
        <family val="2"/>
      </rPr>
      <t>"store_name": "湖北店1"</t>
    </r>
  </si>
  <si>
    <t>HueDT</t>
  </si>
  <si>
    <t>レスポンス情報を追加する。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</si>
  <si>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</si>
  <si>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</si>
  <si>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</si>
  <si>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</si>
  <si>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</si>
  <si>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</si>
  <si>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</si>
  <si>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</si>
  <si>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</si>
  <si>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</si>
  <si>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</si>
  <si>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</si>
  <si>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</si>
  <si>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</si>
  <si>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</si>
  <si>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</si>
  <si>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</si>
  <si>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</si>
  <si>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</si>
  <si>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</si>
  <si>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</si>
  <si>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</si>
  <si>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</si>
  <si>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</si>
  <si>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UserStore.StoreCode</t>
  </si>
  <si>
    <t>MStore.TenName</t>
  </si>
  <si>
    <t>StoreMaster.Name</t>
  </si>
  <si>
    <t xml:space="preserve">   short_name</t>
  </si>
  <si>
    <t>String</t>
  </si>
  <si>
    <t>MStore.TenShortNm</t>
  </si>
  <si>
    <t>店舗略称</t>
  </si>
  <si>
    <t xml:space="preserve">   post_code</t>
  </si>
  <si>
    <t>MStore.PostCd</t>
  </si>
  <si>
    <t xml:space="preserve">郵便番号 </t>
  </si>
  <si>
    <t xml:space="preserve">   address</t>
  </si>
  <si>
    <t>MStore.Address1-MStore.Address2-MStore.Address3</t>
  </si>
  <si>
    <t>店舗のアドレス</t>
  </si>
  <si>
    <t xml:space="preserve">   phone_number</t>
  </si>
  <si>
    <t>MStore.TelNum</t>
  </si>
  <si>
    <t>店舗の電話番号</t>
  </si>
  <si>
    <t xml:space="preserve">   start_hours</t>
  </si>
  <si>
    <t>MStore.StartHours</t>
  </si>
  <si>
    <t>開店時間
HH:mm</t>
  </si>
  <si>
    <t xml:space="preserve">   end_hours</t>
  </si>
  <si>
    <t>MStore.EndHours</t>
  </si>
  <si>
    <t>閉店時間
HH:mm</t>
  </si>
  <si>
    <t xml:space="preserve">   business_type_code</t>
  </si>
  <si>
    <t>MStore.BusinessTypeCode</t>
  </si>
  <si>
    <t>店舗分類</t>
  </si>
  <si>
    <t xml:space="preserve">   default_point</t>
  </si>
  <si>
    <t>Int</t>
  </si>
  <si>
    <t>MStore.DefaultPoint</t>
  </si>
  <si>
    <t>店舗の基本ポイント設定</t>
  </si>
  <si>
    <t>※サンプル</t>
  </si>
  <si>
    <r>
      <rPr>
        <sz val="11"/>
        <color rgb="FF000000"/>
        <rFont val="Meiryo UI"/>
        <family val="2"/>
      </rPr>
      <t>"store_code": "09176",</t>
    </r>
  </si>
  <si>
    <t>"short_name": "検証店”,</t>
  </si>
  <si>
    <t>"post_code": "0001",</t>
  </si>
  <si>
    <t>"address": "",</t>
  </si>
  <si>
    <t>"phone_number": "",</t>
  </si>
  <si>
    <t>"start_hours": "7:00",</t>
  </si>
  <si>
    <t>"end_hours": "2:00"</t>
  </si>
  <si>
    <t>"business_type_code": "1"</t>
  </si>
  <si>
    <t>"default_point": 1</t>
  </si>
  <si>
    <r>
      <rPr>
        <sz val="11"/>
        <color rgb="FF000000"/>
        <rFont val="Meiryo UI"/>
        <family val="2"/>
      </rPr>
      <t>"store_code": "09230",</t>
    </r>
  </si>
  <si>
    <t>"short_name": "検証店1”,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</si>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</sst>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8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i/>
      <sz val="11"/>
      <color theme="1"/>
      <name val="Meiryo UI"/>
      <family val="2"/>
    </font>
    <font>
      <i/>
      <sz val="11"/>
      <name val="Meiryo UI"/>
      <family val="2"/>
    </font>
    <font>
      <sz val="11"/>
      <name val="Meiryo UI"/>
      <family val="3"/>
      <charset val="128"/>
    </font>
    <font>
      <sz val="11"/>
      <color rgb="FF0000FF"/>
      <name val="Meiryo UI"/>
      <family val="2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trike/>
      <sz val="11"/>
      <color rgb="FF0000FF"/>
      <name val="Meiryo UI"/>
      <family val="2"/>
    </font>
    <font>
      <i/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20" fillId="0" borderId="0">
      <alignment vertical="center"/>
    </xf>
    <xf numFmtId="0" fontId="6" fillId="0" borderId="0">
      <alignment vertical="center"/>
    </xf>
  </cellStyleXfs>
  <cellXfs count="295">
    <xf numFmtId="0" fontId="0" fillId="0" borderId="0" xfId="0"/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4" xfId="0" applyFont="1" applyBorder="1" applyAlignment="1">
      <alignment vertical="center"/>
    </xf>
    <xf numFmtId="0" fontId="18" fillId="3" borderId="0" xfId="0" applyFont="1" applyFill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4" borderId="0" xfId="0" applyFont="1" applyFill="1"/>
    <xf numFmtId="0" fontId="3" fillId="0" borderId="16" xfId="0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vertical="center"/>
    </xf>
    <xf numFmtId="0" fontId="12" fillId="5" borderId="24" xfId="0" applyFont="1" applyFill="1" applyBorder="1" applyAlignment="1">
      <alignment vertical="center"/>
    </xf>
    <xf numFmtId="0" fontId="12" fillId="5" borderId="25" xfId="0" applyFont="1" applyFill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3" xfId="0" quotePrefix="1" applyFont="1" applyBorder="1" applyAlignment="1">
      <alignment horizontal="left" vertical="center"/>
    </xf>
    <xf numFmtId="0" fontId="7" fillId="0" borderId="24" xfId="0" quotePrefix="1" applyFont="1" applyBorder="1" applyAlignment="1">
      <alignment horizontal="left" vertical="center"/>
    </xf>
    <xf numFmtId="0" fontId="7" fillId="0" borderId="25" xfId="0" quotePrefix="1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top" wrapText="1"/>
    </xf>
    <xf numFmtId="14" fontId="21" fillId="0" borderId="16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6" xfId="0" applyFont="1" applyBorder="1"/>
    <xf numFmtId="0" fontId="21" fillId="0" borderId="27" xfId="0" applyFont="1" applyBorder="1"/>
    <xf numFmtId="0" fontId="21" fillId="0" borderId="28" xfId="0" applyFont="1" applyBorder="1"/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9" xfId="0" applyFont="1" applyBorder="1"/>
    <xf numFmtId="0" fontId="21" fillId="0" borderId="30" xfId="0" applyFont="1" applyBorder="1"/>
    <xf numFmtId="0" fontId="21" fillId="0" borderId="31" xfId="0" applyFont="1" applyBorder="1"/>
    <xf numFmtId="0" fontId="22" fillId="4" borderId="23" xfId="6" applyFont="1" applyFill="1" applyBorder="1" applyAlignment="1">
      <alignment horizontal="center" vertical="center"/>
    </xf>
    <xf numFmtId="0" fontId="22" fillId="4" borderId="24" xfId="6" applyFont="1" applyFill="1" applyBorder="1" applyAlignment="1">
      <alignment horizontal="center" vertical="center"/>
    </xf>
    <xf numFmtId="0" fontId="22" fillId="4" borderId="25" xfId="6" applyFont="1" applyFill="1" applyBorder="1" applyAlignment="1">
      <alignment horizontal="center" vertical="center"/>
    </xf>
    <xf numFmtId="0" fontId="24" fillId="0" borderId="16" xfId="6" applyFont="1" applyBorder="1" applyAlignment="1">
      <alignment horizontal="center" vertical="center"/>
    </xf>
    <xf numFmtId="0" fontId="24" fillId="0" borderId="17" xfId="6" applyFont="1" applyBorder="1" applyAlignment="1">
      <alignment horizontal="center" vertical="center"/>
    </xf>
    <xf numFmtId="0" fontId="24" fillId="0" borderId="18" xfId="6" applyFont="1" applyBorder="1" applyAlignment="1">
      <alignment horizontal="center" vertical="center"/>
    </xf>
    <xf numFmtId="0" fontId="22" fillId="4" borderId="23" xfId="0" applyFont="1" applyFill="1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center"/>
    </xf>
    <xf numFmtId="0" fontId="22" fillId="4" borderId="25" xfId="0" applyFont="1" applyFill="1" applyBorder="1" applyAlignment="1">
      <alignment horizontal="center" vertical="center"/>
    </xf>
    <xf numFmtId="0" fontId="24" fillId="0" borderId="1" xfId="6" applyFont="1" applyBorder="1" applyAlignment="1">
      <alignment horizontal="center" vertical="center"/>
    </xf>
    <xf numFmtId="0" fontId="24" fillId="0" borderId="0" xfId="6" applyFont="1" applyAlignment="1">
      <alignment horizontal="center" vertical="center"/>
    </xf>
    <xf numFmtId="0" fontId="24" fillId="0" borderId="4" xfId="6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14" fontId="25" fillId="0" borderId="16" xfId="0" applyNumberFormat="1" applyFont="1" applyBorder="1" applyAlignment="1">
      <alignment horizontal="center" vertical="center"/>
    </xf>
    <xf numFmtId="14" fontId="25" fillId="0" borderId="17" xfId="0" applyNumberFormat="1" applyFont="1" applyBorder="1" applyAlignment="1">
      <alignment horizontal="center" vertical="center"/>
    </xf>
    <xf numFmtId="14" fontId="25" fillId="0" borderId="18" xfId="0" applyNumberFormat="1" applyFont="1" applyBorder="1" applyAlignment="1">
      <alignment horizontal="center" vertical="center"/>
    </xf>
    <xf numFmtId="0" fontId="24" fillId="0" borderId="2" xfId="6" applyFont="1" applyBorder="1" applyAlignment="1">
      <alignment horizontal="center" vertical="center"/>
    </xf>
    <xf numFmtId="0" fontId="24" fillId="0" borderId="3" xfId="6" applyFont="1" applyBorder="1" applyAlignment="1">
      <alignment horizontal="center" vertical="center"/>
    </xf>
    <xf numFmtId="0" fontId="24" fillId="0" borderId="5" xfId="6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4" fontId="25" fillId="0" borderId="3" xfId="0" applyNumberFormat="1" applyFont="1" applyBorder="1" applyAlignment="1">
      <alignment horizontal="center" vertical="center"/>
    </xf>
    <xf numFmtId="14" fontId="25" fillId="0" borderId="5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3" fillId="4" borderId="19" xfId="0" applyFont="1" applyFill="1" applyBorder="1" applyAlignment="1">
      <alignment vertical="center"/>
    </xf>
    <xf numFmtId="0" fontId="22" fillId="4" borderId="0" xfId="0" applyFont="1" applyFill="1" applyAlignment="1">
      <alignment vertical="center"/>
    </xf>
    <xf numFmtId="0" fontId="22" fillId="4" borderId="21" xfId="0" applyFont="1" applyFill="1" applyBorder="1" applyAlignment="1">
      <alignment vertical="center"/>
    </xf>
    <xf numFmtId="0" fontId="22" fillId="4" borderId="19" xfId="0" applyFont="1" applyFill="1" applyBorder="1" applyAlignment="1">
      <alignment vertical="center"/>
    </xf>
    <xf numFmtId="0" fontId="25" fillId="0" borderId="4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vertical="center"/>
    </xf>
    <xf numFmtId="0" fontId="25" fillId="2" borderId="0" xfId="0" applyFont="1" applyFill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23" xfId="0" applyFont="1" applyBorder="1" applyAlignment="1">
      <alignment horizontal="left" vertical="center"/>
    </xf>
    <xf numFmtId="0" fontId="25" fillId="0" borderId="24" xfId="0" applyFont="1" applyBorder="1" applyAlignment="1">
      <alignment horizontal="left" vertical="center"/>
    </xf>
    <xf numFmtId="0" fontId="25" fillId="0" borderId="25" xfId="0" applyFont="1" applyBorder="1" applyAlignment="1">
      <alignment horizontal="left" vertical="center"/>
    </xf>
    <xf numFmtId="0" fontId="25" fillId="0" borderId="23" xfId="0" quotePrefix="1" applyFont="1" applyBorder="1" applyAlignment="1">
      <alignment horizontal="left" vertical="center"/>
    </xf>
    <xf numFmtId="0" fontId="25" fillId="0" borderId="24" xfId="0" quotePrefix="1" applyFont="1" applyBorder="1" applyAlignment="1">
      <alignment horizontal="left" vertical="center"/>
    </xf>
    <xf numFmtId="0" fontId="25" fillId="0" borderId="25" xfId="0" quotePrefix="1" applyFont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0" fontId="25" fillId="0" borderId="17" xfId="0" applyFont="1" applyBorder="1" applyAlignment="1">
      <alignment horizontal="left" vertical="center"/>
    </xf>
    <xf numFmtId="0" fontId="25" fillId="0" borderId="18" xfId="0" applyFont="1" applyBorder="1" applyAlignment="1">
      <alignment horizontal="left" vertical="center"/>
    </xf>
    <xf numFmtId="0" fontId="25" fillId="0" borderId="16" xfId="0" quotePrefix="1" applyFont="1" applyBorder="1" applyAlignment="1">
      <alignment horizontal="center" vertical="center"/>
    </xf>
    <xf numFmtId="0" fontId="25" fillId="0" borderId="17" xfId="0" quotePrefix="1" applyFont="1" applyBorder="1" applyAlignment="1">
      <alignment horizontal="center" vertical="center"/>
    </xf>
    <xf numFmtId="0" fontId="25" fillId="0" borderId="18" xfId="0" quotePrefix="1" applyFont="1" applyBorder="1" applyAlignment="1">
      <alignment horizontal="center" vertical="center"/>
    </xf>
    <xf numFmtId="0" fontId="25" fillId="0" borderId="16" xfId="0" quotePrefix="1" applyFont="1" applyBorder="1" applyAlignment="1">
      <alignment horizontal="left" vertical="center"/>
    </xf>
    <xf numFmtId="0" fontId="25" fillId="0" borderId="17" xfId="0" quotePrefix="1" applyFont="1" applyBorder="1" applyAlignment="1">
      <alignment horizontal="left" vertical="center"/>
    </xf>
    <xf numFmtId="0" fontId="25" fillId="0" borderId="18" xfId="0" quotePrefix="1" applyFont="1" applyBorder="1" applyAlignment="1">
      <alignment horizontal="left" vertical="center"/>
    </xf>
    <xf numFmtId="0" fontId="25" fillId="0" borderId="16" xfId="0" applyFont="1" applyBorder="1" applyAlignment="1">
      <alignment horizontal="left" vertical="top"/>
    </xf>
    <xf numFmtId="0" fontId="25" fillId="0" borderId="17" xfId="0" applyFont="1" applyBorder="1" applyAlignment="1">
      <alignment horizontal="left" vertical="top"/>
    </xf>
    <xf numFmtId="0" fontId="25" fillId="0" borderId="18" xfId="0" applyFont="1" applyBorder="1" applyAlignment="1">
      <alignment horizontal="left" vertical="top"/>
    </xf>
    <xf numFmtId="0" fontId="25" fillId="0" borderId="17" xfId="0" quotePrefix="1" applyFont="1" applyBorder="1" applyAlignment="1">
      <alignment horizontal="left" vertical="top" wrapText="1"/>
    </xf>
    <xf numFmtId="0" fontId="25" fillId="0" borderId="18" xfId="0" quotePrefix="1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5" fillId="0" borderId="1" xfId="0" quotePrefix="1" applyFont="1" applyBorder="1" applyAlignment="1">
      <alignment horizontal="center" vertical="center"/>
    </xf>
    <xf numFmtId="0" fontId="25" fillId="0" borderId="0" xfId="0" quotePrefix="1" applyFont="1" applyAlignment="1">
      <alignment horizontal="center" vertical="center"/>
    </xf>
    <xf numFmtId="0" fontId="25" fillId="0" borderId="4" xfId="0" quotePrefix="1" applyFont="1" applyBorder="1" applyAlignment="1">
      <alignment horizontal="center" vertical="center"/>
    </xf>
    <xf numFmtId="0" fontId="25" fillId="0" borderId="1" xfId="0" quotePrefix="1" applyFont="1" applyBorder="1" applyAlignment="1">
      <alignment horizontal="left" vertical="center"/>
    </xf>
    <xf numFmtId="0" fontId="25" fillId="0" borderId="0" xfId="0" quotePrefix="1" applyFont="1" applyAlignment="1">
      <alignment horizontal="left" vertical="center"/>
    </xf>
    <xf numFmtId="0" fontId="25" fillId="0" borderId="4" xfId="0" quotePrefix="1" applyFont="1" applyBorder="1" applyAlignment="1">
      <alignment horizontal="left" vertical="center"/>
    </xf>
    <xf numFmtId="0" fontId="25" fillId="0" borderId="1" xfId="0" applyFont="1" applyBorder="1" applyAlignment="1">
      <alignment horizontal="left" vertical="top"/>
    </xf>
    <xf numFmtId="0" fontId="25" fillId="0" borderId="0" xfId="0" applyFont="1" applyAlignment="1">
      <alignment horizontal="left" vertical="top"/>
    </xf>
    <xf numFmtId="0" fontId="25" fillId="0" borderId="4" xfId="0" applyFont="1" applyBorder="1" applyAlignment="1">
      <alignment horizontal="left" vertical="top"/>
    </xf>
    <xf numFmtId="0" fontId="25" fillId="0" borderId="0" xfId="0" quotePrefix="1" applyFont="1" applyAlignment="1">
      <alignment horizontal="left" vertical="top" wrapText="1"/>
    </xf>
    <xf numFmtId="0" fontId="25" fillId="0" borderId="4" xfId="0" quotePrefix="1" applyFont="1" applyBorder="1" applyAlignment="1">
      <alignment horizontal="left" vertical="top" wrapText="1"/>
    </xf>
    <xf numFmtId="0" fontId="25" fillId="0" borderId="2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25" fillId="0" borderId="5" xfId="0" applyFont="1" applyBorder="1" applyAlignment="1">
      <alignment horizontal="left" vertical="center"/>
    </xf>
    <xf numFmtId="0" fontId="25" fillId="0" borderId="2" xfId="0" quotePrefix="1" applyFont="1" applyBorder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25" fillId="0" borderId="5" xfId="0" quotePrefix="1" applyFont="1" applyBorder="1" applyAlignment="1">
      <alignment horizontal="center" vertical="center"/>
    </xf>
    <xf numFmtId="0" fontId="25" fillId="0" borderId="2" xfId="0" quotePrefix="1" applyFont="1" applyBorder="1" applyAlignment="1">
      <alignment horizontal="left" vertical="center"/>
    </xf>
    <xf numFmtId="0" fontId="25" fillId="0" borderId="3" xfId="0" quotePrefix="1" applyFont="1" applyBorder="1" applyAlignment="1">
      <alignment horizontal="left" vertical="center"/>
    </xf>
    <xf numFmtId="0" fontId="25" fillId="0" borderId="5" xfId="0" quotePrefix="1" applyFont="1" applyBorder="1" applyAlignment="1">
      <alignment horizontal="left" vertical="center"/>
    </xf>
    <xf numFmtId="0" fontId="25" fillId="0" borderId="2" xfId="0" applyFont="1" applyBorder="1" applyAlignment="1">
      <alignment horizontal="left" vertical="top"/>
    </xf>
    <xf numFmtId="0" fontId="25" fillId="0" borderId="3" xfId="0" applyFont="1" applyBorder="1" applyAlignment="1">
      <alignment horizontal="left" vertical="top"/>
    </xf>
    <xf numFmtId="0" fontId="25" fillId="0" borderId="5" xfId="0" applyFont="1" applyBorder="1" applyAlignment="1">
      <alignment horizontal="left" vertical="top"/>
    </xf>
    <xf numFmtId="0" fontId="25" fillId="0" borderId="3" xfId="0" quotePrefix="1" applyFont="1" applyBorder="1" applyAlignment="1">
      <alignment horizontal="left" vertical="top" wrapText="1"/>
    </xf>
    <xf numFmtId="0" fontId="25" fillId="0" borderId="5" xfId="0" quotePrefix="1" applyFont="1" applyBorder="1" applyAlignment="1">
      <alignment horizontal="left" vertical="top" wrapText="1"/>
    </xf>
    <xf numFmtId="0" fontId="25" fillId="0" borderId="0" xfId="0" quotePrefix="1" applyFont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25" fillId="5" borderId="24" xfId="0" applyFont="1" applyFill="1" applyBorder="1" applyAlignment="1">
      <alignment horizontal="left" vertical="center"/>
    </xf>
    <xf numFmtId="0" fontId="25" fillId="5" borderId="25" xfId="0" applyFont="1" applyFill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/>
    </xf>
    <xf numFmtId="0" fontId="21" fillId="0" borderId="24" xfId="0" applyFont="1" applyBorder="1" applyAlignment="1">
      <alignment horizontal="left" vertical="center"/>
    </xf>
    <xf numFmtId="0" fontId="21" fillId="0" borderId="23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21" fillId="0" borderId="25" xfId="0" applyFont="1" applyBorder="1" applyAlignment="1">
      <alignment vertical="center"/>
    </xf>
    <xf numFmtId="0" fontId="21" fillId="0" borderId="23" xfId="0" applyFont="1" applyBorder="1" applyAlignment="1">
      <alignment vertical="center" wrapText="1"/>
    </xf>
    <xf numFmtId="0" fontId="21" fillId="0" borderId="24" xfId="0" applyFont="1" applyBorder="1" applyAlignment="1">
      <alignment vertical="center" wrapText="1"/>
    </xf>
    <xf numFmtId="0" fontId="21" fillId="0" borderId="25" xfId="0" applyFont="1" applyBorder="1" applyAlignment="1">
      <alignment vertical="center" wrapText="1"/>
    </xf>
    <xf numFmtId="0" fontId="26" fillId="0" borderId="23" xfId="0" applyFont="1" applyBorder="1" applyAlignment="1">
      <alignment horizontal="left" vertical="center"/>
    </xf>
    <xf numFmtId="0" fontId="26" fillId="0" borderId="24" xfId="0" applyFont="1" applyBorder="1" applyAlignment="1">
      <alignment horizontal="left" vertical="center"/>
    </xf>
    <xf numFmtId="0" fontId="26" fillId="0" borderId="25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5" fillId="0" borderId="21" xfId="0" applyFont="1" applyBorder="1" applyAlignment="1">
      <alignment vertical="center"/>
    </xf>
    <xf numFmtId="0" fontId="25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13</xdr:row>
      <xdr:rowOff>0</xdr:rowOff>
    </xdr:from>
    <xdr:to>
      <xdr:col>62</xdr:col>
      <xdr:colOff>0</xdr:colOff>
      <xdr:row>19</xdr:row>
      <xdr:rowOff>0</xdr:rowOff>
    </xdr:to>
    <xdr:sp macro="" textlink="" fLocksText="0">
      <xdr:nvSpPr>
        <xdr:cNvPr id="10" name="吹き出し: 線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9334500" y="2590800"/>
          <a:ext cx="7200900" cy="1143000"/>
        </a:xfrm>
        <a:prstGeom prst="borderCallout1">
          <a:avLst>
            <a:gd name="adj1" fmla="val 51887"/>
            <a:gd name="adj2" fmla="val 470"/>
            <a:gd name="adj3" fmla="val 48697"/>
            <a:gd name="adj4" fmla="val -971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ユーザーが操作可能な店舗一覧を取得する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UserStoreテーブルから、以下の条件を満たす店舗一覧を取得する。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・UserId = current_user.UserId (ログイン中のユーザーのID)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StoreMasterテーブルで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Left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Joinを実行して店舗詳細情報を取得する。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店舗一覧は、レスポンスのアイテムに格納される。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0</xdr:colOff>
      <xdr:row>10</xdr:row>
      <xdr:rowOff>11206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</xdr:row>
      <xdr:rowOff>11206</xdr:rowOff>
    </xdr:from>
    <xdr:to>
      <xdr:col>8</xdr:col>
      <xdr:colOff>0</xdr:colOff>
      <xdr:row>11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2028825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35</xdr:col>
      <xdr:colOff>0</xdr:colOff>
      <xdr:row>8</xdr:row>
      <xdr:rowOff>0</xdr:rowOff>
    </xdr:from>
    <xdr:to>
      <xdr:col>62</xdr:col>
      <xdr:colOff>0</xdr:colOff>
      <xdr:row>10</xdr:row>
      <xdr:rowOff>0</xdr:rowOff>
    </xdr:to>
    <xdr:sp macro="" textlink="" fLocksText="0">
      <xdr:nvSpPr>
        <xdr:cNvPr id="7" name="吹き出し: 線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9334500" y="1638300"/>
          <a:ext cx="7200900" cy="381000"/>
        </a:xfrm>
        <a:prstGeom prst="borderCallout1">
          <a:avLst>
            <a:gd name="adj1" fmla="val 51887"/>
            <a:gd name="adj2" fmla="val 470"/>
            <a:gd name="adj3" fmla="val 118745"/>
            <a:gd name="adj4" fmla="val -100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1.店舗一覧を取得する。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0</xdr:colOff>
      <xdr:row>13</xdr:row>
      <xdr:rowOff>22412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>
          <a:off x="1600200" y="2209800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</xdr:colOff>
      <xdr:row>20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8" idx="2"/>
          <a:endCxn id="19" idx="0"/>
        </xdr:cNvCxnSpPr>
      </xdr:nvCxnSpPr>
      <xdr:spPr>
        <a:xfrm flipH="1">
          <a:off x="1600200" y="3352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0</xdr:rowOff>
    </xdr:from>
    <xdr:to>
      <xdr:col>8</xdr:col>
      <xdr:colOff>0</xdr:colOff>
      <xdr:row>21</xdr:row>
      <xdr:rowOff>0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66800" y="39243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4</xdr:col>
      <xdr:colOff>0</xdr:colOff>
      <xdr:row>23</xdr:row>
      <xdr:rowOff>22412</xdr:rowOff>
    </xdr:from>
    <xdr:to>
      <xdr:col>8</xdr:col>
      <xdr:colOff>0</xdr:colOff>
      <xdr:row>25</xdr:row>
      <xdr:rowOff>0</xdr:rowOff>
    </xdr:to>
    <xdr:sp macro="" textlink="" fLocksText="0">
      <xdr:nvSpPr>
        <xdr:cNvPr id="20" name="Oval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066800" y="4514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21</xdr:row>
      <xdr:rowOff>0</xdr:rowOff>
    </xdr:from>
    <xdr:to>
      <xdr:col>6</xdr:col>
      <xdr:colOff>0</xdr:colOff>
      <xdr:row>23</xdr:row>
      <xdr:rowOff>22412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>
          <a:stCxn id="19" idx="2"/>
          <a:endCxn id="20" idx="0"/>
        </xdr:cNvCxnSpPr>
      </xdr:nvCxnSpPr>
      <xdr:spPr>
        <a:xfrm>
          <a:off x="1600200" y="4114800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22</xdr:row>
      <xdr:rowOff>0</xdr:rowOff>
    </xdr:from>
    <xdr:to>
      <xdr:col>62</xdr:col>
      <xdr:colOff>0</xdr:colOff>
      <xdr:row>24</xdr:row>
      <xdr:rowOff>0</xdr:rowOff>
    </xdr:to>
    <xdr:sp macro="" textlink="" fLocksText="0">
      <xdr:nvSpPr>
        <xdr:cNvPr id="80" name="吹き出し: 線 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9334500" y="4305300"/>
          <a:ext cx="7200900" cy="381000"/>
        </a:xfrm>
        <a:prstGeom prst="borderCallout1">
          <a:avLst>
            <a:gd name="adj1" fmla="val 46004"/>
            <a:gd name="adj2" fmla="val 117"/>
            <a:gd name="adj3" fmla="val -75372"/>
            <a:gd name="adj4" fmla="val -10071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1"/>
      <c r="K1" s="79" t="s">
        <v>2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1"/>
      <c r="W1" s="101" t="s">
        <v>18</v>
      </c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3"/>
      <c r="AP1" s="79" t="s">
        <v>3</v>
      </c>
      <c r="AQ1" s="80"/>
      <c r="AR1" s="80"/>
      <c r="AS1" s="81"/>
      <c r="AT1" s="79" t="s">
        <v>4</v>
      </c>
      <c r="AU1" s="80"/>
      <c r="AV1" s="80"/>
      <c r="AW1" s="80"/>
      <c r="AX1" s="81"/>
      <c r="AY1" s="79" t="s">
        <v>5</v>
      </c>
      <c r="AZ1" s="80"/>
      <c r="BA1" s="80"/>
      <c r="BB1" s="81"/>
      <c r="BC1" s="79" t="s">
        <v>6</v>
      </c>
      <c r="BD1" s="80"/>
      <c r="BE1" s="80"/>
      <c r="BF1" s="80"/>
      <c r="BG1" s="81"/>
      <c r="BH1" s="79" t="s">
        <v>7</v>
      </c>
      <c r="BI1" s="80"/>
      <c r="BJ1" s="80"/>
      <c r="BK1" s="81"/>
    </row>
    <row r="2" spans="1:63" ht="15" customHeight="1" x14ac:dyDescent="0.25">
      <c r="A2" s="100" t="s">
        <v>15</v>
      </c>
      <c r="B2" s="13"/>
      <c r="C2" s="13"/>
      <c r="D2" s="13"/>
      <c r="E2" s="13"/>
      <c r="F2" s="13"/>
      <c r="G2" s="13"/>
      <c r="H2" s="13"/>
      <c r="I2" s="13"/>
      <c r="J2" s="12"/>
      <c r="K2" s="14" t="s">
        <v>13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104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6"/>
      <c r="AP2" s="14" t="str">
        <f>改訂履歴!$H$11</f>
        <v>AnhDD</v>
      </c>
      <c r="AQ2" s="13"/>
      <c r="AR2" s="13"/>
      <c r="AS2" s="12"/>
      <c r="AT2" s="94">
        <f>改訂履歴!$B$11</f>
        <v>45515</v>
      </c>
      <c r="AU2" s="95"/>
      <c r="AV2" s="95"/>
      <c r="AW2" s="95"/>
      <c r="AX2" s="96"/>
      <c r="AY2" s="14" t="str">
        <f>LOOKUP(2,1/(改訂履歴!H11:H30000&lt;&gt;""),改訂履歴!H11:H30000)</f>
        <v>HueDT</v>
      </c>
      <c r="AZ2" s="13"/>
      <c r="BA2" s="13"/>
      <c r="BB2" s="12"/>
      <c r="BC2" s="94">
        <f>LOOKUP(2,1/(改訂履歴!B11:B30000&lt;&gt;""),改訂履歴!B11:B30000)</f>
        <v>45600</v>
      </c>
      <c r="BD2" s="95"/>
      <c r="BE2" s="95"/>
      <c r="BF2" s="95"/>
      <c r="BG2" s="96"/>
      <c r="BH2" s="88">
        <f>LOOKUP(2,1/(改訂履歴!O11:O30000&lt;&gt;""),改訂履歴!O11:O30000)</f>
        <v>0.2</v>
      </c>
      <c r="BI2" s="89"/>
      <c r="BJ2" s="89"/>
      <c r="BK2" s="90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107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9"/>
      <c r="AP3" s="8"/>
      <c r="AQ3" s="7"/>
      <c r="AR3" s="7"/>
      <c r="AS3" s="6"/>
      <c r="AT3" s="97"/>
      <c r="AU3" s="98"/>
      <c r="AV3" s="98"/>
      <c r="AW3" s="98"/>
      <c r="AX3" s="99"/>
      <c r="AY3" s="8"/>
      <c r="AZ3" s="7"/>
      <c r="BA3" s="7"/>
      <c r="BB3" s="6"/>
      <c r="BC3" s="97"/>
      <c r="BD3" s="98"/>
      <c r="BE3" s="98"/>
      <c r="BF3" s="98"/>
      <c r="BG3" s="99"/>
      <c r="BH3" s="91"/>
      <c r="BI3" s="92"/>
      <c r="BJ3" s="92"/>
      <c r="BK3" s="93"/>
    </row>
    <row r="4" spans="1:63" ht="24.95" customHeight="1" x14ac:dyDescent="0.25">
      <c r="A4" s="79" t="s">
        <v>1</v>
      </c>
      <c r="B4" s="80"/>
      <c r="C4" s="80"/>
      <c r="D4" s="80"/>
      <c r="E4" s="80"/>
      <c r="F4" s="80"/>
      <c r="G4" s="81"/>
      <c r="H4" s="84" t="s">
        <v>50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6"/>
      <c r="U4" s="79" t="s">
        <v>8</v>
      </c>
      <c r="V4" s="80"/>
      <c r="W4" s="80"/>
      <c r="X4" s="80"/>
      <c r="Y4" s="81"/>
      <c r="Z4" s="87" t="s">
        <v>17</v>
      </c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6"/>
      <c r="AP4" s="84" t="str">
        <f t="array" aca="1" ref="AP4" ca="1">RIGHT(CELL("filename",$A$1),LEN(CELL("filename",$A$1))-FIND("]",CELL("filename",$A$1)))</f>
        <v>表紙</v>
      </c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6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82" t="s">
        <v>16</v>
      </c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26"/>
      <c r="BK16" s="18"/>
    </row>
    <row r="17" spans="1:63" ht="15" customHeight="1" x14ac:dyDescent="0.25">
      <c r="A17" s="15"/>
      <c r="K17" s="20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26"/>
      <c r="BK17" s="18"/>
    </row>
    <row r="18" spans="1:63" ht="15" customHeight="1" x14ac:dyDescent="0.25">
      <c r="A18" s="15"/>
      <c r="K18" s="20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26"/>
      <c r="BK18" s="18"/>
    </row>
    <row r="19" spans="1:63" ht="15" customHeight="1" x14ac:dyDescent="0.25">
      <c r="A19" s="15"/>
      <c r="K19" s="20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26"/>
      <c r="BK19" s="18"/>
    </row>
    <row r="20" spans="1:63" ht="15" customHeight="1" x14ac:dyDescent="0.25">
      <c r="A20" s="15"/>
      <c r="K20" s="20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26"/>
      <c r="BK20" s="18"/>
    </row>
    <row r="21" spans="1:63" ht="15" customHeight="1" x14ac:dyDescent="0.25">
      <c r="A21" s="15"/>
      <c r="K21" s="20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83" t="str">
        <f>K2&amp;"/"&amp;H4&amp;"/"&amp;Z4</f>
        <v>POSサーバ/APX004/API設計書</v>
      </c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26"/>
      <c r="BK24" s="18"/>
    </row>
    <row r="25" spans="1:63" ht="15" customHeight="1" x14ac:dyDescent="0.25">
      <c r="A25" s="15"/>
      <c r="K25" s="20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26"/>
      <c r="BK25" s="18"/>
    </row>
    <row r="26" spans="1:63" ht="15" customHeight="1" x14ac:dyDescent="0.25">
      <c r="A26" s="15"/>
      <c r="K26" s="20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26"/>
      <c r="BK26" s="18"/>
    </row>
    <row r="27" spans="1:63" ht="15" customHeight="1" x14ac:dyDescent="0.25">
      <c r="A27" s="15"/>
      <c r="K27" s="20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26"/>
      <c r="BK27" s="18"/>
    </row>
    <row r="28" spans="1:63" ht="15" customHeight="1" x14ac:dyDescent="0.25">
      <c r="A28" s="15"/>
      <c r="K28" s="20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26"/>
      <c r="BK28" s="18"/>
    </row>
    <row r="29" spans="1:63" ht="15" customHeight="1" x14ac:dyDescent="0.25">
      <c r="A29" s="15"/>
      <c r="K29" s="20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26"/>
      <c r="BK29" s="18"/>
    </row>
    <row r="30" spans="1:63" ht="15" customHeight="1" x14ac:dyDescent="0.25">
      <c r="A30" s="15"/>
      <c r="K30" s="20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26"/>
      <c r="BK30" s="18"/>
    </row>
    <row r="31" spans="1:63" ht="15" customHeight="1" x14ac:dyDescent="0.25">
      <c r="A31" s="15"/>
      <c r="K31" s="20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26"/>
      <c r="BK31" s="18"/>
    </row>
    <row r="32" spans="1:63" ht="15" customHeight="1" x14ac:dyDescent="0.25">
      <c r="A32" s="15"/>
      <c r="K32" s="20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26"/>
      <c r="BK32" s="18"/>
    </row>
    <row r="33" spans="1:63" ht="15" customHeight="1" x14ac:dyDescent="0.25">
      <c r="A33" s="15"/>
      <c r="K33" s="20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26"/>
      <c r="BK33" s="18"/>
    </row>
    <row r="34" spans="1:63" ht="15" customHeight="1" x14ac:dyDescent="0.25">
      <c r="A34" s="15"/>
      <c r="K34" s="20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26"/>
      <c r="BK34" s="18"/>
    </row>
    <row r="35" spans="1:63" ht="15" customHeight="1" x14ac:dyDescent="0.25">
      <c r="A35" s="15"/>
      <c r="K35" s="20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26"/>
      <c r="BK35" s="18"/>
    </row>
    <row r="36" spans="1:63" ht="15" customHeight="1" x14ac:dyDescent="0.25">
      <c r="A36" s="15"/>
      <c r="K36" s="20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5" t="s">
        <v>11</v>
      </c>
      <c r="R44" s="4"/>
      <c r="S44" s="4"/>
      <c r="T44" s="4"/>
      <c r="U44" s="4"/>
      <c r="V44" s="4"/>
      <c r="W44" s="4"/>
      <c r="X44" s="4"/>
      <c r="Y44" s="4"/>
      <c r="Z44" s="3"/>
      <c r="AA44" s="5" t="s">
        <v>12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3"/>
      <c r="AQ44" s="5" t="s">
        <v>7</v>
      </c>
      <c r="AR44" s="4"/>
      <c r="AS44" s="4"/>
      <c r="AT44" s="4"/>
      <c r="AU44" s="3"/>
      <c r="BK44" s="18"/>
    </row>
    <row r="45" spans="1:63" ht="15" customHeight="1" x14ac:dyDescent="0.25">
      <c r="A45" s="15"/>
      <c r="Q45" s="2"/>
      <c r="R45" s="1"/>
      <c r="S45" s="1"/>
      <c r="T45" s="1"/>
      <c r="U45" s="1"/>
      <c r="V45" s="1"/>
      <c r="W45" s="1"/>
      <c r="X45" s="1"/>
      <c r="Y45" s="1"/>
      <c r="Z45" s="78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78"/>
      <c r="AQ45" s="2"/>
      <c r="AR45" s="1"/>
      <c r="AS45" s="1"/>
      <c r="AT45" s="1"/>
      <c r="AU45" s="78"/>
      <c r="BK45" s="18"/>
    </row>
    <row r="46" spans="1:63" ht="15" customHeight="1" x14ac:dyDescent="0.25">
      <c r="A46" s="15"/>
      <c r="Q46" s="14"/>
      <c r="R46" s="13"/>
      <c r="S46" s="13"/>
      <c r="T46" s="13"/>
      <c r="U46" s="13"/>
      <c r="V46" s="13"/>
      <c r="W46" s="13"/>
      <c r="X46" s="13"/>
      <c r="Y46" s="13"/>
      <c r="Z46" s="12"/>
      <c r="AA46" s="14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2"/>
      <c r="AQ46" s="14"/>
      <c r="AR46" s="13"/>
      <c r="AS46" s="13"/>
      <c r="AT46" s="13"/>
      <c r="AU46" s="12"/>
      <c r="BK46" s="18"/>
    </row>
    <row r="47" spans="1:63" ht="15" customHeight="1" x14ac:dyDescent="0.25">
      <c r="A47" s="15"/>
      <c r="Q47" s="11"/>
      <c r="R47" s="10"/>
      <c r="S47" s="10"/>
      <c r="T47" s="10"/>
      <c r="U47" s="10"/>
      <c r="V47" s="10"/>
      <c r="W47" s="10"/>
      <c r="X47" s="10"/>
      <c r="Y47" s="10"/>
      <c r="Z47" s="9"/>
      <c r="AA47" s="11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9"/>
      <c r="AQ47" s="11"/>
      <c r="AR47" s="10"/>
      <c r="AS47" s="10"/>
      <c r="AT47" s="10"/>
      <c r="AU47" s="9"/>
      <c r="BK47" s="18"/>
    </row>
    <row r="48" spans="1:63" ht="15" customHeight="1" x14ac:dyDescent="0.25">
      <c r="A48" s="15"/>
      <c r="Q48" s="11"/>
      <c r="R48" s="10"/>
      <c r="S48" s="10"/>
      <c r="T48" s="10"/>
      <c r="U48" s="10"/>
      <c r="V48" s="10"/>
      <c r="W48" s="10"/>
      <c r="X48" s="10"/>
      <c r="Y48" s="10"/>
      <c r="Z48" s="9"/>
      <c r="AA48" s="11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9"/>
      <c r="AQ48" s="11"/>
      <c r="AR48" s="10"/>
      <c r="AS48" s="10"/>
      <c r="AT48" s="10"/>
      <c r="AU48" s="9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1"/>
      <c r="K1" s="79" t="s">
        <v>2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1"/>
      <c r="W1" s="123" t="str">
        <f>IF(表紙!W1="","",表紙!W1)</f>
        <v>詳細設計書</v>
      </c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3"/>
      <c r="AP1" s="79" t="s">
        <v>3</v>
      </c>
      <c r="AQ1" s="80"/>
      <c r="AR1" s="80"/>
      <c r="AS1" s="81"/>
      <c r="AT1" s="79" t="s">
        <v>4</v>
      </c>
      <c r="AU1" s="80"/>
      <c r="AV1" s="80"/>
      <c r="AW1" s="80"/>
      <c r="AX1" s="81"/>
      <c r="AY1" s="79" t="s">
        <v>5</v>
      </c>
      <c r="AZ1" s="80"/>
      <c r="BA1" s="80"/>
      <c r="BB1" s="81"/>
      <c r="BC1" s="79" t="s">
        <v>6</v>
      </c>
      <c r="BD1" s="80"/>
      <c r="BE1" s="80"/>
      <c r="BF1" s="80"/>
      <c r="BG1" s="81"/>
      <c r="BH1" s="79" t="s">
        <v>7</v>
      </c>
      <c r="BI1" s="80"/>
      <c r="BJ1" s="80"/>
      <c r="BK1" s="81"/>
    </row>
    <row r="2" spans="1:63" ht="15" customHeight="1" x14ac:dyDescent="0.25">
      <c r="A2" s="14" t="str">
        <f>IF(表紙!A2="","",表紙!A2)</f>
        <v>POSサーバー</v>
      </c>
      <c r="B2" s="13"/>
      <c r="C2" s="13"/>
      <c r="D2" s="13"/>
      <c r="E2" s="13"/>
      <c r="F2" s="13"/>
      <c r="G2" s="13"/>
      <c r="H2" s="13"/>
      <c r="I2" s="13"/>
      <c r="J2" s="12"/>
      <c r="K2" s="14" t="str">
        <f>IF(表紙!K2="","",表紙!K2)</f>
        <v>POSサーバ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104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6"/>
      <c r="AP2" s="14" t="str">
        <f>IF(表紙!AP2="","",表紙!AP2)</f>
        <v>AnhDD</v>
      </c>
      <c r="AQ2" s="13"/>
      <c r="AR2" s="13"/>
      <c r="AS2" s="12"/>
      <c r="AT2" s="94">
        <f>IF(表紙!AT2="","",表紙!AT2)</f>
        <v>45515</v>
      </c>
      <c r="AU2" s="95"/>
      <c r="AV2" s="95"/>
      <c r="AW2" s="95"/>
      <c r="AX2" s="96"/>
      <c r="AY2" s="14" t="str">
        <f>IF(表紙!AY2="","",表紙!AY2)</f>
        <v>HueDT</v>
      </c>
      <c r="AZ2" s="13"/>
      <c r="BA2" s="13"/>
      <c r="BB2" s="12"/>
      <c r="BC2" s="94">
        <f>IF(表紙!BC2="","",表紙!BC2)</f>
        <v>45600</v>
      </c>
      <c r="BD2" s="95"/>
      <c r="BE2" s="95"/>
      <c r="BF2" s="95"/>
      <c r="BG2" s="96"/>
      <c r="BH2" s="14">
        <f>IF(表紙!BH2="","",表紙!BH2)</f>
        <v>0.2</v>
      </c>
      <c r="BI2" s="13"/>
      <c r="BJ2" s="13"/>
      <c r="BK2" s="12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107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9"/>
      <c r="AP3" s="8"/>
      <c r="AQ3" s="7"/>
      <c r="AR3" s="7"/>
      <c r="AS3" s="6"/>
      <c r="AT3" s="97"/>
      <c r="AU3" s="98"/>
      <c r="AV3" s="98"/>
      <c r="AW3" s="98"/>
      <c r="AX3" s="99"/>
      <c r="AY3" s="8"/>
      <c r="AZ3" s="7"/>
      <c r="BA3" s="7"/>
      <c r="BB3" s="6"/>
      <c r="BC3" s="97"/>
      <c r="BD3" s="98"/>
      <c r="BE3" s="98"/>
      <c r="BF3" s="98"/>
      <c r="BG3" s="99"/>
      <c r="BH3" s="8"/>
      <c r="BI3" s="7"/>
      <c r="BJ3" s="7"/>
      <c r="BK3" s="6"/>
    </row>
    <row r="4" spans="1:63" ht="24.95" customHeight="1" x14ac:dyDescent="0.25">
      <c r="A4" s="79" t="s">
        <v>1</v>
      </c>
      <c r="B4" s="80"/>
      <c r="C4" s="80"/>
      <c r="D4" s="80"/>
      <c r="E4" s="80"/>
      <c r="F4" s="80"/>
      <c r="G4" s="81"/>
      <c r="H4" s="84" t="str">
        <f>IF(表紙!H4="","",表紙!H4)</f>
        <v>APX004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6"/>
      <c r="U4" s="79" t="s">
        <v>8</v>
      </c>
      <c r="V4" s="80"/>
      <c r="W4" s="80"/>
      <c r="X4" s="80"/>
      <c r="Y4" s="81"/>
      <c r="Z4" s="84" t="str">
        <f>IF(表紙!Z4="","",表紙!Z4)</f>
        <v>API設計書</v>
      </c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6"/>
      <c r="AP4" s="84" t="str">
        <f t="array" aca="1" ref="AP4" ca="1">RIGHT(CELL("filename",$A$1),LEN(CELL("filename",$A$1))-FIND("]",CELL("filename",$A$1)))</f>
        <v>改訂履歴</v>
      </c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6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122" t="s">
        <v>6</v>
      </c>
      <c r="C10" s="122"/>
      <c r="D10" s="122"/>
      <c r="E10" s="122"/>
      <c r="F10" s="122"/>
      <c r="G10" s="122"/>
      <c r="H10" s="122" t="s">
        <v>5</v>
      </c>
      <c r="I10" s="122"/>
      <c r="J10" s="122"/>
      <c r="K10" s="122"/>
      <c r="L10" s="122"/>
      <c r="M10" s="122"/>
      <c r="N10" s="122"/>
      <c r="O10" s="122" t="s">
        <v>7</v>
      </c>
      <c r="P10" s="122"/>
      <c r="Q10" s="122"/>
      <c r="R10" s="122"/>
      <c r="S10" s="122" t="s">
        <v>10</v>
      </c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 t="s">
        <v>11</v>
      </c>
      <c r="AY10" s="122"/>
      <c r="AZ10" s="122"/>
      <c r="BA10" s="122"/>
      <c r="BB10" s="122"/>
      <c r="BC10" s="122"/>
      <c r="BD10" s="122" t="s">
        <v>12</v>
      </c>
      <c r="BE10" s="122"/>
      <c r="BF10" s="122"/>
      <c r="BG10" s="122"/>
      <c r="BH10" s="122"/>
      <c r="BI10" s="122"/>
      <c r="BJ10" s="122"/>
      <c r="BK10" s="18"/>
    </row>
    <row r="11" spans="1:63" ht="15" customHeight="1" x14ac:dyDescent="0.25">
      <c r="A11" s="15"/>
      <c r="B11" s="94">
        <v>45515</v>
      </c>
      <c r="C11" s="13"/>
      <c r="D11" s="13"/>
      <c r="E11" s="13"/>
      <c r="F11" s="13"/>
      <c r="G11" s="12"/>
      <c r="H11" s="100" t="s">
        <v>42</v>
      </c>
      <c r="I11" s="13"/>
      <c r="J11" s="13"/>
      <c r="K11" s="13"/>
      <c r="L11" s="13"/>
      <c r="M11" s="13"/>
      <c r="N11" s="12"/>
      <c r="O11" s="14">
        <v>0.1</v>
      </c>
      <c r="P11" s="13"/>
      <c r="Q11" s="13"/>
      <c r="R11" s="13"/>
      <c r="S11" s="110" t="s">
        <v>14</v>
      </c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2"/>
      <c r="AX11" s="113"/>
      <c r="AY11" s="113"/>
      <c r="AZ11" s="113"/>
      <c r="BA11" s="113"/>
      <c r="BB11" s="113"/>
      <c r="BC11" s="114"/>
      <c r="BD11" s="117"/>
      <c r="BE11" s="113"/>
      <c r="BF11" s="113"/>
      <c r="BG11" s="113"/>
      <c r="BH11" s="113"/>
      <c r="BI11" s="113"/>
      <c r="BJ11" s="114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119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1"/>
      <c r="AX12" s="115"/>
      <c r="AY12" s="115"/>
      <c r="AZ12" s="115"/>
      <c r="BA12" s="115"/>
      <c r="BB12" s="115"/>
      <c r="BC12" s="116"/>
      <c r="BD12" s="118"/>
      <c r="BE12" s="115"/>
      <c r="BF12" s="115"/>
      <c r="BG12" s="115"/>
      <c r="BH12" s="115"/>
      <c r="BI12" s="115"/>
      <c r="BJ12" s="116"/>
      <c r="BK12" s="18"/>
    </row>
    <row r="13" spans="1:63" ht="15" customHeight="1" x14ac:dyDescent="0.25">
      <c r="A13" s="15"/>
      <c r="B13" s="173">
        <v>45600</v>
      </c>
      <c r="C13" s="174"/>
      <c r="D13" s="174"/>
      <c r="E13" s="174"/>
      <c r="F13" s="174"/>
      <c r="G13" s="175"/>
      <c r="H13" s="176" t="s">
        <v>56</v>
      </c>
      <c r="I13" s="174"/>
      <c r="J13" s="174"/>
      <c r="K13" s="174"/>
      <c r="L13" s="174"/>
      <c r="M13" s="174"/>
      <c r="N13" s="175"/>
      <c r="O13" s="176">
        <v>0.2</v>
      </c>
      <c r="P13" s="174"/>
      <c r="Q13" s="174"/>
      <c r="R13" s="174"/>
      <c r="S13" s="177" t="s">
        <v>57</v>
      </c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9"/>
      <c r="AX13" s="113"/>
      <c r="AY13" s="113"/>
      <c r="AZ13" s="113"/>
      <c r="BA13" s="113"/>
      <c r="BB13" s="113"/>
      <c r="BC13" s="114"/>
      <c r="BD13" s="117"/>
      <c r="BE13" s="113"/>
      <c r="BF13" s="113"/>
      <c r="BG13" s="113"/>
      <c r="BH13" s="113"/>
      <c r="BI13" s="113"/>
      <c r="BJ13" s="114"/>
      <c r="BK13" s="18"/>
    </row>
    <row r="14" spans="1:63" ht="15" customHeight="1" x14ac:dyDescent="0.25">
      <c r="A14" s="15"/>
      <c r="B14" s="180"/>
      <c r="C14" s="181"/>
      <c r="D14" s="181"/>
      <c r="E14" s="181"/>
      <c r="F14" s="181"/>
      <c r="G14" s="182"/>
      <c r="H14" s="180"/>
      <c r="I14" s="181"/>
      <c r="J14" s="181"/>
      <c r="K14" s="181"/>
      <c r="L14" s="181"/>
      <c r="M14" s="181"/>
      <c r="N14" s="182"/>
      <c r="O14" s="180"/>
      <c r="P14" s="181"/>
      <c r="Q14" s="181"/>
      <c r="R14" s="181"/>
      <c r="S14" s="183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  <c r="AT14" s="184"/>
      <c r="AU14" s="184"/>
      <c r="AV14" s="184"/>
      <c r="AW14" s="185"/>
      <c r="AX14" s="115"/>
      <c r="AY14" s="115"/>
      <c r="AZ14" s="115"/>
      <c r="BA14" s="115"/>
      <c r="BB14" s="115"/>
      <c r="BC14" s="116"/>
      <c r="BD14" s="118"/>
      <c r="BE14" s="115"/>
      <c r="BF14" s="115"/>
      <c r="BG14" s="115"/>
      <c r="BH14" s="115"/>
      <c r="BI14" s="115"/>
      <c r="BJ14" s="116"/>
      <c r="BK14" s="18"/>
    </row>
    <row r="15" spans="1:63" ht="15" customHeight="1" x14ac:dyDescent="0.25">
      <c r="A15" s="15"/>
      <c r="B15" s="14"/>
      <c r="C15" s="13"/>
      <c r="D15" s="13"/>
      <c r="E15" s="13"/>
      <c r="F15" s="13"/>
      <c r="G15" s="12"/>
      <c r="H15" s="14"/>
      <c r="I15" s="13"/>
      <c r="J15" s="13"/>
      <c r="K15" s="13"/>
      <c r="L15" s="13"/>
      <c r="M15" s="13"/>
      <c r="N15" s="12"/>
      <c r="O15" s="14"/>
      <c r="P15" s="13"/>
      <c r="Q15" s="13"/>
      <c r="R15" s="13"/>
      <c r="S15" s="110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2"/>
      <c r="AX15" s="113"/>
      <c r="AY15" s="113"/>
      <c r="AZ15" s="113"/>
      <c r="BA15" s="113"/>
      <c r="BB15" s="113"/>
      <c r="BC15" s="114"/>
      <c r="BD15" s="117"/>
      <c r="BE15" s="113"/>
      <c r="BF15" s="113"/>
      <c r="BG15" s="113"/>
      <c r="BH15" s="113"/>
      <c r="BI15" s="113"/>
      <c r="BJ15" s="114"/>
      <c r="BK15" s="18"/>
    </row>
    <row r="16" spans="1:63" ht="15" customHeight="1" x14ac:dyDescent="0.25">
      <c r="A16" s="15"/>
      <c r="B16" s="8"/>
      <c r="C16" s="7"/>
      <c r="D16" s="7"/>
      <c r="E16" s="7"/>
      <c r="F16" s="7"/>
      <c r="G16" s="6"/>
      <c r="H16" s="8"/>
      <c r="I16" s="7"/>
      <c r="J16" s="7"/>
      <c r="K16" s="7"/>
      <c r="L16" s="7"/>
      <c r="M16" s="7"/>
      <c r="N16" s="6"/>
      <c r="O16" s="8"/>
      <c r="P16" s="7"/>
      <c r="Q16" s="7"/>
      <c r="R16" s="7"/>
      <c r="S16" s="119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1"/>
      <c r="AX16" s="115"/>
      <c r="AY16" s="115"/>
      <c r="AZ16" s="115"/>
      <c r="BA16" s="115"/>
      <c r="BB16" s="115"/>
      <c r="BC16" s="116"/>
      <c r="BD16" s="118"/>
      <c r="BE16" s="115"/>
      <c r="BF16" s="115"/>
      <c r="BG16" s="115"/>
      <c r="BH16" s="115"/>
      <c r="BI16" s="115"/>
      <c r="BJ16" s="116"/>
      <c r="BK16" s="18"/>
    </row>
    <row r="17" spans="1:63" ht="15" customHeight="1" x14ac:dyDescent="0.25">
      <c r="A17" s="15"/>
      <c r="B17" s="14"/>
      <c r="C17" s="13"/>
      <c r="D17" s="13"/>
      <c r="E17" s="13"/>
      <c r="F17" s="13"/>
      <c r="G17" s="12"/>
      <c r="H17" s="14"/>
      <c r="I17" s="13"/>
      <c r="J17" s="13"/>
      <c r="K17" s="13"/>
      <c r="L17" s="13"/>
      <c r="M17" s="13"/>
      <c r="N17" s="12"/>
      <c r="O17" s="14"/>
      <c r="P17" s="13"/>
      <c r="Q17" s="13"/>
      <c r="R17" s="13"/>
      <c r="S17" s="110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2"/>
      <c r="AX17" s="113"/>
      <c r="AY17" s="113"/>
      <c r="AZ17" s="113"/>
      <c r="BA17" s="113"/>
      <c r="BB17" s="113"/>
      <c r="BC17" s="114"/>
      <c r="BD17" s="117"/>
      <c r="BE17" s="113"/>
      <c r="BF17" s="113"/>
      <c r="BG17" s="113"/>
      <c r="BH17" s="113"/>
      <c r="BI17" s="113"/>
      <c r="BJ17" s="114"/>
      <c r="BK17" s="18"/>
    </row>
    <row r="18" spans="1:63" ht="15" customHeight="1" x14ac:dyDescent="0.25">
      <c r="A18" s="15"/>
      <c r="B18" s="8"/>
      <c r="C18" s="7"/>
      <c r="D18" s="7"/>
      <c r="E18" s="7"/>
      <c r="F18" s="7"/>
      <c r="G18" s="6"/>
      <c r="H18" s="8"/>
      <c r="I18" s="7"/>
      <c r="J18" s="7"/>
      <c r="K18" s="7"/>
      <c r="L18" s="7"/>
      <c r="M18" s="7"/>
      <c r="N18" s="6"/>
      <c r="O18" s="8"/>
      <c r="P18" s="7"/>
      <c r="Q18" s="7"/>
      <c r="R18" s="7"/>
      <c r="S18" s="119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1"/>
      <c r="AX18" s="115"/>
      <c r="AY18" s="115"/>
      <c r="AZ18" s="115"/>
      <c r="BA18" s="115"/>
      <c r="BB18" s="115"/>
      <c r="BC18" s="116"/>
      <c r="BD18" s="118"/>
      <c r="BE18" s="115"/>
      <c r="BF18" s="115"/>
      <c r="BG18" s="115"/>
      <c r="BH18" s="115"/>
      <c r="BI18" s="115"/>
      <c r="BJ18" s="116"/>
      <c r="BK18" s="18"/>
    </row>
    <row r="19" spans="1:63" ht="15" customHeight="1" x14ac:dyDescent="0.25">
      <c r="A19" s="15"/>
      <c r="B19" s="14"/>
      <c r="C19" s="13"/>
      <c r="D19" s="13"/>
      <c r="E19" s="13"/>
      <c r="F19" s="13"/>
      <c r="G19" s="12"/>
      <c r="H19" s="14"/>
      <c r="I19" s="13"/>
      <c r="J19" s="13"/>
      <c r="K19" s="13"/>
      <c r="L19" s="13"/>
      <c r="M19" s="13"/>
      <c r="N19" s="12"/>
      <c r="O19" s="14"/>
      <c r="P19" s="13"/>
      <c r="Q19" s="13"/>
      <c r="R19" s="13"/>
      <c r="S19" s="110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2"/>
      <c r="AX19" s="113"/>
      <c r="AY19" s="113"/>
      <c r="AZ19" s="113"/>
      <c r="BA19" s="113"/>
      <c r="BB19" s="113"/>
      <c r="BC19" s="114"/>
      <c r="BD19" s="117"/>
      <c r="BE19" s="113"/>
      <c r="BF19" s="113"/>
      <c r="BG19" s="113"/>
      <c r="BH19" s="113"/>
      <c r="BI19" s="113"/>
      <c r="BJ19" s="114"/>
      <c r="BK19" s="18"/>
    </row>
    <row r="20" spans="1:63" ht="15" customHeight="1" x14ac:dyDescent="0.25">
      <c r="A20" s="15"/>
      <c r="B20" s="8"/>
      <c r="C20" s="7"/>
      <c r="D20" s="7"/>
      <c r="E20" s="7"/>
      <c r="F20" s="7"/>
      <c r="G20" s="6"/>
      <c r="H20" s="8"/>
      <c r="I20" s="7"/>
      <c r="J20" s="7"/>
      <c r="K20" s="7"/>
      <c r="L20" s="7"/>
      <c r="M20" s="7"/>
      <c r="N20" s="6"/>
      <c r="O20" s="8"/>
      <c r="P20" s="7"/>
      <c r="Q20" s="7"/>
      <c r="R20" s="7"/>
      <c r="S20" s="119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1"/>
      <c r="AX20" s="115"/>
      <c r="AY20" s="115"/>
      <c r="AZ20" s="115"/>
      <c r="BA20" s="115"/>
      <c r="BB20" s="115"/>
      <c r="BC20" s="116"/>
      <c r="BD20" s="118"/>
      <c r="BE20" s="115"/>
      <c r="BF20" s="115"/>
      <c r="BG20" s="115"/>
      <c r="BH20" s="115"/>
      <c r="BI20" s="115"/>
      <c r="BJ20" s="116"/>
      <c r="BK20" s="18"/>
    </row>
    <row r="21" spans="1:63" ht="15" customHeight="1" x14ac:dyDescent="0.25">
      <c r="A21" s="15"/>
      <c r="B21" s="14"/>
      <c r="C21" s="13"/>
      <c r="D21" s="13"/>
      <c r="E21" s="13"/>
      <c r="F21" s="13"/>
      <c r="G21" s="12"/>
      <c r="H21" s="14"/>
      <c r="I21" s="13"/>
      <c r="J21" s="13"/>
      <c r="K21" s="13"/>
      <c r="L21" s="13"/>
      <c r="M21" s="13"/>
      <c r="N21" s="12"/>
      <c r="O21" s="14"/>
      <c r="P21" s="13"/>
      <c r="Q21" s="13"/>
      <c r="R21" s="13"/>
      <c r="S21" s="110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2"/>
      <c r="AX21" s="113"/>
      <c r="AY21" s="113"/>
      <c r="AZ21" s="113"/>
      <c r="BA21" s="113"/>
      <c r="BB21" s="113"/>
      <c r="BC21" s="114"/>
      <c r="BD21" s="117"/>
      <c r="BE21" s="113"/>
      <c r="BF21" s="113"/>
      <c r="BG21" s="113"/>
      <c r="BH21" s="113"/>
      <c r="BI21" s="113"/>
      <c r="BJ21" s="114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119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1"/>
      <c r="AX22" s="115"/>
      <c r="AY22" s="115"/>
      <c r="AZ22" s="115"/>
      <c r="BA22" s="115"/>
      <c r="BB22" s="115"/>
      <c r="BC22" s="116"/>
      <c r="BD22" s="118"/>
      <c r="BE22" s="115"/>
      <c r="BF22" s="115"/>
      <c r="BG22" s="115"/>
      <c r="BH22" s="115"/>
      <c r="BI22" s="115"/>
      <c r="BJ22" s="116"/>
      <c r="BK22" s="18"/>
    </row>
    <row r="23" spans="1:63" ht="15" customHeight="1" x14ac:dyDescent="0.25">
      <c r="A23" s="15"/>
      <c r="B23" s="14"/>
      <c r="C23" s="13"/>
      <c r="D23" s="13"/>
      <c r="E23" s="13"/>
      <c r="F23" s="13"/>
      <c r="G23" s="12"/>
      <c r="H23" s="14"/>
      <c r="I23" s="13"/>
      <c r="J23" s="13"/>
      <c r="K23" s="13"/>
      <c r="L23" s="13"/>
      <c r="M23" s="13"/>
      <c r="N23" s="12"/>
      <c r="O23" s="14"/>
      <c r="P23" s="13"/>
      <c r="Q23" s="13"/>
      <c r="R23" s="13"/>
      <c r="S23" s="110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2"/>
      <c r="AX23" s="113"/>
      <c r="AY23" s="113"/>
      <c r="AZ23" s="113"/>
      <c r="BA23" s="113"/>
      <c r="BB23" s="113"/>
      <c r="BC23" s="114"/>
      <c r="BD23" s="117"/>
      <c r="BE23" s="113"/>
      <c r="BF23" s="113"/>
      <c r="BG23" s="113"/>
      <c r="BH23" s="113"/>
      <c r="BI23" s="113"/>
      <c r="BJ23" s="114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119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1"/>
      <c r="AX24" s="115"/>
      <c r="AY24" s="115"/>
      <c r="AZ24" s="115"/>
      <c r="BA24" s="115"/>
      <c r="BB24" s="115"/>
      <c r="BC24" s="116"/>
      <c r="BD24" s="118"/>
      <c r="BE24" s="115"/>
      <c r="BF24" s="115"/>
      <c r="BG24" s="115"/>
      <c r="BH24" s="115"/>
      <c r="BI24" s="115"/>
      <c r="BJ24" s="116"/>
      <c r="BK24" s="18"/>
    </row>
    <row r="25" spans="1:63" ht="15" customHeight="1" x14ac:dyDescent="0.25">
      <c r="A25" s="15"/>
      <c r="B25" s="14"/>
      <c r="C25" s="13"/>
      <c r="D25" s="13"/>
      <c r="E25" s="13"/>
      <c r="F25" s="13"/>
      <c r="G25" s="12"/>
      <c r="H25" s="14"/>
      <c r="I25" s="13"/>
      <c r="J25" s="13"/>
      <c r="K25" s="13"/>
      <c r="L25" s="13"/>
      <c r="M25" s="13"/>
      <c r="N25" s="12"/>
      <c r="O25" s="14"/>
      <c r="P25" s="13"/>
      <c r="Q25" s="13"/>
      <c r="R25" s="13"/>
      <c r="S25" s="110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2"/>
      <c r="AX25" s="113"/>
      <c r="AY25" s="113"/>
      <c r="AZ25" s="113"/>
      <c r="BA25" s="113"/>
      <c r="BB25" s="113"/>
      <c r="BC25" s="114"/>
      <c r="BD25" s="117"/>
      <c r="BE25" s="113"/>
      <c r="BF25" s="113"/>
      <c r="BG25" s="113"/>
      <c r="BH25" s="113"/>
      <c r="BI25" s="113"/>
      <c r="BJ25" s="114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119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1"/>
      <c r="AX26" s="115"/>
      <c r="AY26" s="115"/>
      <c r="AZ26" s="115"/>
      <c r="BA26" s="115"/>
      <c r="BB26" s="115"/>
      <c r="BC26" s="116"/>
      <c r="BD26" s="118"/>
      <c r="BE26" s="115"/>
      <c r="BF26" s="115"/>
      <c r="BG26" s="115"/>
      <c r="BH26" s="115"/>
      <c r="BI26" s="115"/>
      <c r="BJ26" s="116"/>
      <c r="BK26" s="18"/>
    </row>
    <row r="27" spans="1:63" ht="15" customHeight="1" x14ac:dyDescent="0.25">
      <c r="A27" s="15"/>
      <c r="B27" s="14"/>
      <c r="C27" s="13"/>
      <c r="D27" s="13"/>
      <c r="E27" s="13"/>
      <c r="F27" s="13"/>
      <c r="G27" s="12"/>
      <c r="H27" s="14"/>
      <c r="I27" s="13"/>
      <c r="J27" s="13"/>
      <c r="K27" s="13"/>
      <c r="L27" s="13"/>
      <c r="M27" s="13"/>
      <c r="N27" s="12"/>
      <c r="O27" s="14"/>
      <c r="P27" s="13"/>
      <c r="Q27" s="13"/>
      <c r="R27" s="13"/>
      <c r="S27" s="110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2"/>
      <c r="AX27" s="113"/>
      <c r="AY27" s="113"/>
      <c r="AZ27" s="113"/>
      <c r="BA27" s="113"/>
      <c r="BB27" s="113"/>
      <c r="BC27" s="114"/>
      <c r="BD27" s="117"/>
      <c r="BE27" s="113"/>
      <c r="BF27" s="113"/>
      <c r="BG27" s="113"/>
      <c r="BH27" s="113"/>
      <c r="BI27" s="113"/>
      <c r="BJ27" s="114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119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1"/>
      <c r="AX28" s="115"/>
      <c r="AY28" s="115"/>
      <c r="AZ28" s="115"/>
      <c r="BA28" s="115"/>
      <c r="BB28" s="115"/>
      <c r="BC28" s="116"/>
      <c r="BD28" s="118"/>
      <c r="BE28" s="115"/>
      <c r="BF28" s="115"/>
      <c r="BG28" s="115"/>
      <c r="BH28" s="115"/>
      <c r="BI28" s="115"/>
      <c r="BJ28" s="116"/>
      <c r="BK28" s="18"/>
    </row>
    <row r="29" spans="1:63" ht="15" customHeight="1" x14ac:dyDescent="0.25">
      <c r="A29" s="15"/>
      <c r="B29" s="14"/>
      <c r="C29" s="13"/>
      <c r="D29" s="13"/>
      <c r="E29" s="13"/>
      <c r="F29" s="13"/>
      <c r="G29" s="12"/>
      <c r="H29" s="14"/>
      <c r="I29" s="13"/>
      <c r="J29" s="13"/>
      <c r="K29" s="13"/>
      <c r="L29" s="13"/>
      <c r="M29" s="13"/>
      <c r="N29" s="12"/>
      <c r="O29" s="14"/>
      <c r="P29" s="13"/>
      <c r="Q29" s="13"/>
      <c r="R29" s="13"/>
      <c r="S29" s="110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2"/>
      <c r="AX29" s="113"/>
      <c r="AY29" s="113"/>
      <c r="AZ29" s="113"/>
      <c r="BA29" s="113"/>
      <c r="BB29" s="113"/>
      <c r="BC29" s="114"/>
      <c r="BD29" s="117"/>
      <c r="BE29" s="113"/>
      <c r="BF29" s="113"/>
      <c r="BG29" s="113"/>
      <c r="BH29" s="113"/>
      <c r="BI29" s="113"/>
      <c r="BJ29" s="114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119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1"/>
      <c r="AX30" s="115"/>
      <c r="AY30" s="115"/>
      <c r="AZ30" s="115"/>
      <c r="BA30" s="115"/>
      <c r="BB30" s="115"/>
      <c r="BC30" s="116"/>
      <c r="BD30" s="118"/>
      <c r="BE30" s="115"/>
      <c r="BF30" s="115"/>
      <c r="BG30" s="115"/>
      <c r="BH30" s="115"/>
      <c r="BI30" s="115"/>
      <c r="BJ30" s="116"/>
      <c r="BK30" s="18"/>
    </row>
    <row r="31" spans="1:63" ht="15" customHeight="1" x14ac:dyDescent="0.25">
      <c r="A31" s="15"/>
      <c r="B31" s="14"/>
      <c r="C31" s="13"/>
      <c r="D31" s="13"/>
      <c r="E31" s="13"/>
      <c r="F31" s="13"/>
      <c r="G31" s="12"/>
      <c r="H31" s="14"/>
      <c r="I31" s="13"/>
      <c r="J31" s="13"/>
      <c r="K31" s="13"/>
      <c r="L31" s="13"/>
      <c r="M31" s="13"/>
      <c r="N31" s="12"/>
      <c r="O31" s="14"/>
      <c r="P31" s="13"/>
      <c r="Q31" s="13"/>
      <c r="R31" s="13"/>
      <c r="S31" s="110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2"/>
      <c r="AX31" s="113"/>
      <c r="AY31" s="113"/>
      <c r="AZ31" s="113"/>
      <c r="BA31" s="113"/>
      <c r="BB31" s="113"/>
      <c r="BC31" s="114"/>
      <c r="BD31" s="117"/>
      <c r="BE31" s="113"/>
      <c r="BF31" s="113"/>
      <c r="BG31" s="113"/>
      <c r="BH31" s="113"/>
      <c r="BI31" s="113"/>
      <c r="BJ31" s="114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119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1"/>
      <c r="AX32" s="115"/>
      <c r="AY32" s="115"/>
      <c r="AZ32" s="115"/>
      <c r="BA32" s="115"/>
      <c r="BB32" s="115"/>
      <c r="BC32" s="116"/>
      <c r="BD32" s="118"/>
      <c r="BE32" s="115"/>
      <c r="BF32" s="115"/>
      <c r="BG32" s="115"/>
      <c r="BH32" s="115"/>
      <c r="BI32" s="115"/>
      <c r="BJ32" s="116"/>
      <c r="BK32" s="18"/>
    </row>
    <row r="33" spans="1:63" ht="15" customHeight="1" x14ac:dyDescent="0.25">
      <c r="A33" s="15"/>
      <c r="B33" s="14"/>
      <c r="C33" s="13"/>
      <c r="D33" s="13"/>
      <c r="E33" s="13"/>
      <c r="F33" s="13"/>
      <c r="G33" s="12"/>
      <c r="H33" s="14"/>
      <c r="I33" s="13"/>
      <c r="J33" s="13"/>
      <c r="K33" s="13"/>
      <c r="L33" s="13"/>
      <c r="M33" s="13"/>
      <c r="N33" s="12"/>
      <c r="O33" s="14"/>
      <c r="P33" s="13"/>
      <c r="Q33" s="13"/>
      <c r="R33" s="13"/>
      <c r="S33" s="110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2"/>
      <c r="AX33" s="113"/>
      <c r="AY33" s="113"/>
      <c r="AZ33" s="113"/>
      <c r="BA33" s="113"/>
      <c r="BB33" s="113"/>
      <c r="BC33" s="114"/>
      <c r="BD33" s="117"/>
      <c r="BE33" s="113"/>
      <c r="BF33" s="113"/>
      <c r="BG33" s="113"/>
      <c r="BH33" s="113"/>
      <c r="BI33" s="113"/>
      <c r="BJ33" s="114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119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1"/>
      <c r="AX34" s="115"/>
      <c r="AY34" s="115"/>
      <c r="AZ34" s="115"/>
      <c r="BA34" s="115"/>
      <c r="BB34" s="115"/>
      <c r="BC34" s="116"/>
      <c r="BD34" s="118"/>
      <c r="BE34" s="115"/>
      <c r="BF34" s="115"/>
      <c r="BG34" s="115"/>
      <c r="BH34" s="115"/>
      <c r="BI34" s="115"/>
      <c r="BJ34" s="116"/>
      <c r="BK34" s="18"/>
    </row>
    <row r="35" spans="1:63" ht="15" customHeight="1" x14ac:dyDescent="0.25">
      <c r="A35" s="15"/>
      <c r="B35" s="14"/>
      <c r="C35" s="13"/>
      <c r="D35" s="13"/>
      <c r="E35" s="13"/>
      <c r="F35" s="13"/>
      <c r="G35" s="12"/>
      <c r="H35" s="14"/>
      <c r="I35" s="13"/>
      <c r="J35" s="13"/>
      <c r="K35" s="13"/>
      <c r="L35" s="13"/>
      <c r="M35" s="13"/>
      <c r="N35" s="12"/>
      <c r="O35" s="14"/>
      <c r="P35" s="13"/>
      <c r="Q35" s="13"/>
      <c r="R35" s="13"/>
      <c r="S35" s="110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2"/>
      <c r="AX35" s="113"/>
      <c r="AY35" s="113"/>
      <c r="AZ35" s="113"/>
      <c r="BA35" s="113"/>
      <c r="BB35" s="113"/>
      <c r="BC35" s="114"/>
      <c r="BD35" s="117"/>
      <c r="BE35" s="113"/>
      <c r="BF35" s="113"/>
      <c r="BG35" s="113"/>
      <c r="BH35" s="113"/>
      <c r="BI35" s="113"/>
      <c r="BJ35" s="114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119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U36" s="120"/>
      <c r="AV36" s="120"/>
      <c r="AW36" s="121"/>
      <c r="AX36" s="115"/>
      <c r="AY36" s="115"/>
      <c r="AZ36" s="115"/>
      <c r="BA36" s="115"/>
      <c r="BB36" s="115"/>
      <c r="BC36" s="116"/>
      <c r="BD36" s="118"/>
      <c r="BE36" s="115"/>
      <c r="BF36" s="115"/>
      <c r="BG36" s="115"/>
      <c r="BH36" s="115"/>
      <c r="BI36" s="115"/>
      <c r="BJ36" s="116"/>
      <c r="BK36" s="18"/>
    </row>
    <row r="37" spans="1:63" ht="15" customHeight="1" x14ac:dyDescent="0.25">
      <c r="A37" s="15"/>
      <c r="B37" s="14"/>
      <c r="C37" s="13"/>
      <c r="D37" s="13"/>
      <c r="E37" s="13"/>
      <c r="F37" s="13"/>
      <c r="G37" s="12"/>
      <c r="H37" s="14"/>
      <c r="I37" s="13"/>
      <c r="J37" s="13"/>
      <c r="K37" s="13"/>
      <c r="L37" s="13"/>
      <c r="M37" s="13"/>
      <c r="N37" s="12"/>
      <c r="O37" s="14"/>
      <c r="P37" s="13"/>
      <c r="Q37" s="13"/>
      <c r="R37" s="13"/>
      <c r="S37" s="110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2"/>
      <c r="AX37" s="113"/>
      <c r="AY37" s="113"/>
      <c r="AZ37" s="113"/>
      <c r="BA37" s="113"/>
      <c r="BB37" s="113"/>
      <c r="BC37" s="114"/>
      <c r="BD37" s="117"/>
      <c r="BE37" s="113"/>
      <c r="BF37" s="113"/>
      <c r="BG37" s="113"/>
      <c r="BH37" s="113"/>
      <c r="BI37" s="113"/>
      <c r="BJ37" s="114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119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U38" s="120"/>
      <c r="AV38" s="120"/>
      <c r="AW38" s="121"/>
      <c r="AX38" s="115"/>
      <c r="AY38" s="115"/>
      <c r="AZ38" s="115"/>
      <c r="BA38" s="115"/>
      <c r="BB38" s="115"/>
      <c r="BC38" s="116"/>
      <c r="BD38" s="118"/>
      <c r="BE38" s="115"/>
      <c r="BF38" s="115"/>
      <c r="BG38" s="115"/>
      <c r="BH38" s="115"/>
      <c r="BI38" s="115"/>
      <c r="BJ38" s="116"/>
      <c r="BK38" s="18"/>
    </row>
    <row r="39" spans="1:63" ht="15" customHeight="1" x14ac:dyDescent="0.25">
      <c r="A39" s="15"/>
      <c r="B39" s="14"/>
      <c r="C39" s="13"/>
      <c r="D39" s="13"/>
      <c r="E39" s="13"/>
      <c r="F39" s="13"/>
      <c r="G39" s="12"/>
      <c r="H39" s="14"/>
      <c r="I39" s="13"/>
      <c r="J39" s="13"/>
      <c r="K39" s="13"/>
      <c r="L39" s="13"/>
      <c r="M39" s="13"/>
      <c r="N39" s="12"/>
      <c r="O39" s="14"/>
      <c r="P39" s="13"/>
      <c r="Q39" s="13"/>
      <c r="R39" s="13"/>
      <c r="S39" s="110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2"/>
      <c r="AX39" s="113"/>
      <c r="AY39" s="113"/>
      <c r="AZ39" s="113"/>
      <c r="BA39" s="113"/>
      <c r="BB39" s="113"/>
      <c r="BC39" s="114"/>
      <c r="BD39" s="117"/>
      <c r="BE39" s="113"/>
      <c r="BF39" s="113"/>
      <c r="BG39" s="113"/>
      <c r="BH39" s="113"/>
      <c r="BI39" s="113"/>
      <c r="BJ39" s="114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119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  <c r="AV40" s="120"/>
      <c r="AW40" s="121"/>
      <c r="AX40" s="115"/>
      <c r="AY40" s="115"/>
      <c r="AZ40" s="115"/>
      <c r="BA40" s="115"/>
      <c r="BB40" s="115"/>
      <c r="BC40" s="116"/>
      <c r="BD40" s="118"/>
      <c r="BE40" s="115"/>
      <c r="BF40" s="115"/>
      <c r="BG40" s="115"/>
      <c r="BH40" s="115"/>
      <c r="BI40" s="115"/>
      <c r="BJ40" s="116"/>
      <c r="BK40" s="18"/>
    </row>
    <row r="41" spans="1:63" ht="15" customHeight="1" x14ac:dyDescent="0.25">
      <c r="A41" s="15"/>
      <c r="B41" s="14"/>
      <c r="C41" s="13"/>
      <c r="D41" s="13"/>
      <c r="E41" s="13"/>
      <c r="F41" s="13"/>
      <c r="G41" s="12"/>
      <c r="H41" s="14"/>
      <c r="I41" s="13"/>
      <c r="J41" s="13"/>
      <c r="K41" s="13"/>
      <c r="L41" s="13"/>
      <c r="M41" s="13"/>
      <c r="N41" s="12"/>
      <c r="O41" s="14"/>
      <c r="P41" s="13"/>
      <c r="Q41" s="13"/>
      <c r="R41" s="13"/>
      <c r="S41" s="110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2"/>
      <c r="AX41" s="113"/>
      <c r="AY41" s="113"/>
      <c r="AZ41" s="113"/>
      <c r="BA41" s="113"/>
      <c r="BB41" s="113"/>
      <c r="BC41" s="114"/>
      <c r="BD41" s="117"/>
      <c r="BE41" s="113"/>
      <c r="BF41" s="113"/>
      <c r="BG41" s="113"/>
      <c r="BH41" s="113"/>
      <c r="BI41" s="113"/>
      <c r="BJ41" s="114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119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1"/>
      <c r="AX42" s="115"/>
      <c r="AY42" s="115"/>
      <c r="AZ42" s="115"/>
      <c r="BA42" s="115"/>
      <c r="BB42" s="115"/>
      <c r="BC42" s="116"/>
      <c r="BD42" s="118"/>
      <c r="BE42" s="115"/>
      <c r="BF42" s="115"/>
      <c r="BG42" s="115"/>
      <c r="BH42" s="115"/>
      <c r="BI42" s="115"/>
      <c r="BJ42" s="116"/>
      <c r="BK42" s="18"/>
    </row>
    <row r="43" spans="1:63" ht="15" customHeight="1" x14ac:dyDescent="0.25">
      <c r="A43" s="15"/>
      <c r="B43" s="14"/>
      <c r="C43" s="13"/>
      <c r="D43" s="13"/>
      <c r="E43" s="13"/>
      <c r="F43" s="13"/>
      <c r="G43" s="12"/>
      <c r="H43" s="14"/>
      <c r="I43" s="13"/>
      <c r="J43" s="13"/>
      <c r="K43" s="13"/>
      <c r="L43" s="13"/>
      <c r="M43" s="13"/>
      <c r="N43" s="12"/>
      <c r="O43" s="14"/>
      <c r="P43" s="13"/>
      <c r="Q43" s="13"/>
      <c r="R43" s="13"/>
      <c r="S43" s="110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2"/>
      <c r="AX43" s="113"/>
      <c r="AY43" s="113"/>
      <c r="AZ43" s="113"/>
      <c r="BA43" s="113"/>
      <c r="BB43" s="113"/>
      <c r="BC43" s="114"/>
      <c r="BD43" s="117"/>
      <c r="BE43" s="113"/>
      <c r="BF43" s="113"/>
      <c r="BG43" s="113"/>
      <c r="BH43" s="113"/>
      <c r="BI43" s="113"/>
      <c r="BJ43" s="114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119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  <c r="AV44" s="120"/>
      <c r="AW44" s="121"/>
      <c r="AX44" s="115"/>
      <c r="AY44" s="115"/>
      <c r="AZ44" s="115"/>
      <c r="BA44" s="115"/>
      <c r="BB44" s="115"/>
      <c r="BC44" s="116"/>
      <c r="BD44" s="118"/>
      <c r="BE44" s="115"/>
      <c r="BF44" s="115"/>
      <c r="BG44" s="115"/>
      <c r="BH44" s="115"/>
      <c r="BI44" s="115"/>
      <c r="BJ44" s="116"/>
      <c r="BK44" s="18"/>
    </row>
    <row r="45" spans="1:63" ht="15" customHeight="1" x14ac:dyDescent="0.25">
      <c r="A45" s="15"/>
      <c r="B45" s="14"/>
      <c r="C45" s="13"/>
      <c r="D45" s="13"/>
      <c r="E45" s="13"/>
      <c r="F45" s="13"/>
      <c r="G45" s="12"/>
      <c r="H45" s="14"/>
      <c r="I45" s="13"/>
      <c r="J45" s="13"/>
      <c r="K45" s="13"/>
      <c r="L45" s="13"/>
      <c r="M45" s="13"/>
      <c r="N45" s="12"/>
      <c r="O45" s="14"/>
      <c r="P45" s="13"/>
      <c r="Q45" s="13"/>
      <c r="R45" s="13"/>
      <c r="S45" s="110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2"/>
      <c r="AX45" s="113"/>
      <c r="AY45" s="113"/>
      <c r="AZ45" s="113"/>
      <c r="BA45" s="113"/>
      <c r="BB45" s="113"/>
      <c r="BC45" s="114"/>
      <c r="BD45" s="117"/>
      <c r="BE45" s="113"/>
      <c r="BF45" s="113"/>
      <c r="BG45" s="113"/>
      <c r="BH45" s="113"/>
      <c r="BI45" s="113"/>
      <c r="BJ45" s="114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119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  <c r="AV46" s="120"/>
      <c r="AW46" s="121"/>
      <c r="AX46" s="115"/>
      <c r="AY46" s="115"/>
      <c r="AZ46" s="115"/>
      <c r="BA46" s="115"/>
      <c r="BB46" s="115"/>
      <c r="BC46" s="116"/>
      <c r="BD46" s="118"/>
      <c r="BE46" s="115"/>
      <c r="BF46" s="115"/>
      <c r="BG46" s="115"/>
      <c r="BH46" s="115"/>
      <c r="BI46" s="115"/>
      <c r="BJ46" s="116"/>
      <c r="BK46" s="18"/>
    </row>
    <row r="47" spans="1:63" ht="15" customHeight="1" x14ac:dyDescent="0.25">
      <c r="A47" s="15"/>
      <c r="B47" s="14"/>
      <c r="C47" s="13"/>
      <c r="D47" s="13"/>
      <c r="E47" s="13"/>
      <c r="F47" s="13"/>
      <c r="G47" s="12"/>
      <c r="H47" s="14"/>
      <c r="I47" s="13"/>
      <c r="J47" s="13"/>
      <c r="K47" s="13"/>
      <c r="L47" s="13"/>
      <c r="M47" s="13"/>
      <c r="N47" s="12"/>
      <c r="O47" s="14"/>
      <c r="P47" s="13"/>
      <c r="Q47" s="13"/>
      <c r="R47" s="13"/>
      <c r="S47" s="110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2"/>
      <c r="AX47" s="113"/>
      <c r="AY47" s="113"/>
      <c r="AZ47" s="113"/>
      <c r="BA47" s="113"/>
      <c r="BB47" s="113"/>
      <c r="BC47" s="114"/>
      <c r="BD47" s="117"/>
      <c r="BE47" s="113"/>
      <c r="BF47" s="113"/>
      <c r="BG47" s="113"/>
      <c r="BH47" s="113"/>
      <c r="BI47" s="113"/>
      <c r="BJ47" s="114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119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  <c r="AV48" s="120"/>
      <c r="AW48" s="121"/>
      <c r="AX48" s="115"/>
      <c r="AY48" s="115"/>
      <c r="AZ48" s="115"/>
      <c r="BA48" s="115"/>
      <c r="BB48" s="115"/>
      <c r="BC48" s="116"/>
      <c r="BD48" s="118"/>
      <c r="BE48" s="115"/>
      <c r="BF48" s="115"/>
      <c r="BG48" s="115"/>
      <c r="BH48" s="115"/>
      <c r="BI48" s="115"/>
      <c r="BJ48" s="116"/>
      <c r="BK48" s="18"/>
    </row>
    <row r="49" spans="1:63" ht="15" customHeight="1" x14ac:dyDescent="0.25">
      <c r="A49" s="15"/>
      <c r="B49" s="14"/>
      <c r="C49" s="13"/>
      <c r="D49" s="13"/>
      <c r="E49" s="13"/>
      <c r="F49" s="13"/>
      <c r="G49" s="12"/>
      <c r="H49" s="14"/>
      <c r="I49" s="13"/>
      <c r="J49" s="13"/>
      <c r="K49" s="13"/>
      <c r="L49" s="13"/>
      <c r="M49" s="13"/>
      <c r="N49" s="12"/>
      <c r="O49" s="14"/>
      <c r="P49" s="13"/>
      <c r="Q49" s="13"/>
      <c r="R49" s="13"/>
      <c r="S49" s="110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2"/>
      <c r="AX49" s="113"/>
      <c r="AY49" s="113"/>
      <c r="AZ49" s="113"/>
      <c r="BA49" s="113"/>
      <c r="BB49" s="113"/>
      <c r="BC49" s="114"/>
      <c r="BD49" s="117"/>
      <c r="BE49" s="113"/>
      <c r="BF49" s="113"/>
      <c r="BG49" s="113"/>
      <c r="BH49" s="113"/>
      <c r="BI49" s="113"/>
      <c r="BJ49" s="114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119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  <c r="AV50" s="120"/>
      <c r="AW50" s="121"/>
      <c r="AX50" s="115"/>
      <c r="AY50" s="115"/>
      <c r="AZ50" s="115"/>
      <c r="BA50" s="115"/>
      <c r="BB50" s="115"/>
      <c r="BC50" s="116"/>
      <c r="BD50" s="118"/>
      <c r="BE50" s="115"/>
      <c r="BF50" s="115"/>
      <c r="BG50" s="115"/>
      <c r="BH50" s="115"/>
      <c r="BI50" s="115"/>
      <c r="BJ50" s="116"/>
      <c r="BK50" s="18"/>
    </row>
    <row r="51" spans="1:63" ht="15" customHeight="1" x14ac:dyDescent="0.25">
      <c r="A51" s="15"/>
      <c r="B51" s="14"/>
      <c r="C51" s="13"/>
      <c r="D51" s="13"/>
      <c r="E51" s="13"/>
      <c r="F51" s="13"/>
      <c r="G51" s="12"/>
      <c r="H51" s="14"/>
      <c r="I51" s="13"/>
      <c r="J51" s="13"/>
      <c r="K51" s="13"/>
      <c r="L51" s="13"/>
      <c r="M51" s="13"/>
      <c r="N51" s="12"/>
      <c r="O51" s="14"/>
      <c r="P51" s="13"/>
      <c r="Q51" s="13"/>
      <c r="R51" s="13"/>
      <c r="S51" s="110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2"/>
      <c r="AX51" s="113"/>
      <c r="AY51" s="113"/>
      <c r="AZ51" s="113"/>
      <c r="BA51" s="113"/>
      <c r="BB51" s="113"/>
      <c r="BC51" s="114"/>
      <c r="BD51" s="117"/>
      <c r="BE51" s="113"/>
      <c r="BF51" s="113"/>
      <c r="BG51" s="113"/>
      <c r="BH51" s="113"/>
      <c r="BI51" s="113"/>
      <c r="BJ51" s="114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119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1"/>
      <c r="AX52" s="115"/>
      <c r="AY52" s="115"/>
      <c r="AZ52" s="115"/>
      <c r="BA52" s="115"/>
      <c r="BB52" s="115"/>
      <c r="BC52" s="116"/>
      <c r="BD52" s="118"/>
      <c r="BE52" s="115"/>
      <c r="BF52" s="115"/>
      <c r="BG52" s="115"/>
      <c r="BH52" s="115"/>
      <c r="BI52" s="115"/>
      <c r="BJ52" s="116"/>
      <c r="BK52" s="18"/>
    </row>
    <row r="53" spans="1:63" ht="15" customHeight="1" x14ac:dyDescent="0.25">
      <c r="A53" s="15"/>
      <c r="B53" s="14"/>
      <c r="C53" s="13"/>
      <c r="D53" s="13"/>
      <c r="E53" s="13"/>
      <c r="F53" s="13"/>
      <c r="G53" s="12"/>
      <c r="H53" s="14"/>
      <c r="I53" s="13"/>
      <c r="J53" s="13"/>
      <c r="K53" s="13"/>
      <c r="L53" s="13"/>
      <c r="M53" s="13"/>
      <c r="N53" s="12"/>
      <c r="O53" s="14"/>
      <c r="P53" s="13"/>
      <c r="Q53" s="13"/>
      <c r="R53" s="13"/>
      <c r="S53" s="110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2"/>
      <c r="AX53" s="113"/>
      <c r="AY53" s="113"/>
      <c r="AZ53" s="113"/>
      <c r="BA53" s="113"/>
      <c r="BB53" s="113"/>
      <c r="BC53" s="114"/>
      <c r="BD53" s="117"/>
      <c r="BE53" s="113"/>
      <c r="BF53" s="113"/>
      <c r="BG53" s="113"/>
      <c r="BH53" s="113"/>
      <c r="BI53" s="113"/>
      <c r="BJ53" s="114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119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  <c r="AV54" s="120"/>
      <c r="AW54" s="121"/>
      <c r="AX54" s="115"/>
      <c r="AY54" s="115"/>
      <c r="AZ54" s="115"/>
      <c r="BA54" s="115"/>
      <c r="BB54" s="115"/>
      <c r="BC54" s="116"/>
      <c r="BD54" s="118"/>
      <c r="BE54" s="115"/>
      <c r="BF54" s="115"/>
      <c r="BG54" s="115"/>
      <c r="BH54" s="115"/>
      <c r="BI54" s="115"/>
      <c r="BJ54" s="116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86" t="s">
        <v>58</v>
      </c>
      <c r="B1" s="187"/>
      <c r="C1" s="187"/>
      <c r="D1" s="187"/>
      <c r="E1" s="187"/>
      <c r="F1" s="187"/>
      <c r="G1" s="187"/>
      <c r="H1" s="187"/>
      <c r="I1" s="187"/>
      <c r="J1" s="188"/>
      <c r="K1" s="186" t="s">
        <v>59</v>
      </c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8"/>
      <c r="W1" s="189" t="str">
        <f>IF(表紙!W1="","",表紙!W1)</f>
        <v>詳細設計書</v>
      </c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1"/>
      <c r="AP1" s="192" t="s">
        <v>60</v>
      </c>
      <c r="AQ1" s="193"/>
      <c r="AR1" s="193"/>
      <c r="AS1" s="194"/>
      <c r="AT1" s="192" t="s">
        <v>61</v>
      </c>
      <c r="AU1" s="193"/>
      <c r="AV1" s="193"/>
      <c r="AW1" s="193"/>
      <c r="AX1" s="194"/>
      <c r="AY1" s="192" t="s">
        <v>62</v>
      </c>
      <c r="AZ1" s="193"/>
      <c r="BA1" s="193"/>
      <c r="BB1" s="194"/>
      <c r="BC1" s="192" t="s">
        <v>63</v>
      </c>
      <c r="BD1" s="193"/>
      <c r="BE1" s="193"/>
      <c r="BF1" s="193"/>
      <c r="BG1" s="194"/>
      <c r="BH1" s="192" t="s">
        <v>64</v>
      </c>
      <c r="BI1" s="193"/>
      <c r="BJ1" s="193"/>
      <c r="BK1" s="194"/>
    </row>
    <row r="2" spans="1:63" ht="15" customHeight="1" x14ac:dyDescent="0.25">
      <c r="A2" s="124" t="str">
        <f>IF(表紙!A2="","",表紙!A2)</f>
        <v>POSサーバー</v>
      </c>
      <c r="B2" s="125"/>
      <c r="C2" s="125"/>
      <c r="D2" s="125"/>
      <c r="E2" s="125"/>
      <c r="F2" s="125"/>
      <c r="G2" s="125"/>
      <c r="H2" s="125"/>
      <c r="I2" s="125"/>
      <c r="J2" s="126"/>
      <c r="K2" s="124" t="str">
        <f>IF(表紙!K2="","",表紙!K2)</f>
        <v>POSサーバ</v>
      </c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6"/>
      <c r="W2" s="195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7"/>
      <c r="AP2" s="198" t="str">
        <f>IF(表紙!AP2="","",表紙!AP2)</f>
        <v>AnhDD</v>
      </c>
      <c r="AQ2" s="199"/>
      <c r="AR2" s="199"/>
      <c r="AS2" s="200"/>
      <c r="AT2" s="201">
        <f>IF(表紙!AT2="","",表紙!AT2)</f>
        <v>45515</v>
      </c>
      <c r="AU2" s="202"/>
      <c r="AV2" s="202"/>
      <c r="AW2" s="202"/>
      <c r="AX2" s="203"/>
      <c r="AY2" s="198" t="str">
        <f>IF(表紙!AY2="","",表紙!AY2)</f>
        <v>HueDT</v>
      </c>
      <c r="AZ2" s="199"/>
      <c r="BA2" s="199"/>
      <c r="BB2" s="200"/>
      <c r="BC2" s="201">
        <f>IF(表紙!BC2="","",表紙!BC2)</f>
        <v>45600</v>
      </c>
      <c r="BD2" s="202"/>
      <c r="BE2" s="202"/>
      <c r="BF2" s="202"/>
      <c r="BG2" s="203"/>
      <c r="BH2" s="198">
        <f>IF(表紙!BH2="","",表紙!BH2)</f>
        <v>0.2</v>
      </c>
      <c r="BI2" s="199"/>
      <c r="BJ2" s="199"/>
      <c r="BK2" s="200"/>
    </row>
    <row r="3" spans="1:63" ht="15" customHeight="1" x14ac:dyDescent="0.25">
      <c r="A3" s="127"/>
      <c r="B3" s="128"/>
      <c r="C3" s="128"/>
      <c r="D3" s="128"/>
      <c r="E3" s="128"/>
      <c r="F3" s="128"/>
      <c r="G3" s="128"/>
      <c r="H3" s="128"/>
      <c r="I3" s="128"/>
      <c r="J3" s="129"/>
      <c r="K3" s="127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9"/>
      <c r="W3" s="204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6"/>
      <c r="AP3" s="207"/>
      <c r="AQ3" s="208"/>
      <c r="AR3" s="208"/>
      <c r="AS3" s="209"/>
      <c r="AT3" s="210"/>
      <c r="AU3" s="211"/>
      <c r="AV3" s="211"/>
      <c r="AW3" s="211"/>
      <c r="AX3" s="212"/>
      <c r="AY3" s="207"/>
      <c r="AZ3" s="208"/>
      <c r="BA3" s="208"/>
      <c r="BB3" s="209"/>
      <c r="BC3" s="210"/>
      <c r="BD3" s="211"/>
      <c r="BE3" s="211"/>
      <c r="BF3" s="211"/>
      <c r="BG3" s="212"/>
      <c r="BH3" s="207"/>
      <c r="BI3" s="208"/>
      <c r="BJ3" s="208"/>
      <c r="BK3" s="209"/>
    </row>
    <row r="4" spans="1:63" ht="24.95" customHeight="1" x14ac:dyDescent="0.25">
      <c r="A4" s="186" t="s">
        <v>65</v>
      </c>
      <c r="B4" s="187"/>
      <c r="C4" s="187"/>
      <c r="D4" s="187"/>
      <c r="E4" s="187"/>
      <c r="F4" s="187"/>
      <c r="G4" s="188"/>
      <c r="H4" s="130" t="str">
        <f>IF(表紙!H4="","",表紙!H4)</f>
        <v>APX004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  <c r="U4" s="186" t="s">
        <v>66</v>
      </c>
      <c r="V4" s="187"/>
      <c r="W4" s="187"/>
      <c r="X4" s="187"/>
      <c r="Y4" s="188"/>
      <c r="Z4" s="130" t="str">
        <f>IF(表紙!Z4="","",表紙!Z4)</f>
        <v>API設計書</v>
      </c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2"/>
      <c r="AP4" s="133" t="str">
        <f ca="1">MID(CELL("filename",A1),FIND("]",CELL("filename",A1))+1,255)</f>
        <v>処理フロー凡例</v>
      </c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2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19" customFormat="1" ht="15" customHeight="1" x14ac:dyDescent="0.25">
      <c r="A7" s="213"/>
      <c r="B7" s="214" t="s">
        <v>67</v>
      </c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15"/>
      <c r="AD7" s="215"/>
      <c r="AE7" s="216"/>
      <c r="AF7" s="217"/>
      <c r="AG7" s="215"/>
      <c r="AH7" s="215"/>
      <c r="AI7" s="215"/>
      <c r="AJ7" s="215"/>
      <c r="AK7" s="215"/>
      <c r="AL7" s="215"/>
      <c r="AM7" s="215"/>
      <c r="AN7" s="215"/>
      <c r="AO7" s="215"/>
      <c r="AP7" s="215"/>
      <c r="AQ7" s="215"/>
      <c r="AR7" s="215"/>
      <c r="AS7" s="215"/>
      <c r="AT7" s="215"/>
      <c r="AU7" s="215"/>
      <c r="AV7" s="215"/>
      <c r="AW7" s="215"/>
      <c r="AX7" s="215"/>
      <c r="AY7" s="215"/>
      <c r="AZ7" s="215"/>
      <c r="BA7" s="215"/>
      <c r="BB7" s="215"/>
      <c r="BC7" s="215"/>
      <c r="BD7" s="215"/>
      <c r="BE7" s="215"/>
      <c r="BF7" s="215"/>
      <c r="BG7" s="215"/>
      <c r="BH7" s="215"/>
      <c r="BI7" s="216"/>
      <c r="BJ7" s="215"/>
      <c r="BK7" s="218"/>
    </row>
    <row r="8" spans="1:63" s="220" customFormat="1" ht="15" customHeight="1" x14ac:dyDescent="0.25">
      <c r="BK8" s="218"/>
    </row>
    <row r="9" spans="1:63" s="220" customFormat="1" ht="15" customHeight="1" x14ac:dyDescent="0.25">
      <c r="BK9" s="218"/>
    </row>
    <row r="10" spans="1:63" s="220" customFormat="1" ht="15" customHeight="1" x14ac:dyDescent="0.25">
      <c r="BK10" s="218"/>
    </row>
    <row r="11" spans="1:63" s="220" customFormat="1" ht="15" customHeight="1" x14ac:dyDescent="0.25">
      <c r="BK11" s="218"/>
    </row>
    <row r="12" spans="1:63" s="220" customFormat="1" ht="15" customHeight="1" x14ac:dyDescent="0.25">
      <c r="BK12" s="218"/>
    </row>
    <row r="13" spans="1:63" s="220" customFormat="1" ht="15" customHeight="1" x14ac:dyDescent="0.25">
      <c r="BK13" s="218"/>
    </row>
    <row r="14" spans="1:63" s="220" customFormat="1" ht="15" customHeight="1" x14ac:dyDescent="0.25">
      <c r="BK14" s="218"/>
    </row>
    <row r="15" spans="1:63" s="220" customFormat="1" ht="15" customHeight="1" x14ac:dyDescent="0.25">
      <c r="BK15" s="218"/>
    </row>
    <row r="16" spans="1:63" s="220" customFormat="1" ht="15" customHeight="1" x14ac:dyDescent="0.25">
      <c r="BK16" s="218"/>
    </row>
    <row r="17" spans="63:63" s="220" customFormat="1" ht="15" customHeight="1" x14ac:dyDescent="0.25">
      <c r="BK17" s="218"/>
    </row>
    <row r="18" spans="63:63" s="220" customFormat="1" ht="15" customHeight="1" x14ac:dyDescent="0.25">
      <c r="BK18" s="218"/>
    </row>
    <row r="19" spans="63:63" s="220" customFormat="1" ht="15" customHeight="1" x14ac:dyDescent="0.25">
      <c r="BK19" s="218"/>
    </row>
    <row r="20" spans="63:63" s="220" customFormat="1" ht="15" customHeight="1" x14ac:dyDescent="0.25">
      <c r="BK20" s="218"/>
    </row>
    <row r="21" spans="63:63" s="220" customFormat="1" ht="15" customHeight="1" x14ac:dyDescent="0.25">
      <c r="BK21" s="218"/>
    </row>
    <row r="22" spans="63:63" s="220" customFormat="1" ht="15" customHeight="1" x14ac:dyDescent="0.25">
      <c r="BK22" s="218"/>
    </row>
    <row r="23" spans="63:63" s="220" customFormat="1" ht="15" customHeight="1" x14ac:dyDescent="0.25">
      <c r="BK23" s="218"/>
    </row>
    <row r="24" spans="63:63" s="220" customFormat="1" ht="15" customHeight="1" x14ac:dyDescent="0.25">
      <c r="BK24" s="218"/>
    </row>
    <row r="25" spans="63:63" s="220" customFormat="1" ht="15" customHeight="1" x14ac:dyDescent="0.25">
      <c r="BK25" s="218"/>
    </row>
    <row r="26" spans="63:63" s="220" customFormat="1" ht="15" customHeight="1" x14ac:dyDescent="0.25">
      <c r="BK26" s="218"/>
    </row>
    <row r="27" spans="63:63" s="220" customFormat="1" ht="15" customHeight="1" x14ac:dyDescent="0.25">
      <c r="BK27" s="218"/>
    </row>
    <row r="28" spans="63:63" s="220" customFormat="1" ht="15" customHeight="1" x14ac:dyDescent="0.25">
      <c r="BK28" s="218"/>
    </row>
    <row r="29" spans="63:63" s="220" customFormat="1" ht="15" customHeight="1" x14ac:dyDescent="0.25">
      <c r="BK29" s="218"/>
    </row>
    <row r="30" spans="63:63" s="220" customFormat="1" ht="15" customHeight="1" x14ac:dyDescent="0.25">
      <c r="BK30" s="218"/>
    </row>
    <row r="31" spans="63:63" s="220" customFormat="1" ht="15" customHeight="1" x14ac:dyDescent="0.25">
      <c r="BK31" s="218"/>
    </row>
    <row r="32" spans="63:63" s="220" customFormat="1" ht="15" customHeight="1" x14ac:dyDescent="0.25">
      <c r="BK32" s="218"/>
    </row>
    <row r="33" spans="63:63" s="220" customFormat="1" ht="15" customHeight="1" x14ac:dyDescent="0.25">
      <c r="BK33" s="218"/>
    </row>
    <row r="34" spans="63:63" s="220" customFormat="1" ht="15" customHeight="1" x14ac:dyDescent="0.25">
      <c r="BK34" s="218"/>
    </row>
    <row r="35" spans="63:63" s="220" customFormat="1" ht="15" customHeight="1" x14ac:dyDescent="0.25">
      <c r="BK35" s="218"/>
    </row>
    <row r="36" spans="63:63" s="220" customFormat="1" ht="15" customHeight="1" x14ac:dyDescent="0.25">
      <c r="BK36" s="218"/>
    </row>
    <row r="37" spans="63:63" s="220" customFormat="1" ht="15" customHeight="1" x14ac:dyDescent="0.25">
      <c r="BK37" s="218"/>
    </row>
    <row r="38" spans="63:63" s="220" customFormat="1" ht="15" customHeight="1" x14ac:dyDescent="0.25">
      <c r="BK38" s="218"/>
    </row>
    <row r="39" spans="63:63" s="220" customFormat="1" ht="15" customHeight="1" x14ac:dyDescent="0.25">
      <c r="BK39" s="218"/>
    </row>
    <row r="40" spans="63:63" s="220" customFormat="1" ht="15" customHeight="1" x14ac:dyDescent="0.25">
      <c r="BK40" s="218"/>
    </row>
    <row r="41" spans="63:63" s="220" customFormat="1" ht="15" customHeight="1" x14ac:dyDescent="0.25">
      <c r="BK41" s="218"/>
    </row>
    <row r="42" spans="63:63" s="220" customFormat="1" ht="15" customHeight="1" x14ac:dyDescent="0.25">
      <c r="BK42" s="218"/>
    </row>
    <row r="43" spans="63:63" s="220" customFormat="1" ht="15" customHeight="1" x14ac:dyDescent="0.25">
      <c r="BK43" s="218"/>
    </row>
    <row r="44" spans="63:63" s="220" customFormat="1" ht="15" customHeight="1" x14ac:dyDescent="0.25">
      <c r="BK44" s="218"/>
    </row>
    <row r="45" spans="63:63" s="220" customFormat="1" ht="15" customHeight="1" x14ac:dyDescent="0.25">
      <c r="BK45" s="218"/>
    </row>
    <row r="46" spans="63:63" s="220" customFormat="1" ht="15" customHeight="1" x14ac:dyDescent="0.25">
      <c r="BK46" s="218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9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30" customWidth="1"/>
    <col min="43" max="62" width="3.109375" style="30" customWidth="1"/>
    <col min="63" max="63" width="2.77734375" style="30" customWidth="1"/>
    <col min="64" max="16384" width="10.109375" style="30"/>
  </cols>
  <sheetData>
    <row r="1" spans="1:63" ht="24.95" customHeight="1" x14ac:dyDescent="0.25">
      <c r="A1" s="186" t="s">
        <v>58</v>
      </c>
      <c r="B1" s="187"/>
      <c r="C1" s="187"/>
      <c r="D1" s="187"/>
      <c r="E1" s="187"/>
      <c r="F1" s="187"/>
      <c r="G1" s="187"/>
      <c r="H1" s="187"/>
      <c r="I1" s="187"/>
      <c r="J1" s="188"/>
      <c r="K1" s="186" t="s">
        <v>59</v>
      </c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8"/>
      <c r="W1" s="189" t="str">
        <f>IF(表紙!W1="","",表紙!W1)</f>
        <v>詳細設計書</v>
      </c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1"/>
      <c r="AP1" s="192" t="s">
        <v>60</v>
      </c>
      <c r="AQ1" s="193"/>
      <c r="AR1" s="193"/>
      <c r="AS1" s="194"/>
      <c r="AT1" s="192" t="s">
        <v>61</v>
      </c>
      <c r="AU1" s="193"/>
      <c r="AV1" s="193"/>
      <c r="AW1" s="193"/>
      <c r="AX1" s="194"/>
      <c r="AY1" s="192" t="s">
        <v>62</v>
      </c>
      <c r="AZ1" s="193"/>
      <c r="BA1" s="193"/>
      <c r="BB1" s="194"/>
      <c r="BC1" s="192" t="s">
        <v>63</v>
      </c>
      <c r="BD1" s="193"/>
      <c r="BE1" s="193"/>
      <c r="BF1" s="193"/>
      <c r="BG1" s="194"/>
      <c r="BH1" s="192" t="s">
        <v>64</v>
      </c>
      <c r="BI1" s="193"/>
      <c r="BJ1" s="193"/>
      <c r="BK1" s="194"/>
    </row>
    <row r="2" spans="1:63" ht="15" customHeight="1" x14ac:dyDescent="0.25">
      <c r="A2" s="124" t="str">
        <f>IF(表紙!A2="","",表紙!A2)</f>
        <v>POSサーバー</v>
      </c>
      <c r="B2" s="125"/>
      <c r="C2" s="125"/>
      <c r="D2" s="125"/>
      <c r="E2" s="125"/>
      <c r="F2" s="125"/>
      <c r="G2" s="125"/>
      <c r="H2" s="125"/>
      <c r="I2" s="125"/>
      <c r="J2" s="126"/>
      <c r="K2" s="124" t="str">
        <f>IF(表紙!K2="","",表紙!K2)</f>
        <v>POSサーバ</v>
      </c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6"/>
      <c r="W2" s="195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7"/>
      <c r="AP2" s="198" t="str">
        <f>IF(表紙!AP2="","",表紙!AP2)</f>
        <v>AnhDD</v>
      </c>
      <c r="AQ2" s="199"/>
      <c r="AR2" s="199"/>
      <c r="AS2" s="200"/>
      <c r="AT2" s="201">
        <f>IF(表紙!AT2="","",表紙!AT2)</f>
        <v>45515</v>
      </c>
      <c r="AU2" s="202"/>
      <c r="AV2" s="202"/>
      <c r="AW2" s="202"/>
      <c r="AX2" s="203"/>
      <c r="AY2" s="198" t="str">
        <f>IF(表紙!AY2="","",表紙!AY2)</f>
        <v>HueDT</v>
      </c>
      <c r="AZ2" s="199"/>
      <c r="BA2" s="199"/>
      <c r="BB2" s="200"/>
      <c r="BC2" s="201">
        <f>IF(表紙!BC2="","",表紙!BC2)</f>
        <v>45600</v>
      </c>
      <c r="BD2" s="202"/>
      <c r="BE2" s="202"/>
      <c r="BF2" s="202"/>
      <c r="BG2" s="203"/>
      <c r="BH2" s="198">
        <f>IF(表紙!BH2="","",表紙!BH2)</f>
        <v>0.2</v>
      </c>
      <c r="BI2" s="199"/>
      <c r="BJ2" s="199"/>
      <c r="BK2" s="200"/>
    </row>
    <row r="3" spans="1:63" ht="15" customHeight="1" x14ac:dyDescent="0.25">
      <c r="A3" s="127"/>
      <c r="B3" s="128"/>
      <c r="C3" s="128"/>
      <c r="D3" s="128"/>
      <c r="E3" s="128"/>
      <c r="F3" s="128"/>
      <c r="G3" s="128"/>
      <c r="H3" s="128"/>
      <c r="I3" s="128"/>
      <c r="J3" s="129"/>
      <c r="K3" s="127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9"/>
      <c r="W3" s="204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6"/>
      <c r="AP3" s="207"/>
      <c r="AQ3" s="208"/>
      <c r="AR3" s="208"/>
      <c r="AS3" s="209"/>
      <c r="AT3" s="210"/>
      <c r="AU3" s="211"/>
      <c r="AV3" s="211"/>
      <c r="AW3" s="211"/>
      <c r="AX3" s="212"/>
      <c r="AY3" s="207"/>
      <c r="AZ3" s="208"/>
      <c r="BA3" s="208"/>
      <c r="BB3" s="209"/>
      <c r="BC3" s="210"/>
      <c r="BD3" s="211"/>
      <c r="BE3" s="211"/>
      <c r="BF3" s="211"/>
      <c r="BG3" s="212"/>
      <c r="BH3" s="207"/>
      <c r="BI3" s="208"/>
      <c r="BJ3" s="208"/>
      <c r="BK3" s="209"/>
    </row>
    <row r="4" spans="1:63" ht="24.95" customHeight="1" x14ac:dyDescent="0.25">
      <c r="A4" s="186" t="s">
        <v>65</v>
      </c>
      <c r="B4" s="187"/>
      <c r="C4" s="187"/>
      <c r="D4" s="187"/>
      <c r="E4" s="187"/>
      <c r="F4" s="187"/>
      <c r="G4" s="188"/>
      <c r="H4" s="130" t="str">
        <f>IF(表紙!H4="","",表紙!H4)</f>
        <v>APX004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  <c r="U4" s="186" t="s">
        <v>66</v>
      </c>
      <c r="V4" s="187"/>
      <c r="W4" s="187"/>
      <c r="X4" s="187"/>
      <c r="Y4" s="188"/>
      <c r="Z4" s="130" t="str">
        <f>IF(表紙!Z4="","",表紙!Z4)</f>
        <v>API設計書</v>
      </c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2"/>
      <c r="AP4" s="133" t="str">
        <f ca="1">MID(CELL("filename",A1),FIND("]",CELL("filename",A1))+1,255)</f>
        <v>APX004</v>
      </c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2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47" customFormat="1" ht="15" customHeight="1" x14ac:dyDescent="0.25">
      <c r="A7" s="42"/>
      <c r="B7" s="43" t="s">
        <v>68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221"/>
      <c r="AQ7" s="221"/>
      <c r="AR7" s="221"/>
      <c r="AS7" s="221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5"/>
      <c r="BI7" s="45"/>
      <c r="BJ7" s="45"/>
      <c r="BK7" s="46"/>
    </row>
    <row r="8" spans="1:63" s="47" customFormat="1" ht="15" customHeight="1" x14ac:dyDescent="0.25">
      <c r="A8" s="42"/>
      <c r="B8" s="48"/>
      <c r="C8" s="70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222"/>
      <c r="AQ8" s="222"/>
      <c r="AR8" s="222"/>
      <c r="AS8" s="222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50"/>
      <c r="BI8" s="50"/>
      <c r="BJ8" s="50"/>
      <c r="BK8" s="46"/>
    </row>
    <row r="9" spans="1:63" s="47" customFormat="1" ht="15" customHeight="1" x14ac:dyDescent="0.25">
      <c r="A9" s="42"/>
      <c r="B9" s="48"/>
      <c r="C9" s="49" t="s">
        <v>45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222"/>
      <c r="AQ9" s="222"/>
      <c r="AR9" s="222"/>
      <c r="AS9" s="222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50"/>
      <c r="BI9" s="50"/>
      <c r="BJ9" s="50"/>
      <c r="BK9" s="46"/>
    </row>
    <row r="10" spans="1:63" s="47" customFormat="1" ht="15" customHeight="1" x14ac:dyDescent="0.25">
      <c r="A10" s="42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222"/>
      <c r="AQ10" s="222"/>
      <c r="AR10" s="222"/>
      <c r="AS10" s="222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50"/>
      <c r="BI10" s="50"/>
      <c r="BJ10" s="50"/>
      <c r="BK10" s="46"/>
    </row>
    <row r="11" spans="1:63" s="47" customFormat="1" ht="15" customHeight="1" x14ac:dyDescent="0.25">
      <c r="A11" s="42"/>
      <c r="B11" s="51" t="s">
        <v>69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5"/>
      <c r="BI11" s="45"/>
      <c r="BJ11" s="45"/>
      <c r="BK11" s="46"/>
    </row>
    <row r="12" spans="1:63" s="47" customFormat="1" ht="15" customHeight="1" x14ac:dyDescent="0.25">
      <c r="A12" s="42"/>
      <c r="B12" s="49"/>
      <c r="C12" s="52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50"/>
      <c r="BI12" s="50"/>
      <c r="BJ12" s="50"/>
      <c r="BK12" s="46"/>
    </row>
    <row r="13" spans="1:63" s="47" customFormat="1" ht="15" customHeight="1" x14ac:dyDescent="0.25">
      <c r="A13" s="42"/>
      <c r="B13" s="49"/>
      <c r="C13" s="52" t="s">
        <v>70</v>
      </c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50"/>
      <c r="BI13" s="50"/>
      <c r="BJ13" s="50"/>
      <c r="BK13" s="46"/>
    </row>
    <row r="14" spans="1:63" s="47" customFormat="1" ht="15" customHeight="1" x14ac:dyDescent="0.25">
      <c r="A14" s="42"/>
      <c r="B14" s="49"/>
      <c r="C14" s="48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50"/>
      <c r="BI14" s="50"/>
      <c r="BJ14" s="50"/>
      <c r="BK14" s="46"/>
    </row>
    <row r="15" spans="1:63" s="47" customFormat="1" ht="15" customHeight="1" x14ac:dyDescent="0.25">
      <c r="A15" s="42"/>
      <c r="B15" s="49"/>
      <c r="C15" s="149" t="s">
        <v>27</v>
      </c>
      <c r="D15" s="151"/>
      <c r="E15" s="149" t="s">
        <v>28</v>
      </c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1"/>
      <c r="AG15" s="149" t="s">
        <v>29</v>
      </c>
      <c r="AH15" s="150"/>
      <c r="AI15" s="150"/>
      <c r="AJ15" s="150"/>
      <c r="AK15" s="150"/>
      <c r="AL15" s="150"/>
      <c r="AM15" s="150"/>
      <c r="AN15" s="150"/>
      <c r="AO15" s="150"/>
      <c r="AP15" s="151"/>
      <c r="AQ15" s="149" t="s">
        <v>30</v>
      </c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1"/>
      <c r="BK15" s="46"/>
    </row>
    <row r="16" spans="1:63" s="47" customFormat="1" ht="15" customHeight="1" x14ac:dyDescent="0.25">
      <c r="A16" s="42"/>
      <c r="B16" s="49"/>
      <c r="C16" s="143">
        <v>1</v>
      </c>
      <c r="D16" s="145"/>
      <c r="E16" s="157" t="s">
        <v>47</v>
      </c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9"/>
      <c r="AG16" s="143" t="s">
        <v>46</v>
      </c>
      <c r="AH16" s="144"/>
      <c r="AI16" s="144"/>
      <c r="AJ16" s="144"/>
      <c r="AK16" s="144"/>
      <c r="AL16" s="144"/>
      <c r="AM16" s="144"/>
      <c r="AN16" s="144"/>
      <c r="AO16" s="144"/>
      <c r="AP16" s="145"/>
      <c r="AQ16" s="160" t="s">
        <v>20</v>
      </c>
      <c r="AR16" s="161"/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61"/>
      <c r="BE16" s="161"/>
      <c r="BF16" s="161"/>
      <c r="BG16" s="161"/>
      <c r="BH16" s="161"/>
      <c r="BI16" s="161"/>
      <c r="BJ16" s="162"/>
      <c r="BK16" s="46"/>
    </row>
    <row r="17" spans="1:63" s="47" customFormat="1" ht="15" customHeight="1" x14ac:dyDescent="0.25">
      <c r="A17" s="42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50"/>
      <c r="BI17" s="50"/>
      <c r="BJ17" s="50"/>
      <c r="BK17" s="46"/>
    </row>
    <row r="18" spans="1:63" s="47" customFormat="1" ht="15" customHeight="1" x14ac:dyDescent="0.25">
      <c r="A18" s="42"/>
      <c r="B18" s="49"/>
      <c r="C18" s="52" t="s">
        <v>71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50"/>
      <c r="BI18" s="50"/>
      <c r="BJ18" s="50"/>
      <c r="BK18" s="46"/>
    </row>
    <row r="19" spans="1:63" s="47" customFormat="1" ht="15" customHeight="1" x14ac:dyDescent="0.25">
      <c r="A19" s="42"/>
      <c r="B19" s="49"/>
      <c r="C19" s="52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50"/>
      <c r="BI19" s="50"/>
      <c r="BJ19" s="50"/>
      <c r="BK19" s="46"/>
    </row>
    <row r="20" spans="1:63" s="47" customFormat="1" ht="15" customHeight="1" x14ac:dyDescent="0.25">
      <c r="A20" s="42"/>
      <c r="B20" s="49"/>
      <c r="C20" s="134" t="s">
        <v>72</v>
      </c>
      <c r="D20" s="136"/>
      <c r="E20" s="134" t="s">
        <v>73</v>
      </c>
      <c r="F20" s="135"/>
      <c r="G20" s="135"/>
      <c r="H20" s="135"/>
      <c r="I20" s="135"/>
      <c r="J20" s="135"/>
      <c r="K20" s="136"/>
      <c r="L20" s="149" t="s">
        <v>31</v>
      </c>
      <c r="M20" s="150"/>
      <c r="N20" s="151"/>
      <c r="O20" s="149" t="s">
        <v>32</v>
      </c>
      <c r="P20" s="150"/>
      <c r="Q20" s="150"/>
      <c r="R20" s="151"/>
      <c r="S20" s="149" t="s">
        <v>33</v>
      </c>
      <c r="T20" s="150"/>
      <c r="U20" s="150"/>
      <c r="V20" s="150"/>
      <c r="W20" s="150"/>
      <c r="X20" s="150"/>
      <c r="Y20" s="151"/>
      <c r="Z20" s="134" t="s">
        <v>74</v>
      </c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6"/>
      <c r="AQ20" s="149" t="s">
        <v>30</v>
      </c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1"/>
      <c r="BK20" s="46"/>
    </row>
    <row r="21" spans="1:63" s="47" customFormat="1" ht="15" customHeight="1" x14ac:dyDescent="0.25">
      <c r="A21" s="42"/>
      <c r="B21" s="49"/>
      <c r="C21" s="143">
        <v>1</v>
      </c>
      <c r="D21" s="145"/>
      <c r="E21" s="223" t="s">
        <v>21</v>
      </c>
      <c r="F21" s="224"/>
      <c r="G21" s="224"/>
      <c r="H21" s="224"/>
      <c r="I21" s="224"/>
      <c r="J21" s="224"/>
      <c r="K21" s="225"/>
      <c r="L21" s="154" t="s">
        <v>20</v>
      </c>
      <c r="M21" s="155"/>
      <c r="N21" s="156"/>
      <c r="O21" s="143" t="s">
        <v>19</v>
      </c>
      <c r="P21" s="144"/>
      <c r="Q21" s="144"/>
      <c r="R21" s="145"/>
      <c r="S21" s="143" t="s">
        <v>20</v>
      </c>
      <c r="T21" s="144"/>
      <c r="U21" s="144"/>
      <c r="V21" s="144"/>
      <c r="W21" s="144"/>
      <c r="X21" s="144"/>
      <c r="Y21" s="145"/>
      <c r="Z21" s="223" t="s">
        <v>21</v>
      </c>
      <c r="AA21" s="224"/>
      <c r="AB21" s="224"/>
      <c r="AC21" s="224"/>
      <c r="AD21" s="224"/>
      <c r="AE21" s="224"/>
      <c r="AF21" s="224"/>
      <c r="AG21" s="224"/>
      <c r="AH21" s="224"/>
      <c r="AI21" s="224"/>
      <c r="AJ21" s="224"/>
      <c r="AK21" s="224"/>
      <c r="AL21" s="224"/>
      <c r="AM21" s="224"/>
      <c r="AN21" s="224"/>
      <c r="AO21" s="224"/>
      <c r="AP21" s="225"/>
      <c r="AQ21" s="226" t="s">
        <v>22</v>
      </c>
      <c r="AR21" s="227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8"/>
      <c r="BK21" s="46"/>
    </row>
    <row r="22" spans="1:63" s="47" customFormat="1" ht="18" customHeight="1" x14ac:dyDescent="0.25">
      <c r="A22" s="42"/>
      <c r="B22" s="49"/>
      <c r="C22" s="163">
        <v>2</v>
      </c>
      <c r="D22" s="164"/>
      <c r="E22" s="229" t="s">
        <v>23</v>
      </c>
      <c r="F22" s="230"/>
      <c r="G22" s="230"/>
      <c r="H22" s="230"/>
      <c r="I22" s="230"/>
      <c r="J22" s="230"/>
      <c r="K22" s="231"/>
      <c r="L22" s="232" t="s">
        <v>20</v>
      </c>
      <c r="M22" s="233"/>
      <c r="N22" s="234"/>
      <c r="O22" s="235" t="s">
        <v>19</v>
      </c>
      <c r="P22" s="236"/>
      <c r="Q22" s="236"/>
      <c r="R22" s="237"/>
      <c r="S22" s="235" t="s">
        <v>20</v>
      </c>
      <c r="T22" s="236"/>
      <c r="U22" s="236"/>
      <c r="V22" s="236"/>
      <c r="W22" s="236"/>
      <c r="X22" s="236"/>
      <c r="Y22" s="237"/>
      <c r="Z22" s="238" t="s">
        <v>23</v>
      </c>
      <c r="AA22" s="239"/>
      <c r="AB22" s="239"/>
      <c r="AC22" s="239"/>
      <c r="AD22" s="239"/>
      <c r="AE22" s="239"/>
      <c r="AF22" s="239"/>
      <c r="AG22" s="239"/>
      <c r="AH22" s="239"/>
      <c r="AI22" s="239"/>
      <c r="AJ22" s="239"/>
      <c r="AK22" s="239"/>
      <c r="AL22" s="239"/>
      <c r="AM22" s="239"/>
      <c r="AN22" s="239"/>
      <c r="AO22" s="239"/>
      <c r="AP22" s="240"/>
      <c r="AQ22" s="241" t="s">
        <v>75</v>
      </c>
      <c r="AR22" s="241"/>
      <c r="AS22" s="241"/>
      <c r="AT22" s="241"/>
      <c r="AU22" s="241"/>
      <c r="AV22" s="241"/>
      <c r="AW22" s="241"/>
      <c r="AX22" s="241"/>
      <c r="AY22" s="241"/>
      <c r="AZ22" s="241"/>
      <c r="BA22" s="241"/>
      <c r="BB22" s="241"/>
      <c r="BC22" s="241"/>
      <c r="BD22" s="241"/>
      <c r="BE22" s="241"/>
      <c r="BF22" s="241"/>
      <c r="BG22" s="241"/>
      <c r="BH22" s="241"/>
      <c r="BI22" s="241"/>
      <c r="BJ22" s="242"/>
      <c r="BK22" s="46"/>
    </row>
    <row r="23" spans="1:63" s="47" customFormat="1" ht="18" customHeight="1" x14ac:dyDescent="0.25">
      <c r="A23" s="42"/>
      <c r="B23" s="49"/>
      <c r="C23" s="165"/>
      <c r="D23" s="166"/>
      <c r="E23" s="243"/>
      <c r="F23" s="244"/>
      <c r="G23" s="244"/>
      <c r="H23" s="244"/>
      <c r="I23" s="244"/>
      <c r="J23" s="244"/>
      <c r="K23" s="245"/>
      <c r="L23" s="246"/>
      <c r="M23" s="247"/>
      <c r="N23" s="248"/>
      <c r="O23" s="249"/>
      <c r="P23" s="250"/>
      <c r="Q23" s="250"/>
      <c r="R23" s="251"/>
      <c r="S23" s="249"/>
      <c r="T23" s="250"/>
      <c r="U23" s="250"/>
      <c r="V23" s="250"/>
      <c r="W23" s="250"/>
      <c r="X23" s="250"/>
      <c r="Y23" s="251"/>
      <c r="Z23" s="252"/>
      <c r="AA23" s="253"/>
      <c r="AB23" s="253"/>
      <c r="AC23" s="253"/>
      <c r="AD23" s="253"/>
      <c r="AE23" s="253"/>
      <c r="AF23" s="253"/>
      <c r="AG23" s="253"/>
      <c r="AH23" s="253"/>
      <c r="AI23" s="253"/>
      <c r="AJ23" s="253"/>
      <c r="AK23" s="253"/>
      <c r="AL23" s="253"/>
      <c r="AM23" s="253"/>
      <c r="AN23" s="253"/>
      <c r="AO23" s="253"/>
      <c r="AP23" s="254"/>
      <c r="AQ23" s="255"/>
      <c r="AR23" s="255"/>
      <c r="AS23" s="255"/>
      <c r="AT23" s="255"/>
      <c r="AU23" s="255"/>
      <c r="AV23" s="255"/>
      <c r="AW23" s="255"/>
      <c r="AX23" s="255"/>
      <c r="AY23" s="255"/>
      <c r="AZ23" s="255"/>
      <c r="BA23" s="255"/>
      <c r="BB23" s="255"/>
      <c r="BC23" s="255"/>
      <c r="BD23" s="255"/>
      <c r="BE23" s="255"/>
      <c r="BF23" s="255"/>
      <c r="BG23" s="255"/>
      <c r="BH23" s="255"/>
      <c r="BI23" s="255"/>
      <c r="BJ23" s="256"/>
      <c r="BK23" s="46"/>
    </row>
    <row r="24" spans="1:63" s="47" customFormat="1" ht="18" customHeight="1" x14ac:dyDescent="0.25">
      <c r="A24" s="42"/>
      <c r="B24" s="49"/>
      <c r="C24" s="167"/>
      <c r="D24" s="168"/>
      <c r="E24" s="257"/>
      <c r="F24" s="258"/>
      <c r="G24" s="258"/>
      <c r="H24" s="258"/>
      <c r="I24" s="258"/>
      <c r="J24" s="258"/>
      <c r="K24" s="259"/>
      <c r="L24" s="260"/>
      <c r="M24" s="261"/>
      <c r="N24" s="262"/>
      <c r="O24" s="263"/>
      <c r="P24" s="264"/>
      <c r="Q24" s="264"/>
      <c r="R24" s="265"/>
      <c r="S24" s="263"/>
      <c r="T24" s="264"/>
      <c r="U24" s="264"/>
      <c r="V24" s="264"/>
      <c r="W24" s="264"/>
      <c r="X24" s="264"/>
      <c r="Y24" s="265"/>
      <c r="Z24" s="266"/>
      <c r="AA24" s="267"/>
      <c r="AB24" s="267"/>
      <c r="AC24" s="267"/>
      <c r="AD24" s="267"/>
      <c r="AE24" s="267"/>
      <c r="AF24" s="267"/>
      <c r="AG24" s="267"/>
      <c r="AH24" s="267"/>
      <c r="AI24" s="267"/>
      <c r="AJ24" s="267"/>
      <c r="AK24" s="267"/>
      <c r="AL24" s="267"/>
      <c r="AM24" s="267"/>
      <c r="AN24" s="267"/>
      <c r="AO24" s="267"/>
      <c r="AP24" s="268"/>
      <c r="AQ24" s="269"/>
      <c r="AR24" s="269"/>
      <c r="AS24" s="269"/>
      <c r="AT24" s="269"/>
      <c r="AU24" s="269"/>
      <c r="AV24" s="269"/>
      <c r="AW24" s="269"/>
      <c r="AX24" s="269"/>
      <c r="AY24" s="269"/>
      <c r="AZ24" s="269"/>
      <c r="BA24" s="269"/>
      <c r="BB24" s="269"/>
      <c r="BC24" s="269"/>
      <c r="BD24" s="269"/>
      <c r="BE24" s="269"/>
      <c r="BF24" s="269"/>
      <c r="BG24" s="269"/>
      <c r="BH24" s="269"/>
      <c r="BI24" s="269"/>
      <c r="BJ24" s="270"/>
      <c r="BK24" s="46"/>
    </row>
    <row r="25" spans="1:63" s="47" customFormat="1" ht="15" customHeight="1" x14ac:dyDescent="0.25">
      <c r="A25" s="42"/>
      <c r="B25" s="49"/>
      <c r="C25" s="143">
        <v>3</v>
      </c>
      <c r="D25" s="145"/>
      <c r="E25" s="223" t="s">
        <v>24</v>
      </c>
      <c r="F25" s="224"/>
      <c r="G25" s="224"/>
      <c r="H25" s="224"/>
      <c r="I25" s="224"/>
      <c r="J25" s="224"/>
      <c r="K25" s="225"/>
      <c r="L25" s="154" t="s">
        <v>20</v>
      </c>
      <c r="M25" s="155"/>
      <c r="N25" s="156"/>
      <c r="O25" s="143" t="s">
        <v>19</v>
      </c>
      <c r="P25" s="144"/>
      <c r="Q25" s="144"/>
      <c r="R25" s="145"/>
      <c r="S25" s="143" t="s">
        <v>20</v>
      </c>
      <c r="T25" s="144"/>
      <c r="U25" s="144"/>
      <c r="V25" s="144"/>
      <c r="W25" s="144"/>
      <c r="X25" s="144"/>
      <c r="Y25" s="145"/>
      <c r="Z25" s="223" t="s">
        <v>24</v>
      </c>
      <c r="AA25" s="224"/>
      <c r="AB25" s="224"/>
      <c r="AC25" s="224"/>
      <c r="AD25" s="224"/>
      <c r="AE25" s="224"/>
      <c r="AF25" s="224"/>
      <c r="AG25" s="224"/>
      <c r="AH25" s="224"/>
      <c r="AI25" s="224"/>
      <c r="AJ25" s="224"/>
      <c r="AK25" s="224"/>
      <c r="AL25" s="224"/>
      <c r="AM25" s="224"/>
      <c r="AN25" s="224"/>
      <c r="AO25" s="224"/>
      <c r="AP25" s="225"/>
      <c r="AQ25" s="226" t="s">
        <v>25</v>
      </c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8"/>
      <c r="BK25" s="46"/>
    </row>
    <row r="26" spans="1:63" s="47" customFormat="1" ht="15" customHeight="1" x14ac:dyDescent="0.25">
      <c r="A26" s="42"/>
      <c r="B26" s="49"/>
      <c r="C26" s="143">
        <v>4</v>
      </c>
      <c r="D26" s="145"/>
      <c r="E26" s="223" t="s">
        <v>26</v>
      </c>
      <c r="F26" s="224"/>
      <c r="G26" s="224"/>
      <c r="H26" s="224"/>
      <c r="I26" s="224"/>
      <c r="J26" s="224"/>
      <c r="K26" s="225"/>
      <c r="L26" s="154" t="s">
        <v>20</v>
      </c>
      <c r="M26" s="155"/>
      <c r="N26" s="156"/>
      <c r="O26" s="143" t="s">
        <v>19</v>
      </c>
      <c r="P26" s="144"/>
      <c r="Q26" s="144"/>
      <c r="R26" s="145"/>
      <c r="S26" s="143" t="s">
        <v>20</v>
      </c>
      <c r="T26" s="144"/>
      <c r="U26" s="144"/>
      <c r="V26" s="144"/>
      <c r="W26" s="144"/>
      <c r="X26" s="144"/>
      <c r="Y26" s="145"/>
      <c r="Z26" s="223" t="s">
        <v>26</v>
      </c>
      <c r="AA26" s="224"/>
      <c r="AB26" s="224"/>
      <c r="AC26" s="224"/>
      <c r="AD26" s="224"/>
      <c r="AE26" s="224"/>
      <c r="AF26" s="224"/>
      <c r="AG26" s="224"/>
      <c r="AH26" s="224"/>
      <c r="AI26" s="224"/>
      <c r="AJ26" s="224"/>
      <c r="AK26" s="224"/>
      <c r="AL26" s="224"/>
      <c r="AM26" s="224"/>
      <c r="AN26" s="224"/>
      <c r="AO26" s="224"/>
      <c r="AP26" s="225"/>
      <c r="AQ26" s="226" t="s">
        <v>76</v>
      </c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8"/>
      <c r="BK26" s="46"/>
    </row>
    <row r="27" spans="1:63" s="47" customFormat="1" ht="15" customHeight="1" x14ac:dyDescent="0.25">
      <c r="A27" s="42"/>
      <c r="B27" s="49"/>
      <c r="C27" s="49"/>
      <c r="D27" s="49"/>
      <c r="E27" s="222"/>
      <c r="F27" s="222"/>
      <c r="G27" s="222"/>
      <c r="H27" s="222"/>
      <c r="I27" s="49"/>
      <c r="J27" s="49"/>
      <c r="K27" s="49"/>
      <c r="L27" s="271"/>
      <c r="M27" s="222"/>
      <c r="N27" s="222"/>
      <c r="O27" s="222"/>
      <c r="P27" s="222"/>
      <c r="Q27" s="49"/>
      <c r="R27" s="49"/>
      <c r="S27" s="49"/>
      <c r="T27" s="49"/>
      <c r="U27" s="49"/>
      <c r="V27" s="49"/>
      <c r="W27" s="49"/>
      <c r="X27" s="49"/>
      <c r="Y27" s="49"/>
      <c r="Z27" s="56"/>
      <c r="AA27" s="49"/>
      <c r="AB27" s="49"/>
      <c r="AC27" s="49"/>
      <c r="AD27" s="49"/>
      <c r="AE27" s="49"/>
      <c r="AF27" s="49"/>
      <c r="AG27" s="222"/>
      <c r="AH27" s="222"/>
      <c r="AI27" s="222"/>
      <c r="AJ27" s="222"/>
      <c r="AK27" s="222"/>
      <c r="AL27" s="222"/>
      <c r="AM27" s="222"/>
      <c r="AN27" s="222"/>
      <c r="AO27" s="222"/>
      <c r="AP27" s="49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0"/>
      <c r="BI27" s="50"/>
      <c r="BJ27" s="50"/>
      <c r="BK27" s="46"/>
    </row>
    <row r="28" spans="1:63" s="47" customFormat="1" ht="15" customHeight="1" x14ac:dyDescent="0.25">
      <c r="A28" s="42"/>
      <c r="B28" s="49"/>
      <c r="C28" s="49"/>
      <c r="D28" s="49"/>
      <c r="E28" s="222"/>
      <c r="F28" s="222"/>
      <c r="G28" s="222"/>
      <c r="H28" s="222"/>
      <c r="I28" s="49"/>
      <c r="J28" s="49"/>
      <c r="K28" s="49"/>
      <c r="L28" s="58"/>
      <c r="M28" s="222"/>
      <c r="N28" s="222"/>
      <c r="O28" s="222"/>
      <c r="P28" s="222"/>
      <c r="Q28" s="49"/>
      <c r="R28" s="49"/>
      <c r="S28" s="49"/>
      <c r="T28" s="49"/>
      <c r="U28" s="49"/>
      <c r="V28" s="49"/>
      <c r="W28" s="49"/>
      <c r="X28" s="49"/>
      <c r="Y28" s="49"/>
      <c r="Z28" s="56"/>
      <c r="AA28" s="49"/>
      <c r="AB28" s="49"/>
      <c r="AC28" s="49"/>
      <c r="AD28" s="49"/>
      <c r="AE28" s="49"/>
      <c r="AF28" s="49"/>
      <c r="AG28" s="222"/>
      <c r="AH28" s="222"/>
      <c r="AI28" s="222"/>
      <c r="AJ28" s="222"/>
      <c r="AK28" s="222"/>
      <c r="AL28" s="222"/>
      <c r="AM28" s="222"/>
      <c r="AN28" s="222"/>
      <c r="AO28" s="222"/>
      <c r="AP28" s="49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0"/>
      <c r="BI28" s="50"/>
      <c r="BJ28" s="50"/>
      <c r="BK28" s="46"/>
    </row>
    <row r="29" spans="1:63" s="47" customFormat="1" ht="15" customHeight="1" x14ac:dyDescent="0.25">
      <c r="A29" s="42"/>
      <c r="B29" s="49"/>
      <c r="C29" s="52" t="s">
        <v>77</v>
      </c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50"/>
      <c r="BI29" s="50"/>
      <c r="BJ29" s="50"/>
      <c r="BK29" s="46"/>
    </row>
    <row r="30" spans="1:63" s="47" customFormat="1" ht="15" customHeight="1" x14ac:dyDescent="0.25">
      <c r="A30" s="42"/>
      <c r="B30" s="49"/>
      <c r="C30" s="48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50"/>
      <c r="BI30" s="50"/>
      <c r="BJ30" s="50"/>
      <c r="BK30" s="46"/>
    </row>
    <row r="31" spans="1:63" s="47" customFormat="1" ht="15" customHeight="1" x14ac:dyDescent="0.25">
      <c r="A31" s="42"/>
      <c r="B31" s="49"/>
      <c r="C31" s="49"/>
      <c r="D31" s="49" t="s">
        <v>37</v>
      </c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50"/>
      <c r="BI31" s="50"/>
      <c r="BJ31" s="50"/>
      <c r="BK31" s="46"/>
    </row>
    <row r="32" spans="1:63" s="47" customFormat="1" ht="15" customHeight="1" x14ac:dyDescent="0.25">
      <c r="A32" s="42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50"/>
      <c r="BI32" s="50"/>
      <c r="BJ32" s="50"/>
      <c r="BK32" s="46"/>
    </row>
    <row r="33" spans="1:63" s="47" customFormat="1" ht="15" customHeight="1" x14ac:dyDescent="0.25">
      <c r="A33" s="42"/>
      <c r="B33" s="49"/>
      <c r="C33" s="52" t="s">
        <v>78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50"/>
      <c r="BI33" s="50"/>
      <c r="BJ33" s="50"/>
      <c r="BK33" s="46"/>
    </row>
    <row r="34" spans="1:63" s="47" customFormat="1" ht="15" customHeight="1" x14ac:dyDescent="0.25">
      <c r="A34" s="42"/>
      <c r="B34" s="49"/>
      <c r="C34" s="52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50"/>
      <c r="BI34" s="50"/>
      <c r="BJ34" s="50"/>
      <c r="BK34" s="46"/>
    </row>
    <row r="35" spans="1:63" s="47" customFormat="1" ht="15" customHeight="1" x14ac:dyDescent="0.25">
      <c r="A35" s="42"/>
      <c r="B35" s="49"/>
      <c r="C35" s="152" t="s">
        <v>27</v>
      </c>
      <c r="D35" s="153"/>
      <c r="E35" s="272" t="s">
        <v>34</v>
      </c>
      <c r="F35" s="273"/>
      <c r="G35" s="273"/>
      <c r="H35" s="273"/>
      <c r="I35" s="273"/>
      <c r="J35" s="273"/>
      <c r="K35" s="274"/>
      <c r="L35" s="149" t="s">
        <v>31</v>
      </c>
      <c r="M35" s="150"/>
      <c r="N35" s="151"/>
      <c r="O35" s="149" t="s">
        <v>32</v>
      </c>
      <c r="P35" s="150"/>
      <c r="Q35" s="150"/>
      <c r="R35" s="151"/>
      <c r="S35" s="149" t="s">
        <v>33</v>
      </c>
      <c r="T35" s="150"/>
      <c r="U35" s="150"/>
      <c r="V35" s="150"/>
      <c r="W35" s="150"/>
      <c r="X35" s="150"/>
      <c r="Y35" s="151"/>
      <c r="Z35" s="134" t="s">
        <v>74</v>
      </c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6"/>
      <c r="AQ35" s="146" t="s">
        <v>30</v>
      </c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8"/>
      <c r="BK35" s="46"/>
    </row>
    <row r="36" spans="1:63" s="47" customFormat="1" ht="15" customHeight="1" x14ac:dyDescent="0.25">
      <c r="A36" s="42"/>
      <c r="B36" s="49"/>
      <c r="C36" s="143"/>
      <c r="D36" s="145"/>
      <c r="E36" s="223"/>
      <c r="F36" s="224"/>
      <c r="G36" s="224"/>
      <c r="H36" s="224"/>
      <c r="I36" s="224"/>
      <c r="J36" s="224"/>
      <c r="K36" s="225"/>
      <c r="L36" s="154"/>
      <c r="M36" s="155"/>
      <c r="N36" s="156"/>
      <c r="O36" s="143"/>
      <c r="P36" s="144"/>
      <c r="Q36" s="144"/>
      <c r="R36" s="145"/>
      <c r="S36" s="157"/>
      <c r="T36" s="144"/>
      <c r="U36" s="144"/>
      <c r="V36" s="144"/>
      <c r="W36" s="144"/>
      <c r="X36" s="144"/>
      <c r="Y36" s="145"/>
      <c r="Z36" s="223"/>
      <c r="AA36" s="224"/>
      <c r="AB36" s="224"/>
      <c r="AC36" s="224"/>
      <c r="AD36" s="224"/>
      <c r="AE36" s="224"/>
      <c r="AF36" s="224"/>
      <c r="AG36" s="224"/>
      <c r="AH36" s="224"/>
      <c r="AI36" s="224"/>
      <c r="AJ36" s="224"/>
      <c r="AK36" s="224"/>
      <c r="AL36" s="224"/>
      <c r="AM36" s="224"/>
      <c r="AN36" s="224"/>
      <c r="AO36" s="224"/>
      <c r="AP36" s="225"/>
      <c r="AQ36" s="160"/>
      <c r="AR36" s="161"/>
      <c r="AS36" s="161"/>
      <c r="AT36" s="161"/>
      <c r="AU36" s="161"/>
      <c r="AV36" s="161"/>
      <c r="AW36" s="161"/>
      <c r="AX36" s="161"/>
      <c r="AY36" s="161"/>
      <c r="AZ36" s="161"/>
      <c r="BA36" s="161"/>
      <c r="BB36" s="161"/>
      <c r="BC36" s="161"/>
      <c r="BD36" s="161"/>
      <c r="BE36" s="161"/>
      <c r="BF36" s="161"/>
      <c r="BG36" s="161"/>
      <c r="BH36" s="161"/>
      <c r="BI36" s="161"/>
      <c r="BJ36" s="162"/>
      <c r="BK36" s="46"/>
    </row>
    <row r="37" spans="1:63" s="47" customFormat="1" ht="15" customHeight="1" x14ac:dyDescent="0.25">
      <c r="A37" s="42"/>
      <c r="B37" s="49"/>
      <c r="C37" s="143"/>
      <c r="D37" s="145"/>
      <c r="E37" s="223"/>
      <c r="F37" s="224"/>
      <c r="G37" s="224"/>
      <c r="H37" s="224"/>
      <c r="I37" s="224"/>
      <c r="J37" s="224"/>
      <c r="K37" s="225"/>
      <c r="L37" s="154"/>
      <c r="M37" s="155"/>
      <c r="N37" s="156"/>
      <c r="O37" s="143"/>
      <c r="P37" s="144"/>
      <c r="Q37" s="144"/>
      <c r="R37" s="145"/>
      <c r="S37" s="157"/>
      <c r="T37" s="144"/>
      <c r="U37" s="144"/>
      <c r="V37" s="144"/>
      <c r="W37" s="144"/>
      <c r="X37" s="144"/>
      <c r="Y37" s="145"/>
      <c r="Z37" s="223"/>
      <c r="AA37" s="224"/>
      <c r="AB37" s="224"/>
      <c r="AC37" s="224"/>
      <c r="AD37" s="224"/>
      <c r="AE37" s="224"/>
      <c r="AF37" s="224"/>
      <c r="AG37" s="224"/>
      <c r="AH37" s="224"/>
      <c r="AI37" s="224"/>
      <c r="AJ37" s="224"/>
      <c r="AK37" s="224"/>
      <c r="AL37" s="224"/>
      <c r="AM37" s="224"/>
      <c r="AN37" s="224"/>
      <c r="AO37" s="224"/>
      <c r="AP37" s="225"/>
      <c r="AQ37" s="160"/>
      <c r="AR37" s="161"/>
      <c r="AS37" s="161"/>
      <c r="AT37" s="161"/>
      <c r="AU37" s="161"/>
      <c r="AV37" s="161"/>
      <c r="AW37" s="161"/>
      <c r="AX37" s="161"/>
      <c r="AY37" s="161"/>
      <c r="AZ37" s="161"/>
      <c r="BA37" s="161"/>
      <c r="BB37" s="161"/>
      <c r="BC37" s="161"/>
      <c r="BD37" s="161"/>
      <c r="BE37" s="161"/>
      <c r="BF37" s="161"/>
      <c r="BG37" s="161"/>
      <c r="BH37" s="161"/>
      <c r="BI37" s="161"/>
      <c r="BJ37" s="162"/>
      <c r="BK37" s="46"/>
    </row>
    <row r="38" spans="1:63" s="47" customFormat="1" ht="15" customHeight="1" x14ac:dyDescent="0.25">
      <c r="A38" s="42"/>
      <c r="B38" s="49"/>
      <c r="C38" s="143"/>
      <c r="D38" s="145"/>
      <c r="E38" s="223"/>
      <c r="F38" s="224"/>
      <c r="G38" s="224"/>
      <c r="H38" s="224"/>
      <c r="I38" s="224"/>
      <c r="J38" s="224"/>
      <c r="K38" s="225"/>
      <c r="L38" s="154"/>
      <c r="M38" s="155"/>
      <c r="N38" s="156"/>
      <c r="O38" s="143"/>
      <c r="P38" s="144"/>
      <c r="Q38" s="144"/>
      <c r="R38" s="145"/>
      <c r="S38" s="157"/>
      <c r="T38" s="144"/>
      <c r="U38" s="144"/>
      <c r="V38" s="144"/>
      <c r="W38" s="144"/>
      <c r="X38" s="144"/>
      <c r="Y38" s="145"/>
      <c r="Z38" s="223"/>
      <c r="AA38" s="224"/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4"/>
      <c r="AM38" s="224"/>
      <c r="AN38" s="224"/>
      <c r="AO38" s="224"/>
      <c r="AP38" s="225"/>
      <c r="AQ38" s="160"/>
      <c r="AR38" s="161"/>
      <c r="AS38" s="161"/>
      <c r="AT38" s="161"/>
      <c r="AU38" s="161"/>
      <c r="AV38" s="161"/>
      <c r="AW38" s="161"/>
      <c r="AX38" s="161"/>
      <c r="AY38" s="161"/>
      <c r="AZ38" s="161"/>
      <c r="BA38" s="161"/>
      <c r="BB38" s="161"/>
      <c r="BC38" s="161"/>
      <c r="BD38" s="161"/>
      <c r="BE38" s="161"/>
      <c r="BF38" s="161"/>
      <c r="BG38" s="161"/>
      <c r="BH38" s="161"/>
      <c r="BI38" s="161"/>
      <c r="BJ38" s="162"/>
      <c r="BK38" s="46"/>
    </row>
    <row r="39" spans="1:63" s="47" customFormat="1" ht="15" customHeight="1" x14ac:dyDescent="0.25">
      <c r="A39" s="42"/>
      <c r="B39" s="49"/>
      <c r="C39" s="48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50"/>
      <c r="BI39" s="50"/>
      <c r="BJ39" s="50"/>
      <c r="BK39" s="46"/>
    </row>
    <row r="40" spans="1:63" s="47" customFormat="1" ht="15" customHeight="1" x14ac:dyDescent="0.25">
      <c r="A40" s="42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50"/>
      <c r="BI40" s="50"/>
      <c r="BJ40" s="50"/>
      <c r="BK40" s="46"/>
    </row>
    <row r="41" spans="1:63" s="47" customFormat="1" ht="15" customHeight="1" x14ac:dyDescent="0.25">
      <c r="A41" s="42"/>
      <c r="B41" s="43" t="s">
        <v>79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5"/>
      <c r="BI41" s="45"/>
      <c r="BJ41" s="45"/>
      <c r="BK41" s="46"/>
    </row>
    <row r="42" spans="1:63" s="47" customFormat="1" ht="15" customHeight="1" x14ac:dyDescent="0.25">
      <c r="A42" s="42"/>
      <c r="B42" s="48"/>
      <c r="C42" s="52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50"/>
      <c r="BI42" s="50"/>
      <c r="BJ42" s="50"/>
      <c r="BK42" s="46"/>
    </row>
    <row r="43" spans="1:63" s="47" customFormat="1" ht="15" customHeight="1" x14ac:dyDescent="0.25">
      <c r="A43" s="42"/>
      <c r="B43" s="48"/>
      <c r="C43" s="52" t="s">
        <v>80</v>
      </c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50"/>
      <c r="BI43" s="50"/>
      <c r="BJ43" s="50"/>
      <c r="BK43" s="46"/>
    </row>
    <row r="44" spans="1:63" s="47" customFormat="1" ht="15" customHeight="1" x14ac:dyDescent="0.25">
      <c r="A44" s="42"/>
      <c r="B44" s="48"/>
      <c r="C44" s="52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50"/>
      <c r="BI44" s="50"/>
      <c r="BJ44" s="50"/>
      <c r="BK44" s="46"/>
    </row>
    <row r="45" spans="1:63" s="47" customFormat="1" ht="15" customHeight="1" x14ac:dyDescent="0.25">
      <c r="A45" s="42"/>
      <c r="B45" s="49"/>
      <c r="C45" s="149" t="s">
        <v>27</v>
      </c>
      <c r="D45" s="151"/>
      <c r="E45" s="134" t="s">
        <v>81</v>
      </c>
      <c r="F45" s="135"/>
      <c r="G45" s="135"/>
      <c r="H45" s="135"/>
      <c r="I45" s="135"/>
      <c r="J45" s="135"/>
      <c r="K45" s="136"/>
      <c r="L45" s="149" t="s">
        <v>32</v>
      </c>
      <c r="M45" s="150"/>
      <c r="N45" s="150"/>
      <c r="O45" s="150"/>
      <c r="P45" s="150"/>
      <c r="Q45" s="150"/>
      <c r="R45" s="151"/>
      <c r="S45" s="137" t="s">
        <v>74</v>
      </c>
      <c r="T45" s="138"/>
      <c r="U45" s="138"/>
      <c r="V45" s="138"/>
      <c r="W45" s="138"/>
      <c r="X45" s="138"/>
      <c r="Y45" s="138"/>
      <c r="Z45" s="138"/>
      <c r="AA45" s="138"/>
      <c r="AB45" s="139"/>
      <c r="AC45" s="149" t="s">
        <v>30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1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50"/>
      <c r="BI45" s="50"/>
      <c r="BJ45" s="50"/>
      <c r="BK45" s="46"/>
    </row>
    <row r="46" spans="1:63" s="47" customFormat="1" ht="15" customHeight="1" x14ac:dyDescent="0.25">
      <c r="A46" s="42"/>
      <c r="B46" s="49"/>
      <c r="C46" s="143">
        <v>1</v>
      </c>
      <c r="D46" s="145"/>
      <c r="E46" s="143" t="s">
        <v>48</v>
      </c>
      <c r="F46" s="144"/>
      <c r="G46" s="144"/>
      <c r="H46" s="144"/>
      <c r="I46" s="144"/>
      <c r="J46" s="144"/>
      <c r="K46" s="145"/>
      <c r="L46" s="143" t="s">
        <v>36</v>
      </c>
      <c r="M46" s="144"/>
      <c r="N46" s="144"/>
      <c r="O46" s="144"/>
      <c r="P46" s="144"/>
      <c r="Q46" s="144"/>
      <c r="R46" s="145"/>
      <c r="S46" s="140" t="s">
        <v>49</v>
      </c>
      <c r="T46" s="141"/>
      <c r="U46" s="141"/>
      <c r="V46" s="141"/>
      <c r="W46" s="141"/>
      <c r="X46" s="141"/>
      <c r="Y46" s="141"/>
      <c r="Z46" s="141"/>
      <c r="AA46" s="141"/>
      <c r="AB46" s="142"/>
      <c r="AC46" s="143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5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50"/>
      <c r="BI46" s="50"/>
      <c r="BJ46" s="50"/>
      <c r="BK46" s="46"/>
    </row>
    <row r="47" spans="1:63" s="47" customFormat="1" ht="15" customHeight="1" x14ac:dyDescent="0.25">
      <c r="A47" s="42"/>
      <c r="B47" s="49"/>
      <c r="C47" s="143">
        <f>C46+1</f>
        <v>2</v>
      </c>
      <c r="D47" s="145"/>
      <c r="E47" s="169" t="s">
        <v>43</v>
      </c>
      <c r="F47" s="170"/>
      <c r="G47" s="170"/>
      <c r="H47" s="170"/>
      <c r="I47" s="170"/>
      <c r="J47" s="170"/>
      <c r="K47" s="171"/>
      <c r="L47" s="143" t="s">
        <v>35</v>
      </c>
      <c r="M47" s="144"/>
      <c r="N47" s="144"/>
      <c r="O47" s="144"/>
      <c r="P47" s="144"/>
      <c r="Q47" s="144"/>
      <c r="R47" s="145"/>
      <c r="S47" s="281" t="s">
        <v>82</v>
      </c>
      <c r="T47" s="282"/>
      <c r="U47" s="282"/>
      <c r="V47" s="282"/>
      <c r="W47" s="282"/>
      <c r="X47" s="282"/>
      <c r="Y47" s="282"/>
      <c r="Z47" s="282"/>
      <c r="AA47" s="282"/>
      <c r="AB47" s="283"/>
      <c r="AC47" s="143" t="s">
        <v>52</v>
      </c>
      <c r="AD47" s="144"/>
      <c r="AE47" s="144"/>
      <c r="AF47" s="144"/>
      <c r="AG47" s="144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5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50"/>
      <c r="BI47" s="50"/>
      <c r="BJ47" s="50"/>
      <c r="BK47" s="46"/>
    </row>
    <row r="48" spans="1:63" s="47" customFormat="1" ht="15" customHeight="1" x14ac:dyDescent="0.25">
      <c r="A48" s="42"/>
      <c r="B48" s="49"/>
      <c r="C48" s="143">
        <v>3</v>
      </c>
      <c r="D48" s="145"/>
      <c r="E48" s="169" t="s">
        <v>44</v>
      </c>
      <c r="F48" s="170"/>
      <c r="G48" s="170"/>
      <c r="H48" s="170"/>
      <c r="I48" s="170"/>
      <c r="J48" s="170"/>
      <c r="K48" s="171"/>
      <c r="L48" s="143" t="s">
        <v>35</v>
      </c>
      <c r="M48" s="144"/>
      <c r="N48" s="144"/>
      <c r="O48" s="144"/>
      <c r="P48" s="144"/>
      <c r="Q48" s="144"/>
      <c r="R48" s="145"/>
      <c r="S48" s="281" t="s">
        <v>83</v>
      </c>
      <c r="T48" s="282"/>
      <c r="U48" s="282"/>
      <c r="V48" s="282"/>
      <c r="W48" s="282"/>
      <c r="X48" s="282"/>
      <c r="Y48" s="282"/>
      <c r="Z48" s="282"/>
      <c r="AA48" s="282"/>
      <c r="AB48" s="283"/>
      <c r="AC48" s="287" t="s">
        <v>84</v>
      </c>
      <c r="AD48" s="288"/>
      <c r="AE48" s="288"/>
      <c r="AF48" s="288"/>
      <c r="AG48" s="288"/>
      <c r="AH48" s="288"/>
      <c r="AI48" s="288"/>
      <c r="AJ48" s="288"/>
      <c r="AK48" s="288"/>
      <c r="AL48" s="288"/>
      <c r="AM48" s="288"/>
      <c r="AN48" s="288"/>
      <c r="AO48" s="288"/>
      <c r="AP48" s="288"/>
      <c r="AQ48" s="288"/>
      <c r="AR48" s="288"/>
      <c r="AS48" s="288"/>
      <c r="AT48" s="288"/>
      <c r="AU48" s="28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50"/>
      <c r="BI48" s="50"/>
      <c r="BJ48" s="50"/>
      <c r="BK48" s="46"/>
    </row>
    <row r="49" spans="1:63" s="47" customFormat="1" ht="15" customHeight="1" x14ac:dyDescent="0.25">
      <c r="A49" s="42"/>
      <c r="B49" s="49"/>
      <c r="C49" s="278">
        <v>4</v>
      </c>
      <c r="D49" s="279"/>
      <c r="E49" s="278" t="s">
        <v>85</v>
      </c>
      <c r="F49" s="280"/>
      <c r="G49" s="280"/>
      <c r="H49" s="280"/>
      <c r="I49" s="280"/>
      <c r="J49" s="280"/>
      <c r="K49" s="279"/>
      <c r="L49" s="278" t="s">
        <v>86</v>
      </c>
      <c r="M49" s="280"/>
      <c r="N49" s="280"/>
      <c r="O49" s="280"/>
      <c r="P49" s="280"/>
      <c r="Q49" s="280"/>
      <c r="R49" s="279"/>
      <c r="S49" s="281" t="s">
        <v>87</v>
      </c>
      <c r="T49" s="282"/>
      <c r="U49" s="282"/>
      <c r="V49" s="282"/>
      <c r="W49" s="282"/>
      <c r="X49" s="282"/>
      <c r="Y49" s="282"/>
      <c r="Z49" s="282"/>
      <c r="AA49" s="282"/>
      <c r="AB49" s="283"/>
      <c r="AC49" s="278" t="s">
        <v>88</v>
      </c>
      <c r="AD49" s="280"/>
      <c r="AE49" s="280"/>
      <c r="AF49" s="280"/>
      <c r="AG49" s="280"/>
      <c r="AH49" s="280"/>
      <c r="AI49" s="280"/>
      <c r="AJ49" s="280"/>
      <c r="AK49" s="280"/>
      <c r="AL49" s="280"/>
      <c r="AM49" s="280"/>
      <c r="AN49" s="280"/>
      <c r="AO49" s="280"/>
      <c r="AP49" s="280"/>
      <c r="AQ49" s="280"/>
      <c r="AR49" s="280"/>
      <c r="AS49" s="280"/>
      <c r="AT49" s="280"/>
      <c r="AU49" s="27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50"/>
      <c r="BI49" s="50"/>
      <c r="BJ49" s="50"/>
      <c r="BK49" s="46"/>
    </row>
    <row r="50" spans="1:63" s="47" customFormat="1" ht="15" customHeight="1" x14ac:dyDescent="0.25">
      <c r="A50" s="42"/>
      <c r="B50" s="49"/>
      <c r="C50" s="278">
        <v>5</v>
      </c>
      <c r="D50" s="279"/>
      <c r="E50" s="278" t="s">
        <v>89</v>
      </c>
      <c r="F50" s="280"/>
      <c r="G50" s="280"/>
      <c r="H50" s="280"/>
      <c r="I50" s="280"/>
      <c r="J50" s="280"/>
      <c r="K50" s="279"/>
      <c r="L50" s="278" t="s">
        <v>86</v>
      </c>
      <c r="M50" s="280"/>
      <c r="N50" s="280"/>
      <c r="O50" s="280"/>
      <c r="P50" s="280"/>
      <c r="Q50" s="280"/>
      <c r="R50" s="279"/>
      <c r="S50" s="281" t="s">
        <v>90</v>
      </c>
      <c r="T50" s="282"/>
      <c r="U50" s="282"/>
      <c r="V50" s="282"/>
      <c r="W50" s="282"/>
      <c r="X50" s="282"/>
      <c r="Y50" s="282"/>
      <c r="Z50" s="282"/>
      <c r="AA50" s="282"/>
      <c r="AB50" s="283"/>
      <c r="AC50" s="278" t="s">
        <v>91</v>
      </c>
      <c r="AD50" s="280"/>
      <c r="AE50" s="280"/>
      <c r="AF50" s="280"/>
      <c r="AG50" s="280"/>
      <c r="AH50" s="280"/>
      <c r="AI50" s="280"/>
      <c r="AJ50" s="280"/>
      <c r="AK50" s="280"/>
      <c r="AL50" s="280"/>
      <c r="AM50" s="280"/>
      <c r="AN50" s="280"/>
      <c r="AO50" s="280"/>
      <c r="AP50" s="280"/>
      <c r="AQ50" s="280"/>
      <c r="AR50" s="280"/>
      <c r="AS50" s="280"/>
      <c r="AT50" s="280"/>
      <c r="AU50" s="27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50"/>
      <c r="BI50" s="50"/>
      <c r="BJ50" s="50"/>
      <c r="BK50" s="46"/>
    </row>
    <row r="51" spans="1:63" s="47" customFormat="1" ht="50.25" customHeight="1" x14ac:dyDescent="0.25">
      <c r="A51" s="42"/>
      <c r="B51" s="49"/>
      <c r="C51" s="278">
        <v>6</v>
      </c>
      <c r="D51" s="279"/>
      <c r="E51" s="278" t="s">
        <v>92</v>
      </c>
      <c r="F51" s="280"/>
      <c r="G51" s="280"/>
      <c r="H51" s="280"/>
      <c r="I51" s="280"/>
      <c r="J51" s="280"/>
      <c r="K51" s="279"/>
      <c r="L51" s="278" t="s">
        <v>86</v>
      </c>
      <c r="M51" s="280"/>
      <c r="N51" s="280"/>
      <c r="O51" s="280"/>
      <c r="P51" s="280"/>
      <c r="Q51" s="280"/>
      <c r="R51" s="279"/>
      <c r="S51" s="284" t="s">
        <v>93</v>
      </c>
      <c r="T51" s="285"/>
      <c r="U51" s="285"/>
      <c r="V51" s="285"/>
      <c r="W51" s="285"/>
      <c r="X51" s="285"/>
      <c r="Y51" s="285"/>
      <c r="Z51" s="285"/>
      <c r="AA51" s="285"/>
      <c r="AB51" s="286"/>
      <c r="AC51" s="278" t="s">
        <v>94</v>
      </c>
      <c r="AD51" s="280"/>
      <c r="AE51" s="280"/>
      <c r="AF51" s="280"/>
      <c r="AG51" s="280"/>
      <c r="AH51" s="280"/>
      <c r="AI51" s="280"/>
      <c r="AJ51" s="280"/>
      <c r="AK51" s="280"/>
      <c r="AL51" s="280"/>
      <c r="AM51" s="280"/>
      <c r="AN51" s="280"/>
      <c r="AO51" s="280"/>
      <c r="AP51" s="280"/>
      <c r="AQ51" s="280"/>
      <c r="AR51" s="280"/>
      <c r="AS51" s="280"/>
      <c r="AT51" s="280"/>
      <c r="AU51" s="27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50"/>
      <c r="BI51" s="50"/>
      <c r="BJ51" s="50"/>
      <c r="BK51" s="46"/>
    </row>
    <row r="52" spans="1:63" s="47" customFormat="1" ht="15" customHeight="1" x14ac:dyDescent="0.25">
      <c r="A52" s="42"/>
      <c r="B52" s="49"/>
      <c r="C52" s="278">
        <v>7</v>
      </c>
      <c r="D52" s="279"/>
      <c r="E52" s="278" t="s">
        <v>95</v>
      </c>
      <c r="F52" s="280"/>
      <c r="G52" s="280"/>
      <c r="H52" s="280"/>
      <c r="I52" s="280"/>
      <c r="J52" s="280"/>
      <c r="K52" s="279"/>
      <c r="L52" s="278" t="s">
        <v>86</v>
      </c>
      <c r="M52" s="280"/>
      <c r="N52" s="280"/>
      <c r="O52" s="280"/>
      <c r="P52" s="280"/>
      <c r="Q52" s="280"/>
      <c r="R52" s="279"/>
      <c r="S52" s="281" t="s">
        <v>96</v>
      </c>
      <c r="T52" s="282"/>
      <c r="U52" s="282"/>
      <c r="V52" s="282"/>
      <c r="W52" s="282"/>
      <c r="X52" s="282"/>
      <c r="Y52" s="282"/>
      <c r="Z52" s="282"/>
      <c r="AA52" s="282"/>
      <c r="AB52" s="283"/>
      <c r="AC52" s="278" t="s">
        <v>97</v>
      </c>
      <c r="AD52" s="280"/>
      <c r="AE52" s="280"/>
      <c r="AF52" s="280"/>
      <c r="AG52" s="280"/>
      <c r="AH52" s="280"/>
      <c r="AI52" s="280"/>
      <c r="AJ52" s="280"/>
      <c r="AK52" s="280"/>
      <c r="AL52" s="280"/>
      <c r="AM52" s="280"/>
      <c r="AN52" s="280"/>
      <c r="AO52" s="280"/>
      <c r="AP52" s="280"/>
      <c r="AQ52" s="280"/>
      <c r="AR52" s="280"/>
      <c r="AS52" s="280"/>
      <c r="AT52" s="280"/>
      <c r="AU52" s="27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50"/>
      <c r="BI52" s="50"/>
      <c r="BJ52" s="50"/>
      <c r="BK52" s="46"/>
    </row>
    <row r="53" spans="1:63" s="47" customFormat="1" ht="30" customHeight="1" x14ac:dyDescent="0.25">
      <c r="A53" s="42"/>
      <c r="B53" s="49"/>
      <c r="C53" s="278">
        <v>8</v>
      </c>
      <c r="D53" s="279"/>
      <c r="E53" s="278" t="s">
        <v>98</v>
      </c>
      <c r="F53" s="280"/>
      <c r="G53" s="280"/>
      <c r="H53" s="280"/>
      <c r="I53" s="280"/>
      <c r="J53" s="280"/>
      <c r="K53" s="279"/>
      <c r="L53" s="278" t="s">
        <v>86</v>
      </c>
      <c r="M53" s="280"/>
      <c r="N53" s="280"/>
      <c r="O53" s="280"/>
      <c r="P53" s="280"/>
      <c r="Q53" s="280"/>
      <c r="R53" s="279"/>
      <c r="S53" s="281" t="s">
        <v>99</v>
      </c>
      <c r="T53" s="282"/>
      <c r="U53" s="282"/>
      <c r="V53" s="282"/>
      <c r="W53" s="282"/>
      <c r="X53" s="282"/>
      <c r="Y53" s="282"/>
      <c r="Z53" s="282"/>
      <c r="AA53" s="282"/>
      <c r="AB53" s="283"/>
      <c r="AC53" s="290" t="s">
        <v>100</v>
      </c>
      <c r="AD53" s="280"/>
      <c r="AE53" s="280"/>
      <c r="AF53" s="280"/>
      <c r="AG53" s="280"/>
      <c r="AH53" s="280"/>
      <c r="AI53" s="280"/>
      <c r="AJ53" s="280"/>
      <c r="AK53" s="280"/>
      <c r="AL53" s="280"/>
      <c r="AM53" s="280"/>
      <c r="AN53" s="280"/>
      <c r="AO53" s="280"/>
      <c r="AP53" s="280"/>
      <c r="AQ53" s="280"/>
      <c r="AR53" s="280"/>
      <c r="AS53" s="280"/>
      <c r="AT53" s="280"/>
      <c r="AU53" s="27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50"/>
      <c r="BI53" s="50"/>
      <c r="BJ53" s="50"/>
      <c r="BK53" s="46"/>
    </row>
    <row r="54" spans="1:63" s="47" customFormat="1" ht="39" customHeight="1" x14ac:dyDescent="0.25">
      <c r="A54" s="42"/>
      <c r="B54" s="49"/>
      <c r="C54" s="278">
        <v>9</v>
      </c>
      <c r="D54" s="279"/>
      <c r="E54" s="278" t="s">
        <v>101</v>
      </c>
      <c r="F54" s="280"/>
      <c r="G54" s="280"/>
      <c r="H54" s="280"/>
      <c r="I54" s="280"/>
      <c r="J54" s="280"/>
      <c r="K54" s="279"/>
      <c r="L54" s="278" t="s">
        <v>86</v>
      </c>
      <c r="M54" s="280"/>
      <c r="N54" s="280"/>
      <c r="O54" s="280"/>
      <c r="P54" s="280"/>
      <c r="Q54" s="280"/>
      <c r="R54" s="279"/>
      <c r="S54" s="281" t="s">
        <v>102</v>
      </c>
      <c r="T54" s="282"/>
      <c r="U54" s="282"/>
      <c r="V54" s="282"/>
      <c r="W54" s="282"/>
      <c r="X54" s="282"/>
      <c r="Y54" s="282"/>
      <c r="Z54" s="282"/>
      <c r="AA54" s="282"/>
      <c r="AB54" s="283"/>
      <c r="AC54" s="290" t="s">
        <v>103</v>
      </c>
      <c r="AD54" s="280"/>
      <c r="AE54" s="280"/>
      <c r="AF54" s="280"/>
      <c r="AG54" s="280"/>
      <c r="AH54" s="280"/>
      <c r="AI54" s="280"/>
      <c r="AJ54" s="280"/>
      <c r="AK54" s="280"/>
      <c r="AL54" s="280"/>
      <c r="AM54" s="280"/>
      <c r="AN54" s="280"/>
      <c r="AO54" s="280"/>
      <c r="AP54" s="280"/>
      <c r="AQ54" s="280"/>
      <c r="AR54" s="280"/>
      <c r="AS54" s="280"/>
      <c r="AT54" s="280"/>
      <c r="AU54" s="27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50"/>
      <c r="BI54" s="50"/>
      <c r="BJ54" s="50"/>
      <c r="BK54" s="46"/>
    </row>
    <row r="55" spans="1:63" s="47" customFormat="1" ht="15" customHeight="1" x14ac:dyDescent="0.25">
      <c r="A55" s="42"/>
      <c r="B55" s="49"/>
      <c r="C55" s="278">
        <v>10</v>
      </c>
      <c r="D55" s="279"/>
      <c r="E55" s="278" t="s">
        <v>104</v>
      </c>
      <c r="F55" s="280"/>
      <c r="G55" s="280"/>
      <c r="H55" s="280"/>
      <c r="I55" s="280"/>
      <c r="J55" s="280"/>
      <c r="K55" s="279"/>
      <c r="L55" s="278" t="s">
        <v>86</v>
      </c>
      <c r="M55" s="280"/>
      <c r="N55" s="280"/>
      <c r="O55" s="280"/>
      <c r="P55" s="280"/>
      <c r="Q55" s="280"/>
      <c r="R55" s="279"/>
      <c r="S55" s="281" t="s">
        <v>105</v>
      </c>
      <c r="T55" s="282"/>
      <c r="U55" s="282"/>
      <c r="V55" s="282"/>
      <c r="W55" s="282"/>
      <c r="X55" s="282"/>
      <c r="Y55" s="282"/>
      <c r="Z55" s="282"/>
      <c r="AA55" s="282"/>
      <c r="AB55" s="283"/>
      <c r="AC55" s="278" t="s">
        <v>106</v>
      </c>
      <c r="AD55" s="280"/>
      <c r="AE55" s="280"/>
      <c r="AF55" s="280"/>
      <c r="AG55" s="280"/>
      <c r="AH55" s="280"/>
      <c r="AI55" s="280"/>
      <c r="AJ55" s="280"/>
      <c r="AK55" s="280"/>
      <c r="AL55" s="280"/>
      <c r="AM55" s="280"/>
      <c r="AN55" s="280"/>
      <c r="AO55" s="280"/>
      <c r="AP55" s="280"/>
      <c r="AQ55" s="280"/>
      <c r="AR55" s="280"/>
      <c r="AS55" s="280"/>
      <c r="AT55" s="280"/>
      <c r="AU55" s="27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50"/>
      <c r="BI55" s="50"/>
      <c r="BJ55" s="50"/>
      <c r="BK55" s="46"/>
    </row>
    <row r="56" spans="1:63" s="47" customFormat="1" ht="15" customHeight="1" x14ac:dyDescent="0.25">
      <c r="A56" s="42"/>
      <c r="B56" s="49"/>
      <c r="C56" s="278">
        <v>11</v>
      </c>
      <c r="D56" s="279"/>
      <c r="E56" s="278" t="s">
        <v>107</v>
      </c>
      <c r="F56" s="280"/>
      <c r="G56" s="280"/>
      <c r="H56" s="280"/>
      <c r="I56" s="280"/>
      <c r="J56" s="280"/>
      <c r="K56" s="279"/>
      <c r="L56" s="278" t="s">
        <v>108</v>
      </c>
      <c r="M56" s="280"/>
      <c r="N56" s="280"/>
      <c r="O56" s="280"/>
      <c r="P56" s="280"/>
      <c r="Q56" s="280"/>
      <c r="R56" s="279"/>
      <c r="S56" s="281" t="s">
        <v>109</v>
      </c>
      <c r="T56" s="282"/>
      <c r="U56" s="282"/>
      <c r="V56" s="282"/>
      <c r="W56" s="282"/>
      <c r="X56" s="282"/>
      <c r="Y56" s="282"/>
      <c r="Z56" s="282"/>
      <c r="AA56" s="282"/>
      <c r="AB56" s="283"/>
      <c r="AC56" s="278" t="s">
        <v>110</v>
      </c>
      <c r="AD56" s="280"/>
      <c r="AE56" s="280"/>
      <c r="AF56" s="280"/>
      <c r="AG56" s="280"/>
      <c r="AH56" s="280"/>
      <c r="AI56" s="280"/>
      <c r="AJ56" s="280"/>
      <c r="AK56" s="280"/>
      <c r="AL56" s="280"/>
      <c r="AM56" s="280"/>
      <c r="AN56" s="280"/>
      <c r="AO56" s="280"/>
      <c r="AP56" s="280"/>
      <c r="AQ56" s="280"/>
      <c r="AR56" s="280"/>
      <c r="AS56" s="280"/>
      <c r="AT56" s="280"/>
      <c r="AU56" s="27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50"/>
      <c r="BI56" s="50"/>
      <c r="BJ56" s="50"/>
      <c r="BK56" s="46"/>
    </row>
    <row r="57" spans="1:63" s="47" customFormat="1" ht="15" customHeight="1" x14ac:dyDescent="0.25">
      <c r="A57" s="42"/>
      <c r="B57" s="49"/>
      <c r="C57" s="52" t="s">
        <v>111</v>
      </c>
      <c r="D57" s="49"/>
      <c r="E57" s="222"/>
      <c r="F57" s="49"/>
      <c r="G57" s="222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50"/>
      <c r="BI57" s="50"/>
      <c r="BJ57" s="50"/>
      <c r="BK57" s="46"/>
    </row>
    <row r="58" spans="1:63" s="47" customFormat="1" ht="15" customHeight="1" x14ac:dyDescent="0.25">
      <c r="A58" s="42"/>
      <c r="B58" s="49"/>
      <c r="C58" s="52"/>
      <c r="D58" s="222"/>
      <c r="E58" s="222"/>
      <c r="F58" s="49"/>
      <c r="G58" s="222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50"/>
      <c r="BI58" s="50"/>
      <c r="BJ58" s="50"/>
      <c r="BK58" s="46"/>
    </row>
    <row r="59" spans="1:63" s="47" customFormat="1" ht="15" customHeight="1" x14ac:dyDescent="0.25">
      <c r="A59" s="42"/>
      <c r="B59" s="49"/>
      <c r="C59" s="275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53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50"/>
      <c r="BI59" s="50"/>
      <c r="BJ59" s="50"/>
      <c r="BK59" s="46"/>
    </row>
    <row r="60" spans="1:63" s="47" customFormat="1" ht="15" customHeight="1" x14ac:dyDescent="0.25">
      <c r="A60" s="42"/>
      <c r="B60" s="49"/>
      <c r="C60" s="276"/>
      <c r="D60" s="49" t="s">
        <v>38</v>
      </c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54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50"/>
      <c r="BI60" s="50"/>
      <c r="BJ60" s="50"/>
      <c r="BK60" s="46"/>
    </row>
    <row r="61" spans="1:63" s="47" customFormat="1" x14ac:dyDescent="0.25">
      <c r="A61" s="42"/>
      <c r="B61" s="49"/>
      <c r="C61" s="276"/>
      <c r="D61" s="49"/>
      <c r="E61" s="172" t="s">
        <v>51</v>
      </c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2"/>
      <c r="AS61" s="172"/>
      <c r="AT61" s="49"/>
      <c r="AU61" s="54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50"/>
      <c r="BI61" s="50"/>
      <c r="BJ61" s="50"/>
      <c r="BK61" s="46"/>
    </row>
    <row r="62" spans="1:63" s="47" customFormat="1" ht="15" customHeight="1" x14ac:dyDescent="0.25">
      <c r="A62" s="42"/>
      <c r="B62" s="49"/>
      <c r="C62" s="276"/>
      <c r="D62" s="49"/>
      <c r="E62" s="49"/>
      <c r="F62" s="49" t="s">
        <v>38</v>
      </c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54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50"/>
      <c r="BI62" s="50"/>
      <c r="BJ62" s="50"/>
      <c r="BK62" s="46"/>
    </row>
    <row r="63" spans="1:63" s="47" customFormat="1" ht="15" customHeight="1" x14ac:dyDescent="0.25">
      <c r="A63" s="42"/>
      <c r="B63" s="49"/>
      <c r="C63" s="276"/>
      <c r="D63" s="49"/>
      <c r="E63" s="49"/>
      <c r="F63" s="49"/>
      <c r="G63" s="49" t="s">
        <v>112</v>
      </c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54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50"/>
      <c r="BI63" s="50"/>
      <c r="BJ63" s="50"/>
      <c r="BK63" s="46"/>
    </row>
    <row r="64" spans="1:63" s="77" customFormat="1" ht="15" customHeight="1" x14ac:dyDescent="0.25">
      <c r="A64" s="71"/>
      <c r="B64" s="72"/>
      <c r="C64" s="73"/>
      <c r="D64" s="72"/>
      <c r="E64" s="49"/>
      <c r="F64" s="72"/>
      <c r="G64" s="49" t="s">
        <v>53</v>
      </c>
      <c r="H64" s="49"/>
      <c r="I64" s="49"/>
      <c r="J64" s="49"/>
      <c r="K64" s="49"/>
      <c r="L64" s="49"/>
      <c r="M64" s="49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4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5"/>
      <c r="BI64" s="75"/>
      <c r="BJ64" s="75"/>
      <c r="BK64" s="76"/>
    </row>
    <row r="65" spans="1:63" s="77" customFormat="1" ht="15" customHeight="1" x14ac:dyDescent="0.25">
      <c r="A65" s="71"/>
      <c r="B65" s="72"/>
      <c r="C65" s="73"/>
      <c r="D65" s="72"/>
      <c r="E65" s="49"/>
      <c r="F65" s="72"/>
      <c r="G65" s="291" t="s">
        <v>113</v>
      </c>
      <c r="H65" s="291"/>
      <c r="I65" s="291"/>
      <c r="J65" s="291"/>
      <c r="K65" s="291"/>
      <c r="L65" s="291"/>
      <c r="M65" s="291"/>
      <c r="N65" s="291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4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5"/>
      <c r="BI65" s="75"/>
      <c r="BJ65" s="75"/>
      <c r="BK65" s="76"/>
    </row>
    <row r="66" spans="1:63" s="77" customFormat="1" ht="15" customHeight="1" x14ac:dyDescent="0.25">
      <c r="A66" s="71"/>
      <c r="B66" s="72"/>
      <c r="C66" s="73"/>
      <c r="D66" s="72"/>
      <c r="E66" s="49"/>
      <c r="F66" s="72"/>
      <c r="G66" s="291" t="s">
        <v>114</v>
      </c>
      <c r="H66" s="291"/>
      <c r="I66" s="291"/>
      <c r="J66" s="291"/>
      <c r="K66" s="291"/>
      <c r="L66" s="291"/>
      <c r="M66" s="291"/>
      <c r="N66" s="291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4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5"/>
      <c r="BI66" s="75"/>
      <c r="BJ66" s="75"/>
      <c r="BK66" s="76"/>
    </row>
    <row r="67" spans="1:63" s="77" customFormat="1" ht="15" customHeight="1" x14ac:dyDescent="0.25">
      <c r="A67" s="71"/>
      <c r="B67" s="72"/>
      <c r="C67" s="73"/>
      <c r="D67" s="72"/>
      <c r="E67" s="49"/>
      <c r="F67" s="72"/>
      <c r="G67" s="291" t="s">
        <v>115</v>
      </c>
      <c r="H67" s="291"/>
      <c r="I67" s="291"/>
      <c r="J67" s="291"/>
      <c r="K67" s="291"/>
      <c r="L67" s="291"/>
      <c r="M67" s="291"/>
      <c r="N67" s="291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4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5"/>
      <c r="BI67" s="75"/>
      <c r="BJ67" s="75"/>
      <c r="BK67" s="76"/>
    </row>
    <row r="68" spans="1:63" s="77" customFormat="1" ht="15" customHeight="1" x14ac:dyDescent="0.25">
      <c r="A68" s="71"/>
      <c r="B68" s="72"/>
      <c r="C68" s="73"/>
      <c r="D68" s="72"/>
      <c r="E68" s="49"/>
      <c r="F68" s="72"/>
      <c r="G68" s="291" t="s">
        <v>116</v>
      </c>
      <c r="H68" s="291"/>
      <c r="I68" s="291"/>
      <c r="J68" s="291"/>
      <c r="K68" s="291"/>
      <c r="L68" s="291"/>
      <c r="M68" s="291"/>
      <c r="N68" s="291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4"/>
      <c r="AV68" s="72"/>
      <c r="AW68" s="72"/>
      <c r="AX68" s="72"/>
      <c r="AY68" s="72"/>
      <c r="AZ68" s="72"/>
      <c r="BA68" s="72"/>
      <c r="BB68" s="72"/>
      <c r="BC68" s="72"/>
      <c r="BD68" s="72"/>
      <c r="BE68" s="72"/>
      <c r="BF68" s="72"/>
      <c r="BG68" s="72"/>
      <c r="BH68" s="75"/>
      <c r="BI68" s="75"/>
      <c r="BJ68" s="75"/>
      <c r="BK68" s="76"/>
    </row>
    <row r="69" spans="1:63" s="77" customFormat="1" ht="15" customHeight="1" x14ac:dyDescent="0.25">
      <c r="A69" s="71"/>
      <c r="B69" s="72"/>
      <c r="C69" s="73"/>
      <c r="D69" s="72"/>
      <c r="E69" s="49"/>
      <c r="F69" s="72"/>
      <c r="G69" s="291" t="s">
        <v>117</v>
      </c>
      <c r="H69" s="291"/>
      <c r="I69" s="291"/>
      <c r="J69" s="291"/>
      <c r="K69" s="291"/>
      <c r="L69" s="291"/>
      <c r="M69" s="291"/>
      <c r="N69" s="291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4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5"/>
      <c r="BI69" s="75"/>
      <c r="BJ69" s="75"/>
      <c r="BK69" s="76"/>
    </row>
    <row r="70" spans="1:63" s="77" customFormat="1" ht="15" customHeight="1" x14ac:dyDescent="0.25">
      <c r="A70" s="71"/>
      <c r="B70" s="72"/>
      <c r="C70" s="73"/>
      <c r="D70" s="72"/>
      <c r="E70" s="49"/>
      <c r="F70" s="72"/>
      <c r="G70" s="291" t="s">
        <v>118</v>
      </c>
      <c r="H70" s="291"/>
      <c r="I70" s="291"/>
      <c r="J70" s="291"/>
      <c r="K70" s="291"/>
      <c r="L70" s="291"/>
      <c r="M70" s="291"/>
      <c r="N70" s="291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4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5"/>
      <c r="BI70" s="75"/>
      <c r="BJ70" s="75"/>
      <c r="BK70" s="76"/>
    </row>
    <row r="71" spans="1:63" s="77" customFormat="1" ht="15" customHeight="1" x14ac:dyDescent="0.25">
      <c r="A71" s="71"/>
      <c r="B71" s="72"/>
      <c r="C71" s="73"/>
      <c r="D71" s="72"/>
      <c r="E71" s="49"/>
      <c r="F71" s="72"/>
      <c r="G71" s="291" t="s">
        <v>119</v>
      </c>
      <c r="H71" s="291"/>
      <c r="I71" s="291"/>
      <c r="J71" s="291"/>
      <c r="K71" s="291"/>
      <c r="L71" s="291"/>
      <c r="M71" s="291"/>
      <c r="N71" s="291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4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5"/>
      <c r="BI71" s="75"/>
      <c r="BJ71" s="75"/>
      <c r="BK71" s="76"/>
    </row>
    <row r="72" spans="1:63" s="77" customFormat="1" ht="15" customHeight="1" x14ac:dyDescent="0.25">
      <c r="A72" s="71"/>
      <c r="B72" s="72"/>
      <c r="C72" s="73"/>
      <c r="D72" s="72"/>
      <c r="E72" s="49"/>
      <c r="F72" s="72"/>
      <c r="G72" s="291" t="s">
        <v>120</v>
      </c>
      <c r="H72" s="291"/>
      <c r="I72" s="291"/>
      <c r="J72" s="291"/>
      <c r="K72" s="291"/>
      <c r="L72" s="291"/>
      <c r="M72" s="291"/>
      <c r="N72" s="291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4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5"/>
      <c r="BI72" s="75"/>
      <c r="BJ72" s="75"/>
      <c r="BK72" s="76"/>
    </row>
    <row r="73" spans="1:63" s="77" customFormat="1" ht="15" customHeight="1" x14ac:dyDescent="0.25">
      <c r="A73" s="71"/>
      <c r="B73" s="72"/>
      <c r="C73" s="73"/>
      <c r="D73" s="72"/>
      <c r="E73" s="72"/>
      <c r="F73" s="49" t="s">
        <v>54</v>
      </c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4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5"/>
      <c r="BI73" s="75"/>
      <c r="BJ73" s="75"/>
      <c r="BK73" s="76"/>
    </row>
    <row r="74" spans="1:63" s="77" customFormat="1" ht="15" customHeight="1" x14ac:dyDescent="0.25">
      <c r="A74" s="71"/>
      <c r="B74" s="72"/>
      <c r="C74" s="73"/>
      <c r="D74" s="72"/>
      <c r="E74" s="72"/>
      <c r="F74" s="49" t="s">
        <v>38</v>
      </c>
      <c r="G74" s="49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4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5"/>
      <c r="BI74" s="75"/>
      <c r="BJ74" s="75"/>
      <c r="BK74" s="76"/>
    </row>
    <row r="75" spans="1:63" s="77" customFormat="1" ht="15" customHeight="1" x14ac:dyDescent="0.25">
      <c r="A75" s="71"/>
      <c r="B75" s="72"/>
      <c r="C75" s="73"/>
      <c r="D75" s="72"/>
      <c r="E75" s="72"/>
      <c r="F75" s="49"/>
      <c r="G75" s="49" t="s">
        <v>121</v>
      </c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4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5"/>
      <c r="BI75" s="75"/>
      <c r="BJ75" s="75"/>
      <c r="BK75" s="76"/>
    </row>
    <row r="76" spans="1:63" s="77" customFormat="1" ht="15" customHeight="1" x14ac:dyDescent="0.25">
      <c r="A76" s="71"/>
      <c r="B76" s="72"/>
      <c r="C76" s="73"/>
      <c r="D76" s="72"/>
      <c r="E76" s="72"/>
      <c r="F76" s="72"/>
      <c r="G76" s="49" t="s">
        <v>55</v>
      </c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4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2"/>
      <c r="BH76" s="75"/>
      <c r="BI76" s="75"/>
      <c r="BJ76" s="75"/>
      <c r="BK76" s="76"/>
    </row>
    <row r="77" spans="1:63" s="77" customFormat="1" ht="15" customHeight="1" x14ac:dyDescent="0.25">
      <c r="A77" s="71"/>
      <c r="B77" s="72"/>
      <c r="C77" s="73"/>
      <c r="D77" s="72"/>
      <c r="E77" s="72"/>
      <c r="F77" s="72"/>
      <c r="G77" s="291" t="s">
        <v>122</v>
      </c>
      <c r="H77" s="291"/>
      <c r="I77" s="291"/>
      <c r="J77" s="291"/>
      <c r="K77" s="291"/>
      <c r="L77" s="291"/>
      <c r="M77" s="291"/>
      <c r="N77" s="291"/>
      <c r="O77" s="29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4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5"/>
      <c r="BI77" s="75"/>
      <c r="BJ77" s="75"/>
      <c r="BK77" s="76"/>
    </row>
    <row r="78" spans="1:63" s="77" customFormat="1" ht="15" customHeight="1" x14ac:dyDescent="0.25">
      <c r="A78" s="71"/>
      <c r="B78" s="72"/>
      <c r="C78" s="73"/>
      <c r="D78" s="72"/>
      <c r="E78" s="72"/>
      <c r="F78" s="72"/>
      <c r="G78" s="291" t="s">
        <v>114</v>
      </c>
      <c r="H78" s="291"/>
      <c r="I78" s="291"/>
      <c r="J78" s="291"/>
      <c r="K78" s="291"/>
      <c r="L78" s="291"/>
      <c r="M78" s="291"/>
      <c r="N78" s="291"/>
      <c r="O78" s="29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4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5"/>
      <c r="BI78" s="75"/>
      <c r="BJ78" s="75"/>
      <c r="BK78" s="76"/>
    </row>
    <row r="79" spans="1:63" s="77" customFormat="1" ht="15" customHeight="1" x14ac:dyDescent="0.25">
      <c r="A79" s="71"/>
      <c r="B79" s="72"/>
      <c r="C79" s="73"/>
      <c r="D79" s="72"/>
      <c r="E79" s="72"/>
      <c r="F79" s="72"/>
      <c r="G79" s="291" t="s">
        <v>115</v>
      </c>
      <c r="H79" s="291"/>
      <c r="I79" s="291"/>
      <c r="J79" s="291"/>
      <c r="K79" s="291"/>
      <c r="L79" s="291"/>
      <c r="M79" s="291"/>
      <c r="N79" s="291"/>
      <c r="O79" s="29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4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5"/>
      <c r="BI79" s="75"/>
      <c r="BJ79" s="75"/>
      <c r="BK79" s="76"/>
    </row>
    <row r="80" spans="1:63" s="77" customFormat="1" ht="15" customHeight="1" x14ac:dyDescent="0.25">
      <c r="A80" s="71"/>
      <c r="B80" s="72"/>
      <c r="C80" s="73"/>
      <c r="D80" s="72"/>
      <c r="E80" s="72"/>
      <c r="F80" s="72"/>
      <c r="G80" s="291" t="s">
        <v>116</v>
      </c>
      <c r="H80" s="291"/>
      <c r="I80" s="291"/>
      <c r="J80" s="291"/>
      <c r="K80" s="291"/>
      <c r="L80" s="291"/>
      <c r="M80" s="291"/>
      <c r="N80" s="291"/>
      <c r="O80" s="29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4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5"/>
      <c r="BI80" s="75"/>
      <c r="BJ80" s="75"/>
      <c r="BK80" s="76"/>
    </row>
    <row r="81" spans="1:63" s="77" customFormat="1" ht="15" customHeight="1" x14ac:dyDescent="0.25">
      <c r="A81" s="71"/>
      <c r="B81" s="72"/>
      <c r="C81" s="73"/>
      <c r="D81" s="72"/>
      <c r="E81" s="72"/>
      <c r="F81" s="72"/>
      <c r="G81" s="291" t="s">
        <v>117</v>
      </c>
      <c r="H81" s="291"/>
      <c r="I81" s="291"/>
      <c r="J81" s="291"/>
      <c r="K81" s="291"/>
      <c r="L81" s="291"/>
      <c r="M81" s="291"/>
      <c r="N81" s="291"/>
      <c r="O81" s="29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4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5"/>
      <c r="BI81" s="75"/>
      <c r="BJ81" s="75"/>
      <c r="BK81" s="76"/>
    </row>
    <row r="82" spans="1:63" s="77" customFormat="1" ht="15" customHeight="1" x14ac:dyDescent="0.25">
      <c r="A82" s="71"/>
      <c r="B82" s="72"/>
      <c r="C82" s="73"/>
      <c r="D82" s="72"/>
      <c r="E82" s="72"/>
      <c r="F82" s="72"/>
      <c r="G82" s="291" t="s">
        <v>118</v>
      </c>
      <c r="H82" s="291"/>
      <c r="I82" s="291"/>
      <c r="J82" s="291"/>
      <c r="K82" s="291"/>
      <c r="L82" s="291"/>
      <c r="M82" s="291"/>
      <c r="N82" s="291"/>
      <c r="O82" s="29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4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5"/>
      <c r="BI82" s="75"/>
      <c r="BJ82" s="75"/>
      <c r="BK82" s="76"/>
    </row>
    <row r="83" spans="1:63" s="77" customFormat="1" ht="15" customHeight="1" x14ac:dyDescent="0.25">
      <c r="A83" s="71"/>
      <c r="B83" s="72"/>
      <c r="C83" s="73"/>
      <c r="D83" s="72"/>
      <c r="E83" s="72"/>
      <c r="F83" s="72"/>
      <c r="G83" s="291" t="s">
        <v>119</v>
      </c>
      <c r="H83" s="291"/>
      <c r="I83" s="291"/>
      <c r="J83" s="291"/>
      <c r="K83" s="291"/>
      <c r="L83" s="291"/>
      <c r="M83" s="291"/>
      <c r="N83" s="291"/>
      <c r="O83" s="29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4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5"/>
      <c r="BI83" s="75"/>
      <c r="BJ83" s="75"/>
      <c r="BK83" s="76"/>
    </row>
    <row r="84" spans="1:63" s="77" customFormat="1" ht="15" customHeight="1" x14ac:dyDescent="0.25">
      <c r="A84" s="71"/>
      <c r="B84" s="72"/>
      <c r="C84" s="73"/>
      <c r="D84" s="72"/>
      <c r="E84" s="72"/>
      <c r="F84" s="72"/>
      <c r="G84" s="291" t="s">
        <v>120</v>
      </c>
      <c r="H84" s="291"/>
      <c r="I84" s="291"/>
      <c r="J84" s="291"/>
      <c r="K84" s="291"/>
      <c r="L84" s="291"/>
      <c r="M84" s="291"/>
      <c r="N84" s="291"/>
      <c r="O84" s="29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4"/>
      <c r="AV84" s="72"/>
      <c r="AW84" s="72"/>
      <c r="AX84" s="72"/>
      <c r="AY84" s="72"/>
      <c r="AZ84" s="72"/>
      <c r="BA84" s="72"/>
      <c r="BB84" s="72"/>
      <c r="BC84" s="72"/>
      <c r="BD84" s="72"/>
      <c r="BE84" s="72"/>
      <c r="BF84" s="72"/>
      <c r="BG84" s="72"/>
      <c r="BH84" s="75"/>
      <c r="BI84" s="75"/>
      <c r="BJ84" s="75"/>
      <c r="BK84" s="76"/>
    </row>
    <row r="85" spans="1:63" s="77" customFormat="1" x14ac:dyDescent="0.25">
      <c r="A85" s="71"/>
      <c r="B85" s="72"/>
      <c r="C85" s="73"/>
      <c r="D85" s="72"/>
      <c r="E85" s="72"/>
      <c r="F85" s="49" t="s">
        <v>39</v>
      </c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4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5"/>
      <c r="BI85" s="75"/>
      <c r="BJ85" s="75"/>
      <c r="BK85" s="76"/>
    </row>
    <row r="86" spans="1:63" s="47" customFormat="1" ht="15" customHeight="1" x14ac:dyDescent="0.25">
      <c r="A86" s="42"/>
      <c r="B86" s="49"/>
      <c r="C86" s="276"/>
      <c r="D86" s="49"/>
      <c r="E86" s="49" t="s">
        <v>40</v>
      </c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54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50"/>
      <c r="BI86" s="50"/>
      <c r="BJ86" s="50"/>
      <c r="BK86" s="46"/>
    </row>
    <row r="87" spans="1:63" s="47" customFormat="1" ht="15" customHeight="1" x14ac:dyDescent="0.25">
      <c r="A87" s="42"/>
      <c r="B87" s="49"/>
      <c r="C87" s="276"/>
      <c r="D87" s="49" t="s">
        <v>39</v>
      </c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54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50"/>
      <c r="BI87" s="50"/>
      <c r="BJ87" s="50"/>
      <c r="BK87" s="46"/>
    </row>
    <row r="88" spans="1:63" s="47" customFormat="1" ht="15" customHeight="1" x14ac:dyDescent="0.25">
      <c r="A88" s="42"/>
      <c r="B88" s="49"/>
      <c r="C88" s="277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55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50"/>
      <c r="BI88" s="50"/>
      <c r="BJ88" s="50"/>
      <c r="BK88" s="46"/>
    </row>
    <row r="89" spans="1:63" s="47" customFormat="1" ht="15" customHeight="1" x14ac:dyDescent="0.25">
      <c r="A89" s="42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50"/>
      <c r="BI89" s="50"/>
      <c r="BJ89" s="50"/>
      <c r="BK89" s="46"/>
    </row>
    <row r="90" spans="1:63" s="47" customFormat="1" ht="15" customHeight="1" x14ac:dyDescent="0.25">
      <c r="A90" s="42"/>
      <c r="B90" s="49"/>
      <c r="C90" s="48" t="s">
        <v>123</v>
      </c>
      <c r="D90" s="49"/>
      <c r="E90" s="222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50"/>
      <c r="BI90" s="50"/>
      <c r="BJ90" s="50"/>
      <c r="BK90" s="46"/>
    </row>
    <row r="91" spans="1:63" s="47" customFormat="1" ht="15" customHeight="1" x14ac:dyDescent="0.25">
      <c r="A91" s="42"/>
      <c r="B91" s="49"/>
      <c r="C91" s="48"/>
      <c r="D91" s="49"/>
      <c r="E91" s="222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50"/>
      <c r="BI91" s="50"/>
      <c r="BJ91" s="50"/>
      <c r="BK91" s="46"/>
    </row>
    <row r="92" spans="1:63" s="47" customFormat="1" ht="15" customHeight="1" x14ac:dyDescent="0.25">
      <c r="A92" s="42"/>
      <c r="B92" s="49"/>
      <c r="C92" s="49" t="s">
        <v>41</v>
      </c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50"/>
      <c r="BI92" s="50"/>
      <c r="BJ92" s="50"/>
      <c r="BK92" s="46"/>
    </row>
    <row r="93" spans="1:63" s="68" customFormat="1" ht="15" customHeight="1" x14ac:dyDescent="0.25">
      <c r="A93" s="63"/>
      <c r="B93" s="64"/>
      <c r="C93" s="64"/>
      <c r="D93" s="64"/>
      <c r="E93" s="65"/>
      <c r="F93" s="65"/>
      <c r="G93" s="65"/>
      <c r="H93" s="65"/>
      <c r="I93" s="65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6"/>
      <c r="BI93" s="66"/>
      <c r="BJ93" s="66"/>
      <c r="BK93" s="67"/>
    </row>
  </sheetData>
  <mergeCells count="152">
    <mergeCell ref="C56:D56"/>
    <mergeCell ref="E56:K56"/>
    <mergeCell ref="L56:R56"/>
    <mergeCell ref="S56:AB56"/>
    <mergeCell ref="AC56:AU56"/>
    <mergeCell ref="S53:AB53"/>
    <mergeCell ref="AC53:AU53"/>
    <mergeCell ref="C54:D54"/>
    <mergeCell ref="E54:K54"/>
    <mergeCell ref="L54:R54"/>
    <mergeCell ref="S54:AB54"/>
    <mergeCell ref="AC54:AU54"/>
    <mergeCell ref="C55:D55"/>
    <mergeCell ref="E55:K55"/>
    <mergeCell ref="L55:R55"/>
    <mergeCell ref="S55:AB55"/>
    <mergeCell ref="AC55:AU55"/>
    <mergeCell ref="E61:AS61"/>
    <mergeCell ref="C49:D49"/>
    <mergeCell ref="E49:K49"/>
    <mergeCell ref="L49:R49"/>
    <mergeCell ref="S49:AB49"/>
    <mergeCell ref="AC49:AU49"/>
    <mergeCell ref="C50:D50"/>
    <mergeCell ref="E50:K50"/>
    <mergeCell ref="L50:R50"/>
    <mergeCell ref="S50:AB50"/>
    <mergeCell ref="AC50:AU50"/>
    <mergeCell ref="C51:D51"/>
    <mergeCell ref="E51:K51"/>
    <mergeCell ref="L51:R51"/>
    <mergeCell ref="S51:AB51"/>
    <mergeCell ref="AC51:AU51"/>
    <mergeCell ref="C52:D52"/>
    <mergeCell ref="E52:K52"/>
    <mergeCell ref="L52:R52"/>
    <mergeCell ref="S52:AB52"/>
    <mergeCell ref="AC52:AU52"/>
    <mergeCell ref="C53:D53"/>
    <mergeCell ref="E53:K53"/>
    <mergeCell ref="L53:R53"/>
    <mergeCell ref="C38:D38"/>
    <mergeCell ref="E38:K38"/>
    <mergeCell ref="L38:N38"/>
    <mergeCell ref="O38:R38"/>
    <mergeCell ref="S38:Y38"/>
    <mergeCell ref="Z38:AP38"/>
    <mergeCell ref="AQ38:BJ38"/>
    <mergeCell ref="C48:D48"/>
    <mergeCell ref="E48:K48"/>
    <mergeCell ref="L48:R48"/>
    <mergeCell ref="S48:AB48"/>
    <mergeCell ref="AC48:AU48"/>
    <mergeCell ref="C45:D45"/>
    <mergeCell ref="C46:D46"/>
    <mergeCell ref="AC45:AU45"/>
    <mergeCell ref="AC46:AU46"/>
    <mergeCell ref="AC47:AU47"/>
    <mergeCell ref="E46:K46"/>
    <mergeCell ref="E47:K47"/>
    <mergeCell ref="L47:R47"/>
    <mergeCell ref="S47:AB47"/>
    <mergeCell ref="C47:D47"/>
    <mergeCell ref="L45:R45"/>
    <mergeCell ref="L46:R4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20:D20"/>
    <mergeCell ref="S20:Y20"/>
    <mergeCell ref="AQ25:BJ25"/>
    <mergeCell ref="AQ26:BJ26"/>
    <mergeCell ref="AQ21:BJ21"/>
    <mergeCell ref="Z20:AP20"/>
    <mergeCell ref="AQ22:BJ24"/>
    <mergeCell ref="Z21:AP21"/>
    <mergeCell ref="O21:R21"/>
    <mergeCell ref="L21:N21"/>
    <mergeCell ref="O26:R26"/>
    <mergeCell ref="O22:R24"/>
    <mergeCell ref="L22:N24"/>
    <mergeCell ref="E22:K24"/>
    <mergeCell ref="E25:K25"/>
    <mergeCell ref="S25:Y25"/>
    <mergeCell ref="S26:Y26"/>
    <mergeCell ref="C26:D26"/>
    <mergeCell ref="L25:N25"/>
    <mergeCell ref="L26:N26"/>
    <mergeCell ref="C25:D25"/>
    <mergeCell ref="E26:K26"/>
    <mergeCell ref="C21:D21"/>
    <mergeCell ref="C22:D24"/>
    <mergeCell ref="A4:G4"/>
    <mergeCell ref="H4:T4"/>
    <mergeCell ref="U4:Y4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AG16:AP16"/>
    <mergeCell ref="C35:D35"/>
    <mergeCell ref="E35:K35"/>
    <mergeCell ref="L35:N35"/>
    <mergeCell ref="O35:R35"/>
    <mergeCell ref="S35:Y35"/>
    <mergeCell ref="C37:D37"/>
    <mergeCell ref="E37:K37"/>
    <mergeCell ref="L37:N37"/>
    <mergeCell ref="O37:R37"/>
    <mergeCell ref="S37:Y37"/>
    <mergeCell ref="C36:D36"/>
    <mergeCell ref="E36:K36"/>
    <mergeCell ref="L36:N36"/>
    <mergeCell ref="O36:R36"/>
    <mergeCell ref="S36:Y36"/>
    <mergeCell ref="E45:K45"/>
    <mergeCell ref="S45:AB45"/>
    <mergeCell ref="S46:AB46"/>
    <mergeCell ref="O25:R25"/>
    <mergeCell ref="E20:K20"/>
    <mergeCell ref="Z35:AP35"/>
    <mergeCell ref="AQ35:BJ35"/>
    <mergeCell ref="Z25:AP25"/>
    <mergeCell ref="AQ20:BJ20"/>
    <mergeCell ref="O20:R20"/>
    <mergeCell ref="L20:N20"/>
    <mergeCell ref="S21:Y21"/>
    <mergeCell ref="S22:Y24"/>
    <mergeCell ref="Z26:AP26"/>
    <mergeCell ref="Z22:AP24"/>
    <mergeCell ref="E21:K21"/>
    <mergeCell ref="Z36:AP36"/>
    <mergeCell ref="AQ36:BJ36"/>
    <mergeCell ref="Z37:AP37"/>
    <mergeCell ref="AQ37:BJ37"/>
  </mergeCells>
  <pageMargins left="0.7" right="0.7" top="0.75" bottom="0.75" header="0.3" footer="0.3"/>
  <pageSetup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FF"/>
    <pageSetUpPr fitToPage="1"/>
  </sheetPr>
  <dimension ref="A1:BK2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86" t="s">
        <v>58</v>
      </c>
      <c r="B1" s="187"/>
      <c r="C1" s="187"/>
      <c r="D1" s="187"/>
      <c r="E1" s="187"/>
      <c r="F1" s="187"/>
      <c r="G1" s="187"/>
      <c r="H1" s="187"/>
      <c r="I1" s="187"/>
      <c r="J1" s="188"/>
      <c r="K1" s="186" t="s">
        <v>59</v>
      </c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8"/>
      <c r="W1" s="189" t="str">
        <f>IF(表紙!W1="","",表紙!W1)</f>
        <v>詳細設計書</v>
      </c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1"/>
      <c r="AP1" s="192" t="s">
        <v>60</v>
      </c>
      <c r="AQ1" s="193"/>
      <c r="AR1" s="193"/>
      <c r="AS1" s="194"/>
      <c r="AT1" s="192" t="s">
        <v>61</v>
      </c>
      <c r="AU1" s="193"/>
      <c r="AV1" s="193"/>
      <c r="AW1" s="193"/>
      <c r="AX1" s="194"/>
      <c r="AY1" s="192" t="s">
        <v>62</v>
      </c>
      <c r="AZ1" s="193"/>
      <c r="BA1" s="193"/>
      <c r="BB1" s="194"/>
      <c r="BC1" s="192" t="s">
        <v>63</v>
      </c>
      <c r="BD1" s="193"/>
      <c r="BE1" s="193"/>
      <c r="BF1" s="193"/>
      <c r="BG1" s="194"/>
      <c r="BH1" s="192" t="s">
        <v>64</v>
      </c>
      <c r="BI1" s="193"/>
      <c r="BJ1" s="193"/>
      <c r="BK1" s="194"/>
    </row>
    <row r="2" spans="1:63" ht="15" customHeight="1" x14ac:dyDescent="0.25">
      <c r="A2" s="124" t="str">
        <f>IF(表紙!A2="","",表紙!A2)</f>
        <v>POSサーバー</v>
      </c>
      <c r="B2" s="125"/>
      <c r="C2" s="125"/>
      <c r="D2" s="125"/>
      <c r="E2" s="125"/>
      <c r="F2" s="125"/>
      <c r="G2" s="125"/>
      <c r="H2" s="125"/>
      <c r="I2" s="125"/>
      <c r="J2" s="126"/>
      <c r="K2" s="124" t="str">
        <f>IF(表紙!K2="","",表紙!K2)</f>
        <v>POSサーバ</v>
      </c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6"/>
      <c r="W2" s="195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7"/>
      <c r="AP2" s="198" t="str">
        <f>IF(表紙!AP2="","",表紙!AP2)</f>
        <v>AnhDD</v>
      </c>
      <c r="AQ2" s="199"/>
      <c r="AR2" s="199"/>
      <c r="AS2" s="200"/>
      <c r="AT2" s="201">
        <f>IF(表紙!AT2="","",表紙!AT2)</f>
        <v>45515</v>
      </c>
      <c r="AU2" s="202"/>
      <c r="AV2" s="202"/>
      <c r="AW2" s="202"/>
      <c r="AX2" s="203"/>
      <c r="AY2" s="198" t="str">
        <f>IF(表紙!AY2="","",表紙!AY2)</f>
        <v>HueDT</v>
      </c>
      <c r="AZ2" s="199"/>
      <c r="BA2" s="199"/>
      <c r="BB2" s="200"/>
      <c r="BC2" s="201">
        <f>IF(表紙!BC2="","",表紙!BC2)</f>
        <v>45600</v>
      </c>
      <c r="BD2" s="202"/>
      <c r="BE2" s="202"/>
      <c r="BF2" s="202"/>
      <c r="BG2" s="203"/>
      <c r="BH2" s="198">
        <f>IF(表紙!BH2="","",表紙!BH2)</f>
        <v>0.2</v>
      </c>
      <c r="BI2" s="199"/>
      <c r="BJ2" s="199"/>
      <c r="BK2" s="200"/>
    </row>
    <row r="3" spans="1:63" ht="15" customHeight="1" x14ac:dyDescent="0.25">
      <c r="A3" s="127"/>
      <c r="B3" s="128"/>
      <c r="C3" s="128"/>
      <c r="D3" s="128"/>
      <c r="E3" s="128"/>
      <c r="F3" s="128"/>
      <c r="G3" s="128"/>
      <c r="H3" s="128"/>
      <c r="I3" s="128"/>
      <c r="J3" s="129"/>
      <c r="K3" s="127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9"/>
      <c r="W3" s="204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6"/>
      <c r="AP3" s="207"/>
      <c r="AQ3" s="208"/>
      <c r="AR3" s="208"/>
      <c r="AS3" s="209"/>
      <c r="AT3" s="210"/>
      <c r="AU3" s="211"/>
      <c r="AV3" s="211"/>
      <c r="AW3" s="211"/>
      <c r="AX3" s="212"/>
      <c r="AY3" s="207"/>
      <c r="AZ3" s="208"/>
      <c r="BA3" s="208"/>
      <c r="BB3" s="209"/>
      <c r="BC3" s="210"/>
      <c r="BD3" s="211"/>
      <c r="BE3" s="211"/>
      <c r="BF3" s="211"/>
      <c r="BG3" s="212"/>
      <c r="BH3" s="207"/>
      <c r="BI3" s="208"/>
      <c r="BJ3" s="208"/>
      <c r="BK3" s="209"/>
    </row>
    <row r="4" spans="1:63" ht="24.95" customHeight="1" x14ac:dyDescent="0.25">
      <c r="A4" s="186" t="s">
        <v>65</v>
      </c>
      <c r="B4" s="187"/>
      <c r="C4" s="187"/>
      <c r="D4" s="187"/>
      <c r="E4" s="187"/>
      <c r="F4" s="187"/>
      <c r="G4" s="188"/>
      <c r="H4" s="130" t="str">
        <f>IF(表紙!H4="","",表紙!H4)</f>
        <v>APX004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  <c r="U4" s="186" t="s">
        <v>66</v>
      </c>
      <c r="V4" s="187"/>
      <c r="W4" s="187"/>
      <c r="X4" s="187"/>
      <c r="Y4" s="188"/>
      <c r="Z4" s="130" t="str">
        <f>IF(表紙!Z4="","",表紙!Z4)</f>
        <v>API設計書</v>
      </c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2"/>
      <c r="AP4" s="133" t="str">
        <f ca="1">MID(CELL("filename",A1),FIND("]",CELL("filename",A1))+1,255)</f>
        <v>処理フロー</v>
      </c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2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20" customFormat="1" ht="15" customHeight="1" x14ac:dyDescent="0.25">
      <c r="B7" s="69"/>
      <c r="C7" s="50"/>
      <c r="D7" s="50"/>
      <c r="E7" s="50"/>
      <c r="F7" s="50"/>
      <c r="G7" s="50"/>
      <c r="AI7" s="293"/>
      <c r="BJ7" s="293"/>
      <c r="BK7" s="218"/>
    </row>
    <row r="8" spans="1:63" s="220" customFormat="1" ht="15" customHeight="1" x14ac:dyDescent="0.25">
      <c r="B8" s="69"/>
      <c r="C8" s="50"/>
      <c r="D8" s="50"/>
      <c r="E8" s="50"/>
      <c r="F8" s="50"/>
      <c r="G8" s="50"/>
      <c r="AI8" s="293"/>
      <c r="BJ8" s="293"/>
      <c r="BK8" s="218"/>
    </row>
    <row r="9" spans="1:63" s="220" customFormat="1" ht="15" customHeight="1" x14ac:dyDescent="0.25">
      <c r="B9" s="69"/>
      <c r="C9" s="50"/>
      <c r="D9" s="50"/>
      <c r="E9" s="50"/>
      <c r="F9" s="50"/>
      <c r="G9" s="50"/>
      <c r="AI9" s="293"/>
      <c r="BJ9" s="293"/>
      <c r="BK9" s="218"/>
    </row>
    <row r="10" spans="1:63" s="220" customFormat="1" ht="15" customHeight="1" x14ac:dyDescent="0.25">
      <c r="B10" s="69"/>
      <c r="C10" s="50"/>
      <c r="D10" s="50"/>
      <c r="E10" s="50"/>
      <c r="F10" s="50"/>
      <c r="G10" s="50"/>
      <c r="AI10" s="293"/>
      <c r="BJ10" s="293"/>
      <c r="BK10" s="218"/>
    </row>
    <row r="11" spans="1:63" s="220" customFormat="1" ht="15" customHeight="1" x14ac:dyDescent="0.25">
      <c r="B11" s="294"/>
      <c r="AI11" s="293"/>
      <c r="BJ11" s="293"/>
      <c r="BK11" s="218"/>
    </row>
    <row r="12" spans="1:63" s="220" customFormat="1" ht="15" customHeight="1" x14ac:dyDescent="0.25">
      <c r="B12" s="294"/>
      <c r="AI12" s="293"/>
      <c r="BJ12" s="293"/>
      <c r="BK12" s="218"/>
    </row>
    <row r="13" spans="1:63" s="220" customFormat="1" ht="15" customHeight="1" x14ac:dyDescent="0.25">
      <c r="B13" s="294"/>
      <c r="AI13" s="293"/>
      <c r="BJ13" s="293"/>
      <c r="BK13" s="218"/>
    </row>
    <row r="14" spans="1:63" s="220" customFormat="1" ht="15" customHeight="1" x14ac:dyDescent="0.25">
      <c r="B14" s="294"/>
      <c r="AI14" s="293"/>
      <c r="BJ14" s="293"/>
      <c r="BK14" s="218"/>
    </row>
    <row r="15" spans="1:63" s="220" customFormat="1" ht="15" customHeight="1" x14ac:dyDescent="0.25">
      <c r="B15" s="294"/>
      <c r="AI15" s="293"/>
      <c r="BJ15" s="293"/>
      <c r="BK15" s="218"/>
    </row>
    <row r="16" spans="1:63" s="220" customFormat="1" ht="15" customHeight="1" x14ac:dyDescent="0.25">
      <c r="B16" s="294"/>
      <c r="AI16" s="293"/>
      <c r="BJ16" s="293"/>
      <c r="BK16" s="218"/>
    </row>
    <row r="17" spans="1:63" s="220" customFormat="1" ht="15" customHeight="1" x14ac:dyDescent="0.25">
      <c r="B17" s="294"/>
      <c r="AI17" s="293"/>
      <c r="BJ17" s="293"/>
      <c r="BK17" s="218"/>
    </row>
    <row r="18" spans="1:63" s="220" customFormat="1" ht="15" customHeight="1" x14ac:dyDescent="0.25">
      <c r="B18" s="294"/>
      <c r="AI18" s="293"/>
      <c r="BJ18" s="293"/>
      <c r="BK18" s="218"/>
    </row>
    <row r="19" spans="1:63" s="220" customFormat="1" ht="15" customHeight="1" x14ac:dyDescent="0.25">
      <c r="B19" s="294"/>
      <c r="AI19" s="293"/>
      <c r="BJ19" s="293"/>
      <c r="BK19" s="218"/>
    </row>
    <row r="20" spans="1:63" ht="15" customHeight="1" x14ac:dyDescent="0.25">
      <c r="B20" s="38"/>
      <c r="AI20" s="40"/>
      <c r="BJ20" s="40"/>
      <c r="BK20" s="34"/>
    </row>
    <row r="21" spans="1:63" ht="15" customHeight="1" x14ac:dyDescent="0.25">
      <c r="B21" s="38"/>
      <c r="AI21" s="40"/>
      <c r="BJ21" s="40"/>
      <c r="BK21" s="34"/>
    </row>
    <row r="22" spans="1:63" ht="15" customHeight="1" x14ac:dyDescent="0.25">
      <c r="B22" s="38"/>
      <c r="AI22" s="40"/>
      <c r="BJ22" s="40"/>
      <c r="BK22" s="34"/>
    </row>
    <row r="23" spans="1:63" ht="15" customHeight="1" x14ac:dyDescent="0.25">
      <c r="B23" s="38"/>
      <c r="AI23" s="40"/>
      <c r="BJ23" s="40"/>
      <c r="BK23" s="34"/>
    </row>
    <row r="24" spans="1:63" ht="15" customHeight="1" x14ac:dyDescent="0.25">
      <c r="B24" s="38"/>
      <c r="AI24" s="40"/>
      <c r="BJ24" s="40"/>
      <c r="BK24" s="34"/>
    </row>
    <row r="25" spans="1:63" ht="15" customHeight="1" x14ac:dyDescent="0.25">
      <c r="B25" s="38"/>
      <c r="AI25" s="40"/>
      <c r="BJ25" s="40"/>
      <c r="BK25" s="34"/>
    </row>
    <row r="26" spans="1:63" ht="15" customHeight="1" x14ac:dyDescent="0.25">
      <c r="B26" s="38"/>
      <c r="AI26" s="40"/>
      <c r="BJ26" s="40"/>
      <c r="BK26" s="34"/>
    </row>
    <row r="27" spans="1:63" ht="15" customHeight="1" x14ac:dyDescent="0.25">
      <c r="B27" s="38"/>
      <c r="AI27" s="40"/>
      <c r="BJ27" s="40"/>
      <c r="BK27" s="34"/>
    </row>
    <row r="28" spans="1:63" ht="15" customHeight="1" x14ac:dyDescent="0.25">
      <c r="A28" s="32"/>
      <c r="B28" s="39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41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41"/>
      <c r="BK28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86" t="s">
        <v>58</v>
      </c>
      <c r="B1" s="187"/>
      <c r="C1" s="187"/>
      <c r="D1" s="187"/>
      <c r="E1" s="187"/>
      <c r="F1" s="187"/>
      <c r="G1" s="187"/>
      <c r="H1" s="187"/>
      <c r="I1" s="187"/>
      <c r="J1" s="188"/>
      <c r="K1" s="186" t="s">
        <v>59</v>
      </c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8"/>
      <c r="W1" s="189" t="str">
        <f>IF(表紙!W1="","",表紙!W1)</f>
        <v>詳細設計書</v>
      </c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1"/>
      <c r="AP1" s="192" t="s">
        <v>60</v>
      </c>
      <c r="AQ1" s="193"/>
      <c r="AR1" s="193"/>
      <c r="AS1" s="194"/>
      <c r="AT1" s="192" t="s">
        <v>61</v>
      </c>
      <c r="AU1" s="193"/>
      <c r="AV1" s="193"/>
      <c r="AW1" s="193"/>
      <c r="AX1" s="194"/>
      <c r="AY1" s="192" t="s">
        <v>62</v>
      </c>
      <c r="AZ1" s="193"/>
      <c r="BA1" s="193"/>
      <c r="BB1" s="194"/>
      <c r="BC1" s="192" t="s">
        <v>63</v>
      </c>
      <c r="BD1" s="193"/>
      <c r="BE1" s="193"/>
      <c r="BF1" s="193"/>
      <c r="BG1" s="194"/>
      <c r="BH1" s="192" t="s">
        <v>64</v>
      </c>
      <c r="BI1" s="193"/>
      <c r="BJ1" s="193"/>
      <c r="BK1" s="194"/>
    </row>
    <row r="2" spans="1:63" ht="15" customHeight="1" x14ac:dyDescent="0.25">
      <c r="A2" s="124" t="str">
        <f>IF(表紙!A2="","",表紙!A2)</f>
        <v>POSサーバー</v>
      </c>
      <c r="B2" s="125"/>
      <c r="C2" s="125"/>
      <c r="D2" s="125"/>
      <c r="E2" s="125"/>
      <c r="F2" s="125"/>
      <c r="G2" s="125"/>
      <c r="H2" s="125"/>
      <c r="I2" s="125"/>
      <c r="J2" s="126"/>
      <c r="K2" s="124" t="str">
        <f>IF(表紙!K2="","",表紙!K2)</f>
        <v>POSサーバ</v>
      </c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6"/>
      <c r="W2" s="195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7"/>
      <c r="AP2" s="198" t="str">
        <f>IF(表紙!AP2="","",表紙!AP2)</f>
        <v>AnhDD</v>
      </c>
      <c r="AQ2" s="199"/>
      <c r="AR2" s="199"/>
      <c r="AS2" s="200"/>
      <c r="AT2" s="201">
        <f>IF(表紙!AT2="","",表紙!AT2)</f>
        <v>45515</v>
      </c>
      <c r="AU2" s="202"/>
      <c r="AV2" s="202"/>
      <c r="AW2" s="202"/>
      <c r="AX2" s="203"/>
      <c r="AY2" s="198" t="str">
        <f>IF(表紙!AY2="","",表紙!AY2)</f>
        <v>HueDT</v>
      </c>
      <c r="AZ2" s="199"/>
      <c r="BA2" s="199"/>
      <c r="BB2" s="200"/>
      <c r="BC2" s="201">
        <f>IF(表紙!BC2="","",表紙!BC2)</f>
        <v>45600</v>
      </c>
      <c r="BD2" s="202"/>
      <c r="BE2" s="202"/>
      <c r="BF2" s="202"/>
      <c r="BG2" s="203"/>
      <c r="BH2" s="198">
        <f>IF(表紙!BH2="","",表紙!BH2)</f>
        <v>0.2</v>
      </c>
      <c r="BI2" s="199"/>
      <c r="BJ2" s="199"/>
      <c r="BK2" s="200"/>
    </row>
    <row r="3" spans="1:63" ht="15" customHeight="1" x14ac:dyDescent="0.25">
      <c r="A3" s="127"/>
      <c r="B3" s="128"/>
      <c r="C3" s="128"/>
      <c r="D3" s="128"/>
      <c r="E3" s="128"/>
      <c r="F3" s="128"/>
      <c r="G3" s="128"/>
      <c r="H3" s="128"/>
      <c r="I3" s="128"/>
      <c r="J3" s="129"/>
      <c r="K3" s="127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9"/>
      <c r="W3" s="204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6"/>
      <c r="AP3" s="207"/>
      <c r="AQ3" s="208"/>
      <c r="AR3" s="208"/>
      <c r="AS3" s="209"/>
      <c r="AT3" s="210"/>
      <c r="AU3" s="211"/>
      <c r="AV3" s="211"/>
      <c r="AW3" s="211"/>
      <c r="AX3" s="212"/>
      <c r="AY3" s="207"/>
      <c r="AZ3" s="208"/>
      <c r="BA3" s="208"/>
      <c r="BB3" s="209"/>
      <c r="BC3" s="210"/>
      <c r="BD3" s="211"/>
      <c r="BE3" s="211"/>
      <c r="BF3" s="211"/>
      <c r="BG3" s="212"/>
      <c r="BH3" s="207"/>
      <c r="BI3" s="208"/>
      <c r="BJ3" s="208"/>
      <c r="BK3" s="209"/>
    </row>
    <row r="4" spans="1:63" ht="24.95" customHeight="1" x14ac:dyDescent="0.25">
      <c r="A4" s="186" t="s">
        <v>65</v>
      </c>
      <c r="B4" s="187"/>
      <c r="C4" s="187"/>
      <c r="D4" s="187"/>
      <c r="E4" s="187"/>
      <c r="F4" s="187"/>
      <c r="G4" s="188"/>
      <c r="H4" s="130" t="str">
        <f>IF(表紙!H4="","",表紙!H4)</f>
        <v>APX004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  <c r="U4" s="186" t="s">
        <v>66</v>
      </c>
      <c r="V4" s="187"/>
      <c r="W4" s="187"/>
      <c r="X4" s="187"/>
      <c r="Y4" s="188"/>
      <c r="Z4" s="130" t="str">
        <f>IF(表紙!Z4="","",表紙!Z4)</f>
        <v>API設計書</v>
      </c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2"/>
      <c r="AP4" s="133" t="str">
        <f ca="1">MID(CELL("filename",A1),FIND("]",CELL("filename",A1))+1,255)</f>
        <v>テンプレート</v>
      </c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2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20" customFormat="1" ht="15" customHeight="1" x14ac:dyDescent="0.25">
      <c r="BK7" s="218"/>
    </row>
    <row r="8" spans="1:63" s="220" customFormat="1" ht="15" customHeight="1" x14ac:dyDescent="0.25">
      <c r="BK8" s="218"/>
    </row>
    <row r="9" spans="1:63" s="220" customFormat="1" ht="15" customHeight="1" x14ac:dyDescent="0.25">
      <c r="BK9" s="218"/>
    </row>
    <row r="10" spans="1:63" s="220" customFormat="1" ht="15" customHeight="1" x14ac:dyDescent="0.25">
      <c r="BK10" s="218"/>
    </row>
    <row r="11" spans="1:63" s="220" customFormat="1" ht="15" customHeight="1" x14ac:dyDescent="0.25">
      <c r="BK11" s="218"/>
    </row>
    <row r="12" spans="1:63" s="220" customFormat="1" ht="15" customHeight="1" x14ac:dyDescent="0.25">
      <c r="BK12" s="218"/>
    </row>
    <row r="13" spans="1:63" s="220" customFormat="1" ht="15" customHeight="1" x14ac:dyDescent="0.25">
      <c r="BK13" s="218"/>
    </row>
    <row r="14" spans="1:63" s="220" customFormat="1" ht="15" customHeight="1" x14ac:dyDescent="0.25">
      <c r="BK14" s="218"/>
    </row>
    <row r="15" spans="1:63" s="220" customFormat="1" ht="15" customHeight="1" x14ac:dyDescent="0.25">
      <c r="BK15" s="218"/>
    </row>
    <row r="16" spans="1:63" s="220" customFormat="1" ht="15" customHeight="1" x14ac:dyDescent="0.25">
      <c r="BK16" s="218"/>
    </row>
    <row r="17" spans="63:63" s="220" customFormat="1" ht="15" customHeight="1" x14ac:dyDescent="0.25">
      <c r="BK17" s="218"/>
    </row>
    <row r="18" spans="63:63" s="220" customFormat="1" ht="15" customHeight="1" x14ac:dyDescent="0.25">
      <c r="BK18" s="218"/>
    </row>
    <row r="19" spans="63:63" s="220" customFormat="1" ht="15" customHeight="1" x14ac:dyDescent="0.25">
      <c r="BK19" s="218"/>
    </row>
    <row r="20" spans="63:63" s="220" customFormat="1" ht="15" customHeight="1" x14ac:dyDescent="0.25">
      <c r="BK20" s="218"/>
    </row>
    <row r="21" spans="63:63" s="220" customFormat="1" ht="15" customHeight="1" x14ac:dyDescent="0.25">
      <c r="BK21" s="218"/>
    </row>
    <row r="22" spans="63:63" s="220" customFormat="1" ht="15" customHeight="1" x14ac:dyDescent="0.25">
      <c r="BK22" s="218"/>
    </row>
    <row r="23" spans="63:63" s="220" customFormat="1" ht="15" customHeight="1" x14ac:dyDescent="0.25">
      <c r="BK23" s="218"/>
    </row>
    <row r="24" spans="63:63" s="220" customFormat="1" ht="15" customHeight="1" x14ac:dyDescent="0.25">
      <c r="BK24" s="218"/>
    </row>
    <row r="25" spans="63:63" s="220" customFormat="1" ht="15" customHeight="1" x14ac:dyDescent="0.25">
      <c r="BK25" s="218"/>
    </row>
    <row r="26" spans="63:63" s="220" customFormat="1" ht="15" customHeight="1" x14ac:dyDescent="0.25">
      <c r="BK26" s="218"/>
    </row>
    <row r="27" spans="63:63" s="220" customFormat="1" ht="15" customHeight="1" x14ac:dyDescent="0.25">
      <c r="BK27" s="218"/>
    </row>
    <row r="28" spans="63:63" s="220" customFormat="1" ht="15" customHeight="1" x14ac:dyDescent="0.25">
      <c r="BK28" s="218"/>
    </row>
    <row r="29" spans="63:63" s="220" customFormat="1" ht="15" customHeight="1" x14ac:dyDescent="0.25">
      <c r="BK29" s="218"/>
    </row>
    <row r="30" spans="63:63" s="220" customFormat="1" ht="15" customHeight="1" x14ac:dyDescent="0.25">
      <c r="BK30" s="218"/>
    </row>
    <row r="31" spans="63:63" s="220" customFormat="1" ht="15" customHeight="1" x14ac:dyDescent="0.25">
      <c r="BK31" s="218"/>
    </row>
    <row r="32" spans="63:63" s="220" customFormat="1" ht="15" customHeight="1" x14ac:dyDescent="0.25">
      <c r="BK32" s="218"/>
    </row>
    <row r="33" spans="63:63" s="220" customFormat="1" ht="15" customHeight="1" x14ac:dyDescent="0.25">
      <c r="BK33" s="218"/>
    </row>
    <row r="34" spans="63:63" s="220" customFormat="1" ht="15" customHeight="1" x14ac:dyDescent="0.25">
      <c r="BK34" s="218"/>
    </row>
    <row r="35" spans="63:63" s="220" customFormat="1" ht="15" customHeight="1" x14ac:dyDescent="0.25">
      <c r="BK35" s="218"/>
    </row>
    <row r="36" spans="63:63" s="220" customFormat="1" ht="15" customHeight="1" x14ac:dyDescent="0.25">
      <c r="BK36" s="218"/>
    </row>
    <row r="37" spans="63:63" s="220" customFormat="1" ht="15" customHeight="1" x14ac:dyDescent="0.25">
      <c r="BK37" s="218"/>
    </row>
    <row r="38" spans="63:63" s="220" customFormat="1" ht="15" customHeight="1" x14ac:dyDescent="0.25">
      <c r="BK38" s="218"/>
    </row>
    <row r="39" spans="63:63" s="220" customFormat="1" ht="15" customHeight="1" x14ac:dyDescent="0.25">
      <c r="BK39" s="218"/>
    </row>
    <row r="40" spans="63:63" s="220" customFormat="1" ht="15" customHeight="1" x14ac:dyDescent="0.25">
      <c r="BK40" s="218"/>
    </row>
    <row r="41" spans="63:63" s="220" customFormat="1" ht="15" customHeight="1" x14ac:dyDescent="0.25">
      <c r="BK41" s="218"/>
    </row>
    <row r="42" spans="63:63" s="220" customFormat="1" ht="15" customHeight="1" x14ac:dyDescent="0.25">
      <c r="BK42" s="218"/>
    </row>
    <row r="43" spans="63:63" s="220" customFormat="1" ht="15" customHeight="1" x14ac:dyDescent="0.25">
      <c r="BK43" s="218"/>
    </row>
    <row r="44" spans="63:63" s="220" customFormat="1" ht="15" customHeight="1" x14ac:dyDescent="0.25">
      <c r="BK44" s="218"/>
    </row>
    <row r="45" spans="63:63" s="220" customFormat="1" ht="15" customHeight="1" x14ac:dyDescent="0.25">
      <c r="BK45" s="218"/>
    </row>
    <row r="46" spans="63:63" s="220" customFormat="1" ht="15" customHeight="1" x14ac:dyDescent="0.25">
      <c r="BK46" s="218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APX004</vt:lpstr>
      <vt:lpstr>処理フロー</vt:lpstr>
      <vt:lpstr>テンプレート</vt:lpstr>
      <vt:lpstr>'APX004'!Print_Area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2024-11-07T09:06:07Z</dcterms:modified>
  <cp:category/>
  <cp:contentStatus/>
</cp:coreProperties>
</file>