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kitkat44g-my.sharepoint.com/personal/kiyohara_kadutoshi_com1/Documents/●prjs_pos_system/30_implementation/32_design/JP/03_POSサーバー/"/>
    </mc:Choice>
  </mc:AlternateContent>
  <xr:revisionPtr revIDLastSave="206" documentId="8_{C243CD44-5241-40A7-8C32-B5FA0BE7A177}" xr6:coauthVersionLast="47" xr6:coauthVersionMax="47" xr10:uidLastSave="{25104638-274E-40CA-8B10-F484242B3A53}"/>
  <bookViews>
    <workbookView minimized="1" xWindow="4620" yWindow="825" windowWidth="14835" windowHeight="15000" activeTab="2" xr2:uid="{0EEFCC5C-DC15-40A8-8333-74D098DDB4A5}"/>
  </bookViews>
  <sheets>
    <sheet name="表紙" sheetId="4" r:id="rId1"/>
    <sheet name="改廃履歴" sheetId="3" r:id="rId2"/>
    <sheet name="本番" sheetId="2" r:id="rId3"/>
    <sheet name="検証環境" sheetId="5" r:id="rId4"/>
    <sheet name="Sheet1" sheetId="1" r:id="rId5"/>
  </sheets>
  <definedNames>
    <definedName name="_xlnm.Print_Area" localSheetId="1">改廃履歴!$A$1:$BK$55</definedName>
    <definedName name="_xlnm.Print_Area" localSheetId="0">表紙!$A$1:$BK$55</definedName>
    <definedName name="_xlnm.Print_Titles" localSheetId="1">改廃履歴!$1:$5</definedName>
    <definedName name="_xlnm.Print_Titles" localSheetId="3">検証環境!$1:$5</definedName>
    <definedName name="_xlnm.Print_Titles" localSheetId="0">表紙!$1:$5</definedName>
    <definedName name="_xlnm.Print_Titles" localSheetId="2">本番!$1:$5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4" i="5" l="1" a="1"/>
  <c r="AP4" i="5" s="1"/>
  <c r="Z4" i="5"/>
  <c r="H4" i="5"/>
  <c r="BH2" i="5"/>
  <c r="BC2" i="5"/>
  <c r="AY2" i="5"/>
  <c r="AT2" i="5"/>
  <c r="AP2" i="5"/>
  <c r="K2" i="5"/>
  <c r="A2" i="5"/>
  <c r="W1" i="5"/>
  <c r="AP4" i="2" l="1" a="1"/>
  <c r="AP4" i="2" s="1"/>
  <c r="AT2" i="2"/>
  <c r="AP2" i="2"/>
  <c r="Z4" i="2"/>
  <c r="W1" i="2"/>
  <c r="K2" i="2"/>
  <c r="H4" i="2"/>
  <c r="A2" i="2"/>
  <c r="L24" i="4"/>
  <c r="AP4" i="4" a="1"/>
  <c r="AP4" i="4" s="1"/>
  <c r="BH2" i="4"/>
  <c r="BH2" i="3" s="1"/>
  <c r="BC2" i="4"/>
  <c r="BC2" i="3" s="1"/>
  <c r="AY2" i="4"/>
  <c r="AY2" i="3" s="1"/>
  <c r="AT2" i="4"/>
  <c r="AT2" i="3" s="1"/>
  <c r="AP2" i="4"/>
  <c r="AP2" i="3" s="1"/>
  <c r="AP4" i="3" a="1"/>
  <c r="AP4" i="3" s="1"/>
  <c r="Z4" i="3"/>
  <c r="W1" i="3"/>
  <c r="K2" i="3"/>
  <c r="H4" i="3"/>
  <c r="A2" i="3"/>
  <c r="BH2" i="2" l="1"/>
  <c r="AY2" i="2"/>
  <c r="BC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<sst xmlns="http://schemas.openxmlformats.org/spreadsheetml/2006/main" count="50" uniqueCount="19">
  <si>
    <t>システム名</t>
  </si>
  <si>
    <t>機能カテゴリ</t>
  </si>
  <si>
    <t>システム種別</t>
  </si>
  <si>
    <t>作成者</t>
  </si>
  <si>
    <t>作成日</t>
  </si>
  <si>
    <t>更新者</t>
  </si>
  <si>
    <t>更新日</t>
  </si>
  <si>
    <t>版数</t>
  </si>
  <si>
    <t>項目</t>
  </si>
  <si>
    <t>■改廃履歴</t>
  </si>
  <si>
    <t>更新日付</t>
  </si>
  <si>
    <t>変更内容</t>
  </si>
  <si>
    <t>承認日付</t>
  </si>
  <si>
    <t>承認者</t>
  </si>
  <si>
    <t>現金専用簡易セルフPOS</t>
  </si>
  <si>
    <t>現金専用簡易セルフPOS 基本設計書</t>
  </si>
  <si>
    <t>承認日</t>
  </si>
  <si>
    <t>Thanh Nguyên</t>
    <phoneticPr fontId="1"/>
  </si>
  <si>
    <t>新規作成</t>
    <rPh sb="0" eb="2">
      <t>シンキ</t>
    </rPh>
    <rPh sb="2" eb="4">
      <t>サクセイ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</si>
</sst>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5" x14ac:knownFonts="1">
    <font>
      <sz val="11"/>
      <name val="Meiryo UI"/>
      <family val="3"/>
      <charset val="128"/>
    </font>
    <font>
      <sz val="6"/>
      <name val="Meiryo UI"/>
      <family val="3"/>
      <charset val="128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b/>
      <sz val="24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333399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</borders>
  <cellStyleXfs count="1">
    <xf numFmtId="0" fontId="0" fillId="0" borderId="0">
      <alignment vertical="center"/>
    </xf>
  </cellStyleXfs>
  <cellXfs count="7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0" fontId="0" fillId="0" borderId="25" xfId="0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176" fontId="0" fillId="0" borderId="7" xfId="0" applyNumberFormat="1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176" fontId="0" fillId="0" borderId="6" xfId="0" applyNumberFormat="1" applyBorder="1" applyAlignment="1">
      <alignment horizontal="center" vertical="center"/>
    </xf>
    <xf numFmtId="176" fontId="0" fillId="0" borderId="9" xfId="0" applyNumberForma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14" fontId="0" fillId="0" borderId="2" xfId="0" applyNumberFormat="1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3" xfId="0" applyBorder="1">
      <alignment vertical="center"/>
    </xf>
    <xf numFmtId="0" fontId="0" fillId="0" borderId="7" xfId="0" applyBorder="1">
      <alignment vertical="center"/>
    </xf>
    <xf numFmtId="0" fontId="0" fillId="0" borderId="6" xfId="0" applyBorder="1">
      <alignment vertical="center"/>
    </xf>
    <xf numFmtId="0" fontId="0" fillId="0" borderId="9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</cellXfs>
  <cellStyles count="1">
    <cellStyle name="標準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0</xdr:rowOff>
    </xdr:from>
    <xdr:to>
      <xdr:col>8</xdr:col>
      <xdr:colOff>0</xdr:colOff>
      <xdr:row>11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D887599D-66B9-49FA-87AF-577C6019EB04}"/>
            </a:ext>
          </a:extLst>
        </xdr:cNvPr>
        <xdr:cNvSpPr/>
      </xdr:nvSpPr>
      <xdr:spPr>
        <a:xfrm>
          <a:off x="482600" y="1460500"/>
          <a:ext cx="14478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>
          <a:noAutofit/>
        </a:bodyPr>
        <a:lstStyle/>
        <a:p>
          <a:pPr algn="ctr">
            <a:lnSpc>
              <a:spcPts val="1320"/>
            </a:lnSpc>
          </a:pP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POS-Android</a:t>
          </a:r>
        </a:p>
      </xdr:txBody>
    </xdr:sp>
    <xdr:clientData/>
  </xdr:twoCellAnchor>
  <xdr:twoCellAnchor>
    <xdr:from>
      <xdr:col>11</xdr:col>
      <xdr:colOff>0</xdr:colOff>
      <xdr:row>7</xdr:row>
      <xdr:rowOff>0</xdr:rowOff>
    </xdr:from>
    <xdr:to>
      <xdr:col>29</xdr:col>
      <xdr:colOff>0</xdr:colOff>
      <xdr:row>11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E0A7DA98-958E-9045-F15B-D65A3A0E2563}"/>
            </a:ext>
          </a:extLst>
        </xdr:cNvPr>
        <xdr:cNvSpPr/>
      </xdr:nvSpPr>
      <xdr:spPr>
        <a:xfrm>
          <a:off x="2654300" y="1460500"/>
          <a:ext cx="4343400" cy="762000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https://t3.usmh-fjservice.com/pos/v1/setting/device/get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21</xdr:col>
      <xdr:colOff>0</xdr:colOff>
      <xdr:row>12</xdr:row>
      <xdr:rowOff>0</xdr:rowOff>
    </xdr:from>
    <xdr:to>
      <xdr:col>29</xdr:col>
      <xdr:colOff>0</xdr:colOff>
      <xdr:row>15</xdr:row>
      <xdr:rowOff>0</xdr:rowOff>
    </xdr:to>
    <xdr:sp macro="" textlink="">
      <xdr:nvSpPr>
        <xdr:cNvPr id="4" name="四角形: 角を丸くする 3">
          <a:extLst>
            <a:ext uri="{FF2B5EF4-FFF2-40B4-BE49-F238E27FC236}">
              <a16:creationId xmlns:a16="http://schemas.microsoft.com/office/drawing/2014/main" id="{1B93D894-B9E1-3229-1AE4-BB151752DCC3}"/>
            </a:ext>
          </a:extLst>
        </xdr:cNvPr>
        <xdr:cNvSpPr/>
      </xdr:nvSpPr>
      <xdr:spPr>
        <a:xfrm>
          <a:off x="5067300" y="2413000"/>
          <a:ext cx="1930400" cy="5715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accent2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"device_class":9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31</xdr:col>
      <xdr:colOff>0</xdr:colOff>
      <xdr:row>12</xdr:row>
      <xdr:rowOff>0</xdr:rowOff>
    </xdr:from>
    <xdr:to>
      <xdr:col>39</xdr:col>
      <xdr:colOff>0</xdr:colOff>
      <xdr:row>15</xdr:row>
      <xdr:rowOff>0</xdr:rowOff>
    </xdr:to>
    <xdr:sp macro="" textlink="">
      <xdr:nvSpPr>
        <xdr:cNvPr id="5" name="四角形: 角を丸くする 4">
          <a:extLst>
            <a:ext uri="{FF2B5EF4-FFF2-40B4-BE49-F238E27FC236}">
              <a16:creationId xmlns:a16="http://schemas.microsoft.com/office/drawing/2014/main" id="{C36B6F4D-9718-4A9E-8A4A-AE11F6E9BBE1}"/>
            </a:ext>
          </a:extLst>
        </xdr:cNvPr>
        <xdr:cNvSpPr/>
      </xdr:nvSpPr>
      <xdr:spPr>
        <a:xfrm>
          <a:off x="7480300" y="2413000"/>
          <a:ext cx="1930400" cy="5715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accent2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tIns="0" bIns="0" rtlCol="0" anchor="ctr"/>
        <a:lstStyle/>
        <a:p>
          <a:pPr marL="0" indent="0"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pos.luvina.net/</a:t>
          </a:r>
        </a:p>
        <a:p>
          <a:pPr marL="0" indent="0" algn="ctr"/>
          <a:r>
            <a:rPr kumimoji="1" lang="en-US" altLang="ja-JP" sz="1100" b="1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</a:t>
          </a:r>
          <a:r>
            <a:rPr kumimoji="1" lang="ja-JP" altLang="en-US" sz="1100" b="1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本番に</a:t>
          </a:r>
        </a:p>
      </xdr:txBody>
    </xdr:sp>
    <xdr:clientData/>
  </xdr:twoCellAnchor>
  <xdr:twoCellAnchor>
    <xdr:from>
      <xdr:col>52</xdr:col>
      <xdr:colOff>0</xdr:colOff>
      <xdr:row>12</xdr:row>
      <xdr:rowOff>0</xdr:rowOff>
    </xdr:from>
    <xdr:to>
      <xdr:col>61</xdr:col>
      <xdr:colOff>0</xdr:colOff>
      <xdr:row>15</xdr:row>
      <xdr:rowOff>0</xdr:rowOff>
    </xdr:to>
    <xdr:sp macro="" textlink="">
      <xdr:nvSpPr>
        <xdr:cNvPr id="6" name="フローチャート: 磁気ディスク 5">
          <a:extLst>
            <a:ext uri="{FF2B5EF4-FFF2-40B4-BE49-F238E27FC236}">
              <a16:creationId xmlns:a16="http://schemas.microsoft.com/office/drawing/2014/main" id="{55500A79-516F-486A-928A-96CE9FB82205}"/>
            </a:ext>
          </a:extLst>
        </xdr:cNvPr>
        <xdr:cNvSpPr/>
      </xdr:nvSpPr>
      <xdr:spPr>
        <a:xfrm>
          <a:off x="12547600" y="2413000"/>
          <a:ext cx="2171700" cy="5715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none" lIns="36000" tIns="0" rIns="3600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logmaster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52</xdr:col>
      <xdr:colOff>0</xdr:colOff>
      <xdr:row>16</xdr:row>
      <xdr:rowOff>0</xdr:rowOff>
    </xdr:from>
    <xdr:to>
      <xdr:col>61</xdr:col>
      <xdr:colOff>0</xdr:colOff>
      <xdr:row>19</xdr:row>
      <xdr:rowOff>0</xdr:rowOff>
    </xdr:to>
    <xdr:sp macro="" textlink="">
      <xdr:nvSpPr>
        <xdr:cNvPr id="7" name="フローチャート: 磁気ディスク 6">
          <a:extLst>
            <a:ext uri="{FF2B5EF4-FFF2-40B4-BE49-F238E27FC236}">
              <a16:creationId xmlns:a16="http://schemas.microsoft.com/office/drawing/2014/main" id="{99AFEEF5-6FBC-4419-B530-2F070C8EF277}"/>
            </a:ext>
          </a:extLst>
        </xdr:cNvPr>
        <xdr:cNvSpPr/>
      </xdr:nvSpPr>
      <xdr:spPr>
        <a:xfrm>
          <a:off x="12547600" y="3175000"/>
          <a:ext cx="2171700" cy="5715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none" lIns="36000" tIns="0" rIns="3600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updatemanagermaster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20</xdr:col>
      <xdr:colOff>0</xdr:colOff>
      <xdr:row>11</xdr:row>
      <xdr:rowOff>0</xdr:rowOff>
    </xdr:from>
    <xdr:to>
      <xdr:col>21</xdr:col>
      <xdr:colOff>0</xdr:colOff>
      <xdr:row>13</xdr:row>
      <xdr:rowOff>95250</xdr:rowOff>
    </xdr:to>
    <xdr:cxnSp macro="">
      <xdr:nvCxnSpPr>
        <xdr:cNvPr id="9" name="コネクタ: カギ線 8">
          <a:extLst>
            <a:ext uri="{FF2B5EF4-FFF2-40B4-BE49-F238E27FC236}">
              <a16:creationId xmlns:a16="http://schemas.microsoft.com/office/drawing/2014/main" id="{E6C8729A-D663-1D66-7E14-91A2204F0FEB}"/>
            </a:ext>
          </a:extLst>
        </xdr:cNvPr>
        <xdr:cNvCxnSpPr>
          <a:stCxn id="3" idx="2"/>
          <a:endCxn id="4" idx="1"/>
        </xdr:cNvCxnSpPr>
      </xdr:nvCxnSpPr>
      <xdr:spPr>
        <a:xfrm rot="16200000" flipH="1">
          <a:off x="4708525" y="2339975"/>
          <a:ext cx="476250" cy="241300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0</xdr:colOff>
      <xdr:row>13</xdr:row>
      <xdr:rowOff>95250</xdr:rowOff>
    </xdr:from>
    <xdr:to>
      <xdr:col>52</xdr:col>
      <xdr:colOff>0</xdr:colOff>
      <xdr:row>13</xdr:row>
      <xdr:rowOff>95250</xdr:rowOff>
    </xdr:to>
    <xdr:cxnSp macro="">
      <xdr:nvCxnSpPr>
        <xdr:cNvPr id="11" name="コネクタ: カギ線 10">
          <a:extLst>
            <a:ext uri="{FF2B5EF4-FFF2-40B4-BE49-F238E27FC236}">
              <a16:creationId xmlns:a16="http://schemas.microsoft.com/office/drawing/2014/main" id="{44E5EE96-45EF-4E2B-A091-E6786B94E4C7}"/>
            </a:ext>
          </a:extLst>
        </xdr:cNvPr>
        <xdr:cNvCxnSpPr>
          <a:stCxn id="5" idx="3"/>
          <a:endCxn id="6" idx="2"/>
        </xdr:cNvCxnSpPr>
      </xdr:nvCxnSpPr>
      <xdr:spPr>
        <a:xfrm>
          <a:off x="9410700" y="2698750"/>
          <a:ext cx="31369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13</xdr:row>
      <xdr:rowOff>95250</xdr:rowOff>
    </xdr:from>
    <xdr:to>
      <xdr:col>31</xdr:col>
      <xdr:colOff>0</xdr:colOff>
      <xdr:row>13</xdr:row>
      <xdr:rowOff>95250</xdr:rowOff>
    </xdr:to>
    <xdr:cxnSp macro="">
      <xdr:nvCxnSpPr>
        <xdr:cNvPr id="14" name="コネクタ: カギ線 13">
          <a:extLst>
            <a:ext uri="{FF2B5EF4-FFF2-40B4-BE49-F238E27FC236}">
              <a16:creationId xmlns:a16="http://schemas.microsoft.com/office/drawing/2014/main" id="{97B9E406-3E74-4593-83DF-8651C8859440}"/>
            </a:ext>
          </a:extLst>
        </xdr:cNvPr>
        <xdr:cNvCxnSpPr>
          <a:stCxn id="4" idx="3"/>
          <a:endCxn id="5" idx="1"/>
        </xdr:cNvCxnSpPr>
      </xdr:nvCxnSpPr>
      <xdr:spPr>
        <a:xfrm>
          <a:off x="6997700" y="2698750"/>
          <a:ext cx="4826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0</xdr:colOff>
      <xdr:row>13</xdr:row>
      <xdr:rowOff>95250</xdr:rowOff>
    </xdr:from>
    <xdr:to>
      <xdr:col>43</xdr:col>
      <xdr:colOff>0</xdr:colOff>
      <xdr:row>17</xdr:row>
      <xdr:rowOff>95250</xdr:rowOff>
    </xdr:to>
    <xdr:cxnSp macro="">
      <xdr:nvCxnSpPr>
        <xdr:cNvPr id="17" name="コネクタ: カギ線 16">
          <a:extLst>
            <a:ext uri="{FF2B5EF4-FFF2-40B4-BE49-F238E27FC236}">
              <a16:creationId xmlns:a16="http://schemas.microsoft.com/office/drawing/2014/main" id="{275AC8E3-867F-43B3-894C-D9D817DEB674}"/>
            </a:ext>
          </a:extLst>
        </xdr:cNvPr>
        <xdr:cNvCxnSpPr>
          <a:stCxn id="5" idx="3"/>
          <a:endCxn id="12" idx="1"/>
        </xdr:cNvCxnSpPr>
      </xdr:nvCxnSpPr>
      <xdr:spPr>
        <a:xfrm>
          <a:off x="9410700" y="2698750"/>
          <a:ext cx="965200" cy="76200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0</xdr:colOff>
      <xdr:row>22</xdr:row>
      <xdr:rowOff>95250</xdr:rowOff>
    </xdr:from>
    <xdr:to>
      <xdr:col>39</xdr:col>
      <xdr:colOff>0</xdr:colOff>
      <xdr:row>25</xdr:row>
      <xdr:rowOff>95250</xdr:rowOff>
    </xdr:to>
    <xdr:sp macro="" textlink="">
      <xdr:nvSpPr>
        <xdr:cNvPr id="34" name="四角形: 角を丸くする 33">
          <a:extLst>
            <a:ext uri="{FF2B5EF4-FFF2-40B4-BE49-F238E27FC236}">
              <a16:creationId xmlns:a16="http://schemas.microsoft.com/office/drawing/2014/main" id="{4FAC4747-CC2F-4815-8EF9-D5281F9771CE}"/>
            </a:ext>
          </a:extLst>
        </xdr:cNvPr>
        <xdr:cNvSpPr/>
      </xdr:nvSpPr>
      <xdr:spPr>
        <a:xfrm>
          <a:off x="7480300" y="4413250"/>
          <a:ext cx="1930400" cy="5715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accent2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tIns="0" bIns="0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posstg.luvina.ne</a:t>
          </a:r>
          <a:b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</a:br>
          <a:r>
            <a:rPr kumimoji="1" lang="en-US" altLang="ja-JP" sz="11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※</a:t>
          </a:r>
          <a:r>
            <a:rPr kumimoji="1" lang="ja-JP" altLang="en-US" sz="11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検証環境</a:t>
          </a:r>
          <a:r>
            <a:rPr kumimoji="1" lang="ja-JP" altLang="ja-JP" sz="11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に</a:t>
          </a:r>
          <a:endParaRPr lang="ja-JP" altLang="ja-JP" b="1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52</xdr:col>
      <xdr:colOff>0</xdr:colOff>
      <xdr:row>21</xdr:row>
      <xdr:rowOff>0</xdr:rowOff>
    </xdr:from>
    <xdr:to>
      <xdr:col>61</xdr:col>
      <xdr:colOff>0</xdr:colOff>
      <xdr:row>24</xdr:row>
      <xdr:rowOff>0</xdr:rowOff>
    </xdr:to>
    <xdr:sp macro="" textlink="">
      <xdr:nvSpPr>
        <xdr:cNvPr id="35" name="フローチャート: 磁気ディスク 34">
          <a:extLst>
            <a:ext uri="{FF2B5EF4-FFF2-40B4-BE49-F238E27FC236}">
              <a16:creationId xmlns:a16="http://schemas.microsoft.com/office/drawing/2014/main" id="{3FE46FF1-936A-4924-B521-8FF4E82648BD}"/>
            </a:ext>
          </a:extLst>
        </xdr:cNvPr>
        <xdr:cNvSpPr/>
      </xdr:nvSpPr>
      <xdr:spPr>
        <a:xfrm>
          <a:off x="12547600" y="4127500"/>
          <a:ext cx="2171700" cy="5715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none" lIns="36000" tIns="0" rIns="3600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charge_info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52</xdr:col>
      <xdr:colOff>0</xdr:colOff>
      <xdr:row>25</xdr:row>
      <xdr:rowOff>0</xdr:rowOff>
    </xdr:from>
    <xdr:to>
      <xdr:col>61</xdr:col>
      <xdr:colOff>0</xdr:colOff>
      <xdr:row>28</xdr:row>
      <xdr:rowOff>0</xdr:rowOff>
    </xdr:to>
    <xdr:sp macro="" textlink="">
      <xdr:nvSpPr>
        <xdr:cNvPr id="36" name="フローチャート: 磁気ディスク 35">
          <a:extLst>
            <a:ext uri="{FF2B5EF4-FFF2-40B4-BE49-F238E27FC236}">
              <a16:creationId xmlns:a16="http://schemas.microsoft.com/office/drawing/2014/main" id="{30288650-24E6-4BE6-BB67-1430B2BB5F3E}"/>
            </a:ext>
          </a:extLst>
        </xdr:cNvPr>
        <xdr:cNvSpPr/>
      </xdr:nvSpPr>
      <xdr:spPr>
        <a:xfrm>
          <a:off x="12547600" y="4889500"/>
          <a:ext cx="2171700" cy="5715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none" lIns="36000" tIns="0" rIns="3600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charge_receipt_no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52</xdr:col>
      <xdr:colOff>0</xdr:colOff>
      <xdr:row>29</xdr:row>
      <xdr:rowOff>0</xdr:rowOff>
    </xdr:from>
    <xdr:to>
      <xdr:col>61</xdr:col>
      <xdr:colOff>0</xdr:colOff>
      <xdr:row>32</xdr:row>
      <xdr:rowOff>0</xdr:rowOff>
    </xdr:to>
    <xdr:sp macro="" textlink="">
      <xdr:nvSpPr>
        <xdr:cNvPr id="37" name="フローチャート: 磁気ディスク 36">
          <a:extLst>
            <a:ext uri="{FF2B5EF4-FFF2-40B4-BE49-F238E27FC236}">
              <a16:creationId xmlns:a16="http://schemas.microsoft.com/office/drawing/2014/main" id="{2FDF39A3-B63B-492C-9BD5-B1BEA7AEFF05}"/>
            </a:ext>
          </a:extLst>
        </xdr:cNvPr>
        <xdr:cNvSpPr/>
      </xdr:nvSpPr>
      <xdr:spPr>
        <a:xfrm>
          <a:off x="12547600" y="5651500"/>
          <a:ext cx="2171700" cy="5715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none" lIns="36000" tIns="0" rIns="3600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employeemaster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52</xdr:col>
      <xdr:colOff>0</xdr:colOff>
      <xdr:row>33</xdr:row>
      <xdr:rowOff>0</xdr:rowOff>
    </xdr:from>
    <xdr:to>
      <xdr:col>61</xdr:col>
      <xdr:colOff>0</xdr:colOff>
      <xdr:row>36</xdr:row>
      <xdr:rowOff>0</xdr:rowOff>
    </xdr:to>
    <xdr:sp macro="" textlink="">
      <xdr:nvSpPr>
        <xdr:cNvPr id="38" name="フローチャート: 磁気ディスク 37">
          <a:extLst>
            <a:ext uri="{FF2B5EF4-FFF2-40B4-BE49-F238E27FC236}">
              <a16:creationId xmlns:a16="http://schemas.microsoft.com/office/drawing/2014/main" id="{FE0EA102-BA17-443A-A198-D72B69BB4401}"/>
            </a:ext>
          </a:extLst>
        </xdr:cNvPr>
        <xdr:cNvSpPr/>
      </xdr:nvSpPr>
      <xdr:spPr>
        <a:xfrm>
          <a:off x="12547600" y="6413500"/>
          <a:ext cx="2171700" cy="5715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none" lIns="36000" tIns="0" rIns="3600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itemmaster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52</xdr:col>
      <xdr:colOff>0</xdr:colOff>
      <xdr:row>37</xdr:row>
      <xdr:rowOff>0</xdr:rowOff>
    </xdr:from>
    <xdr:to>
      <xdr:col>61</xdr:col>
      <xdr:colOff>0</xdr:colOff>
      <xdr:row>40</xdr:row>
      <xdr:rowOff>0</xdr:rowOff>
    </xdr:to>
    <xdr:sp macro="" textlink="">
      <xdr:nvSpPr>
        <xdr:cNvPr id="39" name="フローチャート: 磁気ディスク 38">
          <a:extLst>
            <a:ext uri="{FF2B5EF4-FFF2-40B4-BE49-F238E27FC236}">
              <a16:creationId xmlns:a16="http://schemas.microsoft.com/office/drawing/2014/main" id="{EFB616F4-2860-41F9-85D9-A8553140E1A3}"/>
            </a:ext>
          </a:extLst>
        </xdr:cNvPr>
        <xdr:cNvSpPr/>
      </xdr:nvSpPr>
      <xdr:spPr>
        <a:xfrm>
          <a:off x="12547600" y="7175500"/>
          <a:ext cx="2171700" cy="5715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none" lIns="36000" tIns="0" rIns="3600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presetmenubuttonmaster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52</xdr:col>
      <xdr:colOff>0</xdr:colOff>
      <xdr:row>41</xdr:row>
      <xdr:rowOff>0</xdr:rowOff>
    </xdr:from>
    <xdr:to>
      <xdr:col>61</xdr:col>
      <xdr:colOff>0</xdr:colOff>
      <xdr:row>44</xdr:row>
      <xdr:rowOff>0</xdr:rowOff>
    </xdr:to>
    <xdr:sp macro="" textlink="">
      <xdr:nvSpPr>
        <xdr:cNvPr id="40" name="フローチャート: 磁気ディスク 39">
          <a:extLst>
            <a:ext uri="{FF2B5EF4-FFF2-40B4-BE49-F238E27FC236}">
              <a16:creationId xmlns:a16="http://schemas.microsoft.com/office/drawing/2014/main" id="{3B316E70-B456-4338-88AC-4EED737550EE}"/>
            </a:ext>
          </a:extLst>
        </xdr:cNvPr>
        <xdr:cNvSpPr/>
      </xdr:nvSpPr>
      <xdr:spPr>
        <a:xfrm>
          <a:off x="12547600" y="7937500"/>
          <a:ext cx="2171700" cy="5715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none" lIns="36000" tIns="0" rIns="3600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presetmenumaster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20</xdr:col>
      <xdr:colOff>0</xdr:colOff>
      <xdr:row>11</xdr:row>
      <xdr:rowOff>0</xdr:rowOff>
    </xdr:from>
    <xdr:to>
      <xdr:col>22</xdr:col>
      <xdr:colOff>0</xdr:colOff>
      <xdr:row>51</xdr:row>
      <xdr:rowOff>95250</xdr:rowOff>
    </xdr:to>
    <xdr:cxnSp macro="">
      <xdr:nvCxnSpPr>
        <xdr:cNvPr id="41" name="コネクタ: カギ線 40">
          <a:extLst>
            <a:ext uri="{FF2B5EF4-FFF2-40B4-BE49-F238E27FC236}">
              <a16:creationId xmlns:a16="http://schemas.microsoft.com/office/drawing/2014/main" id="{575F0842-110B-46DA-B4F3-66280A5BF83A}"/>
            </a:ext>
          </a:extLst>
        </xdr:cNvPr>
        <xdr:cNvCxnSpPr>
          <a:stCxn id="3" idx="2"/>
          <a:endCxn id="42" idx="1"/>
        </xdr:cNvCxnSpPr>
      </xdr:nvCxnSpPr>
      <xdr:spPr>
        <a:xfrm rot="16200000" flipH="1">
          <a:off x="1209675" y="5838825"/>
          <a:ext cx="7715250" cy="482600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0</xdr:colOff>
      <xdr:row>50</xdr:row>
      <xdr:rowOff>0</xdr:rowOff>
    </xdr:from>
    <xdr:to>
      <xdr:col>30</xdr:col>
      <xdr:colOff>0</xdr:colOff>
      <xdr:row>53</xdr:row>
      <xdr:rowOff>0</xdr:rowOff>
    </xdr:to>
    <xdr:sp macro="" textlink="">
      <xdr:nvSpPr>
        <xdr:cNvPr id="42" name="四角形: 角を丸くする 41">
          <a:extLst>
            <a:ext uri="{FF2B5EF4-FFF2-40B4-BE49-F238E27FC236}">
              <a16:creationId xmlns:a16="http://schemas.microsoft.com/office/drawing/2014/main" id="{CF494DA0-0004-4366-ACB0-308AB0693AD9}"/>
            </a:ext>
          </a:extLst>
        </xdr:cNvPr>
        <xdr:cNvSpPr/>
      </xdr:nvSpPr>
      <xdr:spPr>
        <a:xfrm>
          <a:off x="5308600" y="9652000"/>
          <a:ext cx="1930400" cy="5715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accent2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"device_class":1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29</xdr:col>
      <xdr:colOff>0</xdr:colOff>
      <xdr:row>13</xdr:row>
      <xdr:rowOff>95250</xdr:rowOff>
    </xdr:from>
    <xdr:to>
      <xdr:col>31</xdr:col>
      <xdr:colOff>0</xdr:colOff>
      <xdr:row>24</xdr:row>
      <xdr:rowOff>0</xdr:rowOff>
    </xdr:to>
    <xdr:cxnSp macro="">
      <xdr:nvCxnSpPr>
        <xdr:cNvPr id="45" name="コネクタ: カギ線 44">
          <a:extLst>
            <a:ext uri="{FF2B5EF4-FFF2-40B4-BE49-F238E27FC236}">
              <a16:creationId xmlns:a16="http://schemas.microsoft.com/office/drawing/2014/main" id="{3E6392A7-92CD-4915-AF89-F072388D9839}"/>
            </a:ext>
          </a:extLst>
        </xdr:cNvPr>
        <xdr:cNvCxnSpPr>
          <a:stCxn id="4" idx="3"/>
          <a:endCxn id="34" idx="1"/>
        </xdr:cNvCxnSpPr>
      </xdr:nvCxnSpPr>
      <xdr:spPr>
        <a:xfrm>
          <a:off x="6997700" y="2698750"/>
          <a:ext cx="482600" cy="20002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0</xdr:colOff>
      <xdr:row>24</xdr:row>
      <xdr:rowOff>0</xdr:rowOff>
    </xdr:from>
    <xdr:to>
      <xdr:col>52</xdr:col>
      <xdr:colOff>0</xdr:colOff>
      <xdr:row>26</xdr:row>
      <xdr:rowOff>95250</xdr:rowOff>
    </xdr:to>
    <xdr:cxnSp macro="">
      <xdr:nvCxnSpPr>
        <xdr:cNvPr id="56" name="コネクタ: カギ線 55">
          <a:extLst>
            <a:ext uri="{FF2B5EF4-FFF2-40B4-BE49-F238E27FC236}">
              <a16:creationId xmlns:a16="http://schemas.microsoft.com/office/drawing/2014/main" id="{5F8C465B-788C-41D9-8E6D-656D77336F2D}"/>
            </a:ext>
          </a:extLst>
        </xdr:cNvPr>
        <xdr:cNvCxnSpPr>
          <a:stCxn id="49" idx="3"/>
          <a:endCxn id="36" idx="2"/>
        </xdr:cNvCxnSpPr>
      </xdr:nvCxnSpPr>
      <xdr:spPr>
        <a:xfrm>
          <a:off x="12065000" y="4699000"/>
          <a:ext cx="482600" cy="4762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0</xdr:colOff>
      <xdr:row>24</xdr:row>
      <xdr:rowOff>0</xdr:rowOff>
    </xdr:from>
    <xdr:to>
      <xdr:col>43</xdr:col>
      <xdr:colOff>0</xdr:colOff>
      <xdr:row>30</xdr:row>
      <xdr:rowOff>95250</xdr:rowOff>
    </xdr:to>
    <xdr:cxnSp macro="">
      <xdr:nvCxnSpPr>
        <xdr:cNvPr id="59" name="コネクタ: カギ線 58">
          <a:extLst>
            <a:ext uri="{FF2B5EF4-FFF2-40B4-BE49-F238E27FC236}">
              <a16:creationId xmlns:a16="http://schemas.microsoft.com/office/drawing/2014/main" id="{B223E62C-9E38-474D-A928-0C8627C00A7B}"/>
            </a:ext>
          </a:extLst>
        </xdr:cNvPr>
        <xdr:cNvCxnSpPr>
          <a:stCxn id="34" idx="3"/>
          <a:endCxn id="89" idx="1"/>
        </xdr:cNvCxnSpPr>
      </xdr:nvCxnSpPr>
      <xdr:spPr>
        <a:xfrm>
          <a:off x="9410700" y="4699000"/>
          <a:ext cx="965200" cy="12382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0</xdr:colOff>
      <xdr:row>34</xdr:row>
      <xdr:rowOff>95250</xdr:rowOff>
    </xdr:from>
    <xdr:to>
      <xdr:col>52</xdr:col>
      <xdr:colOff>0</xdr:colOff>
      <xdr:row>46</xdr:row>
      <xdr:rowOff>95250</xdr:rowOff>
    </xdr:to>
    <xdr:cxnSp macro="">
      <xdr:nvCxnSpPr>
        <xdr:cNvPr id="62" name="コネクタ: カギ線 61">
          <a:extLst>
            <a:ext uri="{FF2B5EF4-FFF2-40B4-BE49-F238E27FC236}">
              <a16:creationId xmlns:a16="http://schemas.microsoft.com/office/drawing/2014/main" id="{8C268D92-5717-46DF-8C92-F35F7FED5BB2}"/>
            </a:ext>
          </a:extLst>
        </xdr:cNvPr>
        <xdr:cNvCxnSpPr>
          <a:stCxn id="91" idx="3"/>
          <a:endCxn id="71" idx="2"/>
        </xdr:cNvCxnSpPr>
      </xdr:nvCxnSpPr>
      <xdr:spPr>
        <a:xfrm>
          <a:off x="12065000" y="6699250"/>
          <a:ext cx="482600" cy="228600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0</xdr:colOff>
      <xdr:row>34</xdr:row>
      <xdr:rowOff>95250</xdr:rowOff>
    </xdr:from>
    <xdr:to>
      <xdr:col>52</xdr:col>
      <xdr:colOff>0</xdr:colOff>
      <xdr:row>38</xdr:row>
      <xdr:rowOff>95250</xdr:rowOff>
    </xdr:to>
    <xdr:cxnSp macro="">
      <xdr:nvCxnSpPr>
        <xdr:cNvPr id="65" name="コネクタ: カギ線 64">
          <a:extLst>
            <a:ext uri="{FF2B5EF4-FFF2-40B4-BE49-F238E27FC236}">
              <a16:creationId xmlns:a16="http://schemas.microsoft.com/office/drawing/2014/main" id="{F70BE80B-138A-430A-918C-2EC0A806F0B7}"/>
            </a:ext>
          </a:extLst>
        </xdr:cNvPr>
        <xdr:cNvCxnSpPr>
          <a:stCxn id="91" idx="3"/>
          <a:endCxn id="39" idx="2"/>
        </xdr:cNvCxnSpPr>
      </xdr:nvCxnSpPr>
      <xdr:spPr>
        <a:xfrm>
          <a:off x="12065000" y="6699250"/>
          <a:ext cx="482600" cy="76200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0</xdr:colOff>
      <xdr:row>34</xdr:row>
      <xdr:rowOff>95250</xdr:rowOff>
    </xdr:from>
    <xdr:to>
      <xdr:col>52</xdr:col>
      <xdr:colOff>0</xdr:colOff>
      <xdr:row>42</xdr:row>
      <xdr:rowOff>95250</xdr:rowOff>
    </xdr:to>
    <xdr:cxnSp macro="">
      <xdr:nvCxnSpPr>
        <xdr:cNvPr id="68" name="コネクタ: カギ線 67">
          <a:extLst>
            <a:ext uri="{FF2B5EF4-FFF2-40B4-BE49-F238E27FC236}">
              <a16:creationId xmlns:a16="http://schemas.microsoft.com/office/drawing/2014/main" id="{330DEC09-3C62-4744-9D09-8100ABBA1DAE}"/>
            </a:ext>
          </a:extLst>
        </xdr:cNvPr>
        <xdr:cNvCxnSpPr>
          <a:stCxn id="91" idx="3"/>
          <a:endCxn id="40" idx="2"/>
        </xdr:cNvCxnSpPr>
      </xdr:nvCxnSpPr>
      <xdr:spPr>
        <a:xfrm>
          <a:off x="12065000" y="6699250"/>
          <a:ext cx="482600" cy="152400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52</xdr:col>
      <xdr:colOff>0</xdr:colOff>
      <xdr:row>45</xdr:row>
      <xdr:rowOff>0</xdr:rowOff>
    </xdr:from>
    <xdr:to>
      <xdr:col>61</xdr:col>
      <xdr:colOff>0</xdr:colOff>
      <xdr:row>48</xdr:row>
      <xdr:rowOff>0</xdr:rowOff>
    </xdr:to>
    <xdr:sp macro="" textlink="">
      <xdr:nvSpPr>
        <xdr:cNvPr id="71" name="フローチャート: 磁気ディスク 70">
          <a:extLst>
            <a:ext uri="{FF2B5EF4-FFF2-40B4-BE49-F238E27FC236}">
              <a16:creationId xmlns:a16="http://schemas.microsoft.com/office/drawing/2014/main" id="{98568B6B-8233-453F-8339-B6DA98A7605C}"/>
            </a:ext>
          </a:extLst>
        </xdr:cNvPr>
        <xdr:cNvSpPr/>
      </xdr:nvSpPr>
      <xdr:spPr>
        <a:xfrm>
          <a:off x="12547600" y="8699500"/>
          <a:ext cx="2171700" cy="5715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none" lIns="36000" tIns="0" rIns="3600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storemaster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39</xdr:col>
      <xdr:colOff>0</xdr:colOff>
      <xdr:row>24</xdr:row>
      <xdr:rowOff>0</xdr:rowOff>
    </xdr:from>
    <xdr:to>
      <xdr:col>43</xdr:col>
      <xdr:colOff>0</xdr:colOff>
      <xdr:row>34</xdr:row>
      <xdr:rowOff>95250</xdr:rowOff>
    </xdr:to>
    <xdr:cxnSp macro="">
      <xdr:nvCxnSpPr>
        <xdr:cNvPr id="72" name="コネクタ: カギ線 71">
          <a:extLst>
            <a:ext uri="{FF2B5EF4-FFF2-40B4-BE49-F238E27FC236}">
              <a16:creationId xmlns:a16="http://schemas.microsoft.com/office/drawing/2014/main" id="{E5577CF5-DD1E-47F1-8530-CFCBA37922B9}"/>
            </a:ext>
          </a:extLst>
        </xdr:cNvPr>
        <xdr:cNvCxnSpPr>
          <a:stCxn id="34" idx="3"/>
          <a:endCxn id="91" idx="1"/>
        </xdr:cNvCxnSpPr>
      </xdr:nvCxnSpPr>
      <xdr:spPr>
        <a:xfrm>
          <a:off x="9410700" y="4699000"/>
          <a:ext cx="965200" cy="20002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50</xdr:row>
      <xdr:rowOff>0</xdr:rowOff>
    </xdr:from>
    <xdr:to>
      <xdr:col>41</xdr:col>
      <xdr:colOff>0</xdr:colOff>
      <xdr:row>53</xdr:row>
      <xdr:rowOff>0</xdr:rowOff>
    </xdr:to>
    <xdr:sp macro="" textlink="">
      <xdr:nvSpPr>
        <xdr:cNvPr id="75" name="四角形: 角を丸くする 74">
          <a:extLst>
            <a:ext uri="{FF2B5EF4-FFF2-40B4-BE49-F238E27FC236}">
              <a16:creationId xmlns:a16="http://schemas.microsoft.com/office/drawing/2014/main" id="{42D67110-B128-4646-9967-97B4FE0C2717}"/>
            </a:ext>
          </a:extLst>
        </xdr:cNvPr>
        <xdr:cNvSpPr/>
      </xdr:nvSpPr>
      <xdr:spPr>
        <a:xfrm>
          <a:off x="7962900" y="9652000"/>
          <a:ext cx="1930400" cy="5715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accent2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tIns="0" bIns="0" rtlCol="0" anchor="ctr"/>
        <a:lstStyle/>
        <a:p>
          <a:pPr marL="0" indent="0"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pos.luvina.net/</a:t>
          </a:r>
        </a:p>
        <a:p>
          <a:pPr marL="0" indent="0"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</a:t>
          </a: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本番に書込みに行く</a:t>
          </a:r>
        </a:p>
      </xdr:txBody>
    </xdr:sp>
    <xdr:clientData/>
  </xdr:twoCellAnchor>
  <xdr:twoCellAnchor>
    <xdr:from>
      <xdr:col>30</xdr:col>
      <xdr:colOff>0</xdr:colOff>
      <xdr:row>51</xdr:row>
      <xdr:rowOff>95250</xdr:rowOff>
    </xdr:from>
    <xdr:to>
      <xdr:col>33</xdr:col>
      <xdr:colOff>0</xdr:colOff>
      <xdr:row>51</xdr:row>
      <xdr:rowOff>95250</xdr:rowOff>
    </xdr:to>
    <xdr:cxnSp macro="">
      <xdr:nvCxnSpPr>
        <xdr:cNvPr id="77" name="コネクタ: カギ線 10">
          <a:extLst>
            <a:ext uri="{FF2B5EF4-FFF2-40B4-BE49-F238E27FC236}">
              <a16:creationId xmlns:a16="http://schemas.microsoft.com/office/drawing/2014/main" id="{33F01555-4264-4893-8FE3-E861E6ACB27A}"/>
            </a:ext>
          </a:extLst>
        </xdr:cNvPr>
        <xdr:cNvCxnSpPr>
          <a:stCxn id="42" idx="3"/>
          <a:endCxn id="75" idx="1"/>
        </xdr:cNvCxnSpPr>
      </xdr:nvCxnSpPr>
      <xdr:spPr>
        <a:xfrm>
          <a:off x="7239000" y="9937750"/>
          <a:ext cx="7239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0</xdr:colOff>
      <xdr:row>50</xdr:row>
      <xdr:rowOff>0</xdr:rowOff>
    </xdr:from>
    <xdr:to>
      <xdr:col>54</xdr:col>
      <xdr:colOff>0</xdr:colOff>
      <xdr:row>53</xdr:row>
      <xdr:rowOff>0</xdr:rowOff>
    </xdr:to>
    <xdr:sp macro="" textlink="">
      <xdr:nvSpPr>
        <xdr:cNvPr id="80" name="フローチャート: 磁気ディスク 79">
          <a:extLst>
            <a:ext uri="{FF2B5EF4-FFF2-40B4-BE49-F238E27FC236}">
              <a16:creationId xmlns:a16="http://schemas.microsoft.com/office/drawing/2014/main" id="{BFF24C49-ABFC-4B9D-84E6-AA9045EF1A25}"/>
            </a:ext>
          </a:extLst>
        </xdr:cNvPr>
        <xdr:cNvSpPr/>
      </xdr:nvSpPr>
      <xdr:spPr>
        <a:xfrm>
          <a:off x="10858500" y="9652000"/>
          <a:ext cx="2171700" cy="5715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none" lIns="36000" tIns="0" rIns="3600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ALL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51</xdr:row>
      <xdr:rowOff>95250</xdr:rowOff>
    </xdr:from>
    <xdr:to>
      <xdr:col>45</xdr:col>
      <xdr:colOff>0</xdr:colOff>
      <xdr:row>51</xdr:row>
      <xdr:rowOff>95250</xdr:rowOff>
    </xdr:to>
    <xdr:cxnSp macro="">
      <xdr:nvCxnSpPr>
        <xdr:cNvPr id="81" name="コネクタ: カギ線 10">
          <a:extLst>
            <a:ext uri="{FF2B5EF4-FFF2-40B4-BE49-F238E27FC236}">
              <a16:creationId xmlns:a16="http://schemas.microsoft.com/office/drawing/2014/main" id="{49350C34-622A-46D2-8214-6BD042457BC5}"/>
            </a:ext>
          </a:extLst>
        </xdr:cNvPr>
        <xdr:cNvCxnSpPr>
          <a:stCxn id="75" idx="3"/>
          <a:endCxn id="80" idx="2"/>
        </xdr:cNvCxnSpPr>
      </xdr:nvCxnSpPr>
      <xdr:spPr>
        <a:xfrm>
          <a:off x="9893300" y="9937750"/>
          <a:ext cx="9652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9</xdr:row>
      <xdr:rowOff>0</xdr:rowOff>
    </xdr:from>
    <xdr:to>
      <xdr:col>11</xdr:col>
      <xdr:colOff>0</xdr:colOff>
      <xdr:row>9</xdr:row>
      <xdr:rowOff>0</xdr:rowOff>
    </xdr:to>
    <xdr:cxnSp macro="">
      <xdr:nvCxnSpPr>
        <xdr:cNvPr id="84" name="コネクタ: カギ線 10">
          <a:extLst>
            <a:ext uri="{FF2B5EF4-FFF2-40B4-BE49-F238E27FC236}">
              <a16:creationId xmlns:a16="http://schemas.microsoft.com/office/drawing/2014/main" id="{C55C9171-F4CC-474B-972B-2AC13FDA70B0}"/>
            </a:ext>
          </a:extLst>
        </xdr:cNvPr>
        <xdr:cNvCxnSpPr>
          <a:stCxn id="2" idx="3"/>
          <a:endCxn id="3" idx="1"/>
        </xdr:cNvCxnSpPr>
      </xdr:nvCxnSpPr>
      <xdr:spPr>
        <a:xfrm>
          <a:off x="1930400" y="1841500"/>
          <a:ext cx="7239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0</xdr:colOff>
      <xdr:row>16</xdr:row>
      <xdr:rowOff>0</xdr:rowOff>
    </xdr:from>
    <xdr:to>
      <xdr:col>50</xdr:col>
      <xdr:colOff>0</xdr:colOff>
      <xdr:row>19</xdr:row>
      <xdr:rowOff>0</xdr:rowOff>
    </xdr:to>
    <xdr:sp macro="" textlink="">
      <xdr:nvSpPr>
        <xdr:cNvPr id="12" name="フローチャート: 代替処理 11">
          <a:extLst>
            <a:ext uri="{FF2B5EF4-FFF2-40B4-BE49-F238E27FC236}">
              <a16:creationId xmlns:a16="http://schemas.microsoft.com/office/drawing/2014/main" id="{C2CB2967-9C47-42C3-192C-40B8948ED11B}"/>
            </a:ext>
          </a:extLst>
        </xdr:cNvPr>
        <xdr:cNvSpPr/>
      </xdr:nvSpPr>
      <xdr:spPr>
        <a:xfrm>
          <a:off x="10375900" y="3175000"/>
          <a:ext cx="1689100" cy="571500"/>
        </a:xfrm>
        <a:prstGeom prst="flowChartAlternate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tIns="0" bIns="0" rtlCol="0" anchor="ctr"/>
        <a:lstStyle/>
        <a:p>
          <a:pPr algn="ctr"/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check-update</a:t>
          </a:r>
          <a:endParaRPr kumimoji="1" lang="ja-JP" altLang="en-US" sz="11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50</xdr:col>
      <xdr:colOff>0</xdr:colOff>
      <xdr:row>17</xdr:row>
      <xdr:rowOff>95250</xdr:rowOff>
    </xdr:from>
    <xdr:to>
      <xdr:col>52</xdr:col>
      <xdr:colOff>0</xdr:colOff>
      <xdr:row>17</xdr:row>
      <xdr:rowOff>95250</xdr:rowOff>
    </xdr:to>
    <xdr:cxnSp macro="">
      <xdr:nvCxnSpPr>
        <xdr:cNvPr id="27" name="コネクタ: カギ線 26">
          <a:extLst>
            <a:ext uri="{FF2B5EF4-FFF2-40B4-BE49-F238E27FC236}">
              <a16:creationId xmlns:a16="http://schemas.microsoft.com/office/drawing/2014/main" id="{9CADA8C4-4F4E-4B35-870F-EAC7712BD407}"/>
            </a:ext>
          </a:extLst>
        </xdr:cNvPr>
        <xdr:cNvCxnSpPr>
          <a:stCxn id="12" idx="3"/>
          <a:endCxn id="7" idx="2"/>
        </xdr:cNvCxnSpPr>
      </xdr:nvCxnSpPr>
      <xdr:spPr>
        <a:xfrm>
          <a:off x="12065000" y="3460750"/>
          <a:ext cx="4826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0</xdr:colOff>
      <xdr:row>21</xdr:row>
      <xdr:rowOff>0</xdr:rowOff>
    </xdr:from>
    <xdr:to>
      <xdr:col>50</xdr:col>
      <xdr:colOff>0</xdr:colOff>
      <xdr:row>27</xdr:row>
      <xdr:rowOff>0</xdr:rowOff>
    </xdr:to>
    <xdr:sp macro="" textlink="">
      <xdr:nvSpPr>
        <xdr:cNvPr id="49" name="フローチャート: 代替処理 48">
          <a:extLst>
            <a:ext uri="{FF2B5EF4-FFF2-40B4-BE49-F238E27FC236}">
              <a16:creationId xmlns:a16="http://schemas.microsoft.com/office/drawing/2014/main" id="{2A284F58-106E-4746-AE1F-7F2121558A41}"/>
            </a:ext>
          </a:extLst>
        </xdr:cNvPr>
        <xdr:cNvSpPr/>
      </xdr:nvSpPr>
      <xdr:spPr>
        <a:xfrm>
          <a:off x="10375900" y="4127500"/>
          <a:ext cx="1689100" cy="1143000"/>
        </a:xfrm>
        <a:prstGeom prst="flowChartAlternate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tIns="0" bIns="0" rtlCol="0" anchor="ctr"/>
        <a:lstStyle/>
        <a:p>
          <a:pPr algn="ctr"/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Charge_Log</a:t>
          </a:r>
          <a:b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</a:b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Charge_CHK</a:t>
          </a:r>
          <a:b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</a:b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Charge_journal</a:t>
          </a:r>
          <a:b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</a:b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Charge_CHK_finish</a:t>
          </a:r>
          <a:endParaRPr kumimoji="1" lang="ja-JP" altLang="en-US" sz="11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0</xdr:colOff>
      <xdr:row>24</xdr:row>
      <xdr:rowOff>0</xdr:rowOff>
    </xdr:from>
    <xdr:to>
      <xdr:col>43</xdr:col>
      <xdr:colOff>0</xdr:colOff>
      <xdr:row>24</xdr:row>
      <xdr:rowOff>0</xdr:rowOff>
    </xdr:to>
    <xdr:cxnSp macro="">
      <xdr:nvCxnSpPr>
        <xdr:cNvPr id="51" name="コネクタ: カギ線 10">
          <a:extLst>
            <a:ext uri="{FF2B5EF4-FFF2-40B4-BE49-F238E27FC236}">
              <a16:creationId xmlns:a16="http://schemas.microsoft.com/office/drawing/2014/main" id="{92C6E922-E7E3-4DB9-8A90-D21FDCDA1082}"/>
            </a:ext>
          </a:extLst>
        </xdr:cNvPr>
        <xdr:cNvCxnSpPr>
          <a:stCxn id="34" idx="3"/>
          <a:endCxn id="49" idx="1"/>
        </xdr:cNvCxnSpPr>
      </xdr:nvCxnSpPr>
      <xdr:spPr>
        <a:xfrm>
          <a:off x="9410700" y="4699000"/>
          <a:ext cx="9652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0</xdr:colOff>
      <xdr:row>22</xdr:row>
      <xdr:rowOff>95250</xdr:rowOff>
    </xdr:from>
    <xdr:to>
      <xdr:col>52</xdr:col>
      <xdr:colOff>0</xdr:colOff>
      <xdr:row>24</xdr:row>
      <xdr:rowOff>0</xdr:rowOff>
    </xdr:to>
    <xdr:cxnSp macro="">
      <xdr:nvCxnSpPr>
        <xdr:cNvPr id="48" name="コネクタ: カギ線 10">
          <a:extLst>
            <a:ext uri="{FF2B5EF4-FFF2-40B4-BE49-F238E27FC236}">
              <a16:creationId xmlns:a16="http://schemas.microsoft.com/office/drawing/2014/main" id="{DAAE587C-A863-4E37-A42F-AA8D7B326699}"/>
            </a:ext>
          </a:extLst>
        </xdr:cNvPr>
        <xdr:cNvCxnSpPr>
          <a:stCxn id="49" idx="3"/>
          <a:endCxn id="35" idx="2"/>
        </xdr:cNvCxnSpPr>
      </xdr:nvCxnSpPr>
      <xdr:spPr>
        <a:xfrm flipV="1">
          <a:off x="12065000" y="4413250"/>
          <a:ext cx="482600" cy="2857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0</xdr:colOff>
      <xdr:row>29</xdr:row>
      <xdr:rowOff>0</xdr:rowOff>
    </xdr:from>
    <xdr:to>
      <xdr:col>50</xdr:col>
      <xdr:colOff>0</xdr:colOff>
      <xdr:row>32</xdr:row>
      <xdr:rowOff>0</xdr:rowOff>
    </xdr:to>
    <xdr:sp macro="" textlink="">
      <xdr:nvSpPr>
        <xdr:cNvPr id="89" name="フローチャート: 代替処理 88">
          <a:extLst>
            <a:ext uri="{FF2B5EF4-FFF2-40B4-BE49-F238E27FC236}">
              <a16:creationId xmlns:a16="http://schemas.microsoft.com/office/drawing/2014/main" id="{1E685E36-4185-4487-97DD-748ED742F048}"/>
            </a:ext>
          </a:extLst>
        </xdr:cNvPr>
        <xdr:cNvSpPr/>
      </xdr:nvSpPr>
      <xdr:spPr>
        <a:xfrm>
          <a:off x="10375900" y="5651500"/>
          <a:ext cx="1689100" cy="571500"/>
        </a:xfrm>
        <a:prstGeom prst="flowChartAlternate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tIns="0" bIns="0" rtlCol="0" anchor="ctr"/>
        <a:lstStyle/>
        <a:p>
          <a:pPr algn="ctr"/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employee/get</a:t>
          </a:r>
          <a:endParaRPr kumimoji="1" lang="ja-JP" altLang="en-US" sz="11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43</xdr:col>
      <xdr:colOff>0</xdr:colOff>
      <xdr:row>33</xdr:row>
      <xdr:rowOff>0</xdr:rowOff>
    </xdr:from>
    <xdr:to>
      <xdr:col>50</xdr:col>
      <xdr:colOff>0</xdr:colOff>
      <xdr:row>36</xdr:row>
      <xdr:rowOff>0</xdr:rowOff>
    </xdr:to>
    <xdr:sp macro="" textlink="">
      <xdr:nvSpPr>
        <xdr:cNvPr id="91" name="フローチャート: 代替処理 90">
          <a:extLst>
            <a:ext uri="{FF2B5EF4-FFF2-40B4-BE49-F238E27FC236}">
              <a16:creationId xmlns:a16="http://schemas.microsoft.com/office/drawing/2014/main" id="{04CA2CE6-33F0-4BD9-969E-7146FEC5CEFB}"/>
            </a:ext>
          </a:extLst>
        </xdr:cNvPr>
        <xdr:cNvSpPr/>
      </xdr:nvSpPr>
      <xdr:spPr>
        <a:xfrm>
          <a:off x="10375900" y="6413500"/>
          <a:ext cx="1689100" cy="571500"/>
        </a:xfrm>
        <a:prstGeom prst="flowChartAlternate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tIns="0" bIns="0" rtlCol="0" anchor="ctr"/>
        <a:lstStyle/>
        <a:p>
          <a:pPr algn="ctr"/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LogController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？</a:t>
          </a:r>
        </a:p>
      </xdr:txBody>
    </xdr:sp>
    <xdr:clientData/>
  </xdr:twoCellAnchor>
  <xdr:twoCellAnchor>
    <xdr:from>
      <xdr:col>50</xdr:col>
      <xdr:colOff>0</xdr:colOff>
      <xdr:row>30</xdr:row>
      <xdr:rowOff>95250</xdr:rowOff>
    </xdr:from>
    <xdr:to>
      <xdr:col>52</xdr:col>
      <xdr:colOff>0</xdr:colOff>
      <xdr:row>30</xdr:row>
      <xdr:rowOff>95250</xdr:rowOff>
    </xdr:to>
    <xdr:cxnSp macro="">
      <xdr:nvCxnSpPr>
        <xdr:cNvPr id="92" name="コネクタ: カギ線 13">
          <a:extLst>
            <a:ext uri="{FF2B5EF4-FFF2-40B4-BE49-F238E27FC236}">
              <a16:creationId xmlns:a16="http://schemas.microsoft.com/office/drawing/2014/main" id="{EA4048AC-ADC7-45D3-8351-D6AA59259D51}"/>
            </a:ext>
          </a:extLst>
        </xdr:cNvPr>
        <xdr:cNvCxnSpPr>
          <a:stCxn id="89" idx="3"/>
          <a:endCxn id="37" idx="2"/>
        </xdr:cNvCxnSpPr>
      </xdr:nvCxnSpPr>
      <xdr:spPr>
        <a:xfrm>
          <a:off x="12065000" y="5937250"/>
          <a:ext cx="4826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0</xdr:colOff>
      <xdr:row>34</xdr:row>
      <xdr:rowOff>95250</xdr:rowOff>
    </xdr:from>
    <xdr:to>
      <xdr:col>52</xdr:col>
      <xdr:colOff>0</xdr:colOff>
      <xdr:row>34</xdr:row>
      <xdr:rowOff>95250</xdr:rowOff>
    </xdr:to>
    <xdr:cxnSp macro="">
      <xdr:nvCxnSpPr>
        <xdr:cNvPr id="106" name="コネクタ: カギ線 13">
          <a:extLst>
            <a:ext uri="{FF2B5EF4-FFF2-40B4-BE49-F238E27FC236}">
              <a16:creationId xmlns:a16="http://schemas.microsoft.com/office/drawing/2014/main" id="{4EE21E16-7FA3-48E3-A2C8-A0A53B2F3A50}"/>
            </a:ext>
          </a:extLst>
        </xdr:cNvPr>
        <xdr:cNvCxnSpPr>
          <a:stCxn id="91" idx="3"/>
          <a:endCxn id="38" idx="2"/>
        </xdr:cNvCxnSpPr>
      </xdr:nvCxnSpPr>
      <xdr:spPr>
        <a:xfrm>
          <a:off x="12065000" y="6699250"/>
          <a:ext cx="4826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0</xdr:rowOff>
    </xdr:from>
    <xdr:to>
      <xdr:col>8</xdr:col>
      <xdr:colOff>0</xdr:colOff>
      <xdr:row>11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837E430C-D378-4397-95D2-6C078F9F9F62}"/>
            </a:ext>
          </a:extLst>
        </xdr:cNvPr>
        <xdr:cNvSpPr/>
      </xdr:nvSpPr>
      <xdr:spPr>
        <a:xfrm>
          <a:off x="476250" y="1447800"/>
          <a:ext cx="142875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>
          <a:noAutofit/>
        </a:bodyPr>
        <a:lstStyle/>
        <a:p>
          <a:pPr algn="ctr">
            <a:lnSpc>
              <a:spcPts val="1320"/>
            </a:lnSpc>
          </a:pP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POS-Staging</a:t>
          </a:r>
        </a:p>
      </xdr:txBody>
    </xdr:sp>
    <xdr:clientData/>
  </xdr:twoCellAnchor>
  <xdr:twoCellAnchor>
    <xdr:from>
      <xdr:col>11</xdr:col>
      <xdr:colOff>0</xdr:colOff>
      <xdr:row>7</xdr:row>
      <xdr:rowOff>0</xdr:rowOff>
    </xdr:from>
    <xdr:to>
      <xdr:col>29</xdr:col>
      <xdr:colOff>0</xdr:colOff>
      <xdr:row>11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6D6809B7-0394-4A1B-9A2F-FA3CDFB93516}"/>
            </a:ext>
          </a:extLst>
        </xdr:cNvPr>
        <xdr:cNvSpPr/>
      </xdr:nvSpPr>
      <xdr:spPr>
        <a:xfrm>
          <a:off x="2619375" y="1447800"/>
          <a:ext cx="4286250" cy="762000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https://t3.usmh-fjservice.com/pos/v1/setting/device/get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21</xdr:col>
      <xdr:colOff>0</xdr:colOff>
      <xdr:row>12</xdr:row>
      <xdr:rowOff>0</xdr:rowOff>
    </xdr:from>
    <xdr:to>
      <xdr:col>29</xdr:col>
      <xdr:colOff>0</xdr:colOff>
      <xdr:row>15</xdr:row>
      <xdr:rowOff>0</xdr:rowOff>
    </xdr:to>
    <xdr:sp macro="" textlink="">
      <xdr:nvSpPr>
        <xdr:cNvPr id="4" name="四角形: 角を丸くする 3">
          <a:extLst>
            <a:ext uri="{FF2B5EF4-FFF2-40B4-BE49-F238E27FC236}">
              <a16:creationId xmlns:a16="http://schemas.microsoft.com/office/drawing/2014/main" id="{61FBA512-3AB4-470A-ABA0-F4DEC7B9AF9F}"/>
            </a:ext>
          </a:extLst>
        </xdr:cNvPr>
        <xdr:cNvSpPr/>
      </xdr:nvSpPr>
      <xdr:spPr>
        <a:xfrm>
          <a:off x="5000625" y="2400300"/>
          <a:ext cx="1905000" cy="5715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accent2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"device_class":9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33</xdr:col>
      <xdr:colOff>0</xdr:colOff>
      <xdr:row>12</xdr:row>
      <xdr:rowOff>0</xdr:rowOff>
    </xdr:from>
    <xdr:to>
      <xdr:col>41</xdr:col>
      <xdr:colOff>0</xdr:colOff>
      <xdr:row>15</xdr:row>
      <xdr:rowOff>0</xdr:rowOff>
    </xdr:to>
    <xdr:sp macro="" textlink="">
      <xdr:nvSpPr>
        <xdr:cNvPr id="5" name="四角形: 角を丸くする 4">
          <a:extLst>
            <a:ext uri="{FF2B5EF4-FFF2-40B4-BE49-F238E27FC236}">
              <a16:creationId xmlns:a16="http://schemas.microsoft.com/office/drawing/2014/main" id="{1E5E509E-FDB1-45C0-AD5B-4E92224DF9EC}"/>
            </a:ext>
          </a:extLst>
        </xdr:cNvPr>
        <xdr:cNvSpPr/>
      </xdr:nvSpPr>
      <xdr:spPr>
        <a:xfrm>
          <a:off x="7858125" y="2400300"/>
          <a:ext cx="1905000" cy="5715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accent2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tIns="0" bIns="0" rtlCol="0" anchor="ctr"/>
        <a:lstStyle/>
        <a:p>
          <a:pPr marL="0" indent="0"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posstg.luvina.ne</a:t>
          </a:r>
          <a:b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</a:b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</a:t>
          </a: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検証環境に書込みに行く</a:t>
          </a:r>
        </a:p>
      </xdr:txBody>
    </xdr:sp>
    <xdr:clientData/>
  </xdr:twoCellAnchor>
  <xdr:twoCellAnchor>
    <xdr:from>
      <xdr:col>45</xdr:col>
      <xdr:colOff>0</xdr:colOff>
      <xdr:row>12</xdr:row>
      <xdr:rowOff>0</xdr:rowOff>
    </xdr:from>
    <xdr:to>
      <xdr:col>54</xdr:col>
      <xdr:colOff>0</xdr:colOff>
      <xdr:row>15</xdr:row>
      <xdr:rowOff>0</xdr:rowOff>
    </xdr:to>
    <xdr:sp macro="" textlink="">
      <xdr:nvSpPr>
        <xdr:cNvPr id="6" name="フローチャート: 磁気ディスク 5">
          <a:extLst>
            <a:ext uri="{FF2B5EF4-FFF2-40B4-BE49-F238E27FC236}">
              <a16:creationId xmlns:a16="http://schemas.microsoft.com/office/drawing/2014/main" id="{C17C0B58-9A40-4152-A75C-D357C7D8E0FD}"/>
            </a:ext>
          </a:extLst>
        </xdr:cNvPr>
        <xdr:cNvSpPr/>
      </xdr:nvSpPr>
      <xdr:spPr>
        <a:xfrm>
          <a:off x="10715625" y="2400300"/>
          <a:ext cx="2143125" cy="5715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none" lIns="36000" tIns="0" rIns="3600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ALL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20</xdr:col>
      <xdr:colOff>0</xdr:colOff>
      <xdr:row>11</xdr:row>
      <xdr:rowOff>0</xdr:rowOff>
    </xdr:from>
    <xdr:to>
      <xdr:col>21</xdr:col>
      <xdr:colOff>0</xdr:colOff>
      <xdr:row>13</xdr:row>
      <xdr:rowOff>95250</xdr:rowOff>
    </xdr:to>
    <xdr:cxnSp macro="">
      <xdr:nvCxnSpPr>
        <xdr:cNvPr id="8" name="コネクタ: カギ線 7">
          <a:extLst>
            <a:ext uri="{FF2B5EF4-FFF2-40B4-BE49-F238E27FC236}">
              <a16:creationId xmlns:a16="http://schemas.microsoft.com/office/drawing/2014/main" id="{DCEB7E53-E9A2-4B4E-811D-B8EB87F2894E}"/>
            </a:ext>
          </a:extLst>
        </xdr:cNvPr>
        <xdr:cNvCxnSpPr>
          <a:stCxn id="3" idx="2"/>
          <a:endCxn id="4" idx="1"/>
        </xdr:cNvCxnSpPr>
      </xdr:nvCxnSpPr>
      <xdr:spPr>
        <a:xfrm rot="16200000" flipH="1">
          <a:off x="4643438" y="2328862"/>
          <a:ext cx="476250" cy="238125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0</xdr:colOff>
      <xdr:row>13</xdr:row>
      <xdr:rowOff>95250</xdr:rowOff>
    </xdr:from>
    <xdr:to>
      <xdr:col>45</xdr:col>
      <xdr:colOff>0</xdr:colOff>
      <xdr:row>13</xdr:row>
      <xdr:rowOff>95250</xdr:rowOff>
    </xdr:to>
    <xdr:cxnSp macro="">
      <xdr:nvCxnSpPr>
        <xdr:cNvPr id="9" name="コネクタ: カギ線 10">
          <a:extLst>
            <a:ext uri="{FF2B5EF4-FFF2-40B4-BE49-F238E27FC236}">
              <a16:creationId xmlns:a16="http://schemas.microsoft.com/office/drawing/2014/main" id="{8DC0A3E5-A2E7-4B6B-BE9F-A477EF7F61E3}"/>
            </a:ext>
          </a:extLst>
        </xdr:cNvPr>
        <xdr:cNvCxnSpPr>
          <a:stCxn id="5" idx="3"/>
          <a:endCxn id="6" idx="2"/>
        </xdr:cNvCxnSpPr>
      </xdr:nvCxnSpPr>
      <xdr:spPr>
        <a:xfrm>
          <a:off x="9763125" y="2686050"/>
          <a:ext cx="9525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13</xdr:row>
      <xdr:rowOff>95250</xdr:rowOff>
    </xdr:from>
    <xdr:to>
      <xdr:col>33</xdr:col>
      <xdr:colOff>0</xdr:colOff>
      <xdr:row>13</xdr:row>
      <xdr:rowOff>95250</xdr:rowOff>
    </xdr:to>
    <xdr:cxnSp macro="">
      <xdr:nvCxnSpPr>
        <xdr:cNvPr id="10" name="コネクタ: カギ線 13">
          <a:extLst>
            <a:ext uri="{FF2B5EF4-FFF2-40B4-BE49-F238E27FC236}">
              <a16:creationId xmlns:a16="http://schemas.microsoft.com/office/drawing/2014/main" id="{7A199D4C-C626-49FF-B3F5-889928CF96C6}"/>
            </a:ext>
          </a:extLst>
        </xdr:cNvPr>
        <xdr:cNvCxnSpPr>
          <a:stCxn id="4" idx="3"/>
          <a:endCxn id="5" idx="1"/>
        </xdr:cNvCxnSpPr>
      </xdr:nvCxnSpPr>
      <xdr:spPr>
        <a:xfrm>
          <a:off x="6905625" y="2686050"/>
          <a:ext cx="9525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0</xdr:colOff>
      <xdr:row>11</xdr:row>
      <xdr:rowOff>0</xdr:rowOff>
    </xdr:from>
    <xdr:to>
      <xdr:col>21</xdr:col>
      <xdr:colOff>0</xdr:colOff>
      <xdr:row>18</xdr:row>
      <xdr:rowOff>95250</xdr:rowOff>
    </xdr:to>
    <xdr:cxnSp macro="">
      <xdr:nvCxnSpPr>
        <xdr:cNvPr id="19" name="コネクタ: カギ線 18">
          <a:extLst>
            <a:ext uri="{FF2B5EF4-FFF2-40B4-BE49-F238E27FC236}">
              <a16:creationId xmlns:a16="http://schemas.microsoft.com/office/drawing/2014/main" id="{3EA7F309-704E-480F-AA15-6C653E38EAFD}"/>
            </a:ext>
          </a:extLst>
        </xdr:cNvPr>
        <xdr:cNvCxnSpPr>
          <a:stCxn id="3" idx="2"/>
          <a:endCxn id="20" idx="1"/>
        </xdr:cNvCxnSpPr>
      </xdr:nvCxnSpPr>
      <xdr:spPr>
        <a:xfrm rot="16200000" flipH="1">
          <a:off x="4232275" y="2816225"/>
          <a:ext cx="1428750" cy="241300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0</xdr:colOff>
      <xdr:row>17</xdr:row>
      <xdr:rowOff>0</xdr:rowOff>
    </xdr:from>
    <xdr:to>
      <xdr:col>29</xdr:col>
      <xdr:colOff>0</xdr:colOff>
      <xdr:row>20</xdr:row>
      <xdr:rowOff>0</xdr:rowOff>
    </xdr:to>
    <xdr:sp macro="" textlink="">
      <xdr:nvSpPr>
        <xdr:cNvPr id="20" name="四角形: 角を丸くする 19">
          <a:extLst>
            <a:ext uri="{FF2B5EF4-FFF2-40B4-BE49-F238E27FC236}">
              <a16:creationId xmlns:a16="http://schemas.microsoft.com/office/drawing/2014/main" id="{8ECA32EF-27F0-4B35-BFA8-C69299274C4A}"/>
            </a:ext>
          </a:extLst>
        </xdr:cNvPr>
        <xdr:cNvSpPr/>
      </xdr:nvSpPr>
      <xdr:spPr>
        <a:xfrm>
          <a:off x="5067300" y="3365500"/>
          <a:ext cx="1930400" cy="5715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accent2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"device_class":1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8</xdr:col>
      <xdr:colOff>0</xdr:colOff>
      <xdr:row>9</xdr:row>
      <xdr:rowOff>0</xdr:rowOff>
    </xdr:from>
    <xdr:to>
      <xdr:col>11</xdr:col>
      <xdr:colOff>0</xdr:colOff>
      <xdr:row>9</xdr:row>
      <xdr:rowOff>0</xdr:rowOff>
    </xdr:to>
    <xdr:cxnSp macro="">
      <xdr:nvCxnSpPr>
        <xdr:cNvPr id="34" name="コネクタ: カギ線 10">
          <a:extLst>
            <a:ext uri="{FF2B5EF4-FFF2-40B4-BE49-F238E27FC236}">
              <a16:creationId xmlns:a16="http://schemas.microsoft.com/office/drawing/2014/main" id="{7DD93EDB-D268-4187-9C53-94811341DCEF}"/>
            </a:ext>
          </a:extLst>
        </xdr:cNvPr>
        <xdr:cNvCxnSpPr>
          <a:stCxn id="2" idx="3"/>
          <a:endCxn id="3" idx="1"/>
        </xdr:cNvCxnSpPr>
      </xdr:nvCxnSpPr>
      <xdr:spPr>
        <a:xfrm>
          <a:off x="1905000" y="1828800"/>
          <a:ext cx="714375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17</xdr:row>
      <xdr:rowOff>0</xdr:rowOff>
    </xdr:from>
    <xdr:to>
      <xdr:col>61</xdr:col>
      <xdr:colOff>0</xdr:colOff>
      <xdr:row>21</xdr:row>
      <xdr:rowOff>0</xdr:rowOff>
    </xdr:to>
    <xdr:sp macro="" textlink="">
      <xdr:nvSpPr>
        <xdr:cNvPr id="40" name="吹き出し: 線 39">
          <a:extLst>
            <a:ext uri="{FF2B5EF4-FFF2-40B4-BE49-F238E27FC236}">
              <a16:creationId xmlns:a16="http://schemas.microsoft.com/office/drawing/2014/main" id="{535C8B9A-B7DE-4938-A5FD-3373633B7BCA}"/>
            </a:ext>
          </a:extLst>
        </xdr:cNvPr>
        <xdr:cNvSpPr/>
      </xdr:nvSpPr>
      <xdr:spPr>
        <a:xfrm>
          <a:off x="7962900" y="3365500"/>
          <a:ext cx="6756400" cy="762000"/>
        </a:xfrm>
        <a:prstGeom prst="borderCallout1">
          <a:avLst>
            <a:gd name="adj1" fmla="val 75416"/>
            <a:gd name="adj2" fmla="val -565"/>
            <a:gd name="adj3" fmla="val 39166"/>
            <a:gd name="adj4" fmla="val -14894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設定できない。</a:t>
          </a:r>
          <a:b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</a:b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設定画面で、本番用の設定を行うと、「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https://product-pos.usmh-fjservice.com/pos/v1/</a:t>
          </a:r>
          <a:r>
            <a:rPr kumimoji="1" lang="en-US" altLang="ja-JP" sz="1100" b="1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fake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pos-token</a:t>
          </a: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」</a:t>
          </a:r>
          <a:br>
            <a:rPr kumimoji="1" lang="en-US" altLang="ja-JP" sz="11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</a:br>
          <a:r>
            <a:rPr kumimoji="1" lang="ja-JP" altLang="en-US" sz="11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に、</a:t>
          </a:r>
          <a:r>
            <a:rPr kumimoji="1" lang="en-US" altLang="ja-JP" sz="1100" b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pos-token</a:t>
          </a:r>
          <a:r>
            <a:rPr kumimoji="1" lang="ja-JP" altLang="en-US" sz="1100" b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を取得しに行くため、エラーになる。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DE4C5-6D8A-49DD-B432-686DE91DED8F}">
  <sheetPr>
    <pageSetUpPr fitToPage="1"/>
  </sheetPr>
  <dimension ref="A1:BK55"/>
  <sheetViews>
    <sheetView view="pageBreakPreview" zoomScale="75" zoomScaleNormal="75" zoomScaleSheetLayoutView="75" workbookViewId="0">
      <selection activeCell="A6" sqref="A6"/>
    </sheetView>
  </sheetViews>
  <sheetFormatPr defaultColWidth="2.77734375" defaultRowHeight="15" customHeight="1" x14ac:dyDescent="0.25"/>
  <sheetData>
    <row r="1" spans="1:63" ht="24.95" customHeight="1" x14ac:dyDescent="0.25">
      <c r="A1" s="19" t="s">
        <v>0</v>
      </c>
      <c r="B1" s="20"/>
      <c r="C1" s="20"/>
      <c r="D1" s="20"/>
      <c r="E1" s="20"/>
      <c r="F1" s="20"/>
      <c r="G1" s="20"/>
      <c r="H1" s="20"/>
      <c r="I1" s="20"/>
      <c r="J1" s="21"/>
      <c r="K1" s="19" t="s">
        <v>2</v>
      </c>
      <c r="L1" s="20"/>
      <c r="M1" s="20"/>
      <c r="N1" s="20"/>
      <c r="O1" s="20"/>
      <c r="P1" s="20"/>
      <c r="Q1" s="20"/>
      <c r="R1" s="20"/>
      <c r="S1" s="20"/>
      <c r="T1" s="20"/>
      <c r="U1" s="20"/>
      <c r="V1" s="21"/>
      <c r="W1" s="28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30"/>
      <c r="AP1" s="19" t="s">
        <v>3</v>
      </c>
      <c r="AQ1" s="20"/>
      <c r="AR1" s="20"/>
      <c r="AS1" s="21"/>
      <c r="AT1" s="19" t="s">
        <v>4</v>
      </c>
      <c r="AU1" s="20"/>
      <c r="AV1" s="20"/>
      <c r="AW1" s="20"/>
      <c r="AX1" s="21"/>
      <c r="AY1" s="19" t="s">
        <v>5</v>
      </c>
      <c r="AZ1" s="20"/>
      <c r="BA1" s="20"/>
      <c r="BB1" s="21"/>
      <c r="BC1" s="19" t="s">
        <v>6</v>
      </c>
      <c r="BD1" s="20"/>
      <c r="BE1" s="20"/>
      <c r="BF1" s="20"/>
      <c r="BG1" s="21"/>
      <c r="BH1" s="19" t="s">
        <v>7</v>
      </c>
      <c r="BI1" s="20"/>
      <c r="BJ1" s="20"/>
      <c r="BK1" s="21"/>
    </row>
    <row r="2" spans="1:63" ht="15" customHeight="1" x14ac:dyDescent="0.25">
      <c r="A2" s="22" t="s">
        <v>14</v>
      </c>
      <c r="B2" s="23"/>
      <c r="C2" s="23"/>
      <c r="D2" s="23"/>
      <c r="E2" s="23"/>
      <c r="F2" s="23"/>
      <c r="G2" s="23"/>
      <c r="H2" s="23"/>
      <c r="I2" s="23"/>
      <c r="J2" s="24"/>
      <c r="K2" s="22"/>
      <c r="L2" s="23"/>
      <c r="M2" s="23"/>
      <c r="N2" s="23"/>
      <c r="O2" s="23"/>
      <c r="P2" s="23"/>
      <c r="Q2" s="23"/>
      <c r="R2" s="23"/>
      <c r="S2" s="23"/>
      <c r="T2" s="23"/>
      <c r="U2" s="23"/>
      <c r="V2" s="24"/>
      <c r="W2" s="31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3"/>
      <c r="AP2" s="22" t="str">
        <f>改廃履歴!$H$11</f>
        <v>Thanh Nguyên</v>
      </c>
      <c r="AQ2" s="23"/>
      <c r="AR2" s="23"/>
      <c r="AS2" s="24"/>
      <c r="AT2" s="43">
        <f>改廃履歴!$B$11</f>
        <v>45189</v>
      </c>
      <c r="AU2" s="44"/>
      <c r="AV2" s="44"/>
      <c r="AW2" s="44"/>
      <c r="AX2" s="45"/>
      <c r="AY2" s="22" t="str">
        <f>LOOKUP(2,1/(改廃履歴!H11:H30000&lt;&gt;""),改廃履歴!H11:H30000)</f>
        <v>Thanh Nguyên</v>
      </c>
      <c r="AZ2" s="23"/>
      <c r="BA2" s="23"/>
      <c r="BB2" s="24"/>
      <c r="BC2" s="43">
        <f>LOOKUP(2,1/(改廃履歴!B11:B30000&lt;&gt;""),改廃履歴!B11:B30000)</f>
        <v>45189</v>
      </c>
      <c r="BD2" s="44"/>
      <c r="BE2" s="44"/>
      <c r="BF2" s="44"/>
      <c r="BG2" s="45"/>
      <c r="BH2" s="37">
        <f>LOOKUP(2,1/(改廃履歴!O11:O30000&lt;&gt;""),改廃履歴!O11:O30000)</f>
        <v>1</v>
      </c>
      <c r="BI2" s="38"/>
      <c r="BJ2" s="38"/>
      <c r="BK2" s="39"/>
    </row>
    <row r="3" spans="1:63" ht="15" customHeight="1" x14ac:dyDescent="0.25">
      <c r="A3" s="25"/>
      <c r="B3" s="26"/>
      <c r="C3" s="26"/>
      <c r="D3" s="26"/>
      <c r="E3" s="26"/>
      <c r="F3" s="26"/>
      <c r="G3" s="26"/>
      <c r="H3" s="26"/>
      <c r="I3" s="26"/>
      <c r="J3" s="27"/>
      <c r="K3" s="25"/>
      <c r="L3" s="26"/>
      <c r="M3" s="26"/>
      <c r="N3" s="26"/>
      <c r="O3" s="26"/>
      <c r="P3" s="26"/>
      <c r="Q3" s="26"/>
      <c r="R3" s="26"/>
      <c r="S3" s="26"/>
      <c r="T3" s="26"/>
      <c r="U3" s="26"/>
      <c r="V3" s="27"/>
      <c r="W3" s="34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6"/>
      <c r="AP3" s="25"/>
      <c r="AQ3" s="26"/>
      <c r="AR3" s="26"/>
      <c r="AS3" s="27"/>
      <c r="AT3" s="46"/>
      <c r="AU3" s="47"/>
      <c r="AV3" s="47"/>
      <c r="AW3" s="47"/>
      <c r="AX3" s="48"/>
      <c r="AY3" s="25"/>
      <c r="AZ3" s="26"/>
      <c r="BA3" s="26"/>
      <c r="BB3" s="27"/>
      <c r="BC3" s="46"/>
      <c r="BD3" s="47"/>
      <c r="BE3" s="47"/>
      <c r="BF3" s="47"/>
      <c r="BG3" s="48"/>
      <c r="BH3" s="40"/>
      <c r="BI3" s="41"/>
      <c r="BJ3" s="41"/>
      <c r="BK3" s="42"/>
    </row>
    <row r="4" spans="1:63" ht="24.95" customHeight="1" x14ac:dyDescent="0.25">
      <c r="A4" s="19" t="s">
        <v>1</v>
      </c>
      <c r="B4" s="20"/>
      <c r="C4" s="20"/>
      <c r="D4" s="20"/>
      <c r="E4" s="20"/>
      <c r="F4" s="20"/>
      <c r="G4" s="21"/>
      <c r="H4" s="16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8"/>
      <c r="U4" s="19" t="s">
        <v>8</v>
      </c>
      <c r="V4" s="20"/>
      <c r="W4" s="20"/>
      <c r="X4" s="20"/>
      <c r="Y4" s="21"/>
      <c r="Z4" s="16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8"/>
      <c r="AP4" s="16" t="str" cm="1">
        <f t="array" aca="1" ref="AP4" ca="1">RIGHT(CELL("filename",$A$1),LEN(CELL("filename",$A$1))-FIND("]",CELL("filename",$A$1)))</f>
        <v>表紙</v>
      </c>
      <c r="AQ4" s="17"/>
      <c r="AR4" s="17"/>
      <c r="AS4" s="17"/>
      <c r="AT4" s="17"/>
      <c r="AU4" s="17"/>
      <c r="AV4" s="17"/>
      <c r="AW4" s="17"/>
      <c r="AX4" s="17"/>
      <c r="AY4" s="17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  <c r="BK4" s="18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 x14ac:dyDescent="0.25">
      <c r="A6" s="1"/>
      <c r="BK6" s="4"/>
    </row>
    <row r="7" spans="1:63" ht="15" customHeight="1" x14ac:dyDescent="0.25">
      <c r="A7" s="1"/>
      <c r="BK7" s="4"/>
    </row>
    <row r="8" spans="1:63" ht="15" customHeight="1" x14ac:dyDescent="0.25">
      <c r="A8" s="1"/>
      <c r="BK8" s="4"/>
    </row>
    <row r="9" spans="1:63" ht="15" customHeight="1" x14ac:dyDescent="0.25">
      <c r="A9" s="1"/>
      <c r="BK9" s="4"/>
    </row>
    <row r="10" spans="1:63" ht="15" customHeight="1" x14ac:dyDescent="0.25">
      <c r="A10" s="1"/>
      <c r="BK10" s="4"/>
    </row>
    <row r="11" spans="1:63" ht="15" customHeight="1" x14ac:dyDescent="0.25">
      <c r="A11" s="1"/>
      <c r="BK11" s="4"/>
    </row>
    <row r="12" spans="1:63" ht="15" customHeight="1" x14ac:dyDescent="0.25">
      <c r="A12" s="1"/>
      <c r="BK12" s="4"/>
    </row>
    <row r="13" spans="1:63" ht="15" customHeight="1" x14ac:dyDescent="0.25">
      <c r="A13" s="1"/>
      <c r="BK13" s="4"/>
    </row>
    <row r="14" spans="1:63" ht="15" customHeight="1" thickBot="1" x14ac:dyDescent="0.3">
      <c r="A14" s="1"/>
      <c r="BK14" s="4"/>
    </row>
    <row r="15" spans="1:63" ht="15" customHeight="1" thickTop="1" x14ac:dyDescent="0.25">
      <c r="A15" s="1"/>
      <c r="K15" s="7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11"/>
      <c r="BK15" s="4"/>
    </row>
    <row r="16" spans="1:63" ht="15" customHeight="1" x14ac:dyDescent="0.25">
      <c r="A16" s="1"/>
      <c r="K16" s="6"/>
      <c r="L16" s="49" t="s">
        <v>15</v>
      </c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/>
      <c r="AF16" s="49"/>
      <c r="AG16" s="49"/>
      <c r="AH16" s="49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12"/>
      <c r="BK16" s="4"/>
    </row>
    <row r="17" spans="1:63" ht="15" customHeight="1" x14ac:dyDescent="0.25">
      <c r="A17" s="1"/>
      <c r="K17" s="6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9"/>
      <c r="AC17" s="49"/>
      <c r="AD17" s="49"/>
      <c r="AE17" s="49"/>
      <c r="AF17" s="49"/>
      <c r="AG17" s="49"/>
      <c r="AH17" s="49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12"/>
      <c r="BK17" s="4"/>
    </row>
    <row r="18" spans="1:63" ht="15" customHeight="1" x14ac:dyDescent="0.25">
      <c r="A18" s="1"/>
      <c r="K18" s="6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12"/>
      <c r="BK18" s="4"/>
    </row>
    <row r="19" spans="1:63" ht="15" customHeight="1" x14ac:dyDescent="0.25">
      <c r="A19" s="1"/>
      <c r="K19" s="6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12"/>
      <c r="BK19" s="4"/>
    </row>
    <row r="20" spans="1:63" ht="15" customHeight="1" x14ac:dyDescent="0.25">
      <c r="A20" s="1"/>
      <c r="K20" s="6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12"/>
      <c r="BK20" s="4"/>
    </row>
    <row r="21" spans="1:63" ht="15" customHeight="1" x14ac:dyDescent="0.25">
      <c r="A21" s="1"/>
      <c r="K21" s="6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12"/>
      <c r="BK21" s="4"/>
    </row>
    <row r="22" spans="1:63" ht="15" customHeight="1" thickBot="1" x14ac:dyDescent="0.3">
      <c r="A22" s="1"/>
      <c r="K22" s="6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2"/>
      <c r="BK22" s="4"/>
    </row>
    <row r="23" spans="1:63" ht="15" customHeight="1" x14ac:dyDescent="0.25">
      <c r="A23" s="1"/>
      <c r="K23" s="6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2"/>
      <c r="BK23" s="4"/>
    </row>
    <row r="24" spans="1:63" ht="15" customHeight="1" x14ac:dyDescent="0.25">
      <c r="A24" s="1"/>
      <c r="K24" s="6"/>
      <c r="L24" s="49" t="str">
        <f>K2&amp;"/"&amp;H4&amp;"/"&amp;Z4</f>
        <v>//</v>
      </c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12"/>
      <c r="BK24" s="4"/>
    </row>
    <row r="25" spans="1:63" ht="15" customHeight="1" x14ac:dyDescent="0.25">
      <c r="A25" s="1"/>
      <c r="K25" s="6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12"/>
      <c r="BK25" s="4"/>
    </row>
    <row r="26" spans="1:63" ht="15" customHeight="1" x14ac:dyDescent="0.25">
      <c r="A26" s="1"/>
      <c r="K26" s="6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12"/>
      <c r="BK26" s="4"/>
    </row>
    <row r="27" spans="1:63" ht="15" customHeight="1" x14ac:dyDescent="0.25">
      <c r="A27" s="1"/>
      <c r="K27" s="6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12"/>
      <c r="BK27" s="4"/>
    </row>
    <row r="28" spans="1:63" ht="15" customHeight="1" x14ac:dyDescent="0.25">
      <c r="A28" s="1"/>
      <c r="K28" s="6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12"/>
      <c r="BK28" s="4"/>
    </row>
    <row r="29" spans="1:63" ht="15" customHeight="1" x14ac:dyDescent="0.25">
      <c r="A29" s="1"/>
      <c r="K29" s="6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12"/>
      <c r="BK29" s="4"/>
    </row>
    <row r="30" spans="1:63" ht="15" customHeight="1" x14ac:dyDescent="0.25">
      <c r="A30" s="1"/>
      <c r="K30" s="6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12"/>
      <c r="BK30" s="4"/>
    </row>
    <row r="31" spans="1:63" ht="15" customHeight="1" x14ac:dyDescent="0.25">
      <c r="A31" s="1"/>
      <c r="K31" s="6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12"/>
      <c r="BK31" s="4"/>
    </row>
    <row r="32" spans="1:63" ht="15" customHeight="1" x14ac:dyDescent="0.25">
      <c r="A32" s="1"/>
      <c r="K32" s="6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12"/>
      <c r="BK32" s="4"/>
    </row>
    <row r="33" spans="1:63" ht="15" customHeight="1" x14ac:dyDescent="0.25">
      <c r="A33" s="1"/>
      <c r="K33" s="6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12"/>
      <c r="BK33" s="4"/>
    </row>
    <row r="34" spans="1:63" ht="15" customHeight="1" x14ac:dyDescent="0.25">
      <c r="A34" s="1"/>
      <c r="K34" s="6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49"/>
      <c r="AW34" s="49"/>
      <c r="AX34" s="49"/>
      <c r="AY34" s="49"/>
      <c r="AZ34" s="49"/>
      <c r="BA34" s="12"/>
      <c r="BK34" s="4"/>
    </row>
    <row r="35" spans="1:63" ht="15" customHeight="1" x14ac:dyDescent="0.25">
      <c r="A35" s="1"/>
      <c r="K35" s="6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J35" s="49"/>
      <c r="AK35" s="49"/>
      <c r="AL35" s="49"/>
      <c r="AM35" s="49"/>
      <c r="AN35" s="49"/>
      <c r="AO35" s="49"/>
      <c r="AP35" s="49"/>
      <c r="AQ35" s="49"/>
      <c r="AR35" s="49"/>
      <c r="AS35" s="49"/>
      <c r="AT35" s="49"/>
      <c r="AU35" s="49"/>
      <c r="AV35" s="49"/>
      <c r="AW35" s="49"/>
      <c r="AX35" s="49"/>
      <c r="AY35" s="49"/>
      <c r="AZ35" s="49"/>
      <c r="BA35" s="12"/>
      <c r="BK35" s="4"/>
    </row>
    <row r="36" spans="1:63" ht="15" customHeight="1" x14ac:dyDescent="0.25">
      <c r="A36" s="1"/>
      <c r="K36" s="6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49"/>
      <c r="AK36" s="49"/>
      <c r="AL36" s="49"/>
      <c r="AM36" s="49"/>
      <c r="AN36" s="49"/>
      <c r="AO36" s="49"/>
      <c r="AP36" s="49"/>
      <c r="AQ36" s="49"/>
      <c r="AR36" s="49"/>
      <c r="AS36" s="49"/>
      <c r="AT36" s="49"/>
      <c r="AU36" s="49"/>
      <c r="AV36" s="49"/>
      <c r="AW36" s="49"/>
      <c r="AX36" s="49"/>
      <c r="AY36" s="49"/>
      <c r="AZ36" s="49"/>
      <c r="BA36" s="12"/>
      <c r="BK36" s="4"/>
    </row>
    <row r="37" spans="1:63" ht="15" customHeight="1" thickBot="1" x14ac:dyDescent="0.3">
      <c r="A37" s="1"/>
      <c r="K37" s="9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3"/>
      <c r="BK37" s="4"/>
    </row>
    <row r="38" spans="1:63" ht="15" customHeight="1" thickTop="1" x14ac:dyDescent="0.25">
      <c r="A38" s="1"/>
      <c r="BK38" s="4"/>
    </row>
    <row r="39" spans="1:63" ht="15" customHeight="1" x14ac:dyDescent="0.25">
      <c r="A39" s="1"/>
      <c r="BK39" s="4"/>
    </row>
    <row r="40" spans="1:63" ht="15" customHeight="1" x14ac:dyDescent="0.25">
      <c r="A40" s="1"/>
      <c r="BK40" s="4"/>
    </row>
    <row r="41" spans="1:63" ht="15" customHeight="1" x14ac:dyDescent="0.25">
      <c r="A41" s="1"/>
      <c r="BK41" s="4"/>
    </row>
    <row r="42" spans="1:63" ht="15" customHeight="1" x14ac:dyDescent="0.25">
      <c r="A42" s="1"/>
      <c r="BK42" s="4"/>
    </row>
    <row r="43" spans="1:63" ht="15" customHeight="1" x14ac:dyDescent="0.25">
      <c r="A43" s="1"/>
      <c r="BK43" s="4"/>
    </row>
    <row r="44" spans="1:63" ht="15" customHeight="1" x14ac:dyDescent="0.25">
      <c r="A44" s="1"/>
      <c r="Q44" s="53" t="s">
        <v>16</v>
      </c>
      <c r="R44" s="54"/>
      <c r="S44" s="54"/>
      <c r="T44" s="54"/>
      <c r="U44" s="54"/>
      <c r="V44" s="54"/>
      <c r="W44" s="54"/>
      <c r="X44" s="54"/>
      <c r="Y44" s="54"/>
      <c r="Z44" s="55"/>
      <c r="AA44" s="53" t="s">
        <v>13</v>
      </c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5"/>
      <c r="AQ44" s="53" t="s">
        <v>7</v>
      </c>
      <c r="AR44" s="54"/>
      <c r="AS44" s="54"/>
      <c r="AT44" s="54"/>
      <c r="AU44" s="55"/>
      <c r="BK44" s="4"/>
    </row>
    <row r="45" spans="1:63" ht="15" customHeight="1" x14ac:dyDescent="0.25">
      <c r="A45" s="1"/>
      <c r="Q45" s="56"/>
      <c r="R45" s="57"/>
      <c r="S45" s="57"/>
      <c r="T45" s="57"/>
      <c r="U45" s="57"/>
      <c r="V45" s="57"/>
      <c r="W45" s="57"/>
      <c r="X45" s="57"/>
      <c r="Y45" s="57"/>
      <c r="Z45" s="58"/>
      <c r="AA45" s="56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8"/>
      <c r="AQ45" s="56"/>
      <c r="AR45" s="57"/>
      <c r="AS45" s="57"/>
      <c r="AT45" s="57"/>
      <c r="AU45" s="58"/>
      <c r="BK45" s="4"/>
    </row>
    <row r="46" spans="1:63" ht="15" customHeight="1" x14ac:dyDescent="0.25">
      <c r="A46" s="1"/>
      <c r="Q46" s="22"/>
      <c r="R46" s="23"/>
      <c r="S46" s="23"/>
      <c r="T46" s="23"/>
      <c r="U46" s="23"/>
      <c r="V46" s="23"/>
      <c r="W46" s="23"/>
      <c r="X46" s="23"/>
      <c r="Y46" s="23"/>
      <c r="Z46" s="24"/>
      <c r="AA46" s="22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4"/>
      <c r="AQ46" s="22"/>
      <c r="AR46" s="23"/>
      <c r="AS46" s="23"/>
      <c r="AT46" s="23"/>
      <c r="AU46" s="24"/>
      <c r="BK46" s="4"/>
    </row>
    <row r="47" spans="1:63" ht="15" customHeight="1" x14ac:dyDescent="0.25">
      <c r="A47" s="1"/>
      <c r="Q47" s="50"/>
      <c r="R47" s="51"/>
      <c r="S47" s="51"/>
      <c r="T47" s="51"/>
      <c r="U47" s="51"/>
      <c r="V47" s="51"/>
      <c r="W47" s="51"/>
      <c r="X47" s="51"/>
      <c r="Y47" s="51"/>
      <c r="Z47" s="52"/>
      <c r="AA47" s="50"/>
      <c r="AB47" s="51"/>
      <c r="AC47" s="51"/>
      <c r="AD47" s="51"/>
      <c r="AE47" s="51"/>
      <c r="AF47" s="51"/>
      <c r="AG47" s="51"/>
      <c r="AH47" s="51"/>
      <c r="AI47" s="51"/>
      <c r="AJ47" s="51"/>
      <c r="AK47" s="51"/>
      <c r="AL47" s="51"/>
      <c r="AM47" s="51"/>
      <c r="AN47" s="51"/>
      <c r="AO47" s="51"/>
      <c r="AP47" s="52"/>
      <c r="AQ47" s="50"/>
      <c r="AR47" s="51"/>
      <c r="AS47" s="51"/>
      <c r="AT47" s="51"/>
      <c r="AU47" s="52"/>
      <c r="BK47" s="4"/>
    </row>
    <row r="48" spans="1:63" ht="15" customHeight="1" x14ac:dyDescent="0.25">
      <c r="A48" s="1"/>
      <c r="Q48" s="50"/>
      <c r="R48" s="51"/>
      <c r="S48" s="51"/>
      <c r="T48" s="51"/>
      <c r="U48" s="51"/>
      <c r="V48" s="51"/>
      <c r="W48" s="51"/>
      <c r="X48" s="51"/>
      <c r="Y48" s="51"/>
      <c r="Z48" s="52"/>
      <c r="AA48" s="50"/>
      <c r="AB48" s="51"/>
      <c r="AC48" s="51"/>
      <c r="AD48" s="51"/>
      <c r="AE48" s="51"/>
      <c r="AF48" s="51"/>
      <c r="AG48" s="51"/>
      <c r="AH48" s="51"/>
      <c r="AI48" s="51"/>
      <c r="AJ48" s="51"/>
      <c r="AK48" s="51"/>
      <c r="AL48" s="51"/>
      <c r="AM48" s="51"/>
      <c r="AN48" s="51"/>
      <c r="AO48" s="51"/>
      <c r="AP48" s="52"/>
      <c r="AQ48" s="50"/>
      <c r="AR48" s="51"/>
      <c r="AS48" s="51"/>
      <c r="AT48" s="51"/>
      <c r="AU48" s="52"/>
      <c r="BK48" s="4"/>
    </row>
    <row r="49" spans="1:63" ht="15" customHeight="1" x14ac:dyDescent="0.25">
      <c r="A49" s="1"/>
      <c r="Q49" s="25"/>
      <c r="R49" s="26"/>
      <c r="S49" s="26"/>
      <c r="T49" s="26"/>
      <c r="U49" s="26"/>
      <c r="V49" s="26"/>
      <c r="W49" s="26"/>
      <c r="X49" s="26"/>
      <c r="Y49" s="26"/>
      <c r="Z49" s="27"/>
      <c r="AA49" s="25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7"/>
      <c r="AQ49" s="25"/>
      <c r="AR49" s="26"/>
      <c r="AS49" s="26"/>
      <c r="AT49" s="26"/>
      <c r="AU49" s="27"/>
      <c r="BK49" s="4"/>
    </row>
    <row r="50" spans="1:63" ht="15" customHeight="1" x14ac:dyDescent="0.25">
      <c r="A50" s="1"/>
      <c r="BK50" s="4"/>
    </row>
    <row r="51" spans="1:63" ht="15" customHeight="1" x14ac:dyDescent="0.25">
      <c r="A51" s="1"/>
      <c r="BK51" s="4"/>
    </row>
    <row r="52" spans="1:63" ht="15" customHeight="1" x14ac:dyDescent="0.25">
      <c r="A52" s="1"/>
      <c r="BK52" s="4"/>
    </row>
    <row r="53" spans="1:63" ht="15" customHeight="1" x14ac:dyDescent="0.25">
      <c r="A53" s="1"/>
      <c r="BK53" s="4"/>
    </row>
    <row r="54" spans="1:63" ht="15" customHeight="1" x14ac:dyDescent="0.25">
      <c r="A54" s="1"/>
      <c r="BK54" s="4"/>
    </row>
    <row r="55" spans="1:63" ht="15" customHeight="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5"/>
    </row>
  </sheetData>
  <mergeCells count="28">
    <mergeCell ref="L16:AZ21"/>
    <mergeCell ref="L24:AZ36"/>
    <mergeCell ref="AQ46:AU49"/>
    <mergeCell ref="AA46:AP49"/>
    <mergeCell ref="Q46:Z49"/>
    <mergeCell ref="AQ44:AU45"/>
    <mergeCell ref="AA44:AP45"/>
    <mergeCell ref="Q44:Z45"/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BH2:BK3"/>
    <mergeCell ref="BC2:BG3"/>
    <mergeCell ref="AY2:BB3"/>
    <mergeCell ref="AT2:AX3"/>
    <mergeCell ref="AP2:AS3"/>
    <mergeCell ref="AP4:BK4"/>
    <mergeCell ref="Z4:AO4"/>
    <mergeCell ref="U4:Y4"/>
    <mergeCell ref="H4:T4"/>
    <mergeCell ref="A4:G4"/>
  </mergeCells>
  <phoneticPr fontId="1"/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A6490-B8F6-4EF3-9FFA-27E4378555AC}">
  <sheetPr>
    <pageSetUpPr fitToPage="1"/>
  </sheetPr>
  <dimension ref="A1:BK55"/>
  <sheetViews>
    <sheetView view="pageBreakPreview" zoomScale="75" zoomScaleNormal="75" zoomScaleSheetLayoutView="75" workbookViewId="0">
      <selection activeCell="S12" sqref="S12:AW12"/>
    </sheetView>
  </sheetViews>
  <sheetFormatPr defaultColWidth="2.77734375" defaultRowHeight="15.75" customHeight="1" x14ac:dyDescent="0.25"/>
  <sheetData>
    <row r="1" spans="1:63" ht="24.95" customHeight="1" x14ac:dyDescent="0.25">
      <c r="A1" s="19" t="s">
        <v>0</v>
      </c>
      <c r="B1" s="20"/>
      <c r="C1" s="20"/>
      <c r="D1" s="20"/>
      <c r="E1" s="20"/>
      <c r="F1" s="20"/>
      <c r="G1" s="20"/>
      <c r="H1" s="20"/>
      <c r="I1" s="20"/>
      <c r="J1" s="21"/>
      <c r="K1" s="19" t="s">
        <v>2</v>
      </c>
      <c r="L1" s="20"/>
      <c r="M1" s="20"/>
      <c r="N1" s="20"/>
      <c r="O1" s="20"/>
      <c r="P1" s="20"/>
      <c r="Q1" s="20"/>
      <c r="R1" s="20"/>
      <c r="S1" s="20"/>
      <c r="T1" s="20"/>
      <c r="U1" s="20"/>
      <c r="V1" s="21"/>
      <c r="W1" s="28" t="str">
        <f>IF(表紙!W1="","",表紙!W1)</f>
        <v/>
      </c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30"/>
      <c r="AP1" s="19" t="s">
        <v>3</v>
      </c>
      <c r="AQ1" s="20"/>
      <c r="AR1" s="20"/>
      <c r="AS1" s="21"/>
      <c r="AT1" s="19" t="s">
        <v>4</v>
      </c>
      <c r="AU1" s="20"/>
      <c r="AV1" s="20"/>
      <c r="AW1" s="20"/>
      <c r="AX1" s="21"/>
      <c r="AY1" s="19" t="s">
        <v>5</v>
      </c>
      <c r="AZ1" s="20"/>
      <c r="BA1" s="20"/>
      <c r="BB1" s="21"/>
      <c r="BC1" s="19" t="s">
        <v>6</v>
      </c>
      <c r="BD1" s="20"/>
      <c r="BE1" s="20"/>
      <c r="BF1" s="20"/>
      <c r="BG1" s="21"/>
      <c r="BH1" s="19" t="s">
        <v>7</v>
      </c>
      <c r="BI1" s="20"/>
      <c r="BJ1" s="20"/>
      <c r="BK1" s="21"/>
    </row>
    <row r="2" spans="1:63" ht="15" customHeight="1" x14ac:dyDescent="0.25">
      <c r="A2" s="22" t="str">
        <f>IF(表紙!A2="","",表紙!A2)</f>
        <v>現金専用簡易セルフPOS</v>
      </c>
      <c r="B2" s="23"/>
      <c r="C2" s="23"/>
      <c r="D2" s="23"/>
      <c r="E2" s="23"/>
      <c r="F2" s="23"/>
      <c r="G2" s="23"/>
      <c r="H2" s="23"/>
      <c r="I2" s="23"/>
      <c r="J2" s="24"/>
      <c r="K2" s="22" t="str">
        <f>IF(表紙!K2="","",表紙!K2)</f>
        <v/>
      </c>
      <c r="L2" s="23"/>
      <c r="M2" s="23"/>
      <c r="N2" s="23"/>
      <c r="O2" s="23"/>
      <c r="P2" s="23"/>
      <c r="Q2" s="23"/>
      <c r="R2" s="23"/>
      <c r="S2" s="23"/>
      <c r="T2" s="23"/>
      <c r="U2" s="23"/>
      <c r="V2" s="24"/>
      <c r="W2" s="31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3"/>
      <c r="AP2" s="22" t="str">
        <f>IF(表紙!AP2="","",表紙!AP2)</f>
        <v>Thanh Nguyên</v>
      </c>
      <c r="AQ2" s="23"/>
      <c r="AR2" s="23"/>
      <c r="AS2" s="24"/>
      <c r="AT2" s="43">
        <f>IF(表紙!AT2="","",表紙!AT2)</f>
        <v>45189</v>
      </c>
      <c r="AU2" s="44"/>
      <c r="AV2" s="44"/>
      <c r="AW2" s="44"/>
      <c r="AX2" s="45"/>
      <c r="AY2" s="22" t="str">
        <f>IF(表紙!AY2="","",表紙!AY2)</f>
        <v>Thanh Nguyên</v>
      </c>
      <c r="AZ2" s="23"/>
      <c r="BA2" s="23"/>
      <c r="BB2" s="24"/>
      <c r="BC2" s="43">
        <f>IF(表紙!BC2="","",表紙!BC2)</f>
        <v>45189</v>
      </c>
      <c r="BD2" s="44"/>
      <c r="BE2" s="44"/>
      <c r="BF2" s="44"/>
      <c r="BG2" s="45"/>
      <c r="BH2" s="22">
        <f>IF(表紙!BH2="","",表紙!BH2)</f>
        <v>1</v>
      </c>
      <c r="BI2" s="23"/>
      <c r="BJ2" s="23"/>
      <c r="BK2" s="24"/>
    </row>
    <row r="3" spans="1:63" ht="15" customHeight="1" x14ac:dyDescent="0.25">
      <c r="A3" s="25"/>
      <c r="B3" s="26"/>
      <c r="C3" s="26"/>
      <c r="D3" s="26"/>
      <c r="E3" s="26"/>
      <c r="F3" s="26"/>
      <c r="G3" s="26"/>
      <c r="H3" s="26"/>
      <c r="I3" s="26"/>
      <c r="J3" s="27"/>
      <c r="K3" s="25"/>
      <c r="L3" s="26"/>
      <c r="M3" s="26"/>
      <c r="N3" s="26"/>
      <c r="O3" s="26"/>
      <c r="P3" s="26"/>
      <c r="Q3" s="26"/>
      <c r="R3" s="26"/>
      <c r="S3" s="26"/>
      <c r="T3" s="26"/>
      <c r="U3" s="26"/>
      <c r="V3" s="27"/>
      <c r="W3" s="34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6"/>
      <c r="AP3" s="25"/>
      <c r="AQ3" s="26"/>
      <c r="AR3" s="26"/>
      <c r="AS3" s="27"/>
      <c r="AT3" s="46"/>
      <c r="AU3" s="47"/>
      <c r="AV3" s="47"/>
      <c r="AW3" s="47"/>
      <c r="AX3" s="48"/>
      <c r="AY3" s="25"/>
      <c r="AZ3" s="26"/>
      <c r="BA3" s="26"/>
      <c r="BB3" s="27"/>
      <c r="BC3" s="46"/>
      <c r="BD3" s="47"/>
      <c r="BE3" s="47"/>
      <c r="BF3" s="47"/>
      <c r="BG3" s="48"/>
      <c r="BH3" s="25"/>
      <c r="BI3" s="26"/>
      <c r="BJ3" s="26"/>
      <c r="BK3" s="27"/>
    </row>
    <row r="4" spans="1:63" ht="24.95" customHeight="1" x14ac:dyDescent="0.25">
      <c r="A4" s="19" t="s">
        <v>1</v>
      </c>
      <c r="B4" s="20"/>
      <c r="C4" s="20"/>
      <c r="D4" s="20"/>
      <c r="E4" s="20"/>
      <c r="F4" s="20"/>
      <c r="G4" s="21"/>
      <c r="H4" s="16" t="str">
        <f>IF(表紙!H4="","",表紙!H4)</f>
        <v/>
      </c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8"/>
      <c r="U4" s="19" t="s">
        <v>8</v>
      </c>
      <c r="V4" s="20"/>
      <c r="W4" s="20"/>
      <c r="X4" s="20"/>
      <c r="Y4" s="21"/>
      <c r="Z4" s="16" t="str">
        <f>IF(表紙!Z4="","",表紙!Z4)</f>
        <v/>
      </c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8"/>
      <c r="AP4" s="16" t="str" cm="1">
        <f t="array" aca="1" ref="AP4" ca="1">RIGHT(CELL("filename",$A$1),LEN(CELL("filename",$A$1))-FIND("]",CELL("filename",$A$1)))</f>
        <v>改廃履歴</v>
      </c>
      <c r="AQ4" s="17"/>
      <c r="AR4" s="17"/>
      <c r="AS4" s="17"/>
      <c r="AT4" s="17"/>
      <c r="AU4" s="17"/>
      <c r="AV4" s="17"/>
      <c r="AW4" s="17"/>
      <c r="AX4" s="17"/>
      <c r="AY4" s="17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  <c r="BK4" s="18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 x14ac:dyDescent="0.25">
      <c r="A6" s="1"/>
      <c r="BK6" s="4"/>
    </row>
    <row r="7" spans="1:63" ht="15" customHeight="1" x14ac:dyDescent="0.25">
      <c r="A7" s="1"/>
      <c r="BK7" s="4"/>
    </row>
    <row r="8" spans="1:63" ht="15" customHeight="1" x14ac:dyDescent="0.25">
      <c r="A8" s="1"/>
      <c r="B8" t="s">
        <v>9</v>
      </c>
      <c r="BK8" s="4"/>
    </row>
    <row r="9" spans="1:63" ht="15" customHeight="1" x14ac:dyDescent="0.25">
      <c r="A9" s="1"/>
      <c r="BK9" s="4"/>
    </row>
    <row r="10" spans="1:63" ht="15" customHeight="1" x14ac:dyDescent="0.25">
      <c r="A10" s="1"/>
      <c r="B10" s="59" t="s">
        <v>10</v>
      </c>
      <c r="C10" s="59"/>
      <c r="D10" s="59"/>
      <c r="E10" s="59"/>
      <c r="F10" s="59"/>
      <c r="G10" s="59"/>
      <c r="H10" s="59" t="s">
        <v>5</v>
      </c>
      <c r="I10" s="59"/>
      <c r="J10" s="59"/>
      <c r="K10" s="59"/>
      <c r="L10" s="59"/>
      <c r="M10" s="59"/>
      <c r="N10" s="59"/>
      <c r="O10" s="59" t="s">
        <v>7</v>
      </c>
      <c r="P10" s="59"/>
      <c r="Q10" s="59"/>
      <c r="R10" s="59"/>
      <c r="S10" s="59" t="s">
        <v>11</v>
      </c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  <c r="AF10" s="59"/>
      <c r="AG10" s="59"/>
      <c r="AH10" s="59"/>
      <c r="AI10" s="59"/>
      <c r="AJ10" s="59"/>
      <c r="AK10" s="59"/>
      <c r="AL10" s="59"/>
      <c r="AM10" s="59"/>
      <c r="AN10" s="59"/>
      <c r="AO10" s="59"/>
      <c r="AP10" s="59"/>
      <c r="AQ10" s="59"/>
      <c r="AR10" s="59"/>
      <c r="AS10" s="59"/>
      <c r="AT10" s="59"/>
      <c r="AU10" s="59"/>
      <c r="AV10" s="59"/>
      <c r="AW10" s="59"/>
      <c r="AX10" s="59" t="s">
        <v>12</v>
      </c>
      <c r="AY10" s="59"/>
      <c r="AZ10" s="59"/>
      <c r="BA10" s="59"/>
      <c r="BB10" s="59"/>
      <c r="BC10" s="59"/>
      <c r="BD10" s="59" t="s">
        <v>13</v>
      </c>
      <c r="BE10" s="59"/>
      <c r="BF10" s="59"/>
      <c r="BG10" s="59"/>
      <c r="BH10" s="59"/>
      <c r="BI10" s="59"/>
      <c r="BJ10" s="59"/>
      <c r="BK10" s="4"/>
    </row>
    <row r="11" spans="1:63" ht="15" customHeight="1" x14ac:dyDescent="0.25">
      <c r="A11" s="1"/>
      <c r="B11" s="60">
        <v>45189</v>
      </c>
      <c r="C11" s="23"/>
      <c r="D11" s="23"/>
      <c r="E11" s="23"/>
      <c r="F11" s="23"/>
      <c r="G11" s="24"/>
      <c r="H11" s="22" t="s">
        <v>17</v>
      </c>
      <c r="I11" s="23"/>
      <c r="J11" s="23"/>
      <c r="K11" s="23"/>
      <c r="L11" s="23"/>
      <c r="M11" s="23"/>
      <c r="N11" s="24"/>
      <c r="O11" s="22">
        <v>1</v>
      </c>
      <c r="P11" s="23"/>
      <c r="Q11" s="23"/>
      <c r="R11" s="23"/>
      <c r="S11" s="61" t="s">
        <v>18</v>
      </c>
      <c r="T11" s="62"/>
      <c r="U11" s="62"/>
      <c r="V11" s="62"/>
      <c r="W11" s="62"/>
      <c r="X11" s="62"/>
      <c r="Y11" s="62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  <c r="AL11" s="62"/>
      <c r="AM11" s="62"/>
      <c r="AN11" s="62"/>
      <c r="AO11" s="62"/>
      <c r="AP11" s="62"/>
      <c r="AQ11" s="62"/>
      <c r="AR11" s="62"/>
      <c r="AS11" s="62"/>
      <c r="AT11" s="62"/>
      <c r="AU11" s="62"/>
      <c r="AV11" s="62"/>
      <c r="AW11" s="63"/>
      <c r="AX11" s="64"/>
      <c r="AY11" s="64"/>
      <c r="AZ11" s="64"/>
      <c r="BA11" s="64"/>
      <c r="BB11" s="64"/>
      <c r="BC11" s="65"/>
      <c r="BD11" s="68"/>
      <c r="BE11" s="64"/>
      <c r="BF11" s="64"/>
      <c r="BG11" s="64"/>
      <c r="BH11" s="64"/>
      <c r="BI11" s="64"/>
      <c r="BJ11" s="65"/>
      <c r="BK11" s="4"/>
    </row>
    <row r="12" spans="1:63" ht="15" customHeight="1" x14ac:dyDescent="0.25">
      <c r="A12" s="1"/>
      <c r="B12" s="25"/>
      <c r="C12" s="26"/>
      <c r="D12" s="26"/>
      <c r="E12" s="26"/>
      <c r="F12" s="26"/>
      <c r="G12" s="27"/>
      <c r="H12" s="25"/>
      <c r="I12" s="26"/>
      <c r="J12" s="26"/>
      <c r="K12" s="26"/>
      <c r="L12" s="26"/>
      <c r="M12" s="26"/>
      <c r="N12" s="27"/>
      <c r="O12" s="25"/>
      <c r="P12" s="26"/>
      <c r="Q12" s="26"/>
      <c r="R12" s="26"/>
      <c r="S12" s="70"/>
      <c r="T12" s="71"/>
      <c r="U12" s="71"/>
      <c r="V12" s="71"/>
      <c r="W12" s="71"/>
      <c r="X12" s="71"/>
      <c r="Y12" s="71"/>
      <c r="Z12" s="71"/>
      <c r="AA12" s="71"/>
      <c r="AB12" s="71"/>
      <c r="AC12" s="71"/>
      <c r="AD12" s="71"/>
      <c r="AE12" s="71"/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71"/>
      <c r="AS12" s="71"/>
      <c r="AT12" s="71"/>
      <c r="AU12" s="71"/>
      <c r="AV12" s="71"/>
      <c r="AW12" s="72"/>
      <c r="AX12" s="66"/>
      <c r="AY12" s="66"/>
      <c r="AZ12" s="66"/>
      <c r="BA12" s="66"/>
      <c r="BB12" s="66"/>
      <c r="BC12" s="67"/>
      <c r="BD12" s="69"/>
      <c r="BE12" s="66"/>
      <c r="BF12" s="66"/>
      <c r="BG12" s="66"/>
      <c r="BH12" s="66"/>
      <c r="BI12" s="66"/>
      <c r="BJ12" s="67"/>
      <c r="BK12" s="4"/>
    </row>
    <row r="13" spans="1:63" ht="15" customHeight="1" x14ac:dyDescent="0.25">
      <c r="A13" s="1"/>
      <c r="B13" s="22"/>
      <c r="C13" s="23"/>
      <c r="D13" s="23"/>
      <c r="E13" s="23"/>
      <c r="F13" s="23"/>
      <c r="G13" s="24"/>
      <c r="H13" s="22"/>
      <c r="I13" s="23"/>
      <c r="J13" s="23"/>
      <c r="K13" s="23"/>
      <c r="L13" s="23"/>
      <c r="M13" s="23"/>
      <c r="N13" s="24"/>
      <c r="O13" s="22"/>
      <c r="P13" s="23"/>
      <c r="Q13" s="23"/>
      <c r="R13" s="23"/>
      <c r="S13" s="61"/>
      <c r="T13" s="62"/>
      <c r="U13" s="62"/>
      <c r="V13" s="62"/>
      <c r="W13" s="62"/>
      <c r="X13" s="62"/>
      <c r="Y13" s="62"/>
      <c r="Z13" s="62"/>
      <c r="AA13" s="62"/>
      <c r="AB13" s="62"/>
      <c r="AC13" s="62"/>
      <c r="AD13" s="62"/>
      <c r="AE13" s="62"/>
      <c r="AF13" s="62"/>
      <c r="AG13" s="62"/>
      <c r="AH13" s="62"/>
      <c r="AI13" s="62"/>
      <c r="AJ13" s="62"/>
      <c r="AK13" s="62"/>
      <c r="AL13" s="62"/>
      <c r="AM13" s="62"/>
      <c r="AN13" s="62"/>
      <c r="AO13" s="62"/>
      <c r="AP13" s="62"/>
      <c r="AQ13" s="62"/>
      <c r="AR13" s="62"/>
      <c r="AS13" s="62"/>
      <c r="AT13" s="62"/>
      <c r="AU13" s="62"/>
      <c r="AV13" s="62"/>
      <c r="AW13" s="63"/>
      <c r="AX13" s="64"/>
      <c r="AY13" s="64"/>
      <c r="AZ13" s="64"/>
      <c r="BA13" s="64"/>
      <c r="BB13" s="64"/>
      <c r="BC13" s="65"/>
      <c r="BD13" s="68"/>
      <c r="BE13" s="64"/>
      <c r="BF13" s="64"/>
      <c r="BG13" s="64"/>
      <c r="BH13" s="64"/>
      <c r="BI13" s="64"/>
      <c r="BJ13" s="65"/>
      <c r="BK13" s="4"/>
    </row>
    <row r="14" spans="1:63" ht="15" customHeight="1" x14ac:dyDescent="0.25">
      <c r="A14" s="1"/>
      <c r="B14" s="25"/>
      <c r="C14" s="26"/>
      <c r="D14" s="26"/>
      <c r="E14" s="26"/>
      <c r="F14" s="26"/>
      <c r="G14" s="27"/>
      <c r="H14" s="25"/>
      <c r="I14" s="26"/>
      <c r="J14" s="26"/>
      <c r="K14" s="26"/>
      <c r="L14" s="26"/>
      <c r="M14" s="26"/>
      <c r="N14" s="27"/>
      <c r="O14" s="25"/>
      <c r="P14" s="26"/>
      <c r="Q14" s="26"/>
      <c r="R14" s="26"/>
      <c r="S14" s="70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2"/>
      <c r="AX14" s="66"/>
      <c r="AY14" s="66"/>
      <c r="AZ14" s="66"/>
      <c r="BA14" s="66"/>
      <c r="BB14" s="66"/>
      <c r="BC14" s="67"/>
      <c r="BD14" s="69"/>
      <c r="BE14" s="66"/>
      <c r="BF14" s="66"/>
      <c r="BG14" s="66"/>
      <c r="BH14" s="66"/>
      <c r="BI14" s="66"/>
      <c r="BJ14" s="67"/>
      <c r="BK14" s="4"/>
    </row>
    <row r="15" spans="1:63" ht="15" customHeight="1" x14ac:dyDescent="0.25">
      <c r="A15" s="1"/>
      <c r="B15" s="22"/>
      <c r="C15" s="23"/>
      <c r="D15" s="23"/>
      <c r="E15" s="23"/>
      <c r="F15" s="23"/>
      <c r="G15" s="24"/>
      <c r="H15" s="22"/>
      <c r="I15" s="23"/>
      <c r="J15" s="23"/>
      <c r="K15" s="23"/>
      <c r="L15" s="23"/>
      <c r="M15" s="23"/>
      <c r="N15" s="24"/>
      <c r="O15" s="22"/>
      <c r="P15" s="23"/>
      <c r="Q15" s="23"/>
      <c r="R15" s="23"/>
      <c r="S15" s="61"/>
      <c r="T15" s="62"/>
      <c r="U15" s="62"/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  <c r="AL15" s="62"/>
      <c r="AM15" s="62"/>
      <c r="AN15" s="62"/>
      <c r="AO15" s="62"/>
      <c r="AP15" s="62"/>
      <c r="AQ15" s="62"/>
      <c r="AR15" s="62"/>
      <c r="AS15" s="62"/>
      <c r="AT15" s="62"/>
      <c r="AU15" s="62"/>
      <c r="AV15" s="62"/>
      <c r="AW15" s="63"/>
      <c r="AX15" s="64"/>
      <c r="AY15" s="64"/>
      <c r="AZ15" s="64"/>
      <c r="BA15" s="64"/>
      <c r="BB15" s="64"/>
      <c r="BC15" s="65"/>
      <c r="BD15" s="68"/>
      <c r="BE15" s="64"/>
      <c r="BF15" s="64"/>
      <c r="BG15" s="64"/>
      <c r="BH15" s="64"/>
      <c r="BI15" s="64"/>
      <c r="BJ15" s="65"/>
      <c r="BK15" s="4"/>
    </row>
    <row r="16" spans="1:63" ht="15" customHeight="1" x14ac:dyDescent="0.25">
      <c r="A16" s="1"/>
      <c r="B16" s="25"/>
      <c r="C16" s="26"/>
      <c r="D16" s="26"/>
      <c r="E16" s="26"/>
      <c r="F16" s="26"/>
      <c r="G16" s="27"/>
      <c r="H16" s="25"/>
      <c r="I16" s="26"/>
      <c r="J16" s="26"/>
      <c r="K16" s="26"/>
      <c r="L16" s="26"/>
      <c r="M16" s="26"/>
      <c r="N16" s="27"/>
      <c r="O16" s="25"/>
      <c r="P16" s="26"/>
      <c r="Q16" s="26"/>
      <c r="R16" s="26"/>
      <c r="S16" s="70"/>
      <c r="T16" s="71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2"/>
      <c r="AX16" s="66"/>
      <c r="AY16" s="66"/>
      <c r="AZ16" s="66"/>
      <c r="BA16" s="66"/>
      <c r="BB16" s="66"/>
      <c r="BC16" s="67"/>
      <c r="BD16" s="69"/>
      <c r="BE16" s="66"/>
      <c r="BF16" s="66"/>
      <c r="BG16" s="66"/>
      <c r="BH16" s="66"/>
      <c r="BI16" s="66"/>
      <c r="BJ16" s="67"/>
      <c r="BK16" s="4"/>
    </row>
    <row r="17" spans="1:63" ht="15" customHeight="1" x14ac:dyDescent="0.25">
      <c r="A17" s="1"/>
      <c r="B17" s="22"/>
      <c r="C17" s="23"/>
      <c r="D17" s="23"/>
      <c r="E17" s="23"/>
      <c r="F17" s="23"/>
      <c r="G17" s="24"/>
      <c r="H17" s="22"/>
      <c r="I17" s="23"/>
      <c r="J17" s="23"/>
      <c r="K17" s="23"/>
      <c r="L17" s="23"/>
      <c r="M17" s="23"/>
      <c r="N17" s="24"/>
      <c r="O17" s="22"/>
      <c r="P17" s="23"/>
      <c r="Q17" s="23"/>
      <c r="R17" s="23"/>
      <c r="S17" s="61"/>
      <c r="T17" s="62"/>
      <c r="U17" s="62"/>
      <c r="V17" s="62"/>
      <c r="W17" s="62"/>
      <c r="X17" s="62"/>
      <c r="Y17" s="62"/>
      <c r="Z17" s="62"/>
      <c r="AA17" s="62"/>
      <c r="AB17" s="62"/>
      <c r="AC17" s="62"/>
      <c r="AD17" s="62"/>
      <c r="AE17" s="62"/>
      <c r="AF17" s="62"/>
      <c r="AG17" s="62"/>
      <c r="AH17" s="62"/>
      <c r="AI17" s="62"/>
      <c r="AJ17" s="62"/>
      <c r="AK17" s="62"/>
      <c r="AL17" s="62"/>
      <c r="AM17" s="62"/>
      <c r="AN17" s="62"/>
      <c r="AO17" s="62"/>
      <c r="AP17" s="62"/>
      <c r="AQ17" s="62"/>
      <c r="AR17" s="62"/>
      <c r="AS17" s="62"/>
      <c r="AT17" s="62"/>
      <c r="AU17" s="62"/>
      <c r="AV17" s="62"/>
      <c r="AW17" s="63"/>
      <c r="AX17" s="64"/>
      <c r="AY17" s="64"/>
      <c r="AZ17" s="64"/>
      <c r="BA17" s="64"/>
      <c r="BB17" s="64"/>
      <c r="BC17" s="65"/>
      <c r="BD17" s="68"/>
      <c r="BE17" s="64"/>
      <c r="BF17" s="64"/>
      <c r="BG17" s="64"/>
      <c r="BH17" s="64"/>
      <c r="BI17" s="64"/>
      <c r="BJ17" s="65"/>
      <c r="BK17" s="4"/>
    </row>
    <row r="18" spans="1:63" ht="15" customHeight="1" x14ac:dyDescent="0.25">
      <c r="A18" s="1"/>
      <c r="B18" s="25"/>
      <c r="C18" s="26"/>
      <c r="D18" s="26"/>
      <c r="E18" s="26"/>
      <c r="F18" s="26"/>
      <c r="G18" s="27"/>
      <c r="H18" s="25"/>
      <c r="I18" s="26"/>
      <c r="J18" s="26"/>
      <c r="K18" s="26"/>
      <c r="L18" s="26"/>
      <c r="M18" s="26"/>
      <c r="N18" s="27"/>
      <c r="O18" s="25"/>
      <c r="P18" s="26"/>
      <c r="Q18" s="26"/>
      <c r="R18" s="26"/>
      <c r="S18" s="70"/>
      <c r="T18" s="71"/>
      <c r="U18" s="71"/>
      <c r="V18" s="71"/>
      <c r="W18" s="71"/>
      <c r="X18" s="71"/>
      <c r="Y18" s="71"/>
      <c r="Z18" s="71"/>
      <c r="AA18" s="71"/>
      <c r="AB18" s="71"/>
      <c r="AC18" s="71"/>
      <c r="AD18" s="71"/>
      <c r="AE18" s="71"/>
      <c r="AF18" s="71"/>
      <c r="AG18" s="71"/>
      <c r="AH18" s="71"/>
      <c r="AI18" s="71"/>
      <c r="AJ18" s="71"/>
      <c r="AK18" s="71"/>
      <c r="AL18" s="71"/>
      <c r="AM18" s="71"/>
      <c r="AN18" s="71"/>
      <c r="AO18" s="71"/>
      <c r="AP18" s="71"/>
      <c r="AQ18" s="71"/>
      <c r="AR18" s="71"/>
      <c r="AS18" s="71"/>
      <c r="AT18" s="71"/>
      <c r="AU18" s="71"/>
      <c r="AV18" s="71"/>
      <c r="AW18" s="72"/>
      <c r="AX18" s="66"/>
      <c r="AY18" s="66"/>
      <c r="AZ18" s="66"/>
      <c r="BA18" s="66"/>
      <c r="BB18" s="66"/>
      <c r="BC18" s="67"/>
      <c r="BD18" s="69"/>
      <c r="BE18" s="66"/>
      <c r="BF18" s="66"/>
      <c r="BG18" s="66"/>
      <c r="BH18" s="66"/>
      <c r="BI18" s="66"/>
      <c r="BJ18" s="67"/>
      <c r="BK18" s="4"/>
    </row>
    <row r="19" spans="1:63" ht="15" customHeight="1" x14ac:dyDescent="0.25">
      <c r="A19" s="1"/>
      <c r="B19" s="22"/>
      <c r="C19" s="23"/>
      <c r="D19" s="23"/>
      <c r="E19" s="23"/>
      <c r="F19" s="23"/>
      <c r="G19" s="24"/>
      <c r="H19" s="22"/>
      <c r="I19" s="23"/>
      <c r="J19" s="23"/>
      <c r="K19" s="23"/>
      <c r="L19" s="23"/>
      <c r="M19" s="23"/>
      <c r="N19" s="24"/>
      <c r="O19" s="22"/>
      <c r="P19" s="23"/>
      <c r="Q19" s="23"/>
      <c r="R19" s="23"/>
      <c r="S19" s="61"/>
      <c r="T19" s="62"/>
      <c r="U19" s="62"/>
      <c r="V19" s="62"/>
      <c r="W19" s="62"/>
      <c r="X19" s="62"/>
      <c r="Y19" s="62"/>
      <c r="Z19" s="62"/>
      <c r="AA19" s="62"/>
      <c r="AB19" s="62"/>
      <c r="AC19" s="62"/>
      <c r="AD19" s="62"/>
      <c r="AE19" s="62"/>
      <c r="AF19" s="62"/>
      <c r="AG19" s="62"/>
      <c r="AH19" s="62"/>
      <c r="AI19" s="62"/>
      <c r="AJ19" s="62"/>
      <c r="AK19" s="62"/>
      <c r="AL19" s="62"/>
      <c r="AM19" s="62"/>
      <c r="AN19" s="62"/>
      <c r="AO19" s="62"/>
      <c r="AP19" s="62"/>
      <c r="AQ19" s="62"/>
      <c r="AR19" s="62"/>
      <c r="AS19" s="62"/>
      <c r="AT19" s="62"/>
      <c r="AU19" s="62"/>
      <c r="AV19" s="62"/>
      <c r="AW19" s="63"/>
      <c r="AX19" s="64"/>
      <c r="AY19" s="64"/>
      <c r="AZ19" s="64"/>
      <c r="BA19" s="64"/>
      <c r="BB19" s="64"/>
      <c r="BC19" s="65"/>
      <c r="BD19" s="68"/>
      <c r="BE19" s="64"/>
      <c r="BF19" s="64"/>
      <c r="BG19" s="64"/>
      <c r="BH19" s="64"/>
      <c r="BI19" s="64"/>
      <c r="BJ19" s="65"/>
      <c r="BK19" s="4"/>
    </row>
    <row r="20" spans="1:63" ht="15" customHeight="1" x14ac:dyDescent="0.25">
      <c r="A20" s="1"/>
      <c r="B20" s="25"/>
      <c r="C20" s="26"/>
      <c r="D20" s="26"/>
      <c r="E20" s="26"/>
      <c r="F20" s="26"/>
      <c r="G20" s="27"/>
      <c r="H20" s="25"/>
      <c r="I20" s="26"/>
      <c r="J20" s="26"/>
      <c r="K20" s="26"/>
      <c r="L20" s="26"/>
      <c r="M20" s="26"/>
      <c r="N20" s="27"/>
      <c r="O20" s="25"/>
      <c r="P20" s="26"/>
      <c r="Q20" s="26"/>
      <c r="R20" s="26"/>
      <c r="S20" s="70"/>
      <c r="T20" s="71"/>
      <c r="U20" s="71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2"/>
      <c r="AX20" s="66"/>
      <c r="AY20" s="66"/>
      <c r="AZ20" s="66"/>
      <c r="BA20" s="66"/>
      <c r="BB20" s="66"/>
      <c r="BC20" s="67"/>
      <c r="BD20" s="69"/>
      <c r="BE20" s="66"/>
      <c r="BF20" s="66"/>
      <c r="BG20" s="66"/>
      <c r="BH20" s="66"/>
      <c r="BI20" s="66"/>
      <c r="BJ20" s="67"/>
      <c r="BK20" s="4"/>
    </row>
    <row r="21" spans="1:63" ht="15" customHeight="1" x14ac:dyDescent="0.25">
      <c r="A21" s="1"/>
      <c r="B21" s="22"/>
      <c r="C21" s="23"/>
      <c r="D21" s="23"/>
      <c r="E21" s="23"/>
      <c r="F21" s="23"/>
      <c r="G21" s="24"/>
      <c r="H21" s="22"/>
      <c r="I21" s="23"/>
      <c r="J21" s="23"/>
      <c r="K21" s="23"/>
      <c r="L21" s="23"/>
      <c r="M21" s="23"/>
      <c r="N21" s="24"/>
      <c r="O21" s="22"/>
      <c r="P21" s="23"/>
      <c r="Q21" s="23"/>
      <c r="R21" s="23"/>
      <c r="S21" s="61"/>
      <c r="T21" s="62"/>
      <c r="U21" s="62"/>
      <c r="V21" s="62"/>
      <c r="W21" s="62"/>
      <c r="X21" s="62"/>
      <c r="Y21" s="62"/>
      <c r="Z21" s="62"/>
      <c r="AA21" s="62"/>
      <c r="AB21" s="62"/>
      <c r="AC21" s="62"/>
      <c r="AD21" s="62"/>
      <c r="AE21" s="62"/>
      <c r="AF21" s="62"/>
      <c r="AG21" s="62"/>
      <c r="AH21" s="62"/>
      <c r="AI21" s="62"/>
      <c r="AJ21" s="62"/>
      <c r="AK21" s="62"/>
      <c r="AL21" s="62"/>
      <c r="AM21" s="62"/>
      <c r="AN21" s="62"/>
      <c r="AO21" s="62"/>
      <c r="AP21" s="62"/>
      <c r="AQ21" s="62"/>
      <c r="AR21" s="62"/>
      <c r="AS21" s="62"/>
      <c r="AT21" s="62"/>
      <c r="AU21" s="62"/>
      <c r="AV21" s="62"/>
      <c r="AW21" s="63"/>
      <c r="AX21" s="64"/>
      <c r="AY21" s="64"/>
      <c r="AZ21" s="64"/>
      <c r="BA21" s="64"/>
      <c r="BB21" s="64"/>
      <c r="BC21" s="65"/>
      <c r="BD21" s="68"/>
      <c r="BE21" s="64"/>
      <c r="BF21" s="64"/>
      <c r="BG21" s="64"/>
      <c r="BH21" s="64"/>
      <c r="BI21" s="64"/>
      <c r="BJ21" s="65"/>
      <c r="BK21" s="4"/>
    </row>
    <row r="22" spans="1:63" ht="15" customHeight="1" x14ac:dyDescent="0.25">
      <c r="A22" s="1"/>
      <c r="B22" s="25"/>
      <c r="C22" s="26"/>
      <c r="D22" s="26"/>
      <c r="E22" s="26"/>
      <c r="F22" s="26"/>
      <c r="G22" s="27"/>
      <c r="H22" s="25"/>
      <c r="I22" s="26"/>
      <c r="J22" s="26"/>
      <c r="K22" s="26"/>
      <c r="L22" s="26"/>
      <c r="M22" s="26"/>
      <c r="N22" s="27"/>
      <c r="O22" s="25"/>
      <c r="P22" s="26"/>
      <c r="Q22" s="26"/>
      <c r="R22" s="26"/>
      <c r="S22" s="70"/>
      <c r="T22" s="71"/>
      <c r="U22" s="71"/>
      <c r="V22" s="71"/>
      <c r="W22" s="71"/>
      <c r="X22" s="71"/>
      <c r="Y22" s="71"/>
      <c r="Z22" s="71"/>
      <c r="AA22" s="71"/>
      <c r="AB22" s="71"/>
      <c r="AC22" s="71"/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2"/>
      <c r="AX22" s="66"/>
      <c r="AY22" s="66"/>
      <c r="AZ22" s="66"/>
      <c r="BA22" s="66"/>
      <c r="BB22" s="66"/>
      <c r="BC22" s="67"/>
      <c r="BD22" s="69"/>
      <c r="BE22" s="66"/>
      <c r="BF22" s="66"/>
      <c r="BG22" s="66"/>
      <c r="BH22" s="66"/>
      <c r="BI22" s="66"/>
      <c r="BJ22" s="67"/>
      <c r="BK22" s="4"/>
    </row>
    <row r="23" spans="1:63" ht="15" customHeight="1" x14ac:dyDescent="0.25">
      <c r="A23" s="1"/>
      <c r="B23" s="22"/>
      <c r="C23" s="23"/>
      <c r="D23" s="23"/>
      <c r="E23" s="23"/>
      <c r="F23" s="23"/>
      <c r="G23" s="24"/>
      <c r="H23" s="22"/>
      <c r="I23" s="23"/>
      <c r="J23" s="23"/>
      <c r="K23" s="23"/>
      <c r="L23" s="23"/>
      <c r="M23" s="23"/>
      <c r="N23" s="24"/>
      <c r="O23" s="22"/>
      <c r="P23" s="23"/>
      <c r="Q23" s="23"/>
      <c r="R23" s="23"/>
      <c r="S23" s="61"/>
      <c r="T23" s="62"/>
      <c r="U23" s="62"/>
      <c r="V23" s="62"/>
      <c r="W23" s="62"/>
      <c r="X23" s="62"/>
      <c r="Y23" s="62"/>
      <c r="Z23" s="62"/>
      <c r="AA23" s="62"/>
      <c r="AB23" s="62"/>
      <c r="AC23" s="62"/>
      <c r="AD23" s="62"/>
      <c r="AE23" s="62"/>
      <c r="AF23" s="62"/>
      <c r="AG23" s="62"/>
      <c r="AH23" s="62"/>
      <c r="AI23" s="62"/>
      <c r="AJ23" s="62"/>
      <c r="AK23" s="62"/>
      <c r="AL23" s="62"/>
      <c r="AM23" s="62"/>
      <c r="AN23" s="62"/>
      <c r="AO23" s="62"/>
      <c r="AP23" s="62"/>
      <c r="AQ23" s="62"/>
      <c r="AR23" s="62"/>
      <c r="AS23" s="62"/>
      <c r="AT23" s="62"/>
      <c r="AU23" s="62"/>
      <c r="AV23" s="62"/>
      <c r="AW23" s="63"/>
      <c r="AX23" s="64"/>
      <c r="AY23" s="64"/>
      <c r="AZ23" s="64"/>
      <c r="BA23" s="64"/>
      <c r="BB23" s="64"/>
      <c r="BC23" s="65"/>
      <c r="BD23" s="68"/>
      <c r="BE23" s="64"/>
      <c r="BF23" s="64"/>
      <c r="BG23" s="64"/>
      <c r="BH23" s="64"/>
      <c r="BI23" s="64"/>
      <c r="BJ23" s="65"/>
      <c r="BK23" s="4"/>
    </row>
    <row r="24" spans="1:63" ht="15" customHeight="1" x14ac:dyDescent="0.25">
      <c r="A24" s="1"/>
      <c r="B24" s="25"/>
      <c r="C24" s="26"/>
      <c r="D24" s="26"/>
      <c r="E24" s="26"/>
      <c r="F24" s="26"/>
      <c r="G24" s="27"/>
      <c r="H24" s="25"/>
      <c r="I24" s="26"/>
      <c r="J24" s="26"/>
      <c r="K24" s="26"/>
      <c r="L24" s="26"/>
      <c r="M24" s="26"/>
      <c r="N24" s="27"/>
      <c r="O24" s="25"/>
      <c r="P24" s="26"/>
      <c r="Q24" s="26"/>
      <c r="R24" s="26"/>
      <c r="S24" s="70"/>
      <c r="T24" s="71"/>
      <c r="U24" s="71"/>
      <c r="V24" s="71"/>
      <c r="W24" s="71"/>
      <c r="X24" s="71"/>
      <c r="Y24" s="71"/>
      <c r="Z24" s="71"/>
      <c r="AA24" s="71"/>
      <c r="AB24" s="71"/>
      <c r="AC24" s="71"/>
      <c r="AD24" s="71"/>
      <c r="AE24" s="71"/>
      <c r="AF24" s="71"/>
      <c r="AG24" s="71"/>
      <c r="AH24" s="71"/>
      <c r="AI24" s="71"/>
      <c r="AJ24" s="71"/>
      <c r="AK24" s="71"/>
      <c r="AL24" s="71"/>
      <c r="AM24" s="71"/>
      <c r="AN24" s="71"/>
      <c r="AO24" s="71"/>
      <c r="AP24" s="71"/>
      <c r="AQ24" s="71"/>
      <c r="AR24" s="71"/>
      <c r="AS24" s="71"/>
      <c r="AT24" s="71"/>
      <c r="AU24" s="71"/>
      <c r="AV24" s="71"/>
      <c r="AW24" s="72"/>
      <c r="AX24" s="66"/>
      <c r="AY24" s="66"/>
      <c r="AZ24" s="66"/>
      <c r="BA24" s="66"/>
      <c r="BB24" s="66"/>
      <c r="BC24" s="67"/>
      <c r="BD24" s="69"/>
      <c r="BE24" s="66"/>
      <c r="BF24" s="66"/>
      <c r="BG24" s="66"/>
      <c r="BH24" s="66"/>
      <c r="BI24" s="66"/>
      <c r="BJ24" s="67"/>
      <c r="BK24" s="4"/>
    </row>
    <row r="25" spans="1:63" ht="15" customHeight="1" x14ac:dyDescent="0.25">
      <c r="A25" s="1"/>
      <c r="B25" s="22"/>
      <c r="C25" s="23"/>
      <c r="D25" s="23"/>
      <c r="E25" s="23"/>
      <c r="F25" s="23"/>
      <c r="G25" s="24"/>
      <c r="H25" s="22"/>
      <c r="I25" s="23"/>
      <c r="J25" s="23"/>
      <c r="K25" s="23"/>
      <c r="L25" s="23"/>
      <c r="M25" s="23"/>
      <c r="N25" s="24"/>
      <c r="O25" s="22"/>
      <c r="P25" s="23"/>
      <c r="Q25" s="23"/>
      <c r="R25" s="23"/>
      <c r="S25" s="61"/>
      <c r="T25" s="62"/>
      <c r="U25" s="62"/>
      <c r="V25" s="62"/>
      <c r="W25" s="62"/>
      <c r="X25" s="62"/>
      <c r="Y25" s="62"/>
      <c r="Z25" s="62"/>
      <c r="AA25" s="62"/>
      <c r="AB25" s="62"/>
      <c r="AC25" s="62"/>
      <c r="AD25" s="62"/>
      <c r="AE25" s="62"/>
      <c r="AF25" s="62"/>
      <c r="AG25" s="62"/>
      <c r="AH25" s="62"/>
      <c r="AI25" s="62"/>
      <c r="AJ25" s="62"/>
      <c r="AK25" s="62"/>
      <c r="AL25" s="62"/>
      <c r="AM25" s="62"/>
      <c r="AN25" s="62"/>
      <c r="AO25" s="62"/>
      <c r="AP25" s="62"/>
      <c r="AQ25" s="62"/>
      <c r="AR25" s="62"/>
      <c r="AS25" s="62"/>
      <c r="AT25" s="62"/>
      <c r="AU25" s="62"/>
      <c r="AV25" s="62"/>
      <c r="AW25" s="63"/>
      <c r="AX25" s="64"/>
      <c r="AY25" s="64"/>
      <c r="AZ25" s="64"/>
      <c r="BA25" s="64"/>
      <c r="BB25" s="64"/>
      <c r="BC25" s="65"/>
      <c r="BD25" s="68"/>
      <c r="BE25" s="64"/>
      <c r="BF25" s="64"/>
      <c r="BG25" s="64"/>
      <c r="BH25" s="64"/>
      <c r="BI25" s="64"/>
      <c r="BJ25" s="65"/>
      <c r="BK25" s="4"/>
    </row>
    <row r="26" spans="1:63" ht="15" customHeight="1" x14ac:dyDescent="0.25">
      <c r="A26" s="1"/>
      <c r="B26" s="25"/>
      <c r="C26" s="26"/>
      <c r="D26" s="26"/>
      <c r="E26" s="26"/>
      <c r="F26" s="26"/>
      <c r="G26" s="27"/>
      <c r="H26" s="25"/>
      <c r="I26" s="26"/>
      <c r="J26" s="26"/>
      <c r="K26" s="26"/>
      <c r="L26" s="26"/>
      <c r="M26" s="26"/>
      <c r="N26" s="27"/>
      <c r="O26" s="25"/>
      <c r="P26" s="26"/>
      <c r="Q26" s="26"/>
      <c r="R26" s="26"/>
      <c r="S26" s="70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2"/>
      <c r="AX26" s="66"/>
      <c r="AY26" s="66"/>
      <c r="AZ26" s="66"/>
      <c r="BA26" s="66"/>
      <c r="BB26" s="66"/>
      <c r="BC26" s="67"/>
      <c r="BD26" s="69"/>
      <c r="BE26" s="66"/>
      <c r="BF26" s="66"/>
      <c r="BG26" s="66"/>
      <c r="BH26" s="66"/>
      <c r="BI26" s="66"/>
      <c r="BJ26" s="67"/>
      <c r="BK26" s="4"/>
    </row>
    <row r="27" spans="1:63" ht="15" customHeight="1" x14ac:dyDescent="0.25">
      <c r="A27" s="1"/>
      <c r="B27" s="22"/>
      <c r="C27" s="23"/>
      <c r="D27" s="23"/>
      <c r="E27" s="23"/>
      <c r="F27" s="23"/>
      <c r="G27" s="24"/>
      <c r="H27" s="22"/>
      <c r="I27" s="23"/>
      <c r="J27" s="23"/>
      <c r="K27" s="23"/>
      <c r="L27" s="23"/>
      <c r="M27" s="23"/>
      <c r="N27" s="24"/>
      <c r="O27" s="22"/>
      <c r="P27" s="23"/>
      <c r="Q27" s="23"/>
      <c r="R27" s="23"/>
      <c r="S27" s="61"/>
      <c r="T27" s="62"/>
      <c r="U27" s="62"/>
      <c r="V27" s="62"/>
      <c r="W27" s="62"/>
      <c r="X27" s="62"/>
      <c r="Y27" s="62"/>
      <c r="Z27" s="62"/>
      <c r="AA27" s="62"/>
      <c r="AB27" s="62"/>
      <c r="AC27" s="62"/>
      <c r="AD27" s="62"/>
      <c r="AE27" s="62"/>
      <c r="AF27" s="62"/>
      <c r="AG27" s="62"/>
      <c r="AH27" s="62"/>
      <c r="AI27" s="62"/>
      <c r="AJ27" s="62"/>
      <c r="AK27" s="62"/>
      <c r="AL27" s="62"/>
      <c r="AM27" s="62"/>
      <c r="AN27" s="62"/>
      <c r="AO27" s="62"/>
      <c r="AP27" s="62"/>
      <c r="AQ27" s="62"/>
      <c r="AR27" s="62"/>
      <c r="AS27" s="62"/>
      <c r="AT27" s="62"/>
      <c r="AU27" s="62"/>
      <c r="AV27" s="62"/>
      <c r="AW27" s="63"/>
      <c r="AX27" s="64"/>
      <c r="AY27" s="64"/>
      <c r="AZ27" s="64"/>
      <c r="BA27" s="64"/>
      <c r="BB27" s="64"/>
      <c r="BC27" s="65"/>
      <c r="BD27" s="68"/>
      <c r="BE27" s="64"/>
      <c r="BF27" s="64"/>
      <c r="BG27" s="64"/>
      <c r="BH27" s="64"/>
      <c r="BI27" s="64"/>
      <c r="BJ27" s="65"/>
      <c r="BK27" s="4"/>
    </row>
    <row r="28" spans="1:63" ht="15" customHeight="1" x14ac:dyDescent="0.25">
      <c r="A28" s="1"/>
      <c r="B28" s="25"/>
      <c r="C28" s="26"/>
      <c r="D28" s="26"/>
      <c r="E28" s="26"/>
      <c r="F28" s="26"/>
      <c r="G28" s="27"/>
      <c r="H28" s="25"/>
      <c r="I28" s="26"/>
      <c r="J28" s="26"/>
      <c r="K28" s="26"/>
      <c r="L28" s="26"/>
      <c r="M28" s="26"/>
      <c r="N28" s="27"/>
      <c r="O28" s="25"/>
      <c r="P28" s="26"/>
      <c r="Q28" s="26"/>
      <c r="R28" s="26"/>
      <c r="S28" s="70"/>
      <c r="T28" s="71"/>
      <c r="U28" s="71"/>
      <c r="V28" s="71"/>
      <c r="W28" s="71"/>
      <c r="X28" s="71"/>
      <c r="Y28" s="71"/>
      <c r="Z28" s="71"/>
      <c r="AA28" s="71"/>
      <c r="AB28" s="71"/>
      <c r="AC28" s="71"/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2"/>
      <c r="AX28" s="66"/>
      <c r="AY28" s="66"/>
      <c r="AZ28" s="66"/>
      <c r="BA28" s="66"/>
      <c r="BB28" s="66"/>
      <c r="BC28" s="67"/>
      <c r="BD28" s="69"/>
      <c r="BE28" s="66"/>
      <c r="BF28" s="66"/>
      <c r="BG28" s="66"/>
      <c r="BH28" s="66"/>
      <c r="BI28" s="66"/>
      <c r="BJ28" s="67"/>
      <c r="BK28" s="4"/>
    </row>
    <row r="29" spans="1:63" ht="15" customHeight="1" x14ac:dyDescent="0.25">
      <c r="A29" s="1"/>
      <c r="B29" s="22"/>
      <c r="C29" s="23"/>
      <c r="D29" s="23"/>
      <c r="E29" s="23"/>
      <c r="F29" s="23"/>
      <c r="G29" s="24"/>
      <c r="H29" s="22"/>
      <c r="I29" s="23"/>
      <c r="J29" s="23"/>
      <c r="K29" s="23"/>
      <c r="L29" s="23"/>
      <c r="M29" s="23"/>
      <c r="N29" s="24"/>
      <c r="O29" s="22"/>
      <c r="P29" s="23"/>
      <c r="Q29" s="23"/>
      <c r="R29" s="23"/>
      <c r="S29" s="61"/>
      <c r="T29" s="62"/>
      <c r="U29" s="62"/>
      <c r="V29" s="62"/>
      <c r="W29" s="62"/>
      <c r="X29" s="62"/>
      <c r="Y29" s="62"/>
      <c r="Z29" s="62"/>
      <c r="AA29" s="62"/>
      <c r="AB29" s="62"/>
      <c r="AC29" s="62"/>
      <c r="AD29" s="62"/>
      <c r="AE29" s="62"/>
      <c r="AF29" s="62"/>
      <c r="AG29" s="62"/>
      <c r="AH29" s="62"/>
      <c r="AI29" s="62"/>
      <c r="AJ29" s="62"/>
      <c r="AK29" s="62"/>
      <c r="AL29" s="62"/>
      <c r="AM29" s="62"/>
      <c r="AN29" s="62"/>
      <c r="AO29" s="62"/>
      <c r="AP29" s="62"/>
      <c r="AQ29" s="62"/>
      <c r="AR29" s="62"/>
      <c r="AS29" s="62"/>
      <c r="AT29" s="62"/>
      <c r="AU29" s="62"/>
      <c r="AV29" s="62"/>
      <c r="AW29" s="63"/>
      <c r="AX29" s="64"/>
      <c r="AY29" s="64"/>
      <c r="AZ29" s="64"/>
      <c r="BA29" s="64"/>
      <c r="BB29" s="64"/>
      <c r="BC29" s="65"/>
      <c r="BD29" s="68"/>
      <c r="BE29" s="64"/>
      <c r="BF29" s="64"/>
      <c r="BG29" s="64"/>
      <c r="BH29" s="64"/>
      <c r="BI29" s="64"/>
      <c r="BJ29" s="65"/>
      <c r="BK29" s="4"/>
    </row>
    <row r="30" spans="1:63" ht="15" customHeight="1" x14ac:dyDescent="0.25">
      <c r="A30" s="1"/>
      <c r="B30" s="25"/>
      <c r="C30" s="26"/>
      <c r="D30" s="26"/>
      <c r="E30" s="26"/>
      <c r="F30" s="26"/>
      <c r="G30" s="27"/>
      <c r="H30" s="25"/>
      <c r="I30" s="26"/>
      <c r="J30" s="26"/>
      <c r="K30" s="26"/>
      <c r="L30" s="26"/>
      <c r="M30" s="26"/>
      <c r="N30" s="27"/>
      <c r="O30" s="25"/>
      <c r="P30" s="26"/>
      <c r="Q30" s="26"/>
      <c r="R30" s="26"/>
      <c r="S30" s="70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2"/>
      <c r="AX30" s="66"/>
      <c r="AY30" s="66"/>
      <c r="AZ30" s="66"/>
      <c r="BA30" s="66"/>
      <c r="BB30" s="66"/>
      <c r="BC30" s="67"/>
      <c r="BD30" s="69"/>
      <c r="BE30" s="66"/>
      <c r="BF30" s="66"/>
      <c r="BG30" s="66"/>
      <c r="BH30" s="66"/>
      <c r="BI30" s="66"/>
      <c r="BJ30" s="67"/>
      <c r="BK30" s="4"/>
    </row>
    <row r="31" spans="1:63" ht="15" customHeight="1" x14ac:dyDescent="0.25">
      <c r="A31" s="1"/>
      <c r="B31" s="22"/>
      <c r="C31" s="23"/>
      <c r="D31" s="23"/>
      <c r="E31" s="23"/>
      <c r="F31" s="23"/>
      <c r="G31" s="24"/>
      <c r="H31" s="22"/>
      <c r="I31" s="23"/>
      <c r="J31" s="23"/>
      <c r="K31" s="23"/>
      <c r="L31" s="23"/>
      <c r="M31" s="23"/>
      <c r="N31" s="24"/>
      <c r="O31" s="22"/>
      <c r="P31" s="23"/>
      <c r="Q31" s="23"/>
      <c r="R31" s="23"/>
      <c r="S31" s="61"/>
      <c r="T31" s="62"/>
      <c r="U31" s="62"/>
      <c r="V31" s="62"/>
      <c r="W31" s="62"/>
      <c r="X31" s="62"/>
      <c r="Y31" s="62"/>
      <c r="Z31" s="62"/>
      <c r="AA31" s="62"/>
      <c r="AB31" s="62"/>
      <c r="AC31" s="62"/>
      <c r="AD31" s="62"/>
      <c r="AE31" s="62"/>
      <c r="AF31" s="62"/>
      <c r="AG31" s="62"/>
      <c r="AH31" s="62"/>
      <c r="AI31" s="62"/>
      <c r="AJ31" s="62"/>
      <c r="AK31" s="62"/>
      <c r="AL31" s="62"/>
      <c r="AM31" s="62"/>
      <c r="AN31" s="62"/>
      <c r="AO31" s="62"/>
      <c r="AP31" s="62"/>
      <c r="AQ31" s="62"/>
      <c r="AR31" s="62"/>
      <c r="AS31" s="62"/>
      <c r="AT31" s="62"/>
      <c r="AU31" s="62"/>
      <c r="AV31" s="62"/>
      <c r="AW31" s="63"/>
      <c r="AX31" s="64"/>
      <c r="AY31" s="64"/>
      <c r="AZ31" s="64"/>
      <c r="BA31" s="64"/>
      <c r="BB31" s="64"/>
      <c r="BC31" s="65"/>
      <c r="BD31" s="68"/>
      <c r="BE31" s="64"/>
      <c r="BF31" s="64"/>
      <c r="BG31" s="64"/>
      <c r="BH31" s="64"/>
      <c r="BI31" s="64"/>
      <c r="BJ31" s="65"/>
      <c r="BK31" s="4"/>
    </row>
    <row r="32" spans="1:63" ht="15" customHeight="1" x14ac:dyDescent="0.25">
      <c r="A32" s="1"/>
      <c r="B32" s="25"/>
      <c r="C32" s="26"/>
      <c r="D32" s="26"/>
      <c r="E32" s="26"/>
      <c r="F32" s="26"/>
      <c r="G32" s="27"/>
      <c r="H32" s="25"/>
      <c r="I32" s="26"/>
      <c r="J32" s="26"/>
      <c r="K32" s="26"/>
      <c r="L32" s="26"/>
      <c r="M32" s="26"/>
      <c r="N32" s="27"/>
      <c r="O32" s="25"/>
      <c r="P32" s="26"/>
      <c r="Q32" s="26"/>
      <c r="R32" s="26"/>
      <c r="S32" s="70"/>
      <c r="T32" s="71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2"/>
      <c r="AX32" s="66"/>
      <c r="AY32" s="66"/>
      <c r="AZ32" s="66"/>
      <c r="BA32" s="66"/>
      <c r="BB32" s="66"/>
      <c r="BC32" s="67"/>
      <c r="BD32" s="69"/>
      <c r="BE32" s="66"/>
      <c r="BF32" s="66"/>
      <c r="BG32" s="66"/>
      <c r="BH32" s="66"/>
      <c r="BI32" s="66"/>
      <c r="BJ32" s="67"/>
      <c r="BK32" s="4"/>
    </row>
    <row r="33" spans="1:63" ht="15" customHeight="1" x14ac:dyDescent="0.25">
      <c r="A33" s="1"/>
      <c r="B33" s="22"/>
      <c r="C33" s="23"/>
      <c r="D33" s="23"/>
      <c r="E33" s="23"/>
      <c r="F33" s="23"/>
      <c r="G33" s="24"/>
      <c r="H33" s="22"/>
      <c r="I33" s="23"/>
      <c r="J33" s="23"/>
      <c r="K33" s="23"/>
      <c r="L33" s="23"/>
      <c r="M33" s="23"/>
      <c r="N33" s="24"/>
      <c r="O33" s="22"/>
      <c r="P33" s="23"/>
      <c r="Q33" s="23"/>
      <c r="R33" s="23"/>
      <c r="S33" s="61"/>
      <c r="T33" s="62"/>
      <c r="U33" s="62"/>
      <c r="V33" s="62"/>
      <c r="W33" s="62"/>
      <c r="X33" s="62"/>
      <c r="Y33" s="62"/>
      <c r="Z33" s="62"/>
      <c r="AA33" s="62"/>
      <c r="AB33" s="62"/>
      <c r="AC33" s="62"/>
      <c r="AD33" s="62"/>
      <c r="AE33" s="62"/>
      <c r="AF33" s="62"/>
      <c r="AG33" s="62"/>
      <c r="AH33" s="62"/>
      <c r="AI33" s="62"/>
      <c r="AJ33" s="62"/>
      <c r="AK33" s="62"/>
      <c r="AL33" s="62"/>
      <c r="AM33" s="62"/>
      <c r="AN33" s="62"/>
      <c r="AO33" s="62"/>
      <c r="AP33" s="62"/>
      <c r="AQ33" s="62"/>
      <c r="AR33" s="62"/>
      <c r="AS33" s="62"/>
      <c r="AT33" s="62"/>
      <c r="AU33" s="62"/>
      <c r="AV33" s="62"/>
      <c r="AW33" s="63"/>
      <c r="AX33" s="64"/>
      <c r="AY33" s="64"/>
      <c r="AZ33" s="64"/>
      <c r="BA33" s="64"/>
      <c r="BB33" s="64"/>
      <c r="BC33" s="65"/>
      <c r="BD33" s="68"/>
      <c r="BE33" s="64"/>
      <c r="BF33" s="64"/>
      <c r="BG33" s="64"/>
      <c r="BH33" s="64"/>
      <c r="BI33" s="64"/>
      <c r="BJ33" s="65"/>
      <c r="BK33" s="4"/>
    </row>
    <row r="34" spans="1:63" ht="15" customHeight="1" x14ac:dyDescent="0.25">
      <c r="A34" s="1"/>
      <c r="B34" s="25"/>
      <c r="C34" s="26"/>
      <c r="D34" s="26"/>
      <c r="E34" s="26"/>
      <c r="F34" s="26"/>
      <c r="G34" s="27"/>
      <c r="H34" s="25"/>
      <c r="I34" s="26"/>
      <c r="J34" s="26"/>
      <c r="K34" s="26"/>
      <c r="L34" s="26"/>
      <c r="M34" s="26"/>
      <c r="N34" s="27"/>
      <c r="O34" s="25"/>
      <c r="P34" s="26"/>
      <c r="Q34" s="26"/>
      <c r="R34" s="26"/>
      <c r="S34" s="70"/>
      <c r="T34" s="71"/>
      <c r="U34" s="71"/>
      <c r="V34" s="71"/>
      <c r="W34" s="71"/>
      <c r="X34" s="71"/>
      <c r="Y34" s="71"/>
      <c r="Z34" s="71"/>
      <c r="AA34" s="71"/>
      <c r="AB34" s="71"/>
      <c r="AC34" s="71"/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2"/>
      <c r="AX34" s="66"/>
      <c r="AY34" s="66"/>
      <c r="AZ34" s="66"/>
      <c r="BA34" s="66"/>
      <c r="BB34" s="66"/>
      <c r="BC34" s="67"/>
      <c r="BD34" s="69"/>
      <c r="BE34" s="66"/>
      <c r="BF34" s="66"/>
      <c r="BG34" s="66"/>
      <c r="BH34" s="66"/>
      <c r="BI34" s="66"/>
      <c r="BJ34" s="67"/>
      <c r="BK34" s="4"/>
    </row>
    <row r="35" spans="1:63" ht="15" customHeight="1" x14ac:dyDescent="0.25">
      <c r="A35" s="1"/>
      <c r="B35" s="22"/>
      <c r="C35" s="23"/>
      <c r="D35" s="23"/>
      <c r="E35" s="23"/>
      <c r="F35" s="23"/>
      <c r="G35" s="24"/>
      <c r="H35" s="22"/>
      <c r="I35" s="23"/>
      <c r="J35" s="23"/>
      <c r="K35" s="23"/>
      <c r="L35" s="23"/>
      <c r="M35" s="23"/>
      <c r="N35" s="24"/>
      <c r="O35" s="22"/>
      <c r="P35" s="23"/>
      <c r="Q35" s="23"/>
      <c r="R35" s="23"/>
      <c r="S35" s="61"/>
      <c r="T35" s="62"/>
      <c r="U35" s="62"/>
      <c r="V35" s="62"/>
      <c r="W35" s="62"/>
      <c r="X35" s="62"/>
      <c r="Y35" s="62"/>
      <c r="Z35" s="62"/>
      <c r="AA35" s="62"/>
      <c r="AB35" s="62"/>
      <c r="AC35" s="62"/>
      <c r="AD35" s="62"/>
      <c r="AE35" s="62"/>
      <c r="AF35" s="62"/>
      <c r="AG35" s="62"/>
      <c r="AH35" s="62"/>
      <c r="AI35" s="62"/>
      <c r="AJ35" s="62"/>
      <c r="AK35" s="62"/>
      <c r="AL35" s="62"/>
      <c r="AM35" s="62"/>
      <c r="AN35" s="62"/>
      <c r="AO35" s="62"/>
      <c r="AP35" s="62"/>
      <c r="AQ35" s="62"/>
      <c r="AR35" s="62"/>
      <c r="AS35" s="62"/>
      <c r="AT35" s="62"/>
      <c r="AU35" s="62"/>
      <c r="AV35" s="62"/>
      <c r="AW35" s="63"/>
      <c r="AX35" s="64"/>
      <c r="AY35" s="64"/>
      <c r="AZ35" s="64"/>
      <c r="BA35" s="64"/>
      <c r="BB35" s="64"/>
      <c r="BC35" s="65"/>
      <c r="BD35" s="68"/>
      <c r="BE35" s="64"/>
      <c r="BF35" s="64"/>
      <c r="BG35" s="64"/>
      <c r="BH35" s="64"/>
      <c r="BI35" s="64"/>
      <c r="BJ35" s="65"/>
      <c r="BK35" s="4"/>
    </row>
    <row r="36" spans="1:63" ht="15" customHeight="1" x14ac:dyDescent="0.25">
      <c r="A36" s="1"/>
      <c r="B36" s="25"/>
      <c r="C36" s="26"/>
      <c r="D36" s="26"/>
      <c r="E36" s="26"/>
      <c r="F36" s="26"/>
      <c r="G36" s="27"/>
      <c r="H36" s="25"/>
      <c r="I36" s="26"/>
      <c r="J36" s="26"/>
      <c r="K36" s="26"/>
      <c r="L36" s="26"/>
      <c r="M36" s="26"/>
      <c r="N36" s="27"/>
      <c r="O36" s="25"/>
      <c r="P36" s="26"/>
      <c r="Q36" s="26"/>
      <c r="R36" s="26"/>
      <c r="S36" s="70"/>
      <c r="T36" s="71"/>
      <c r="U36" s="71"/>
      <c r="V36" s="71"/>
      <c r="W36" s="71"/>
      <c r="X36" s="71"/>
      <c r="Y36" s="71"/>
      <c r="Z36" s="71"/>
      <c r="AA36" s="71"/>
      <c r="AB36" s="71"/>
      <c r="AC36" s="71"/>
      <c r="AD36" s="71"/>
      <c r="AE36" s="71"/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2"/>
      <c r="AX36" s="66"/>
      <c r="AY36" s="66"/>
      <c r="AZ36" s="66"/>
      <c r="BA36" s="66"/>
      <c r="BB36" s="66"/>
      <c r="BC36" s="67"/>
      <c r="BD36" s="69"/>
      <c r="BE36" s="66"/>
      <c r="BF36" s="66"/>
      <c r="BG36" s="66"/>
      <c r="BH36" s="66"/>
      <c r="BI36" s="66"/>
      <c r="BJ36" s="67"/>
      <c r="BK36" s="4"/>
    </row>
    <row r="37" spans="1:63" ht="15" customHeight="1" x14ac:dyDescent="0.25">
      <c r="A37" s="1"/>
      <c r="B37" s="22"/>
      <c r="C37" s="23"/>
      <c r="D37" s="23"/>
      <c r="E37" s="23"/>
      <c r="F37" s="23"/>
      <c r="G37" s="24"/>
      <c r="H37" s="22"/>
      <c r="I37" s="23"/>
      <c r="J37" s="23"/>
      <c r="K37" s="23"/>
      <c r="L37" s="23"/>
      <c r="M37" s="23"/>
      <c r="N37" s="24"/>
      <c r="O37" s="22"/>
      <c r="P37" s="23"/>
      <c r="Q37" s="23"/>
      <c r="R37" s="23"/>
      <c r="S37" s="61"/>
      <c r="T37" s="62"/>
      <c r="U37" s="62"/>
      <c r="V37" s="62"/>
      <c r="W37" s="62"/>
      <c r="X37" s="62"/>
      <c r="Y37" s="62"/>
      <c r="Z37" s="62"/>
      <c r="AA37" s="62"/>
      <c r="AB37" s="62"/>
      <c r="AC37" s="62"/>
      <c r="AD37" s="62"/>
      <c r="AE37" s="62"/>
      <c r="AF37" s="62"/>
      <c r="AG37" s="62"/>
      <c r="AH37" s="62"/>
      <c r="AI37" s="62"/>
      <c r="AJ37" s="62"/>
      <c r="AK37" s="62"/>
      <c r="AL37" s="62"/>
      <c r="AM37" s="62"/>
      <c r="AN37" s="62"/>
      <c r="AO37" s="62"/>
      <c r="AP37" s="62"/>
      <c r="AQ37" s="62"/>
      <c r="AR37" s="62"/>
      <c r="AS37" s="62"/>
      <c r="AT37" s="62"/>
      <c r="AU37" s="62"/>
      <c r="AV37" s="62"/>
      <c r="AW37" s="63"/>
      <c r="AX37" s="64"/>
      <c r="AY37" s="64"/>
      <c r="AZ37" s="64"/>
      <c r="BA37" s="64"/>
      <c r="BB37" s="64"/>
      <c r="BC37" s="65"/>
      <c r="BD37" s="68"/>
      <c r="BE37" s="64"/>
      <c r="BF37" s="64"/>
      <c r="BG37" s="64"/>
      <c r="BH37" s="64"/>
      <c r="BI37" s="64"/>
      <c r="BJ37" s="65"/>
      <c r="BK37" s="4"/>
    </row>
    <row r="38" spans="1:63" ht="15" customHeight="1" x14ac:dyDescent="0.25">
      <c r="A38" s="1"/>
      <c r="B38" s="25"/>
      <c r="C38" s="26"/>
      <c r="D38" s="26"/>
      <c r="E38" s="26"/>
      <c r="F38" s="26"/>
      <c r="G38" s="27"/>
      <c r="H38" s="25"/>
      <c r="I38" s="26"/>
      <c r="J38" s="26"/>
      <c r="K38" s="26"/>
      <c r="L38" s="26"/>
      <c r="M38" s="26"/>
      <c r="N38" s="27"/>
      <c r="O38" s="25"/>
      <c r="P38" s="26"/>
      <c r="Q38" s="26"/>
      <c r="R38" s="26"/>
      <c r="S38" s="70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2"/>
      <c r="AX38" s="66"/>
      <c r="AY38" s="66"/>
      <c r="AZ38" s="66"/>
      <c r="BA38" s="66"/>
      <c r="BB38" s="66"/>
      <c r="BC38" s="67"/>
      <c r="BD38" s="69"/>
      <c r="BE38" s="66"/>
      <c r="BF38" s="66"/>
      <c r="BG38" s="66"/>
      <c r="BH38" s="66"/>
      <c r="BI38" s="66"/>
      <c r="BJ38" s="67"/>
      <c r="BK38" s="4"/>
    </row>
    <row r="39" spans="1:63" ht="15" customHeight="1" x14ac:dyDescent="0.25">
      <c r="A39" s="1"/>
      <c r="B39" s="22"/>
      <c r="C39" s="23"/>
      <c r="D39" s="23"/>
      <c r="E39" s="23"/>
      <c r="F39" s="23"/>
      <c r="G39" s="24"/>
      <c r="H39" s="22"/>
      <c r="I39" s="23"/>
      <c r="J39" s="23"/>
      <c r="K39" s="23"/>
      <c r="L39" s="23"/>
      <c r="M39" s="23"/>
      <c r="N39" s="24"/>
      <c r="O39" s="22"/>
      <c r="P39" s="23"/>
      <c r="Q39" s="23"/>
      <c r="R39" s="23"/>
      <c r="S39" s="61"/>
      <c r="T39" s="62"/>
      <c r="U39" s="62"/>
      <c r="V39" s="62"/>
      <c r="W39" s="62"/>
      <c r="X39" s="62"/>
      <c r="Y39" s="62"/>
      <c r="Z39" s="62"/>
      <c r="AA39" s="62"/>
      <c r="AB39" s="62"/>
      <c r="AC39" s="62"/>
      <c r="AD39" s="62"/>
      <c r="AE39" s="62"/>
      <c r="AF39" s="62"/>
      <c r="AG39" s="62"/>
      <c r="AH39" s="62"/>
      <c r="AI39" s="62"/>
      <c r="AJ39" s="62"/>
      <c r="AK39" s="62"/>
      <c r="AL39" s="62"/>
      <c r="AM39" s="62"/>
      <c r="AN39" s="62"/>
      <c r="AO39" s="62"/>
      <c r="AP39" s="62"/>
      <c r="AQ39" s="62"/>
      <c r="AR39" s="62"/>
      <c r="AS39" s="62"/>
      <c r="AT39" s="62"/>
      <c r="AU39" s="62"/>
      <c r="AV39" s="62"/>
      <c r="AW39" s="63"/>
      <c r="AX39" s="64"/>
      <c r="AY39" s="64"/>
      <c r="AZ39" s="64"/>
      <c r="BA39" s="64"/>
      <c r="BB39" s="64"/>
      <c r="BC39" s="65"/>
      <c r="BD39" s="68"/>
      <c r="BE39" s="64"/>
      <c r="BF39" s="64"/>
      <c r="BG39" s="64"/>
      <c r="BH39" s="64"/>
      <c r="BI39" s="64"/>
      <c r="BJ39" s="65"/>
      <c r="BK39" s="4"/>
    </row>
    <row r="40" spans="1:63" ht="15" customHeight="1" x14ac:dyDescent="0.25">
      <c r="A40" s="1"/>
      <c r="B40" s="25"/>
      <c r="C40" s="26"/>
      <c r="D40" s="26"/>
      <c r="E40" s="26"/>
      <c r="F40" s="26"/>
      <c r="G40" s="27"/>
      <c r="H40" s="25"/>
      <c r="I40" s="26"/>
      <c r="J40" s="26"/>
      <c r="K40" s="26"/>
      <c r="L40" s="26"/>
      <c r="M40" s="26"/>
      <c r="N40" s="27"/>
      <c r="O40" s="25"/>
      <c r="P40" s="26"/>
      <c r="Q40" s="26"/>
      <c r="R40" s="26"/>
      <c r="S40" s="70"/>
      <c r="T40" s="71"/>
      <c r="U40" s="71"/>
      <c r="V40" s="71"/>
      <c r="W40" s="71"/>
      <c r="X40" s="71"/>
      <c r="Y40" s="71"/>
      <c r="Z40" s="71"/>
      <c r="AA40" s="71"/>
      <c r="AB40" s="71"/>
      <c r="AC40" s="71"/>
      <c r="AD40" s="71"/>
      <c r="AE40" s="71"/>
      <c r="AF40" s="71"/>
      <c r="AG40" s="71"/>
      <c r="AH40" s="71"/>
      <c r="AI40" s="71"/>
      <c r="AJ40" s="71"/>
      <c r="AK40" s="71"/>
      <c r="AL40" s="71"/>
      <c r="AM40" s="71"/>
      <c r="AN40" s="71"/>
      <c r="AO40" s="71"/>
      <c r="AP40" s="71"/>
      <c r="AQ40" s="71"/>
      <c r="AR40" s="71"/>
      <c r="AS40" s="71"/>
      <c r="AT40" s="71"/>
      <c r="AU40" s="71"/>
      <c r="AV40" s="71"/>
      <c r="AW40" s="72"/>
      <c r="AX40" s="66"/>
      <c r="AY40" s="66"/>
      <c r="AZ40" s="66"/>
      <c r="BA40" s="66"/>
      <c r="BB40" s="66"/>
      <c r="BC40" s="67"/>
      <c r="BD40" s="69"/>
      <c r="BE40" s="66"/>
      <c r="BF40" s="66"/>
      <c r="BG40" s="66"/>
      <c r="BH40" s="66"/>
      <c r="BI40" s="66"/>
      <c r="BJ40" s="67"/>
      <c r="BK40" s="4"/>
    </row>
    <row r="41" spans="1:63" ht="15" customHeight="1" x14ac:dyDescent="0.25">
      <c r="A41" s="1"/>
      <c r="B41" s="22"/>
      <c r="C41" s="23"/>
      <c r="D41" s="23"/>
      <c r="E41" s="23"/>
      <c r="F41" s="23"/>
      <c r="G41" s="24"/>
      <c r="H41" s="22"/>
      <c r="I41" s="23"/>
      <c r="J41" s="23"/>
      <c r="K41" s="23"/>
      <c r="L41" s="23"/>
      <c r="M41" s="23"/>
      <c r="N41" s="24"/>
      <c r="O41" s="22"/>
      <c r="P41" s="23"/>
      <c r="Q41" s="23"/>
      <c r="R41" s="23"/>
      <c r="S41" s="61"/>
      <c r="T41" s="62"/>
      <c r="U41" s="62"/>
      <c r="V41" s="62"/>
      <c r="W41" s="62"/>
      <c r="X41" s="62"/>
      <c r="Y41" s="62"/>
      <c r="Z41" s="62"/>
      <c r="AA41" s="62"/>
      <c r="AB41" s="62"/>
      <c r="AC41" s="62"/>
      <c r="AD41" s="62"/>
      <c r="AE41" s="62"/>
      <c r="AF41" s="62"/>
      <c r="AG41" s="62"/>
      <c r="AH41" s="62"/>
      <c r="AI41" s="62"/>
      <c r="AJ41" s="62"/>
      <c r="AK41" s="62"/>
      <c r="AL41" s="62"/>
      <c r="AM41" s="62"/>
      <c r="AN41" s="62"/>
      <c r="AO41" s="62"/>
      <c r="AP41" s="62"/>
      <c r="AQ41" s="62"/>
      <c r="AR41" s="62"/>
      <c r="AS41" s="62"/>
      <c r="AT41" s="62"/>
      <c r="AU41" s="62"/>
      <c r="AV41" s="62"/>
      <c r="AW41" s="63"/>
      <c r="AX41" s="64"/>
      <c r="AY41" s="64"/>
      <c r="AZ41" s="64"/>
      <c r="BA41" s="64"/>
      <c r="BB41" s="64"/>
      <c r="BC41" s="65"/>
      <c r="BD41" s="68"/>
      <c r="BE41" s="64"/>
      <c r="BF41" s="64"/>
      <c r="BG41" s="64"/>
      <c r="BH41" s="64"/>
      <c r="BI41" s="64"/>
      <c r="BJ41" s="65"/>
      <c r="BK41" s="4"/>
    </row>
    <row r="42" spans="1:63" ht="15" customHeight="1" x14ac:dyDescent="0.25">
      <c r="A42" s="1"/>
      <c r="B42" s="25"/>
      <c r="C42" s="26"/>
      <c r="D42" s="26"/>
      <c r="E42" s="26"/>
      <c r="F42" s="26"/>
      <c r="G42" s="27"/>
      <c r="H42" s="25"/>
      <c r="I42" s="26"/>
      <c r="J42" s="26"/>
      <c r="K42" s="26"/>
      <c r="L42" s="26"/>
      <c r="M42" s="26"/>
      <c r="N42" s="27"/>
      <c r="O42" s="25"/>
      <c r="P42" s="26"/>
      <c r="Q42" s="26"/>
      <c r="R42" s="26"/>
      <c r="S42" s="70"/>
      <c r="T42" s="71"/>
      <c r="U42" s="71"/>
      <c r="V42" s="71"/>
      <c r="W42" s="71"/>
      <c r="X42" s="71"/>
      <c r="Y42" s="71"/>
      <c r="Z42" s="71"/>
      <c r="AA42" s="71"/>
      <c r="AB42" s="71"/>
      <c r="AC42" s="71"/>
      <c r="AD42" s="71"/>
      <c r="AE42" s="71"/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71"/>
      <c r="AS42" s="71"/>
      <c r="AT42" s="71"/>
      <c r="AU42" s="71"/>
      <c r="AV42" s="71"/>
      <c r="AW42" s="72"/>
      <c r="AX42" s="66"/>
      <c r="AY42" s="66"/>
      <c r="AZ42" s="66"/>
      <c r="BA42" s="66"/>
      <c r="BB42" s="66"/>
      <c r="BC42" s="67"/>
      <c r="BD42" s="69"/>
      <c r="BE42" s="66"/>
      <c r="BF42" s="66"/>
      <c r="BG42" s="66"/>
      <c r="BH42" s="66"/>
      <c r="BI42" s="66"/>
      <c r="BJ42" s="67"/>
      <c r="BK42" s="4"/>
    </row>
    <row r="43" spans="1:63" ht="15" customHeight="1" x14ac:dyDescent="0.25">
      <c r="A43" s="1"/>
      <c r="B43" s="22"/>
      <c r="C43" s="23"/>
      <c r="D43" s="23"/>
      <c r="E43" s="23"/>
      <c r="F43" s="23"/>
      <c r="G43" s="24"/>
      <c r="H43" s="22"/>
      <c r="I43" s="23"/>
      <c r="J43" s="23"/>
      <c r="K43" s="23"/>
      <c r="L43" s="23"/>
      <c r="M43" s="23"/>
      <c r="N43" s="24"/>
      <c r="O43" s="22"/>
      <c r="P43" s="23"/>
      <c r="Q43" s="23"/>
      <c r="R43" s="23"/>
      <c r="S43" s="61"/>
      <c r="T43" s="62"/>
      <c r="U43" s="62"/>
      <c r="V43" s="62"/>
      <c r="W43" s="62"/>
      <c r="X43" s="62"/>
      <c r="Y43" s="62"/>
      <c r="Z43" s="62"/>
      <c r="AA43" s="62"/>
      <c r="AB43" s="62"/>
      <c r="AC43" s="62"/>
      <c r="AD43" s="62"/>
      <c r="AE43" s="62"/>
      <c r="AF43" s="62"/>
      <c r="AG43" s="62"/>
      <c r="AH43" s="62"/>
      <c r="AI43" s="62"/>
      <c r="AJ43" s="62"/>
      <c r="AK43" s="62"/>
      <c r="AL43" s="62"/>
      <c r="AM43" s="62"/>
      <c r="AN43" s="62"/>
      <c r="AO43" s="62"/>
      <c r="AP43" s="62"/>
      <c r="AQ43" s="62"/>
      <c r="AR43" s="62"/>
      <c r="AS43" s="62"/>
      <c r="AT43" s="62"/>
      <c r="AU43" s="62"/>
      <c r="AV43" s="62"/>
      <c r="AW43" s="63"/>
      <c r="AX43" s="64"/>
      <c r="AY43" s="64"/>
      <c r="AZ43" s="64"/>
      <c r="BA43" s="64"/>
      <c r="BB43" s="64"/>
      <c r="BC43" s="65"/>
      <c r="BD43" s="68"/>
      <c r="BE43" s="64"/>
      <c r="BF43" s="64"/>
      <c r="BG43" s="64"/>
      <c r="BH43" s="64"/>
      <c r="BI43" s="64"/>
      <c r="BJ43" s="65"/>
      <c r="BK43" s="4"/>
    </row>
    <row r="44" spans="1:63" ht="15" customHeight="1" x14ac:dyDescent="0.25">
      <c r="A44" s="1"/>
      <c r="B44" s="25"/>
      <c r="C44" s="26"/>
      <c r="D44" s="26"/>
      <c r="E44" s="26"/>
      <c r="F44" s="26"/>
      <c r="G44" s="27"/>
      <c r="H44" s="25"/>
      <c r="I44" s="26"/>
      <c r="J44" s="26"/>
      <c r="K44" s="26"/>
      <c r="L44" s="26"/>
      <c r="M44" s="26"/>
      <c r="N44" s="27"/>
      <c r="O44" s="25"/>
      <c r="P44" s="26"/>
      <c r="Q44" s="26"/>
      <c r="R44" s="26"/>
      <c r="S44" s="70"/>
      <c r="T44" s="71"/>
      <c r="U44" s="71"/>
      <c r="V44" s="71"/>
      <c r="W44" s="71"/>
      <c r="X44" s="71"/>
      <c r="Y44" s="71"/>
      <c r="Z44" s="71"/>
      <c r="AA44" s="71"/>
      <c r="AB44" s="71"/>
      <c r="AC44" s="71"/>
      <c r="AD44" s="71"/>
      <c r="AE44" s="71"/>
      <c r="AF44" s="71"/>
      <c r="AG44" s="71"/>
      <c r="AH44" s="71"/>
      <c r="AI44" s="71"/>
      <c r="AJ44" s="71"/>
      <c r="AK44" s="71"/>
      <c r="AL44" s="71"/>
      <c r="AM44" s="71"/>
      <c r="AN44" s="71"/>
      <c r="AO44" s="71"/>
      <c r="AP44" s="71"/>
      <c r="AQ44" s="71"/>
      <c r="AR44" s="71"/>
      <c r="AS44" s="71"/>
      <c r="AT44" s="71"/>
      <c r="AU44" s="71"/>
      <c r="AV44" s="71"/>
      <c r="AW44" s="72"/>
      <c r="AX44" s="66"/>
      <c r="AY44" s="66"/>
      <c r="AZ44" s="66"/>
      <c r="BA44" s="66"/>
      <c r="BB44" s="66"/>
      <c r="BC44" s="67"/>
      <c r="BD44" s="69"/>
      <c r="BE44" s="66"/>
      <c r="BF44" s="66"/>
      <c r="BG44" s="66"/>
      <c r="BH44" s="66"/>
      <c r="BI44" s="66"/>
      <c r="BJ44" s="67"/>
      <c r="BK44" s="4"/>
    </row>
    <row r="45" spans="1:63" ht="15" customHeight="1" x14ac:dyDescent="0.25">
      <c r="A45" s="1"/>
      <c r="B45" s="22"/>
      <c r="C45" s="23"/>
      <c r="D45" s="23"/>
      <c r="E45" s="23"/>
      <c r="F45" s="23"/>
      <c r="G45" s="24"/>
      <c r="H45" s="22"/>
      <c r="I45" s="23"/>
      <c r="J45" s="23"/>
      <c r="K45" s="23"/>
      <c r="L45" s="23"/>
      <c r="M45" s="23"/>
      <c r="N45" s="24"/>
      <c r="O45" s="22"/>
      <c r="P45" s="23"/>
      <c r="Q45" s="23"/>
      <c r="R45" s="23"/>
      <c r="S45" s="61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62"/>
      <c r="AN45" s="62"/>
      <c r="AO45" s="62"/>
      <c r="AP45" s="62"/>
      <c r="AQ45" s="62"/>
      <c r="AR45" s="62"/>
      <c r="AS45" s="62"/>
      <c r="AT45" s="62"/>
      <c r="AU45" s="62"/>
      <c r="AV45" s="62"/>
      <c r="AW45" s="63"/>
      <c r="AX45" s="64"/>
      <c r="AY45" s="64"/>
      <c r="AZ45" s="64"/>
      <c r="BA45" s="64"/>
      <c r="BB45" s="64"/>
      <c r="BC45" s="65"/>
      <c r="BD45" s="68"/>
      <c r="BE45" s="64"/>
      <c r="BF45" s="64"/>
      <c r="BG45" s="64"/>
      <c r="BH45" s="64"/>
      <c r="BI45" s="64"/>
      <c r="BJ45" s="65"/>
      <c r="BK45" s="4"/>
    </row>
    <row r="46" spans="1:63" ht="15" customHeight="1" x14ac:dyDescent="0.25">
      <c r="A46" s="1"/>
      <c r="B46" s="25"/>
      <c r="C46" s="26"/>
      <c r="D46" s="26"/>
      <c r="E46" s="26"/>
      <c r="F46" s="26"/>
      <c r="G46" s="27"/>
      <c r="H46" s="25"/>
      <c r="I46" s="26"/>
      <c r="J46" s="26"/>
      <c r="K46" s="26"/>
      <c r="L46" s="26"/>
      <c r="M46" s="26"/>
      <c r="N46" s="27"/>
      <c r="O46" s="25"/>
      <c r="P46" s="26"/>
      <c r="Q46" s="26"/>
      <c r="R46" s="26"/>
      <c r="S46" s="70"/>
      <c r="T46" s="71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2"/>
      <c r="AX46" s="66"/>
      <c r="AY46" s="66"/>
      <c r="AZ46" s="66"/>
      <c r="BA46" s="66"/>
      <c r="BB46" s="66"/>
      <c r="BC46" s="67"/>
      <c r="BD46" s="69"/>
      <c r="BE46" s="66"/>
      <c r="BF46" s="66"/>
      <c r="BG46" s="66"/>
      <c r="BH46" s="66"/>
      <c r="BI46" s="66"/>
      <c r="BJ46" s="67"/>
      <c r="BK46" s="4"/>
    </row>
    <row r="47" spans="1:63" ht="15" customHeight="1" x14ac:dyDescent="0.25">
      <c r="A47" s="1"/>
      <c r="B47" s="22"/>
      <c r="C47" s="23"/>
      <c r="D47" s="23"/>
      <c r="E47" s="23"/>
      <c r="F47" s="23"/>
      <c r="G47" s="24"/>
      <c r="H47" s="22"/>
      <c r="I47" s="23"/>
      <c r="J47" s="23"/>
      <c r="K47" s="23"/>
      <c r="L47" s="23"/>
      <c r="M47" s="23"/>
      <c r="N47" s="24"/>
      <c r="O47" s="22"/>
      <c r="P47" s="23"/>
      <c r="Q47" s="23"/>
      <c r="R47" s="23"/>
      <c r="S47" s="61"/>
      <c r="T47" s="62"/>
      <c r="U47" s="62"/>
      <c r="V47" s="62"/>
      <c r="W47" s="62"/>
      <c r="X47" s="62"/>
      <c r="Y47" s="62"/>
      <c r="Z47" s="62"/>
      <c r="AA47" s="62"/>
      <c r="AB47" s="62"/>
      <c r="AC47" s="62"/>
      <c r="AD47" s="62"/>
      <c r="AE47" s="62"/>
      <c r="AF47" s="62"/>
      <c r="AG47" s="62"/>
      <c r="AH47" s="62"/>
      <c r="AI47" s="62"/>
      <c r="AJ47" s="62"/>
      <c r="AK47" s="62"/>
      <c r="AL47" s="62"/>
      <c r="AM47" s="62"/>
      <c r="AN47" s="62"/>
      <c r="AO47" s="62"/>
      <c r="AP47" s="62"/>
      <c r="AQ47" s="62"/>
      <c r="AR47" s="62"/>
      <c r="AS47" s="62"/>
      <c r="AT47" s="62"/>
      <c r="AU47" s="62"/>
      <c r="AV47" s="62"/>
      <c r="AW47" s="63"/>
      <c r="AX47" s="64"/>
      <c r="AY47" s="64"/>
      <c r="AZ47" s="64"/>
      <c r="BA47" s="64"/>
      <c r="BB47" s="64"/>
      <c r="BC47" s="65"/>
      <c r="BD47" s="68"/>
      <c r="BE47" s="64"/>
      <c r="BF47" s="64"/>
      <c r="BG47" s="64"/>
      <c r="BH47" s="64"/>
      <c r="BI47" s="64"/>
      <c r="BJ47" s="65"/>
      <c r="BK47" s="4"/>
    </row>
    <row r="48" spans="1:63" ht="15" customHeight="1" x14ac:dyDescent="0.25">
      <c r="A48" s="1"/>
      <c r="B48" s="25"/>
      <c r="C48" s="26"/>
      <c r="D48" s="26"/>
      <c r="E48" s="26"/>
      <c r="F48" s="26"/>
      <c r="G48" s="27"/>
      <c r="H48" s="25"/>
      <c r="I48" s="26"/>
      <c r="J48" s="26"/>
      <c r="K48" s="26"/>
      <c r="L48" s="26"/>
      <c r="M48" s="26"/>
      <c r="N48" s="27"/>
      <c r="O48" s="25"/>
      <c r="P48" s="26"/>
      <c r="Q48" s="26"/>
      <c r="R48" s="26"/>
      <c r="S48" s="70"/>
      <c r="T48" s="71"/>
      <c r="U48" s="71"/>
      <c r="V48" s="71"/>
      <c r="W48" s="71"/>
      <c r="X48" s="71"/>
      <c r="Y48" s="71"/>
      <c r="Z48" s="71"/>
      <c r="AA48" s="71"/>
      <c r="AB48" s="71"/>
      <c r="AC48" s="71"/>
      <c r="AD48" s="71"/>
      <c r="AE48" s="71"/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2"/>
      <c r="AX48" s="66"/>
      <c r="AY48" s="66"/>
      <c r="AZ48" s="66"/>
      <c r="BA48" s="66"/>
      <c r="BB48" s="66"/>
      <c r="BC48" s="67"/>
      <c r="BD48" s="69"/>
      <c r="BE48" s="66"/>
      <c r="BF48" s="66"/>
      <c r="BG48" s="66"/>
      <c r="BH48" s="66"/>
      <c r="BI48" s="66"/>
      <c r="BJ48" s="67"/>
      <c r="BK48" s="4"/>
    </row>
    <row r="49" spans="1:63" ht="15" customHeight="1" x14ac:dyDescent="0.25">
      <c r="A49" s="1"/>
      <c r="B49" s="22"/>
      <c r="C49" s="23"/>
      <c r="D49" s="23"/>
      <c r="E49" s="23"/>
      <c r="F49" s="23"/>
      <c r="G49" s="24"/>
      <c r="H49" s="22"/>
      <c r="I49" s="23"/>
      <c r="J49" s="23"/>
      <c r="K49" s="23"/>
      <c r="L49" s="23"/>
      <c r="M49" s="23"/>
      <c r="N49" s="24"/>
      <c r="O49" s="22"/>
      <c r="P49" s="23"/>
      <c r="Q49" s="23"/>
      <c r="R49" s="23"/>
      <c r="S49" s="61"/>
      <c r="T49" s="62"/>
      <c r="U49" s="62"/>
      <c r="V49" s="62"/>
      <c r="W49" s="62"/>
      <c r="X49" s="62"/>
      <c r="Y49" s="62"/>
      <c r="Z49" s="62"/>
      <c r="AA49" s="62"/>
      <c r="AB49" s="62"/>
      <c r="AC49" s="62"/>
      <c r="AD49" s="62"/>
      <c r="AE49" s="62"/>
      <c r="AF49" s="62"/>
      <c r="AG49" s="62"/>
      <c r="AH49" s="62"/>
      <c r="AI49" s="62"/>
      <c r="AJ49" s="62"/>
      <c r="AK49" s="62"/>
      <c r="AL49" s="62"/>
      <c r="AM49" s="62"/>
      <c r="AN49" s="62"/>
      <c r="AO49" s="62"/>
      <c r="AP49" s="62"/>
      <c r="AQ49" s="62"/>
      <c r="AR49" s="62"/>
      <c r="AS49" s="62"/>
      <c r="AT49" s="62"/>
      <c r="AU49" s="62"/>
      <c r="AV49" s="62"/>
      <c r="AW49" s="63"/>
      <c r="AX49" s="64"/>
      <c r="AY49" s="64"/>
      <c r="AZ49" s="64"/>
      <c r="BA49" s="64"/>
      <c r="BB49" s="64"/>
      <c r="BC49" s="65"/>
      <c r="BD49" s="68"/>
      <c r="BE49" s="64"/>
      <c r="BF49" s="64"/>
      <c r="BG49" s="64"/>
      <c r="BH49" s="64"/>
      <c r="BI49" s="64"/>
      <c r="BJ49" s="65"/>
      <c r="BK49" s="4"/>
    </row>
    <row r="50" spans="1:63" ht="15" customHeight="1" x14ac:dyDescent="0.25">
      <c r="A50" s="1"/>
      <c r="B50" s="25"/>
      <c r="C50" s="26"/>
      <c r="D50" s="26"/>
      <c r="E50" s="26"/>
      <c r="F50" s="26"/>
      <c r="G50" s="27"/>
      <c r="H50" s="25"/>
      <c r="I50" s="26"/>
      <c r="J50" s="26"/>
      <c r="K50" s="26"/>
      <c r="L50" s="26"/>
      <c r="M50" s="26"/>
      <c r="N50" s="27"/>
      <c r="O50" s="25"/>
      <c r="P50" s="26"/>
      <c r="Q50" s="26"/>
      <c r="R50" s="26"/>
      <c r="S50" s="70"/>
      <c r="T50" s="71"/>
      <c r="U50" s="71"/>
      <c r="V50" s="71"/>
      <c r="W50" s="71"/>
      <c r="X50" s="71"/>
      <c r="Y50" s="71"/>
      <c r="Z50" s="71"/>
      <c r="AA50" s="71"/>
      <c r="AB50" s="71"/>
      <c r="AC50" s="71"/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1"/>
      <c r="AW50" s="72"/>
      <c r="AX50" s="66"/>
      <c r="AY50" s="66"/>
      <c r="AZ50" s="66"/>
      <c r="BA50" s="66"/>
      <c r="BB50" s="66"/>
      <c r="BC50" s="67"/>
      <c r="BD50" s="69"/>
      <c r="BE50" s="66"/>
      <c r="BF50" s="66"/>
      <c r="BG50" s="66"/>
      <c r="BH50" s="66"/>
      <c r="BI50" s="66"/>
      <c r="BJ50" s="67"/>
      <c r="BK50" s="4"/>
    </row>
    <row r="51" spans="1:63" ht="15" customHeight="1" x14ac:dyDescent="0.25">
      <c r="A51" s="1"/>
      <c r="B51" s="22"/>
      <c r="C51" s="23"/>
      <c r="D51" s="23"/>
      <c r="E51" s="23"/>
      <c r="F51" s="23"/>
      <c r="G51" s="24"/>
      <c r="H51" s="22"/>
      <c r="I51" s="23"/>
      <c r="J51" s="23"/>
      <c r="K51" s="23"/>
      <c r="L51" s="23"/>
      <c r="M51" s="23"/>
      <c r="N51" s="24"/>
      <c r="O51" s="22"/>
      <c r="P51" s="23"/>
      <c r="Q51" s="23"/>
      <c r="R51" s="23"/>
      <c r="S51" s="61"/>
      <c r="T51" s="62"/>
      <c r="U51" s="62"/>
      <c r="V51" s="62"/>
      <c r="W51" s="62"/>
      <c r="X51" s="62"/>
      <c r="Y51" s="62"/>
      <c r="Z51" s="62"/>
      <c r="AA51" s="62"/>
      <c r="AB51" s="62"/>
      <c r="AC51" s="62"/>
      <c r="AD51" s="62"/>
      <c r="AE51" s="62"/>
      <c r="AF51" s="62"/>
      <c r="AG51" s="62"/>
      <c r="AH51" s="62"/>
      <c r="AI51" s="62"/>
      <c r="AJ51" s="62"/>
      <c r="AK51" s="62"/>
      <c r="AL51" s="62"/>
      <c r="AM51" s="62"/>
      <c r="AN51" s="62"/>
      <c r="AO51" s="62"/>
      <c r="AP51" s="62"/>
      <c r="AQ51" s="62"/>
      <c r="AR51" s="62"/>
      <c r="AS51" s="62"/>
      <c r="AT51" s="62"/>
      <c r="AU51" s="62"/>
      <c r="AV51" s="62"/>
      <c r="AW51" s="63"/>
      <c r="AX51" s="64"/>
      <c r="AY51" s="64"/>
      <c r="AZ51" s="64"/>
      <c r="BA51" s="64"/>
      <c r="BB51" s="64"/>
      <c r="BC51" s="65"/>
      <c r="BD51" s="68"/>
      <c r="BE51" s="64"/>
      <c r="BF51" s="64"/>
      <c r="BG51" s="64"/>
      <c r="BH51" s="64"/>
      <c r="BI51" s="64"/>
      <c r="BJ51" s="65"/>
      <c r="BK51" s="4"/>
    </row>
    <row r="52" spans="1:63" ht="15" customHeight="1" x14ac:dyDescent="0.25">
      <c r="A52" s="1"/>
      <c r="B52" s="25"/>
      <c r="C52" s="26"/>
      <c r="D52" s="26"/>
      <c r="E52" s="26"/>
      <c r="F52" s="26"/>
      <c r="G52" s="27"/>
      <c r="H52" s="25"/>
      <c r="I52" s="26"/>
      <c r="J52" s="26"/>
      <c r="K52" s="26"/>
      <c r="L52" s="26"/>
      <c r="M52" s="26"/>
      <c r="N52" s="27"/>
      <c r="O52" s="25"/>
      <c r="P52" s="26"/>
      <c r="Q52" s="26"/>
      <c r="R52" s="26"/>
      <c r="S52" s="70"/>
      <c r="T52" s="71"/>
      <c r="U52" s="71"/>
      <c r="V52" s="71"/>
      <c r="W52" s="71"/>
      <c r="X52" s="71"/>
      <c r="Y52" s="71"/>
      <c r="Z52" s="71"/>
      <c r="AA52" s="71"/>
      <c r="AB52" s="71"/>
      <c r="AC52" s="71"/>
      <c r="AD52" s="71"/>
      <c r="AE52" s="71"/>
      <c r="AF52" s="71"/>
      <c r="AG52" s="71"/>
      <c r="AH52" s="71"/>
      <c r="AI52" s="71"/>
      <c r="AJ52" s="71"/>
      <c r="AK52" s="71"/>
      <c r="AL52" s="71"/>
      <c r="AM52" s="71"/>
      <c r="AN52" s="71"/>
      <c r="AO52" s="71"/>
      <c r="AP52" s="71"/>
      <c r="AQ52" s="71"/>
      <c r="AR52" s="71"/>
      <c r="AS52" s="71"/>
      <c r="AT52" s="71"/>
      <c r="AU52" s="71"/>
      <c r="AV52" s="71"/>
      <c r="AW52" s="72"/>
      <c r="AX52" s="66"/>
      <c r="AY52" s="66"/>
      <c r="AZ52" s="66"/>
      <c r="BA52" s="66"/>
      <c r="BB52" s="66"/>
      <c r="BC52" s="67"/>
      <c r="BD52" s="69"/>
      <c r="BE52" s="66"/>
      <c r="BF52" s="66"/>
      <c r="BG52" s="66"/>
      <c r="BH52" s="66"/>
      <c r="BI52" s="66"/>
      <c r="BJ52" s="67"/>
      <c r="BK52" s="4"/>
    </row>
    <row r="53" spans="1:63" ht="15" customHeight="1" x14ac:dyDescent="0.25">
      <c r="A53" s="1"/>
      <c r="B53" s="22"/>
      <c r="C53" s="23"/>
      <c r="D53" s="23"/>
      <c r="E53" s="23"/>
      <c r="F53" s="23"/>
      <c r="G53" s="24"/>
      <c r="H53" s="22"/>
      <c r="I53" s="23"/>
      <c r="J53" s="23"/>
      <c r="K53" s="23"/>
      <c r="L53" s="23"/>
      <c r="M53" s="23"/>
      <c r="N53" s="24"/>
      <c r="O53" s="22"/>
      <c r="P53" s="23"/>
      <c r="Q53" s="23"/>
      <c r="R53" s="23"/>
      <c r="S53" s="61"/>
      <c r="T53" s="62"/>
      <c r="U53" s="62"/>
      <c r="V53" s="62"/>
      <c r="W53" s="62"/>
      <c r="X53" s="62"/>
      <c r="Y53" s="62"/>
      <c r="Z53" s="62"/>
      <c r="AA53" s="62"/>
      <c r="AB53" s="62"/>
      <c r="AC53" s="62"/>
      <c r="AD53" s="62"/>
      <c r="AE53" s="62"/>
      <c r="AF53" s="62"/>
      <c r="AG53" s="62"/>
      <c r="AH53" s="62"/>
      <c r="AI53" s="62"/>
      <c r="AJ53" s="62"/>
      <c r="AK53" s="62"/>
      <c r="AL53" s="62"/>
      <c r="AM53" s="62"/>
      <c r="AN53" s="62"/>
      <c r="AO53" s="62"/>
      <c r="AP53" s="62"/>
      <c r="AQ53" s="62"/>
      <c r="AR53" s="62"/>
      <c r="AS53" s="62"/>
      <c r="AT53" s="62"/>
      <c r="AU53" s="62"/>
      <c r="AV53" s="62"/>
      <c r="AW53" s="63"/>
      <c r="AX53" s="64"/>
      <c r="AY53" s="64"/>
      <c r="AZ53" s="64"/>
      <c r="BA53" s="64"/>
      <c r="BB53" s="64"/>
      <c r="BC53" s="65"/>
      <c r="BD53" s="68"/>
      <c r="BE53" s="64"/>
      <c r="BF53" s="64"/>
      <c r="BG53" s="64"/>
      <c r="BH53" s="64"/>
      <c r="BI53" s="64"/>
      <c r="BJ53" s="65"/>
      <c r="BK53" s="4"/>
    </row>
    <row r="54" spans="1:63" ht="15" customHeight="1" x14ac:dyDescent="0.25">
      <c r="A54" s="1"/>
      <c r="B54" s="25"/>
      <c r="C54" s="26"/>
      <c r="D54" s="26"/>
      <c r="E54" s="26"/>
      <c r="F54" s="26"/>
      <c r="G54" s="27"/>
      <c r="H54" s="25"/>
      <c r="I54" s="26"/>
      <c r="J54" s="26"/>
      <c r="K54" s="26"/>
      <c r="L54" s="26"/>
      <c r="M54" s="26"/>
      <c r="N54" s="27"/>
      <c r="O54" s="25"/>
      <c r="P54" s="26"/>
      <c r="Q54" s="26"/>
      <c r="R54" s="26"/>
      <c r="S54" s="70"/>
      <c r="T54" s="71"/>
      <c r="U54" s="71"/>
      <c r="V54" s="71"/>
      <c r="W54" s="71"/>
      <c r="X54" s="71"/>
      <c r="Y54" s="71"/>
      <c r="Z54" s="71"/>
      <c r="AA54" s="71"/>
      <c r="AB54" s="71"/>
      <c r="AC54" s="71"/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2"/>
      <c r="AX54" s="66"/>
      <c r="AY54" s="66"/>
      <c r="AZ54" s="66"/>
      <c r="BA54" s="66"/>
      <c r="BB54" s="66"/>
      <c r="BC54" s="67"/>
      <c r="BD54" s="69"/>
      <c r="BE54" s="66"/>
      <c r="BF54" s="66"/>
      <c r="BG54" s="66"/>
      <c r="BH54" s="66"/>
      <c r="BI54" s="66"/>
      <c r="BJ54" s="67"/>
      <c r="BK54" s="4"/>
    </row>
    <row r="55" spans="1:63" ht="15" customHeight="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5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D10:BJ10"/>
    <mergeCell ref="AX10:BC10"/>
    <mergeCell ref="S10:AW10"/>
    <mergeCell ref="O10:R10"/>
    <mergeCell ref="H10:N10"/>
    <mergeCell ref="B10:G10"/>
    <mergeCell ref="K2:V3"/>
    <mergeCell ref="A2:J3"/>
  </mergeCells>
  <phoneticPr fontId="1"/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4F905-9026-426A-9B72-7DC87648E403}">
  <sheetPr>
    <pageSetUpPr fitToPage="1"/>
  </sheetPr>
  <dimension ref="A1:BK55"/>
  <sheetViews>
    <sheetView tabSelected="1" view="pageBreakPreview" zoomScale="75" zoomScaleNormal="75" zoomScaleSheetLayoutView="75" workbookViewId="0">
      <selection activeCell="BS20" sqref="BS20"/>
    </sheetView>
  </sheetViews>
  <sheetFormatPr defaultColWidth="2.77734375" defaultRowHeight="15" customHeight="1" x14ac:dyDescent="0.25"/>
  <sheetData>
    <row r="1" spans="1:63" ht="24.95" customHeight="1" x14ac:dyDescent="0.25">
      <c r="A1" s="19" t="s">
        <v>0</v>
      </c>
      <c r="B1" s="20"/>
      <c r="C1" s="20"/>
      <c r="D1" s="20"/>
      <c r="E1" s="20"/>
      <c r="F1" s="20"/>
      <c r="G1" s="20"/>
      <c r="H1" s="20"/>
      <c r="I1" s="20"/>
      <c r="J1" s="21"/>
      <c r="K1" s="19" t="s">
        <v>2</v>
      </c>
      <c r="L1" s="20"/>
      <c r="M1" s="20"/>
      <c r="N1" s="20"/>
      <c r="O1" s="20"/>
      <c r="P1" s="20"/>
      <c r="Q1" s="20"/>
      <c r="R1" s="20"/>
      <c r="S1" s="20"/>
      <c r="T1" s="20"/>
      <c r="U1" s="20"/>
      <c r="V1" s="21"/>
      <c r="W1" s="28" t="str">
        <f>IF(表紙!W1="","",表紙!W1)</f>
        <v/>
      </c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30"/>
      <c r="AP1" s="19" t="s">
        <v>3</v>
      </c>
      <c r="AQ1" s="20"/>
      <c r="AR1" s="20"/>
      <c r="AS1" s="21"/>
      <c r="AT1" s="19" t="s">
        <v>4</v>
      </c>
      <c r="AU1" s="20"/>
      <c r="AV1" s="20"/>
      <c r="AW1" s="20"/>
      <c r="AX1" s="21"/>
      <c r="AY1" s="19" t="s">
        <v>5</v>
      </c>
      <c r="AZ1" s="20"/>
      <c r="BA1" s="20"/>
      <c r="BB1" s="21"/>
      <c r="BC1" s="19" t="s">
        <v>6</v>
      </c>
      <c r="BD1" s="20"/>
      <c r="BE1" s="20"/>
      <c r="BF1" s="20"/>
      <c r="BG1" s="21"/>
      <c r="BH1" s="19" t="s">
        <v>7</v>
      </c>
      <c r="BI1" s="20"/>
      <c r="BJ1" s="20"/>
      <c r="BK1" s="21"/>
    </row>
    <row r="2" spans="1:63" ht="15" customHeight="1" x14ac:dyDescent="0.25">
      <c r="A2" s="22" t="str">
        <f>IF(表紙!A2="","",表紙!A2)</f>
        <v>現金専用簡易セルフPOS</v>
      </c>
      <c r="B2" s="23"/>
      <c r="C2" s="23"/>
      <c r="D2" s="23"/>
      <c r="E2" s="23"/>
      <c r="F2" s="23"/>
      <c r="G2" s="23"/>
      <c r="H2" s="23"/>
      <c r="I2" s="23"/>
      <c r="J2" s="24"/>
      <c r="K2" s="22" t="str">
        <f>IF(表紙!K2="","",表紙!K2)</f>
        <v/>
      </c>
      <c r="L2" s="23"/>
      <c r="M2" s="23"/>
      <c r="N2" s="23"/>
      <c r="O2" s="23"/>
      <c r="P2" s="23"/>
      <c r="Q2" s="23"/>
      <c r="R2" s="23"/>
      <c r="S2" s="23"/>
      <c r="T2" s="23"/>
      <c r="U2" s="23"/>
      <c r="V2" s="24"/>
      <c r="W2" s="31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3"/>
      <c r="AP2" s="22" t="str">
        <f>IF(表紙!AP2="","",表紙!AP2)</f>
        <v>Thanh Nguyên</v>
      </c>
      <c r="AQ2" s="23"/>
      <c r="AR2" s="23"/>
      <c r="AS2" s="24"/>
      <c r="AT2" s="43">
        <f>IF(表紙!AT2="","",表紙!AT2)</f>
        <v>45189</v>
      </c>
      <c r="AU2" s="44"/>
      <c r="AV2" s="44"/>
      <c r="AW2" s="44"/>
      <c r="AX2" s="45"/>
      <c r="AY2" s="22" t="str">
        <f>IF(表紙!AY2="","",表紙!AY2)</f>
        <v>Thanh Nguyên</v>
      </c>
      <c r="AZ2" s="23"/>
      <c r="BA2" s="23"/>
      <c r="BB2" s="24"/>
      <c r="BC2" s="43">
        <f>IF(表紙!BC2="","",表紙!BC2)</f>
        <v>45189</v>
      </c>
      <c r="BD2" s="44"/>
      <c r="BE2" s="44"/>
      <c r="BF2" s="44"/>
      <c r="BG2" s="45"/>
      <c r="BH2" s="22">
        <f>IF(表紙!BH2="","",表紙!BH2)</f>
        <v>1</v>
      </c>
      <c r="BI2" s="23"/>
      <c r="BJ2" s="23"/>
      <c r="BK2" s="24"/>
    </row>
    <row r="3" spans="1:63" ht="15" customHeight="1" x14ac:dyDescent="0.25">
      <c r="A3" s="25"/>
      <c r="B3" s="26"/>
      <c r="C3" s="26"/>
      <c r="D3" s="26"/>
      <c r="E3" s="26"/>
      <c r="F3" s="26"/>
      <c r="G3" s="26"/>
      <c r="H3" s="26"/>
      <c r="I3" s="26"/>
      <c r="J3" s="27"/>
      <c r="K3" s="25"/>
      <c r="L3" s="26"/>
      <c r="M3" s="26"/>
      <c r="N3" s="26"/>
      <c r="O3" s="26"/>
      <c r="P3" s="26"/>
      <c r="Q3" s="26"/>
      <c r="R3" s="26"/>
      <c r="S3" s="26"/>
      <c r="T3" s="26"/>
      <c r="U3" s="26"/>
      <c r="V3" s="27"/>
      <c r="W3" s="34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6"/>
      <c r="AP3" s="25"/>
      <c r="AQ3" s="26"/>
      <c r="AR3" s="26"/>
      <c r="AS3" s="27"/>
      <c r="AT3" s="46"/>
      <c r="AU3" s="47"/>
      <c r="AV3" s="47"/>
      <c r="AW3" s="47"/>
      <c r="AX3" s="48"/>
      <c r="AY3" s="25"/>
      <c r="AZ3" s="26"/>
      <c r="BA3" s="26"/>
      <c r="BB3" s="27"/>
      <c r="BC3" s="46"/>
      <c r="BD3" s="47"/>
      <c r="BE3" s="47"/>
      <c r="BF3" s="47"/>
      <c r="BG3" s="48"/>
      <c r="BH3" s="25"/>
      <c r="BI3" s="26"/>
      <c r="BJ3" s="26"/>
      <c r="BK3" s="27"/>
    </row>
    <row r="4" spans="1:63" ht="24.95" customHeight="1" x14ac:dyDescent="0.25">
      <c r="A4" s="19" t="s">
        <v>1</v>
      </c>
      <c r="B4" s="20"/>
      <c r="C4" s="20"/>
      <c r="D4" s="20"/>
      <c r="E4" s="20"/>
      <c r="F4" s="20"/>
      <c r="G4" s="21"/>
      <c r="H4" s="16" t="str">
        <f>IF(表紙!H4="","",表紙!H4)</f>
        <v/>
      </c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8"/>
      <c r="U4" s="19" t="s">
        <v>8</v>
      </c>
      <c r="V4" s="20"/>
      <c r="W4" s="20"/>
      <c r="X4" s="20"/>
      <c r="Y4" s="21"/>
      <c r="Z4" s="16" t="str">
        <f>IF(表紙!Z4="","",表紙!Z4)</f>
        <v/>
      </c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8"/>
      <c r="AP4" s="16" t="str" cm="1">
        <f t="array" aca="1" ref="AP4" ca="1">RIGHT(CELL("filename",$A$1),LEN(CELL("filename",$A$1))-FIND("]",CELL("filename",$A$1)))</f>
        <v>本番</v>
      </c>
      <c r="AQ4" s="17"/>
      <c r="AR4" s="17"/>
      <c r="AS4" s="17"/>
      <c r="AT4" s="17"/>
      <c r="AU4" s="17"/>
      <c r="AV4" s="17"/>
      <c r="AW4" s="17"/>
      <c r="AX4" s="17"/>
      <c r="AY4" s="17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  <c r="BK4" s="18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 x14ac:dyDescent="0.25">
      <c r="A6" s="1"/>
      <c r="BK6" s="4"/>
    </row>
    <row r="7" spans="1:63" ht="15" customHeight="1" x14ac:dyDescent="0.25">
      <c r="A7" s="1"/>
      <c r="BK7" s="4"/>
    </row>
    <row r="8" spans="1:63" ht="15" customHeight="1" x14ac:dyDescent="0.25">
      <c r="A8" s="1"/>
      <c r="BK8" s="4"/>
    </row>
    <row r="9" spans="1:63" ht="15" customHeight="1" x14ac:dyDescent="0.25">
      <c r="A9" s="1"/>
      <c r="BK9" s="4"/>
    </row>
    <row r="10" spans="1:63" ht="15" customHeight="1" x14ac:dyDescent="0.25">
      <c r="A10" s="1"/>
      <c r="BK10" s="4"/>
    </row>
    <row r="11" spans="1:63" ht="15" customHeight="1" x14ac:dyDescent="0.25">
      <c r="A11" s="1"/>
      <c r="BK11" s="4"/>
    </row>
    <row r="12" spans="1:63" ht="15" customHeight="1" x14ac:dyDescent="0.25">
      <c r="A12" s="1"/>
      <c r="BK12" s="4"/>
    </row>
    <row r="13" spans="1:63" ht="15" customHeight="1" x14ac:dyDescent="0.25">
      <c r="A13" s="1"/>
      <c r="BK13" s="4"/>
    </row>
    <row r="14" spans="1:63" ht="15" customHeight="1" x14ac:dyDescent="0.25">
      <c r="A14" s="1"/>
      <c r="BK14" s="4"/>
    </row>
    <row r="15" spans="1:63" ht="15" customHeight="1" x14ac:dyDescent="0.25">
      <c r="A15" s="1"/>
      <c r="BK15" s="4"/>
    </row>
    <row r="16" spans="1:63" ht="15" customHeight="1" x14ac:dyDescent="0.25">
      <c r="A16" s="1"/>
      <c r="BK16" s="4"/>
    </row>
    <row r="17" spans="1:63" ht="15" customHeight="1" x14ac:dyDescent="0.25">
      <c r="A17" s="1"/>
      <c r="BK17" s="4"/>
    </row>
    <row r="18" spans="1:63" ht="15" customHeight="1" x14ac:dyDescent="0.25">
      <c r="A18" s="1"/>
      <c r="BK18" s="4"/>
    </row>
    <row r="19" spans="1:63" ht="15" customHeight="1" x14ac:dyDescent="0.25">
      <c r="A19" s="1"/>
      <c r="BK19" s="4"/>
    </row>
    <row r="20" spans="1:63" ht="15" customHeight="1" x14ac:dyDescent="0.25">
      <c r="A20" s="1"/>
      <c r="BK20" s="4"/>
    </row>
    <row r="21" spans="1:63" ht="15" customHeight="1" x14ac:dyDescent="0.25">
      <c r="A21" s="1"/>
      <c r="BK21" s="4"/>
    </row>
    <row r="22" spans="1:63" ht="15" customHeight="1" x14ac:dyDescent="0.25">
      <c r="A22" s="1"/>
      <c r="BK22" s="4"/>
    </row>
    <row r="23" spans="1:63" ht="15" customHeight="1" x14ac:dyDescent="0.25">
      <c r="A23" s="1"/>
      <c r="BK23" s="4"/>
    </row>
    <row r="24" spans="1:63" ht="15" customHeight="1" x14ac:dyDescent="0.25">
      <c r="A24" s="1"/>
      <c r="BK24" s="4"/>
    </row>
    <row r="25" spans="1:63" ht="15" customHeight="1" x14ac:dyDescent="0.25">
      <c r="A25" s="1"/>
      <c r="BK25" s="4"/>
    </row>
    <row r="26" spans="1:63" ht="15" customHeight="1" x14ac:dyDescent="0.25">
      <c r="A26" s="1"/>
      <c r="BK26" s="4"/>
    </row>
    <row r="27" spans="1:63" ht="15" customHeight="1" x14ac:dyDescent="0.25">
      <c r="A27" s="1"/>
      <c r="BK27" s="4"/>
    </row>
    <row r="28" spans="1:63" ht="15" customHeight="1" x14ac:dyDescent="0.25">
      <c r="A28" s="1"/>
      <c r="BK28" s="4"/>
    </row>
    <row r="29" spans="1:63" ht="15" customHeight="1" x14ac:dyDescent="0.25">
      <c r="A29" s="1"/>
      <c r="BK29" s="4"/>
    </row>
    <row r="30" spans="1:63" ht="15" customHeight="1" x14ac:dyDescent="0.25">
      <c r="A30" s="1"/>
      <c r="BK30" s="4"/>
    </row>
    <row r="31" spans="1:63" ht="15" customHeight="1" x14ac:dyDescent="0.25">
      <c r="A31" s="1"/>
      <c r="BK31" s="4"/>
    </row>
    <row r="32" spans="1:63" ht="15" customHeight="1" x14ac:dyDescent="0.25">
      <c r="A32" s="1"/>
      <c r="BK32" s="4"/>
    </row>
    <row r="33" spans="1:63" ht="15" customHeight="1" x14ac:dyDescent="0.25">
      <c r="A33" s="1"/>
      <c r="BK33" s="4"/>
    </row>
    <row r="34" spans="1:63" ht="15" customHeight="1" x14ac:dyDescent="0.25">
      <c r="A34" s="1"/>
      <c r="BK34" s="4"/>
    </row>
    <row r="35" spans="1:63" ht="15" customHeight="1" x14ac:dyDescent="0.25">
      <c r="A35" s="1"/>
      <c r="BK35" s="4"/>
    </row>
    <row r="36" spans="1:63" ht="15" customHeight="1" x14ac:dyDescent="0.25">
      <c r="A36" s="1"/>
      <c r="BK36" s="4"/>
    </row>
    <row r="37" spans="1:63" ht="15" customHeight="1" x14ac:dyDescent="0.25">
      <c r="A37" s="1"/>
      <c r="BK37" s="4"/>
    </row>
    <row r="38" spans="1:63" ht="15" customHeight="1" x14ac:dyDescent="0.25">
      <c r="A38" s="1"/>
      <c r="BK38" s="4"/>
    </row>
    <row r="39" spans="1:63" ht="15" customHeight="1" x14ac:dyDescent="0.25">
      <c r="A39" s="1"/>
      <c r="BK39" s="4"/>
    </row>
    <row r="40" spans="1:63" ht="15" customHeight="1" x14ac:dyDescent="0.25">
      <c r="A40" s="1"/>
      <c r="BK40" s="4"/>
    </row>
    <row r="41" spans="1:63" ht="15" customHeight="1" x14ac:dyDescent="0.25">
      <c r="A41" s="1"/>
      <c r="BK41" s="4"/>
    </row>
    <row r="42" spans="1:63" ht="15" customHeight="1" x14ac:dyDescent="0.25">
      <c r="A42" s="1"/>
      <c r="BK42" s="4"/>
    </row>
    <row r="43" spans="1:63" ht="15" customHeight="1" x14ac:dyDescent="0.25">
      <c r="A43" s="1"/>
      <c r="BK43" s="4"/>
    </row>
    <row r="44" spans="1:63" ht="15" customHeight="1" x14ac:dyDescent="0.25">
      <c r="A44" s="1"/>
      <c r="BK44" s="4"/>
    </row>
    <row r="45" spans="1:63" ht="15" customHeight="1" x14ac:dyDescent="0.25">
      <c r="A45" s="1"/>
      <c r="BK45" s="4"/>
    </row>
    <row r="46" spans="1:63" ht="15" customHeight="1" x14ac:dyDescent="0.25">
      <c r="A46" s="1"/>
      <c r="BK46" s="4"/>
    </row>
    <row r="47" spans="1:63" ht="15" customHeight="1" x14ac:dyDescent="0.25">
      <c r="A47" s="1"/>
      <c r="BK47" s="4"/>
    </row>
    <row r="48" spans="1:63" ht="15" customHeight="1" x14ac:dyDescent="0.25">
      <c r="A48" s="1"/>
      <c r="BK48" s="4"/>
    </row>
    <row r="49" spans="1:63" ht="15" customHeight="1" x14ac:dyDescent="0.25">
      <c r="A49" s="1"/>
      <c r="BK49" s="4"/>
    </row>
    <row r="50" spans="1:63" ht="15" customHeight="1" x14ac:dyDescent="0.25">
      <c r="A50" s="1"/>
      <c r="BK50" s="4"/>
    </row>
    <row r="51" spans="1:63" ht="15" customHeight="1" x14ac:dyDescent="0.25">
      <c r="A51" s="1"/>
      <c r="BK51" s="4"/>
    </row>
    <row r="52" spans="1:63" ht="15" customHeight="1" x14ac:dyDescent="0.25">
      <c r="A52" s="1"/>
      <c r="BK52" s="4"/>
    </row>
    <row r="53" spans="1:63" ht="15" customHeight="1" x14ac:dyDescent="0.25">
      <c r="A53" s="1"/>
      <c r="BK53" s="4"/>
    </row>
    <row r="54" spans="1:63" ht="15" customHeight="1" x14ac:dyDescent="0.25">
      <c r="A54" s="1"/>
      <c r="BK54" s="4"/>
    </row>
    <row r="55" spans="1:63" ht="15" customHeight="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5"/>
    </row>
  </sheetData>
  <mergeCells count="20"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BH2:BK3"/>
    <mergeCell ref="BC2:BG3"/>
    <mergeCell ref="AY2:BB3"/>
    <mergeCell ref="AT2:AX3"/>
    <mergeCell ref="AP2:AS3"/>
    <mergeCell ref="AP4:BK4"/>
    <mergeCell ref="Z4:AO4"/>
    <mergeCell ref="U4:Y4"/>
    <mergeCell ref="H4:T4"/>
    <mergeCell ref="A4:G4"/>
  </mergeCells>
  <phoneticPr fontId="1"/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36A04-C62F-46AF-AEB0-9FBCCEA47E12}">
  <sheetPr>
    <pageSetUpPr fitToPage="1"/>
  </sheetPr>
  <dimension ref="A1:BK55"/>
  <sheetViews>
    <sheetView view="pageBreakPreview" topLeftCell="A3" zoomScale="75" zoomScaleNormal="75" zoomScaleSheetLayoutView="75" workbookViewId="0">
      <selection activeCell="AH18" sqref="AH18"/>
    </sheetView>
  </sheetViews>
  <sheetFormatPr defaultColWidth="2.77734375" defaultRowHeight="15" customHeight="1" x14ac:dyDescent="0.25"/>
  <sheetData>
    <row r="1" spans="1:63" ht="24.95" customHeight="1" x14ac:dyDescent="0.25">
      <c r="A1" s="19" t="s">
        <v>0</v>
      </c>
      <c r="B1" s="20"/>
      <c r="C1" s="20"/>
      <c r="D1" s="20"/>
      <c r="E1" s="20"/>
      <c r="F1" s="20"/>
      <c r="G1" s="20"/>
      <c r="H1" s="20"/>
      <c r="I1" s="20"/>
      <c r="J1" s="21"/>
      <c r="K1" s="19" t="s">
        <v>2</v>
      </c>
      <c r="L1" s="20"/>
      <c r="M1" s="20"/>
      <c r="N1" s="20"/>
      <c r="O1" s="20"/>
      <c r="P1" s="20"/>
      <c r="Q1" s="20"/>
      <c r="R1" s="20"/>
      <c r="S1" s="20"/>
      <c r="T1" s="20"/>
      <c r="U1" s="20"/>
      <c r="V1" s="21"/>
      <c r="W1" s="28" t="str">
        <f>IF(表紙!W1="","",表紙!W1)</f>
        <v/>
      </c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30"/>
      <c r="AP1" s="19" t="s">
        <v>3</v>
      </c>
      <c r="AQ1" s="20"/>
      <c r="AR1" s="20"/>
      <c r="AS1" s="21"/>
      <c r="AT1" s="19" t="s">
        <v>4</v>
      </c>
      <c r="AU1" s="20"/>
      <c r="AV1" s="20"/>
      <c r="AW1" s="20"/>
      <c r="AX1" s="21"/>
      <c r="AY1" s="19" t="s">
        <v>5</v>
      </c>
      <c r="AZ1" s="20"/>
      <c r="BA1" s="20"/>
      <c r="BB1" s="21"/>
      <c r="BC1" s="19" t="s">
        <v>6</v>
      </c>
      <c r="BD1" s="20"/>
      <c r="BE1" s="20"/>
      <c r="BF1" s="20"/>
      <c r="BG1" s="21"/>
      <c r="BH1" s="19" t="s">
        <v>7</v>
      </c>
      <c r="BI1" s="20"/>
      <c r="BJ1" s="20"/>
      <c r="BK1" s="21"/>
    </row>
    <row r="2" spans="1:63" ht="15" customHeight="1" x14ac:dyDescent="0.25">
      <c r="A2" s="22" t="str">
        <f>IF(表紙!A2="","",表紙!A2)</f>
        <v>現金専用簡易セルフPOS</v>
      </c>
      <c r="B2" s="23"/>
      <c r="C2" s="23"/>
      <c r="D2" s="23"/>
      <c r="E2" s="23"/>
      <c r="F2" s="23"/>
      <c r="G2" s="23"/>
      <c r="H2" s="23"/>
      <c r="I2" s="23"/>
      <c r="J2" s="24"/>
      <c r="K2" s="22" t="str">
        <f>IF(表紙!K2="","",表紙!K2)</f>
        <v/>
      </c>
      <c r="L2" s="23"/>
      <c r="M2" s="23"/>
      <c r="N2" s="23"/>
      <c r="O2" s="23"/>
      <c r="P2" s="23"/>
      <c r="Q2" s="23"/>
      <c r="R2" s="23"/>
      <c r="S2" s="23"/>
      <c r="T2" s="23"/>
      <c r="U2" s="23"/>
      <c r="V2" s="24"/>
      <c r="W2" s="31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3"/>
      <c r="AP2" s="22" t="str">
        <f>IF(表紙!AP2="","",表紙!AP2)</f>
        <v>Thanh Nguyên</v>
      </c>
      <c r="AQ2" s="23"/>
      <c r="AR2" s="23"/>
      <c r="AS2" s="24"/>
      <c r="AT2" s="43">
        <f>IF(表紙!AT2="","",表紙!AT2)</f>
        <v>45189</v>
      </c>
      <c r="AU2" s="44"/>
      <c r="AV2" s="44"/>
      <c r="AW2" s="44"/>
      <c r="AX2" s="45"/>
      <c r="AY2" s="22" t="str">
        <f>IF(表紙!AY2="","",表紙!AY2)</f>
        <v>Thanh Nguyên</v>
      </c>
      <c r="AZ2" s="23"/>
      <c r="BA2" s="23"/>
      <c r="BB2" s="24"/>
      <c r="BC2" s="43">
        <f>IF(表紙!BC2="","",表紙!BC2)</f>
        <v>45189</v>
      </c>
      <c r="BD2" s="44"/>
      <c r="BE2" s="44"/>
      <c r="BF2" s="44"/>
      <c r="BG2" s="45"/>
      <c r="BH2" s="22">
        <f>IF(表紙!BH2="","",表紙!BH2)</f>
        <v>1</v>
      </c>
      <c r="BI2" s="23"/>
      <c r="BJ2" s="23"/>
      <c r="BK2" s="24"/>
    </row>
    <row r="3" spans="1:63" ht="15" customHeight="1" x14ac:dyDescent="0.25">
      <c r="A3" s="25"/>
      <c r="B3" s="26"/>
      <c r="C3" s="26"/>
      <c r="D3" s="26"/>
      <c r="E3" s="26"/>
      <c r="F3" s="26"/>
      <c r="G3" s="26"/>
      <c r="H3" s="26"/>
      <c r="I3" s="26"/>
      <c r="J3" s="27"/>
      <c r="K3" s="25"/>
      <c r="L3" s="26"/>
      <c r="M3" s="26"/>
      <c r="N3" s="26"/>
      <c r="O3" s="26"/>
      <c r="P3" s="26"/>
      <c r="Q3" s="26"/>
      <c r="R3" s="26"/>
      <c r="S3" s="26"/>
      <c r="T3" s="26"/>
      <c r="U3" s="26"/>
      <c r="V3" s="27"/>
      <c r="W3" s="34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6"/>
      <c r="AP3" s="25"/>
      <c r="AQ3" s="26"/>
      <c r="AR3" s="26"/>
      <c r="AS3" s="27"/>
      <c r="AT3" s="46"/>
      <c r="AU3" s="47"/>
      <c r="AV3" s="47"/>
      <c r="AW3" s="47"/>
      <c r="AX3" s="48"/>
      <c r="AY3" s="25"/>
      <c r="AZ3" s="26"/>
      <c r="BA3" s="26"/>
      <c r="BB3" s="27"/>
      <c r="BC3" s="46"/>
      <c r="BD3" s="47"/>
      <c r="BE3" s="47"/>
      <c r="BF3" s="47"/>
      <c r="BG3" s="48"/>
      <c r="BH3" s="25"/>
      <c r="BI3" s="26"/>
      <c r="BJ3" s="26"/>
      <c r="BK3" s="27"/>
    </row>
    <row r="4" spans="1:63" ht="24.95" customHeight="1" x14ac:dyDescent="0.25">
      <c r="A4" s="19" t="s">
        <v>1</v>
      </c>
      <c r="B4" s="20"/>
      <c r="C4" s="20"/>
      <c r="D4" s="20"/>
      <c r="E4" s="20"/>
      <c r="F4" s="20"/>
      <c r="G4" s="21"/>
      <c r="H4" s="16" t="str">
        <f>IF(表紙!H4="","",表紙!H4)</f>
        <v/>
      </c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8"/>
      <c r="U4" s="19" t="s">
        <v>8</v>
      </c>
      <c r="V4" s="20"/>
      <c r="W4" s="20"/>
      <c r="X4" s="20"/>
      <c r="Y4" s="21"/>
      <c r="Z4" s="16" t="str">
        <f>IF(表紙!Z4="","",表紙!Z4)</f>
        <v/>
      </c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8"/>
      <c r="AP4" s="16" t="str" cm="1">
        <f t="array" aca="1" ref="AP4" ca="1">RIGHT(CELL("filename",$A$1),LEN(CELL("filename",$A$1))-FIND("]",CELL("filename",$A$1)))</f>
        <v>検証環境</v>
      </c>
      <c r="AQ4" s="17"/>
      <c r="AR4" s="17"/>
      <c r="AS4" s="17"/>
      <c r="AT4" s="17"/>
      <c r="AU4" s="17"/>
      <c r="AV4" s="17"/>
      <c r="AW4" s="17"/>
      <c r="AX4" s="17"/>
      <c r="AY4" s="17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  <c r="BK4" s="18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 x14ac:dyDescent="0.25">
      <c r="A6" s="1"/>
      <c r="BK6" s="4"/>
    </row>
    <row r="7" spans="1:63" ht="15" customHeight="1" x14ac:dyDescent="0.25">
      <c r="A7" s="1"/>
      <c r="BK7" s="4"/>
    </row>
    <row r="8" spans="1:63" ht="15" customHeight="1" x14ac:dyDescent="0.25">
      <c r="A8" s="1"/>
      <c r="BK8" s="4"/>
    </row>
    <row r="9" spans="1:63" ht="15" customHeight="1" x14ac:dyDescent="0.25">
      <c r="A9" s="1"/>
      <c r="BK9" s="4"/>
    </row>
    <row r="10" spans="1:63" ht="15" customHeight="1" x14ac:dyDescent="0.25">
      <c r="A10" s="1"/>
      <c r="BK10" s="4"/>
    </row>
    <row r="11" spans="1:63" ht="15" customHeight="1" x14ac:dyDescent="0.25">
      <c r="A11" s="1"/>
      <c r="BK11" s="4"/>
    </row>
    <row r="12" spans="1:63" ht="15" customHeight="1" x14ac:dyDescent="0.25">
      <c r="A12" s="1"/>
      <c r="BK12" s="4"/>
    </row>
    <row r="13" spans="1:63" ht="15" customHeight="1" x14ac:dyDescent="0.25">
      <c r="A13" s="1"/>
      <c r="BK13" s="4"/>
    </row>
    <row r="14" spans="1:63" ht="15" customHeight="1" x14ac:dyDescent="0.25">
      <c r="A14" s="1"/>
      <c r="BK14" s="4"/>
    </row>
    <row r="15" spans="1:63" ht="15" customHeight="1" x14ac:dyDescent="0.25">
      <c r="A15" s="1"/>
      <c r="BK15" s="4"/>
    </row>
    <row r="16" spans="1:63" ht="15" customHeight="1" x14ac:dyDescent="0.25">
      <c r="A16" s="1"/>
      <c r="BK16" s="4"/>
    </row>
    <row r="17" spans="1:63" ht="15" customHeight="1" x14ac:dyDescent="0.25">
      <c r="A17" s="1"/>
      <c r="BK17" s="4"/>
    </row>
    <row r="18" spans="1:63" ht="15" customHeight="1" x14ac:dyDescent="0.25">
      <c r="A18" s="1"/>
      <c r="BK18" s="4"/>
    </row>
    <row r="19" spans="1:63" ht="15" customHeight="1" x14ac:dyDescent="0.25">
      <c r="A19" s="1"/>
      <c r="BK19" s="4"/>
    </row>
    <row r="20" spans="1:63" ht="15" customHeight="1" x14ac:dyDescent="0.25">
      <c r="A20" s="1"/>
      <c r="BK20" s="4"/>
    </row>
    <row r="21" spans="1:63" ht="15" customHeight="1" x14ac:dyDescent="0.25">
      <c r="A21" s="1"/>
      <c r="BK21" s="4"/>
    </row>
    <row r="22" spans="1:63" ht="15" customHeight="1" x14ac:dyDescent="0.25">
      <c r="A22" s="1"/>
      <c r="BK22" s="4"/>
    </row>
    <row r="23" spans="1:63" ht="15" customHeight="1" x14ac:dyDescent="0.25">
      <c r="A23" s="1"/>
      <c r="BK23" s="4"/>
    </row>
    <row r="24" spans="1:63" ht="15" customHeight="1" x14ac:dyDescent="0.25">
      <c r="A24" s="1"/>
      <c r="BK24" s="4"/>
    </row>
    <row r="25" spans="1:63" ht="15" customHeight="1" x14ac:dyDescent="0.25">
      <c r="A25" s="1"/>
      <c r="BK25" s="4"/>
    </row>
    <row r="26" spans="1:63" ht="15" customHeight="1" x14ac:dyDescent="0.25">
      <c r="A26" s="1"/>
      <c r="BK26" s="4"/>
    </row>
    <row r="27" spans="1:63" ht="15" customHeight="1" x14ac:dyDescent="0.25">
      <c r="A27" s="1"/>
      <c r="BK27" s="4"/>
    </row>
    <row r="28" spans="1:63" ht="15" customHeight="1" x14ac:dyDescent="0.25">
      <c r="A28" s="1"/>
      <c r="BK28" s="4"/>
    </row>
    <row r="29" spans="1:63" ht="15" customHeight="1" x14ac:dyDescent="0.25">
      <c r="A29" s="1"/>
      <c r="BK29" s="4"/>
    </row>
    <row r="30" spans="1:63" ht="15" customHeight="1" x14ac:dyDescent="0.25">
      <c r="A30" s="1"/>
      <c r="BK30" s="4"/>
    </row>
    <row r="31" spans="1:63" ht="15" customHeight="1" x14ac:dyDescent="0.25">
      <c r="A31" s="1"/>
      <c r="BK31" s="4"/>
    </row>
    <row r="32" spans="1:63" ht="15" customHeight="1" x14ac:dyDescent="0.25">
      <c r="A32" s="1"/>
      <c r="BK32" s="4"/>
    </row>
    <row r="33" spans="1:63" ht="15" customHeight="1" x14ac:dyDescent="0.25">
      <c r="A33" s="1"/>
      <c r="BK33" s="4"/>
    </row>
    <row r="34" spans="1:63" ht="15" customHeight="1" x14ac:dyDescent="0.25">
      <c r="A34" s="1"/>
      <c r="BK34" s="4"/>
    </row>
    <row r="35" spans="1:63" ht="15" customHeight="1" x14ac:dyDescent="0.25">
      <c r="A35" s="1"/>
      <c r="BK35" s="4"/>
    </row>
    <row r="36" spans="1:63" ht="15" customHeight="1" x14ac:dyDescent="0.25">
      <c r="A36" s="1"/>
      <c r="BK36" s="4"/>
    </row>
    <row r="37" spans="1:63" ht="15" customHeight="1" x14ac:dyDescent="0.25">
      <c r="A37" s="1"/>
      <c r="BK37" s="4"/>
    </row>
    <row r="38" spans="1:63" ht="15" customHeight="1" x14ac:dyDescent="0.25">
      <c r="A38" s="1"/>
      <c r="BK38" s="4"/>
    </row>
    <row r="39" spans="1:63" ht="15" customHeight="1" x14ac:dyDescent="0.25">
      <c r="A39" s="1"/>
      <c r="BK39" s="4"/>
    </row>
    <row r="40" spans="1:63" ht="15" customHeight="1" x14ac:dyDescent="0.25">
      <c r="A40" s="1"/>
      <c r="BK40" s="4"/>
    </row>
    <row r="41" spans="1:63" ht="15" customHeight="1" x14ac:dyDescent="0.25">
      <c r="A41" s="1"/>
      <c r="BK41" s="4"/>
    </row>
    <row r="42" spans="1:63" ht="15" customHeight="1" x14ac:dyDescent="0.25">
      <c r="A42" s="1"/>
      <c r="BK42" s="4"/>
    </row>
    <row r="43" spans="1:63" ht="15" customHeight="1" x14ac:dyDescent="0.25">
      <c r="A43" s="1"/>
      <c r="BK43" s="4"/>
    </row>
    <row r="44" spans="1:63" ht="15" customHeight="1" x14ac:dyDescent="0.25">
      <c r="A44" s="1"/>
      <c r="BK44" s="4"/>
    </row>
    <row r="45" spans="1:63" ht="15" customHeight="1" x14ac:dyDescent="0.25">
      <c r="A45" s="1"/>
      <c r="BK45" s="4"/>
    </row>
    <row r="46" spans="1:63" ht="15" customHeight="1" x14ac:dyDescent="0.25">
      <c r="A46" s="1"/>
      <c r="BK46" s="4"/>
    </row>
    <row r="47" spans="1:63" ht="15" customHeight="1" x14ac:dyDescent="0.25">
      <c r="A47" s="1"/>
      <c r="BK47" s="4"/>
    </row>
    <row r="48" spans="1:63" ht="15" customHeight="1" x14ac:dyDescent="0.25">
      <c r="A48" s="1"/>
      <c r="BK48" s="4"/>
    </row>
    <row r="49" spans="1:63" ht="15" customHeight="1" x14ac:dyDescent="0.25">
      <c r="A49" s="1"/>
      <c r="BK49" s="4"/>
    </row>
    <row r="50" spans="1:63" ht="15" customHeight="1" x14ac:dyDescent="0.25">
      <c r="A50" s="1"/>
      <c r="BK50" s="4"/>
    </row>
    <row r="51" spans="1:63" ht="15" customHeight="1" x14ac:dyDescent="0.25">
      <c r="A51" s="1"/>
      <c r="BK51" s="4"/>
    </row>
    <row r="52" spans="1:63" ht="15" customHeight="1" x14ac:dyDescent="0.25">
      <c r="A52" s="1"/>
      <c r="BK52" s="4"/>
    </row>
    <row r="53" spans="1:63" ht="15" customHeight="1" x14ac:dyDescent="0.25">
      <c r="A53" s="1"/>
      <c r="BK53" s="4"/>
    </row>
    <row r="54" spans="1:63" ht="15" customHeight="1" x14ac:dyDescent="0.25">
      <c r="A54" s="1"/>
      <c r="BK54" s="4"/>
    </row>
    <row r="55" spans="1:63" ht="15" customHeight="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5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honeticPr fontId="1"/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7A821-105B-4CCD-957B-188488116070}">
  <dimension ref="A1"/>
  <sheetViews>
    <sheetView workbookViewId="0"/>
  </sheetViews>
  <sheetFormatPr defaultRowHeight="15.75" x14ac:dyDescent="0.25"/>
  <sheetData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6</vt:i4>
      </vt:variant>
    </vt:vector>
  </HeadingPairs>
  <TitlesOfParts>
    <vt:vector size="11" baseType="lpstr">
      <vt:lpstr>表紙</vt:lpstr>
      <vt:lpstr>改廃履歴</vt:lpstr>
      <vt:lpstr>本番</vt:lpstr>
      <vt:lpstr>検証環境</vt:lpstr>
      <vt:lpstr>Sheet1</vt:lpstr>
      <vt:lpstr>改廃履歴!Print_Area</vt:lpstr>
      <vt:lpstr>表紙!Print_Area</vt:lpstr>
      <vt:lpstr>改廃履歴!Print_Titles</vt:lpstr>
      <vt:lpstr>検証環境!Print_Titles</vt:lpstr>
      <vt:lpstr>表紙!Print_Titles</vt:lpstr>
      <vt:lpstr>本番!Print_Titles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Crux03_Luvina</dc:creator>
  <cp:lastModifiedBy>Crux03_Luvina</cp:lastModifiedBy>
  <dcterms:created xsi:type="dcterms:W3CDTF">2023-09-20T15:45:27Z</dcterms:created>
  <dcterms:modified xsi:type="dcterms:W3CDTF">2023-10-10T12:09:58Z</dcterms:modified>
</cp:coreProperties>
</file>